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Forecast" sheetId="3" state="visible" r:id="rId3"/>
    <sheet name="Summary" sheetId="4" state="visible" r:id="rId4"/>
    <sheet name="Portfolio" sheetId="5" state="visible" r:id="rId5"/>
  </sheets>
  <definedNames>
    <definedName name="StartDate">Inputs!$C$9</definedName>
    <definedName name="WHs">Inputs!$C$10</definedName>
    <definedName name="Period">Inputs!$C$11</definedName>
    <definedName name="Price">Inputs!$C$14</definedName>
    <definedName name="Cost">Inputs!$C$15</definedName>
    <definedName name="BaseUnits">Inputs!$C$21</definedName>
    <definedName name="DemoCost">Inputs!$C$26</definedName>
    <definedName name="EndCapCost">Inputs!$C$29</definedName>
    <definedName name="FenceCost">Inputs!$C$30</definedName>
    <definedName name="AdvertCost">Inputs!$C$31</definedName>
    <definedName name="TPDPct">Inputs!$C$32</definedName>
    <definedName name="MdPct">Inputs!$C$33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-mmm-yyyy"/>
    <numFmt numFmtId="166" formatCode="_(* #,##0_);[Red]_(* (#,##0);_(* &quot;-&quot;_);_(@_)"/>
    <numFmt numFmtId="167" formatCode="_(£* #,##0.00_);[Red]_(£* (#,##0.00);_(£* &quot;-&quot;??_);_(@_)"/>
    <numFmt numFmtId="168" formatCode="0.0%;[Red](0.0%)"/>
    <numFmt numFmtId="169" formatCode="_(£* #,##0_);[Red]_(£* (#,##0);_(£* &quot;-&quot;_);_(@_)"/>
    <numFmt numFmtId="170" formatCode="0.00&quot;x&quot;"/>
    <numFmt numFmtId="171" formatCode="0;;;@"/>
  </numFmts>
  <fonts count="10">
    <font>
      <name val="Calibri"/>
      <family val="2"/>
      <color theme="1"/>
      <sz val="11"/>
      <scheme val="minor"/>
    </font>
    <font>
      <name val="Tahoma"/>
      <b val="1"/>
      <color rgb="00000000"/>
      <sz val="16"/>
    </font>
    <font>
      <name val="Tahoma"/>
      <i val="1"/>
      <color rgb="008C8C8C"/>
      <sz val="10"/>
    </font>
    <font>
      <name val="Tahoma"/>
      <b val="1"/>
      <color rgb="00000000"/>
      <sz val="10"/>
    </font>
    <font>
      <name val="Tahoma"/>
      <color rgb="00000000"/>
      <sz val="9"/>
    </font>
    <font>
      <name val="Tahoma"/>
      <color rgb="001F497D"/>
      <sz val="9"/>
    </font>
    <font>
      <name val="Tahoma"/>
      <color rgb="0000643C"/>
      <sz val="9"/>
    </font>
    <font>
      <name val="Tahoma"/>
      <b val="1"/>
      <color rgb="00000000"/>
      <sz val="14"/>
    </font>
    <font>
      <name val="Tahoma"/>
      <b val="1"/>
      <color rgb="00000000"/>
      <sz val="9"/>
    </font>
    <font>
      <name val="Tahoma"/>
      <i val="1"/>
      <color rgb="008C8C8C"/>
      <sz val="8"/>
    </font>
  </fonts>
  <fills count="4">
    <fill>
      <patternFill/>
    </fill>
    <fill>
      <patternFill patternType="gray125"/>
    </fill>
    <fill>
      <patternFill patternType="solid">
        <fgColor rgb="00FFFCEB"/>
      </patternFill>
    </fill>
    <fill>
      <patternFill patternType="solid">
        <fgColor rgb="00F7F7F7"/>
      </patternFill>
    </fill>
  </fills>
  <borders count="8">
    <border>
      <left/>
      <right/>
      <top/>
      <bottom/>
      <diagonal/>
    </border>
    <border>
      <bottom style="thin">
        <color rgb="00000000"/>
      </bottom>
    </border>
    <border>
      <bottom style="hair">
        <color rgb="008C8C8C"/>
      </bottom>
    </border>
    <border>
      <top style="thin">
        <color rgb="00000000"/>
      </top>
      <bottom style="hair">
        <color rgb="008C8C8C"/>
      </bottom>
    </border>
    <border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thin">
        <color rgb="00000000"/>
      </left>
    </border>
    <border>
      <top style="thin">
        <color rgb="00000000"/>
      </top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/>
    </xf>
    <xf numFmtId="165" fontId="5" fillId="2" borderId="2" applyAlignment="1" pivotButton="0" quotePrefix="0" xfId="0">
      <alignment horizontal="right" vertical="center"/>
    </xf>
    <xf numFmtId="166" fontId="5" fillId="2" borderId="2" applyAlignment="1" pivotButton="0" quotePrefix="0" xfId="0">
      <alignment horizontal="right" vertical="center"/>
    </xf>
    <xf numFmtId="167" fontId="5" fillId="2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8" fontId="5" fillId="2" borderId="2" applyAlignment="1" pivotButton="0" quotePrefix="0" xfId="0">
      <alignment horizontal="right" vertical="center"/>
    </xf>
    <xf numFmtId="4" fontId="5" fillId="2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9" fontId="5" fillId="2" borderId="2" applyAlignment="1" pivotButton="0" quotePrefix="0" xfId="0">
      <alignment horizontal="right" vertical="center"/>
    </xf>
    <xf numFmtId="170" fontId="5" fillId="2" borderId="2" applyAlignment="1" pivotButton="0" quotePrefix="0" xfId="0">
      <alignment horizontal="right" vertical="center"/>
    </xf>
    <xf numFmtId="169" fontId="4" fillId="0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16" fontId="9" fillId="3" borderId="1" applyAlignment="1" pivotButton="0" quotePrefix="0" xfId="0">
      <alignment horizontal="center" vertical="center" wrapText="1"/>
    </xf>
    <xf numFmtId="171" fontId="5" fillId="2" borderId="2" applyAlignment="1" pivotButton="0" quotePrefix="0" xfId="0">
      <alignment horizontal="center" vertical="center" wrapText="1"/>
    </xf>
    <xf numFmtId="170" fontId="5" fillId="2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1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6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8" fillId="0" borderId="6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169" fontId="8" fillId="0" borderId="6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9" fontId="8" fillId="0" borderId="7" applyAlignment="1" pivotButton="0" quotePrefix="0" xfId="0">
      <alignment horizontal="right" vertical="center"/>
    </xf>
    <xf numFmtId="169" fontId="8" fillId="0" borderId="4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166" fontId="6" fillId="0" borderId="2" applyAlignment="1" pivotButton="0" quotePrefix="0" xfId="0">
      <alignment horizontal="right" vertical="center"/>
    </xf>
    <xf numFmtId="169" fontId="6" fillId="0" borderId="2" applyAlignment="1" pivotButton="0" quotePrefix="0" xfId="0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168" fontId="8" fillId="0" borderId="7" applyAlignment="1" pivotButton="0" quotePrefix="0" xfId="0">
      <alignment horizontal="right" vertical="center"/>
    </xf>
    <xf numFmtId="0" fontId="8" fillId="0" borderId="4" applyAlignment="1" pivotButton="0" quotePrefix="0" xfId="0">
      <alignment horizontal="left" vertical="center" wrapText="1"/>
    </xf>
    <xf numFmtId="168" fontId="8" fillId="0" borderId="4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3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left" vertical="center" wrapText="1"/>
    </xf>
    <xf numFmtId="166" fontId="4" fillId="0" borderId="0" applyAlignment="1" pivotButton="0" quotePrefix="0" xfId="0">
      <alignment horizontal="center" vertical="center" wrapText="1"/>
    </xf>
    <xf numFmtId="167" fontId="5" fillId="2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6" fontId="5" fillId="2" borderId="0" applyAlignment="1" pivotButton="0" quotePrefix="0" xfId="0">
      <alignment horizontal="right" vertical="center"/>
    </xf>
    <xf numFmtId="169" fontId="5" fillId="2" borderId="0" applyAlignment="1" pivotButton="0" quotePrefix="0" xfId="0">
      <alignment horizontal="right" vertical="center"/>
    </xf>
    <xf numFmtId="0" fontId="0" fillId="0" borderId="4" pivotButton="0" quotePrefix="0" xfId="0"/>
    <xf numFmtId="166" fontId="8" fillId="0" borderId="4" applyAlignment="1" pivotButton="0" quotePrefix="0" xfId="0">
      <alignment horizontal="right" vertical="center"/>
    </xf>
    <xf numFmtId="0" fontId="9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Tahoma"/>
        <b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Costco UK — D93 Portfolio ROI Model</t>
        </is>
      </c>
    </row>
    <row r="3">
      <c r="B3" s="2" t="inlineStr">
        <is>
          <t>v4.0  ·  Bee Propolis market test (baseline) + 1-year portfolio roll-up</t>
        </is>
      </c>
    </row>
    <row r="5" ht="18" customHeight="1">
      <c r="B5" s="3" t="inlineStr">
        <is>
          <t>HOW TO USE</t>
        </is>
      </c>
    </row>
    <row r="6">
      <c r="B6" s="4" t="inlineStr"/>
    </row>
    <row r="7">
      <c r="B7" s="4" t="inlineStr">
        <is>
          <t>1.  This workbook does two things side-by-side:</t>
        </is>
      </c>
    </row>
    <row r="8">
      <c r="B8" s="4" t="inlineStr">
        <is>
          <t xml:space="preserve">      (a) the deep-dive market-test ROI for Bee Propolis (the #1-ranked pitch SKU),</t>
        </is>
      </c>
    </row>
    <row r="9">
      <c r="B9" s="4" t="inlineStr">
        <is>
          <t xml:space="preserve">      (b) a one-year portfolio view across all seven D93 SKUs, with blended margin and ROI.</t>
        </is>
      </c>
    </row>
    <row r="10">
      <c r="B10" s="4" t="inlineStr"/>
    </row>
    <row r="11">
      <c r="B11" s="4" t="inlineStr">
        <is>
          <t>2.  Change only the cells with BLUE text. Black text is calculated. Green text is a cross-sheet link.</t>
        </is>
      </c>
    </row>
    <row r="12">
      <c r="B12" s="4" t="inlineStr"/>
    </row>
    <row r="13">
      <c r="B13" s="4" t="inlineStr">
        <is>
          <t>3.  Bee Propolis detail lives on the Inputs, Forecast, and Summary sheets. The detail model uses</t>
        </is>
      </c>
    </row>
    <row r="14">
      <c r="B14" s="4" t="inlineStr">
        <is>
          <t xml:space="preserve">    a 26-week test horizon, 20 warehouses, and three scenarios (BEST / IDEAL / WORST).</t>
        </is>
      </c>
    </row>
    <row r="15">
      <c r="B15" s="4" t="inlineStr"/>
    </row>
    <row r="16">
      <c r="B16" s="4" t="inlineStr">
        <is>
          <t>4.  Annual portfolio numbers live on the Portfolio sheet. Each SKU is one row. Bee Propolis row 1</t>
        </is>
      </c>
    </row>
    <row r="17">
      <c r="B17" s="4" t="inlineStr">
        <is>
          <t xml:space="preserve">    is pre-filled at indicative annual numbers; rows 2-7 are blank — paste in COGS, selling price,</t>
        </is>
      </c>
    </row>
    <row r="18">
      <c r="B18" s="4" t="inlineStr">
        <is>
          <t xml:space="preserve">    and forecast units from Asana / commercial. The blended row at the bottom does the math.</t>
        </is>
      </c>
    </row>
    <row r="19">
      <c r="B19" s="4" t="inlineStr"/>
    </row>
    <row r="20">
      <c r="B20" s="4" t="inlineStr">
        <is>
          <t>5.  Override cells. On the Inputs sheet, every calculated input has an OVERRIDE column next to it.</t>
        </is>
      </c>
    </row>
    <row r="21">
      <c r="B21" s="4" t="inlineStr">
        <is>
          <t xml:space="preserve">    Leave it blank to use the formula; type a value to force the model to use yours.</t>
        </is>
      </c>
    </row>
    <row r="22">
      <c r="B22" s="4" t="inlineStr"/>
    </row>
    <row r="23">
      <c r="B23" s="4" t="inlineStr">
        <is>
          <t>6.  Dates. Change the 'Test Start Date (W1)' on Inputs and every week header on every sheet shifts.</t>
        </is>
      </c>
    </row>
    <row r="24">
      <c r="B24" s="4" t="inlineStr"/>
    </row>
    <row r="25" ht="18" customHeight="1">
      <c r="B25" s="3" t="inlineStr">
        <is>
          <t>KEY CONCEPTS</t>
        </is>
      </c>
    </row>
    <row r="26" ht="36" customHeight="1">
      <c r="B26" s="4" t="inlineStr">
        <is>
          <t>•  Base Demand — organic Costco velocity with no promo. From the prior 30ml SKU run-rate: ~500 lifetime units across a 29-week reference cycle, scaled to 20 warehouses. ≈ 13.8 units / wh / week.</t>
        </is>
      </c>
    </row>
    <row r="27" ht="36" customHeight="1">
      <c r="B27" s="4" t="inlineStr">
        <is>
          <t>•  Lift Multiplier — sales multiplier on a given week. 1.0x = base, 3.0x = demo, 3.6x = demo + end cap, 8.0x+ = clearance markdown.</t>
        </is>
      </c>
    </row>
    <row r="28" ht="36" customHeight="1">
      <c r="B28" s="4" t="inlineStr">
        <is>
          <t>•  TPD — Temporary Price Discount. 20% off MSRP, which equals a 25% deduction on net (Costco's 20% retail margin grosses it up: 0.20 / 0.80 = 0.25).</t>
        </is>
      </c>
    </row>
    <row r="29" ht="36" customHeight="1">
      <c r="B29" s="4" t="inlineStr">
        <is>
          <t>•  Demo cost — £199 / warehouse / weekend, grossed up by 1.86x for staffing &amp; POS.</t>
        </is>
      </c>
    </row>
    <row r="30" ht="36" customHeight="1">
      <c r="B30" s="4" t="inlineStr">
        <is>
          <t>•  End cap — £850 / warehouse / 2-week cycle, same 1.86x factor. Per-week is half.</t>
        </is>
      </c>
    </row>
    <row r="31" ht="36" customHeight="1">
      <c r="B31" s="4" t="inlineStr">
        <is>
          <t>•  ROI on Promo Spend — Net Profit ÷ Promo Spend. Tells you what £1 of promo investment returned.</t>
        </is>
      </c>
    </row>
    <row r="32" ht="36" customHeight="1">
      <c r="B32" s="4" t="inlineStr">
        <is>
          <t>•  Blended Margin / ROI (Portfolio) — totals are summed across SKUs; blended % = total GP ÷ total Revenue. This is the number that matters for the overall pitch — a low-margin SKU is fine if higher-margin SKUs in the portfolio more than offset it.</t>
        </is>
      </c>
    </row>
    <row r="34" ht="18" customHeight="1">
      <c r="B34" s="3" t="inlineStr">
        <is>
          <t>COLOUR KEY</t>
        </is>
      </c>
    </row>
    <row r="35">
      <c r="B35" s="5" t="inlineStr">
        <is>
          <t xml:space="preserve">  Blue text — Editable input. Type your own number.</t>
        </is>
      </c>
    </row>
    <row r="36">
      <c r="B36" s="6" t="inlineStr">
        <is>
          <t xml:space="preserve">  Black text — Calculated. Don't edit — formula will rebuild.</t>
        </is>
      </c>
    </row>
    <row r="37">
      <c r="B37" s="7" t="inlineStr">
        <is>
          <t xml:space="preserve">  Green text — Cross-sheet link. Pulled from another tab.</t>
        </is>
      </c>
    </row>
  </sheetData>
  <mergeCells count="3">
    <mergeCell ref="B5"/>
    <mergeCell ref="B34"/>
    <mergeCell ref="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72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78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</cols>
  <sheetData>
    <row r="2">
      <c r="B2" s="8" t="inlineStr">
        <is>
          <t>Inputs &amp; Assumptions — Bee Propolis 30ml x 2</t>
        </is>
      </c>
    </row>
    <row r="3">
      <c r="B3" s="2" t="inlineStr">
        <is>
          <t>Edit blue cells only. Optional overrides in column D.</t>
        </is>
      </c>
    </row>
    <row r="5">
      <c r="B5" s="9" t="inlineStr">
        <is>
          <t>Field</t>
        </is>
      </c>
      <c r="C5" s="10" t="inlineStr">
        <is>
          <t>Value</t>
        </is>
      </c>
      <c r="D5" s="10" t="inlineStr">
        <is>
          <t>Override</t>
        </is>
      </c>
      <c r="E5" s="9" t="inlineStr">
        <is>
          <t>Notes</t>
        </is>
      </c>
    </row>
    <row r="7" ht="18" customHeight="1">
      <c r="B7" s="3" t="inlineStr">
        <is>
          <t>1.  PRODUCT &amp; DISTRIBUTION</t>
        </is>
      </c>
      <c r="C7" s="11" t="n"/>
      <c r="D7" s="11" t="n"/>
      <c r="E7" s="11" t="n"/>
    </row>
    <row r="8" ht="18" customHeight="1">
      <c r="B8" s="6" t="inlineStr">
        <is>
          <t>SKU</t>
        </is>
      </c>
      <c r="C8" s="12" t="inlineStr">
        <is>
          <t>Bee Propolis Spray 30ml x 2</t>
        </is>
      </c>
      <c r="E8" s="13" t="inlineStr">
        <is>
          <t>Costco UK market test SKU.</t>
        </is>
      </c>
    </row>
    <row r="9" ht="18" customHeight="1">
      <c r="B9" s="6" t="inlineStr">
        <is>
          <t>Test Start Date (W1)</t>
        </is>
      </c>
      <c r="C9" s="14" t="n">
        <v>46034</v>
      </c>
      <c r="E9" s="13" t="inlineStr">
        <is>
          <t>Week-commencing date for W1. Drives every date header.</t>
        </is>
      </c>
    </row>
    <row r="10" ht="18" customHeight="1">
      <c r="B10" s="6" t="inlineStr">
        <is>
          <t>Test Warehouses</t>
        </is>
      </c>
      <c r="C10" s="15" t="n">
        <v>20</v>
      </c>
      <c r="E10" s="13" t="inlineStr">
        <is>
          <t>Number of Costco UK warehouses in test.</t>
        </is>
      </c>
    </row>
    <row r="11" ht="18" customHeight="1">
      <c r="B11" s="6" t="inlineStr">
        <is>
          <t>Test Period (Weeks)</t>
        </is>
      </c>
      <c r="C11" s="15" t="n">
        <v>26</v>
      </c>
      <c r="E11" s="13" t="inlineStr">
        <is>
          <t>Forecast horizon (26 weeks, W1 to W26).</t>
        </is>
      </c>
    </row>
    <row r="13" ht="18" customHeight="1">
      <c r="B13" s="3" t="inlineStr">
        <is>
          <t>2.  PRICING &amp; COST (PER UNIT, £)</t>
        </is>
      </c>
      <c r="C13" s="11" t="n"/>
      <c r="D13" s="11" t="n"/>
      <c r="E13" s="11" t="n"/>
    </row>
    <row r="14" ht="18" customHeight="1">
      <c r="B14" s="6" t="inlineStr">
        <is>
          <t>Selling Price (MSRP)</t>
        </is>
      </c>
      <c r="C14" s="16" t="n">
        <v>15.99</v>
      </c>
      <c r="E14" s="13" t="inlineStr">
        <is>
          <t>Retail per pack.</t>
        </is>
      </c>
    </row>
    <row r="15" ht="18" customHeight="1">
      <c r="B15" s="6" t="inlineStr">
        <is>
          <t>Cost Price (landed)</t>
        </is>
      </c>
      <c r="C15" s="16" t="n">
        <v>7.29</v>
      </c>
      <c r="E15" s="13" t="inlineStr">
        <is>
          <t>Brand cost delivered.</t>
        </is>
      </c>
    </row>
    <row r="16" ht="18" customHeight="1">
      <c r="B16" s="6" t="inlineStr">
        <is>
          <t>Gross Margin / unit</t>
        </is>
      </c>
      <c r="C16" s="17">
        <f>IF(D16="",C14-C15,D16)</f>
        <v/>
      </c>
      <c r="D16" s="16" t="n"/>
      <c r="E16" s="13" t="inlineStr">
        <is>
          <t>SP less landed cost. Override is display-only.</t>
        </is>
      </c>
    </row>
    <row r="17" ht="18" customHeight="1">
      <c r="B17" s="6" t="inlineStr">
        <is>
          <t>Gross Margin %</t>
        </is>
      </c>
      <c r="C17" s="18">
        <f>IF(D17="",IFERROR((C14-C15)/C14,0),D17)</f>
        <v/>
      </c>
      <c r="D17" s="19" t="n"/>
      <c r="E17" s="13" t="inlineStr">
        <is>
          <t>GP ÷ SP. Override is display-only.</t>
        </is>
      </c>
    </row>
    <row r="19" ht="18" customHeight="1">
      <c r="B19" s="3" t="inlineStr">
        <is>
          <t>3.  BASE DEMAND (NO PROMO)</t>
        </is>
      </c>
      <c r="C19" s="11" t="n"/>
      <c r="D19" s="11" t="n"/>
      <c r="E19" s="11" t="n"/>
    </row>
    <row r="20" ht="18" customHeight="1">
      <c r="B20" s="6" t="inlineStr">
        <is>
          <t>Units / Warehouse / Week</t>
        </is>
      </c>
      <c r="C20" s="20" t="n">
        <v>13.79</v>
      </c>
      <c r="E20" s="13" t="inlineStr">
        <is>
          <t>From prior 30ml SKU run-rate (500 × 0.8 / 29).</t>
        </is>
      </c>
    </row>
    <row r="21" ht="18" customHeight="1">
      <c r="B21" s="6" t="inlineStr">
        <is>
          <t>Base Units / Week (all warehouses)</t>
        </is>
      </c>
      <c r="C21" s="21">
        <f>IF(D21="",C20*C10,D21)</f>
        <v/>
      </c>
      <c r="D21" s="15" t="n"/>
      <c r="E21" s="13" t="inlineStr">
        <is>
          <t>Per-wh × warehouses. Override flows into Forecast.</t>
        </is>
      </c>
    </row>
    <row r="23" ht="18" customHeight="1">
      <c r="B23" s="3" t="inlineStr">
        <is>
          <t>4.  PROMO ECONOMICS</t>
        </is>
      </c>
      <c r="C23" s="11" t="n"/>
      <c r="D23" s="11" t="n"/>
      <c r="E23" s="11" t="n"/>
    </row>
    <row r="24" ht="18" customHeight="1">
      <c r="B24" s="6" t="inlineStr">
        <is>
          <t>Demo £ / warehouse / week</t>
        </is>
      </c>
      <c r="C24" s="22" t="n">
        <v>199</v>
      </c>
      <c r="E24" s="13" t="inlineStr">
        <is>
          <t>Costco standard demo rate.</t>
        </is>
      </c>
    </row>
    <row r="25" ht="18" customHeight="1">
      <c r="B25" s="6" t="inlineStr">
        <is>
          <t>Demo cost factor</t>
        </is>
      </c>
      <c r="C25" s="23" t="n">
        <v>1.86</v>
      </c>
      <c r="E25" s="13" t="inlineStr">
        <is>
          <t>Staffing + POS overhead multiplier.</t>
        </is>
      </c>
    </row>
    <row r="26" ht="18" customHeight="1">
      <c r="B26" s="6" t="inlineStr">
        <is>
          <t>Demo Total £ / week</t>
        </is>
      </c>
      <c r="C26" s="24">
        <f>IF(D26="",C24*C10*C25,D26)</f>
        <v/>
      </c>
      <c r="D26" s="22" t="n"/>
      <c r="E26" s="13" t="inlineStr">
        <is>
          <t>Rate × warehouses × factor. Override sets the all-wh demo cost directly.</t>
        </is>
      </c>
    </row>
    <row r="27" ht="18" customHeight="1">
      <c r="B27" s="6" t="inlineStr">
        <is>
          <t>End Cap £ / warehouse / 2-week cycle</t>
        </is>
      </c>
      <c r="C27" s="22" t="n">
        <v>850</v>
      </c>
      <c r="E27" s="13" t="inlineStr">
        <is>
          <t>Costco standard end cap rate.</t>
        </is>
      </c>
    </row>
    <row r="28" ht="18" customHeight="1">
      <c r="B28" s="6" t="inlineStr">
        <is>
          <t>End Cap cost factor</t>
        </is>
      </c>
      <c r="C28" s="23" t="n">
        <v>1.86</v>
      </c>
      <c r="E28" s="13" t="inlineStr">
        <is>
          <t>Same as demo.</t>
        </is>
      </c>
    </row>
    <row r="29" ht="18" customHeight="1">
      <c r="B29" s="6" t="inlineStr">
        <is>
          <t>End Cap Total £ / week</t>
        </is>
      </c>
      <c r="C29" s="24">
        <f>IF(D29="",C27*C10*C28/2,D29)</f>
        <v/>
      </c>
      <c r="D29" s="22" t="n"/>
      <c r="E29" s="13" t="inlineStr">
        <is>
          <t>Rate × warehouses × factor ÷ 2. Override sets it directly.</t>
        </is>
      </c>
    </row>
    <row r="30" ht="18" customHeight="1">
      <c r="B30" s="6" t="inlineStr">
        <is>
          <t>Fence £ / week (when active)</t>
        </is>
      </c>
      <c r="C30" s="22" t="n">
        <v>0</v>
      </c>
      <c r="E30" s="13" t="inlineStr">
        <is>
          <t>Not budgeted.</t>
        </is>
      </c>
    </row>
    <row r="31" ht="18" customHeight="1">
      <c r="B31" s="6" t="inlineStr">
        <is>
          <t>Advertising £ / week (when active)</t>
        </is>
      </c>
      <c r="C31" s="22" t="n">
        <v>0</v>
      </c>
      <c r="E31" s="13" t="inlineStr">
        <is>
          <t>Not budgeted.</t>
        </is>
      </c>
    </row>
    <row r="32" ht="18" customHeight="1">
      <c r="B32" s="6" t="inlineStr">
        <is>
          <t>TPD discount % (of net)</t>
        </is>
      </c>
      <c r="C32" s="19" t="n">
        <v>0.25</v>
      </c>
      <c r="E32" s="13" t="inlineStr">
        <is>
          <t>20% off MSRP = 25% deduction on net (Costco's 20% retail margin).</t>
        </is>
      </c>
    </row>
    <row r="33" ht="18" customHeight="1">
      <c r="B33" s="6" t="inlineStr">
        <is>
          <t>Markdown discount %</t>
        </is>
      </c>
      <c r="C33" s="19" t="n">
        <v>0.5</v>
      </c>
      <c r="E33" s="13" t="inlineStr">
        <is>
          <t>Clearance pricing.</t>
        </is>
      </c>
    </row>
    <row r="35" ht="18" customHeight="1">
      <c r="B35" s="3" t="inlineStr">
        <is>
          <t>5.  SCENARIO ACTIVITY &amp; DEMAND LIFT</t>
        </is>
      </c>
      <c r="C35" s="11" t="n"/>
      <c r="D35" s="11" t="n"/>
      <c r="E35" s="11" t="n"/>
    </row>
    <row r="36">
      <c r="B36" s="13" t="inlineStr">
        <is>
          <t>Toggle 1 = active, 0 = off per week. Lift is the demand multiplier vs base. Dates auto-fill from Test Start Date.</t>
        </is>
      </c>
    </row>
    <row r="38" ht="16" customHeight="1">
      <c r="B38" s="25" t="inlineStr">
        <is>
          <t>BEST — x2 Demo (Wks 5-6) + TPD</t>
        </is>
      </c>
    </row>
    <row r="39" ht="24" customHeight="1">
      <c r="B39" s="13" t="inlineStr">
        <is>
          <t>Rationale: Two demo weekends with TPD. Demo lifts ~3x in-week. No end cap, no markdown.</t>
        </is>
      </c>
    </row>
    <row r="40">
      <c r="B40" s="26" t="inlineStr">
        <is>
          <t>Week</t>
        </is>
      </c>
      <c r="F40" s="27" t="inlineStr">
        <is>
          <t>W1</t>
        </is>
      </c>
      <c r="G40" s="27" t="inlineStr">
        <is>
          <t>W2</t>
        </is>
      </c>
      <c r="H40" s="27" t="inlineStr">
        <is>
          <t>W3</t>
        </is>
      </c>
      <c r="I40" s="27" t="inlineStr">
        <is>
          <t>W4</t>
        </is>
      </c>
      <c r="J40" s="27" t="inlineStr">
        <is>
          <t>W5</t>
        </is>
      </c>
      <c r="K40" s="27" t="inlineStr">
        <is>
          <t>W6</t>
        </is>
      </c>
      <c r="L40" s="27" t="inlineStr">
        <is>
          <t>W7</t>
        </is>
      </c>
      <c r="M40" s="27" t="inlineStr">
        <is>
          <t>W8</t>
        </is>
      </c>
      <c r="N40" s="27" t="inlineStr">
        <is>
          <t>W9</t>
        </is>
      </c>
      <c r="O40" s="27" t="inlineStr">
        <is>
          <t>W10</t>
        </is>
      </c>
      <c r="P40" s="27" t="inlineStr">
        <is>
          <t>W11</t>
        </is>
      </c>
      <c r="Q40" s="27" t="inlineStr">
        <is>
          <t>W12</t>
        </is>
      </c>
      <c r="R40" s="27" t="inlineStr">
        <is>
          <t>W13</t>
        </is>
      </c>
      <c r="S40" s="27" t="inlineStr">
        <is>
          <t>W14</t>
        </is>
      </c>
      <c r="T40" s="27" t="inlineStr">
        <is>
          <t>W15</t>
        </is>
      </c>
      <c r="U40" s="27" t="inlineStr">
        <is>
          <t>W16</t>
        </is>
      </c>
      <c r="V40" s="27" t="inlineStr">
        <is>
          <t>W17</t>
        </is>
      </c>
      <c r="W40" s="27" t="inlineStr">
        <is>
          <t>W18</t>
        </is>
      </c>
      <c r="X40" s="27" t="inlineStr">
        <is>
          <t>W19</t>
        </is>
      </c>
      <c r="Y40" s="27" t="inlineStr">
        <is>
          <t>W20</t>
        </is>
      </c>
      <c r="Z40" s="27" t="inlineStr">
        <is>
          <t>W21</t>
        </is>
      </c>
      <c r="AA40" s="27" t="inlineStr">
        <is>
          <t>W22</t>
        </is>
      </c>
      <c r="AB40" s="27" t="inlineStr">
        <is>
          <t>W23</t>
        </is>
      </c>
      <c r="AC40" s="27" t="inlineStr">
        <is>
          <t>W24</t>
        </is>
      </c>
      <c r="AD40" s="27" t="inlineStr">
        <is>
          <t>W25</t>
        </is>
      </c>
      <c r="AE40" s="27" t="inlineStr">
        <is>
          <t>W26</t>
        </is>
      </c>
    </row>
    <row r="41">
      <c r="B41" s="28" t="inlineStr">
        <is>
          <t>W/c</t>
        </is>
      </c>
      <c r="F41" s="29">
        <f>StartDate+7*0</f>
        <v/>
      </c>
      <c r="G41" s="29">
        <f>StartDate+7*1</f>
        <v/>
      </c>
      <c r="H41" s="29">
        <f>StartDate+7*2</f>
        <v/>
      </c>
      <c r="I41" s="29">
        <f>StartDate+7*3</f>
        <v/>
      </c>
      <c r="J41" s="29">
        <f>StartDate+7*4</f>
        <v/>
      </c>
      <c r="K41" s="29">
        <f>StartDate+7*5</f>
        <v/>
      </c>
      <c r="L41" s="29">
        <f>StartDate+7*6</f>
        <v/>
      </c>
      <c r="M41" s="29">
        <f>StartDate+7*7</f>
        <v/>
      </c>
      <c r="N41" s="29">
        <f>StartDate+7*8</f>
        <v/>
      </c>
      <c r="O41" s="29">
        <f>StartDate+7*9</f>
        <v/>
      </c>
      <c r="P41" s="29">
        <f>StartDate+7*10</f>
        <v/>
      </c>
      <c r="Q41" s="29">
        <f>StartDate+7*11</f>
        <v/>
      </c>
      <c r="R41" s="29">
        <f>StartDate+7*12</f>
        <v/>
      </c>
      <c r="S41" s="29">
        <f>StartDate+7*13</f>
        <v/>
      </c>
      <c r="T41" s="29">
        <f>StartDate+7*14</f>
        <v/>
      </c>
      <c r="U41" s="29">
        <f>StartDate+7*15</f>
        <v/>
      </c>
      <c r="V41" s="29">
        <f>StartDate+7*16</f>
        <v/>
      </c>
      <c r="W41" s="29">
        <f>StartDate+7*17</f>
        <v/>
      </c>
      <c r="X41" s="29">
        <f>StartDate+7*18</f>
        <v/>
      </c>
      <c r="Y41" s="29">
        <f>StartDate+7*19</f>
        <v/>
      </c>
      <c r="Z41" s="29">
        <f>StartDate+7*20</f>
        <v/>
      </c>
      <c r="AA41" s="29">
        <f>StartDate+7*21</f>
        <v/>
      </c>
      <c r="AB41" s="29">
        <f>StartDate+7*22</f>
        <v/>
      </c>
      <c r="AC41" s="29">
        <f>StartDate+7*23</f>
        <v/>
      </c>
      <c r="AD41" s="29">
        <f>StartDate+7*24</f>
        <v/>
      </c>
      <c r="AE41" s="29">
        <f>StartDate+7*25</f>
        <v/>
      </c>
    </row>
    <row r="42">
      <c r="B42" s="6" t="inlineStr">
        <is>
          <t>Demo</t>
        </is>
      </c>
      <c r="F42" s="30" t="n">
        <v>0</v>
      </c>
      <c r="G42" s="30" t="n">
        <v>0</v>
      </c>
      <c r="H42" s="30" t="n">
        <v>0</v>
      </c>
      <c r="I42" s="30" t="n">
        <v>0</v>
      </c>
      <c r="J42" s="30" t="n">
        <v>1</v>
      </c>
      <c r="K42" s="30" t="n">
        <v>1</v>
      </c>
      <c r="L42" s="30" t="n">
        <v>0</v>
      </c>
      <c r="M42" s="30" t="n">
        <v>0</v>
      </c>
      <c r="N42" s="30" t="n">
        <v>0</v>
      </c>
      <c r="O42" s="30" t="n">
        <v>0</v>
      </c>
      <c r="P42" s="30" t="n">
        <v>0</v>
      </c>
      <c r="Q42" s="30" t="n">
        <v>0</v>
      </c>
      <c r="R42" s="30" t="n">
        <v>0</v>
      </c>
      <c r="S42" s="30" t="n">
        <v>0</v>
      </c>
      <c r="T42" s="30" t="n">
        <v>0</v>
      </c>
      <c r="U42" s="30" t="n">
        <v>0</v>
      </c>
      <c r="V42" s="30" t="n">
        <v>0</v>
      </c>
      <c r="W42" s="30" t="n">
        <v>0</v>
      </c>
      <c r="X42" s="30" t="n">
        <v>0</v>
      </c>
      <c r="Y42" s="30" t="n">
        <v>0</v>
      </c>
      <c r="Z42" s="30" t="n">
        <v>0</v>
      </c>
      <c r="AA42" s="30" t="n">
        <v>0</v>
      </c>
      <c r="AB42" s="30" t="n">
        <v>0</v>
      </c>
      <c r="AC42" s="30" t="n">
        <v>0</v>
      </c>
      <c r="AD42" s="30" t="n">
        <v>0</v>
      </c>
      <c r="AE42" s="30" t="n">
        <v>0</v>
      </c>
    </row>
    <row r="43">
      <c r="B43" s="6" t="inlineStr">
        <is>
          <t>End Cap</t>
        </is>
      </c>
      <c r="F43" s="30" t="n">
        <v>0</v>
      </c>
      <c r="G43" s="30" t="n">
        <v>0</v>
      </c>
      <c r="H43" s="30" t="n">
        <v>0</v>
      </c>
      <c r="I43" s="30" t="n">
        <v>0</v>
      </c>
      <c r="J43" s="30" t="n">
        <v>0</v>
      </c>
      <c r="K43" s="30" t="n">
        <v>0</v>
      </c>
      <c r="L43" s="30" t="n">
        <v>0</v>
      </c>
      <c r="M43" s="30" t="n">
        <v>0</v>
      </c>
      <c r="N43" s="30" t="n">
        <v>0</v>
      </c>
      <c r="O43" s="30" t="n">
        <v>0</v>
      </c>
      <c r="P43" s="30" t="n">
        <v>0</v>
      </c>
      <c r="Q43" s="30" t="n">
        <v>0</v>
      </c>
      <c r="R43" s="30" t="n">
        <v>0</v>
      </c>
      <c r="S43" s="30" t="n">
        <v>0</v>
      </c>
      <c r="T43" s="30" t="n">
        <v>0</v>
      </c>
      <c r="U43" s="30" t="n">
        <v>0</v>
      </c>
      <c r="V43" s="30" t="n">
        <v>0</v>
      </c>
      <c r="W43" s="30" t="n">
        <v>0</v>
      </c>
      <c r="X43" s="30" t="n">
        <v>0</v>
      </c>
      <c r="Y43" s="30" t="n">
        <v>0</v>
      </c>
      <c r="Z43" s="30" t="n">
        <v>0</v>
      </c>
      <c r="AA43" s="30" t="n">
        <v>0</v>
      </c>
      <c r="AB43" s="30" t="n">
        <v>0</v>
      </c>
      <c r="AC43" s="30" t="n">
        <v>0</v>
      </c>
      <c r="AD43" s="30" t="n">
        <v>0</v>
      </c>
      <c r="AE43" s="30" t="n">
        <v>0</v>
      </c>
    </row>
    <row r="44">
      <c r="B44" s="6" t="inlineStr">
        <is>
          <t>Fence</t>
        </is>
      </c>
      <c r="F44" s="30" t="n">
        <v>0</v>
      </c>
      <c r="G44" s="30" t="n">
        <v>0</v>
      </c>
      <c r="H44" s="30" t="n">
        <v>0</v>
      </c>
      <c r="I44" s="30" t="n">
        <v>0</v>
      </c>
      <c r="J44" s="30" t="n">
        <v>0</v>
      </c>
      <c r="K44" s="30" t="n">
        <v>0</v>
      </c>
      <c r="L44" s="30" t="n">
        <v>0</v>
      </c>
      <c r="M44" s="30" t="n">
        <v>0</v>
      </c>
      <c r="N44" s="30" t="n">
        <v>0</v>
      </c>
      <c r="O44" s="30" t="n">
        <v>0</v>
      </c>
      <c r="P44" s="30" t="n">
        <v>0</v>
      </c>
      <c r="Q44" s="30" t="n">
        <v>0</v>
      </c>
      <c r="R44" s="30" t="n">
        <v>0</v>
      </c>
      <c r="S44" s="30" t="n">
        <v>0</v>
      </c>
      <c r="T44" s="30" t="n">
        <v>0</v>
      </c>
      <c r="U44" s="30" t="n">
        <v>0</v>
      </c>
      <c r="V44" s="30" t="n">
        <v>0</v>
      </c>
      <c r="W44" s="30" t="n">
        <v>0</v>
      </c>
      <c r="X44" s="30" t="n">
        <v>0</v>
      </c>
      <c r="Y44" s="30" t="n">
        <v>0</v>
      </c>
      <c r="Z44" s="30" t="n">
        <v>0</v>
      </c>
      <c r="AA44" s="30" t="n">
        <v>0</v>
      </c>
      <c r="AB44" s="30" t="n">
        <v>0</v>
      </c>
      <c r="AC44" s="30" t="n">
        <v>0</v>
      </c>
      <c r="AD44" s="30" t="n">
        <v>0</v>
      </c>
      <c r="AE44" s="30" t="n">
        <v>0</v>
      </c>
    </row>
    <row r="45">
      <c r="B45" s="6" t="inlineStr">
        <is>
          <t>TPD</t>
        </is>
      </c>
      <c r="F45" s="30" t="n">
        <v>0</v>
      </c>
      <c r="G45" s="30" t="n">
        <v>0</v>
      </c>
      <c r="H45" s="30" t="n">
        <v>0</v>
      </c>
      <c r="I45" s="30" t="n">
        <v>0</v>
      </c>
      <c r="J45" s="30" t="n">
        <v>1</v>
      </c>
      <c r="K45" s="30" t="n">
        <v>1</v>
      </c>
      <c r="L45" s="30" t="n">
        <v>0</v>
      </c>
      <c r="M45" s="30" t="n">
        <v>0</v>
      </c>
      <c r="N45" s="30" t="n">
        <v>0</v>
      </c>
      <c r="O45" s="30" t="n">
        <v>0</v>
      </c>
      <c r="P45" s="30" t="n">
        <v>0</v>
      </c>
      <c r="Q45" s="30" t="n">
        <v>0</v>
      </c>
      <c r="R45" s="30" t="n">
        <v>0</v>
      </c>
      <c r="S45" s="30" t="n">
        <v>0</v>
      </c>
      <c r="T45" s="30" t="n">
        <v>0</v>
      </c>
      <c r="U45" s="30" t="n">
        <v>0</v>
      </c>
      <c r="V45" s="30" t="n">
        <v>0</v>
      </c>
      <c r="W45" s="30" t="n">
        <v>0</v>
      </c>
      <c r="X45" s="30" t="n">
        <v>0</v>
      </c>
      <c r="Y45" s="30" t="n">
        <v>0</v>
      </c>
      <c r="Z45" s="30" t="n">
        <v>0</v>
      </c>
      <c r="AA45" s="30" t="n">
        <v>0</v>
      </c>
      <c r="AB45" s="30" t="n">
        <v>0</v>
      </c>
      <c r="AC45" s="30" t="n">
        <v>0</v>
      </c>
      <c r="AD45" s="30" t="n">
        <v>0</v>
      </c>
      <c r="AE45" s="30" t="n">
        <v>0</v>
      </c>
    </row>
    <row r="46">
      <c r="B46" s="6" t="inlineStr">
        <is>
          <t>Markdown</t>
        </is>
      </c>
      <c r="F46" s="30" t="n">
        <v>0</v>
      </c>
      <c r="G46" s="30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</row>
    <row r="47">
      <c r="B47" s="6" t="inlineStr">
        <is>
          <t>Advert</t>
        </is>
      </c>
      <c r="F47" s="30" t="n">
        <v>0</v>
      </c>
      <c r="G47" s="30" t="n">
        <v>0</v>
      </c>
      <c r="H47" s="30" t="n">
        <v>0</v>
      </c>
      <c r="I47" s="30" t="n">
        <v>0</v>
      </c>
      <c r="J47" s="30" t="n">
        <v>0</v>
      </c>
      <c r="K47" s="30" t="n">
        <v>0</v>
      </c>
      <c r="L47" s="30" t="n">
        <v>0</v>
      </c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  <c r="Z47" s="30" t="n">
        <v>0</v>
      </c>
      <c r="AA47" s="30" t="n">
        <v>0</v>
      </c>
      <c r="AB47" s="30" t="n">
        <v>0</v>
      </c>
      <c r="AC47" s="30" t="n">
        <v>0</v>
      </c>
      <c r="AD47" s="30" t="n">
        <v>0</v>
      </c>
      <c r="AE47" s="30" t="n">
        <v>0</v>
      </c>
    </row>
    <row r="48">
      <c r="B48" s="25" t="inlineStr">
        <is>
          <t>Lift multiplier (x base)</t>
        </is>
      </c>
      <c r="F48" s="31" t="n">
        <v>1</v>
      </c>
      <c r="G48" s="31" t="n">
        <v>1</v>
      </c>
      <c r="H48" s="31" t="n">
        <v>1</v>
      </c>
      <c r="I48" s="31" t="n">
        <v>1</v>
      </c>
      <c r="J48" s="31" t="n">
        <v>3</v>
      </c>
      <c r="K48" s="31" t="n">
        <v>3</v>
      </c>
      <c r="L48" s="31" t="n">
        <v>1</v>
      </c>
      <c r="M48" s="31" t="n">
        <v>1</v>
      </c>
      <c r="N48" s="31" t="n">
        <v>1</v>
      </c>
      <c r="O48" s="31" t="n">
        <v>1</v>
      </c>
      <c r="P48" s="31" t="n">
        <v>1</v>
      </c>
      <c r="Q48" s="31" t="n">
        <v>1</v>
      </c>
      <c r="R48" s="31" t="n">
        <v>1</v>
      </c>
      <c r="S48" s="31" t="n">
        <v>1</v>
      </c>
      <c r="T48" s="31" t="n">
        <v>1</v>
      </c>
      <c r="U48" s="31" t="n">
        <v>1</v>
      </c>
      <c r="V48" s="31" t="n">
        <v>1</v>
      </c>
      <c r="W48" s="31" t="n">
        <v>1</v>
      </c>
      <c r="X48" s="31" t="n">
        <v>1</v>
      </c>
      <c r="Y48" s="31" t="n">
        <v>1</v>
      </c>
      <c r="Z48" s="31" t="n">
        <v>1</v>
      </c>
      <c r="AA48" s="31" t="n">
        <v>1</v>
      </c>
      <c r="AB48" s="31" t="n">
        <v>1</v>
      </c>
      <c r="AC48" s="31" t="n">
        <v>1</v>
      </c>
      <c r="AD48" s="31" t="n">
        <v>1</v>
      </c>
      <c r="AE48" s="31" t="n">
        <v>1</v>
      </c>
    </row>
    <row r="50" ht="16" customHeight="1">
      <c r="B50" s="25" t="inlineStr">
        <is>
          <t>IDEAL — x2 Demo + End Cap (Wks 5-6) + TPD</t>
        </is>
      </c>
    </row>
    <row r="51" ht="24" customHeight="1">
      <c r="B51" s="13" t="inlineStr">
        <is>
          <t>Rationale: Demo + end cap + TPD stacked for two weeks. Combined velocity ~3.6x base.</t>
        </is>
      </c>
    </row>
    <row r="52">
      <c r="B52" s="26" t="inlineStr">
        <is>
          <t>Week</t>
        </is>
      </c>
      <c r="F52" s="27" t="inlineStr">
        <is>
          <t>W1</t>
        </is>
      </c>
      <c r="G52" s="27" t="inlineStr">
        <is>
          <t>W2</t>
        </is>
      </c>
      <c r="H52" s="27" t="inlineStr">
        <is>
          <t>W3</t>
        </is>
      </c>
      <c r="I52" s="27" t="inlineStr">
        <is>
          <t>W4</t>
        </is>
      </c>
      <c r="J52" s="27" t="inlineStr">
        <is>
          <t>W5</t>
        </is>
      </c>
      <c r="K52" s="27" t="inlineStr">
        <is>
          <t>W6</t>
        </is>
      </c>
      <c r="L52" s="27" t="inlineStr">
        <is>
          <t>W7</t>
        </is>
      </c>
      <c r="M52" s="27" t="inlineStr">
        <is>
          <t>W8</t>
        </is>
      </c>
      <c r="N52" s="27" t="inlineStr">
        <is>
          <t>W9</t>
        </is>
      </c>
      <c r="O52" s="27" t="inlineStr">
        <is>
          <t>W10</t>
        </is>
      </c>
      <c r="P52" s="27" t="inlineStr">
        <is>
          <t>W11</t>
        </is>
      </c>
      <c r="Q52" s="27" t="inlineStr">
        <is>
          <t>W12</t>
        </is>
      </c>
      <c r="R52" s="27" t="inlineStr">
        <is>
          <t>W13</t>
        </is>
      </c>
      <c r="S52" s="27" t="inlineStr">
        <is>
          <t>W14</t>
        </is>
      </c>
      <c r="T52" s="27" t="inlineStr">
        <is>
          <t>W15</t>
        </is>
      </c>
      <c r="U52" s="27" t="inlineStr">
        <is>
          <t>W16</t>
        </is>
      </c>
      <c r="V52" s="27" t="inlineStr">
        <is>
          <t>W17</t>
        </is>
      </c>
      <c r="W52" s="27" t="inlineStr">
        <is>
          <t>W18</t>
        </is>
      </c>
      <c r="X52" s="27" t="inlineStr">
        <is>
          <t>W19</t>
        </is>
      </c>
      <c r="Y52" s="27" t="inlineStr">
        <is>
          <t>W20</t>
        </is>
      </c>
      <c r="Z52" s="27" t="inlineStr">
        <is>
          <t>W21</t>
        </is>
      </c>
      <c r="AA52" s="27" t="inlineStr">
        <is>
          <t>W22</t>
        </is>
      </c>
      <c r="AB52" s="27" t="inlineStr">
        <is>
          <t>W23</t>
        </is>
      </c>
      <c r="AC52" s="27" t="inlineStr">
        <is>
          <t>W24</t>
        </is>
      </c>
      <c r="AD52" s="27" t="inlineStr">
        <is>
          <t>W25</t>
        </is>
      </c>
      <c r="AE52" s="27" t="inlineStr">
        <is>
          <t>W26</t>
        </is>
      </c>
    </row>
    <row r="53">
      <c r="B53" s="28" t="inlineStr">
        <is>
          <t>W/c</t>
        </is>
      </c>
      <c r="F53" s="29">
        <f>StartDate+7*0</f>
        <v/>
      </c>
      <c r="G53" s="29">
        <f>StartDate+7*1</f>
        <v/>
      </c>
      <c r="H53" s="29">
        <f>StartDate+7*2</f>
        <v/>
      </c>
      <c r="I53" s="29">
        <f>StartDate+7*3</f>
        <v/>
      </c>
      <c r="J53" s="29">
        <f>StartDate+7*4</f>
        <v/>
      </c>
      <c r="K53" s="29">
        <f>StartDate+7*5</f>
        <v/>
      </c>
      <c r="L53" s="29">
        <f>StartDate+7*6</f>
        <v/>
      </c>
      <c r="M53" s="29">
        <f>StartDate+7*7</f>
        <v/>
      </c>
      <c r="N53" s="29">
        <f>StartDate+7*8</f>
        <v/>
      </c>
      <c r="O53" s="29">
        <f>StartDate+7*9</f>
        <v/>
      </c>
      <c r="P53" s="29">
        <f>StartDate+7*10</f>
        <v/>
      </c>
      <c r="Q53" s="29">
        <f>StartDate+7*11</f>
        <v/>
      </c>
      <c r="R53" s="29">
        <f>StartDate+7*12</f>
        <v/>
      </c>
      <c r="S53" s="29">
        <f>StartDate+7*13</f>
        <v/>
      </c>
      <c r="T53" s="29">
        <f>StartDate+7*14</f>
        <v/>
      </c>
      <c r="U53" s="29">
        <f>StartDate+7*15</f>
        <v/>
      </c>
      <c r="V53" s="29">
        <f>StartDate+7*16</f>
        <v/>
      </c>
      <c r="W53" s="29">
        <f>StartDate+7*17</f>
        <v/>
      </c>
      <c r="X53" s="29">
        <f>StartDate+7*18</f>
        <v/>
      </c>
      <c r="Y53" s="29">
        <f>StartDate+7*19</f>
        <v/>
      </c>
      <c r="Z53" s="29">
        <f>StartDate+7*20</f>
        <v/>
      </c>
      <c r="AA53" s="29">
        <f>StartDate+7*21</f>
        <v/>
      </c>
      <c r="AB53" s="29">
        <f>StartDate+7*22</f>
        <v/>
      </c>
      <c r="AC53" s="29">
        <f>StartDate+7*23</f>
        <v/>
      </c>
      <c r="AD53" s="29">
        <f>StartDate+7*24</f>
        <v/>
      </c>
      <c r="AE53" s="29">
        <f>StartDate+7*25</f>
        <v/>
      </c>
    </row>
    <row r="54">
      <c r="B54" s="6" t="inlineStr">
        <is>
          <t>Demo</t>
        </is>
      </c>
      <c r="F54" s="30" t="n">
        <v>0</v>
      </c>
      <c r="G54" s="30" t="n">
        <v>0</v>
      </c>
      <c r="H54" s="30" t="n">
        <v>0</v>
      </c>
      <c r="I54" s="30" t="n">
        <v>0</v>
      </c>
      <c r="J54" s="30" t="n">
        <v>1</v>
      </c>
      <c r="K54" s="30" t="n">
        <v>1</v>
      </c>
      <c r="L54" s="30" t="n">
        <v>0</v>
      </c>
      <c r="M54" s="30" t="n">
        <v>0</v>
      </c>
      <c r="N54" s="30" t="n">
        <v>0</v>
      </c>
      <c r="O54" s="30" t="n">
        <v>0</v>
      </c>
      <c r="P54" s="30" t="n">
        <v>0</v>
      </c>
      <c r="Q54" s="30" t="n">
        <v>0</v>
      </c>
      <c r="R54" s="30" t="n">
        <v>0</v>
      </c>
      <c r="S54" s="30" t="n">
        <v>0</v>
      </c>
      <c r="T54" s="30" t="n">
        <v>0</v>
      </c>
      <c r="U54" s="30" t="n">
        <v>0</v>
      </c>
      <c r="V54" s="30" t="n">
        <v>0</v>
      </c>
      <c r="W54" s="30" t="n">
        <v>0</v>
      </c>
      <c r="X54" s="30" t="n">
        <v>0</v>
      </c>
      <c r="Y54" s="30" t="n">
        <v>0</v>
      </c>
      <c r="Z54" s="30" t="n">
        <v>0</v>
      </c>
      <c r="AA54" s="30" t="n">
        <v>0</v>
      </c>
      <c r="AB54" s="30" t="n">
        <v>0</v>
      </c>
      <c r="AC54" s="30" t="n">
        <v>0</v>
      </c>
      <c r="AD54" s="30" t="n">
        <v>0</v>
      </c>
      <c r="AE54" s="30" t="n">
        <v>0</v>
      </c>
    </row>
    <row r="55">
      <c r="B55" s="6" t="inlineStr">
        <is>
          <t>End Cap</t>
        </is>
      </c>
      <c r="F55" s="30" t="n">
        <v>0</v>
      </c>
      <c r="G55" s="30" t="n">
        <v>0</v>
      </c>
      <c r="H55" s="30" t="n">
        <v>0</v>
      </c>
      <c r="I55" s="30" t="n">
        <v>0</v>
      </c>
      <c r="J55" s="30" t="n">
        <v>1</v>
      </c>
      <c r="K55" s="30" t="n">
        <v>1</v>
      </c>
      <c r="L55" s="30" t="n">
        <v>0</v>
      </c>
      <c r="M55" s="30" t="n">
        <v>0</v>
      </c>
      <c r="N55" s="30" t="n">
        <v>0</v>
      </c>
      <c r="O55" s="30" t="n">
        <v>0</v>
      </c>
      <c r="P55" s="30" t="n">
        <v>0</v>
      </c>
      <c r="Q55" s="30" t="n">
        <v>0</v>
      </c>
      <c r="R55" s="30" t="n">
        <v>0</v>
      </c>
      <c r="S55" s="30" t="n">
        <v>0</v>
      </c>
      <c r="T55" s="30" t="n">
        <v>0</v>
      </c>
      <c r="U55" s="30" t="n">
        <v>0</v>
      </c>
      <c r="V55" s="30" t="n">
        <v>0</v>
      </c>
      <c r="W55" s="30" t="n">
        <v>0</v>
      </c>
      <c r="X55" s="30" t="n">
        <v>0</v>
      </c>
      <c r="Y55" s="30" t="n">
        <v>0</v>
      </c>
      <c r="Z55" s="30" t="n">
        <v>0</v>
      </c>
      <c r="AA55" s="30" t="n">
        <v>0</v>
      </c>
      <c r="AB55" s="30" t="n">
        <v>0</v>
      </c>
      <c r="AC55" s="30" t="n">
        <v>0</v>
      </c>
      <c r="AD55" s="30" t="n">
        <v>0</v>
      </c>
      <c r="AE55" s="30" t="n">
        <v>0</v>
      </c>
    </row>
    <row r="56">
      <c r="B56" s="6" t="inlineStr">
        <is>
          <t>Fence</t>
        </is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</row>
    <row r="57">
      <c r="B57" s="6" t="inlineStr">
        <is>
          <t>TPD</t>
        </is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1</v>
      </c>
      <c r="K57" s="30" t="n">
        <v>1</v>
      </c>
      <c r="L57" s="30" t="n">
        <v>0</v>
      </c>
      <c r="M57" s="30" t="n">
        <v>0</v>
      </c>
      <c r="N57" s="30" t="n">
        <v>0</v>
      </c>
      <c r="O57" s="30" t="n">
        <v>0</v>
      </c>
      <c r="P57" s="30" t="n">
        <v>0</v>
      </c>
      <c r="Q57" s="30" t="n">
        <v>0</v>
      </c>
      <c r="R57" s="30" t="n">
        <v>0</v>
      </c>
      <c r="S57" s="30" t="n">
        <v>0</v>
      </c>
      <c r="T57" s="30" t="n">
        <v>0</v>
      </c>
      <c r="U57" s="30" t="n">
        <v>0</v>
      </c>
      <c r="V57" s="30" t="n">
        <v>0</v>
      </c>
      <c r="W57" s="30" t="n">
        <v>0</v>
      </c>
      <c r="X57" s="30" t="n">
        <v>0</v>
      </c>
      <c r="Y57" s="30" t="n">
        <v>0</v>
      </c>
      <c r="Z57" s="30" t="n">
        <v>0</v>
      </c>
      <c r="AA57" s="30" t="n">
        <v>0</v>
      </c>
      <c r="AB57" s="30" t="n">
        <v>0</v>
      </c>
      <c r="AC57" s="30" t="n">
        <v>0</v>
      </c>
      <c r="AD57" s="30" t="n">
        <v>0</v>
      </c>
      <c r="AE57" s="30" t="n">
        <v>0</v>
      </c>
    </row>
    <row r="58">
      <c r="B58" s="6" t="inlineStr">
        <is>
          <t>Markdown</t>
        </is>
      </c>
      <c r="F58" s="30" t="n">
        <v>0</v>
      </c>
      <c r="G58" s="30" t="n">
        <v>0</v>
      </c>
      <c r="H58" s="30" t="n">
        <v>0</v>
      </c>
      <c r="I58" s="30" t="n">
        <v>0</v>
      </c>
      <c r="J58" s="30" t="n">
        <v>0</v>
      </c>
      <c r="K58" s="30" t="n">
        <v>0</v>
      </c>
      <c r="L58" s="30" t="n">
        <v>0</v>
      </c>
      <c r="M58" s="30" t="n">
        <v>0</v>
      </c>
      <c r="N58" s="30" t="n">
        <v>0</v>
      </c>
      <c r="O58" s="30" t="n">
        <v>0</v>
      </c>
      <c r="P58" s="30" t="n">
        <v>0</v>
      </c>
      <c r="Q58" s="30" t="n">
        <v>0</v>
      </c>
      <c r="R58" s="30" t="n">
        <v>0</v>
      </c>
      <c r="S58" s="30" t="n">
        <v>0</v>
      </c>
      <c r="T58" s="30" t="n">
        <v>0</v>
      </c>
      <c r="U58" s="30" t="n">
        <v>0</v>
      </c>
      <c r="V58" s="30" t="n">
        <v>0</v>
      </c>
      <c r="W58" s="30" t="n">
        <v>0</v>
      </c>
      <c r="X58" s="30" t="n">
        <v>0</v>
      </c>
      <c r="Y58" s="30" t="n">
        <v>0</v>
      </c>
      <c r="Z58" s="30" t="n">
        <v>0</v>
      </c>
      <c r="AA58" s="30" t="n">
        <v>0</v>
      </c>
      <c r="AB58" s="30" t="n">
        <v>0</v>
      </c>
      <c r="AC58" s="30" t="n">
        <v>0</v>
      </c>
      <c r="AD58" s="30" t="n">
        <v>0</v>
      </c>
      <c r="AE58" s="30" t="n">
        <v>0</v>
      </c>
    </row>
    <row r="59">
      <c r="B59" s="6" t="inlineStr">
        <is>
          <t>Advert</t>
        </is>
      </c>
      <c r="F59" s="30" t="n">
        <v>0</v>
      </c>
      <c r="G59" s="30" t="n">
        <v>0</v>
      </c>
      <c r="H59" s="30" t="n">
        <v>0</v>
      </c>
      <c r="I59" s="30" t="n">
        <v>0</v>
      </c>
      <c r="J59" s="30" t="n">
        <v>0</v>
      </c>
      <c r="K59" s="30" t="n">
        <v>0</v>
      </c>
      <c r="L59" s="30" t="n">
        <v>0</v>
      </c>
      <c r="M59" s="30" t="n">
        <v>0</v>
      </c>
      <c r="N59" s="30" t="n">
        <v>0</v>
      </c>
      <c r="O59" s="30" t="n">
        <v>0</v>
      </c>
      <c r="P59" s="30" t="n">
        <v>0</v>
      </c>
      <c r="Q59" s="30" t="n">
        <v>0</v>
      </c>
      <c r="R59" s="30" t="n">
        <v>0</v>
      </c>
      <c r="S59" s="30" t="n">
        <v>0</v>
      </c>
      <c r="T59" s="30" t="n">
        <v>0</v>
      </c>
      <c r="U59" s="30" t="n">
        <v>0</v>
      </c>
      <c r="V59" s="30" t="n">
        <v>0</v>
      </c>
      <c r="W59" s="30" t="n">
        <v>0</v>
      </c>
      <c r="X59" s="30" t="n">
        <v>0</v>
      </c>
      <c r="Y59" s="30" t="n">
        <v>0</v>
      </c>
      <c r="Z59" s="30" t="n">
        <v>0</v>
      </c>
      <c r="AA59" s="30" t="n">
        <v>0</v>
      </c>
      <c r="AB59" s="30" t="n">
        <v>0</v>
      </c>
      <c r="AC59" s="30" t="n">
        <v>0</v>
      </c>
      <c r="AD59" s="30" t="n">
        <v>0</v>
      </c>
      <c r="AE59" s="30" t="n">
        <v>0</v>
      </c>
    </row>
    <row r="60">
      <c r="B60" s="25" t="inlineStr">
        <is>
          <t>Lift multiplier (x base)</t>
        </is>
      </c>
      <c r="F60" s="31" t="n">
        <v>1</v>
      </c>
      <c r="G60" s="31" t="n">
        <v>1</v>
      </c>
      <c r="H60" s="31" t="n">
        <v>1</v>
      </c>
      <c r="I60" s="31" t="n">
        <v>1</v>
      </c>
      <c r="J60" s="31" t="n">
        <v>3.6</v>
      </c>
      <c r="K60" s="31" t="n">
        <v>3.6</v>
      </c>
      <c r="L60" s="31" t="n">
        <v>1</v>
      </c>
      <c r="M60" s="31" t="n">
        <v>1</v>
      </c>
      <c r="N60" s="31" t="n">
        <v>1</v>
      </c>
      <c r="O60" s="31" t="n">
        <v>1</v>
      </c>
      <c r="P60" s="31" t="n">
        <v>1</v>
      </c>
      <c r="Q60" s="31" t="n">
        <v>1</v>
      </c>
      <c r="R60" s="31" t="n">
        <v>1</v>
      </c>
      <c r="S60" s="31" t="n">
        <v>1</v>
      </c>
      <c r="T60" s="31" t="n">
        <v>1</v>
      </c>
      <c r="U60" s="31" t="n">
        <v>1</v>
      </c>
      <c r="V60" s="31" t="n">
        <v>1</v>
      </c>
      <c r="W60" s="31" t="n">
        <v>1</v>
      </c>
      <c r="X60" s="31" t="n">
        <v>1</v>
      </c>
      <c r="Y60" s="31" t="n">
        <v>1</v>
      </c>
      <c r="Z60" s="31" t="n">
        <v>1</v>
      </c>
      <c r="AA60" s="31" t="n">
        <v>1</v>
      </c>
      <c r="AB60" s="31" t="n">
        <v>1</v>
      </c>
      <c r="AC60" s="31" t="n">
        <v>1</v>
      </c>
      <c r="AD60" s="31" t="n">
        <v>1</v>
      </c>
      <c r="AE60" s="31" t="n">
        <v>1</v>
      </c>
    </row>
    <row r="62" ht="16" customHeight="1">
      <c r="B62" s="25" t="inlineStr">
        <is>
          <t>WORST — Demo + EndCap + TPD then Markdown (Wks 18-20)</t>
        </is>
      </c>
    </row>
    <row r="63" ht="24" customHeight="1">
      <c r="B63" s="13" t="inlineStr">
        <is>
          <t>Rationale: Promo plan as IDEAL but residual inventory clears at 50% off over Wks 18-20.</t>
        </is>
      </c>
    </row>
    <row r="64">
      <c r="B64" s="26" t="inlineStr">
        <is>
          <t>Week</t>
        </is>
      </c>
      <c r="F64" s="27" t="inlineStr">
        <is>
          <t>W1</t>
        </is>
      </c>
      <c r="G64" s="27" t="inlineStr">
        <is>
          <t>W2</t>
        </is>
      </c>
      <c r="H64" s="27" t="inlineStr">
        <is>
          <t>W3</t>
        </is>
      </c>
      <c r="I64" s="27" t="inlineStr">
        <is>
          <t>W4</t>
        </is>
      </c>
      <c r="J64" s="27" t="inlineStr">
        <is>
          <t>W5</t>
        </is>
      </c>
      <c r="K64" s="27" t="inlineStr">
        <is>
          <t>W6</t>
        </is>
      </c>
      <c r="L64" s="27" t="inlineStr">
        <is>
          <t>W7</t>
        </is>
      </c>
      <c r="M64" s="27" t="inlineStr">
        <is>
          <t>W8</t>
        </is>
      </c>
      <c r="N64" s="27" t="inlineStr">
        <is>
          <t>W9</t>
        </is>
      </c>
      <c r="O64" s="27" t="inlineStr">
        <is>
          <t>W10</t>
        </is>
      </c>
      <c r="P64" s="27" t="inlineStr">
        <is>
          <t>W11</t>
        </is>
      </c>
      <c r="Q64" s="27" t="inlineStr">
        <is>
          <t>W12</t>
        </is>
      </c>
      <c r="R64" s="27" t="inlineStr">
        <is>
          <t>W13</t>
        </is>
      </c>
      <c r="S64" s="27" t="inlineStr">
        <is>
          <t>W14</t>
        </is>
      </c>
      <c r="T64" s="27" t="inlineStr">
        <is>
          <t>W15</t>
        </is>
      </c>
      <c r="U64" s="27" t="inlineStr">
        <is>
          <t>W16</t>
        </is>
      </c>
      <c r="V64" s="27" t="inlineStr">
        <is>
          <t>W17</t>
        </is>
      </c>
      <c r="W64" s="27" t="inlineStr">
        <is>
          <t>W18</t>
        </is>
      </c>
      <c r="X64" s="27" t="inlineStr">
        <is>
          <t>W19</t>
        </is>
      </c>
      <c r="Y64" s="27" t="inlineStr">
        <is>
          <t>W20</t>
        </is>
      </c>
      <c r="Z64" s="27" t="inlineStr">
        <is>
          <t>W21</t>
        </is>
      </c>
      <c r="AA64" s="27" t="inlineStr">
        <is>
          <t>W22</t>
        </is>
      </c>
      <c r="AB64" s="27" t="inlineStr">
        <is>
          <t>W23</t>
        </is>
      </c>
      <c r="AC64" s="27" t="inlineStr">
        <is>
          <t>W24</t>
        </is>
      </c>
      <c r="AD64" s="27" t="inlineStr">
        <is>
          <t>W25</t>
        </is>
      </c>
      <c r="AE64" s="27" t="inlineStr">
        <is>
          <t>W26</t>
        </is>
      </c>
    </row>
    <row r="65">
      <c r="B65" s="28" t="inlineStr">
        <is>
          <t>W/c</t>
        </is>
      </c>
      <c r="F65" s="29">
        <f>StartDate+7*0</f>
        <v/>
      </c>
      <c r="G65" s="29">
        <f>StartDate+7*1</f>
        <v/>
      </c>
      <c r="H65" s="29">
        <f>StartDate+7*2</f>
        <v/>
      </c>
      <c r="I65" s="29">
        <f>StartDate+7*3</f>
        <v/>
      </c>
      <c r="J65" s="29">
        <f>StartDate+7*4</f>
        <v/>
      </c>
      <c r="K65" s="29">
        <f>StartDate+7*5</f>
        <v/>
      </c>
      <c r="L65" s="29">
        <f>StartDate+7*6</f>
        <v/>
      </c>
      <c r="M65" s="29">
        <f>StartDate+7*7</f>
        <v/>
      </c>
      <c r="N65" s="29">
        <f>StartDate+7*8</f>
        <v/>
      </c>
      <c r="O65" s="29">
        <f>StartDate+7*9</f>
        <v/>
      </c>
      <c r="P65" s="29">
        <f>StartDate+7*10</f>
        <v/>
      </c>
      <c r="Q65" s="29">
        <f>StartDate+7*11</f>
        <v/>
      </c>
      <c r="R65" s="29">
        <f>StartDate+7*12</f>
        <v/>
      </c>
      <c r="S65" s="29">
        <f>StartDate+7*13</f>
        <v/>
      </c>
      <c r="T65" s="29">
        <f>StartDate+7*14</f>
        <v/>
      </c>
      <c r="U65" s="29">
        <f>StartDate+7*15</f>
        <v/>
      </c>
      <c r="V65" s="29">
        <f>StartDate+7*16</f>
        <v/>
      </c>
      <c r="W65" s="29">
        <f>StartDate+7*17</f>
        <v/>
      </c>
      <c r="X65" s="29">
        <f>StartDate+7*18</f>
        <v/>
      </c>
      <c r="Y65" s="29">
        <f>StartDate+7*19</f>
        <v/>
      </c>
      <c r="Z65" s="29">
        <f>StartDate+7*20</f>
        <v/>
      </c>
      <c r="AA65" s="29">
        <f>StartDate+7*21</f>
        <v/>
      </c>
      <c r="AB65" s="29">
        <f>StartDate+7*22</f>
        <v/>
      </c>
      <c r="AC65" s="29">
        <f>StartDate+7*23</f>
        <v/>
      </c>
      <c r="AD65" s="29">
        <f>StartDate+7*24</f>
        <v/>
      </c>
      <c r="AE65" s="29">
        <f>StartDate+7*25</f>
        <v/>
      </c>
    </row>
    <row r="66">
      <c r="B66" s="6" t="inlineStr">
        <is>
          <t>Demo</t>
        </is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1</v>
      </c>
      <c r="K66" s="30" t="n">
        <v>1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</row>
    <row r="67">
      <c r="B67" s="6" t="inlineStr">
        <is>
          <t>End Cap</t>
        </is>
      </c>
      <c r="F67" s="30" t="n">
        <v>0</v>
      </c>
      <c r="G67" s="30" t="n">
        <v>0</v>
      </c>
      <c r="H67" s="30" t="n">
        <v>0</v>
      </c>
      <c r="I67" s="30" t="n">
        <v>0</v>
      </c>
      <c r="J67" s="30" t="n">
        <v>1</v>
      </c>
      <c r="K67" s="30" t="n">
        <v>1</v>
      </c>
      <c r="L67" s="30" t="n">
        <v>0</v>
      </c>
      <c r="M67" s="30" t="n">
        <v>0</v>
      </c>
      <c r="N67" s="30" t="n">
        <v>0</v>
      </c>
      <c r="O67" s="30" t="n">
        <v>0</v>
      </c>
      <c r="P67" s="30" t="n">
        <v>0</v>
      </c>
      <c r="Q67" s="30" t="n">
        <v>0</v>
      </c>
      <c r="R67" s="30" t="n">
        <v>0</v>
      </c>
      <c r="S67" s="30" t="n">
        <v>0</v>
      </c>
      <c r="T67" s="30" t="n">
        <v>0</v>
      </c>
      <c r="U67" s="30" t="n">
        <v>0</v>
      </c>
      <c r="V67" s="30" t="n">
        <v>0</v>
      </c>
      <c r="W67" s="30" t="n">
        <v>0</v>
      </c>
      <c r="X67" s="30" t="n">
        <v>0</v>
      </c>
      <c r="Y67" s="30" t="n">
        <v>0</v>
      </c>
      <c r="Z67" s="30" t="n">
        <v>0</v>
      </c>
      <c r="AA67" s="30" t="n">
        <v>0</v>
      </c>
      <c r="AB67" s="30" t="n">
        <v>0</v>
      </c>
      <c r="AC67" s="30" t="n">
        <v>0</v>
      </c>
      <c r="AD67" s="30" t="n">
        <v>0</v>
      </c>
      <c r="AE67" s="30" t="n">
        <v>0</v>
      </c>
    </row>
    <row r="68">
      <c r="B68" s="6" t="inlineStr">
        <is>
          <t>Fence</t>
        </is>
      </c>
      <c r="F68" s="30" t="n">
        <v>0</v>
      </c>
      <c r="G68" s="30" t="n">
        <v>0</v>
      </c>
      <c r="H68" s="30" t="n">
        <v>0</v>
      </c>
      <c r="I68" s="30" t="n">
        <v>0</v>
      </c>
      <c r="J68" s="30" t="n">
        <v>0</v>
      </c>
      <c r="K68" s="30" t="n">
        <v>0</v>
      </c>
      <c r="L68" s="30" t="n">
        <v>0</v>
      </c>
      <c r="M68" s="30" t="n">
        <v>0</v>
      </c>
      <c r="N68" s="30" t="n">
        <v>0</v>
      </c>
      <c r="O68" s="30" t="n">
        <v>0</v>
      </c>
      <c r="P68" s="30" t="n">
        <v>0</v>
      </c>
      <c r="Q68" s="30" t="n">
        <v>0</v>
      </c>
      <c r="R68" s="30" t="n">
        <v>0</v>
      </c>
      <c r="S68" s="30" t="n">
        <v>0</v>
      </c>
      <c r="T68" s="30" t="n">
        <v>0</v>
      </c>
      <c r="U68" s="30" t="n">
        <v>0</v>
      </c>
      <c r="V68" s="30" t="n">
        <v>0</v>
      </c>
      <c r="W68" s="30" t="n">
        <v>0</v>
      </c>
      <c r="X68" s="30" t="n">
        <v>0</v>
      </c>
      <c r="Y68" s="30" t="n">
        <v>0</v>
      </c>
      <c r="Z68" s="30" t="n">
        <v>0</v>
      </c>
      <c r="AA68" s="30" t="n">
        <v>0</v>
      </c>
      <c r="AB68" s="30" t="n">
        <v>0</v>
      </c>
      <c r="AC68" s="30" t="n">
        <v>0</v>
      </c>
      <c r="AD68" s="30" t="n">
        <v>0</v>
      </c>
      <c r="AE68" s="30" t="n">
        <v>0</v>
      </c>
    </row>
    <row r="69">
      <c r="B69" s="6" t="inlineStr">
        <is>
          <t>TPD</t>
        </is>
      </c>
      <c r="F69" s="30" t="n">
        <v>0</v>
      </c>
      <c r="G69" s="30" t="n">
        <v>0</v>
      </c>
      <c r="H69" s="30" t="n">
        <v>0</v>
      </c>
      <c r="I69" s="30" t="n">
        <v>0</v>
      </c>
      <c r="J69" s="30" t="n">
        <v>1</v>
      </c>
      <c r="K69" s="30" t="n">
        <v>1</v>
      </c>
      <c r="L69" s="30" t="n">
        <v>0</v>
      </c>
      <c r="M69" s="30" t="n">
        <v>0</v>
      </c>
      <c r="N69" s="30" t="n">
        <v>0</v>
      </c>
      <c r="O69" s="30" t="n">
        <v>0</v>
      </c>
      <c r="P69" s="30" t="n">
        <v>0</v>
      </c>
      <c r="Q69" s="30" t="n">
        <v>0</v>
      </c>
      <c r="R69" s="30" t="n">
        <v>0</v>
      </c>
      <c r="S69" s="30" t="n">
        <v>0</v>
      </c>
      <c r="T69" s="30" t="n">
        <v>0</v>
      </c>
      <c r="U69" s="30" t="n">
        <v>0</v>
      </c>
      <c r="V69" s="30" t="n">
        <v>0</v>
      </c>
      <c r="W69" s="30" t="n">
        <v>0</v>
      </c>
      <c r="X69" s="30" t="n">
        <v>0</v>
      </c>
      <c r="Y69" s="30" t="n">
        <v>0</v>
      </c>
      <c r="Z69" s="30" t="n">
        <v>0</v>
      </c>
      <c r="AA69" s="30" t="n">
        <v>0</v>
      </c>
      <c r="AB69" s="30" t="n">
        <v>0</v>
      </c>
      <c r="AC69" s="30" t="n">
        <v>0</v>
      </c>
      <c r="AD69" s="30" t="n">
        <v>0</v>
      </c>
      <c r="AE69" s="30" t="n">
        <v>0</v>
      </c>
    </row>
    <row r="70">
      <c r="B70" s="6" t="inlineStr">
        <is>
          <t>Markdown</t>
        </is>
      </c>
      <c r="F70" s="30" t="n">
        <v>0</v>
      </c>
      <c r="G70" s="30" t="n">
        <v>0</v>
      </c>
      <c r="H70" s="30" t="n">
        <v>0</v>
      </c>
      <c r="I70" s="30" t="n">
        <v>0</v>
      </c>
      <c r="J70" s="30" t="n">
        <v>0</v>
      </c>
      <c r="K70" s="30" t="n">
        <v>0</v>
      </c>
      <c r="L70" s="30" t="n">
        <v>0</v>
      </c>
      <c r="M70" s="30" t="n">
        <v>0</v>
      </c>
      <c r="N70" s="30" t="n">
        <v>0</v>
      </c>
      <c r="O70" s="30" t="n">
        <v>0</v>
      </c>
      <c r="P70" s="30" t="n">
        <v>0</v>
      </c>
      <c r="Q70" s="30" t="n">
        <v>0</v>
      </c>
      <c r="R70" s="30" t="n">
        <v>0</v>
      </c>
      <c r="S70" s="30" t="n">
        <v>0</v>
      </c>
      <c r="T70" s="30" t="n">
        <v>0</v>
      </c>
      <c r="U70" s="30" t="n">
        <v>0</v>
      </c>
      <c r="V70" s="30" t="n">
        <v>0</v>
      </c>
      <c r="W70" s="30" t="n">
        <v>1</v>
      </c>
      <c r="X70" s="30" t="n">
        <v>1</v>
      </c>
      <c r="Y70" s="30" t="n">
        <v>1</v>
      </c>
      <c r="Z70" s="30" t="n">
        <v>0</v>
      </c>
      <c r="AA70" s="30" t="n">
        <v>0</v>
      </c>
      <c r="AB70" s="30" t="n">
        <v>0</v>
      </c>
      <c r="AC70" s="30" t="n">
        <v>0</v>
      </c>
      <c r="AD70" s="30" t="n">
        <v>0</v>
      </c>
      <c r="AE70" s="30" t="n">
        <v>0</v>
      </c>
    </row>
    <row r="71">
      <c r="B71" s="6" t="inlineStr">
        <is>
          <t>Advert</t>
        </is>
      </c>
      <c r="F71" s="30" t="n">
        <v>0</v>
      </c>
      <c r="G71" s="30" t="n">
        <v>0</v>
      </c>
      <c r="H71" s="30" t="n">
        <v>0</v>
      </c>
      <c r="I71" s="30" t="n">
        <v>0</v>
      </c>
      <c r="J71" s="30" t="n">
        <v>0</v>
      </c>
      <c r="K71" s="30" t="n">
        <v>0</v>
      </c>
      <c r="L71" s="30" t="n">
        <v>0</v>
      </c>
      <c r="M71" s="30" t="n">
        <v>0</v>
      </c>
      <c r="N71" s="30" t="n">
        <v>0</v>
      </c>
      <c r="O71" s="30" t="n">
        <v>0</v>
      </c>
      <c r="P71" s="30" t="n">
        <v>0</v>
      </c>
      <c r="Q71" s="30" t="n">
        <v>0</v>
      </c>
      <c r="R71" s="30" t="n">
        <v>0</v>
      </c>
      <c r="S71" s="30" t="n">
        <v>0</v>
      </c>
      <c r="T71" s="30" t="n">
        <v>0</v>
      </c>
      <c r="U71" s="30" t="n">
        <v>0</v>
      </c>
      <c r="V71" s="30" t="n">
        <v>0</v>
      </c>
      <c r="W71" s="30" t="n">
        <v>0</v>
      </c>
      <c r="X71" s="30" t="n">
        <v>0</v>
      </c>
      <c r="Y71" s="30" t="n">
        <v>0</v>
      </c>
      <c r="Z71" s="30" t="n">
        <v>0</v>
      </c>
      <c r="AA71" s="30" t="n">
        <v>0</v>
      </c>
      <c r="AB71" s="30" t="n">
        <v>0</v>
      </c>
      <c r="AC71" s="30" t="n">
        <v>0</v>
      </c>
      <c r="AD71" s="30" t="n">
        <v>0</v>
      </c>
      <c r="AE71" s="30" t="n">
        <v>0</v>
      </c>
    </row>
    <row r="72">
      <c r="B72" s="25" t="inlineStr">
        <is>
          <t>Lift multiplier (x base)</t>
        </is>
      </c>
      <c r="F72" s="31" t="n">
        <v>1</v>
      </c>
      <c r="G72" s="31" t="n">
        <v>1</v>
      </c>
      <c r="H72" s="31" t="n">
        <v>1</v>
      </c>
      <c r="I72" s="31" t="n">
        <v>1</v>
      </c>
      <c r="J72" s="31" t="n">
        <v>3</v>
      </c>
      <c r="K72" s="31" t="n">
        <v>3</v>
      </c>
      <c r="L72" s="31" t="n">
        <v>1</v>
      </c>
      <c r="M72" s="31" t="n">
        <v>1</v>
      </c>
      <c r="N72" s="31" t="n">
        <v>1</v>
      </c>
      <c r="O72" s="31" t="n">
        <v>1</v>
      </c>
      <c r="P72" s="31" t="n">
        <v>1</v>
      </c>
      <c r="Q72" s="31" t="n">
        <v>1</v>
      </c>
      <c r="R72" s="31" t="n">
        <v>1</v>
      </c>
      <c r="S72" s="31" t="n">
        <v>1</v>
      </c>
      <c r="T72" s="31" t="n">
        <v>1</v>
      </c>
      <c r="U72" s="31" t="n">
        <v>1</v>
      </c>
      <c r="V72" s="31" t="n">
        <v>1</v>
      </c>
      <c r="W72" s="31" t="n">
        <v>1</v>
      </c>
      <c r="X72" s="31" t="n">
        <v>0.3</v>
      </c>
      <c r="Y72" s="31" t="n">
        <v>8.699999999999999</v>
      </c>
      <c r="Z72" s="31" t="n">
        <v>1</v>
      </c>
      <c r="AA72" s="31" t="n">
        <v>1</v>
      </c>
      <c r="AB72" s="31" t="n">
        <v>1</v>
      </c>
      <c r="AC72" s="31" t="n">
        <v>1</v>
      </c>
      <c r="AD72" s="31" t="n">
        <v>1</v>
      </c>
      <c r="AE72" s="31" t="n">
        <v>1</v>
      </c>
    </row>
  </sheetData>
  <mergeCells count="8">
    <mergeCell ref="B23:E23"/>
    <mergeCell ref="B35:E35"/>
    <mergeCell ref="B13:E13"/>
    <mergeCell ref="B39:AE39"/>
    <mergeCell ref="B7:E7"/>
    <mergeCell ref="B51:AE51"/>
    <mergeCell ref="B19:E19"/>
    <mergeCell ref="B63:AE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13" customWidth="1" min="32" max="32"/>
  </cols>
  <sheetData>
    <row r="2">
      <c r="B2" s="8" t="inlineStr">
        <is>
          <t>Forecast — Weekly P&amp;L by Scenario</t>
        </is>
      </c>
    </row>
    <row r="3">
      <c r="B3" s="2" t="inlineStr">
        <is>
          <t>All values calculated from Inputs. Don't edit.</t>
        </is>
      </c>
    </row>
    <row r="5">
      <c r="B5" s="32" t="inlineStr">
        <is>
          <t>BEST — x2 Demo (Wks 5-6) + TPD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</row>
    <row r="6">
      <c r="B6" s="33" t="inlineStr">
        <is>
          <t>Week</t>
        </is>
      </c>
      <c r="F6" s="34" t="inlineStr">
        <is>
          <t>W1</t>
        </is>
      </c>
      <c r="G6" s="34" t="inlineStr">
        <is>
          <t>W2</t>
        </is>
      </c>
      <c r="H6" s="34" t="inlineStr">
        <is>
          <t>W3</t>
        </is>
      </c>
      <c r="I6" s="34" t="inlineStr">
        <is>
          <t>W4</t>
        </is>
      </c>
      <c r="J6" s="34" t="inlineStr">
        <is>
          <t>W5</t>
        </is>
      </c>
      <c r="K6" s="34" t="inlineStr">
        <is>
          <t>W6</t>
        </is>
      </c>
      <c r="L6" s="34" t="inlineStr">
        <is>
          <t>W7</t>
        </is>
      </c>
      <c r="M6" s="34" t="inlineStr">
        <is>
          <t>W8</t>
        </is>
      </c>
      <c r="N6" s="34" t="inlineStr">
        <is>
          <t>W9</t>
        </is>
      </c>
      <c r="O6" s="34" t="inlineStr">
        <is>
          <t>W10</t>
        </is>
      </c>
      <c r="P6" s="34" t="inlineStr">
        <is>
          <t>W11</t>
        </is>
      </c>
      <c r="Q6" s="34" t="inlineStr">
        <is>
          <t>W12</t>
        </is>
      </c>
      <c r="R6" s="34" t="inlineStr">
        <is>
          <t>W13</t>
        </is>
      </c>
      <c r="S6" s="34" t="inlineStr">
        <is>
          <t>W14</t>
        </is>
      </c>
      <c r="T6" s="34" t="inlineStr">
        <is>
          <t>W15</t>
        </is>
      </c>
      <c r="U6" s="34" t="inlineStr">
        <is>
          <t>W16</t>
        </is>
      </c>
      <c r="V6" s="34" t="inlineStr">
        <is>
          <t>W17</t>
        </is>
      </c>
      <c r="W6" s="34" t="inlineStr">
        <is>
          <t>W18</t>
        </is>
      </c>
      <c r="X6" s="34" t="inlineStr">
        <is>
          <t>W19</t>
        </is>
      </c>
      <c r="Y6" s="34" t="inlineStr">
        <is>
          <t>W20</t>
        </is>
      </c>
      <c r="Z6" s="34" t="inlineStr">
        <is>
          <t>W21</t>
        </is>
      </c>
      <c r="AA6" s="34" t="inlineStr">
        <is>
          <t>W22</t>
        </is>
      </c>
      <c r="AB6" s="34" t="inlineStr">
        <is>
          <t>W23</t>
        </is>
      </c>
      <c r="AC6" s="34" t="inlineStr">
        <is>
          <t>W24</t>
        </is>
      </c>
      <c r="AD6" s="34" t="inlineStr">
        <is>
          <t>W25</t>
        </is>
      </c>
      <c r="AE6" s="34" t="inlineStr">
        <is>
          <t>W26</t>
        </is>
      </c>
      <c r="AF6" s="34" t="inlineStr">
        <is>
          <t>TOTAL</t>
        </is>
      </c>
    </row>
    <row r="7">
      <c r="B7" s="28" t="inlineStr">
        <is>
          <t>W/c</t>
        </is>
      </c>
      <c r="F7" s="29">
        <f>StartDate+7*0</f>
        <v/>
      </c>
      <c r="G7" s="29">
        <f>StartDate+7*1</f>
        <v/>
      </c>
      <c r="H7" s="29">
        <f>StartDate+7*2</f>
        <v/>
      </c>
      <c r="I7" s="29">
        <f>StartDate+7*3</f>
        <v/>
      </c>
      <c r="J7" s="29">
        <f>StartDate+7*4</f>
        <v/>
      </c>
      <c r="K7" s="29">
        <f>StartDate+7*5</f>
        <v/>
      </c>
      <c r="L7" s="29">
        <f>StartDate+7*6</f>
        <v/>
      </c>
      <c r="M7" s="29">
        <f>StartDate+7*7</f>
        <v/>
      </c>
      <c r="N7" s="29">
        <f>StartDate+7*8</f>
        <v/>
      </c>
      <c r="O7" s="29">
        <f>StartDate+7*9</f>
        <v/>
      </c>
      <c r="P7" s="29">
        <f>StartDate+7*10</f>
        <v/>
      </c>
      <c r="Q7" s="29">
        <f>StartDate+7*11</f>
        <v/>
      </c>
      <c r="R7" s="29">
        <f>StartDate+7*12</f>
        <v/>
      </c>
      <c r="S7" s="29">
        <f>StartDate+7*13</f>
        <v/>
      </c>
      <c r="T7" s="29">
        <f>StartDate+7*14</f>
        <v/>
      </c>
      <c r="U7" s="29">
        <f>StartDate+7*15</f>
        <v/>
      </c>
      <c r="V7" s="29">
        <f>StartDate+7*16</f>
        <v/>
      </c>
      <c r="W7" s="29">
        <f>StartDate+7*17</f>
        <v/>
      </c>
      <c r="X7" s="29">
        <f>StartDate+7*18</f>
        <v/>
      </c>
      <c r="Y7" s="29">
        <f>StartDate+7*19</f>
        <v/>
      </c>
      <c r="Z7" s="29">
        <f>StartDate+7*20</f>
        <v/>
      </c>
      <c r="AA7" s="29">
        <f>StartDate+7*21</f>
        <v/>
      </c>
      <c r="AB7" s="29">
        <f>StartDate+7*22</f>
        <v/>
      </c>
      <c r="AC7" s="29">
        <f>StartDate+7*23</f>
        <v/>
      </c>
      <c r="AD7" s="29">
        <f>StartDate+7*24</f>
        <v/>
      </c>
      <c r="AE7" s="29">
        <f>StartDate+7*25</f>
        <v/>
      </c>
      <c r="AF7" s="35" t="inlineStr"/>
    </row>
    <row r="8">
      <c r="B8" s="6" t="inlineStr">
        <is>
          <t>POS Units</t>
        </is>
      </c>
      <c r="F8" s="36">
        <f>ROUND(BaseUnits*Inputs!F48,0)</f>
        <v/>
      </c>
      <c r="G8" s="36">
        <f>ROUND(BaseUnits*Inputs!G48,0)</f>
        <v/>
      </c>
      <c r="H8" s="36">
        <f>ROUND(BaseUnits*Inputs!H48,0)</f>
        <v/>
      </c>
      <c r="I8" s="36">
        <f>ROUND(BaseUnits*Inputs!I48,0)</f>
        <v/>
      </c>
      <c r="J8" s="36">
        <f>ROUND(BaseUnits*Inputs!J48,0)</f>
        <v/>
      </c>
      <c r="K8" s="36">
        <f>ROUND(BaseUnits*Inputs!K48,0)</f>
        <v/>
      </c>
      <c r="L8" s="36">
        <f>ROUND(BaseUnits*Inputs!L48,0)</f>
        <v/>
      </c>
      <c r="M8" s="36">
        <f>ROUND(BaseUnits*Inputs!M48,0)</f>
        <v/>
      </c>
      <c r="N8" s="36">
        <f>ROUND(BaseUnits*Inputs!N48,0)</f>
        <v/>
      </c>
      <c r="O8" s="36">
        <f>ROUND(BaseUnits*Inputs!O48,0)</f>
        <v/>
      </c>
      <c r="P8" s="36">
        <f>ROUND(BaseUnits*Inputs!P48,0)</f>
        <v/>
      </c>
      <c r="Q8" s="36">
        <f>ROUND(BaseUnits*Inputs!Q48,0)</f>
        <v/>
      </c>
      <c r="R8" s="36">
        <f>ROUND(BaseUnits*Inputs!R48,0)</f>
        <v/>
      </c>
      <c r="S8" s="36">
        <f>ROUND(BaseUnits*Inputs!S48,0)</f>
        <v/>
      </c>
      <c r="T8" s="36">
        <f>ROUND(BaseUnits*Inputs!T48,0)</f>
        <v/>
      </c>
      <c r="U8" s="36">
        <f>ROUND(BaseUnits*Inputs!U48,0)</f>
        <v/>
      </c>
      <c r="V8" s="36">
        <f>ROUND(BaseUnits*Inputs!V48,0)</f>
        <v/>
      </c>
      <c r="W8" s="36">
        <f>ROUND(BaseUnits*Inputs!W48,0)</f>
        <v/>
      </c>
      <c r="X8" s="36">
        <f>ROUND(BaseUnits*Inputs!X48,0)</f>
        <v/>
      </c>
      <c r="Y8" s="36">
        <f>ROUND(BaseUnits*Inputs!Y48,0)</f>
        <v/>
      </c>
      <c r="Z8" s="36">
        <f>ROUND(BaseUnits*Inputs!Z48,0)</f>
        <v/>
      </c>
      <c r="AA8" s="36">
        <f>ROUND(BaseUnits*Inputs!AA48,0)</f>
        <v/>
      </c>
      <c r="AB8" s="36">
        <f>ROUND(BaseUnits*Inputs!AB48,0)</f>
        <v/>
      </c>
      <c r="AC8" s="36">
        <f>ROUND(BaseUnits*Inputs!AC48,0)</f>
        <v/>
      </c>
      <c r="AD8" s="36">
        <f>ROUND(BaseUnits*Inputs!AD48,0)</f>
        <v/>
      </c>
      <c r="AE8" s="36">
        <f>ROUND(BaseUnits*Inputs!AE48,0)</f>
        <v/>
      </c>
      <c r="AF8" s="37">
        <f>SUM(F8:AE8)</f>
        <v/>
      </c>
    </row>
    <row r="9">
      <c r="B9" s="6" t="inlineStr">
        <is>
          <t xml:space="preserve">  Selling Price</t>
        </is>
      </c>
      <c r="F9" s="38">
        <f>Price</f>
        <v/>
      </c>
      <c r="G9" s="38">
        <f>Price</f>
        <v/>
      </c>
      <c r="H9" s="38">
        <f>Price</f>
        <v/>
      </c>
      <c r="I9" s="38">
        <f>Price</f>
        <v/>
      </c>
      <c r="J9" s="38">
        <f>Price</f>
        <v/>
      </c>
      <c r="K9" s="38">
        <f>Price</f>
        <v/>
      </c>
      <c r="L9" s="38">
        <f>Price</f>
        <v/>
      </c>
      <c r="M9" s="38">
        <f>Price</f>
        <v/>
      </c>
      <c r="N9" s="38">
        <f>Price</f>
        <v/>
      </c>
      <c r="O9" s="38">
        <f>Price</f>
        <v/>
      </c>
      <c r="P9" s="38">
        <f>Price</f>
        <v/>
      </c>
      <c r="Q9" s="38">
        <f>Price</f>
        <v/>
      </c>
      <c r="R9" s="38">
        <f>Price</f>
        <v/>
      </c>
      <c r="S9" s="38">
        <f>Price</f>
        <v/>
      </c>
      <c r="T9" s="38">
        <f>Price</f>
        <v/>
      </c>
      <c r="U9" s="38">
        <f>Price</f>
        <v/>
      </c>
      <c r="V9" s="38">
        <f>Price</f>
        <v/>
      </c>
      <c r="W9" s="38">
        <f>Price</f>
        <v/>
      </c>
      <c r="X9" s="38">
        <f>Price</f>
        <v/>
      </c>
      <c r="Y9" s="38">
        <f>Price</f>
        <v/>
      </c>
      <c r="Z9" s="38">
        <f>Price</f>
        <v/>
      </c>
      <c r="AA9" s="38">
        <f>Price</f>
        <v/>
      </c>
      <c r="AB9" s="38">
        <f>Price</f>
        <v/>
      </c>
      <c r="AC9" s="38">
        <f>Price</f>
        <v/>
      </c>
      <c r="AD9" s="38">
        <f>Price</f>
        <v/>
      </c>
      <c r="AE9" s="38">
        <f>Price</f>
        <v/>
      </c>
      <c r="AF9" s="39">
        <f>Price</f>
        <v/>
      </c>
    </row>
    <row r="10">
      <c r="B10" s="25" t="inlineStr">
        <is>
          <t>Revenue</t>
        </is>
      </c>
      <c r="F10" s="40">
        <f>F8*F9</f>
        <v/>
      </c>
      <c r="G10" s="40">
        <f>G8*G9</f>
        <v/>
      </c>
      <c r="H10" s="40">
        <f>H8*H9</f>
        <v/>
      </c>
      <c r="I10" s="40">
        <f>I8*I9</f>
        <v/>
      </c>
      <c r="J10" s="40">
        <f>J8*J9</f>
        <v/>
      </c>
      <c r="K10" s="40">
        <f>K8*K9</f>
        <v/>
      </c>
      <c r="L10" s="40">
        <f>L8*L9</f>
        <v/>
      </c>
      <c r="M10" s="40">
        <f>M8*M9</f>
        <v/>
      </c>
      <c r="N10" s="40">
        <f>N8*N9</f>
        <v/>
      </c>
      <c r="O10" s="40">
        <f>O8*O9</f>
        <v/>
      </c>
      <c r="P10" s="40">
        <f>P8*P9</f>
        <v/>
      </c>
      <c r="Q10" s="40">
        <f>Q8*Q9</f>
        <v/>
      </c>
      <c r="R10" s="40">
        <f>R8*R9</f>
        <v/>
      </c>
      <c r="S10" s="40">
        <f>S8*S9</f>
        <v/>
      </c>
      <c r="T10" s="40">
        <f>T8*T9</f>
        <v/>
      </c>
      <c r="U10" s="40">
        <f>U8*U9</f>
        <v/>
      </c>
      <c r="V10" s="40">
        <f>V8*V9</f>
        <v/>
      </c>
      <c r="W10" s="40">
        <f>W8*W9</f>
        <v/>
      </c>
      <c r="X10" s="40">
        <f>X8*X9</f>
        <v/>
      </c>
      <c r="Y10" s="40">
        <f>Y8*Y9</f>
        <v/>
      </c>
      <c r="Z10" s="40">
        <f>Z8*Z9</f>
        <v/>
      </c>
      <c r="AA10" s="40">
        <f>AA8*AA9</f>
        <v/>
      </c>
      <c r="AB10" s="40">
        <f>AB8*AB9</f>
        <v/>
      </c>
      <c r="AC10" s="40">
        <f>AC8*AC9</f>
        <v/>
      </c>
      <c r="AD10" s="40">
        <f>AD8*AD9</f>
        <v/>
      </c>
      <c r="AE10" s="40">
        <f>AE8*AE9</f>
        <v/>
      </c>
      <c r="AF10" s="41">
        <f>SUM(F10:AE10)</f>
        <v/>
      </c>
    </row>
    <row r="11">
      <c r="B11" s="6" t="inlineStr">
        <is>
          <t xml:space="preserve">  Cost Price</t>
        </is>
      </c>
      <c r="F11" s="38">
        <f>Cost</f>
        <v/>
      </c>
      <c r="G11" s="38">
        <f>Cost</f>
        <v/>
      </c>
      <c r="H11" s="38">
        <f>Cost</f>
        <v/>
      </c>
      <c r="I11" s="38">
        <f>Cost</f>
        <v/>
      </c>
      <c r="J11" s="38">
        <f>Cost</f>
        <v/>
      </c>
      <c r="K11" s="38">
        <f>Cost</f>
        <v/>
      </c>
      <c r="L11" s="38">
        <f>Cost</f>
        <v/>
      </c>
      <c r="M11" s="38">
        <f>Cost</f>
        <v/>
      </c>
      <c r="N11" s="38">
        <f>Cost</f>
        <v/>
      </c>
      <c r="O11" s="38">
        <f>Cost</f>
        <v/>
      </c>
      <c r="P11" s="38">
        <f>Cost</f>
        <v/>
      </c>
      <c r="Q11" s="38">
        <f>Cost</f>
        <v/>
      </c>
      <c r="R11" s="38">
        <f>Cost</f>
        <v/>
      </c>
      <c r="S11" s="38">
        <f>Cost</f>
        <v/>
      </c>
      <c r="T11" s="38">
        <f>Cost</f>
        <v/>
      </c>
      <c r="U11" s="38">
        <f>Cost</f>
        <v/>
      </c>
      <c r="V11" s="38">
        <f>Cost</f>
        <v/>
      </c>
      <c r="W11" s="38">
        <f>Cost</f>
        <v/>
      </c>
      <c r="X11" s="38">
        <f>Cost</f>
        <v/>
      </c>
      <c r="Y11" s="38">
        <f>Cost</f>
        <v/>
      </c>
      <c r="Z11" s="38">
        <f>Cost</f>
        <v/>
      </c>
      <c r="AA11" s="38">
        <f>Cost</f>
        <v/>
      </c>
      <c r="AB11" s="38">
        <f>Cost</f>
        <v/>
      </c>
      <c r="AC11" s="38">
        <f>Cost</f>
        <v/>
      </c>
      <c r="AD11" s="38">
        <f>Cost</f>
        <v/>
      </c>
      <c r="AE11" s="38">
        <f>Cost</f>
        <v/>
      </c>
      <c r="AF11" s="39">
        <f>Cost</f>
        <v/>
      </c>
    </row>
    <row r="12">
      <c r="B12" s="25" t="inlineStr">
        <is>
          <t>Raw COGS</t>
        </is>
      </c>
      <c r="F12" s="40">
        <f>F8*F11</f>
        <v/>
      </c>
      <c r="G12" s="40">
        <f>G8*G11</f>
        <v/>
      </c>
      <c r="H12" s="40">
        <f>H8*H11</f>
        <v/>
      </c>
      <c r="I12" s="40">
        <f>I8*I11</f>
        <v/>
      </c>
      <c r="J12" s="40">
        <f>J8*J11</f>
        <v/>
      </c>
      <c r="K12" s="40">
        <f>K8*K11</f>
        <v/>
      </c>
      <c r="L12" s="40">
        <f>L8*L11</f>
        <v/>
      </c>
      <c r="M12" s="40">
        <f>M8*M11</f>
        <v/>
      </c>
      <c r="N12" s="40">
        <f>N8*N11</f>
        <v/>
      </c>
      <c r="O12" s="40">
        <f>O8*O11</f>
        <v/>
      </c>
      <c r="P12" s="40">
        <f>P8*P11</f>
        <v/>
      </c>
      <c r="Q12" s="40">
        <f>Q8*Q11</f>
        <v/>
      </c>
      <c r="R12" s="40">
        <f>R8*R11</f>
        <v/>
      </c>
      <c r="S12" s="40">
        <f>S8*S11</f>
        <v/>
      </c>
      <c r="T12" s="40">
        <f>T8*T11</f>
        <v/>
      </c>
      <c r="U12" s="40">
        <f>U8*U11</f>
        <v/>
      </c>
      <c r="V12" s="40">
        <f>V8*V11</f>
        <v/>
      </c>
      <c r="W12" s="40">
        <f>W8*W11</f>
        <v/>
      </c>
      <c r="X12" s="40">
        <f>X8*X11</f>
        <v/>
      </c>
      <c r="Y12" s="40">
        <f>Y8*Y11</f>
        <v/>
      </c>
      <c r="Z12" s="40">
        <f>Z8*Z11</f>
        <v/>
      </c>
      <c r="AA12" s="40">
        <f>AA8*AA11</f>
        <v/>
      </c>
      <c r="AB12" s="40">
        <f>AB8*AB11</f>
        <v/>
      </c>
      <c r="AC12" s="40">
        <f>AC8*AC11</f>
        <v/>
      </c>
      <c r="AD12" s="40">
        <f>AD8*AD11</f>
        <v/>
      </c>
      <c r="AE12" s="40">
        <f>AE8*AE11</f>
        <v/>
      </c>
      <c r="AF12" s="41">
        <f>SUM(F12:AE12)</f>
        <v/>
      </c>
    </row>
    <row r="13">
      <c r="B13" s="6" t="inlineStr">
        <is>
          <t xml:space="preserve">  Demo Spend</t>
        </is>
      </c>
      <c r="F13" s="42">
        <f>Inputs!F42*DemoCost</f>
        <v/>
      </c>
      <c r="G13" s="42">
        <f>Inputs!G42*DemoCost</f>
        <v/>
      </c>
      <c r="H13" s="42">
        <f>Inputs!H42*DemoCost</f>
        <v/>
      </c>
      <c r="I13" s="42">
        <f>Inputs!I42*DemoCost</f>
        <v/>
      </c>
      <c r="J13" s="42">
        <f>Inputs!J42*DemoCost</f>
        <v/>
      </c>
      <c r="K13" s="42">
        <f>Inputs!K42*DemoCost</f>
        <v/>
      </c>
      <c r="L13" s="42">
        <f>Inputs!L42*DemoCost</f>
        <v/>
      </c>
      <c r="M13" s="42">
        <f>Inputs!M42*DemoCost</f>
        <v/>
      </c>
      <c r="N13" s="42">
        <f>Inputs!N42*DemoCost</f>
        <v/>
      </c>
      <c r="O13" s="42">
        <f>Inputs!O42*DemoCost</f>
        <v/>
      </c>
      <c r="P13" s="42">
        <f>Inputs!P42*DemoCost</f>
        <v/>
      </c>
      <c r="Q13" s="42">
        <f>Inputs!Q42*DemoCost</f>
        <v/>
      </c>
      <c r="R13" s="42">
        <f>Inputs!R42*DemoCost</f>
        <v/>
      </c>
      <c r="S13" s="42">
        <f>Inputs!S42*DemoCost</f>
        <v/>
      </c>
      <c r="T13" s="42">
        <f>Inputs!T42*DemoCost</f>
        <v/>
      </c>
      <c r="U13" s="42">
        <f>Inputs!U42*DemoCost</f>
        <v/>
      </c>
      <c r="V13" s="42">
        <f>Inputs!V42*DemoCost</f>
        <v/>
      </c>
      <c r="W13" s="42">
        <f>Inputs!W42*DemoCost</f>
        <v/>
      </c>
      <c r="X13" s="42">
        <f>Inputs!X42*DemoCost</f>
        <v/>
      </c>
      <c r="Y13" s="42">
        <f>Inputs!Y42*DemoCost</f>
        <v/>
      </c>
      <c r="Z13" s="42">
        <f>Inputs!Z42*DemoCost</f>
        <v/>
      </c>
      <c r="AA13" s="42">
        <f>Inputs!AA42*DemoCost</f>
        <v/>
      </c>
      <c r="AB13" s="42">
        <f>Inputs!AB42*DemoCost</f>
        <v/>
      </c>
      <c r="AC13" s="42">
        <f>Inputs!AC42*DemoCost</f>
        <v/>
      </c>
      <c r="AD13" s="42">
        <f>Inputs!AD42*DemoCost</f>
        <v/>
      </c>
      <c r="AE13" s="42">
        <f>Inputs!AE42*DemoCost</f>
        <v/>
      </c>
      <c r="AF13" s="41">
        <f>SUM(F13:AE13)</f>
        <v/>
      </c>
    </row>
    <row r="14">
      <c r="B14" s="6" t="inlineStr">
        <is>
          <t xml:space="preserve">  End Cap Spend</t>
        </is>
      </c>
      <c r="F14" s="42">
        <f>Inputs!F43*EndCapCost</f>
        <v/>
      </c>
      <c r="G14" s="42">
        <f>Inputs!G43*EndCapCost</f>
        <v/>
      </c>
      <c r="H14" s="42">
        <f>Inputs!H43*EndCapCost</f>
        <v/>
      </c>
      <c r="I14" s="42">
        <f>Inputs!I43*EndCapCost</f>
        <v/>
      </c>
      <c r="J14" s="42">
        <f>Inputs!J43*EndCapCost</f>
        <v/>
      </c>
      <c r="K14" s="42">
        <f>Inputs!K43*EndCapCost</f>
        <v/>
      </c>
      <c r="L14" s="42">
        <f>Inputs!L43*EndCapCost</f>
        <v/>
      </c>
      <c r="M14" s="42">
        <f>Inputs!M43*EndCapCost</f>
        <v/>
      </c>
      <c r="N14" s="42">
        <f>Inputs!N43*EndCapCost</f>
        <v/>
      </c>
      <c r="O14" s="42">
        <f>Inputs!O43*EndCapCost</f>
        <v/>
      </c>
      <c r="P14" s="42">
        <f>Inputs!P43*EndCapCost</f>
        <v/>
      </c>
      <c r="Q14" s="42">
        <f>Inputs!Q43*EndCapCost</f>
        <v/>
      </c>
      <c r="R14" s="42">
        <f>Inputs!R43*EndCapCost</f>
        <v/>
      </c>
      <c r="S14" s="42">
        <f>Inputs!S43*EndCapCost</f>
        <v/>
      </c>
      <c r="T14" s="42">
        <f>Inputs!T43*EndCapCost</f>
        <v/>
      </c>
      <c r="U14" s="42">
        <f>Inputs!U43*EndCapCost</f>
        <v/>
      </c>
      <c r="V14" s="42">
        <f>Inputs!V43*EndCapCost</f>
        <v/>
      </c>
      <c r="W14" s="42">
        <f>Inputs!W43*EndCapCost</f>
        <v/>
      </c>
      <c r="X14" s="42">
        <f>Inputs!X43*EndCapCost</f>
        <v/>
      </c>
      <c r="Y14" s="42">
        <f>Inputs!Y43*EndCapCost</f>
        <v/>
      </c>
      <c r="Z14" s="42">
        <f>Inputs!Z43*EndCapCost</f>
        <v/>
      </c>
      <c r="AA14" s="42">
        <f>Inputs!AA43*EndCapCost</f>
        <v/>
      </c>
      <c r="AB14" s="42">
        <f>Inputs!AB43*EndCapCost</f>
        <v/>
      </c>
      <c r="AC14" s="42">
        <f>Inputs!AC43*EndCapCost</f>
        <v/>
      </c>
      <c r="AD14" s="42">
        <f>Inputs!AD43*EndCapCost</f>
        <v/>
      </c>
      <c r="AE14" s="42">
        <f>Inputs!AE43*EndCapCost</f>
        <v/>
      </c>
      <c r="AF14" s="41">
        <f>SUM(F14:AE14)</f>
        <v/>
      </c>
    </row>
    <row r="15">
      <c r="B15" s="6" t="inlineStr">
        <is>
          <t xml:space="preserve">  Fence Spend</t>
        </is>
      </c>
      <c r="F15" s="42">
        <f>Inputs!F44*FenceCost</f>
        <v/>
      </c>
      <c r="G15" s="42">
        <f>Inputs!G44*FenceCost</f>
        <v/>
      </c>
      <c r="H15" s="42">
        <f>Inputs!H44*FenceCost</f>
        <v/>
      </c>
      <c r="I15" s="42">
        <f>Inputs!I44*FenceCost</f>
        <v/>
      </c>
      <c r="J15" s="42">
        <f>Inputs!J44*FenceCost</f>
        <v/>
      </c>
      <c r="K15" s="42">
        <f>Inputs!K44*FenceCost</f>
        <v/>
      </c>
      <c r="L15" s="42">
        <f>Inputs!L44*FenceCost</f>
        <v/>
      </c>
      <c r="M15" s="42">
        <f>Inputs!M44*FenceCost</f>
        <v/>
      </c>
      <c r="N15" s="42">
        <f>Inputs!N44*FenceCost</f>
        <v/>
      </c>
      <c r="O15" s="42">
        <f>Inputs!O44*FenceCost</f>
        <v/>
      </c>
      <c r="P15" s="42">
        <f>Inputs!P44*FenceCost</f>
        <v/>
      </c>
      <c r="Q15" s="42">
        <f>Inputs!Q44*FenceCost</f>
        <v/>
      </c>
      <c r="R15" s="42">
        <f>Inputs!R44*FenceCost</f>
        <v/>
      </c>
      <c r="S15" s="42">
        <f>Inputs!S44*FenceCost</f>
        <v/>
      </c>
      <c r="T15" s="42">
        <f>Inputs!T44*FenceCost</f>
        <v/>
      </c>
      <c r="U15" s="42">
        <f>Inputs!U44*FenceCost</f>
        <v/>
      </c>
      <c r="V15" s="42">
        <f>Inputs!V44*FenceCost</f>
        <v/>
      </c>
      <c r="W15" s="42">
        <f>Inputs!W44*FenceCost</f>
        <v/>
      </c>
      <c r="X15" s="42">
        <f>Inputs!X44*FenceCost</f>
        <v/>
      </c>
      <c r="Y15" s="42">
        <f>Inputs!Y44*FenceCost</f>
        <v/>
      </c>
      <c r="Z15" s="42">
        <f>Inputs!Z44*FenceCost</f>
        <v/>
      </c>
      <c r="AA15" s="42">
        <f>Inputs!AA44*FenceCost</f>
        <v/>
      </c>
      <c r="AB15" s="42">
        <f>Inputs!AB44*FenceCost</f>
        <v/>
      </c>
      <c r="AC15" s="42">
        <f>Inputs!AC44*FenceCost</f>
        <v/>
      </c>
      <c r="AD15" s="42">
        <f>Inputs!AD44*FenceCost</f>
        <v/>
      </c>
      <c r="AE15" s="42">
        <f>Inputs!AE44*FenceCost</f>
        <v/>
      </c>
      <c r="AF15" s="41">
        <f>SUM(F15:AE15)</f>
        <v/>
      </c>
    </row>
    <row r="16">
      <c r="B16" s="6" t="inlineStr">
        <is>
          <t xml:space="preserve">  TPD Spend</t>
        </is>
      </c>
      <c r="F16" s="42">
        <f>Inputs!F45*F8*F9*TPDPct</f>
        <v/>
      </c>
      <c r="G16" s="42">
        <f>Inputs!G45*G8*G9*TPDPct</f>
        <v/>
      </c>
      <c r="H16" s="42">
        <f>Inputs!H45*H8*H9*TPDPct</f>
        <v/>
      </c>
      <c r="I16" s="42">
        <f>Inputs!I45*I8*I9*TPDPct</f>
        <v/>
      </c>
      <c r="J16" s="42">
        <f>Inputs!J45*J8*J9*TPDPct</f>
        <v/>
      </c>
      <c r="K16" s="42">
        <f>Inputs!K45*K8*K9*TPDPct</f>
        <v/>
      </c>
      <c r="L16" s="42">
        <f>Inputs!L45*L8*L9*TPDPct</f>
        <v/>
      </c>
      <c r="M16" s="42">
        <f>Inputs!M45*M8*M9*TPDPct</f>
        <v/>
      </c>
      <c r="N16" s="42">
        <f>Inputs!N45*N8*N9*TPDPct</f>
        <v/>
      </c>
      <c r="O16" s="42">
        <f>Inputs!O45*O8*O9*TPDPct</f>
        <v/>
      </c>
      <c r="P16" s="42">
        <f>Inputs!P45*P8*P9*TPDPct</f>
        <v/>
      </c>
      <c r="Q16" s="42">
        <f>Inputs!Q45*Q8*Q9*TPDPct</f>
        <v/>
      </c>
      <c r="R16" s="42">
        <f>Inputs!R45*R8*R9*TPDPct</f>
        <v/>
      </c>
      <c r="S16" s="42">
        <f>Inputs!S45*S8*S9*TPDPct</f>
        <v/>
      </c>
      <c r="T16" s="42">
        <f>Inputs!T45*T8*T9*TPDPct</f>
        <v/>
      </c>
      <c r="U16" s="42">
        <f>Inputs!U45*U8*U9*TPDPct</f>
        <v/>
      </c>
      <c r="V16" s="42">
        <f>Inputs!V45*V8*V9*TPDPct</f>
        <v/>
      </c>
      <c r="W16" s="42">
        <f>Inputs!W45*W8*W9*TPDPct</f>
        <v/>
      </c>
      <c r="X16" s="42">
        <f>Inputs!X45*X8*X9*TPDPct</f>
        <v/>
      </c>
      <c r="Y16" s="42">
        <f>Inputs!Y45*Y8*Y9*TPDPct</f>
        <v/>
      </c>
      <c r="Z16" s="42">
        <f>Inputs!Z45*Z8*Z9*TPDPct</f>
        <v/>
      </c>
      <c r="AA16" s="42">
        <f>Inputs!AA45*AA8*AA9*TPDPct</f>
        <v/>
      </c>
      <c r="AB16" s="42">
        <f>Inputs!AB45*AB8*AB9*TPDPct</f>
        <v/>
      </c>
      <c r="AC16" s="42">
        <f>Inputs!AC45*AC8*AC9*TPDPct</f>
        <v/>
      </c>
      <c r="AD16" s="42">
        <f>Inputs!AD45*AD8*AD9*TPDPct</f>
        <v/>
      </c>
      <c r="AE16" s="42">
        <f>Inputs!AE45*AE8*AE9*TPDPct</f>
        <v/>
      </c>
      <c r="AF16" s="41">
        <f>SUM(F16:AE16)</f>
        <v/>
      </c>
    </row>
    <row r="17">
      <c r="B17" s="6" t="inlineStr">
        <is>
          <t xml:space="preserve">  Markdown Spend</t>
        </is>
      </c>
      <c r="F17" s="42">
        <f>Inputs!F46*F8*F9*MdPct</f>
        <v/>
      </c>
      <c r="G17" s="42">
        <f>Inputs!G46*G8*G9*MdPct</f>
        <v/>
      </c>
      <c r="H17" s="42">
        <f>Inputs!H46*H8*H9*MdPct</f>
        <v/>
      </c>
      <c r="I17" s="42">
        <f>Inputs!I46*I8*I9*MdPct</f>
        <v/>
      </c>
      <c r="J17" s="42">
        <f>Inputs!J46*J8*J9*MdPct</f>
        <v/>
      </c>
      <c r="K17" s="42">
        <f>Inputs!K46*K8*K9*MdPct</f>
        <v/>
      </c>
      <c r="L17" s="42">
        <f>Inputs!L46*L8*L9*MdPct</f>
        <v/>
      </c>
      <c r="M17" s="42">
        <f>Inputs!M46*M8*M9*MdPct</f>
        <v/>
      </c>
      <c r="N17" s="42">
        <f>Inputs!N46*N8*N9*MdPct</f>
        <v/>
      </c>
      <c r="O17" s="42">
        <f>Inputs!O46*O8*O9*MdPct</f>
        <v/>
      </c>
      <c r="P17" s="42">
        <f>Inputs!P46*P8*P9*MdPct</f>
        <v/>
      </c>
      <c r="Q17" s="42">
        <f>Inputs!Q46*Q8*Q9*MdPct</f>
        <v/>
      </c>
      <c r="R17" s="42">
        <f>Inputs!R46*R8*R9*MdPct</f>
        <v/>
      </c>
      <c r="S17" s="42">
        <f>Inputs!S46*S8*S9*MdPct</f>
        <v/>
      </c>
      <c r="T17" s="42">
        <f>Inputs!T46*T8*T9*MdPct</f>
        <v/>
      </c>
      <c r="U17" s="42">
        <f>Inputs!U46*U8*U9*MdPct</f>
        <v/>
      </c>
      <c r="V17" s="42">
        <f>Inputs!V46*V8*V9*MdPct</f>
        <v/>
      </c>
      <c r="W17" s="42">
        <f>Inputs!W46*W8*W9*MdPct</f>
        <v/>
      </c>
      <c r="X17" s="42">
        <f>Inputs!X46*X8*X9*MdPct</f>
        <v/>
      </c>
      <c r="Y17" s="42">
        <f>Inputs!Y46*Y8*Y9*MdPct</f>
        <v/>
      </c>
      <c r="Z17" s="42">
        <f>Inputs!Z46*Z8*Z9*MdPct</f>
        <v/>
      </c>
      <c r="AA17" s="42">
        <f>Inputs!AA46*AA8*AA9*MdPct</f>
        <v/>
      </c>
      <c r="AB17" s="42">
        <f>Inputs!AB46*AB8*AB9*MdPct</f>
        <v/>
      </c>
      <c r="AC17" s="42">
        <f>Inputs!AC46*AC8*AC9*MdPct</f>
        <v/>
      </c>
      <c r="AD17" s="42">
        <f>Inputs!AD46*AD8*AD9*MdPct</f>
        <v/>
      </c>
      <c r="AE17" s="42">
        <f>Inputs!AE46*AE8*AE9*MdPct</f>
        <v/>
      </c>
      <c r="AF17" s="41">
        <f>SUM(F17:AE17)</f>
        <v/>
      </c>
    </row>
    <row r="18">
      <c r="B18" s="6" t="inlineStr">
        <is>
          <t xml:space="preserve">  Advertising Spend</t>
        </is>
      </c>
      <c r="F18" s="42">
        <f>Inputs!F47*AdvertCost</f>
        <v/>
      </c>
      <c r="G18" s="42">
        <f>Inputs!G47*AdvertCost</f>
        <v/>
      </c>
      <c r="H18" s="42">
        <f>Inputs!H47*AdvertCost</f>
        <v/>
      </c>
      <c r="I18" s="42">
        <f>Inputs!I47*AdvertCost</f>
        <v/>
      </c>
      <c r="J18" s="42">
        <f>Inputs!J47*AdvertCost</f>
        <v/>
      </c>
      <c r="K18" s="42">
        <f>Inputs!K47*AdvertCost</f>
        <v/>
      </c>
      <c r="L18" s="42">
        <f>Inputs!L47*AdvertCost</f>
        <v/>
      </c>
      <c r="M18" s="42">
        <f>Inputs!M47*AdvertCost</f>
        <v/>
      </c>
      <c r="N18" s="42">
        <f>Inputs!N47*AdvertCost</f>
        <v/>
      </c>
      <c r="O18" s="42">
        <f>Inputs!O47*AdvertCost</f>
        <v/>
      </c>
      <c r="P18" s="42">
        <f>Inputs!P47*AdvertCost</f>
        <v/>
      </c>
      <c r="Q18" s="42">
        <f>Inputs!Q47*AdvertCost</f>
        <v/>
      </c>
      <c r="R18" s="42">
        <f>Inputs!R47*AdvertCost</f>
        <v/>
      </c>
      <c r="S18" s="42">
        <f>Inputs!S47*AdvertCost</f>
        <v/>
      </c>
      <c r="T18" s="42">
        <f>Inputs!T47*AdvertCost</f>
        <v/>
      </c>
      <c r="U18" s="42">
        <f>Inputs!U47*AdvertCost</f>
        <v/>
      </c>
      <c r="V18" s="42">
        <f>Inputs!V47*AdvertCost</f>
        <v/>
      </c>
      <c r="W18" s="42">
        <f>Inputs!W47*AdvertCost</f>
        <v/>
      </c>
      <c r="X18" s="42">
        <f>Inputs!X47*AdvertCost</f>
        <v/>
      </c>
      <c r="Y18" s="42">
        <f>Inputs!Y47*AdvertCost</f>
        <v/>
      </c>
      <c r="Z18" s="42">
        <f>Inputs!Z47*AdvertCost</f>
        <v/>
      </c>
      <c r="AA18" s="42">
        <f>Inputs!AA47*AdvertCost</f>
        <v/>
      </c>
      <c r="AB18" s="42">
        <f>Inputs!AB47*AdvertCost</f>
        <v/>
      </c>
      <c r="AC18" s="42">
        <f>Inputs!AC47*AdvertCost</f>
        <v/>
      </c>
      <c r="AD18" s="42">
        <f>Inputs!AD47*AdvertCost</f>
        <v/>
      </c>
      <c r="AE18" s="42">
        <f>Inputs!AE47*AdvertCost</f>
        <v/>
      </c>
      <c r="AF18" s="41">
        <f>SUM(F18:AE18)</f>
        <v/>
      </c>
    </row>
    <row r="19">
      <c r="B19" s="25" t="inlineStr">
        <is>
          <t>Total Promo Spend</t>
        </is>
      </c>
      <c r="F19" s="43">
        <f>SUM(F13:F18)</f>
        <v/>
      </c>
      <c r="G19" s="43">
        <f>SUM(G13:G18)</f>
        <v/>
      </c>
      <c r="H19" s="43">
        <f>SUM(H13:H18)</f>
        <v/>
      </c>
      <c r="I19" s="43">
        <f>SUM(I13:I18)</f>
        <v/>
      </c>
      <c r="J19" s="43">
        <f>SUM(J13:J18)</f>
        <v/>
      </c>
      <c r="K19" s="43">
        <f>SUM(K13:K18)</f>
        <v/>
      </c>
      <c r="L19" s="43">
        <f>SUM(L13:L18)</f>
        <v/>
      </c>
      <c r="M19" s="43">
        <f>SUM(M13:M18)</f>
        <v/>
      </c>
      <c r="N19" s="43">
        <f>SUM(N13:N18)</f>
        <v/>
      </c>
      <c r="O19" s="43">
        <f>SUM(O13:O18)</f>
        <v/>
      </c>
      <c r="P19" s="43">
        <f>SUM(P13:P18)</f>
        <v/>
      </c>
      <c r="Q19" s="43">
        <f>SUM(Q13:Q18)</f>
        <v/>
      </c>
      <c r="R19" s="43">
        <f>SUM(R13:R18)</f>
        <v/>
      </c>
      <c r="S19" s="43">
        <f>SUM(S13:S18)</f>
        <v/>
      </c>
      <c r="T19" s="43">
        <f>SUM(T13:T18)</f>
        <v/>
      </c>
      <c r="U19" s="43">
        <f>SUM(U13:U18)</f>
        <v/>
      </c>
      <c r="V19" s="43">
        <f>SUM(V13:V18)</f>
        <v/>
      </c>
      <c r="W19" s="43">
        <f>SUM(W13:W18)</f>
        <v/>
      </c>
      <c r="X19" s="43">
        <f>SUM(X13:X18)</f>
        <v/>
      </c>
      <c r="Y19" s="43">
        <f>SUM(Y13:Y18)</f>
        <v/>
      </c>
      <c r="Z19" s="43">
        <f>SUM(Z13:Z18)</f>
        <v/>
      </c>
      <c r="AA19" s="43">
        <f>SUM(AA13:AA18)</f>
        <v/>
      </c>
      <c r="AB19" s="43">
        <f>SUM(AB13:AB18)</f>
        <v/>
      </c>
      <c r="AC19" s="43">
        <f>SUM(AC13:AC18)</f>
        <v/>
      </c>
      <c r="AD19" s="43">
        <f>SUM(AD13:AD18)</f>
        <v/>
      </c>
      <c r="AE19" s="43">
        <f>SUM(AE13:AE18)</f>
        <v/>
      </c>
      <c r="AF19" s="43">
        <f>SUM(F19:AE19)</f>
        <v/>
      </c>
    </row>
    <row r="20">
      <c r="B20" s="25" t="inlineStr">
        <is>
          <t>Gross Profit</t>
        </is>
      </c>
      <c r="F20" s="43">
        <f>F10-F12</f>
        <v/>
      </c>
      <c r="G20" s="43">
        <f>G10-G12</f>
        <v/>
      </c>
      <c r="H20" s="43">
        <f>H10-H12</f>
        <v/>
      </c>
      <c r="I20" s="43">
        <f>I10-I12</f>
        <v/>
      </c>
      <c r="J20" s="43">
        <f>J10-J12</f>
        <v/>
      </c>
      <c r="K20" s="43">
        <f>K10-K12</f>
        <v/>
      </c>
      <c r="L20" s="43">
        <f>L10-L12</f>
        <v/>
      </c>
      <c r="M20" s="43">
        <f>M10-M12</f>
        <v/>
      </c>
      <c r="N20" s="43">
        <f>N10-N12</f>
        <v/>
      </c>
      <c r="O20" s="43">
        <f>O10-O12</f>
        <v/>
      </c>
      <c r="P20" s="43">
        <f>P10-P12</f>
        <v/>
      </c>
      <c r="Q20" s="43">
        <f>Q10-Q12</f>
        <v/>
      </c>
      <c r="R20" s="43">
        <f>R10-R12</f>
        <v/>
      </c>
      <c r="S20" s="43">
        <f>S10-S12</f>
        <v/>
      </c>
      <c r="T20" s="43">
        <f>T10-T12</f>
        <v/>
      </c>
      <c r="U20" s="43">
        <f>U10-U12</f>
        <v/>
      </c>
      <c r="V20" s="43">
        <f>V10-V12</f>
        <v/>
      </c>
      <c r="W20" s="43">
        <f>W10-W12</f>
        <v/>
      </c>
      <c r="X20" s="43">
        <f>X10-X12</f>
        <v/>
      </c>
      <c r="Y20" s="43">
        <f>Y10-Y12</f>
        <v/>
      </c>
      <c r="Z20" s="43">
        <f>Z10-Z12</f>
        <v/>
      </c>
      <c r="AA20" s="43">
        <f>AA10-AA12</f>
        <v/>
      </c>
      <c r="AB20" s="43">
        <f>AB10-AB12</f>
        <v/>
      </c>
      <c r="AC20" s="43">
        <f>AC10-AC12</f>
        <v/>
      </c>
      <c r="AD20" s="43">
        <f>AD10-AD12</f>
        <v/>
      </c>
      <c r="AE20" s="43">
        <f>AE10-AE12</f>
        <v/>
      </c>
      <c r="AF20" s="43">
        <f>SUM(F20:AE20)</f>
        <v/>
      </c>
    </row>
    <row r="21">
      <c r="B21" s="25" t="inlineStr">
        <is>
          <t>Net Profit (after promo)</t>
        </is>
      </c>
      <c r="F21" s="44">
        <f>F20-F19</f>
        <v/>
      </c>
      <c r="G21" s="44">
        <f>G20-G19</f>
        <v/>
      </c>
      <c r="H21" s="44">
        <f>H20-H19</f>
        <v/>
      </c>
      <c r="I21" s="44">
        <f>I20-I19</f>
        <v/>
      </c>
      <c r="J21" s="44">
        <f>J20-J19</f>
        <v/>
      </c>
      <c r="K21" s="44">
        <f>K20-K19</f>
        <v/>
      </c>
      <c r="L21" s="44">
        <f>L20-L19</f>
        <v/>
      </c>
      <c r="M21" s="44">
        <f>M20-M19</f>
        <v/>
      </c>
      <c r="N21" s="44">
        <f>N20-N19</f>
        <v/>
      </c>
      <c r="O21" s="44">
        <f>O20-O19</f>
        <v/>
      </c>
      <c r="P21" s="44">
        <f>P20-P19</f>
        <v/>
      </c>
      <c r="Q21" s="44">
        <f>Q20-Q19</f>
        <v/>
      </c>
      <c r="R21" s="44">
        <f>R20-R19</f>
        <v/>
      </c>
      <c r="S21" s="44">
        <f>S20-S19</f>
        <v/>
      </c>
      <c r="T21" s="44">
        <f>T20-T19</f>
        <v/>
      </c>
      <c r="U21" s="44">
        <f>U20-U19</f>
        <v/>
      </c>
      <c r="V21" s="44">
        <f>V20-V19</f>
        <v/>
      </c>
      <c r="W21" s="44">
        <f>W20-W19</f>
        <v/>
      </c>
      <c r="X21" s="44">
        <f>X20-X19</f>
        <v/>
      </c>
      <c r="Y21" s="44">
        <f>Y20-Y19</f>
        <v/>
      </c>
      <c r="Z21" s="44">
        <f>Z20-Z19</f>
        <v/>
      </c>
      <c r="AA21" s="44">
        <f>AA20-AA19</f>
        <v/>
      </c>
      <c r="AB21" s="44">
        <f>AB20-AB19</f>
        <v/>
      </c>
      <c r="AC21" s="44">
        <f>AC20-AC19</f>
        <v/>
      </c>
      <c r="AD21" s="44">
        <f>AD20-AD19</f>
        <v/>
      </c>
      <c r="AE21" s="44">
        <f>AE20-AE19</f>
        <v/>
      </c>
      <c r="AF21" s="44">
        <f>SUM(F21:AE21)</f>
        <v/>
      </c>
    </row>
    <row r="24">
      <c r="B24" s="32" t="inlineStr">
        <is>
          <t>IDEAL — x2 Demo + End Cap (Wks 5-6) + TPD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</row>
    <row r="25">
      <c r="B25" s="33" t="inlineStr">
        <is>
          <t>Week</t>
        </is>
      </c>
      <c r="F25" s="34" t="inlineStr">
        <is>
          <t>W1</t>
        </is>
      </c>
      <c r="G25" s="34" t="inlineStr">
        <is>
          <t>W2</t>
        </is>
      </c>
      <c r="H25" s="34" t="inlineStr">
        <is>
          <t>W3</t>
        </is>
      </c>
      <c r="I25" s="34" t="inlineStr">
        <is>
          <t>W4</t>
        </is>
      </c>
      <c r="J25" s="34" t="inlineStr">
        <is>
          <t>W5</t>
        </is>
      </c>
      <c r="K25" s="34" t="inlineStr">
        <is>
          <t>W6</t>
        </is>
      </c>
      <c r="L25" s="34" t="inlineStr">
        <is>
          <t>W7</t>
        </is>
      </c>
      <c r="M25" s="34" t="inlineStr">
        <is>
          <t>W8</t>
        </is>
      </c>
      <c r="N25" s="34" t="inlineStr">
        <is>
          <t>W9</t>
        </is>
      </c>
      <c r="O25" s="34" t="inlineStr">
        <is>
          <t>W10</t>
        </is>
      </c>
      <c r="P25" s="34" t="inlineStr">
        <is>
          <t>W11</t>
        </is>
      </c>
      <c r="Q25" s="34" t="inlineStr">
        <is>
          <t>W12</t>
        </is>
      </c>
      <c r="R25" s="34" t="inlineStr">
        <is>
          <t>W13</t>
        </is>
      </c>
      <c r="S25" s="34" t="inlineStr">
        <is>
          <t>W14</t>
        </is>
      </c>
      <c r="T25" s="34" t="inlineStr">
        <is>
          <t>W15</t>
        </is>
      </c>
      <c r="U25" s="34" t="inlineStr">
        <is>
          <t>W16</t>
        </is>
      </c>
      <c r="V25" s="34" t="inlineStr">
        <is>
          <t>W17</t>
        </is>
      </c>
      <c r="W25" s="34" t="inlineStr">
        <is>
          <t>W18</t>
        </is>
      </c>
      <c r="X25" s="34" t="inlineStr">
        <is>
          <t>W19</t>
        </is>
      </c>
      <c r="Y25" s="34" t="inlineStr">
        <is>
          <t>W20</t>
        </is>
      </c>
      <c r="Z25" s="34" t="inlineStr">
        <is>
          <t>W21</t>
        </is>
      </c>
      <c r="AA25" s="34" t="inlineStr">
        <is>
          <t>W22</t>
        </is>
      </c>
      <c r="AB25" s="34" t="inlineStr">
        <is>
          <t>W23</t>
        </is>
      </c>
      <c r="AC25" s="34" t="inlineStr">
        <is>
          <t>W24</t>
        </is>
      </c>
      <c r="AD25" s="34" t="inlineStr">
        <is>
          <t>W25</t>
        </is>
      </c>
      <c r="AE25" s="34" t="inlineStr">
        <is>
          <t>W26</t>
        </is>
      </c>
      <c r="AF25" s="34" t="inlineStr">
        <is>
          <t>TOTAL</t>
        </is>
      </c>
    </row>
    <row r="26">
      <c r="B26" s="28" t="inlineStr">
        <is>
          <t>W/c</t>
        </is>
      </c>
      <c r="F26" s="29">
        <f>StartDate+7*0</f>
        <v/>
      </c>
      <c r="G26" s="29">
        <f>StartDate+7*1</f>
        <v/>
      </c>
      <c r="H26" s="29">
        <f>StartDate+7*2</f>
        <v/>
      </c>
      <c r="I26" s="29">
        <f>StartDate+7*3</f>
        <v/>
      </c>
      <c r="J26" s="29">
        <f>StartDate+7*4</f>
        <v/>
      </c>
      <c r="K26" s="29">
        <f>StartDate+7*5</f>
        <v/>
      </c>
      <c r="L26" s="29">
        <f>StartDate+7*6</f>
        <v/>
      </c>
      <c r="M26" s="29">
        <f>StartDate+7*7</f>
        <v/>
      </c>
      <c r="N26" s="29">
        <f>StartDate+7*8</f>
        <v/>
      </c>
      <c r="O26" s="29">
        <f>StartDate+7*9</f>
        <v/>
      </c>
      <c r="P26" s="29">
        <f>StartDate+7*10</f>
        <v/>
      </c>
      <c r="Q26" s="29">
        <f>StartDate+7*11</f>
        <v/>
      </c>
      <c r="R26" s="29">
        <f>StartDate+7*12</f>
        <v/>
      </c>
      <c r="S26" s="29">
        <f>StartDate+7*13</f>
        <v/>
      </c>
      <c r="T26" s="29">
        <f>StartDate+7*14</f>
        <v/>
      </c>
      <c r="U26" s="29">
        <f>StartDate+7*15</f>
        <v/>
      </c>
      <c r="V26" s="29">
        <f>StartDate+7*16</f>
        <v/>
      </c>
      <c r="W26" s="29">
        <f>StartDate+7*17</f>
        <v/>
      </c>
      <c r="X26" s="29">
        <f>StartDate+7*18</f>
        <v/>
      </c>
      <c r="Y26" s="29">
        <f>StartDate+7*19</f>
        <v/>
      </c>
      <c r="Z26" s="29">
        <f>StartDate+7*20</f>
        <v/>
      </c>
      <c r="AA26" s="29">
        <f>StartDate+7*21</f>
        <v/>
      </c>
      <c r="AB26" s="29">
        <f>StartDate+7*22</f>
        <v/>
      </c>
      <c r="AC26" s="29">
        <f>StartDate+7*23</f>
        <v/>
      </c>
      <c r="AD26" s="29">
        <f>StartDate+7*24</f>
        <v/>
      </c>
      <c r="AE26" s="29">
        <f>StartDate+7*25</f>
        <v/>
      </c>
      <c r="AF26" s="35" t="inlineStr"/>
    </row>
    <row r="27">
      <c r="B27" s="6" t="inlineStr">
        <is>
          <t>POS Units</t>
        </is>
      </c>
      <c r="F27" s="36">
        <f>ROUND(BaseUnits*Inputs!F60,0)</f>
        <v/>
      </c>
      <c r="G27" s="36">
        <f>ROUND(BaseUnits*Inputs!G60,0)</f>
        <v/>
      </c>
      <c r="H27" s="36">
        <f>ROUND(BaseUnits*Inputs!H60,0)</f>
        <v/>
      </c>
      <c r="I27" s="36">
        <f>ROUND(BaseUnits*Inputs!I60,0)</f>
        <v/>
      </c>
      <c r="J27" s="36">
        <f>ROUND(BaseUnits*Inputs!J60,0)</f>
        <v/>
      </c>
      <c r="K27" s="36">
        <f>ROUND(BaseUnits*Inputs!K60,0)</f>
        <v/>
      </c>
      <c r="L27" s="36">
        <f>ROUND(BaseUnits*Inputs!L60,0)</f>
        <v/>
      </c>
      <c r="M27" s="36">
        <f>ROUND(BaseUnits*Inputs!M60,0)</f>
        <v/>
      </c>
      <c r="N27" s="36">
        <f>ROUND(BaseUnits*Inputs!N60,0)</f>
        <v/>
      </c>
      <c r="O27" s="36">
        <f>ROUND(BaseUnits*Inputs!O60,0)</f>
        <v/>
      </c>
      <c r="P27" s="36">
        <f>ROUND(BaseUnits*Inputs!P60,0)</f>
        <v/>
      </c>
      <c r="Q27" s="36">
        <f>ROUND(BaseUnits*Inputs!Q60,0)</f>
        <v/>
      </c>
      <c r="R27" s="36">
        <f>ROUND(BaseUnits*Inputs!R60,0)</f>
        <v/>
      </c>
      <c r="S27" s="36">
        <f>ROUND(BaseUnits*Inputs!S60,0)</f>
        <v/>
      </c>
      <c r="T27" s="36">
        <f>ROUND(BaseUnits*Inputs!T60,0)</f>
        <v/>
      </c>
      <c r="U27" s="36">
        <f>ROUND(BaseUnits*Inputs!U60,0)</f>
        <v/>
      </c>
      <c r="V27" s="36">
        <f>ROUND(BaseUnits*Inputs!V60,0)</f>
        <v/>
      </c>
      <c r="W27" s="36">
        <f>ROUND(BaseUnits*Inputs!W60,0)</f>
        <v/>
      </c>
      <c r="X27" s="36">
        <f>ROUND(BaseUnits*Inputs!X60,0)</f>
        <v/>
      </c>
      <c r="Y27" s="36">
        <f>ROUND(BaseUnits*Inputs!Y60,0)</f>
        <v/>
      </c>
      <c r="Z27" s="36">
        <f>ROUND(BaseUnits*Inputs!Z60,0)</f>
        <v/>
      </c>
      <c r="AA27" s="36">
        <f>ROUND(BaseUnits*Inputs!AA60,0)</f>
        <v/>
      </c>
      <c r="AB27" s="36">
        <f>ROUND(BaseUnits*Inputs!AB60,0)</f>
        <v/>
      </c>
      <c r="AC27" s="36">
        <f>ROUND(BaseUnits*Inputs!AC60,0)</f>
        <v/>
      </c>
      <c r="AD27" s="36">
        <f>ROUND(BaseUnits*Inputs!AD60,0)</f>
        <v/>
      </c>
      <c r="AE27" s="36">
        <f>ROUND(BaseUnits*Inputs!AE60,0)</f>
        <v/>
      </c>
      <c r="AF27" s="37">
        <f>SUM(F27:AE27)</f>
        <v/>
      </c>
    </row>
    <row r="28">
      <c r="B28" s="6" t="inlineStr">
        <is>
          <t xml:space="preserve">  Selling Price</t>
        </is>
      </c>
      <c r="F28" s="38">
        <f>Price</f>
        <v/>
      </c>
      <c r="G28" s="38">
        <f>Price</f>
        <v/>
      </c>
      <c r="H28" s="38">
        <f>Price</f>
        <v/>
      </c>
      <c r="I28" s="38">
        <f>Price</f>
        <v/>
      </c>
      <c r="J28" s="38">
        <f>Price</f>
        <v/>
      </c>
      <c r="K28" s="38">
        <f>Price</f>
        <v/>
      </c>
      <c r="L28" s="38">
        <f>Price</f>
        <v/>
      </c>
      <c r="M28" s="38">
        <f>Price</f>
        <v/>
      </c>
      <c r="N28" s="38">
        <f>Price</f>
        <v/>
      </c>
      <c r="O28" s="38">
        <f>Price</f>
        <v/>
      </c>
      <c r="P28" s="38">
        <f>Price</f>
        <v/>
      </c>
      <c r="Q28" s="38">
        <f>Price</f>
        <v/>
      </c>
      <c r="R28" s="38">
        <f>Price</f>
        <v/>
      </c>
      <c r="S28" s="38">
        <f>Price</f>
        <v/>
      </c>
      <c r="T28" s="38">
        <f>Price</f>
        <v/>
      </c>
      <c r="U28" s="38">
        <f>Price</f>
        <v/>
      </c>
      <c r="V28" s="38">
        <f>Price</f>
        <v/>
      </c>
      <c r="W28" s="38">
        <f>Price</f>
        <v/>
      </c>
      <c r="X28" s="38">
        <f>Price</f>
        <v/>
      </c>
      <c r="Y28" s="38">
        <f>Price</f>
        <v/>
      </c>
      <c r="Z28" s="38">
        <f>Price</f>
        <v/>
      </c>
      <c r="AA28" s="38">
        <f>Price</f>
        <v/>
      </c>
      <c r="AB28" s="38">
        <f>Price</f>
        <v/>
      </c>
      <c r="AC28" s="38">
        <f>Price</f>
        <v/>
      </c>
      <c r="AD28" s="38">
        <f>Price</f>
        <v/>
      </c>
      <c r="AE28" s="38">
        <f>Price</f>
        <v/>
      </c>
      <c r="AF28" s="39">
        <f>Price</f>
        <v/>
      </c>
    </row>
    <row r="29">
      <c r="B29" s="25" t="inlineStr">
        <is>
          <t>Revenue</t>
        </is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  <c r="M29" s="40">
        <f>M27*M28</f>
        <v/>
      </c>
      <c r="N29" s="40">
        <f>N27*N28</f>
        <v/>
      </c>
      <c r="O29" s="40">
        <f>O27*O28</f>
        <v/>
      </c>
      <c r="P29" s="40">
        <f>P27*P28</f>
        <v/>
      </c>
      <c r="Q29" s="40">
        <f>Q27*Q28</f>
        <v/>
      </c>
      <c r="R29" s="40">
        <f>R27*R28</f>
        <v/>
      </c>
      <c r="S29" s="40">
        <f>S27*S28</f>
        <v/>
      </c>
      <c r="T29" s="40">
        <f>T27*T28</f>
        <v/>
      </c>
      <c r="U29" s="40">
        <f>U27*U28</f>
        <v/>
      </c>
      <c r="V29" s="40">
        <f>V27*V28</f>
        <v/>
      </c>
      <c r="W29" s="40">
        <f>W27*W28</f>
        <v/>
      </c>
      <c r="X29" s="40">
        <f>X27*X28</f>
        <v/>
      </c>
      <c r="Y29" s="40">
        <f>Y27*Y28</f>
        <v/>
      </c>
      <c r="Z29" s="40">
        <f>Z27*Z28</f>
        <v/>
      </c>
      <c r="AA29" s="40">
        <f>AA27*AA28</f>
        <v/>
      </c>
      <c r="AB29" s="40">
        <f>AB27*AB28</f>
        <v/>
      </c>
      <c r="AC29" s="40">
        <f>AC27*AC28</f>
        <v/>
      </c>
      <c r="AD29" s="40">
        <f>AD27*AD28</f>
        <v/>
      </c>
      <c r="AE29" s="40">
        <f>AE27*AE28</f>
        <v/>
      </c>
      <c r="AF29" s="41">
        <f>SUM(F29:AE29)</f>
        <v/>
      </c>
    </row>
    <row r="30">
      <c r="B30" s="6" t="inlineStr">
        <is>
          <t xml:space="preserve">  Cost Price</t>
        </is>
      </c>
      <c r="F30" s="38">
        <f>Cost</f>
        <v/>
      </c>
      <c r="G30" s="38">
        <f>Cost</f>
        <v/>
      </c>
      <c r="H30" s="38">
        <f>Cost</f>
        <v/>
      </c>
      <c r="I30" s="38">
        <f>Cost</f>
        <v/>
      </c>
      <c r="J30" s="38">
        <f>Cost</f>
        <v/>
      </c>
      <c r="K30" s="38">
        <f>Cost</f>
        <v/>
      </c>
      <c r="L30" s="38">
        <f>Cost</f>
        <v/>
      </c>
      <c r="M30" s="38">
        <f>Cost</f>
        <v/>
      </c>
      <c r="N30" s="38">
        <f>Cost</f>
        <v/>
      </c>
      <c r="O30" s="38">
        <f>Cost</f>
        <v/>
      </c>
      <c r="P30" s="38">
        <f>Cost</f>
        <v/>
      </c>
      <c r="Q30" s="38">
        <f>Cost</f>
        <v/>
      </c>
      <c r="R30" s="38">
        <f>Cost</f>
        <v/>
      </c>
      <c r="S30" s="38">
        <f>Cost</f>
        <v/>
      </c>
      <c r="T30" s="38">
        <f>Cost</f>
        <v/>
      </c>
      <c r="U30" s="38">
        <f>Cost</f>
        <v/>
      </c>
      <c r="V30" s="38">
        <f>Cost</f>
        <v/>
      </c>
      <c r="W30" s="38">
        <f>Cost</f>
        <v/>
      </c>
      <c r="X30" s="38">
        <f>Cost</f>
        <v/>
      </c>
      <c r="Y30" s="38">
        <f>Cost</f>
        <v/>
      </c>
      <c r="Z30" s="38">
        <f>Cost</f>
        <v/>
      </c>
      <c r="AA30" s="38">
        <f>Cost</f>
        <v/>
      </c>
      <c r="AB30" s="38">
        <f>Cost</f>
        <v/>
      </c>
      <c r="AC30" s="38">
        <f>Cost</f>
        <v/>
      </c>
      <c r="AD30" s="38">
        <f>Cost</f>
        <v/>
      </c>
      <c r="AE30" s="38">
        <f>Cost</f>
        <v/>
      </c>
      <c r="AF30" s="39">
        <f>Cost</f>
        <v/>
      </c>
    </row>
    <row r="31">
      <c r="B31" s="25" t="inlineStr">
        <is>
          <t>Raw COGS</t>
        </is>
      </c>
      <c r="F31" s="40">
        <f>F27*F30</f>
        <v/>
      </c>
      <c r="G31" s="40">
        <f>G27*G30</f>
        <v/>
      </c>
      <c r="H31" s="40">
        <f>H27*H30</f>
        <v/>
      </c>
      <c r="I31" s="40">
        <f>I27*I30</f>
        <v/>
      </c>
      <c r="J31" s="40">
        <f>J27*J30</f>
        <v/>
      </c>
      <c r="K31" s="40">
        <f>K27*K30</f>
        <v/>
      </c>
      <c r="L31" s="40">
        <f>L27*L30</f>
        <v/>
      </c>
      <c r="M31" s="40">
        <f>M27*M30</f>
        <v/>
      </c>
      <c r="N31" s="40">
        <f>N27*N30</f>
        <v/>
      </c>
      <c r="O31" s="40">
        <f>O27*O30</f>
        <v/>
      </c>
      <c r="P31" s="40">
        <f>P27*P30</f>
        <v/>
      </c>
      <c r="Q31" s="40">
        <f>Q27*Q30</f>
        <v/>
      </c>
      <c r="R31" s="40">
        <f>R27*R30</f>
        <v/>
      </c>
      <c r="S31" s="40">
        <f>S27*S30</f>
        <v/>
      </c>
      <c r="T31" s="40">
        <f>T27*T30</f>
        <v/>
      </c>
      <c r="U31" s="40">
        <f>U27*U30</f>
        <v/>
      </c>
      <c r="V31" s="40">
        <f>V27*V30</f>
        <v/>
      </c>
      <c r="W31" s="40">
        <f>W27*W30</f>
        <v/>
      </c>
      <c r="X31" s="40">
        <f>X27*X30</f>
        <v/>
      </c>
      <c r="Y31" s="40">
        <f>Y27*Y30</f>
        <v/>
      </c>
      <c r="Z31" s="40">
        <f>Z27*Z30</f>
        <v/>
      </c>
      <c r="AA31" s="40">
        <f>AA27*AA30</f>
        <v/>
      </c>
      <c r="AB31" s="40">
        <f>AB27*AB30</f>
        <v/>
      </c>
      <c r="AC31" s="40">
        <f>AC27*AC30</f>
        <v/>
      </c>
      <c r="AD31" s="40">
        <f>AD27*AD30</f>
        <v/>
      </c>
      <c r="AE31" s="40">
        <f>AE27*AE30</f>
        <v/>
      </c>
      <c r="AF31" s="41">
        <f>SUM(F31:AE31)</f>
        <v/>
      </c>
    </row>
    <row r="32">
      <c r="B32" s="6" t="inlineStr">
        <is>
          <t xml:space="preserve">  Demo Spend</t>
        </is>
      </c>
      <c r="F32" s="42">
        <f>Inputs!F54*DemoCost</f>
        <v/>
      </c>
      <c r="G32" s="42">
        <f>Inputs!G54*DemoCost</f>
        <v/>
      </c>
      <c r="H32" s="42">
        <f>Inputs!H54*DemoCost</f>
        <v/>
      </c>
      <c r="I32" s="42">
        <f>Inputs!I54*DemoCost</f>
        <v/>
      </c>
      <c r="J32" s="42">
        <f>Inputs!J54*DemoCost</f>
        <v/>
      </c>
      <c r="K32" s="42">
        <f>Inputs!K54*DemoCost</f>
        <v/>
      </c>
      <c r="L32" s="42">
        <f>Inputs!L54*DemoCost</f>
        <v/>
      </c>
      <c r="M32" s="42">
        <f>Inputs!M54*DemoCost</f>
        <v/>
      </c>
      <c r="N32" s="42">
        <f>Inputs!N54*DemoCost</f>
        <v/>
      </c>
      <c r="O32" s="42">
        <f>Inputs!O54*DemoCost</f>
        <v/>
      </c>
      <c r="P32" s="42">
        <f>Inputs!P54*DemoCost</f>
        <v/>
      </c>
      <c r="Q32" s="42">
        <f>Inputs!Q54*DemoCost</f>
        <v/>
      </c>
      <c r="R32" s="42">
        <f>Inputs!R54*DemoCost</f>
        <v/>
      </c>
      <c r="S32" s="42">
        <f>Inputs!S54*DemoCost</f>
        <v/>
      </c>
      <c r="T32" s="42">
        <f>Inputs!T54*DemoCost</f>
        <v/>
      </c>
      <c r="U32" s="42">
        <f>Inputs!U54*DemoCost</f>
        <v/>
      </c>
      <c r="V32" s="42">
        <f>Inputs!V54*DemoCost</f>
        <v/>
      </c>
      <c r="W32" s="42">
        <f>Inputs!W54*DemoCost</f>
        <v/>
      </c>
      <c r="X32" s="42">
        <f>Inputs!X54*DemoCost</f>
        <v/>
      </c>
      <c r="Y32" s="42">
        <f>Inputs!Y54*DemoCost</f>
        <v/>
      </c>
      <c r="Z32" s="42">
        <f>Inputs!Z54*DemoCost</f>
        <v/>
      </c>
      <c r="AA32" s="42">
        <f>Inputs!AA54*DemoCost</f>
        <v/>
      </c>
      <c r="AB32" s="42">
        <f>Inputs!AB54*DemoCost</f>
        <v/>
      </c>
      <c r="AC32" s="42">
        <f>Inputs!AC54*DemoCost</f>
        <v/>
      </c>
      <c r="AD32" s="42">
        <f>Inputs!AD54*DemoCost</f>
        <v/>
      </c>
      <c r="AE32" s="42">
        <f>Inputs!AE54*DemoCost</f>
        <v/>
      </c>
      <c r="AF32" s="41">
        <f>SUM(F32:AE32)</f>
        <v/>
      </c>
    </row>
    <row r="33">
      <c r="B33" s="6" t="inlineStr">
        <is>
          <t xml:space="preserve">  End Cap Spend</t>
        </is>
      </c>
      <c r="F33" s="42">
        <f>Inputs!F55*EndCapCost</f>
        <v/>
      </c>
      <c r="G33" s="42">
        <f>Inputs!G55*EndCapCost</f>
        <v/>
      </c>
      <c r="H33" s="42">
        <f>Inputs!H55*EndCapCost</f>
        <v/>
      </c>
      <c r="I33" s="42">
        <f>Inputs!I55*EndCapCost</f>
        <v/>
      </c>
      <c r="J33" s="42">
        <f>Inputs!J55*EndCapCost</f>
        <v/>
      </c>
      <c r="K33" s="42">
        <f>Inputs!K55*EndCapCost</f>
        <v/>
      </c>
      <c r="L33" s="42">
        <f>Inputs!L55*EndCapCost</f>
        <v/>
      </c>
      <c r="M33" s="42">
        <f>Inputs!M55*EndCapCost</f>
        <v/>
      </c>
      <c r="N33" s="42">
        <f>Inputs!N55*EndCapCost</f>
        <v/>
      </c>
      <c r="O33" s="42">
        <f>Inputs!O55*EndCapCost</f>
        <v/>
      </c>
      <c r="P33" s="42">
        <f>Inputs!P55*EndCapCost</f>
        <v/>
      </c>
      <c r="Q33" s="42">
        <f>Inputs!Q55*EndCapCost</f>
        <v/>
      </c>
      <c r="R33" s="42">
        <f>Inputs!R55*EndCapCost</f>
        <v/>
      </c>
      <c r="S33" s="42">
        <f>Inputs!S55*EndCapCost</f>
        <v/>
      </c>
      <c r="T33" s="42">
        <f>Inputs!T55*EndCapCost</f>
        <v/>
      </c>
      <c r="U33" s="42">
        <f>Inputs!U55*EndCapCost</f>
        <v/>
      </c>
      <c r="V33" s="42">
        <f>Inputs!V55*EndCapCost</f>
        <v/>
      </c>
      <c r="W33" s="42">
        <f>Inputs!W55*EndCapCost</f>
        <v/>
      </c>
      <c r="X33" s="42">
        <f>Inputs!X55*EndCapCost</f>
        <v/>
      </c>
      <c r="Y33" s="42">
        <f>Inputs!Y55*EndCapCost</f>
        <v/>
      </c>
      <c r="Z33" s="42">
        <f>Inputs!Z55*EndCapCost</f>
        <v/>
      </c>
      <c r="AA33" s="42">
        <f>Inputs!AA55*EndCapCost</f>
        <v/>
      </c>
      <c r="AB33" s="42">
        <f>Inputs!AB55*EndCapCost</f>
        <v/>
      </c>
      <c r="AC33" s="42">
        <f>Inputs!AC55*EndCapCost</f>
        <v/>
      </c>
      <c r="AD33" s="42">
        <f>Inputs!AD55*EndCapCost</f>
        <v/>
      </c>
      <c r="AE33" s="42">
        <f>Inputs!AE55*EndCapCost</f>
        <v/>
      </c>
      <c r="AF33" s="41">
        <f>SUM(F33:AE33)</f>
        <v/>
      </c>
    </row>
    <row r="34">
      <c r="B34" s="6" t="inlineStr">
        <is>
          <t xml:space="preserve">  Fence Spend</t>
        </is>
      </c>
      <c r="F34" s="42">
        <f>Inputs!F56*FenceCost</f>
        <v/>
      </c>
      <c r="G34" s="42">
        <f>Inputs!G56*FenceCost</f>
        <v/>
      </c>
      <c r="H34" s="42">
        <f>Inputs!H56*FenceCost</f>
        <v/>
      </c>
      <c r="I34" s="42">
        <f>Inputs!I56*FenceCost</f>
        <v/>
      </c>
      <c r="J34" s="42">
        <f>Inputs!J56*FenceCost</f>
        <v/>
      </c>
      <c r="K34" s="42">
        <f>Inputs!K56*FenceCost</f>
        <v/>
      </c>
      <c r="L34" s="42">
        <f>Inputs!L56*FenceCost</f>
        <v/>
      </c>
      <c r="M34" s="42">
        <f>Inputs!M56*FenceCost</f>
        <v/>
      </c>
      <c r="N34" s="42">
        <f>Inputs!N56*FenceCost</f>
        <v/>
      </c>
      <c r="O34" s="42">
        <f>Inputs!O56*FenceCost</f>
        <v/>
      </c>
      <c r="P34" s="42">
        <f>Inputs!P56*FenceCost</f>
        <v/>
      </c>
      <c r="Q34" s="42">
        <f>Inputs!Q56*FenceCost</f>
        <v/>
      </c>
      <c r="R34" s="42">
        <f>Inputs!R56*FenceCost</f>
        <v/>
      </c>
      <c r="S34" s="42">
        <f>Inputs!S56*FenceCost</f>
        <v/>
      </c>
      <c r="T34" s="42">
        <f>Inputs!T56*FenceCost</f>
        <v/>
      </c>
      <c r="U34" s="42">
        <f>Inputs!U56*FenceCost</f>
        <v/>
      </c>
      <c r="V34" s="42">
        <f>Inputs!V56*FenceCost</f>
        <v/>
      </c>
      <c r="W34" s="42">
        <f>Inputs!W56*FenceCost</f>
        <v/>
      </c>
      <c r="X34" s="42">
        <f>Inputs!X56*FenceCost</f>
        <v/>
      </c>
      <c r="Y34" s="42">
        <f>Inputs!Y56*FenceCost</f>
        <v/>
      </c>
      <c r="Z34" s="42">
        <f>Inputs!Z56*FenceCost</f>
        <v/>
      </c>
      <c r="AA34" s="42">
        <f>Inputs!AA56*FenceCost</f>
        <v/>
      </c>
      <c r="AB34" s="42">
        <f>Inputs!AB56*FenceCost</f>
        <v/>
      </c>
      <c r="AC34" s="42">
        <f>Inputs!AC56*FenceCost</f>
        <v/>
      </c>
      <c r="AD34" s="42">
        <f>Inputs!AD56*FenceCost</f>
        <v/>
      </c>
      <c r="AE34" s="42">
        <f>Inputs!AE56*FenceCost</f>
        <v/>
      </c>
      <c r="AF34" s="41">
        <f>SUM(F34:AE34)</f>
        <v/>
      </c>
    </row>
    <row r="35">
      <c r="B35" s="6" t="inlineStr">
        <is>
          <t xml:space="preserve">  TPD Spend</t>
        </is>
      </c>
      <c r="F35" s="42">
        <f>Inputs!F57*F27*F28*TPDPct</f>
        <v/>
      </c>
      <c r="G35" s="42">
        <f>Inputs!G57*G27*G28*TPDPct</f>
        <v/>
      </c>
      <c r="H35" s="42">
        <f>Inputs!H57*H27*H28*TPDPct</f>
        <v/>
      </c>
      <c r="I35" s="42">
        <f>Inputs!I57*I27*I28*TPDPct</f>
        <v/>
      </c>
      <c r="J35" s="42">
        <f>Inputs!J57*J27*J28*TPDPct</f>
        <v/>
      </c>
      <c r="K35" s="42">
        <f>Inputs!K57*K27*K28*TPDPct</f>
        <v/>
      </c>
      <c r="L35" s="42">
        <f>Inputs!L57*L27*L28*TPDPct</f>
        <v/>
      </c>
      <c r="M35" s="42">
        <f>Inputs!M57*M27*M28*TPDPct</f>
        <v/>
      </c>
      <c r="N35" s="42">
        <f>Inputs!N57*N27*N28*TPDPct</f>
        <v/>
      </c>
      <c r="O35" s="42">
        <f>Inputs!O57*O27*O28*TPDPct</f>
        <v/>
      </c>
      <c r="P35" s="42">
        <f>Inputs!P57*P27*P28*TPDPct</f>
        <v/>
      </c>
      <c r="Q35" s="42">
        <f>Inputs!Q57*Q27*Q28*TPDPct</f>
        <v/>
      </c>
      <c r="R35" s="42">
        <f>Inputs!R57*R27*R28*TPDPct</f>
        <v/>
      </c>
      <c r="S35" s="42">
        <f>Inputs!S57*S27*S28*TPDPct</f>
        <v/>
      </c>
      <c r="T35" s="42">
        <f>Inputs!T57*T27*T28*TPDPct</f>
        <v/>
      </c>
      <c r="U35" s="42">
        <f>Inputs!U57*U27*U28*TPDPct</f>
        <v/>
      </c>
      <c r="V35" s="42">
        <f>Inputs!V57*V27*V28*TPDPct</f>
        <v/>
      </c>
      <c r="W35" s="42">
        <f>Inputs!W57*W27*W28*TPDPct</f>
        <v/>
      </c>
      <c r="X35" s="42">
        <f>Inputs!X57*X27*X28*TPDPct</f>
        <v/>
      </c>
      <c r="Y35" s="42">
        <f>Inputs!Y57*Y27*Y28*TPDPct</f>
        <v/>
      </c>
      <c r="Z35" s="42">
        <f>Inputs!Z57*Z27*Z28*TPDPct</f>
        <v/>
      </c>
      <c r="AA35" s="42">
        <f>Inputs!AA57*AA27*AA28*TPDPct</f>
        <v/>
      </c>
      <c r="AB35" s="42">
        <f>Inputs!AB57*AB27*AB28*TPDPct</f>
        <v/>
      </c>
      <c r="AC35" s="42">
        <f>Inputs!AC57*AC27*AC28*TPDPct</f>
        <v/>
      </c>
      <c r="AD35" s="42">
        <f>Inputs!AD57*AD27*AD28*TPDPct</f>
        <v/>
      </c>
      <c r="AE35" s="42">
        <f>Inputs!AE57*AE27*AE28*TPDPct</f>
        <v/>
      </c>
      <c r="AF35" s="41">
        <f>SUM(F35:AE35)</f>
        <v/>
      </c>
    </row>
    <row r="36">
      <c r="B36" s="6" t="inlineStr">
        <is>
          <t xml:space="preserve">  Markdown Spend</t>
        </is>
      </c>
      <c r="F36" s="42">
        <f>Inputs!F58*F27*F28*MdPct</f>
        <v/>
      </c>
      <c r="G36" s="42">
        <f>Inputs!G58*G27*G28*MdPct</f>
        <v/>
      </c>
      <c r="H36" s="42">
        <f>Inputs!H58*H27*H28*MdPct</f>
        <v/>
      </c>
      <c r="I36" s="42">
        <f>Inputs!I58*I27*I28*MdPct</f>
        <v/>
      </c>
      <c r="J36" s="42">
        <f>Inputs!J58*J27*J28*MdPct</f>
        <v/>
      </c>
      <c r="K36" s="42">
        <f>Inputs!K58*K27*K28*MdPct</f>
        <v/>
      </c>
      <c r="L36" s="42">
        <f>Inputs!L58*L27*L28*MdPct</f>
        <v/>
      </c>
      <c r="M36" s="42">
        <f>Inputs!M58*M27*M28*MdPct</f>
        <v/>
      </c>
      <c r="N36" s="42">
        <f>Inputs!N58*N27*N28*MdPct</f>
        <v/>
      </c>
      <c r="O36" s="42">
        <f>Inputs!O58*O27*O28*MdPct</f>
        <v/>
      </c>
      <c r="P36" s="42">
        <f>Inputs!P58*P27*P28*MdPct</f>
        <v/>
      </c>
      <c r="Q36" s="42">
        <f>Inputs!Q58*Q27*Q28*MdPct</f>
        <v/>
      </c>
      <c r="R36" s="42">
        <f>Inputs!R58*R27*R28*MdPct</f>
        <v/>
      </c>
      <c r="S36" s="42">
        <f>Inputs!S58*S27*S28*MdPct</f>
        <v/>
      </c>
      <c r="T36" s="42">
        <f>Inputs!T58*T27*T28*MdPct</f>
        <v/>
      </c>
      <c r="U36" s="42">
        <f>Inputs!U58*U27*U28*MdPct</f>
        <v/>
      </c>
      <c r="V36" s="42">
        <f>Inputs!V58*V27*V28*MdPct</f>
        <v/>
      </c>
      <c r="W36" s="42">
        <f>Inputs!W58*W27*W28*MdPct</f>
        <v/>
      </c>
      <c r="X36" s="42">
        <f>Inputs!X58*X27*X28*MdPct</f>
        <v/>
      </c>
      <c r="Y36" s="42">
        <f>Inputs!Y58*Y27*Y28*MdPct</f>
        <v/>
      </c>
      <c r="Z36" s="42">
        <f>Inputs!Z58*Z27*Z28*MdPct</f>
        <v/>
      </c>
      <c r="AA36" s="42">
        <f>Inputs!AA58*AA27*AA28*MdPct</f>
        <v/>
      </c>
      <c r="AB36" s="42">
        <f>Inputs!AB58*AB27*AB28*MdPct</f>
        <v/>
      </c>
      <c r="AC36" s="42">
        <f>Inputs!AC58*AC27*AC28*MdPct</f>
        <v/>
      </c>
      <c r="AD36" s="42">
        <f>Inputs!AD58*AD27*AD28*MdPct</f>
        <v/>
      </c>
      <c r="AE36" s="42">
        <f>Inputs!AE58*AE27*AE28*MdPct</f>
        <v/>
      </c>
      <c r="AF36" s="41">
        <f>SUM(F36:AE36)</f>
        <v/>
      </c>
    </row>
    <row r="37">
      <c r="B37" s="6" t="inlineStr">
        <is>
          <t xml:space="preserve">  Advertising Spend</t>
        </is>
      </c>
      <c r="F37" s="42">
        <f>Inputs!F59*AdvertCost</f>
        <v/>
      </c>
      <c r="G37" s="42">
        <f>Inputs!G59*AdvertCost</f>
        <v/>
      </c>
      <c r="H37" s="42">
        <f>Inputs!H59*AdvertCost</f>
        <v/>
      </c>
      <c r="I37" s="42">
        <f>Inputs!I59*AdvertCost</f>
        <v/>
      </c>
      <c r="J37" s="42">
        <f>Inputs!J59*AdvertCost</f>
        <v/>
      </c>
      <c r="K37" s="42">
        <f>Inputs!K59*AdvertCost</f>
        <v/>
      </c>
      <c r="L37" s="42">
        <f>Inputs!L59*AdvertCost</f>
        <v/>
      </c>
      <c r="M37" s="42">
        <f>Inputs!M59*AdvertCost</f>
        <v/>
      </c>
      <c r="N37" s="42">
        <f>Inputs!N59*AdvertCost</f>
        <v/>
      </c>
      <c r="O37" s="42">
        <f>Inputs!O59*AdvertCost</f>
        <v/>
      </c>
      <c r="P37" s="42">
        <f>Inputs!P59*AdvertCost</f>
        <v/>
      </c>
      <c r="Q37" s="42">
        <f>Inputs!Q59*AdvertCost</f>
        <v/>
      </c>
      <c r="R37" s="42">
        <f>Inputs!R59*AdvertCost</f>
        <v/>
      </c>
      <c r="S37" s="42">
        <f>Inputs!S59*AdvertCost</f>
        <v/>
      </c>
      <c r="T37" s="42">
        <f>Inputs!T59*AdvertCost</f>
        <v/>
      </c>
      <c r="U37" s="42">
        <f>Inputs!U59*AdvertCost</f>
        <v/>
      </c>
      <c r="V37" s="42">
        <f>Inputs!V59*AdvertCost</f>
        <v/>
      </c>
      <c r="W37" s="42">
        <f>Inputs!W59*AdvertCost</f>
        <v/>
      </c>
      <c r="X37" s="42">
        <f>Inputs!X59*AdvertCost</f>
        <v/>
      </c>
      <c r="Y37" s="42">
        <f>Inputs!Y59*AdvertCost</f>
        <v/>
      </c>
      <c r="Z37" s="42">
        <f>Inputs!Z59*AdvertCost</f>
        <v/>
      </c>
      <c r="AA37" s="42">
        <f>Inputs!AA59*AdvertCost</f>
        <v/>
      </c>
      <c r="AB37" s="42">
        <f>Inputs!AB59*AdvertCost</f>
        <v/>
      </c>
      <c r="AC37" s="42">
        <f>Inputs!AC59*AdvertCost</f>
        <v/>
      </c>
      <c r="AD37" s="42">
        <f>Inputs!AD59*AdvertCost</f>
        <v/>
      </c>
      <c r="AE37" s="42">
        <f>Inputs!AE59*AdvertCost</f>
        <v/>
      </c>
      <c r="AF37" s="41">
        <f>SUM(F37:AE37)</f>
        <v/>
      </c>
    </row>
    <row r="38">
      <c r="B38" s="25" t="inlineStr">
        <is>
          <t>Total Promo Spend</t>
        </is>
      </c>
      <c r="F38" s="43">
        <f>SUM(F32:F37)</f>
        <v/>
      </c>
      <c r="G38" s="43">
        <f>SUM(G32:G37)</f>
        <v/>
      </c>
      <c r="H38" s="43">
        <f>SUM(H32:H37)</f>
        <v/>
      </c>
      <c r="I38" s="43">
        <f>SUM(I32:I37)</f>
        <v/>
      </c>
      <c r="J38" s="43">
        <f>SUM(J32:J37)</f>
        <v/>
      </c>
      <c r="K38" s="43">
        <f>SUM(K32:K37)</f>
        <v/>
      </c>
      <c r="L38" s="43">
        <f>SUM(L32:L37)</f>
        <v/>
      </c>
      <c r="M38" s="43">
        <f>SUM(M32:M37)</f>
        <v/>
      </c>
      <c r="N38" s="43">
        <f>SUM(N32:N37)</f>
        <v/>
      </c>
      <c r="O38" s="43">
        <f>SUM(O32:O37)</f>
        <v/>
      </c>
      <c r="P38" s="43">
        <f>SUM(P32:P37)</f>
        <v/>
      </c>
      <c r="Q38" s="43">
        <f>SUM(Q32:Q37)</f>
        <v/>
      </c>
      <c r="R38" s="43">
        <f>SUM(R32:R37)</f>
        <v/>
      </c>
      <c r="S38" s="43">
        <f>SUM(S32:S37)</f>
        <v/>
      </c>
      <c r="T38" s="43">
        <f>SUM(T32:T37)</f>
        <v/>
      </c>
      <c r="U38" s="43">
        <f>SUM(U32:U37)</f>
        <v/>
      </c>
      <c r="V38" s="43">
        <f>SUM(V32:V37)</f>
        <v/>
      </c>
      <c r="W38" s="43">
        <f>SUM(W32:W37)</f>
        <v/>
      </c>
      <c r="X38" s="43">
        <f>SUM(X32:X37)</f>
        <v/>
      </c>
      <c r="Y38" s="43">
        <f>SUM(Y32:Y37)</f>
        <v/>
      </c>
      <c r="Z38" s="43">
        <f>SUM(Z32:Z37)</f>
        <v/>
      </c>
      <c r="AA38" s="43">
        <f>SUM(AA32:AA37)</f>
        <v/>
      </c>
      <c r="AB38" s="43">
        <f>SUM(AB32:AB37)</f>
        <v/>
      </c>
      <c r="AC38" s="43">
        <f>SUM(AC32:AC37)</f>
        <v/>
      </c>
      <c r="AD38" s="43">
        <f>SUM(AD32:AD37)</f>
        <v/>
      </c>
      <c r="AE38" s="43">
        <f>SUM(AE32:AE37)</f>
        <v/>
      </c>
      <c r="AF38" s="43">
        <f>SUM(F38:AE38)</f>
        <v/>
      </c>
    </row>
    <row r="39">
      <c r="B39" s="25" t="inlineStr">
        <is>
          <t>Gross Profit</t>
        </is>
      </c>
      <c r="F39" s="43">
        <f>F29-F31</f>
        <v/>
      </c>
      <c r="G39" s="43">
        <f>G29-G31</f>
        <v/>
      </c>
      <c r="H39" s="43">
        <f>H29-H31</f>
        <v/>
      </c>
      <c r="I39" s="43">
        <f>I29-I31</f>
        <v/>
      </c>
      <c r="J39" s="43">
        <f>J29-J31</f>
        <v/>
      </c>
      <c r="K39" s="43">
        <f>K29-K31</f>
        <v/>
      </c>
      <c r="L39" s="43">
        <f>L29-L31</f>
        <v/>
      </c>
      <c r="M39" s="43">
        <f>M29-M31</f>
        <v/>
      </c>
      <c r="N39" s="43">
        <f>N29-N31</f>
        <v/>
      </c>
      <c r="O39" s="43">
        <f>O29-O31</f>
        <v/>
      </c>
      <c r="P39" s="43">
        <f>P29-P31</f>
        <v/>
      </c>
      <c r="Q39" s="43">
        <f>Q29-Q31</f>
        <v/>
      </c>
      <c r="R39" s="43">
        <f>R29-R31</f>
        <v/>
      </c>
      <c r="S39" s="43">
        <f>S29-S31</f>
        <v/>
      </c>
      <c r="T39" s="43">
        <f>T29-T31</f>
        <v/>
      </c>
      <c r="U39" s="43">
        <f>U29-U31</f>
        <v/>
      </c>
      <c r="V39" s="43">
        <f>V29-V31</f>
        <v/>
      </c>
      <c r="W39" s="43">
        <f>W29-W31</f>
        <v/>
      </c>
      <c r="X39" s="43">
        <f>X29-X31</f>
        <v/>
      </c>
      <c r="Y39" s="43">
        <f>Y29-Y31</f>
        <v/>
      </c>
      <c r="Z39" s="43">
        <f>Z29-Z31</f>
        <v/>
      </c>
      <c r="AA39" s="43">
        <f>AA29-AA31</f>
        <v/>
      </c>
      <c r="AB39" s="43">
        <f>AB29-AB31</f>
        <v/>
      </c>
      <c r="AC39" s="43">
        <f>AC29-AC31</f>
        <v/>
      </c>
      <c r="AD39" s="43">
        <f>AD29-AD31</f>
        <v/>
      </c>
      <c r="AE39" s="43">
        <f>AE29-AE31</f>
        <v/>
      </c>
      <c r="AF39" s="43">
        <f>SUM(F39:AE39)</f>
        <v/>
      </c>
    </row>
    <row r="40">
      <c r="B40" s="25" t="inlineStr">
        <is>
          <t>Net Profit (after promo)</t>
        </is>
      </c>
      <c r="F40" s="44">
        <f>F39-F38</f>
        <v/>
      </c>
      <c r="G40" s="44">
        <f>G39-G38</f>
        <v/>
      </c>
      <c r="H40" s="44">
        <f>H39-H38</f>
        <v/>
      </c>
      <c r="I40" s="44">
        <f>I39-I38</f>
        <v/>
      </c>
      <c r="J40" s="44">
        <f>J39-J38</f>
        <v/>
      </c>
      <c r="K40" s="44">
        <f>K39-K38</f>
        <v/>
      </c>
      <c r="L40" s="44">
        <f>L39-L38</f>
        <v/>
      </c>
      <c r="M40" s="44">
        <f>M39-M38</f>
        <v/>
      </c>
      <c r="N40" s="44">
        <f>N39-N38</f>
        <v/>
      </c>
      <c r="O40" s="44">
        <f>O39-O38</f>
        <v/>
      </c>
      <c r="P40" s="44">
        <f>P39-P38</f>
        <v/>
      </c>
      <c r="Q40" s="44">
        <f>Q39-Q38</f>
        <v/>
      </c>
      <c r="R40" s="44">
        <f>R39-R38</f>
        <v/>
      </c>
      <c r="S40" s="44">
        <f>S39-S38</f>
        <v/>
      </c>
      <c r="T40" s="44">
        <f>T39-T38</f>
        <v/>
      </c>
      <c r="U40" s="44">
        <f>U39-U38</f>
        <v/>
      </c>
      <c r="V40" s="44">
        <f>V39-V38</f>
        <v/>
      </c>
      <c r="W40" s="44">
        <f>W39-W38</f>
        <v/>
      </c>
      <c r="X40" s="44">
        <f>X39-X38</f>
        <v/>
      </c>
      <c r="Y40" s="44">
        <f>Y39-Y38</f>
        <v/>
      </c>
      <c r="Z40" s="44">
        <f>Z39-Z38</f>
        <v/>
      </c>
      <c r="AA40" s="44">
        <f>AA39-AA38</f>
        <v/>
      </c>
      <c r="AB40" s="44">
        <f>AB39-AB38</f>
        <v/>
      </c>
      <c r="AC40" s="44">
        <f>AC39-AC38</f>
        <v/>
      </c>
      <c r="AD40" s="44">
        <f>AD39-AD38</f>
        <v/>
      </c>
      <c r="AE40" s="44">
        <f>AE39-AE38</f>
        <v/>
      </c>
      <c r="AF40" s="44">
        <f>SUM(F40:AE40)</f>
        <v/>
      </c>
    </row>
    <row r="43">
      <c r="B43" s="32" t="inlineStr">
        <is>
          <t>WORST — Demo + EndCap + TPD then Markdown (Wks 18-20)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>
      <c r="B44" s="33" t="inlineStr">
        <is>
          <t>Week</t>
        </is>
      </c>
      <c r="F44" s="34" t="inlineStr">
        <is>
          <t>W1</t>
        </is>
      </c>
      <c r="G44" s="34" t="inlineStr">
        <is>
          <t>W2</t>
        </is>
      </c>
      <c r="H44" s="34" t="inlineStr">
        <is>
          <t>W3</t>
        </is>
      </c>
      <c r="I44" s="34" t="inlineStr">
        <is>
          <t>W4</t>
        </is>
      </c>
      <c r="J44" s="34" t="inlineStr">
        <is>
          <t>W5</t>
        </is>
      </c>
      <c r="K44" s="34" t="inlineStr">
        <is>
          <t>W6</t>
        </is>
      </c>
      <c r="L44" s="34" t="inlineStr">
        <is>
          <t>W7</t>
        </is>
      </c>
      <c r="M44" s="34" t="inlineStr">
        <is>
          <t>W8</t>
        </is>
      </c>
      <c r="N44" s="34" t="inlineStr">
        <is>
          <t>W9</t>
        </is>
      </c>
      <c r="O44" s="34" t="inlineStr">
        <is>
          <t>W10</t>
        </is>
      </c>
      <c r="P44" s="34" t="inlineStr">
        <is>
          <t>W11</t>
        </is>
      </c>
      <c r="Q44" s="34" t="inlineStr">
        <is>
          <t>W12</t>
        </is>
      </c>
      <c r="R44" s="34" t="inlineStr">
        <is>
          <t>W13</t>
        </is>
      </c>
      <c r="S44" s="34" t="inlineStr">
        <is>
          <t>W14</t>
        </is>
      </c>
      <c r="T44" s="34" t="inlineStr">
        <is>
          <t>W15</t>
        </is>
      </c>
      <c r="U44" s="34" t="inlineStr">
        <is>
          <t>W16</t>
        </is>
      </c>
      <c r="V44" s="34" t="inlineStr">
        <is>
          <t>W17</t>
        </is>
      </c>
      <c r="W44" s="34" t="inlineStr">
        <is>
          <t>W18</t>
        </is>
      </c>
      <c r="X44" s="34" t="inlineStr">
        <is>
          <t>W19</t>
        </is>
      </c>
      <c r="Y44" s="34" t="inlineStr">
        <is>
          <t>W20</t>
        </is>
      </c>
      <c r="Z44" s="34" t="inlineStr">
        <is>
          <t>W21</t>
        </is>
      </c>
      <c r="AA44" s="34" t="inlineStr">
        <is>
          <t>W22</t>
        </is>
      </c>
      <c r="AB44" s="34" t="inlineStr">
        <is>
          <t>W23</t>
        </is>
      </c>
      <c r="AC44" s="34" t="inlineStr">
        <is>
          <t>W24</t>
        </is>
      </c>
      <c r="AD44" s="34" t="inlineStr">
        <is>
          <t>W25</t>
        </is>
      </c>
      <c r="AE44" s="34" t="inlineStr">
        <is>
          <t>W26</t>
        </is>
      </c>
      <c r="AF44" s="34" t="inlineStr">
        <is>
          <t>TOTAL</t>
        </is>
      </c>
    </row>
    <row r="45">
      <c r="B45" s="28" t="inlineStr">
        <is>
          <t>W/c</t>
        </is>
      </c>
      <c r="F45" s="29">
        <f>StartDate+7*0</f>
        <v/>
      </c>
      <c r="G45" s="29">
        <f>StartDate+7*1</f>
        <v/>
      </c>
      <c r="H45" s="29">
        <f>StartDate+7*2</f>
        <v/>
      </c>
      <c r="I45" s="29">
        <f>StartDate+7*3</f>
        <v/>
      </c>
      <c r="J45" s="29">
        <f>StartDate+7*4</f>
        <v/>
      </c>
      <c r="K45" s="29">
        <f>StartDate+7*5</f>
        <v/>
      </c>
      <c r="L45" s="29">
        <f>StartDate+7*6</f>
        <v/>
      </c>
      <c r="M45" s="29">
        <f>StartDate+7*7</f>
        <v/>
      </c>
      <c r="N45" s="29">
        <f>StartDate+7*8</f>
        <v/>
      </c>
      <c r="O45" s="29">
        <f>StartDate+7*9</f>
        <v/>
      </c>
      <c r="P45" s="29">
        <f>StartDate+7*10</f>
        <v/>
      </c>
      <c r="Q45" s="29">
        <f>StartDate+7*11</f>
        <v/>
      </c>
      <c r="R45" s="29">
        <f>StartDate+7*12</f>
        <v/>
      </c>
      <c r="S45" s="29">
        <f>StartDate+7*13</f>
        <v/>
      </c>
      <c r="T45" s="29">
        <f>StartDate+7*14</f>
        <v/>
      </c>
      <c r="U45" s="29">
        <f>StartDate+7*15</f>
        <v/>
      </c>
      <c r="V45" s="29">
        <f>StartDate+7*16</f>
        <v/>
      </c>
      <c r="W45" s="29">
        <f>StartDate+7*17</f>
        <v/>
      </c>
      <c r="X45" s="29">
        <f>StartDate+7*18</f>
        <v/>
      </c>
      <c r="Y45" s="29">
        <f>StartDate+7*19</f>
        <v/>
      </c>
      <c r="Z45" s="29">
        <f>StartDate+7*20</f>
        <v/>
      </c>
      <c r="AA45" s="29">
        <f>StartDate+7*21</f>
        <v/>
      </c>
      <c r="AB45" s="29">
        <f>StartDate+7*22</f>
        <v/>
      </c>
      <c r="AC45" s="29">
        <f>StartDate+7*23</f>
        <v/>
      </c>
      <c r="AD45" s="29">
        <f>StartDate+7*24</f>
        <v/>
      </c>
      <c r="AE45" s="29">
        <f>StartDate+7*25</f>
        <v/>
      </c>
      <c r="AF45" s="35" t="inlineStr"/>
    </row>
    <row r="46">
      <c r="B46" s="6" t="inlineStr">
        <is>
          <t>POS Units</t>
        </is>
      </c>
      <c r="F46" s="36">
        <f>ROUND(BaseUnits*Inputs!F72,0)</f>
        <v/>
      </c>
      <c r="G46" s="36">
        <f>ROUND(BaseUnits*Inputs!G72,0)</f>
        <v/>
      </c>
      <c r="H46" s="36">
        <f>ROUND(BaseUnits*Inputs!H72,0)</f>
        <v/>
      </c>
      <c r="I46" s="36">
        <f>ROUND(BaseUnits*Inputs!I72,0)</f>
        <v/>
      </c>
      <c r="J46" s="36">
        <f>ROUND(BaseUnits*Inputs!J72,0)</f>
        <v/>
      </c>
      <c r="K46" s="36">
        <f>ROUND(BaseUnits*Inputs!K72,0)</f>
        <v/>
      </c>
      <c r="L46" s="36">
        <f>ROUND(BaseUnits*Inputs!L72,0)</f>
        <v/>
      </c>
      <c r="M46" s="36">
        <f>ROUND(BaseUnits*Inputs!M72,0)</f>
        <v/>
      </c>
      <c r="N46" s="36">
        <f>ROUND(BaseUnits*Inputs!N72,0)</f>
        <v/>
      </c>
      <c r="O46" s="36">
        <f>ROUND(BaseUnits*Inputs!O72,0)</f>
        <v/>
      </c>
      <c r="P46" s="36">
        <f>ROUND(BaseUnits*Inputs!P72,0)</f>
        <v/>
      </c>
      <c r="Q46" s="36">
        <f>ROUND(BaseUnits*Inputs!Q72,0)</f>
        <v/>
      </c>
      <c r="R46" s="36">
        <f>ROUND(BaseUnits*Inputs!R72,0)</f>
        <v/>
      </c>
      <c r="S46" s="36">
        <f>ROUND(BaseUnits*Inputs!S72,0)</f>
        <v/>
      </c>
      <c r="T46" s="36">
        <f>ROUND(BaseUnits*Inputs!T72,0)</f>
        <v/>
      </c>
      <c r="U46" s="36">
        <f>ROUND(BaseUnits*Inputs!U72,0)</f>
        <v/>
      </c>
      <c r="V46" s="36">
        <f>ROUND(BaseUnits*Inputs!V72,0)</f>
        <v/>
      </c>
      <c r="W46" s="36">
        <f>ROUND(BaseUnits*Inputs!W72,0)</f>
        <v/>
      </c>
      <c r="X46" s="36">
        <f>ROUND(BaseUnits*Inputs!X72,0)</f>
        <v/>
      </c>
      <c r="Y46" s="36">
        <f>ROUND(BaseUnits*Inputs!Y72,0)</f>
        <v/>
      </c>
      <c r="Z46" s="36">
        <f>ROUND(BaseUnits*Inputs!Z72,0)</f>
        <v/>
      </c>
      <c r="AA46" s="36">
        <f>ROUND(BaseUnits*Inputs!AA72,0)</f>
        <v/>
      </c>
      <c r="AB46" s="36">
        <f>ROUND(BaseUnits*Inputs!AB72,0)</f>
        <v/>
      </c>
      <c r="AC46" s="36">
        <f>ROUND(BaseUnits*Inputs!AC72,0)</f>
        <v/>
      </c>
      <c r="AD46" s="36">
        <f>ROUND(BaseUnits*Inputs!AD72,0)</f>
        <v/>
      </c>
      <c r="AE46" s="36">
        <f>ROUND(BaseUnits*Inputs!AE72,0)</f>
        <v/>
      </c>
      <c r="AF46" s="37">
        <f>SUM(F46:AE46)</f>
        <v/>
      </c>
    </row>
    <row r="47">
      <c r="B47" s="6" t="inlineStr">
        <is>
          <t xml:space="preserve">  Selling Price</t>
        </is>
      </c>
      <c r="F47" s="38">
        <f>Price</f>
        <v/>
      </c>
      <c r="G47" s="38">
        <f>Price</f>
        <v/>
      </c>
      <c r="H47" s="38">
        <f>Price</f>
        <v/>
      </c>
      <c r="I47" s="38">
        <f>Price</f>
        <v/>
      </c>
      <c r="J47" s="38">
        <f>Price</f>
        <v/>
      </c>
      <c r="K47" s="38">
        <f>Price</f>
        <v/>
      </c>
      <c r="L47" s="38">
        <f>Price</f>
        <v/>
      </c>
      <c r="M47" s="38">
        <f>Price</f>
        <v/>
      </c>
      <c r="N47" s="38">
        <f>Price</f>
        <v/>
      </c>
      <c r="O47" s="38">
        <f>Price</f>
        <v/>
      </c>
      <c r="P47" s="38">
        <f>Price</f>
        <v/>
      </c>
      <c r="Q47" s="38">
        <f>Price</f>
        <v/>
      </c>
      <c r="R47" s="38">
        <f>Price</f>
        <v/>
      </c>
      <c r="S47" s="38">
        <f>Price</f>
        <v/>
      </c>
      <c r="T47" s="38">
        <f>Price</f>
        <v/>
      </c>
      <c r="U47" s="38">
        <f>Price</f>
        <v/>
      </c>
      <c r="V47" s="38">
        <f>Price</f>
        <v/>
      </c>
      <c r="W47" s="38">
        <f>Price</f>
        <v/>
      </c>
      <c r="X47" s="38">
        <f>Price</f>
        <v/>
      </c>
      <c r="Y47" s="38">
        <f>Price</f>
        <v/>
      </c>
      <c r="Z47" s="38">
        <f>Price</f>
        <v/>
      </c>
      <c r="AA47" s="38">
        <f>Price</f>
        <v/>
      </c>
      <c r="AB47" s="38">
        <f>Price</f>
        <v/>
      </c>
      <c r="AC47" s="38">
        <f>Price</f>
        <v/>
      </c>
      <c r="AD47" s="38">
        <f>Price</f>
        <v/>
      </c>
      <c r="AE47" s="38">
        <f>Price</f>
        <v/>
      </c>
      <c r="AF47" s="39">
        <f>Price</f>
        <v/>
      </c>
    </row>
    <row r="48">
      <c r="B48" s="25" t="inlineStr">
        <is>
          <t>Revenue</t>
        </is>
      </c>
      <c r="F48" s="40">
        <f>F46*F47</f>
        <v/>
      </c>
      <c r="G48" s="40">
        <f>G46*G47</f>
        <v/>
      </c>
      <c r="H48" s="40">
        <f>H46*H47</f>
        <v/>
      </c>
      <c r="I48" s="40">
        <f>I46*I47</f>
        <v/>
      </c>
      <c r="J48" s="40">
        <f>J46*J47</f>
        <v/>
      </c>
      <c r="K48" s="40">
        <f>K46*K47</f>
        <v/>
      </c>
      <c r="L48" s="40">
        <f>L46*L47</f>
        <v/>
      </c>
      <c r="M48" s="40">
        <f>M46*M47</f>
        <v/>
      </c>
      <c r="N48" s="40">
        <f>N46*N47</f>
        <v/>
      </c>
      <c r="O48" s="40">
        <f>O46*O47</f>
        <v/>
      </c>
      <c r="P48" s="40">
        <f>P46*P47</f>
        <v/>
      </c>
      <c r="Q48" s="40">
        <f>Q46*Q47</f>
        <v/>
      </c>
      <c r="R48" s="40">
        <f>R46*R47</f>
        <v/>
      </c>
      <c r="S48" s="40">
        <f>S46*S47</f>
        <v/>
      </c>
      <c r="T48" s="40">
        <f>T46*T47</f>
        <v/>
      </c>
      <c r="U48" s="40">
        <f>U46*U47</f>
        <v/>
      </c>
      <c r="V48" s="40">
        <f>V46*V47</f>
        <v/>
      </c>
      <c r="W48" s="40">
        <f>W46*W47</f>
        <v/>
      </c>
      <c r="X48" s="40">
        <f>X46*X47</f>
        <v/>
      </c>
      <c r="Y48" s="40">
        <f>Y46*Y47</f>
        <v/>
      </c>
      <c r="Z48" s="40">
        <f>Z46*Z47</f>
        <v/>
      </c>
      <c r="AA48" s="40">
        <f>AA46*AA47</f>
        <v/>
      </c>
      <c r="AB48" s="40">
        <f>AB46*AB47</f>
        <v/>
      </c>
      <c r="AC48" s="40">
        <f>AC46*AC47</f>
        <v/>
      </c>
      <c r="AD48" s="40">
        <f>AD46*AD47</f>
        <v/>
      </c>
      <c r="AE48" s="40">
        <f>AE46*AE47</f>
        <v/>
      </c>
      <c r="AF48" s="41">
        <f>SUM(F48:AE48)</f>
        <v/>
      </c>
    </row>
    <row r="49">
      <c r="B49" s="6" t="inlineStr">
        <is>
          <t xml:space="preserve">  Cost Price</t>
        </is>
      </c>
      <c r="F49" s="38">
        <f>Cost</f>
        <v/>
      </c>
      <c r="G49" s="38">
        <f>Cost</f>
        <v/>
      </c>
      <c r="H49" s="38">
        <f>Cost</f>
        <v/>
      </c>
      <c r="I49" s="38">
        <f>Cost</f>
        <v/>
      </c>
      <c r="J49" s="38">
        <f>Cost</f>
        <v/>
      </c>
      <c r="K49" s="38">
        <f>Cost</f>
        <v/>
      </c>
      <c r="L49" s="38">
        <f>Cost</f>
        <v/>
      </c>
      <c r="M49" s="38">
        <f>Cost</f>
        <v/>
      </c>
      <c r="N49" s="38">
        <f>Cost</f>
        <v/>
      </c>
      <c r="O49" s="38">
        <f>Cost</f>
        <v/>
      </c>
      <c r="P49" s="38">
        <f>Cost</f>
        <v/>
      </c>
      <c r="Q49" s="38">
        <f>Cost</f>
        <v/>
      </c>
      <c r="R49" s="38">
        <f>Cost</f>
        <v/>
      </c>
      <c r="S49" s="38">
        <f>Cost</f>
        <v/>
      </c>
      <c r="T49" s="38">
        <f>Cost</f>
        <v/>
      </c>
      <c r="U49" s="38">
        <f>Cost</f>
        <v/>
      </c>
      <c r="V49" s="38">
        <f>Cost</f>
        <v/>
      </c>
      <c r="W49" s="38">
        <f>Cost</f>
        <v/>
      </c>
      <c r="X49" s="38">
        <f>Cost</f>
        <v/>
      </c>
      <c r="Y49" s="38">
        <f>Cost</f>
        <v/>
      </c>
      <c r="Z49" s="38">
        <f>Cost</f>
        <v/>
      </c>
      <c r="AA49" s="38">
        <f>Cost</f>
        <v/>
      </c>
      <c r="AB49" s="38">
        <f>Cost</f>
        <v/>
      </c>
      <c r="AC49" s="38">
        <f>Cost</f>
        <v/>
      </c>
      <c r="AD49" s="38">
        <f>Cost</f>
        <v/>
      </c>
      <c r="AE49" s="38">
        <f>Cost</f>
        <v/>
      </c>
      <c r="AF49" s="39">
        <f>Cost</f>
        <v/>
      </c>
    </row>
    <row r="50">
      <c r="B50" s="25" t="inlineStr">
        <is>
          <t>Raw COGS</t>
        </is>
      </c>
      <c r="F50" s="40">
        <f>F46*F49</f>
        <v/>
      </c>
      <c r="G50" s="40">
        <f>G46*G49</f>
        <v/>
      </c>
      <c r="H50" s="40">
        <f>H46*H49</f>
        <v/>
      </c>
      <c r="I50" s="40">
        <f>I46*I49</f>
        <v/>
      </c>
      <c r="J50" s="40">
        <f>J46*J49</f>
        <v/>
      </c>
      <c r="K50" s="40">
        <f>K46*K49</f>
        <v/>
      </c>
      <c r="L50" s="40">
        <f>L46*L49</f>
        <v/>
      </c>
      <c r="M50" s="40">
        <f>M46*M49</f>
        <v/>
      </c>
      <c r="N50" s="40">
        <f>N46*N49</f>
        <v/>
      </c>
      <c r="O50" s="40">
        <f>O46*O49</f>
        <v/>
      </c>
      <c r="P50" s="40">
        <f>P46*P49</f>
        <v/>
      </c>
      <c r="Q50" s="40">
        <f>Q46*Q49</f>
        <v/>
      </c>
      <c r="R50" s="40">
        <f>R46*R49</f>
        <v/>
      </c>
      <c r="S50" s="40">
        <f>S46*S49</f>
        <v/>
      </c>
      <c r="T50" s="40">
        <f>T46*T49</f>
        <v/>
      </c>
      <c r="U50" s="40">
        <f>U46*U49</f>
        <v/>
      </c>
      <c r="V50" s="40">
        <f>V46*V49</f>
        <v/>
      </c>
      <c r="W50" s="40">
        <f>W46*W49</f>
        <v/>
      </c>
      <c r="X50" s="40">
        <f>X46*X49</f>
        <v/>
      </c>
      <c r="Y50" s="40">
        <f>Y46*Y49</f>
        <v/>
      </c>
      <c r="Z50" s="40">
        <f>Z46*Z49</f>
        <v/>
      </c>
      <c r="AA50" s="40">
        <f>AA46*AA49</f>
        <v/>
      </c>
      <c r="AB50" s="40">
        <f>AB46*AB49</f>
        <v/>
      </c>
      <c r="AC50" s="40">
        <f>AC46*AC49</f>
        <v/>
      </c>
      <c r="AD50" s="40">
        <f>AD46*AD49</f>
        <v/>
      </c>
      <c r="AE50" s="40">
        <f>AE46*AE49</f>
        <v/>
      </c>
      <c r="AF50" s="41">
        <f>SUM(F50:AE50)</f>
        <v/>
      </c>
    </row>
    <row r="51">
      <c r="B51" s="6" t="inlineStr">
        <is>
          <t xml:space="preserve">  Demo Spend</t>
        </is>
      </c>
      <c r="F51" s="42">
        <f>Inputs!F66*DemoCost</f>
        <v/>
      </c>
      <c r="G51" s="42">
        <f>Inputs!G66*DemoCost</f>
        <v/>
      </c>
      <c r="H51" s="42">
        <f>Inputs!H66*DemoCost</f>
        <v/>
      </c>
      <c r="I51" s="42">
        <f>Inputs!I66*DemoCost</f>
        <v/>
      </c>
      <c r="J51" s="42">
        <f>Inputs!J66*DemoCost</f>
        <v/>
      </c>
      <c r="K51" s="42">
        <f>Inputs!K66*DemoCost</f>
        <v/>
      </c>
      <c r="L51" s="42">
        <f>Inputs!L66*DemoCost</f>
        <v/>
      </c>
      <c r="M51" s="42">
        <f>Inputs!M66*DemoCost</f>
        <v/>
      </c>
      <c r="N51" s="42">
        <f>Inputs!N66*DemoCost</f>
        <v/>
      </c>
      <c r="O51" s="42">
        <f>Inputs!O66*DemoCost</f>
        <v/>
      </c>
      <c r="P51" s="42">
        <f>Inputs!P66*DemoCost</f>
        <v/>
      </c>
      <c r="Q51" s="42">
        <f>Inputs!Q66*DemoCost</f>
        <v/>
      </c>
      <c r="R51" s="42">
        <f>Inputs!R66*DemoCost</f>
        <v/>
      </c>
      <c r="S51" s="42">
        <f>Inputs!S66*DemoCost</f>
        <v/>
      </c>
      <c r="T51" s="42">
        <f>Inputs!T66*DemoCost</f>
        <v/>
      </c>
      <c r="U51" s="42">
        <f>Inputs!U66*DemoCost</f>
        <v/>
      </c>
      <c r="V51" s="42">
        <f>Inputs!V66*DemoCost</f>
        <v/>
      </c>
      <c r="W51" s="42">
        <f>Inputs!W66*DemoCost</f>
        <v/>
      </c>
      <c r="X51" s="42">
        <f>Inputs!X66*DemoCost</f>
        <v/>
      </c>
      <c r="Y51" s="42">
        <f>Inputs!Y66*DemoCost</f>
        <v/>
      </c>
      <c r="Z51" s="42">
        <f>Inputs!Z66*DemoCost</f>
        <v/>
      </c>
      <c r="AA51" s="42">
        <f>Inputs!AA66*DemoCost</f>
        <v/>
      </c>
      <c r="AB51" s="42">
        <f>Inputs!AB66*DemoCost</f>
        <v/>
      </c>
      <c r="AC51" s="42">
        <f>Inputs!AC66*DemoCost</f>
        <v/>
      </c>
      <c r="AD51" s="42">
        <f>Inputs!AD66*DemoCost</f>
        <v/>
      </c>
      <c r="AE51" s="42">
        <f>Inputs!AE66*DemoCost</f>
        <v/>
      </c>
      <c r="AF51" s="41">
        <f>SUM(F51:AE51)</f>
        <v/>
      </c>
    </row>
    <row r="52">
      <c r="B52" s="6" t="inlineStr">
        <is>
          <t xml:space="preserve">  End Cap Spend</t>
        </is>
      </c>
      <c r="F52" s="42">
        <f>Inputs!F67*EndCapCost</f>
        <v/>
      </c>
      <c r="G52" s="42">
        <f>Inputs!G67*EndCapCost</f>
        <v/>
      </c>
      <c r="H52" s="42">
        <f>Inputs!H67*EndCapCost</f>
        <v/>
      </c>
      <c r="I52" s="42">
        <f>Inputs!I67*EndCapCost</f>
        <v/>
      </c>
      <c r="J52" s="42">
        <f>Inputs!J67*EndCapCost</f>
        <v/>
      </c>
      <c r="K52" s="42">
        <f>Inputs!K67*EndCapCost</f>
        <v/>
      </c>
      <c r="L52" s="42">
        <f>Inputs!L67*EndCapCost</f>
        <v/>
      </c>
      <c r="M52" s="42">
        <f>Inputs!M67*EndCapCost</f>
        <v/>
      </c>
      <c r="N52" s="42">
        <f>Inputs!N67*EndCapCost</f>
        <v/>
      </c>
      <c r="O52" s="42">
        <f>Inputs!O67*EndCapCost</f>
        <v/>
      </c>
      <c r="P52" s="42">
        <f>Inputs!P67*EndCapCost</f>
        <v/>
      </c>
      <c r="Q52" s="42">
        <f>Inputs!Q67*EndCapCost</f>
        <v/>
      </c>
      <c r="R52" s="42">
        <f>Inputs!R67*EndCapCost</f>
        <v/>
      </c>
      <c r="S52" s="42">
        <f>Inputs!S67*EndCapCost</f>
        <v/>
      </c>
      <c r="T52" s="42">
        <f>Inputs!T67*EndCapCost</f>
        <v/>
      </c>
      <c r="U52" s="42">
        <f>Inputs!U67*EndCapCost</f>
        <v/>
      </c>
      <c r="V52" s="42">
        <f>Inputs!V67*EndCapCost</f>
        <v/>
      </c>
      <c r="W52" s="42">
        <f>Inputs!W67*EndCapCost</f>
        <v/>
      </c>
      <c r="X52" s="42">
        <f>Inputs!X67*EndCapCost</f>
        <v/>
      </c>
      <c r="Y52" s="42">
        <f>Inputs!Y67*EndCapCost</f>
        <v/>
      </c>
      <c r="Z52" s="42">
        <f>Inputs!Z67*EndCapCost</f>
        <v/>
      </c>
      <c r="AA52" s="42">
        <f>Inputs!AA67*EndCapCost</f>
        <v/>
      </c>
      <c r="AB52" s="42">
        <f>Inputs!AB67*EndCapCost</f>
        <v/>
      </c>
      <c r="AC52" s="42">
        <f>Inputs!AC67*EndCapCost</f>
        <v/>
      </c>
      <c r="AD52" s="42">
        <f>Inputs!AD67*EndCapCost</f>
        <v/>
      </c>
      <c r="AE52" s="42">
        <f>Inputs!AE67*EndCapCost</f>
        <v/>
      </c>
      <c r="AF52" s="41">
        <f>SUM(F52:AE52)</f>
        <v/>
      </c>
    </row>
    <row r="53">
      <c r="B53" s="6" t="inlineStr">
        <is>
          <t xml:space="preserve">  Fence Spend</t>
        </is>
      </c>
      <c r="F53" s="42">
        <f>Inputs!F68*FenceCost</f>
        <v/>
      </c>
      <c r="G53" s="42">
        <f>Inputs!G68*FenceCost</f>
        <v/>
      </c>
      <c r="H53" s="42">
        <f>Inputs!H68*FenceCost</f>
        <v/>
      </c>
      <c r="I53" s="42">
        <f>Inputs!I68*FenceCost</f>
        <v/>
      </c>
      <c r="J53" s="42">
        <f>Inputs!J68*FenceCost</f>
        <v/>
      </c>
      <c r="K53" s="42">
        <f>Inputs!K68*FenceCost</f>
        <v/>
      </c>
      <c r="L53" s="42">
        <f>Inputs!L68*FenceCost</f>
        <v/>
      </c>
      <c r="M53" s="42">
        <f>Inputs!M68*FenceCost</f>
        <v/>
      </c>
      <c r="N53" s="42">
        <f>Inputs!N68*FenceCost</f>
        <v/>
      </c>
      <c r="O53" s="42">
        <f>Inputs!O68*FenceCost</f>
        <v/>
      </c>
      <c r="P53" s="42">
        <f>Inputs!P68*FenceCost</f>
        <v/>
      </c>
      <c r="Q53" s="42">
        <f>Inputs!Q68*FenceCost</f>
        <v/>
      </c>
      <c r="R53" s="42">
        <f>Inputs!R68*FenceCost</f>
        <v/>
      </c>
      <c r="S53" s="42">
        <f>Inputs!S68*FenceCost</f>
        <v/>
      </c>
      <c r="T53" s="42">
        <f>Inputs!T68*FenceCost</f>
        <v/>
      </c>
      <c r="U53" s="42">
        <f>Inputs!U68*FenceCost</f>
        <v/>
      </c>
      <c r="V53" s="42">
        <f>Inputs!V68*FenceCost</f>
        <v/>
      </c>
      <c r="W53" s="42">
        <f>Inputs!W68*FenceCost</f>
        <v/>
      </c>
      <c r="X53" s="42">
        <f>Inputs!X68*FenceCost</f>
        <v/>
      </c>
      <c r="Y53" s="42">
        <f>Inputs!Y68*FenceCost</f>
        <v/>
      </c>
      <c r="Z53" s="42">
        <f>Inputs!Z68*FenceCost</f>
        <v/>
      </c>
      <c r="AA53" s="42">
        <f>Inputs!AA68*FenceCost</f>
        <v/>
      </c>
      <c r="AB53" s="42">
        <f>Inputs!AB68*FenceCost</f>
        <v/>
      </c>
      <c r="AC53" s="42">
        <f>Inputs!AC68*FenceCost</f>
        <v/>
      </c>
      <c r="AD53" s="42">
        <f>Inputs!AD68*FenceCost</f>
        <v/>
      </c>
      <c r="AE53" s="42">
        <f>Inputs!AE68*FenceCost</f>
        <v/>
      </c>
      <c r="AF53" s="41">
        <f>SUM(F53:AE53)</f>
        <v/>
      </c>
    </row>
    <row r="54">
      <c r="B54" s="6" t="inlineStr">
        <is>
          <t xml:space="preserve">  TPD Spend</t>
        </is>
      </c>
      <c r="F54" s="42">
        <f>Inputs!F69*F46*F47*TPDPct</f>
        <v/>
      </c>
      <c r="G54" s="42">
        <f>Inputs!G69*G46*G47*TPDPct</f>
        <v/>
      </c>
      <c r="H54" s="42">
        <f>Inputs!H69*H46*H47*TPDPct</f>
        <v/>
      </c>
      <c r="I54" s="42">
        <f>Inputs!I69*I46*I47*TPDPct</f>
        <v/>
      </c>
      <c r="J54" s="42">
        <f>Inputs!J69*J46*J47*TPDPct</f>
        <v/>
      </c>
      <c r="K54" s="42">
        <f>Inputs!K69*K46*K47*TPDPct</f>
        <v/>
      </c>
      <c r="L54" s="42">
        <f>Inputs!L69*L46*L47*TPDPct</f>
        <v/>
      </c>
      <c r="M54" s="42">
        <f>Inputs!M69*M46*M47*TPDPct</f>
        <v/>
      </c>
      <c r="N54" s="42">
        <f>Inputs!N69*N46*N47*TPDPct</f>
        <v/>
      </c>
      <c r="O54" s="42">
        <f>Inputs!O69*O46*O47*TPDPct</f>
        <v/>
      </c>
      <c r="P54" s="42">
        <f>Inputs!P69*P46*P47*TPDPct</f>
        <v/>
      </c>
      <c r="Q54" s="42">
        <f>Inputs!Q69*Q46*Q47*TPDPct</f>
        <v/>
      </c>
      <c r="R54" s="42">
        <f>Inputs!R69*R46*R47*TPDPct</f>
        <v/>
      </c>
      <c r="S54" s="42">
        <f>Inputs!S69*S46*S47*TPDPct</f>
        <v/>
      </c>
      <c r="T54" s="42">
        <f>Inputs!T69*T46*T47*TPDPct</f>
        <v/>
      </c>
      <c r="U54" s="42">
        <f>Inputs!U69*U46*U47*TPDPct</f>
        <v/>
      </c>
      <c r="V54" s="42">
        <f>Inputs!V69*V46*V47*TPDPct</f>
        <v/>
      </c>
      <c r="W54" s="42">
        <f>Inputs!W69*W46*W47*TPDPct</f>
        <v/>
      </c>
      <c r="X54" s="42">
        <f>Inputs!X69*X46*X47*TPDPct</f>
        <v/>
      </c>
      <c r="Y54" s="42">
        <f>Inputs!Y69*Y46*Y47*TPDPct</f>
        <v/>
      </c>
      <c r="Z54" s="42">
        <f>Inputs!Z69*Z46*Z47*TPDPct</f>
        <v/>
      </c>
      <c r="AA54" s="42">
        <f>Inputs!AA69*AA46*AA47*TPDPct</f>
        <v/>
      </c>
      <c r="AB54" s="42">
        <f>Inputs!AB69*AB46*AB47*TPDPct</f>
        <v/>
      </c>
      <c r="AC54" s="42">
        <f>Inputs!AC69*AC46*AC47*TPDPct</f>
        <v/>
      </c>
      <c r="AD54" s="42">
        <f>Inputs!AD69*AD46*AD47*TPDPct</f>
        <v/>
      </c>
      <c r="AE54" s="42">
        <f>Inputs!AE69*AE46*AE47*TPDPct</f>
        <v/>
      </c>
      <c r="AF54" s="41">
        <f>SUM(F54:AE54)</f>
        <v/>
      </c>
    </row>
    <row r="55">
      <c r="B55" s="6" t="inlineStr">
        <is>
          <t xml:space="preserve">  Markdown Spend</t>
        </is>
      </c>
      <c r="F55" s="42">
        <f>Inputs!F70*F46*F47*MdPct</f>
        <v/>
      </c>
      <c r="G55" s="42">
        <f>Inputs!G70*G46*G47*MdPct</f>
        <v/>
      </c>
      <c r="H55" s="42">
        <f>Inputs!H70*H46*H47*MdPct</f>
        <v/>
      </c>
      <c r="I55" s="42">
        <f>Inputs!I70*I46*I47*MdPct</f>
        <v/>
      </c>
      <c r="J55" s="42">
        <f>Inputs!J70*J46*J47*MdPct</f>
        <v/>
      </c>
      <c r="K55" s="42">
        <f>Inputs!K70*K46*K47*MdPct</f>
        <v/>
      </c>
      <c r="L55" s="42">
        <f>Inputs!L70*L46*L47*MdPct</f>
        <v/>
      </c>
      <c r="M55" s="42">
        <f>Inputs!M70*M46*M47*MdPct</f>
        <v/>
      </c>
      <c r="N55" s="42">
        <f>Inputs!N70*N46*N47*MdPct</f>
        <v/>
      </c>
      <c r="O55" s="42">
        <f>Inputs!O70*O46*O47*MdPct</f>
        <v/>
      </c>
      <c r="P55" s="42">
        <f>Inputs!P70*P46*P47*MdPct</f>
        <v/>
      </c>
      <c r="Q55" s="42">
        <f>Inputs!Q70*Q46*Q47*MdPct</f>
        <v/>
      </c>
      <c r="R55" s="42">
        <f>Inputs!R70*R46*R47*MdPct</f>
        <v/>
      </c>
      <c r="S55" s="42">
        <f>Inputs!S70*S46*S47*MdPct</f>
        <v/>
      </c>
      <c r="T55" s="42">
        <f>Inputs!T70*T46*T47*MdPct</f>
        <v/>
      </c>
      <c r="U55" s="42">
        <f>Inputs!U70*U46*U47*MdPct</f>
        <v/>
      </c>
      <c r="V55" s="42">
        <f>Inputs!V70*V46*V47*MdPct</f>
        <v/>
      </c>
      <c r="W55" s="42">
        <f>Inputs!W70*W46*W47*MdPct</f>
        <v/>
      </c>
      <c r="X55" s="42">
        <f>Inputs!X70*X46*X47*MdPct</f>
        <v/>
      </c>
      <c r="Y55" s="42">
        <f>Inputs!Y70*Y46*Y47*MdPct</f>
        <v/>
      </c>
      <c r="Z55" s="42">
        <f>Inputs!Z70*Z46*Z47*MdPct</f>
        <v/>
      </c>
      <c r="AA55" s="42">
        <f>Inputs!AA70*AA46*AA47*MdPct</f>
        <v/>
      </c>
      <c r="AB55" s="42">
        <f>Inputs!AB70*AB46*AB47*MdPct</f>
        <v/>
      </c>
      <c r="AC55" s="42">
        <f>Inputs!AC70*AC46*AC47*MdPct</f>
        <v/>
      </c>
      <c r="AD55" s="42">
        <f>Inputs!AD70*AD46*AD47*MdPct</f>
        <v/>
      </c>
      <c r="AE55" s="42">
        <f>Inputs!AE70*AE46*AE47*MdPct</f>
        <v/>
      </c>
      <c r="AF55" s="41">
        <f>SUM(F55:AE55)</f>
        <v/>
      </c>
    </row>
    <row r="56">
      <c r="B56" s="6" t="inlineStr">
        <is>
          <t xml:space="preserve">  Advertising Spend</t>
        </is>
      </c>
      <c r="F56" s="42">
        <f>Inputs!F71*AdvertCost</f>
        <v/>
      </c>
      <c r="G56" s="42">
        <f>Inputs!G71*AdvertCost</f>
        <v/>
      </c>
      <c r="H56" s="42">
        <f>Inputs!H71*AdvertCost</f>
        <v/>
      </c>
      <c r="I56" s="42">
        <f>Inputs!I71*AdvertCost</f>
        <v/>
      </c>
      <c r="J56" s="42">
        <f>Inputs!J71*AdvertCost</f>
        <v/>
      </c>
      <c r="K56" s="42">
        <f>Inputs!K71*AdvertCost</f>
        <v/>
      </c>
      <c r="L56" s="42">
        <f>Inputs!L71*AdvertCost</f>
        <v/>
      </c>
      <c r="M56" s="42">
        <f>Inputs!M71*AdvertCost</f>
        <v/>
      </c>
      <c r="N56" s="42">
        <f>Inputs!N71*AdvertCost</f>
        <v/>
      </c>
      <c r="O56" s="42">
        <f>Inputs!O71*AdvertCost</f>
        <v/>
      </c>
      <c r="P56" s="42">
        <f>Inputs!P71*AdvertCost</f>
        <v/>
      </c>
      <c r="Q56" s="42">
        <f>Inputs!Q71*AdvertCost</f>
        <v/>
      </c>
      <c r="R56" s="42">
        <f>Inputs!R71*AdvertCost</f>
        <v/>
      </c>
      <c r="S56" s="42">
        <f>Inputs!S71*AdvertCost</f>
        <v/>
      </c>
      <c r="T56" s="42">
        <f>Inputs!T71*AdvertCost</f>
        <v/>
      </c>
      <c r="U56" s="42">
        <f>Inputs!U71*AdvertCost</f>
        <v/>
      </c>
      <c r="V56" s="42">
        <f>Inputs!V71*AdvertCost</f>
        <v/>
      </c>
      <c r="W56" s="42">
        <f>Inputs!W71*AdvertCost</f>
        <v/>
      </c>
      <c r="X56" s="42">
        <f>Inputs!X71*AdvertCost</f>
        <v/>
      </c>
      <c r="Y56" s="42">
        <f>Inputs!Y71*AdvertCost</f>
        <v/>
      </c>
      <c r="Z56" s="42">
        <f>Inputs!Z71*AdvertCost</f>
        <v/>
      </c>
      <c r="AA56" s="42">
        <f>Inputs!AA71*AdvertCost</f>
        <v/>
      </c>
      <c r="AB56" s="42">
        <f>Inputs!AB71*AdvertCost</f>
        <v/>
      </c>
      <c r="AC56" s="42">
        <f>Inputs!AC71*AdvertCost</f>
        <v/>
      </c>
      <c r="AD56" s="42">
        <f>Inputs!AD71*AdvertCost</f>
        <v/>
      </c>
      <c r="AE56" s="42">
        <f>Inputs!AE71*AdvertCost</f>
        <v/>
      </c>
      <c r="AF56" s="41">
        <f>SUM(F56:AE56)</f>
        <v/>
      </c>
    </row>
    <row r="57">
      <c r="B57" s="25" t="inlineStr">
        <is>
          <t>Total Promo Spend</t>
        </is>
      </c>
      <c r="F57" s="43">
        <f>SUM(F51:F56)</f>
        <v/>
      </c>
      <c r="G57" s="43">
        <f>SUM(G51:G56)</f>
        <v/>
      </c>
      <c r="H57" s="43">
        <f>SUM(H51:H56)</f>
        <v/>
      </c>
      <c r="I57" s="43">
        <f>SUM(I51:I56)</f>
        <v/>
      </c>
      <c r="J57" s="43">
        <f>SUM(J51:J56)</f>
        <v/>
      </c>
      <c r="K57" s="43">
        <f>SUM(K51:K56)</f>
        <v/>
      </c>
      <c r="L57" s="43">
        <f>SUM(L51:L56)</f>
        <v/>
      </c>
      <c r="M57" s="43">
        <f>SUM(M51:M56)</f>
        <v/>
      </c>
      <c r="N57" s="43">
        <f>SUM(N51:N56)</f>
        <v/>
      </c>
      <c r="O57" s="43">
        <f>SUM(O51:O56)</f>
        <v/>
      </c>
      <c r="P57" s="43">
        <f>SUM(P51:P56)</f>
        <v/>
      </c>
      <c r="Q57" s="43">
        <f>SUM(Q51:Q56)</f>
        <v/>
      </c>
      <c r="R57" s="43">
        <f>SUM(R51:R56)</f>
        <v/>
      </c>
      <c r="S57" s="43">
        <f>SUM(S51:S56)</f>
        <v/>
      </c>
      <c r="T57" s="43">
        <f>SUM(T51:T56)</f>
        <v/>
      </c>
      <c r="U57" s="43">
        <f>SUM(U51:U56)</f>
        <v/>
      </c>
      <c r="V57" s="43">
        <f>SUM(V51:V56)</f>
        <v/>
      </c>
      <c r="W57" s="43">
        <f>SUM(W51:W56)</f>
        <v/>
      </c>
      <c r="X57" s="43">
        <f>SUM(X51:X56)</f>
        <v/>
      </c>
      <c r="Y57" s="43">
        <f>SUM(Y51:Y56)</f>
        <v/>
      </c>
      <c r="Z57" s="43">
        <f>SUM(Z51:Z56)</f>
        <v/>
      </c>
      <c r="AA57" s="43">
        <f>SUM(AA51:AA56)</f>
        <v/>
      </c>
      <c r="AB57" s="43">
        <f>SUM(AB51:AB56)</f>
        <v/>
      </c>
      <c r="AC57" s="43">
        <f>SUM(AC51:AC56)</f>
        <v/>
      </c>
      <c r="AD57" s="43">
        <f>SUM(AD51:AD56)</f>
        <v/>
      </c>
      <c r="AE57" s="43">
        <f>SUM(AE51:AE56)</f>
        <v/>
      </c>
      <c r="AF57" s="43">
        <f>SUM(F57:AE57)</f>
        <v/>
      </c>
    </row>
    <row r="58">
      <c r="B58" s="25" t="inlineStr">
        <is>
          <t>Gross Profit</t>
        </is>
      </c>
      <c r="F58" s="43">
        <f>F48-F50</f>
        <v/>
      </c>
      <c r="G58" s="43">
        <f>G48-G50</f>
        <v/>
      </c>
      <c r="H58" s="43">
        <f>H48-H50</f>
        <v/>
      </c>
      <c r="I58" s="43">
        <f>I48-I50</f>
        <v/>
      </c>
      <c r="J58" s="43">
        <f>J48-J50</f>
        <v/>
      </c>
      <c r="K58" s="43">
        <f>K48-K50</f>
        <v/>
      </c>
      <c r="L58" s="43">
        <f>L48-L50</f>
        <v/>
      </c>
      <c r="M58" s="43">
        <f>M48-M50</f>
        <v/>
      </c>
      <c r="N58" s="43">
        <f>N48-N50</f>
        <v/>
      </c>
      <c r="O58" s="43">
        <f>O48-O50</f>
        <v/>
      </c>
      <c r="P58" s="43">
        <f>P48-P50</f>
        <v/>
      </c>
      <c r="Q58" s="43">
        <f>Q48-Q50</f>
        <v/>
      </c>
      <c r="R58" s="43">
        <f>R48-R50</f>
        <v/>
      </c>
      <c r="S58" s="43">
        <f>S48-S50</f>
        <v/>
      </c>
      <c r="T58" s="43">
        <f>T48-T50</f>
        <v/>
      </c>
      <c r="U58" s="43">
        <f>U48-U50</f>
        <v/>
      </c>
      <c r="V58" s="43">
        <f>V48-V50</f>
        <v/>
      </c>
      <c r="W58" s="43">
        <f>W48-W50</f>
        <v/>
      </c>
      <c r="X58" s="43">
        <f>X48-X50</f>
        <v/>
      </c>
      <c r="Y58" s="43">
        <f>Y48-Y50</f>
        <v/>
      </c>
      <c r="Z58" s="43">
        <f>Z48-Z50</f>
        <v/>
      </c>
      <c r="AA58" s="43">
        <f>AA48-AA50</f>
        <v/>
      </c>
      <c r="AB58" s="43">
        <f>AB48-AB50</f>
        <v/>
      </c>
      <c r="AC58" s="43">
        <f>AC48-AC50</f>
        <v/>
      </c>
      <c r="AD58" s="43">
        <f>AD48-AD50</f>
        <v/>
      </c>
      <c r="AE58" s="43">
        <f>AE48-AE50</f>
        <v/>
      </c>
      <c r="AF58" s="43">
        <f>SUM(F58:AE58)</f>
        <v/>
      </c>
    </row>
    <row r="59">
      <c r="B59" s="25" t="inlineStr">
        <is>
          <t>Net Profit (after promo)</t>
        </is>
      </c>
      <c r="F59" s="44">
        <f>F58-F57</f>
        <v/>
      </c>
      <c r="G59" s="44">
        <f>G58-G57</f>
        <v/>
      </c>
      <c r="H59" s="44">
        <f>H58-H57</f>
        <v/>
      </c>
      <c r="I59" s="44">
        <f>I58-I57</f>
        <v/>
      </c>
      <c r="J59" s="44">
        <f>J58-J57</f>
        <v/>
      </c>
      <c r="K59" s="44">
        <f>K58-K57</f>
        <v/>
      </c>
      <c r="L59" s="44">
        <f>L58-L57</f>
        <v/>
      </c>
      <c r="M59" s="44">
        <f>M58-M57</f>
        <v/>
      </c>
      <c r="N59" s="44">
        <f>N58-N57</f>
        <v/>
      </c>
      <c r="O59" s="44">
        <f>O58-O57</f>
        <v/>
      </c>
      <c r="P59" s="44">
        <f>P58-P57</f>
        <v/>
      </c>
      <c r="Q59" s="44">
        <f>Q58-Q57</f>
        <v/>
      </c>
      <c r="R59" s="44">
        <f>R58-R57</f>
        <v/>
      </c>
      <c r="S59" s="44">
        <f>S58-S57</f>
        <v/>
      </c>
      <c r="T59" s="44">
        <f>T58-T57</f>
        <v/>
      </c>
      <c r="U59" s="44">
        <f>U58-U57</f>
        <v/>
      </c>
      <c r="V59" s="44">
        <f>V58-V57</f>
        <v/>
      </c>
      <c r="W59" s="44">
        <f>W58-W57</f>
        <v/>
      </c>
      <c r="X59" s="44">
        <f>X58-X57</f>
        <v/>
      </c>
      <c r="Y59" s="44">
        <f>Y58-Y57</f>
        <v/>
      </c>
      <c r="Z59" s="44">
        <f>Z58-Z57</f>
        <v/>
      </c>
      <c r="AA59" s="44">
        <f>AA58-AA57</f>
        <v/>
      </c>
      <c r="AB59" s="44">
        <f>AB58-AB57</f>
        <v/>
      </c>
      <c r="AC59" s="44">
        <f>AC58-AC57</f>
        <v/>
      </c>
      <c r="AD59" s="44">
        <f>AD58-AD57</f>
        <v/>
      </c>
      <c r="AE59" s="44">
        <f>AE58-AE57</f>
        <v/>
      </c>
      <c r="AF59" s="44">
        <f>SUM(F59:AE59)</f>
        <v/>
      </c>
    </row>
  </sheetData>
  <mergeCells count="3">
    <mergeCell ref="B5:AF5"/>
    <mergeCell ref="B24:AF24"/>
    <mergeCell ref="B43:A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2">
      <c r="B2" s="8" t="inlineStr">
        <is>
          <t>Summary — Bee Propolis Scenario Comparison</t>
        </is>
      </c>
    </row>
    <row r="3">
      <c r="B3" s="2">
        <f>"Test window: W1 ("&amp;TEXT(StartDate,"d-mmm-yyyy")&amp;") through W"&amp;Period&amp;" ("&amp;TEXT(StartDate+7*(Period-1),"d-mmm-yyyy")&amp;")"</f>
        <v/>
      </c>
    </row>
    <row r="5">
      <c r="B5" s="9" t="inlineStr">
        <is>
          <t>Metric</t>
        </is>
      </c>
      <c r="C5" s="10" t="inlineStr">
        <is>
          <t>BEST</t>
        </is>
      </c>
      <c r="D5" s="10" t="inlineStr">
        <is>
          <t>IDEAL</t>
        </is>
      </c>
      <c r="E5" s="10" t="inlineStr">
        <is>
          <t>WORST</t>
        </is>
      </c>
    </row>
    <row r="6">
      <c r="B6" s="45" t="inlineStr">
        <is>
          <t>Units Sold</t>
        </is>
      </c>
      <c r="C6" s="46">
        <f>Forecast!AF8</f>
        <v/>
      </c>
      <c r="D6" s="46">
        <f>Forecast!AF27</f>
        <v/>
      </c>
      <c r="E6" s="46">
        <f>Forecast!AF46</f>
        <v/>
      </c>
    </row>
    <row r="7">
      <c r="B7" s="45" t="inlineStr">
        <is>
          <t>Revenue</t>
        </is>
      </c>
      <c r="C7" s="47">
        <f>Forecast!AF10</f>
        <v/>
      </c>
      <c r="D7" s="47">
        <f>Forecast!AF29</f>
        <v/>
      </c>
      <c r="E7" s="47">
        <f>Forecast!AF48</f>
        <v/>
      </c>
    </row>
    <row r="8">
      <c r="B8" s="45" t="inlineStr">
        <is>
          <t>Raw COGS</t>
        </is>
      </c>
      <c r="C8" s="47">
        <f>Forecast!AF12</f>
        <v/>
      </c>
      <c r="D8" s="47">
        <f>Forecast!AF31</f>
        <v/>
      </c>
      <c r="E8" s="47">
        <f>Forecast!AF50</f>
        <v/>
      </c>
    </row>
    <row r="9">
      <c r="B9" s="48" t="inlineStr">
        <is>
          <t>Gross Profit</t>
        </is>
      </c>
      <c r="C9" s="43">
        <f>Forecast!AF20</f>
        <v/>
      </c>
      <c r="D9" s="43">
        <f>Forecast!AF39</f>
        <v/>
      </c>
      <c r="E9" s="43">
        <f>Forecast!AF58</f>
        <v/>
      </c>
    </row>
    <row r="10">
      <c r="B10" s="48" t="inlineStr">
        <is>
          <t>Gross Margin %</t>
        </is>
      </c>
      <c r="C10" s="49">
        <f>IFERROR(Forecast!AF20/Forecast!AF10,0)</f>
        <v/>
      </c>
      <c r="D10" s="49">
        <f>IFERROR(Forecast!AF39/Forecast!AF29,0)</f>
        <v/>
      </c>
      <c r="E10" s="49">
        <f>IFERROR(Forecast!AF58/Forecast!AF48,0)</f>
        <v/>
      </c>
    </row>
    <row r="11">
      <c r="B11" s="45" t="inlineStr">
        <is>
          <t>Demo Spend</t>
        </is>
      </c>
      <c r="C11" s="47">
        <f>Forecast!AF13</f>
        <v/>
      </c>
      <c r="D11" s="47">
        <f>Forecast!AF32</f>
        <v/>
      </c>
      <c r="E11" s="47">
        <f>Forecast!AF51</f>
        <v/>
      </c>
    </row>
    <row r="12">
      <c r="B12" s="45" t="inlineStr">
        <is>
          <t>End Cap Spend</t>
        </is>
      </c>
      <c r="C12" s="47">
        <f>Forecast!AF14</f>
        <v/>
      </c>
      <c r="D12" s="47">
        <f>Forecast!AF33</f>
        <v/>
      </c>
      <c r="E12" s="47">
        <f>Forecast!AF52</f>
        <v/>
      </c>
    </row>
    <row r="13">
      <c r="B13" s="45" t="inlineStr">
        <is>
          <t>Fence Spend</t>
        </is>
      </c>
      <c r="C13" s="47">
        <f>Forecast!AF15</f>
        <v/>
      </c>
      <c r="D13" s="47">
        <f>Forecast!AF34</f>
        <v/>
      </c>
      <c r="E13" s="47">
        <f>Forecast!AF53</f>
        <v/>
      </c>
    </row>
    <row r="14">
      <c r="B14" s="45" t="inlineStr">
        <is>
          <t>TPD Spend</t>
        </is>
      </c>
      <c r="C14" s="47">
        <f>Forecast!AF16</f>
        <v/>
      </c>
      <c r="D14" s="47">
        <f>Forecast!AF35</f>
        <v/>
      </c>
      <c r="E14" s="47">
        <f>Forecast!AF54</f>
        <v/>
      </c>
    </row>
    <row r="15">
      <c r="B15" s="45" t="inlineStr">
        <is>
          <t>Markdown Spend</t>
        </is>
      </c>
      <c r="C15" s="47">
        <f>Forecast!AF17</f>
        <v/>
      </c>
      <c r="D15" s="47">
        <f>Forecast!AF36</f>
        <v/>
      </c>
      <c r="E15" s="47">
        <f>Forecast!AF55</f>
        <v/>
      </c>
    </row>
    <row r="16">
      <c r="B16" s="45" t="inlineStr">
        <is>
          <t>Advertising Spend</t>
        </is>
      </c>
      <c r="C16" s="47">
        <f>Forecast!AF18</f>
        <v/>
      </c>
      <c r="D16" s="47">
        <f>Forecast!AF37</f>
        <v/>
      </c>
      <c r="E16" s="47">
        <f>Forecast!AF56</f>
        <v/>
      </c>
    </row>
    <row r="17">
      <c r="B17" s="48" t="inlineStr">
        <is>
          <t>Total Promo Spend</t>
        </is>
      </c>
      <c r="C17" s="43">
        <f>Forecast!AF19</f>
        <v/>
      </c>
      <c r="D17" s="43">
        <f>Forecast!AF38</f>
        <v/>
      </c>
      <c r="E17" s="43">
        <f>Forecast!AF57</f>
        <v/>
      </c>
    </row>
    <row r="18">
      <c r="B18" s="48" t="inlineStr">
        <is>
          <t>Net Profit</t>
        </is>
      </c>
      <c r="C18" s="43">
        <f>Forecast!AF21</f>
        <v/>
      </c>
      <c r="D18" s="43">
        <f>Forecast!AF40</f>
        <v/>
      </c>
      <c r="E18" s="43">
        <f>Forecast!AF59</f>
        <v/>
      </c>
    </row>
    <row r="19">
      <c r="B19" s="48" t="inlineStr">
        <is>
          <t>Net Margin %</t>
        </is>
      </c>
      <c r="C19" s="49">
        <f>IFERROR(Forecast!AF21/Forecast!AF10,0)</f>
        <v/>
      </c>
      <c r="D19" s="49">
        <f>IFERROR(Forecast!AF40/Forecast!AF29,0)</f>
        <v/>
      </c>
      <c r="E19" s="49">
        <f>IFERROR(Forecast!AF59/Forecast!AF48,0)</f>
        <v/>
      </c>
    </row>
    <row r="20">
      <c r="B20" s="50" t="inlineStr">
        <is>
          <t>ROI on Promo Spend</t>
        </is>
      </c>
      <c r="C20" s="51">
        <f>IFERROR(Forecast!AF21/Forecast!AF19,0)</f>
        <v/>
      </c>
      <c r="D20" s="51">
        <f>IFERROR(Forecast!AF40/Forecast!AF38,0)</f>
        <v/>
      </c>
      <c r="E20" s="51">
        <f>IFERROR(Forecast!AF59/Forecast!AF57,0)</f>
        <v/>
      </c>
    </row>
    <row r="21">
      <c r="B21" s="45" t="inlineStr">
        <is>
          <t>Avg Units / WH / Wk</t>
        </is>
      </c>
      <c r="C21" s="46">
        <f>IFERROR(Forecast!AF8/WHs/Period,0)</f>
        <v/>
      </c>
      <c r="D21" s="46">
        <f>IFERROR(Forecast!AF27/WHs/Period,0)</f>
        <v/>
      </c>
      <c r="E21" s="46">
        <f>IFERROR(Forecast!AF46/WHs/Period,0)</f>
        <v/>
      </c>
    </row>
    <row r="24" ht="18" customHeight="1">
      <c r="B24" s="3" t="inlineStr">
        <is>
          <t>SCENARIO RATIONALE</t>
        </is>
      </c>
      <c r="C24" s="11" t="n"/>
      <c r="D24" s="11" t="n"/>
      <c r="E24" s="11" t="n"/>
    </row>
    <row r="25" ht="30" customHeight="1">
      <c r="B25" s="52" t="inlineStr">
        <is>
          <t>BEST</t>
        </is>
      </c>
      <c r="C25" s="4" t="inlineStr">
        <is>
          <t>Two demo weekends with TPD. Demo lifts ~3x in-week. No end cap, no markdown.</t>
        </is>
      </c>
    </row>
    <row r="26" ht="30" customHeight="1">
      <c r="B26" s="52" t="inlineStr">
        <is>
          <t>IDEAL</t>
        </is>
      </c>
      <c r="C26" s="4" t="inlineStr">
        <is>
          <t>Demo + end cap + TPD stacked for two weeks. Combined velocity ~3.6x base.</t>
        </is>
      </c>
    </row>
    <row r="27" ht="30" customHeight="1">
      <c r="B27" s="52" t="inlineStr">
        <is>
          <t>WORST</t>
        </is>
      </c>
      <c r="C27" s="4" t="inlineStr">
        <is>
          <t>Promo plan as IDEAL but residual inventory clears at 50% off over Wks 18-20.</t>
        </is>
      </c>
    </row>
  </sheetData>
  <mergeCells count="4">
    <mergeCell ref="C25:E25"/>
    <mergeCell ref="B24:E24"/>
    <mergeCell ref="C27:E27"/>
    <mergeCell ref="C26:E26"/>
  </mergeCells>
  <conditionalFormatting sqref="C18:E18">
    <cfRule type="cellIs" priority="1" operator="lessThan" dxfId="0">
      <formula>0</formula>
    </cfRule>
  </conditionalFormatting>
  <conditionalFormatting sqref="C20:E20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R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2" customWidth="1" min="3" max="3"/>
    <col width="32" customWidth="1" min="4" max="4"/>
    <col width="12" customWidth="1" min="5" max="5"/>
    <col width="9" customWidth="1" min="6" max="6"/>
    <col width="9" customWidth="1" min="7" max="7"/>
    <col width="9" customWidth="1" min="8" max="8"/>
    <col width="8" customWidth="1" min="9" max="9"/>
    <col width="11" customWidth="1" min="10" max="10"/>
    <col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8" customWidth="1" min="16" max="16"/>
    <col width="8" customWidth="1" min="17" max="17"/>
    <col width="40" customWidth="1" min="18" max="18"/>
  </cols>
  <sheetData>
    <row r="2">
      <c r="B2" s="8" t="inlineStr">
        <is>
          <t>Portfolio — D93 Pitch SKUs (Annual Y1 Roll-Up)</t>
        </is>
      </c>
    </row>
    <row r="3">
      <c r="B3" s="2" t="inlineStr">
        <is>
          <t>Bee Propolis pre-filled at indicative annual numbers. Other rows: paste in SP, Cost, Y1 Units, and Promo Spend from Asana. Bottom row blends across SKUs.</t>
        </is>
      </c>
    </row>
    <row r="5">
      <c r="B5" s="53" t="inlineStr">
        <is>
          <t>#</t>
        </is>
      </c>
      <c r="C5" s="54" t="inlineStr">
        <is>
          <t>Code</t>
        </is>
      </c>
      <c r="D5" s="54" t="inlineStr">
        <is>
          <t>SKU</t>
        </is>
      </c>
      <c r="E5" s="54" t="inlineStr">
        <is>
          <t>Pack</t>
        </is>
      </c>
      <c r="F5" s="53" t="inlineStr">
        <is>
          <t>SP £</t>
        </is>
      </c>
      <c r="G5" s="53" t="inlineStr">
        <is>
          <t>Cost £</t>
        </is>
      </c>
      <c r="H5" s="53" t="inlineStr">
        <is>
          <t>GM/u £</t>
        </is>
      </c>
      <c r="I5" s="53" t="inlineStr">
        <is>
          <t>GM %</t>
        </is>
      </c>
      <c r="J5" s="53" t="inlineStr">
        <is>
          <t>Y1 Units</t>
        </is>
      </c>
      <c r="K5" s="53" t="inlineStr">
        <is>
          <t>Revenue £</t>
        </is>
      </c>
      <c r="L5" s="53" t="inlineStr">
        <is>
          <t>COGS £</t>
        </is>
      </c>
      <c r="M5" s="53" t="inlineStr">
        <is>
          <t>GP £</t>
        </is>
      </c>
      <c r="N5" s="53" t="inlineStr">
        <is>
          <t>Promo £</t>
        </is>
      </c>
      <c r="O5" s="53" t="inlineStr">
        <is>
          <t>Net Profit £</t>
        </is>
      </c>
      <c r="P5" s="53" t="inlineStr">
        <is>
          <t>Net %</t>
        </is>
      </c>
      <c r="Q5" s="53" t="inlineStr">
        <is>
          <t>ROI %</t>
        </is>
      </c>
      <c r="R5" s="54" t="inlineStr">
        <is>
          <t>Rationale / status</t>
        </is>
      </c>
    </row>
    <row r="6" ht="18" customHeight="1">
      <c r="B6" s="55" t="n">
        <v>1</v>
      </c>
      <c r="C6" s="6" t="inlineStr">
        <is>
          <t>UK-D93-#1</t>
        </is>
      </c>
      <c r="D6" s="25" t="inlineStr">
        <is>
          <t>Bee Propolis Spray 30ml x2</t>
        </is>
      </c>
      <c r="E6" s="5" t="inlineStr">
        <is>
          <t>30ml x 2</t>
        </is>
      </c>
      <c r="F6" s="56" t="n">
        <v>15.99</v>
      </c>
      <c r="G6" s="56" t="n">
        <v>7.29</v>
      </c>
      <c r="H6" s="38">
        <f>IFERROR(F6-G6,0)</f>
        <v/>
      </c>
      <c r="I6" s="57">
        <f>IFERROR((F6-G6)/F6,0)</f>
        <v/>
      </c>
      <c r="J6" s="58" t="n">
        <v>17000</v>
      </c>
      <c r="K6" s="42">
        <f>IFERROR(J6*F6,0)</f>
        <v/>
      </c>
      <c r="L6" s="42">
        <f>IFERROR(J6*G6,0)</f>
        <v/>
      </c>
      <c r="M6" s="40">
        <f>IFERROR(K6-L6,0)</f>
        <v/>
      </c>
      <c r="N6" s="59" t="n">
        <v>25000</v>
      </c>
      <c r="O6" s="40">
        <f>IFERROR(M6-N6,0)</f>
        <v/>
      </c>
      <c r="P6" s="57">
        <f>IFERROR(O6/K6,0)</f>
        <v/>
      </c>
      <c r="Q6" s="57">
        <f>IFERROR(O6/N6,0)</f>
        <v/>
      </c>
      <c r="R6" s="6" t="inlineStr">
        <is>
          <t>Lead pitch — strong GP%, supported by demo + TPD.</t>
        </is>
      </c>
    </row>
    <row r="7" ht="18" customHeight="1">
      <c r="B7" s="55" t="n">
        <v>2</v>
      </c>
      <c r="C7" s="6" t="inlineStr">
        <is>
          <t>UK-D93-#2</t>
        </is>
      </c>
      <c r="D7" s="25" t="inlineStr">
        <is>
          <t>Mag 8-in-1 90's/120's</t>
        </is>
      </c>
      <c r="E7" s="5" t="n"/>
      <c r="F7" s="56" t="n"/>
      <c r="G7" s="56" t="n"/>
      <c r="H7" s="38">
        <f>IFERROR(F7-G7,0)</f>
        <v/>
      </c>
      <c r="I7" s="57">
        <f>IFERROR((F7-G7)/F7,0)</f>
        <v/>
      </c>
      <c r="J7" s="58" t="n"/>
      <c r="K7" s="42">
        <f>IFERROR(J7*F7,0)</f>
        <v/>
      </c>
      <c r="L7" s="42">
        <f>IFERROR(J7*G7,0)</f>
        <v/>
      </c>
      <c r="M7" s="40">
        <f>IFERROR(K7-L7,0)</f>
        <v/>
      </c>
      <c r="N7" s="59" t="n"/>
      <c r="O7" s="40">
        <f>IFERROR(M7-N7,0)</f>
        <v/>
      </c>
      <c r="P7" s="57">
        <f>IFERROR(O7/K7,0)</f>
        <v/>
      </c>
      <c r="Q7" s="57">
        <f>IFERROR(O7/N7,0)</f>
        <v/>
      </c>
      <c r="R7" s="5" t="inlineStr"/>
    </row>
    <row r="8" ht="18" customHeight="1">
      <c r="B8" s="55" t="n">
        <v>3</v>
      </c>
      <c r="C8" s="6" t="inlineStr">
        <is>
          <t>UK-D93-#3</t>
        </is>
      </c>
      <c r="D8" s="25" t="inlineStr">
        <is>
          <t>O1 450g</t>
        </is>
      </c>
      <c r="E8" s="5" t="n"/>
      <c r="F8" s="56" t="n"/>
      <c r="G8" s="56" t="n"/>
      <c r="H8" s="38">
        <f>IFERROR(F8-G8,0)</f>
        <v/>
      </c>
      <c r="I8" s="57">
        <f>IFERROR((F8-G8)/F8,0)</f>
        <v/>
      </c>
      <c r="J8" s="58" t="n"/>
      <c r="K8" s="42">
        <f>IFERROR(J8*F8,0)</f>
        <v/>
      </c>
      <c r="L8" s="42">
        <f>IFERROR(J8*G8,0)</f>
        <v/>
      </c>
      <c r="M8" s="40">
        <f>IFERROR(K8-L8,0)</f>
        <v/>
      </c>
      <c r="N8" s="59" t="n"/>
      <c r="O8" s="40">
        <f>IFERROR(M8-N8,0)</f>
        <v/>
      </c>
      <c r="P8" s="57">
        <f>IFERROR(O8/K8,0)</f>
        <v/>
      </c>
      <c r="Q8" s="57">
        <f>IFERROR(O8/N8,0)</f>
        <v/>
      </c>
      <c r="R8" s="5" t="inlineStr"/>
    </row>
    <row r="9" ht="18" customHeight="1">
      <c r="B9" s="55" t="n">
        <v>4</v>
      </c>
      <c r="C9" s="6" t="inlineStr">
        <is>
          <t>UK-D93-#4</t>
        </is>
      </c>
      <c r="D9" s="25" t="inlineStr">
        <is>
          <t>Belli Bliss Raspberry, 450g</t>
        </is>
      </c>
      <c r="E9" s="5" t="n"/>
      <c r="F9" s="56" t="n"/>
      <c r="G9" s="56" t="n"/>
      <c r="H9" s="38">
        <f>IFERROR(F9-G9,0)</f>
        <v/>
      </c>
      <c r="I9" s="57">
        <f>IFERROR((F9-G9)/F9,0)</f>
        <v/>
      </c>
      <c r="J9" s="58" t="n"/>
      <c r="K9" s="42">
        <f>IFERROR(J9*F9,0)</f>
        <v/>
      </c>
      <c r="L9" s="42">
        <f>IFERROR(J9*G9,0)</f>
        <v/>
      </c>
      <c r="M9" s="40">
        <f>IFERROR(K9-L9,0)</f>
        <v/>
      </c>
      <c r="N9" s="59" t="n"/>
      <c r="O9" s="40">
        <f>IFERROR(M9-N9,0)</f>
        <v/>
      </c>
      <c r="P9" s="57">
        <f>IFERROR(O9/K9,0)</f>
        <v/>
      </c>
      <c r="Q9" s="57">
        <f>IFERROR(O9/N9,0)</f>
        <v/>
      </c>
      <c r="R9" s="5" t="inlineStr"/>
    </row>
    <row r="10" ht="18" customHeight="1">
      <c r="B10" s="55" t="n">
        <v>5</v>
      </c>
      <c r="C10" s="6" t="inlineStr">
        <is>
          <t>UK-D93-#5</t>
        </is>
      </c>
      <c r="D10" s="25" t="inlineStr">
        <is>
          <t>Daily Boost</t>
        </is>
      </c>
      <c r="E10" s="5" t="n"/>
      <c r="F10" s="56" t="n"/>
      <c r="G10" s="56" t="n"/>
      <c r="H10" s="38">
        <f>IFERROR(F10-G10,0)</f>
        <v/>
      </c>
      <c r="I10" s="57">
        <f>IFERROR((F10-G10)/F10,0)</f>
        <v/>
      </c>
      <c r="J10" s="58" t="n"/>
      <c r="K10" s="42">
        <f>IFERROR(J10*F10,0)</f>
        <v/>
      </c>
      <c r="L10" s="42">
        <f>IFERROR(J10*G10,0)</f>
        <v/>
      </c>
      <c r="M10" s="40">
        <f>IFERROR(K10-L10,0)</f>
        <v/>
      </c>
      <c r="N10" s="59" t="n"/>
      <c r="O10" s="40">
        <f>IFERROR(M10-N10,0)</f>
        <v/>
      </c>
      <c r="P10" s="57">
        <f>IFERROR(O10/K10,0)</f>
        <v/>
      </c>
      <c r="Q10" s="57">
        <f>IFERROR(O10/N10,0)</f>
        <v/>
      </c>
      <c r="R10" s="5" t="inlineStr"/>
    </row>
    <row r="11" ht="18" customHeight="1">
      <c r="B11" s="55" t="n">
        <v>6</v>
      </c>
      <c r="C11" s="6" t="inlineStr">
        <is>
          <t>UK-D93-#6</t>
        </is>
      </c>
      <c r="D11" s="25" t="inlineStr">
        <is>
          <t>Berberine 90's/120's</t>
        </is>
      </c>
      <c r="E11" s="5" t="n"/>
      <c r="F11" s="56" t="n"/>
      <c r="G11" s="56" t="n"/>
      <c r="H11" s="38">
        <f>IFERROR(F11-G11,0)</f>
        <v/>
      </c>
      <c r="I11" s="57">
        <f>IFERROR((F11-G11)/F11,0)</f>
        <v/>
      </c>
      <c r="J11" s="58" t="n"/>
      <c r="K11" s="42">
        <f>IFERROR(J11*F11,0)</f>
        <v/>
      </c>
      <c r="L11" s="42">
        <f>IFERROR(J11*G11,0)</f>
        <v/>
      </c>
      <c r="M11" s="40">
        <f>IFERROR(K11-L11,0)</f>
        <v/>
      </c>
      <c r="N11" s="59" t="n"/>
      <c r="O11" s="40">
        <f>IFERROR(M11-N11,0)</f>
        <v/>
      </c>
      <c r="P11" s="57">
        <f>IFERROR(O11/K11,0)</f>
        <v/>
      </c>
      <c r="Q11" s="57">
        <f>IFERROR(O11/N11,0)</f>
        <v/>
      </c>
      <c r="R11" s="5" t="inlineStr"/>
    </row>
    <row r="12" ht="18" customHeight="1">
      <c r="B12" s="55" t="n">
        <v>7</v>
      </c>
      <c r="C12" s="6" t="inlineStr">
        <is>
          <t>UK-D93-#7</t>
        </is>
      </c>
      <c r="D12" s="25" t="inlineStr">
        <is>
          <t>L-theanine Capsules 90's/120's</t>
        </is>
      </c>
      <c r="E12" s="5" t="n"/>
      <c r="F12" s="56" t="n"/>
      <c r="G12" s="56" t="n"/>
      <c r="H12" s="38">
        <f>IFERROR(F12-G12,0)</f>
        <v/>
      </c>
      <c r="I12" s="57">
        <f>IFERROR((F12-G12)/F12,0)</f>
        <v/>
      </c>
      <c r="J12" s="58" t="n"/>
      <c r="K12" s="42">
        <f>IFERROR(J12*F12,0)</f>
        <v/>
      </c>
      <c r="L12" s="42">
        <f>IFERROR(J12*G12,0)</f>
        <v/>
      </c>
      <c r="M12" s="40">
        <f>IFERROR(K12-L12,0)</f>
        <v/>
      </c>
      <c r="N12" s="59" t="n"/>
      <c r="O12" s="40">
        <f>IFERROR(M12-N12,0)</f>
        <v/>
      </c>
      <c r="P12" s="57">
        <f>IFERROR(O12/K12,0)</f>
        <v/>
      </c>
      <c r="Q12" s="57">
        <f>IFERROR(O12/N12,0)</f>
        <v/>
      </c>
      <c r="R12" s="5" t="inlineStr"/>
    </row>
    <row r="13" ht="22" customHeight="1">
      <c r="B13" s="60" t="inlineStr"/>
      <c r="C13" s="60" t="inlineStr"/>
      <c r="D13" s="50" t="inlineStr">
        <is>
          <t>PORTFOLIO TOTAL / BLENDED</t>
        </is>
      </c>
      <c r="E13" s="60" t="inlineStr"/>
      <c r="F13" s="60" t="inlineStr"/>
      <c r="G13" s="60" t="inlineStr"/>
      <c r="H13" s="60" t="inlineStr"/>
      <c r="I13" s="51">
        <f>IFERROR(SUM(M6:M12)/SUM(K6:K12),0)</f>
        <v/>
      </c>
      <c r="J13" s="61">
        <f>SUM(J6:J12)</f>
        <v/>
      </c>
      <c r="K13" s="44">
        <f>SUM(K6:K12)</f>
        <v/>
      </c>
      <c r="L13" s="44">
        <f>SUM(L6:L12)</f>
        <v/>
      </c>
      <c r="M13" s="44">
        <f>SUM(M6:M12)</f>
        <v/>
      </c>
      <c r="N13" s="44">
        <f>SUM(N6:N12)</f>
        <v/>
      </c>
      <c r="O13" s="44">
        <f>SUM(O6:O12)</f>
        <v/>
      </c>
      <c r="P13" s="51">
        <f>IFERROR(O13/K13,0)</f>
        <v/>
      </c>
      <c r="Q13" s="51">
        <f>IFERROR(O13/N13,0)</f>
        <v/>
      </c>
      <c r="R13" s="62" t="inlineStr">
        <is>
          <t>Blended across all SKUs</t>
        </is>
      </c>
    </row>
    <row r="15" ht="28" customHeight="1">
      <c r="B15" s="13" t="inlineStr">
        <is>
          <t>Note: GM% and Net% on the total row are weighted by revenue (Σ GP / Σ Rev). ROI is Σ Net Profit / Σ Promo Spend.  Blue cells are inputs — fill in from Asana for rows 2-7.</t>
        </is>
      </c>
    </row>
  </sheetData>
  <mergeCells count="2">
    <mergeCell ref="B15:R15"/>
    <mergeCell ref="B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2026-05-26T22:09:33Z</dcterms:created>
  <dcterms:modified xsi:type="dcterms:W3CDTF">2026-05-26T22:09:33Z</dcterms:modified>
</cp:coreProperties>
</file>