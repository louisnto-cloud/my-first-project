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orecast" sheetId="3" state="visible" r:id="rId3"/>
    <sheet name="Summary" sheetId="4" state="visible" r:id="rId4"/>
  </sheets>
  <definedNames/>
  <calcPr calcId="124519" fullCalcOnLoad="1"/>
</workbook>
</file>

<file path=xl/styles.xml><?xml version="1.0" encoding="utf-8"?>
<styleSheet xmlns="http://schemas.openxmlformats.org/spreadsheetml/2006/main">
  <numFmts count="8">
    <numFmt numFmtId="164" formatCode="yyyy-mm-dd"/>
    <numFmt numFmtId="165" formatCode="dd-mmm-yyyy"/>
    <numFmt numFmtId="166" formatCode="_-£* #,##0.00_-;[Red]-£* #,##0.00_-;_-£* &quot;-&quot;??_-;_-@_-"/>
    <numFmt numFmtId="167" formatCode="0.0%"/>
    <numFmt numFmtId="168" formatCode="_-£* #,##0_-;[Red]-£* #,##0_-;_-£* &quot;-&quot;??_-;_-@_-"/>
    <numFmt numFmtId="169" formatCode="0.0&quot;x&quot;"/>
    <numFmt numFmtId="170" formatCode="dd-mmm"/>
    <numFmt numFmtId="171" formatCode="0;;;@"/>
  </numFmts>
  <fonts count="18">
    <font>
      <name val="Calibri"/>
      <family val="2"/>
      <color theme="1"/>
      <sz val="11"/>
      <scheme val="minor"/>
    </font>
    <font>
      <name val="Calibri"/>
      <b val="1"/>
      <color rgb="001F4E78"/>
      <sz val="20"/>
    </font>
    <font>
      <name val="Calibri"/>
      <i val="1"/>
      <color rgb="00595959"/>
      <sz val="12"/>
    </font>
    <font>
      <name val="Calibri"/>
      <b val="1"/>
      <color rgb="00FFFFFF"/>
      <sz val="13"/>
    </font>
    <font>
      <name val="Calibri"/>
      <b val="1"/>
      <color rgb="001F4E78"/>
      <sz val="11"/>
    </font>
    <font>
      <name val="Calibri"/>
      <b val="1"/>
      <color rgb="00FFFFFF"/>
      <sz val="18"/>
    </font>
    <font>
      <name val="Calibri"/>
      <b val="1"/>
      <color rgb="00595959"/>
      <sz val="10"/>
    </font>
    <font>
      <name val="Calibri"/>
      <b val="1"/>
      <color rgb="00FFFFFF"/>
      <sz val="12"/>
    </font>
    <font>
      <name val="Calibri"/>
      <b val="1"/>
      <sz val="11"/>
    </font>
    <font>
      <name val="Calibri"/>
      <b val="1"/>
      <color rgb="000070C0"/>
      <sz val="11"/>
    </font>
    <font>
      <name val="Calibri"/>
      <i val="1"/>
      <color rgb="00595959"/>
      <sz val="10"/>
    </font>
    <font>
      <name val="Calibri"/>
      <sz val="11"/>
    </font>
    <font>
      <name val="Calibri"/>
      <b val="1"/>
      <color rgb="00FFFFFF"/>
      <sz val="10"/>
    </font>
    <font>
      <name val="Calibri"/>
      <color rgb="00595959"/>
      <sz val="9"/>
    </font>
    <font>
      <name val="Calibri"/>
      <i val="1"/>
      <color rgb="00595959"/>
      <sz val="11"/>
    </font>
    <font>
      <name val="Calibri"/>
      <b val="1"/>
      <color rgb="00FFFFFF"/>
      <sz val="11"/>
    </font>
    <font>
      <name val="Calibri"/>
      <color rgb="00000000"/>
      <sz val="11"/>
    </font>
    <font>
      <name val="Calibri"/>
      <b val="1"/>
      <color rgb="001F4E78"/>
      <sz val="14"/>
    </font>
  </fonts>
  <fills count="8">
    <fill>
      <patternFill/>
    </fill>
    <fill>
      <patternFill patternType="gray125"/>
    </fill>
    <fill>
      <patternFill patternType="solid">
        <fgColor rgb="002E75B6"/>
      </patternFill>
    </fill>
    <fill>
      <patternFill patternType="solid">
        <fgColor rgb="00FFF2CC"/>
      </patternFill>
    </fill>
    <fill>
      <patternFill patternType="solid">
        <fgColor rgb="00F2F2F2"/>
      </patternFill>
    </fill>
    <fill>
      <patternFill patternType="solid">
        <fgColor rgb="00DDEBF7"/>
      </patternFill>
    </fill>
    <fill>
      <patternFill patternType="solid">
        <fgColor rgb="001F4E78"/>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0" borderId="0" pivotButton="0" quotePrefix="0" xfId="0"/>
    <xf numFmtId="0" fontId="0" fillId="0" borderId="0" applyAlignment="1" pivotButton="0" quotePrefix="0" xfId="0">
      <alignment horizontal="left" vertical="top" wrapText="1"/>
    </xf>
    <xf numFmtId="0" fontId="0" fillId="3" borderId="0" applyAlignment="1" pivotButton="0" quotePrefix="0" xfId="0">
      <alignment horizontal="left" vertical="center" wrapText="1"/>
    </xf>
    <xf numFmtId="0" fontId="0" fillId="4" borderId="0" applyAlignment="1" pivotButton="0" quotePrefix="0" xfId="0">
      <alignment horizontal="left" vertical="center" wrapText="1"/>
    </xf>
    <xf numFmtId="0" fontId="0" fillId="5" borderId="0" applyAlignment="1" pivotButton="0" quotePrefix="0" xfId="0">
      <alignment horizontal="left" vertical="center" wrapText="1"/>
    </xf>
    <xf numFmtId="0" fontId="5" fillId="6" borderId="0" applyAlignment="1" pivotButton="0" quotePrefix="0" xfId="0">
      <alignment horizontal="center" vertical="center" wrapText="1"/>
    </xf>
    <xf numFmtId="0" fontId="6" fillId="4" borderId="1" applyAlignment="1" pivotButton="0" quotePrefix="0" xfId="0">
      <alignment horizontal="left" vertical="center" wrapText="1"/>
    </xf>
    <xf numFmtId="0" fontId="6" fillId="4" borderId="1" applyAlignment="1" pivotButton="0" quotePrefix="0" xfId="0">
      <alignment horizontal="center" vertical="center" wrapText="1"/>
    </xf>
    <xf numFmtId="0" fontId="7" fillId="2" borderId="0" applyAlignment="1" pivotButton="0" quotePrefix="0" xfId="0">
      <alignment horizontal="left" vertical="center" wrapText="1"/>
    </xf>
    <xf numFmtId="0" fontId="8" fillId="0" borderId="0" applyAlignment="1" pivotButton="0" quotePrefix="0" xfId="0">
      <alignment horizontal="left" vertical="center" wrapText="1"/>
    </xf>
    <xf numFmtId="0" fontId="9" fillId="3" borderId="1" applyAlignment="1" pivotButton="0" quotePrefix="0" xfId="0">
      <alignment horizontal="right" vertical="center"/>
    </xf>
    <xf numFmtId="0" fontId="10" fillId="0" borderId="0" applyAlignment="1" pivotButton="0" quotePrefix="0" xfId="0">
      <alignment horizontal="left" vertical="top" wrapText="1"/>
    </xf>
    <xf numFmtId="165" fontId="9" fillId="3" borderId="1" applyAlignment="1" pivotButton="0" quotePrefix="0" xfId="0">
      <alignment horizontal="right" vertical="center"/>
    </xf>
    <xf numFmtId="3" fontId="9" fillId="3" borderId="1" applyAlignment="1" pivotButton="0" quotePrefix="0" xfId="0">
      <alignment horizontal="right" vertical="center"/>
    </xf>
    <xf numFmtId="166" fontId="9" fillId="3" borderId="1" applyAlignment="1" pivotButton="0" quotePrefix="0" xfId="0">
      <alignment horizontal="right" vertical="center"/>
    </xf>
    <xf numFmtId="166" fontId="11" fillId="4" borderId="1" applyAlignment="1" pivotButton="0" quotePrefix="0" xfId="0">
      <alignment horizontal="right" vertical="center"/>
    </xf>
    <xf numFmtId="167" fontId="11" fillId="4" borderId="1" applyAlignment="1" pivotButton="0" quotePrefix="0" xfId="0">
      <alignment horizontal="right" vertical="center"/>
    </xf>
    <xf numFmtId="167" fontId="9" fillId="3" borderId="1" applyAlignment="1" pivotButton="0" quotePrefix="0" xfId="0">
      <alignment horizontal="right" vertical="center"/>
    </xf>
    <xf numFmtId="4" fontId="9" fillId="3" borderId="1" applyAlignment="1" pivotButton="0" quotePrefix="0" xfId="0">
      <alignment horizontal="right" vertical="center"/>
    </xf>
    <xf numFmtId="3" fontId="11" fillId="4" borderId="1" applyAlignment="1" pivotButton="0" quotePrefix="0" xfId="0">
      <alignment horizontal="right" vertical="center"/>
    </xf>
    <xf numFmtId="168" fontId="9" fillId="3" borderId="1" applyAlignment="1" pivotButton="0" quotePrefix="0" xfId="0">
      <alignment horizontal="right" vertical="center"/>
    </xf>
    <xf numFmtId="169" fontId="9" fillId="3" borderId="1" applyAlignment="1" pivotButton="0" quotePrefix="0" xfId="0">
      <alignment horizontal="right" vertical="center"/>
    </xf>
    <xf numFmtId="168" fontId="11" fillId="4" borderId="1" applyAlignment="1" pivotButton="0" quotePrefix="0" xfId="0">
      <alignment horizontal="right" vertical="center"/>
    </xf>
    <xf numFmtId="0" fontId="7" fillId="6" borderId="0" applyAlignment="1" pivotButton="0" quotePrefix="0" xfId="0">
      <alignment horizontal="left" vertical="center" wrapText="1"/>
    </xf>
    <xf numFmtId="0" fontId="8" fillId="4" borderId="0" applyAlignment="1" pivotButton="0" quotePrefix="0" xfId="0">
      <alignment horizontal="left" vertical="center" wrapText="1"/>
    </xf>
    <xf numFmtId="0" fontId="12" fillId="2" borderId="1" applyAlignment="1" pivotButton="0" quotePrefix="0" xfId="0">
      <alignment horizontal="center" vertical="center" wrapText="1"/>
    </xf>
    <xf numFmtId="170" fontId="13" fillId="4" borderId="1" applyAlignment="1" pivotButton="0" quotePrefix="0" xfId="0">
      <alignment horizontal="center" vertical="center" wrapText="1"/>
    </xf>
    <xf numFmtId="0" fontId="8" fillId="0" borderId="0" pivotButton="0" quotePrefix="0" xfId="0"/>
    <xf numFmtId="171" fontId="9" fillId="3" borderId="1" applyAlignment="1" pivotButton="0" quotePrefix="0" xfId="0">
      <alignment horizontal="center" vertical="center" wrapText="1"/>
    </xf>
    <xf numFmtId="169" fontId="9" fillId="3" borderId="1" applyAlignment="1" pivotButton="0" quotePrefix="0" xfId="0">
      <alignment horizontal="center" vertical="center" wrapText="1"/>
    </xf>
    <xf numFmtId="0" fontId="12" fillId="6" borderId="1" applyAlignment="1" pivotButton="0" quotePrefix="0" xfId="0">
      <alignment horizontal="center" vertical="center" wrapText="1"/>
    </xf>
    <xf numFmtId="0" fontId="0" fillId="4" borderId="0" pivotButton="0" quotePrefix="0" xfId="0"/>
    <xf numFmtId="3" fontId="4" fillId="5" borderId="1" applyAlignment="1" pivotButton="0" quotePrefix="0" xfId="0">
      <alignment horizontal="right" vertical="center"/>
    </xf>
    <xf numFmtId="0" fontId="11" fillId="0" borderId="0" applyAlignment="1" pivotButton="0" quotePrefix="0" xfId="0">
      <alignment horizontal="left" vertical="center" wrapText="1"/>
    </xf>
    <xf numFmtId="166" fontId="4" fillId="5" borderId="1" applyAlignment="1" pivotButton="0" quotePrefix="0" xfId="0">
      <alignment horizontal="right" vertical="center"/>
    </xf>
    <xf numFmtId="168" fontId="4" fillId="5" borderId="1" applyAlignment="1" pivotButton="0" quotePrefix="0" xfId="0">
      <alignment horizontal="right" vertical="center"/>
    </xf>
    <xf numFmtId="0" fontId="4" fillId="0" borderId="0" applyAlignment="1" pivotButton="0" quotePrefix="0" xfId="0">
      <alignment horizontal="left" vertical="center" wrapText="1"/>
    </xf>
    <xf numFmtId="0" fontId="14" fillId="4" borderId="0" applyAlignment="1" pivotButton="0" quotePrefix="0" xfId="0">
      <alignment horizontal="center" vertical="center" wrapText="1"/>
    </xf>
    <xf numFmtId="0" fontId="15" fillId="2" borderId="0" applyAlignment="1" pivotButton="0" quotePrefix="0" xfId="0">
      <alignment horizontal="left" vertical="center" wrapText="1"/>
    </xf>
    <xf numFmtId="0" fontId="15" fillId="2" borderId="0" applyAlignment="1" pivotButton="0" quotePrefix="0" xfId="0">
      <alignment horizontal="center" vertical="center" wrapText="1"/>
    </xf>
    <xf numFmtId="0" fontId="16" fillId="7" borderId="1" applyAlignment="1" pivotButton="0" quotePrefix="0" xfId="0">
      <alignment horizontal="left" vertical="center" wrapText="1"/>
    </xf>
    <xf numFmtId="3" fontId="11" fillId="7" borderId="1" applyAlignment="1" pivotButton="0" quotePrefix="0" xfId="0">
      <alignment horizontal="right" vertical="center"/>
    </xf>
    <xf numFmtId="168" fontId="11" fillId="7" borderId="1" applyAlignment="1" pivotButton="0" quotePrefix="0" xfId="0">
      <alignment horizontal="right" vertical="center"/>
    </xf>
    <xf numFmtId="0" fontId="4" fillId="5" borderId="1" applyAlignment="1" pivotButton="0" quotePrefix="0" xfId="0">
      <alignment horizontal="left" vertical="center" wrapText="1"/>
    </xf>
    <xf numFmtId="168" fontId="17" fillId="5" borderId="1" applyAlignment="1" pivotButton="0" quotePrefix="0" xfId="0">
      <alignment horizontal="right" vertical="center"/>
    </xf>
    <xf numFmtId="167" fontId="17" fillId="5" borderId="1" applyAlignment="1" pivotButton="0" quotePrefix="0" xfId="0">
      <alignment horizontal="right" vertical="center"/>
    </xf>
    <xf numFmtId="0" fontId="4" fillId="0" borderId="0" applyAlignment="1" pivotButton="0" quotePrefix="0" xfId="0">
      <alignment horizontal="left" vertical="top" wrapText="1"/>
    </xf>
  </cellXfs>
  <cellStyles count="1">
    <cellStyle name="Normal" xfId="0" builtinId="0" hidden="0"/>
  </cellStyles>
  <dxfs count="2">
    <dxf>
      <font>
        <b val="1"/>
        <color rgb="009C0006"/>
      </font>
      <fill>
        <patternFill patternType="solid">
          <fgColor rgb="00FFC7CE"/>
        </patternFill>
      </fill>
    </dxf>
    <dxf>
      <font>
        <b val="1"/>
        <color rgb="00006100"/>
      </font>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40"/>
  <sheetViews>
    <sheetView showGridLines="0" workbookViewId="0">
      <selection activeCell="A1" sqref="A1"/>
    </sheetView>
  </sheetViews>
  <sheetFormatPr baseColWidth="8" defaultRowHeight="15"/>
  <cols>
    <col width="4" customWidth="1" min="1" max="1"/>
    <col width="110" customWidth="1" min="2" max="2"/>
  </cols>
  <sheetData>
    <row r="2">
      <c r="B2" s="1" t="inlineStr">
        <is>
          <t>Costco UK – Bee Propolis Spray 30ml x 2 Pack</t>
        </is>
      </c>
    </row>
    <row r="3">
      <c r="B3" s="2" t="inlineStr">
        <is>
          <t>Market Test ROI Model – v3.0</t>
        </is>
      </c>
    </row>
    <row r="5">
      <c r="B5" s="3" t="inlineStr">
        <is>
          <t>HOW TO USE THIS MODEL</t>
        </is>
      </c>
    </row>
    <row r="6">
      <c r="B6" s="4" t="inlineStr">
        <is>
          <t>INSTRUCTIONS</t>
        </is>
      </c>
    </row>
    <row r="7">
      <c r="B7" s="5" t="inlineStr"/>
    </row>
    <row r="8">
      <c r="B8" s="5" t="inlineStr">
        <is>
          <t>1.  Open the 'Inputs' sheet. Only the YELLOW cells are editable – everything else is calculated.</t>
        </is>
      </c>
    </row>
    <row r="9">
      <c r="B9" s="5" t="inlineStr"/>
    </row>
    <row r="10">
      <c r="B10" s="5" t="inlineStr">
        <is>
          <t>2.  Inputs are grouped into four blocks:</t>
        </is>
      </c>
    </row>
    <row r="11">
      <c r="B11" s="5" t="inlineStr">
        <is>
          <t xml:space="preserve">      •  Product &amp; Distribution – SKU, Test Start Date (Week 1), warehouses, test horizon.</t>
        </is>
      </c>
    </row>
    <row r="12">
      <c r="B12" s="5" t="inlineStr">
        <is>
          <t xml:space="preserve">      •  Pricing &amp; Cost – selling price, landed cost (gross margin recalculates automatically).</t>
        </is>
      </c>
    </row>
    <row r="13">
      <c r="B13" s="5" t="inlineStr">
        <is>
          <t xml:space="preserve">      •  Base Demand – organic units sold per warehouse per week with no promo support.</t>
        </is>
      </c>
    </row>
    <row r="14">
      <c r="B14" s="5" t="inlineStr">
        <is>
          <t xml:space="preserve">      •  Promo Economics – cost per warehouse for Demo / End Cap / Fence / Advertising, plus the TPD and Markdown discount %.</t>
        </is>
      </c>
    </row>
    <row r="15">
      <c r="B15" s="5" t="inlineStr"/>
    </row>
    <row r="16">
      <c r="B16" s="5" t="inlineStr">
        <is>
          <t>3.  OVERRIDES (column D). Any cell with a yellow 'Override (opt.)' next to it can be hand-set: leave blank to use the calculated value, or type a number to force a specific value. This applies to Gross Margin/unit, GM %, Base Units/Week, Demo Total £/Week, and End Cap Total £/Week.</t>
        </is>
      </c>
    </row>
    <row r="17">
      <c r="B17" s="5" t="inlineStr"/>
    </row>
    <row r="18">
      <c r="B18" s="5" t="inlineStr">
        <is>
          <t>4.  DATES. Set the 'Test Start Date (Week 1)' on Inputs and every week column on every sheet shows the week-commencing date automatically. Change one cell, everything updates.</t>
        </is>
      </c>
    </row>
    <row r="19">
      <c r="B19" s="5" t="inlineStr"/>
    </row>
    <row r="20">
      <c r="B20" s="5" t="inlineStr">
        <is>
          <t>5.  Each of the three scenarios (BEST / IDEAL / WORST) has its own activity grid on the Inputs sheet. For every week, tick (1) or leave blank (0) for each promo lever, and set the demand lift multiplier. Base demand is multiplied by the lift to get that week's units.</t>
        </is>
      </c>
    </row>
    <row r="21">
      <c r="B21" s="5" t="inlineStr"/>
    </row>
    <row r="22">
      <c r="B22" s="5" t="inlineStr">
        <is>
          <t>6.  The 'Forecast' sheet shows the week-by-week P&amp;L for each scenario, fully driven off Inputs. Do not edit this sheet – it will rebuild itself when Inputs change.</t>
        </is>
      </c>
    </row>
    <row r="23">
      <c r="B23" s="5" t="inlineStr"/>
    </row>
    <row r="24">
      <c r="B24" s="5" t="inlineStr">
        <is>
          <t>7.  The 'Summary' sheet rolls everything up into the six numbers leadership cares about: Revenue, Gross Profit, Gross Margin %, Promo Spend, Net Profit, and ROI on Promo Spend.</t>
        </is>
      </c>
    </row>
    <row r="25">
      <c r="B25" s="5" t="inlineStr"/>
    </row>
    <row r="26">
      <c r="B26" s="5" t="inlineStr"/>
    </row>
    <row r="27">
      <c r="B27" s="4" t="inlineStr">
        <is>
          <t>KEY CONCEPTS</t>
        </is>
      </c>
    </row>
    <row r="28" ht="42" customHeight="1">
      <c r="B28" s="5" t="inlineStr">
        <is>
          <t>•  Base Demand — Organic Costco velocity with no promo support. Derived from the prior 30ml SKU run-rate: ~500 units of life-time sales across 29 weeks of a similar test, scaled to 20 warehouses. Equivalent to ~13.8 units / warehouse / week.</t>
        </is>
      </c>
    </row>
    <row r="29" ht="42" customHeight="1">
      <c r="B29" s="5" t="inlineStr">
        <is>
          <t>•  Lift Multiplier — How much faster the SKU sells in a given week with promo support. 1.0x = base, 3.0x = demo, 3.6x = demo + end cap, 8.0x+ = clearance markdown.</t>
        </is>
      </c>
    </row>
    <row r="30" ht="42" customHeight="1">
      <c r="B30" s="5" t="inlineStr">
        <is>
          <t>•  TPD (Temporary Price Discount) — Standard Costco mechanic: 20% off MSRP. Because Costco takes a 20% retail margin, a 20% MSRP discount is equivalent to a 25% reduction on the net price the brand receives. Modelled as a per-unit deduction on TPD weeks.</t>
        </is>
      </c>
    </row>
    <row r="31" ht="42" customHeight="1">
      <c r="B31" s="5" t="inlineStr">
        <is>
          <t>•  Demo Cost — £199 / warehouse / weekend (Costco standard), grossed up by 1.86x for staffing &amp; POS materials. Total = £199 × WHs × 1.86.</t>
        </is>
      </c>
    </row>
    <row r="32" ht="42" customHeight="1">
      <c r="B32" s="5" t="inlineStr">
        <is>
          <t>•  End Cap Cost — £850 / warehouse / 2-week cycle, same 1.86x cost factor. Per-week cost is half.</t>
        </is>
      </c>
    </row>
    <row r="33" ht="42" customHeight="1">
      <c r="B33" s="5" t="inlineStr">
        <is>
          <t>•  Markdown Cost — Clearance price reduction modelled as % of revenue in the weeks markdown is active.</t>
        </is>
      </c>
    </row>
    <row r="34" ht="42" customHeight="1">
      <c r="B34" s="5" t="inlineStr">
        <is>
          <t>•  ROI on Promo Spend — Net Profit ÷ Promo Spend. Tells you what every £1 of promo investment returned. Negative = the promo plan destroyed value.</t>
        </is>
      </c>
    </row>
    <row r="35" ht="42" customHeight="1">
      <c r="B35" s="5" t="inlineStr">
        <is>
          <t>•  Override (col D) — Optional manual value next to any calculated cell. Type a number to force the model to use that figure instead of the formula result. Leave blank to use the formula. Note: overrides on Gross Margin/unit and GM % are display-only (Forecast uses Selling Price and Cost Price directly). Overrides on Base Units/Week, Demo Total, and End Cap Total flow into Forecast.</t>
        </is>
      </c>
    </row>
    <row r="37">
      <c r="B37" s="4" t="inlineStr">
        <is>
          <t>COLOUR KEY</t>
        </is>
      </c>
    </row>
    <row r="38">
      <c r="B38" s="6" t="inlineStr">
        <is>
          <t xml:space="preserve">   Yellow: Editable input – change me</t>
        </is>
      </c>
    </row>
    <row r="39">
      <c r="B39" s="7" t="inlineStr">
        <is>
          <t xml:space="preserve">   Grey: Calculated – do not edit</t>
        </is>
      </c>
    </row>
    <row r="40">
      <c r="B40" s="8" t="inlineStr">
        <is>
          <t xml:space="preserve">   Light Blue: Summary KPI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2:AE69"/>
  <sheetViews>
    <sheetView showGridLines="0" workbookViewId="0">
      <pane xSplit="5" ySplit="4" topLeftCell="F5" activePane="bottomRight" state="frozen"/>
      <selection pane="topRight"/>
      <selection pane="bottomLeft"/>
      <selection pane="bottomRight" activeCell="A1" sqref="A1"/>
    </sheetView>
  </sheetViews>
  <sheetFormatPr baseColWidth="8" defaultRowHeight="15"/>
  <cols>
    <col width="2" customWidth="1" min="1" max="1"/>
    <col width="38" customWidth="1" min="2" max="2"/>
    <col width="16" customWidth="1" min="3" max="3"/>
    <col width="16" customWidth="1" min="4" max="4"/>
    <col width="70"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s>
  <sheetData>
    <row r="2" ht="32" customHeight="1">
      <c r="B2" s="9" t="inlineStr">
        <is>
          <t>INPUTS &amp; ASSUMPTIONS — change yellow cells only</t>
        </is>
      </c>
    </row>
    <row r="3">
      <c r="B3" s="10" t="inlineStr">
        <is>
          <t>Field</t>
        </is>
      </c>
      <c r="C3" s="11" t="inlineStr">
        <is>
          <t>Value</t>
        </is>
      </c>
      <c r="D3" s="11" t="inlineStr">
        <is>
          <t>Override (opt.)</t>
        </is>
      </c>
      <c r="E3" s="10" t="inlineStr">
        <is>
          <t>Notes / justification</t>
        </is>
      </c>
    </row>
    <row r="5" ht="22" customHeight="1">
      <c r="B5" s="12" t="inlineStr">
        <is>
          <t>1.  Product &amp; Distribution</t>
        </is>
      </c>
    </row>
    <row r="6" ht="28" customHeight="1">
      <c r="B6" s="13" t="inlineStr">
        <is>
          <t>SKU</t>
        </is>
      </c>
      <c r="C6" s="14" t="inlineStr">
        <is>
          <t>Bee Propolis Spray 30ml x 2</t>
        </is>
      </c>
      <c r="E6" s="15" t="inlineStr">
        <is>
          <t>Costco UK market test SKU.</t>
        </is>
      </c>
    </row>
    <row r="7" ht="28" customHeight="1">
      <c r="B7" s="13" t="inlineStr">
        <is>
          <t>Test Start Date (Week 1)</t>
        </is>
      </c>
      <c r="C7" s="16" t="n">
        <v>46034</v>
      </c>
      <c r="E7" s="15" t="inlineStr">
        <is>
          <t>Week-commencing date of W1. Every week header on every sheet uses this as the anchor.</t>
        </is>
      </c>
    </row>
    <row r="8" ht="28" customHeight="1">
      <c r="B8" s="13" t="inlineStr">
        <is>
          <t>Test Warehouses</t>
        </is>
      </c>
      <c r="C8" s="17" t="n">
        <v>20</v>
      </c>
      <c r="E8" s="15" t="inlineStr">
        <is>
          <t>Number of Costco UK warehouses included in the market test.</t>
        </is>
      </c>
    </row>
    <row r="9" ht="28" customHeight="1">
      <c r="B9" s="13" t="inlineStr">
        <is>
          <t>Test Period (Weeks)</t>
        </is>
      </c>
      <c r="C9" s="17" t="n">
        <v>26</v>
      </c>
      <c r="E9" s="15" t="inlineStr">
        <is>
          <t>Forecast horizon. Model is built for 26 weeks (W1 through W26).</t>
        </is>
      </c>
    </row>
    <row r="11" ht="22" customHeight="1">
      <c r="B11" s="12" t="inlineStr">
        <is>
          <t>2.  Pricing &amp; Cost (per unit, £)</t>
        </is>
      </c>
    </row>
    <row r="12" ht="28" customHeight="1">
      <c r="B12" s="13" t="inlineStr">
        <is>
          <t>Selling Price (MSRP)</t>
        </is>
      </c>
      <c r="C12" s="18" t="n">
        <v>15.99</v>
      </c>
      <c r="E12" s="15" t="inlineStr">
        <is>
          <t>Retail price to member per 30ml x 2 pack.</t>
        </is>
      </c>
    </row>
    <row r="13" ht="28" customHeight="1">
      <c r="B13" s="13" t="inlineStr">
        <is>
          <t>Cost Price (landed)</t>
        </is>
      </c>
      <c r="C13" s="18" t="n">
        <v>7.29</v>
      </c>
      <c r="E13" s="15" t="inlineStr">
        <is>
          <t>Brand's cost to Costco delivered to depot.</t>
        </is>
      </c>
    </row>
    <row r="14" ht="28" customHeight="1">
      <c r="B14" s="13" t="inlineStr">
        <is>
          <t>Gross Margin per unit</t>
        </is>
      </c>
      <c r="C14" s="19">
        <f>IF(D14="",C12-C13,D14)</f>
        <v/>
      </c>
      <c r="D14" s="18" t="n"/>
      <c r="E14" s="15" t="inlineStr">
        <is>
          <t>Calculated: Selling Price - Cost Price. Override is display-only (Forecast uses SP and Cost directly).</t>
        </is>
      </c>
    </row>
    <row r="15" ht="28" customHeight="1">
      <c r="B15" s="13" t="inlineStr">
        <is>
          <t>Gross Margin %</t>
        </is>
      </c>
      <c r="C15" s="20">
        <f>IF(D15="",IFERROR((C12-C13)/C12,0),D15)</f>
        <v/>
      </c>
      <c r="D15" s="21" t="n"/>
      <c r="E15" s="15" t="inlineStr">
        <is>
          <t>Calculated: GP/SP. Healthy supplements benchmark 45-60%. Override is display-only.</t>
        </is>
      </c>
    </row>
    <row r="17" ht="22" customHeight="1">
      <c r="B17" s="12" t="inlineStr">
        <is>
          <t>3.  Base Demand (no promo support)</t>
        </is>
      </c>
    </row>
    <row r="18" ht="28" customHeight="1">
      <c r="B18" s="13" t="inlineStr">
        <is>
          <t>Units / Warehouse / Week</t>
        </is>
      </c>
      <c r="C18" s="22" t="n">
        <v>13.79</v>
      </c>
      <c r="E18" s="15" t="inlineStr">
        <is>
          <t>Equivalent to original '500 × 0.8 / 29' from prior 30ml SKU test (500 lifetime units × 80% sell-through over a 29-week reference window).</t>
        </is>
      </c>
    </row>
    <row r="19" ht="28" customHeight="1">
      <c r="B19" s="13" t="inlineStr">
        <is>
          <t>Base Units / Week (all warehouses)</t>
        </is>
      </c>
      <c r="C19" s="23">
        <f>IF(D19="",C18*$C$8,D19)</f>
        <v/>
      </c>
      <c r="D19" s="17" t="n"/>
      <c r="E19" s="15" t="inlineStr">
        <is>
          <t>Calculated: Per-warehouse rate × number of warehouses. OVERRIDE to set the all-warehouse weekly base directly (flows into Forecast).</t>
        </is>
      </c>
    </row>
    <row r="21" ht="22" customHeight="1">
      <c r="B21" s="12" t="inlineStr">
        <is>
          <t>4.  Promo Economics</t>
        </is>
      </c>
    </row>
    <row r="22" ht="28" customHeight="1">
      <c r="B22" s="13" t="inlineStr">
        <is>
          <t>Demo £ / warehouse / week</t>
        </is>
      </c>
      <c r="C22" s="24" t="n">
        <v>199</v>
      </c>
      <c r="E22" s="15" t="inlineStr">
        <is>
          <t>Costco UK standard demo rate per warehouse per weekend.</t>
        </is>
      </c>
    </row>
    <row r="23" ht="28" customHeight="1">
      <c r="B23" s="13" t="inlineStr">
        <is>
          <t>Demo cost factor (overhead × staffing)</t>
        </is>
      </c>
      <c r="C23" s="25" t="n">
        <v>1.86</v>
      </c>
      <c r="E23" s="15" t="inlineStr">
        <is>
          <t>Multiplier on raw demo fee to capture staffing, POS print &amp; overhead.</t>
        </is>
      </c>
    </row>
    <row r="24" ht="28" customHeight="1">
      <c r="B24" s="13" t="inlineStr">
        <is>
          <t>Demo Total £ / week</t>
        </is>
      </c>
      <c r="C24" s="26">
        <f>IF(D24="",C22*$C$8*C23,D24)</f>
        <v/>
      </c>
      <c r="D24" s="24" t="n"/>
      <c r="E24" s="15" t="inlineStr">
        <is>
          <t>Calculated: rate × warehouses × cost factor. OVERRIDE to set the all-warehouse demo £/week directly.</t>
        </is>
      </c>
    </row>
    <row r="25" ht="28" customHeight="1">
      <c r="B25" s="13" t="inlineStr">
        <is>
          <t>End Cap £ / warehouse / 2-week cycle</t>
        </is>
      </c>
      <c r="C25" s="24" t="n">
        <v>850</v>
      </c>
      <c r="E25" s="15" t="inlineStr">
        <is>
          <t>Costco UK standard end cap rental per warehouse for a 2-week placement.</t>
        </is>
      </c>
    </row>
    <row r="26" ht="28" customHeight="1">
      <c r="B26" s="13" t="inlineStr">
        <is>
          <t>End Cap cost factor</t>
        </is>
      </c>
      <c r="C26" s="25" t="n">
        <v>1.86</v>
      </c>
      <c r="E26" s="15" t="inlineStr">
        <is>
          <t>Same overhead multiplier as demo.</t>
        </is>
      </c>
    </row>
    <row r="27" ht="28" customHeight="1">
      <c r="B27" s="13" t="inlineStr">
        <is>
          <t>End Cap Total £ / week</t>
        </is>
      </c>
      <c r="C27" s="26">
        <f>IF(D27="",C25*$C$8*C26/2,D27)</f>
        <v/>
      </c>
      <c r="D27" s="24" t="n"/>
      <c r="E27" s="15" t="inlineStr">
        <is>
          <t>Calculated: rate × warehouses × factor ÷ 2 (booked over 2 weeks). OVERRIDE to set the all-warehouse end-cap £/week directly.</t>
        </is>
      </c>
    </row>
    <row r="28" ht="28" customHeight="1">
      <c r="B28" s="13" t="inlineStr">
        <is>
          <t>Fence £ / week (when active)</t>
        </is>
      </c>
      <c r="C28" s="24" t="n">
        <v>0</v>
      </c>
      <c r="E28" s="15" t="inlineStr">
        <is>
          <t>Optional fence display. Currently not budgeted.</t>
        </is>
      </c>
    </row>
    <row r="29" ht="28" customHeight="1">
      <c r="B29" s="13" t="inlineStr">
        <is>
          <t>Advertising £ / week (when active)</t>
        </is>
      </c>
      <c r="C29" s="24" t="n">
        <v>0</v>
      </c>
      <c r="E29" s="15" t="inlineStr">
        <is>
          <t>External media / coupon insert support. Currently not budgeted.</t>
        </is>
      </c>
    </row>
    <row r="30" ht="28" customHeight="1">
      <c r="B30" s="13" t="inlineStr">
        <is>
          <t>TPD discount %</t>
        </is>
      </c>
      <c r="C30" s="21" t="n">
        <v>0.25</v>
      </c>
      <c r="E30" s="15" t="inlineStr">
        <is>
          <t>Standard TPD: 20% off MSRP. Grossed up by 0.8 retail margin → 25% deduction on net.</t>
        </is>
      </c>
    </row>
    <row r="31" ht="28" customHeight="1">
      <c r="B31" s="13" t="inlineStr">
        <is>
          <t>Markdown discount %</t>
        </is>
      </c>
      <c r="C31" s="21" t="n">
        <v>0.5</v>
      </c>
      <c r="E31" s="15" t="inlineStr">
        <is>
          <t>Clearance pricing in worst-case markdown weeks.</t>
        </is>
      </c>
    </row>
    <row r="33" ht="22" customHeight="1">
      <c r="B33" s="12" t="inlineStr">
        <is>
          <t>5.  Scenario Activity &amp; Demand Lift (1 = promo active, 0 = off; Lift = demand multiplier vs base; Dates auto-fill)</t>
        </is>
      </c>
    </row>
    <row r="35" ht="22" customHeight="1">
      <c r="B35" s="27" t="inlineStr">
        <is>
          <t>BEST – x2 Demo (Wks 5-6) + TPD</t>
        </is>
      </c>
    </row>
    <row r="36" ht="32" customHeight="1">
      <c r="B36" s="15" t="inlineStr">
        <is>
          <t>Rationale: Two national demo weekends combined with a TPD price promo. Demo lifts unit velocity ~3x in-week (Costco benchmark for supplements). No end cap booked, no markdown needed.</t>
        </is>
      </c>
    </row>
    <row r="37">
      <c r="B37" s="28" t="inlineStr">
        <is>
          <t>Week</t>
        </is>
      </c>
      <c r="F37" s="29" t="inlineStr">
        <is>
          <t>W1</t>
        </is>
      </c>
      <c r="G37" s="29" t="inlineStr">
        <is>
          <t>W2</t>
        </is>
      </c>
      <c r="H37" s="29" t="inlineStr">
        <is>
          <t>W3</t>
        </is>
      </c>
      <c r="I37" s="29" t="inlineStr">
        <is>
          <t>W4</t>
        </is>
      </c>
      <c r="J37" s="29" t="inlineStr">
        <is>
          <t>W5</t>
        </is>
      </c>
      <c r="K37" s="29" t="inlineStr">
        <is>
          <t>W6</t>
        </is>
      </c>
      <c r="L37" s="29" t="inlineStr">
        <is>
          <t>W7</t>
        </is>
      </c>
      <c r="M37" s="29" t="inlineStr">
        <is>
          <t>W8</t>
        </is>
      </c>
      <c r="N37" s="29" t="inlineStr">
        <is>
          <t>W9</t>
        </is>
      </c>
      <c r="O37" s="29" t="inlineStr">
        <is>
          <t>W10</t>
        </is>
      </c>
      <c r="P37" s="29" t="inlineStr">
        <is>
          <t>W11</t>
        </is>
      </c>
      <c r="Q37" s="29" t="inlineStr">
        <is>
          <t>W12</t>
        </is>
      </c>
      <c r="R37" s="29" t="inlineStr">
        <is>
          <t>W13</t>
        </is>
      </c>
      <c r="S37" s="29" t="inlineStr">
        <is>
          <t>W14</t>
        </is>
      </c>
      <c r="T37" s="29" t="inlineStr">
        <is>
          <t>W15</t>
        </is>
      </c>
      <c r="U37" s="29" t="inlineStr">
        <is>
          <t>W16</t>
        </is>
      </c>
      <c r="V37" s="29" t="inlineStr">
        <is>
          <t>W17</t>
        </is>
      </c>
      <c r="W37" s="29" t="inlineStr">
        <is>
          <t>W18</t>
        </is>
      </c>
      <c r="X37" s="29" t="inlineStr">
        <is>
          <t>W19</t>
        </is>
      </c>
      <c r="Y37" s="29" t="inlineStr">
        <is>
          <t>W20</t>
        </is>
      </c>
      <c r="Z37" s="29" t="inlineStr">
        <is>
          <t>W21</t>
        </is>
      </c>
      <c r="AA37" s="29" t="inlineStr">
        <is>
          <t>W22</t>
        </is>
      </c>
      <c r="AB37" s="29" t="inlineStr">
        <is>
          <t>W23</t>
        </is>
      </c>
      <c r="AC37" s="29" t="inlineStr">
        <is>
          <t>W24</t>
        </is>
      </c>
      <c r="AD37" s="29" t="inlineStr">
        <is>
          <t>W25</t>
        </is>
      </c>
      <c r="AE37" s="29" t="inlineStr">
        <is>
          <t>W26</t>
        </is>
      </c>
    </row>
    <row r="38">
      <c r="B38" s="28" t="inlineStr">
        <is>
          <t>Wk-commencing</t>
        </is>
      </c>
      <c r="F38" s="30">
        <f>Inputs!$C$7+7*0</f>
        <v/>
      </c>
      <c r="G38" s="30">
        <f>Inputs!$C$7+7*1</f>
        <v/>
      </c>
      <c r="H38" s="30">
        <f>Inputs!$C$7+7*2</f>
        <v/>
      </c>
      <c r="I38" s="30">
        <f>Inputs!$C$7+7*3</f>
        <v/>
      </c>
      <c r="J38" s="30">
        <f>Inputs!$C$7+7*4</f>
        <v/>
      </c>
      <c r="K38" s="30">
        <f>Inputs!$C$7+7*5</f>
        <v/>
      </c>
      <c r="L38" s="30">
        <f>Inputs!$C$7+7*6</f>
        <v/>
      </c>
      <c r="M38" s="30">
        <f>Inputs!$C$7+7*7</f>
        <v/>
      </c>
      <c r="N38" s="30">
        <f>Inputs!$C$7+7*8</f>
        <v/>
      </c>
      <c r="O38" s="30">
        <f>Inputs!$C$7+7*9</f>
        <v/>
      </c>
      <c r="P38" s="30">
        <f>Inputs!$C$7+7*10</f>
        <v/>
      </c>
      <c r="Q38" s="30">
        <f>Inputs!$C$7+7*11</f>
        <v/>
      </c>
      <c r="R38" s="30">
        <f>Inputs!$C$7+7*12</f>
        <v/>
      </c>
      <c r="S38" s="30">
        <f>Inputs!$C$7+7*13</f>
        <v/>
      </c>
      <c r="T38" s="30">
        <f>Inputs!$C$7+7*14</f>
        <v/>
      </c>
      <c r="U38" s="30">
        <f>Inputs!$C$7+7*15</f>
        <v/>
      </c>
      <c r="V38" s="30">
        <f>Inputs!$C$7+7*16</f>
        <v/>
      </c>
      <c r="W38" s="30">
        <f>Inputs!$C$7+7*17</f>
        <v/>
      </c>
      <c r="X38" s="30">
        <f>Inputs!$C$7+7*18</f>
        <v/>
      </c>
      <c r="Y38" s="30">
        <f>Inputs!$C$7+7*19</f>
        <v/>
      </c>
      <c r="Z38" s="30">
        <f>Inputs!$C$7+7*20</f>
        <v/>
      </c>
      <c r="AA38" s="30">
        <f>Inputs!$C$7+7*21</f>
        <v/>
      </c>
      <c r="AB38" s="30">
        <f>Inputs!$C$7+7*22</f>
        <v/>
      </c>
      <c r="AC38" s="30">
        <f>Inputs!$C$7+7*23</f>
        <v/>
      </c>
      <c r="AD38" s="30">
        <f>Inputs!$C$7+7*24</f>
        <v/>
      </c>
      <c r="AE38" s="30">
        <f>Inputs!$C$7+7*25</f>
        <v/>
      </c>
    </row>
    <row r="39">
      <c r="B39" s="31" t="inlineStr">
        <is>
          <t>Demo</t>
        </is>
      </c>
      <c r="F39" s="32" t="n">
        <v>0</v>
      </c>
      <c r="G39" s="32" t="n">
        <v>0</v>
      </c>
      <c r="H39" s="32" t="n">
        <v>0</v>
      </c>
      <c r="I39" s="32" t="n">
        <v>0</v>
      </c>
      <c r="J39" s="32" t="n">
        <v>1</v>
      </c>
      <c r="K39" s="32" t="n">
        <v>1</v>
      </c>
      <c r="L39" s="32" t="n">
        <v>0</v>
      </c>
      <c r="M39" s="32" t="n">
        <v>0</v>
      </c>
      <c r="N39" s="32" t="n">
        <v>0</v>
      </c>
      <c r="O39" s="32" t="n">
        <v>0</v>
      </c>
      <c r="P39" s="32" t="n">
        <v>0</v>
      </c>
      <c r="Q39" s="32" t="n">
        <v>0</v>
      </c>
      <c r="R39" s="32" t="n">
        <v>0</v>
      </c>
      <c r="S39" s="32" t="n">
        <v>0</v>
      </c>
      <c r="T39" s="32" t="n">
        <v>0</v>
      </c>
      <c r="U39" s="32" t="n">
        <v>0</v>
      </c>
      <c r="V39" s="32" t="n">
        <v>0</v>
      </c>
      <c r="W39" s="32" t="n">
        <v>0</v>
      </c>
      <c r="X39" s="32" t="n">
        <v>0</v>
      </c>
      <c r="Y39" s="32" t="n">
        <v>0</v>
      </c>
      <c r="Z39" s="32" t="n">
        <v>0</v>
      </c>
      <c r="AA39" s="32" t="n">
        <v>0</v>
      </c>
      <c r="AB39" s="32" t="n">
        <v>0</v>
      </c>
      <c r="AC39" s="32" t="n">
        <v>0</v>
      </c>
      <c r="AD39" s="32" t="n">
        <v>0</v>
      </c>
      <c r="AE39" s="32" t="n">
        <v>0</v>
      </c>
    </row>
    <row r="40">
      <c r="B40" s="31" t="inlineStr">
        <is>
          <t>End Cap</t>
        </is>
      </c>
      <c r="F40" s="32" t="n">
        <v>0</v>
      </c>
      <c r="G40" s="32" t="n">
        <v>0</v>
      </c>
      <c r="H40" s="32" t="n">
        <v>0</v>
      </c>
      <c r="I40" s="32" t="n">
        <v>0</v>
      </c>
      <c r="J40" s="32" t="n">
        <v>0</v>
      </c>
      <c r="K40" s="32" t="n">
        <v>0</v>
      </c>
      <c r="L40" s="32" t="n">
        <v>0</v>
      </c>
      <c r="M40" s="32" t="n">
        <v>0</v>
      </c>
      <c r="N40" s="32" t="n">
        <v>0</v>
      </c>
      <c r="O40" s="32" t="n">
        <v>0</v>
      </c>
      <c r="P40" s="32" t="n">
        <v>0</v>
      </c>
      <c r="Q40" s="32" t="n">
        <v>0</v>
      </c>
      <c r="R40" s="32" t="n">
        <v>0</v>
      </c>
      <c r="S40" s="32" t="n">
        <v>0</v>
      </c>
      <c r="T40" s="32" t="n">
        <v>0</v>
      </c>
      <c r="U40" s="32" t="n">
        <v>0</v>
      </c>
      <c r="V40" s="32" t="n">
        <v>0</v>
      </c>
      <c r="W40" s="32" t="n">
        <v>0</v>
      </c>
      <c r="X40" s="32" t="n">
        <v>0</v>
      </c>
      <c r="Y40" s="32" t="n">
        <v>0</v>
      </c>
      <c r="Z40" s="32" t="n">
        <v>0</v>
      </c>
      <c r="AA40" s="32" t="n">
        <v>0</v>
      </c>
      <c r="AB40" s="32" t="n">
        <v>0</v>
      </c>
      <c r="AC40" s="32" t="n">
        <v>0</v>
      </c>
      <c r="AD40" s="32" t="n">
        <v>0</v>
      </c>
      <c r="AE40" s="32" t="n">
        <v>0</v>
      </c>
    </row>
    <row r="41">
      <c r="B41" s="31" t="inlineStr">
        <is>
          <t>Fence</t>
        </is>
      </c>
      <c r="F41" s="32" t="n">
        <v>0</v>
      </c>
      <c r="G41" s="32" t="n">
        <v>0</v>
      </c>
      <c r="H41" s="32" t="n">
        <v>0</v>
      </c>
      <c r="I41" s="32" t="n">
        <v>0</v>
      </c>
      <c r="J41" s="32" t="n">
        <v>0</v>
      </c>
      <c r="K41" s="32" t="n">
        <v>0</v>
      </c>
      <c r="L41" s="32" t="n">
        <v>0</v>
      </c>
      <c r="M41" s="32" t="n">
        <v>0</v>
      </c>
      <c r="N41" s="32" t="n">
        <v>0</v>
      </c>
      <c r="O41" s="32" t="n">
        <v>0</v>
      </c>
      <c r="P41" s="32" t="n">
        <v>0</v>
      </c>
      <c r="Q41" s="32" t="n">
        <v>0</v>
      </c>
      <c r="R41" s="32" t="n">
        <v>0</v>
      </c>
      <c r="S41" s="32" t="n">
        <v>0</v>
      </c>
      <c r="T41" s="32" t="n">
        <v>0</v>
      </c>
      <c r="U41" s="32" t="n">
        <v>0</v>
      </c>
      <c r="V41" s="32" t="n">
        <v>0</v>
      </c>
      <c r="W41" s="32" t="n">
        <v>0</v>
      </c>
      <c r="X41" s="32" t="n">
        <v>0</v>
      </c>
      <c r="Y41" s="32" t="n">
        <v>0</v>
      </c>
      <c r="Z41" s="32" t="n">
        <v>0</v>
      </c>
      <c r="AA41" s="32" t="n">
        <v>0</v>
      </c>
      <c r="AB41" s="32" t="n">
        <v>0</v>
      </c>
      <c r="AC41" s="32" t="n">
        <v>0</v>
      </c>
      <c r="AD41" s="32" t="n">
        <v>0</v>
      </c>
      <c r="AE41" s="32" t="n">
        <v>0</v>
      </c>
    </row>
    <row r="42">
      <c r="B42" s="31" t="inlineStr">
        <is>
          <t>TPD</t>
        </is>
      </c>
      <c r="F42" s="32" t="n">
        <v>0</v>
      </c>
      <c r="G42" s="32" t="n">
        <v>0</v>
      </c>
      <c r="H42" s="32" t="n">
        <v>0</v>
      </c>
      <c r="I42" s="32" t="n">
        <v>0</v>
      </c>
      <c r="J42" s="32" t="n">
        <v>1</v>
      </c>
      <c r="K42" s="32" t="n">
        <v>1</v>
      </c>
      <c r="L42" s="32" t="n">
        <v>0</v>
      </c>
      <c r="M42" s="32" t="n">
        <v>0</v>
      </c>
      <c r="N42" s="32" t="n">
        <v>0</v>
      </c>
      <c r="O42" s="32" t="n">
        <v>0</v>
      </c>
      <c r="P42" s="32" t="n">
        <v>0</v>
      </c>
      <c r="Q42" s="32" t="n">
        <v>0</v>
      </c>
      <c r="R42" s="32" t="n">
        <v>0</v>
      </c>
      <c r="S42" s="32" t="n">
        <v>0</v>
      </c>
      <c r="T42" s="32" t="n">
        <v>0</v>
      </c>
      <c r="U42" s="32" t="n">
        <v>0</v>
      </c>
      <c r="V42" s="32" t="n">
        <v>0</v>
      </c>
      <c r="W42" s="32" t="n">
        <v>0</v>
      </c>
      <c r="X42" s="32" t="n">
        <v>0</v>
      </c>
      <c r="Y42" s="32" t="n">
        <v>0</v>
      </c>
      <c r="Z42" s="32" t="n">
        <v>0</v>
      </c>
      <c r="AA42" s="32" t="n">
        <v>0</v>
      </c>
      <c r="AB42" s="32" t="n">
        <v>0</v>
      </c>
      <c r="AC42" s="32" t="n">
        <v>0</v>
      </c>
      <c r="AD42" s="32" t="n">
        <v>0</v>
      </c>
      <c r="AE42" s="32" t="n">
        <v>0</v>
      </c>
    </row>
    <row r="43">
      <c r="B43" s="31" t="inlineStr">
        <is>
          <t>Markdown</t>
        </is>
      </c>
      <c r="F43" s="32" t="n">
        <v>0</v>
      </c>
      <c r="G43" s="32" t="n">
        <v>0</v>
      </c>
      <c r="H43" s="32" t="n">
        <v>0</v>
      </c>
      <c r="I43" s="32" t="n">
        <v>0</v>
      </c>
      <c r="J43" s="32" t="n">
        <v>0</v>
      </c>
      <c r="K43" s="32" t="n">
        <v>0</v>
      </c>
      <c r="L43" s="32" t="n">
        <v>0</v>
      </c>
      <c r="M43" s="32" t="n">
        <v>0</v>
      </c>
      <c r="N43" s="32" t="n">
        <v>0</v>
      </c>
      <c r="O43" s="32" t="n">
        <v>0</v>
      </c>
      <c r="P43" s="32" t="n">
        <v>0</v>
      </c>
      <c r="Q43" s="32" t="n">
        <v>0</v>
      </c>
      <c r="R43" s="32" t="n">
        <v>0</v>
      </c>
      <c r="S43" s="32" t="n">
        <v>0</v>
      </c>
      <c r="T43" s="32" t="n">
        <v>0</v>
      </c>
      <c r="U43" s="32" t="n">
        <v>0</v>
      </c>
      <c r="V43" s="32" t="n">
        <v>0</v>
      </c>
      <c r="W43" s="32" t="n">
        <v>0</v>
      </c>
      <c r="X43" s="32" t="n">
        <v>0</v>
      </c>
      <c r="Y43" s="32" t="n">
        <v>0</v>
      </c>
      <c r="Z43" s="32" t="n">
        <v>0</v>
      </c>
      <c r="AA43" s="32" t="n">
        <v>0</v>
      </c>
      <c r="AB43" s="32" t="n">
        <v>0</v>
      </c>
      <c r="AC43" s="32" t="n">
        <v>0</v>
      </c>
      <c r="AD43" s="32" t="n">
        <v>0</v>
      </c>
      <c r="AE43" s="32" t="n">
        <v>0</v>
      </c>
    </row>
    <row r="44">
      <c r="B44" s="31" t="inlineStr">
        <is>
          <t>Advert</t>
        </is>
      </c>
      <c r="F44" s="32" t="n">
        <v>0</v>
      </c>
      <c r="G44" s="32" t="n">
        <v>0</v>
      </c>
      <c r="H44" s="32" t="n">
        <v>0</v>
      </c>
      <c r="I44" s="32" t="n">
        <v>0</v>
      </c>
      <c r="J44" s="32" t="n">
        <v>0</v>
      </c>
      <c r="K44" s="32" t="n">
        <v>0</v>
      </c>
      <c r="L44" s="32" t="n">
        <v>0</v>
      </c>
      <c r="M44" s="32" t="n">
        <v>0</v>
      </c>
      <c r="N44" s="32" t="n">
        <v>0</v>
      </c>
      <c r="O44" s="32" t="n">
        <v>0</v>
      </c>
      <c r="P44" s="32" t="n">
        <v>0</v>
      </c>
      <c r="Q44" s="32" t="n">
        <v>0</v>
      </c>
      <c r="R44" s="32" t="n">
        <v>0</v>
      </c>
      <c r="S44" s="32" t="n">
        <v>0</v>
      </c>
      <c r="T44" s="32" t="n">
        <v>0</v>
      </c>
      <c r="U44" s="32" t="n">
        <v>0</v>
      </c>
      <c r="V44" s="32" t="n">
        <v>0</v>
      </c>
      <c r="W44" s="32" t="n">
        <v>0</v>
      </c>
      <c r="X44" s="32" t="n">
        <v>0</v>
      </c>
      <c r="Y44" s="32" t="n">
        <v>0</v>
      </c>
      <c r="Z44" s="32" t="n">
        <v>0</v>
      </c>
      <c r="AA44" s="32" t="n">
        <v>0</v>
      </c>
      <c r="AB44" s="32" t="n">
        <v>0</v>
      </c>
      <c r="AC44" s="32" t="n">
        <v>0</v>
      </c>
      <c r="AD44" s="32" t="n">
        <v>0</v>
      </c>
      <c r="AE44" s="32" t="n">
        <v>0</v>
      </c>
    </row>
    <row r="45">
      <c r="B45" s="31" t="inlineStr">
        <is>
          <t>Lift Multiplier (x base)</t>
        </is>
      </c>
      <c r="F45" s="33" t="n">
        <v>1</v>
      </c>
      <c r="G45" s="33" t="n">
        <v>1</v>
      </c>
      <c r="H45" s="33" t="n">
        <v>1</v>
      </c>
      <c r="I45" s="33" t="n">
        <v>1</v>
      </c>
      <c r="J45" s="33" t="n">
        <v>3</v>
      </c>
      <c r="K45" s="33" t="n">
        <v>3</v>
      </c>
      <c r="L45" s="33" t="n">
        <v>1</v>
      </c>
      <c r="M45" s="33" t="n">
        <v>1</v>
      </c>
      <c r="N45" s="33" t="n">
        <v>1</v>
      </c>
      <c r="O45" s="33" t="n">
        <v>1</v>
      </c>
      <c r="P45" s="33" t="n">
        <v>1</v>
      </c>
      <c r="Q45" s="33" t="n">
        <v>1</v>
      </c>
      <c r="R45" s="33" t="n">
        <v>1</v>
      </c>
      <c r="S45" s="33" t="n">
        <v>1</v>
      </c>
      <c r="T45" s="33" t="n">
        <v>1</v>
      </c>
      <c r="U45" s="33" t="n">
        <v>1</v>
      </c>
      <c r="V45" s="33" t="n">
        <v>1</v>
      </c>
      <c r="W45" s="33" t="n">
        <v>1</v>
      </c>
      <c r="X45" s="33" t="n">
        <v>1</v>
      </c>
      <c r="Y45" s="33" t="n">
        <v>1</v>
      </c>
      <c r="Z45" s="33" t="n">
        <v>1</v>
      </c>
      <c r="AA45" s="33" t="n">
        <v>1</v>
      </c>
      <c r="AB45" s="33" t="n">
        <v>1</v>
      </c>
      <c r="AC45" s="33" t="n">
        <v>1</v>
      </c>
      <c r="AD45" s="33" t="n">
        <v>1</v>
      </c>
      <c r="AE45" s="33" t="n">
        <v>1</v>
      </c>
    </row>
    <row r="47" ht="22" customHeight="1">
      <c r="B47" s="27" t="inlineStr">
        <is>
          <t>IDEAL – x2 Demo + End Cap (Wks 5-6) + TPD</t>
        </is>
      </c>
    </row>
    <row r="48" ht="32" customHeight="1">
      <c r="B48" s="15" t="inlineStr">
        <is>
          <t>Rationale: Full-court press: demo + end cap + TPD all running together for two weeks. Stacking end cap on demo weeks lifts velocity to ~3.6x (incremental ~20% on top of demo-only).</t>
        </is>
      </c>
    </row>
    <row r="49">
      <c r="B49" s="28" t="inlineStr">
        <is>
          <t>Week</t>
        </is>
      </c>
      <c r="F49" s="29" t="inlineStr">
        <is>
          <t>W1</t>
        </is>
      </c>
      <c r="G49" s="29" t="inlineStr">
        <is>
          <t>W2</t>
        </is>
      </c>
      <c r="H49" s="29" t="inlineStr">
        <is>
          <t>W3</t>
        </is>
      </c>
      <c r="I49" s="29" t="inlineStr">
        <is>
          <t>W4</t>
        </is>
      </c>
      <c r="J49" s="29" t="inlineStr">
        <is>
          <t>W5</t>
        </is>
      </c>
      <c r="K49" s="29" t="inlineStr">
        <is>
          <t>W6</t>
        </is>
      </c>
      <c r="L49" s="29" t="inlineStr">
        <is>
          <t>W7</t>
        </is>
      </c>
      <c r="M49" s="29" t="inlineStr">
        <is>
          <t>W8</t>
        </is>
      </c>
      <c r="N49" s="29" t="inlineStr">
        <is>
          <t>W9</t>
        </is>
      </c>
      <c r="O49" s="29" t="inlineStr">
        <is>
          <t>W10</t>
        </is>
      </c>
      <c r="P49" s="29" t="inlineStr">
        <is>
          <t>W11</t>
        </is>
      </c>
      <c r="Q49" s="29" t="inlineStr">
        <is>
          <t>W12</t>
        </is>
      </c>
      <c r="R49" s="29" t="inlineStr">
        <is>
          <t>W13</t>
        </is>
      </c>
      <c r="S49" s="29" t="inlineStr">
        <is>
          <t>W14</t>
        </is>
      </c>
      <c r="T49" s="29" t="inlineStr">
        <is>
          <t>W15</t>
        </is>
      </c>
      <c r="U49" s="29" t="inlineStr">
        <is>
          <t>W16</t>
        </is>
      </c>
      <c r="V49" s="29" t="inlineStr">
        <is>
          <t>W17</t>
        </is>
      </c>
      <c r="W49" s="29" t="inlineStr">
        <is>
          <t>W18</t>
        </is>
      </c>
      <c r="X49" s="29" t="inlineStr">
        <is>
          <t>W19</t>
        </is>
      </c>
      <c r="Y49" s="29" t="inlineStr">
        <is>
          <t>W20</t>
        </is>
      </c>
      <c r="Z49" s="29" t="inlineStr">
        <is>
          <t>W21</t>
        </is>
      </c>
      <c r="AA49" s="29" t="inlineStr">
        <is>
          <t>W22</t>
        </is>
      </c>
      <c r="AB49" s="29" t="inlineStr">
        <is>
          <t>W23</t>
        </is>
      </c>
      <c r="AC49" s="29" t="inlineStr">
        <is>
          <t>W24</t>
        </is>
      </c>
      <c r="AD49" s="29" t="inlineStr">
        <is>
          <t>W25</t>
        </is>
      </c>
      <c r="AE49" s="29" t="inlineStr">
        <is>
          <t>W26</t>
        </is>
      </c>
    </row>
    <row r="50">
      <c r="B50" s="28" t="inlineStr">
        <is>
          <t>Wk-commencing</t>
        </is>
      </c>
      <c r="F50" s="30">
        <f>Inputs!$C$7+7*0</f>
        <v/>
      </c>
      <c r="G50" s="30">
        <f>Inputs!$C$7+7*1</f>
        <v/>
      </c>
      <c r="H50" s="30">
        <f>Inputs!$C$7+7*2</f>
        <v/>
      </c>
      <c r="I50" s="30">
        <f>Inputs!$C$7+7*3</f>
        <v/>
      </c>
      <c r="J50" s="30">
        <f>Inputs!$C$7+7*4</f>
        <v/>
      </c>
      <c r="K50" s="30">
        <f>Inputs!$C$7+7*5</f>
        <v/>
      </c>
      <c r="L50" s="30">
        <f>Inputs!$C$7+7*6</f>
        <v/>
      </c>
      <c r="M50" s="30">
        <f>Inputs!$C$7+7*7</f>
        <v/>
      </c>
      <c r="N50" s="30">
        <f>Inputs!$C$7+7*8</f>
        <v/>
      </c>
      <c r="O50" s="30">
        <f>Inputs!$C$7+7*9</f>
        <v/>
      </c>
      <c r="P50" s="30">
        <f>Inputs!$C$7+7*10</f>
        <v/>
      </c>
      <c r="Q50" s="30">
        <f>Inputs!$C$7+7*11</f>
        <v/>
      </c>
      <c r="R50" s="30">
        <f>Inputs!$C$7+7*12</f>
        <v/>
      </c>
      <c r="S50" s="30">
        <f>Inputs!$C$7+7*13</f>
        <v/>
      </c>
      <c r="T50" s="30">
        <f>Inputs!$C$7+7*14</f>
        <v/>
      </c>
      <c r="U50" s="30">
        <f>Inputs!$C$7+7*15</f>
        <v/>
      </c>
      <c r="V50" s="30">
        <f>Inputs!$C$7+7*16</f>
        <v/>
      </c>
      <c r="W50" s="30">
        <f>Inputs!$C$7+7*17</f>
        <v/>
      </c>
      <c r="X50" s="30">
        <f>Inputs!$C$7+7*18</f>
        <v/>
      </c>
      <c r="Y50" s="30">
        <f>Inputs!$C$7+7*19</f>
        <v/>
      </c>
      <c r="Z50" s="30">
        <f>Inputs!$C$7+7*20</f>
        <v/>
      </c>
      <c r="AA50" s="30">
        <f>Inputs!$C$7+7*21</f>
        <v/>
      </c>
      <c r="AB50" s="30">
        <f>Inputs!$C$7+7*22</f>
        <v/>
      </c>
      <c r="AC50" s="30">
        <f>Inputs!$C$7+7*23</f>
        <v/>
      </c>
      <c r="AD50" s="30">
        <f>Inputs!$C$7+7*24</f>
        <v/>
      </c>
      <c r="AE50" s="30">
        <f>Inputs!$C$7+7*25</f>
        <v/>
      </c>
    </row>
    <row r="51">
      <c r="B51" s="31" t="inlineStr">
        <is>
          <t>Demo</t>
        </is>
      </c>
      <c r="F51" s="32" t="n">
        <v>0</v>
      </c>
      <c r="G51" s="32" t="n">
        <v>0</v>
      </c>
      <c r="H51" s="32" t="n">
        <v>0</v>
      </c>
      <c r="I51" s="32" t="n">
        <v>0</v>
      </c>
      <c r="J51" s="32" t="n">
        <v>1</v>
      </c>
      <c r="K51" s="32" t="n">
        <v>1</v>
      </c>
      <c r="L51" s="32" t="n">
        <v>0</v>
      </c>
      <c r="M51" s="32" t="n">
        <v>0</v>
      </c>
      <c r="N51" s="32" t="n">
        <v>0</v>
      </c>
      <c r="O51" s="32" t="n">
        <v>0</v>
      </c>
      <c r="P51" s="32" t="n">
        <v>0</v>
      </c>
      <c r="Q51" s="32" t="n">
        <v>0</v>
      </c>
      <c r="R51" s="32" t="n">
        <v>0</v>
      </c>
      <c r="S51" s="32" t="n">
        <v>0</v>
      </c>
      <c r="T51" s="32" t="n">
        <v>0</v>
      </c>
      <c r="U51" s="32" t="n">
        <v>0</v>
      </c>
      <c r="V51" s="32" t="n">
        <v>0</v>
      </c>
      <c r="W51" s="32" t="n">
        <v>0</v>
      </c>
      <c r="X51" s="32" t="n">
        <v>0</v>
      </c>
      <c r="Y51" s="32" t="n">
        <v>0</v>
      </c>
      <c r="Z51" s="32" t="n">
        <v>0</v>
      </c>
      <c r="AA51" s="32" t="n">
        <v>0</v>
      </c>
      <c r="AB51" s="32" t="n">
        <v>0</v>
      </c>
      <c r="AC51" s="32" t="n">
        <v>0</v>
      </c>
      <c r="AD51" s="32" t="n">
        <v>0</v>
      </c>
      <c r="AE51" s="32" t="n">
        <v>0</v>
      </c>
    </row>
    <row r="52">
      <c r="B52" s="31" t="inlineStr">
        <is>
          <t>End Cap</t>
        </is>
      </c>
      <c r="F52" s="32" t="n">
        <v>0</v>
      </c>
      <c r="G52" s="32" t="n">
        <v>0</v>
      </c>
      <c r="H52" s="32" t="n">
        <v>0</v>
      </c>
      <c r="I52" s="32" t="n">
        <v>0</v>
      </c>
      <c r="J52" s="32" t="n">
        <v>1</v>
      </c>
      <c r="K52" s="32" t="n">
        <v>1</v>
      </c>
      <c r="L52" s="32" t="n">
        <v>0</v>
      </c>
      <c r="M52" s="32" t="n">
        <v>0</v>
      </c>
      <c r="N52" s="32" t="n">
        <v>0</v>
      </c>
      <c r="O52" s="32" t="n">
        <v>0</v>
      </c>
      <c r="P52" s="32" t="n">
        <v>0</v>
      </c>
      <c r="Q52" s="32" t="n">
        <v>0</v>
      </c>
      <c r="R52" s="32" t="n">
        <v>0</v>
      </c>
      <c r="S52" s="32" t="n">
        <v>0</v>
      </c>
      <c r="T52" s="32" t="n">
        <v>0</v>
      </c>
      <c r="U52" s="32" t="n">
        <v>0</v>
      </c>
      <c r="V52" s="32" t="n">
        <v>0</v>
      </c>
      <c r="W52" s="32" t="n">
        <v>0</v>
      </c>
      <c r="X52" s="32" t="n">
        <v>0</v>
      </c>
      <c r="Y52" s="32" t="n">
        <v>0</v>
      </c>
      <c r="Z52" s="32" t="n">
        <v>0</v>
      </c>
      <c r="AA52" s="32" t="n">
        <v>0</v>
      </c>
      <c r="AB52" s="32" t="n">
        <v>0</v>
      </c>
      <c r="AC52" s="32" t="n">
        <v>0</v>
      </c>
      <c r="AD52" s="32" t="n">
        <v>0</v>
      </c>
      <c r="AE52" s="32" t="n">
        <v>0</v>
      </c>
    </row>
    <row r="53">
      <c r="B53" s="31" t="inlineStr">
        <is>
          <t>Fence</t>
        </is>
      </c>
      <c r="F53" s="32" t="n">
        <v>0</v>
      </c>
      <c r="G53" s="32" t="n">
        <v>0</v>
      </c>
      <c r="H53" s="32" t="n">
        <v>0</v>
      </c>
      <c r="I53" s="32" t="n">
        <v>0</v>
      </c>
      <c r="J53" s="32" t="n">
        <v>0</v>
      </c>
      <c r="K53" s="32" t="n">
        <v>0</v>
      </c>
      <c r="L53" s="32" t="n">
        <v>0</v>
      </c>
      <c r="M53" s="32" t="n">
        <v>0</v>
      </c>
      <c r="N53" s="32" t="n">
        <v>0</v>
      </c>
      <c r="O53" s="32" t="n">
        <v>0</v>
      </c>
      <c r="P53" s="32" t="n">
        <v>0</v>
      </c>
      <c r="Q53" s="32" t="n">
        <v>0</v>
      </c>
      <c r="R53" s="32" t="n">
        <v>0</v>
      </c>
      <c r="S53" s="32" t="n">
        <v>0</v>
      </c>
      <c r="T53" s="32" t="n">
        <v>0</v>
      </c>
      <c r="U53" s="32" t="n">
        <v>0</v>
      </c>
      <c r="V53" s="32" t="n">
        <v>0</v>
      </c>
      <c r="W53" s="32" t="n">
        <v>0</v>
      </c>
      <c r="X53" s="32" t="n">
        <v>0</v>
      </c>
      <c r="Y53" s="32" t="n">
        <v>0</v>
      </c>
      <c r="Z53" s="32" t="n">
        <v>0</v>
      </c>
      <c r="AA53" s="32" t="n">
        <v>0</v>
      </c>
      <c r="AB53" s="32" t="n">
        <v>0</v>
      </c>
      <c r="AC53" s="32" t="n">
        <v>0</v>
      </c>
      <c r="AD53" s="32" t="n">
        <v>0</v>
      </c>
      <c r="AE53" s="32" t="n">
        <v>0</v>
      </c>
    </row>
    <row r="54">
      <c r="B54" s="31" t="inlineStr">
        <is>
          <t>TPD</t>
        </is>
      </c>
      <c r="F54" s="32" t="n">
        <v>0</v>
      </c>
      <c r="G54" s="32" t="n">
        <v>0</v>
      </c>
      <c r="H54" s="32" t="n">
        <v>0</v>
      </c>
      <c r="I54" s="32" t="n">
        <v>0</v>
      </c>
      <c r="J54" s="32" t="n">
        <v>1</v>
      </c>
      <c r="K54" s="32" t="n">
        <v>1</v>
      </c>
      <c r="L54" s="32" t="n">
        <v>0</v>
      </c>
      <c r="M54" s="32" t="n">
        <v>0</v>
      </c>
      <c r="N54" s="32" t="n">
        <v>0</v>
      </c>
      <c r="O54" s="32" t="n">
        <v>0</v>
      </c>
      <c r="P54" s="32" t="n">
        <v>0</v>
      </c>
      <c r="Q54" s="32" t="n">
        <v>0</v>
      </c>
      <c r="R54" s="32" t="n">
        <v>0</v>
      </c>
      <c r="S54" s="32" t="n">
        <v>0</v>
      </c>
      <c r="T54" s="32" t="n">
        <v>0</v>
      </c>
      <c r="U54" s="32" t="n">
        <v>0</v>
      </c>
      <c r="V54" s="32" t="n">
        <v>0</v>
      </c>
      <c r="W54" s="32" t="n">
        <v>0</v>
      </c>
      <c r="X54" s="32" t="n">
        <v>0</v>
      </c>
      <c r="Y54" s="32" t="n">
        <v>0</v>
      </c>
      <c r="Z54" s="32" t="n">
        <v>0</v>
      </c>
      <c r="AA54" s="32" t="n">
        <v>0</v>
      </c>
      <c r="AB54" s="32" t="n">
        <v>0</v>
      </c>
      <c r="AC54" s="32" t="n">
        <v>0</v>
      </c>
      <c r="AD54" s="32" t="n">
        <v>0</v>
      </c>
      <c r="AE54" s="32" t="n">
        <v>0</v>
      </c>
    </row>
    <row r="55">
      <c r="B55" s="31" t="inlineStr">
        <is>
          <t>Markdown</t>
        </is>
      </c>
      <c r="F55" s="32" t="n">
        <v>0</v>
      </c>
      <c r="G55" s="32" t="n">
        <v>0</v>
      </c>
      <c r="H55" s="32" t="n">
        <v>0</v>
      </c>
      <c r="I55" s="32" t="n">
        <v>0</v>
      </c>
      <c r="J55" s="32" t="n">
        <v>0</v>
      </c>
      <c r="K55" s="32" t="n">
        <v>0</v>
      </c>
      <c r="L55" s="32" t="n">
        <v>0</v>
      </c>
      <c r="M55" s="32" t="n">
        <v>0</v>
      </c>
      <c r="N55" s="32" t="n">
        <v>0</v>
      </c>
      <c r="O55" s="32" t="n">
        <v>0</v>
      </c>
      <c r="P55" s="32" t="n">
        <v>0</v>
      </c>
      <c r="Q55" s="32" t="n">
        <v>0</v>
      </c>
      <c r="R55" s="32" t="n">
        <v>0</v>
      </c>
      <c r="S55" s="32" t="n">
        <v>0</v>
      </c>
      <c r="T55" s="32" t="n">
        <v>0</v>
      </c>
      <c r="U55" s="32" t="n">
        <v>0</v>
      </c>
      <c r="V55" s="32" t="n">
        <v>0</v>
      </c>
      <c r="W55" s="32" t="n">
        <v>0</v>
      </c>
      <c r="X55" s="32" t="n">
        <v>0</v>
      </c>
      <c r="Y55" s="32" t="n">
        <v>0</v>
      </c>
      <c r="Z55" s="32" t="n">
        <v>0</v>
      </c>
      <c r="AA55" s="32" t="n">
        <v>0</v>
      </c>
      <c r="AB55" s="32" t="n">
        <v>0</v>
      </c>
      <c r="AC55" s="32" t="n">
        <v>0</v>
      </c>
      <c r="AD55" s="32" t="n">
        <v>0</v>
      </c>
      <c r="AE55" s="32" t="n">
        <v>0</v>
      </c>
    </row>
    <row r="56">
      <c r="B56" s="31" t="inlineStr">
        <is>
          <t>Advert</t>
        </is>
      </c>
      <c r="F56" s="32" t="n">
        <v>0</v>
      </c>
      <c r="G56" s="32" t="n">
        <v>0</v>
      </c>
      <c r="H56" s="32" t="n">
        <v>0</v>
      </c>
      <c r="I56" s="32" t="n">
        <v>0</v>
      </c>
      <c r="J56" s="32" t="n">
        <v>0</v>
      </c>
      <c r="K56" s="32" t="n">
        <v>0</v>
      </c>
      <c r="L56" s="32" t="n">
        <v>0</v>
      </c>
      <c r="M56" s="32" t="n">
        <v>0</v>
      </c>
      <c r="N56" s="32" t="n">
        <v>0</v>
      </c>
      <c r="O56" s="32" t="n">
        <v>0</v>
      </c>
      <c r="P56" s="32" t="n">
        <v>0</v>
      </c>
      <c r="Q56" s="32" t="n">
        <v>0</v>
      </c>
      <c r="R56" s="32" t="n">
        <v>0</v>
      </c>
      <c r="S56" s="32" t="n">
        <v>0</v>
      </c>
      <c r="T56" s="32" t="n">
        <v>0</v>
      </c>
      <c r="U56" s="32" t="n">
        <v>0</v>
      </c>
      <c r="V56" s="32" t="n">
        <v>0</v>
      </c>
      <c r="W56" s="32" t="n">
        <v>0</v>
      </c>
      <c r="X56" s="32" t="n">
        <v>0</v>
      </c>
      <c r="Y56" s="32" t="n">
        <v>0</v>
      </c>
      <c r="Z56" s="32" t="n">
        <v>0</v>
      </c>
      <c r="AA56" s="32" t="n">
        <v>0</v>
      </c>
      <c r="AB56" s="32" t="n">
        <v>0</v>
      </c>
      <c r="AC56" s="32" t="n">
        <v>0</v>
      </c>
      <c r="AD56" s="32" t="n">
        <v>0</v>
      </c>
      <c r="AE56" s="32" t="n">
        <v>0</v>
      </c>
    </row>
    <row r="57">
      <c r="B57" s="31" t="inlineStr">
        <is>
          <t>Lift Multiplier (x base)</t>
        </is>
      </c>
      <c r="F57" s="33" t="n">
        <v>1</v>
      </c>
      <c r="G57" s="33" t="n">
        <v>1</v>
      </c>
      <c r="H57" s="33" t="n">
        <v>1</v>
      </c>
      <c r="I57" s="33" t="n">
        <v>1</v>
      </c>
      <c r="J57" s="33" t="n">
        <v>3.6</v>
      </c>
      <c r="K57" s="33" t="n">
        <v>3.6</v>
      </c>
      <c r="L57" s="33" t="n">
        <v>1</v>
      </c>
      <c r="M57" s="33" t="n">
        <v>1</v>
      </c>
      <c r="N57" s="33" t="n">
        <v>1</v>
      </c>
      <c r="O57" s="33" t="n">
        <v>1</v>
      </c>
      <c r="P57" s="33" t="n">
        <v>1</v>
      </c>
      <c r="Q57" s="33" t="n">
        <v>1</v>
      </c>
      <c r="R57" s="33" t="n">
        <v>1</v>
      </c>
      <c r="S57" s="33" t="n">
        <v>1</v>
      </c>
      <c r="T57" s="33" t="n">
        <v>1</v>
      </c>
      <c r="U57" s="33" t="n">
        <v>1</v>
      </c>
      <c r="V57" s="33" t="n">
        <v>1</v>
      </c>
      <c r="W57" s="33" t="n">
        <v>1</v>
      </c>
      <c r="X57" s="33" t="n">
        <v>1</v>
      </c>
      <c r="Y57" s="33" t="n">
        <v>1</v>
      </c>
      <c r="Z57" s="33" t="n">
        <v>1</v>
      </c>
      <c r="AA57" s="33" t="n">
        <v>1</v>
      </c>
      <c r="AB57" s="33" t="n">
        <v>1</v>
      </c>
      <c r="AC57" s="33" t="n">
        <v>1</v>
      </c>
      <c r="AD57" s="33" t="n">
        <v>1</v>
      </c>
      <c r="AE57" s="33" t="n">
        <v>1</v>
      </c>
    </row>
    <row r="59" ht="22" customHeight="1">
      <c r="B59" s="27" t="inlineStr">
        <is>
          <t>WORST – Demo+EndCap+TPD then Markdown (Wks 18-20)</t>
        </is>
      </c>
    </row>
    <row r="60" ht="32" customHeight="1">
      <c r="B60" s="15" t="inlineStr">
        <is>
          <t>Rationale: Same launch plan as IDEAL but sell-through stalls after the promo weeks. Residual inventory is cleared via three weeks of 50% markdown (Wks 18-20). Wk 20 spike reflects clearance blow-out (~2,400 units in one week).</t>
        </is>
      </c>
    </row>
    <row r="61">
      <c r="B61" s="28" t="inlineStr">
        <is>
          <t>Week</t>
        </is>
      </c>
      <c r="F61" s="29" t="inlineStr">
        <is>
          <t>W1</t>
        </is>
      </c>
      <c r="G61" s="29" t="inlineStr">
        <is>
          <t>W2</t>
        </is>
      </c>
      <c r="H61" s="29" t="inlineStr">
        <is>
          <t>W3</t>
        </is>
      </c>
      <c r="I61" s="29" t="inlineStr">
        <is>
          <t>W4</t>
        </is>
      </c>
      <c r="J61" s="29" t="inlineStr">
        <is>
          <t>W5</t>
        </is>
      </c>
      <c r="K61" s="29" t="inlineStr">
        <is>
          <t>W6</t>
        </is>
      </c>
      <c r="L61" s="29" t="inlineStr">
        <is>
          <t>W7</t>
        </is>
      </c>
      <c r="M61" s="29" t="inlineStr">
        <is>
          <t>W8</t>
        </is>
      </c>
      <c r="N61" s="29" t="inlineStr">
        <is>
          <t>W9</t>
        </is>
      </c>
      <c r="O61" s="29" t="inlineStr">
        <is>
          <t>W10</t>
        </is>
      </c>
      <c r="P61" s="29" t="inlineStr">
        <is>
          <t>W11</t>
        </is>
      </c>
      <c r="Q61" s="29" t="inlineStr">
        <is>
          <t>W12</t>
        </is>
      </c>
      <c r="R61" s="29" t="inlineStr">
        <is>
          <t>W13</t>
        </is>
      </c>
      <c r="S61" s="29" t="inlineStr">
        <is>
          <t>W14</t>
        </is>
      </c>
      <c r="T61" s="29" t="inlineStr">
        <is>
          <t>W15</t>
        </is>
      </c>
      <c r="U61" s="29" t="inlineStr">
        <is>
          <t>W16</t>
        </is>
      </c>
      <c r="V61" s="29" t="inlineStr">
        <is>
          <t>W17</t>
        </is>
      </c>
      <c r="W61" s="29" t="inlineStr">
        <is>
          <t>W18</t>
        </is>
      </c>
      <c r="X61" s="29" t="inlineStr">
        <is>
          <t>W19</t>
        </is>
      </c>
      <c r="Y61" s="29" t="inlineStr">
        <is>
          <t>W20</t>
        </is>
      </c>
      <c r="Z61" s="29" t="inlineStr">
        <is>
          <t>W21</t>
        </is>
      </c>
      <c r="AA61" s="29" t="inlineStr">
        <is>
          <t>W22</t>
        </is>
      </c>
      <c r="AB61" s="29" t="inlineStr">
        <is>
          <t>W23</t>
        </is>
      </c>
      <c r="AC61" s="29" t="inlineStr">
        <is>
          <t>W24</t>
        </is>
      </c>
      <c r="AD61" s="29" t="inlineStr">
        <is>
          <t>W25</t>
        </is>
      </c>
      <c r="AE61" s="29" t="inlineStr">
        <is>
          <t>W26</t>
        </is>
      </c>
    </row>
    <row r="62">
      <c r="B62" s="28" t="inlineStr">
        <is>
          <t>Wk-commencing</t>
        </is>
      </c>
      <c r="F62" s="30">
        <f>Inputs!$C$7+7*0</f>
        <v/>
      </c>
      <c r="G62" s="30">
        <f>Inputs!$C$7+7*1</f>
        <v/>
      </c>
      <c r="H62" s="30">
        <f>Inputs!$C$7+7*2</f>
        <v/>
      </c>
      <c r="I62" s="30">
        <f>Inputs!$C$7+7*3</f>
        <v/>
      </c>
      <c r="J62" s="30">
        <f>Inputs!$C$7+7*4</f>
        <v/>
      </c>
      <c r="K62" s="30">
        <f>Inputs!$C$7+7*5</f>
        <v/>
      </c>
      <c r="L62" s="30">
        <f>Inputs!$C$7+7*6</f>
        <v/>
      </c>
      <c r="M62" s="30">
        <f>Inputs!$C$7+7*7</f>
        <v/>
      </c>
      <c r="N62" s="30">
        <f>Inputs!$C$7+7*8</f>
        <v/>
      </c>
      <c r="O62" s="30">
        <f>Inputs!$C$7+7*9</f>
        <v/>
      </c>
      <c r="P62" s="30">
        <f>Inputs!$C$7+7*10</f>
        <v/>
      </c>
      <c r="Q62" s="30">
        <f>Inputs!$C$7+7*11</f>
        <v/>
      </c>
      <c r="R62" s="30">
        <f>Inputs!$C$7+7*12</f>
        <v/>
      </c>
      <c r="S62" s="30">
        <f>Inputs!$C$7+7*13</f>
        <v/>
      </c>
      <c r="T62" s="30">
        <f>Inputs!$C$7+7*14</f>
        <v/>
      </c>
      <c r="U62" s="30">
        <f>Inputs!$C$7+7*15</f>
        <v/>
      </c>
      <c r="V62" s="30">
        <f>Inputs!$C$7+7*16</f>
        <v/>
      </c>
      <c r="W62" s="30">
        <f>Inputs!$C$7+7*17</f>
        <v/>
      </c>
      <c r="X62" s="30">
        <f>Inputs!$C$7+7*18</f>
        <v/>
      </c>
      <c r="Y62" s="30">
        <f>Inputs!$C$7+7*19</f>
        <v/>
      </c>
      <c r="Z62" s="30">
        <f>Inputs!$C$7+7*20</f>
        <v/>
      </c>
      <c r="AA62" s="30">
        <f>Inputs!$C$7+7*21</f>
        <v/>
      </c>
      <c r="AB62" s="30">
        <f>Inputs!$C$7+7*22</f>
        <v/>
      </c>
      <c r="AC62" s="30">
        <f>Inputs!$C$7+7*23</f>
        <v/>
      </c>
      <c r="AD62" s="30">
        <f>Inputs!$C$7+7*24</f>
        <v/>
      </c>
      <c r="AE62" s="30">
        <f>Inputs!$C$7+7*25</f>
        <v/>
      </c>
    </row>
    <row r="63">
      <c r="B63" s="31" t="inlineStr">
        <is>
          <t>Demo</t>
        </is>
      </c>
      <c r="F63" s="32" t="n">
        <v>0</v>
      </c>
      <c r="G63" s="32" t="n">
        <v>0</v>
      </c>
      <c r="H63" s="32" t="n">
        <v>0</v>
      </c>
      <c r="I63" s="32" t="n">
        <v>0</v>
      </c>
      <c r="J63" s="32" t="n">
        <v>1</v>
      </c>
      <c r="K63" s="32" t="n">
        <v>1</v>
      </c>
      <c r="L63" s="32" t="n">
        <v>0</v>
      </c>
      <c r="M63" s="32" t="n">
        <v>0</v>
      </c>
      <c r="N63" s="32" t="n">
        <v>0</v>
      </c>
      <c r="O63" s="32" t="n">
        <v>0</v>
      </c>
      <c r="P63" s="32" t="n">
        <v>0</v>
      </c>
      <c r="Q63" s="32" t="n">
        <v>0</v>
      </c>
      <c r="R63" s="32" t="n">
        <v>0</v>
      </c>
      <c r="S63" s="32" t="n">
        <v>0</v>
      </c>
      <c r="T63" s="32" t="n">
        <v>0</v>
      </c>
      <c r="U63" s="32" t="n">
        <v>0</v>
      </c>
      <c r="V63" s="32" t="n">
        <v>0</v>
      </c>
      <c r="W63" s="32" t="n">
        <v>0</v>
      </c>
      <c r="X63" s="32" t="n">
        <v>0</v>
      </c>
      <c r="Y63" s="32" t="n">
        <v>0</v>
      </c>
      <c r="Z63" s="32" t="n">
        <v>0</v>
      </c>
      <c r="AA63" s="32" t="n">
        <v>0</v>
      </c>
      <c r="AB63" s="32" t="n">
        <v>0</v>
      </c>
      <c r="AC63" s="32" t="n">
        <v>0</v>
      </c>
      <c r="AD63" s="32" t="n">
        <v>0</v>
      </c>
      <c r="AE63" s="32" t="n">
        <v>0</v>
      </c>
    </row>
    <row r="64">
      <c r="B64" s="31" t="inlineStr">
        <is>
          <t>End Cap</t>
        </is>
      </c>
      <c r="F64" s="32" t="n">
        <v>0</v>
      </c>
      <c r="G64" s="32" t="n">
        <v>0</v>
      </c>
      <c r="H64" s="32" t="n">
        <v>0</v>
      </c>
      <c r="I64" s="32" t="n">
        <v>0</v>
      </c>
      <c r="J64" s="32" t="n">
        <v>1</v>
      </c>
      <c r="K64" s="32" t="n">
        <v>1</v>
      </c>
      <c r="L64" s="32" t="n">
        <v>0</v>
      </c>
      <c r="M64" s="32" t="n">
        <v>0</v>
      </c>
      <c r="N64" s="32" t="n">
        <v>0</v>
      </c>
      <c r="O64" s="32" t="n">
        <v>0</v>
      </c>
      <c r="P64" s="32" t="n">
        <v>0</v>
      </c>
      <c r="Q64" s="32" t="n">
        <v>0</v>
      </c>
      <c r="R64" s="32" t="n">
        <v>0</v>
      </c>
      <c r="S64" s="32" t="n">
        <v>0</v>
      </c>
      <c r="T64" s="32" t="n">
        <v>0</v>
      </c>
      <c r="U64" s="32" t="n">
        <v>0</v>
      </c>
      <c r="V64" s="32" t="n">
        <v>0</v>
      </c>
      <c r="W64" s="32" t="n">
        <v>0</v>
      </c>
      <c r="X64" s="32" t="n">
        <v>0</v>
      </c>
      <c r="Y64" s="32" t="n">
        <v>0</v>
      </c>
      <c r="Z64" s="32" t="n">
        <v>0</v>
      </c>
      <c r="AA64" s="32" t="n">
        <v>0</v>
      </c>
      <c r="AB64" s="32" t="n">
        <v>0</v>
      </c>
      <c r="AC64" s="32" t="n">
        <v>0</v>
      </c>
      <c r="AD64" s="32" t="n">
        <v>0</v>
      </c>
      <c r="AE64" s="32" t="n">
        <v>0</v>
      </c>
    </row>
    <row r="65">
      <c r="B65" s="31" t="inlineStr">
        <is>
          <t>Fence</t>
        </is>
      </c>
      <c r="F65" s="32" t="n">
        <v>0</v>
      </c>
      <c r="G65" s="32" t="n">
        <v>0</v>
      </c>
      <c r="H65" s="32" t="n">
        <v>0</v>
      </c>
      <c r="I65" s="32" t="n">
        <v>0</v>
      </c>
      <c r="J65" s="32" t="n">
        <v>0</v>
      </c>
      <c r="K65" s="32" t="n">
        <v>0</v>
      </c>
      <c r="L65" s="32" t="n">
        <v>0</v>
      </c>
      <c r="M65" s="32" t="n">
        <v>0</v>
      </c>
      <c r="N65" s="32" t="n">
        <v>0</v>
      </c>
      <c r="O65" s="32" t="n">
        <v>0</v>
      </c>
      <c r="P65" s="32" t="n">
        <v>0</v>
      </c>
      <c r="Q65" s="32" t="n">
        <v>0</v>
      </c>
      <c r="R65" s="32" t="n">
        <v>0</v>
      </c>
      <c r="S65" s="32" t="n">
        <v>0</v>
      </c>
      <c r="T65" s="32" t="n">
        <v>0</v>
      </c>
      <c r="U65" s="32" t="n">
        <v>0</v>
      </c>
      <c r="V65" s="32" t="n">
        <v>0</v>
      </c>
      <c r="W65" s="32" t="n">
        <v>0</v>
      </c>
      <c r="X65" s="32" t="n">
        <v>0</v>
      </c>
      <c r="Y65" s="32" t="n">
        <v>0</v>
      </c>
      <c r="Z65" s="32" t="n">
        <v>0</v>
      </c>
      <c r="AA65" s="32" t="n">
        <v>0</v>
      </c>
      <c r="AB65" s="32" t="n">
        <v>0</v>
      </c>
      <c r="AC65" s="32" t="n">
        <v>0</v>
      </c>
      <c r="AD65" s="32" t="n">
        <v>0</v>
      </c>
      <c r="AE65" s="32" t="n">
        <v>0</v>
      </c>
    </row>
    <row r="66">
      <c r="B66" s="31" t="inlineStr">
        <is>
          <t>TPD</t>
        </is>
      </c>
      <c r="F66" s="32" t="n">
        <v>0</v>
      </c>
      <c r="G66" s="32" t="n">
        <v>0</v>
      </c>
      <c r="H66" s="32" t="n">
        <v>0</v>
      </c>
      <c r="I66" s="32" t="n">
        <v>0</v>
      </c>
      <c r="J66" s="32" t="n">
        <v>1</v>
      </c>
      <c r="K66" s="32" t="n">
        <v>1</v>
      </c>
      <c r="L66" s="32" t="n">
        <v>0</v>
      </c>
      <c r="M66" s="32" t="n">
        <v>0</v>
      </c>
      <c r="N66" s="32" t="n">
        <v>0</v>
      </c>
      <c r="O66" s="32" t="n">
        <v>0</v>
      </c>
      <c r="P66" s="32" t="n">
        <v>0</v>
      </c>
      <c r="Q66" s="32" t="n">
        <v>0</v>
      </c>
      <c r="R66" s="32" t="n">
        <v>0</v>
      </c>
      <c r="S66" s="32" t="n">
        <v>0</v>
      </c>
      <c r="T66" s="32" t="n">
        <v>0</v>
      </c>
      <c r="U66" s="32" t="n">
        <v>0</v>
      </c>
      <c r="V66" s="32" t="n">
        <v>0</v>
      </c>
      <c r="W66" s="32" t="n">
        <v>0</v>
      </c>
      <c r="X66" s="32" t="n">
        <v>0</v>
      </c>
      <c r="Y66" s="32" t="n">
        <v>0</v>
      </c>
      <c r="Z66" s="32" t="n">
        <v>0</v>
      </c>
      <c r="AA66" s="32" t="n">
        <v>0</v>
      </c>
      <c r="AB66" s="32" t="n">
        <v>0</v>
      </c>
      <c r="AC66" s="32" t="n">
        <v>0</v>
      </c>
      <c r="AD66" s="32" t="n">
        <v>0</v>
      </c>
      <c r="AE66" s="32" t="n">
        <v>0</v>
      </c>
    </row>
    <row r="67">
      <c r="B67" s="31" t="inlineStr">
        <is>
          <t>Markdown</t>
        </is>
      </c>
      <c r="F67" s="32" t="n">
        <v>0</v>
      </c>
      <c r="G67" s="32" t="n">
        <v>0</v>
      </c>
      <c r="H67" s="32" t="n">
        <v>0</v>
      </c>
      <c r="I67" s="32" t="n">
        <v>0</v>
      </c>
      <c r="J67" s="32" t="n">
        <v>0</v>
      </c>
      <c r="K67" s="32" t="n">
        <v>0</v>
      </c>
      <c r="L67" s="32" t="n">
        <v>0</v>
      </c>
      <c r="M67" s="32" t="n">
        <v>0</v>
      </c>
      <c r="N67" s="32" t="n">
        <v>0</v>
      </c>
      <c r="O67" s="32" t="n">
        <v>0</v>
      </c>
      <c r="P67" s="32" t="n">
        <v>0</v>
      </c>
      <c r="Q67" s="32" t="n">
        <v>0</v>
      </c>
      <c r="R67" s="32" t="n">
        <v>0</v>
      </c>
      <c r="S67" s="32" t="n">
        <v>0</v>
      </c>
      <c r="T67" s="32" t="n">
        <v>0</v>
      </c>
      <c r="U67" s="32" t="n">
        <v>0</v>
      </c>
      <c r="V67" s="32" t="n">
        <v>0</v>
      </c>
      <c r="W67" s="32" t="n">
        <v>1</v>
      </c>
      <c r="X67" s="32" t="n">
        <v>1</v>
      </c>
      <c r="Y67" s="32" t="n">
        <v>1</v>
      </c>
      <c r="Z67" s="32" t="n">
        <v>0</v>
      </c>
      <c r="AA67" s="32" t="n">
        <v>0</v>
      </c>
      <c r="AB67" s="32" t="n">
        <v>0</v>
      </c>
      <c r="AC67" s="32" t="n">
        <v>0</v>
      </c>
      <c r="AD67" s="32" t="n">
        <v>0</v>
      </c>
      <c r="AE67" s="32" t="n">
        <v>0</v>
      </c>
    </row>
    <row r="68">
      <c r="B68" s="31" t="inlineStr">
        <is>
          <t>Advert</t>
        </is>
      </c>
      <c r="F68" s="32" t="n">
        <v>0</v>
      </c>
      <c r="G68" s="32" t="n">
        <v>0</v>
      </c>
      <c r="H68" s="32" t="n">
        <v>0</v>
      </c>
      <c r="I68" s="32" t="n">
        <v>0</v>
      </c>
      <c r="J68" s="32" t="n">
        <v>0</v>
      </c>
      <c r="K68" s="32" t="n">
        <v>0</v>
      </c>
      <c r="L68" s="32" t="n">
        <v>0</v>
      </c>
      <c r="M68" s="32" t="n">
        <v>0</v>
      </c>
      <c r="N68" s="32" t="n">
        <v>0</v>
      </c>
      <c r="O68" s="32" t="n">
        <v>0</v>
      </c>
      <c r="P68" s="32" t="n">
        <v>0</v>
      </c>
      <c r="Q68" s="32" t="n">
        <v>0</v>
      </c>
      <c r="R68" s="32" t="n">
        <v>0</v>
      </c>
      <c r="S68" s="32" t="n">
        <v>0</v>
      </c>
      <c r="T68" s="32" t="n">
        <v>0</v>
      </c>
      <c r="U68" s="32" t="n">
        <v>0</v>
      </c>
      <c r="V68" s="32" t="n">
        <v>0</v>
      </c>
      <c r="W68" s="32" t="n">
        <v>0</v>
      </c>
      <c r="X68" s="32" t="n">
        <v>0</v>
      </c>
      <c r="Y68" s="32" t="n">
        <v>0</v>
      </c>
      <c r="Z68" s="32" t="n">
        <v>0</v>
      </c>
      <c r="AA68" s="32" t="n">
        <v>0</v>
      </c>
      <c r="AB68" s="32" t="n">
        <v>0</v>
      </c>
      <c r="AC68" s="32" t="n">
        <v>0</v>
      </c>
      <c r="AD68" s="32" t="n">
        <v>0</v>
      </c>
      <c r="AE68" s="32" t="n">
        <v>0</v>
      </c>
    </row>
    <row r="69">
      <c r="B69" s="31" t="inlineStr">
        <is>
          <t>Lift Multiplier (x base)</t>
        </is>
      </c>
      <c r="F69" s="33" t="n">
        <v>1</v>
      </c>
      <c r="G69" s="33" t="n">
        <v>1</v>
      </c>
      <c r="H69" s="33" t="n">
        <v>1</v>
      </c>
      <c r="I69" s="33" t="n">
        <v>1</v>
      </c>
      <c r="J69" s="33" t="n">
        <v>3</v>
      </c>
      <c r="K69" s="33" t="n">
        <v>3</v>
      </c>
      <c r="L69" s="33" t="n">
        <v>1</v>
      </c>
      <c r="M69" s="33" t="n">
        <v>1</v>
      </c>
      <c r="N69" s="33" t="n">
        <v>1</v>
      </c>
      <c r="O69" s="33" t="n">
        <v>1</v>
      </c>
      <c r="P69" s="33" t="n">
        <v>1</v>
      </c>
      <c r="Q69" s="33" t="n">
        <v>1</v>
      </c>
      <c r="R69" s="33" t="n">
        <v>1</v>
      </c>
      <c r="S69" s="33" t="n">
        <v>1</v>
      </c>
      <c r="T69" s="33" t="n">
        <v>1</v>
      </c>
      <c r="U69" s="33" t="n">
        <v>1</v>
      </c>
      <c r="V69" s="33" t="n">
        <v>1</v>
      </c>
      <c r="W69" s="33" t="n">
        <v>1</v>
      </c>
      <c r="X69" s="33" t="n">
        <v>0.3</v>
      </c>
      <c r="Y69" s="33" t="n">
        <v>8.699999999999999</v>
      </c>
      <c r="Z69" s="33" t="n">
        <v>1</v>
      </c>
      <c r="AA69" s="33" t="n">
        <v>1</v>
      </c>
      <c r="AB69" s="33" t="n">
        <v>1</v>
      </c>
      <c r="AC69" s="33" t="n">
        <v>1</v>
      </c>
      <c r="AD69" s="33" t="n">
        <v>1</v>
      </c>
      <c r="AE69" s="33" t="n">
        <v>1</v>
      </c>
    </row>
  </sheetData>
  <mergeCells count="12">
    <mergeCell ref="B17:E17"/>
    <mergeCell ref="B35:AE35"/>
    <mergeCell ref="B48:AE48"/>
    <mergeCell ref="B21:E21"/>
    <mergeCell ref="B33:E33"/>
    <mergeCell ref="B11:E11"/>
    <mergeCell ref="B47:AE47"/>
    <mergeCell ref="B59:AE59"/>
    <mergeCell ref="B5:E5"/>
    <mergeCell ref="B2:E2"/>
    <mergeCell ref="B36:AE36"/>
    <mergeCell ref="B60:AE6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AF58"/>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2" customWidth="1" min="1" max="1"/>
    <col width="32" customWidth="1" min="2" max="2"/>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4" customWidth="1" min="32" max="32"/>
  </cols>
  <sheetData>
    <row r="2" ht="32" customHeight="1">
      <c r="B2" s="9" t="inlineStr">
        <is>
          <t>FORECAST — Weekly P&amp;L (all values calculated, do not edit)</t>
        </is>
      </c>
    </row>
    <row r="4" ht="22" customHeight="1">
      <c r="B4" s="27" t="inlineStr">
        <is>
          <t>BEST – x2 Demo (Wks 5-6) + TPD</t>
        </is>
      </c>
    </row>
    <row r="5">
      <c r="B5" s="31" t="inlineStr">
        <is>
          <t>Week</t>
        </is>
      </c>
      <c r="F5" s="29" t="inlineStr">
        <is>
          <t>W1</t>
        </is>
      </c>
      <c r="G5" s="29" t="inlineStr">
        <is>
          <t>W2</t>
        </is>
      </c>
      <c r="H5" s="29" t="inlineStr">
        <is>
          <t>W3</t>
        </is>
      </c>
      <c r="I5" s="29" t="inlineStr">
        <is>
          <t>W4</t>
        </is>
      </c>
      <c r="J5" s="29" t="inlineStr">
        <is>
          <t>W5</t>
        </is>
      </c>
      <c r="K5" s="29" t="inlineStr">
        <is>
          <t>W6</t>
        </is>
      </c>
      <c r="L5" s="29" t="inlineStr">
        <is>
          <t>W7</t>
        </is>
      </c>
      <c r="M5" s="29" t="inlineStr">
        <is>
          <t>W8</t>
        </is>
      </c>
      <c r="N5" s="29" t="inlineStr">
        <is>
          <t>W9</t>
        </is>
      </c>
      <c r="O5" s="29" t="inlineStr">
        <is>
          <t>W10</t>
        </is>
      </c>
      <c r="P5" s="29" t="inlineStr">
        <is>
          <t>W11</t>
        </is>
      </c>
      <c r="Q5" s="29" t="inlineStr">
        <is>
          <t>W12</t>
        </is>
      </c>
      <c r="R5" s="29" t="inlineStr">
        <is>
          <t>W13</t>
        </is>
      </c>
      <c r="S5" s="29" t="inlineStr">
        <is>
          <t>W14</t>
        </is>
      </c>
      <c r="T5" s="29" t="inlineStr">
        <is>
          <t>W15</t>
        </is>
      </c>
      <c r="U5" s="29" t="inlineStr">
        <is>
          <t>W16</t>
        </is>
      </c>
      <c r="V5" s="29" t="inlineStr">
        <is>
          <t>W17</t>
        </is>
      </c>
      <c r="W5" s="29" t="inlineStr">
        <is>
          <t>W18</t>
        </is>
      </c>
      <c r="X5" s="29" t="inlineStr">
        <is>
          <t>W19</t>
        </is>
      </c>
      <c r="Y5" s="29" t="inlineStr">
        <is>
          <t>W20</t>
        </is>
      </c>
      <c r="Z5" s="29" t="inlineStr">
        <is>
          <t>W21</t>
        </is>
      </c>
      <c r="AA5" s="29" t="inlineStr">
        <is>
          <t>W22</t>
        </is>
      </c>
      <c r="AB5" s="29" t="inlineStr">
        <is>
          <t>W23</t>
        </is>
      </c>
      <c r="AC5" s="29" t="inlineStr">
        <is>
          <t>W24</t>
        </is>
      </c>
      <c r="AD5" s="29" t="inlineStr">
        <is>
          <t>W25</t>
        </is>
      </c>
      <c r="AE5" s="29" t="inlineStr">
        <is>
          <t>W26</t>
        </is>
      </c>
      <c r="AF5" s="34" t="inlineStr">
        <is>
          <t>TOTAL</t>
        </is>
      </c>
    </row>
    <row r="6">
      <c r="B6" s="31" t="inlineStr">
        <is>
          <t>Wk-commencing</t>
        </is>
      </c>
      <c r="F6" s="30">
        <f>Inputs!$C$7+7*0</f>
        <v/>
      </c>
      <c r="G6" s="30">
        <f>Inputs!$C$7+7*1</f>
        <v/>
      </c>
      <c r="H6" s="30">
        <f>Inputs!$C$7+7*2</f>
        <v/>
      </c>
      <c r="I6" s="30">
        <f>Inputs!$C$7+7*3</f>
        <v/>
      </c>
      <c r="J6" s="30">
        <f>Inputs!$C$7+7*4</f>
        <v/>
      </c>
      <c r="K6" s="30">
        <f>Inputs!$C$7+7*5</f>
        <v/>
      </c>
      <c r="L6" s="30">
        <f>Inputs!$C$7+7*6</f>
        <v/>
      </c>
      <c r="M6" s="30">
        <f>Inputs!$C$7+7*7</f>
        <v/>
      </c>
      <c r="N6" s="30">
        <f>Inputs!$C$7+7*8</f>
        <v/>
      </c>
      <c r="O6" s="30">
        <f>Inputs!$C$7+7*9</f>
        <v/>
      </c>
      <c r="P6" s="30">
        <f>Inputs!$C$7+7*10</f>
        <v/>
      </c>
      <c r="Q6" s="30">
        <f>Inputs!$C$7+7*11</f>
        <v/>
      </c>
      <c r="R6" s="30">
        <f>Inputs!$C$7+7*12</f>
        <v/>
      </c>
      <c r="S6" s="30">
        <f>Inputs!$C$7+7*13</f>
        <v/>
      </c>
      <c r="T6" s="30">
        <f>Inputs!$C$7+7*14</f>
        <v/>
      </c>
      <c r="U6" s="30">
        <f>Inputs!$C$7+7*15</f>
        <v/>
      </c>
      <c r="V6" s="30">
        <f>Inputs!$C$7+7*16</f>
        <v/>
      </c>
      <c r="W6" s="30">
        <f>Inputs!$C$7+7*17</f>
        <v/>
      </c>
      <c r="X6" s="30">
        <f>Inputs!$C$7+7*18</f>
        <v/>
      </c>
      <c r="Y6" s="30">
        <f>Inputs!$C$7+7*19</f>
        <v/>
      </c>
      <c r="Z6" s="30">
        <f>Inputs!$C$7+7*20</f>
        <v/>
      </c>
      <c r="AA6" s="30">
        <f>Inputs!$C$7+7*21</f>
        <v/>
      </c>
      <c r="AB6" s="30">
        <f>Inputs!$C$7+7*22</f>
        <v/>
      </c>
      <c r="AC6" s="30">
        <f>Inputs!$C$7+7*23</f>
        <v/>
      </c>
      <c r="AD6" s="30">
        <f>Inputs!$C$7+7*24</f>
        <v/>
      </c>
      <c r="AE6" s="30">
        <f>Inputs!$C$7+7*25</f>
        <v/>
      </c>
      <c r="AF6" s="35" t="inlineStr"/>
    </row>
    <row r="7">
      <c r="B7" s="13" t="inlineStr">
        <is>
          <t>POS Units</t>
        </is>
      </c>
      <c r="F7" s="23">
        <f>ROUND(Inputs!$C$19*Inputs!F45,0)</f>
        <v/>
      </c>
      <c r="G7" s="23">
        <f>ROUND(Inputs!$C$19*Inputs!G45,0)</f>
        <v/>
      </c>
      <c r="H7" s="23">
        <f>ROUND(Inputs!$C$19*Inputs!H45,0)</f>
        <v/>
      </c>
      <c r="I7" s="23">
        <f>ROUND(Inputs!$C$19*Inputs!I45,0)</f>
        <v/>
      </c>
      <c r="J7" s="23">
        <f>ROUND(Inputs!$C$19*Inputs!J45,0)</f>
        <v/>
      </c>
      <c r="K7" s="23">
        <f>ROUND(Inputs!$C$19*Inputs!K45,0)</f>
        <v/>
      </c>
      <c r="L7" s="23">
        <f>ROUND(Inputs!$C$19*Inputs!L45,0)</f>
        <v/>
      </c>
      <c r="M7" s="23">
        <f>ROUND(Inputs!$C$19*Inputs!M45,0)</f>
        <v/>
      </c>
      <c r="N7" s="23">
        <f>ROUND(Inputs!$C$19*Inputs!N45,0)</f>
        <v/>
      </c>
      <c r="O7" s="23">
        <f>ROUND(Inputs!$C$19*Inputs!O45,0)</f>
        <v/>
      </c>
      <c r="P7" s="23">
        <f>ROUND(Inputs!$C$19*Inputs!P45,0)</f>
        <v/>
      </c>
      <c r="Q7" s="23">
        <f>ROUND(Inputs!$C$19*Inputs!Q45,0)</f>
        <v/>
      </c>
      <c r="R7" s="23">
        <f>ROUND(Inputs!$C$19*Inputs!R45,0)</f>
        <v/>
      </c>
      <c r="S7" s="23">
        <f>ROUND(Inputs!$C$19*Inputs!S45,0)</f>
        <v/>
      </c>
      <c r="T7" s="23">
        <f>ROUND(Inputs!$C$19*Inputs!T45,0)</f>
        <v/>
      </c>
      <c r="U7" s="23">
        <f>ROUND(Inputs!$C$19*Inputs!U45,0)</f>
        <v/>
      </c>
      <c r="V7" s="23">
        <f>ROUND(Inputs!$C$19*Inputs!V45,0)</f>
        <v/>
      </c>
      <c r="W7" s="23">
        <f>ROUND(Inputs!$C$19*Inputs!W45,0)</f>
        <v/>
      </c>
      <c r="X7" s="23">
        <f>ROUND(Inputs!$C$19*Inputs!X45,0)</f>
        <v/>
      </c>
      <c r="Y7" s="23">
        <f>ROUND(Inputs!$C$19*Inputs!Y45,0)</f>
        <v/>
      </c>
      <c r="Z7" s="23">
        <f>ROUND(Inputs!$C$19*Inputs!Z45,0)</f>
        <v/>
      </c>
      <c r="AA7" s="23">
        <f>ROUND(Inputs!$C$19*Inputs!AA45,0)</f>
        <v/>
      </c>
      <c r="AB7" s="23">
        <f>ROUND(Inputs!$C$19*Inputs!AB45,0)</f>
        <v/>
      </c>
      <c r="AC7" s="23">
        <f>ROUND(Inputs!$C$19*Inputs!AC45,0)</f>
        <v/>
      </c>
      <c r="AD7" s="23">
        <f>ROUND(Inputs!$C$19*Inputs!AD45,0)</f>
        <v/>
      </c>
      <c r="AE7" s="23">
        <f>ROUND(Inputs!$C$19*Inputs!AE45,0)</f>
        <v/>
      </c>
      <c r="AF7" s="36">
        <f>SUM(F7:AE7)</f>
        <v/>
      </c>
    </row>
    <row r="8">
      <c r="B8" s="37" t="inlineStr">
        <is>
          <t>Selling Price</t>
        </is>
      </c>
      <c r="F8" s="19">
        <f>Inputs!$C$12</f>
        <v/>
      </c>
      <c r="G8" s="19">
        <f>Inputs!$C$12</f>
        <v/>
      </c>
      <c r="H8" s="19">
        <f>Inputs!$C$12</f>
        <v/>
      </c>
      <c r="I8" s="19">
        <f>Inputs!$C$12</f>
        <v/>
      </c>
      <c r="J8" s="19">
        <f>Inputs!$C$12</f>
        <v/>
      </c>
      <c r="K8" s="19">
        <f>Inputs!$C$12</f>
        <v/>
      </c>
      <c r="L8" s="19">
        <f>Inputs!$C$12</f>
        <v/>
      </c>
      <c r="M8" s="19">
        <f>Inputs!$C$12</f>
        <v/>
      </c>
      <c r="N8" s="19">
        <f>Inputs!$C$12</f>
        <v/>
      </c>
      <c r="O8" s="19">
        <f>Inputs!$C$12</f>
        <v/>
      </c>
      <c r="P8" s="19">
        <f>Inputs!$C$12</f>
        <v/>
      </c>
      <c r="Q8" s="19">
        <f>Inputs!$C$12</f>
        <v/>
      </c>
      <c r="R8" s="19">
        <f>Inputs!$C$12</f>
        <v/>
      </c>
      <c r="S8" s="19">
        <f>Inputs!$C$12</f>
        <v/>
      </c>
      <c r="T8" s="19">
        <f>Inputs!$C$12</f>
        <v/>
      </c>
      <c r="U8" s="19">
        <f>Inputs!$C$12</f>
        <v/>
      </c>
      <c r="V8" s="19">
        <f>Inputs!$C$12</f>
        <v/>
      </c>
      <c r="W8" s="19">
        <f>Inputs!$C$12</f>
        <v/>
      </c>
      <c r="X8" s="19">
        <f>Inputs!$C$12</f>
        <v/>
      </c>
      <c r="Y8" s="19">
        <f>Inputs!$C$12</f>
        <v/>
      </c>
      <c r="Z8" s="19">
        <f>Inputs!$C$12</f>
        <v/>
      </c>
      <c r="AA8" s="19">
        <f>Inputs!$C$12</f>
        <v/>
      </c>
      <c r="AB8" s="19">
        <f>Inputs!$C$12</f>
        <v/>
      </c>
      <c r="AC8" s="19">
        <f>Inputs!$C$12</f>
        <v/>
      </c>
      <c r="AD8" s="19">
        <f>Inputs!$C$12</f>
        <v/>
      </c>
      <c r="AE8" s="19">
        <f>Inputs!$C$12</f>
        <v/>
      </c>
      <c r="AF8" s="38">
        <f>Inputs!$C$12</f>
        <v/>
      </c>
    </row>
    <row r="9">
      <c r="B9" s="13" t="inlineStr">
        <is>
          <t>Revenue</t>
        </is>
      </c>
      <c r="F9" s="26">
        <f>F7*F8</f>
        <v/>
      </c>
      <c r="G9" s="26">
        <f>G7*G8</f>
        <v/>
      </c>
      <c r="H9" s="26">
        <f>H7*H8</f>
        <v/>
      </c>
      <c r="I9" s="26">
        <f>I7*I8</f>
        <v/>
      </c>
      <c r="J9" s="26">
        <f>J7*J8</f>
        <v/>
      </c>
      <c r="K9" s="26">
        <f>K7*K8</f>
        <v/>
      </c>
      <c r="L9" s="26">
        <f>L7*L8</f>
        <v/>
      </c>
      <c r="M9" s="26">
        <f>M7*M8</f>
        <v/>
      </c>
      <c r="N9" s="26">
        <f>N7*N8</f>
        <v/>
      </c>
      <c r="O9" s="26">
        <f>O7*O8</f>
        <v/>
      </c>
      <c r="P9" s="26">
        <f>P7*P8</f>
        <v/>
      </c>
      <c r="Q9" s="26">
        <f>Q7*Q8</f>
        <v/>
      </c>
      <c r="R9" s="26">
        <f>R7*R8</f>
        <v/>
      </c>
      <c r="S9" s="26">
        <f>S7*S8</f>
        <v/>
      </c>
      <c r="T9" s="26">
        <f>T7*T8</f>
        <v/>
      </c>
      <c r="U9" s="26">
        <f>U7*U8</f>
        <v/>
      </c>
      <c r="V9" s="26">
        <f>V7*V8</f>
        <v/>
      </c>
      <c r="W9" s="26">
        <f>W7*W8</f>
        <v/>
      </c>
      <c r="X9" s="26">
        <f>X7*X8</f>
        <v/>
      </c>
      <c r="Y9" s="26">
        <f>Y7*Y8</f>
        <v/>
      </c>
      <c r="Z9" s="26">
        <f>Z7*Z8</f>
        <v/>
      </c>
      <c r="AA9" s="26">
        <f>AA7*AA8</f>
        <v/>
      </c>
      <c r="AB9" s="26">
        <f>AB7*AB8</f>
        <v/>
      </c>
      <c r="AC9" s="26">
        <f>AC7*AC8</f>
        <v/>
      </c>
      <c r="AD9" s="26">
        <f>AD7*AD8</f>
        <v/>
      </c>
      <c r="AE9" s="26">
        <f>AE7*AE8</f>
        <v/>
      </c>
      <c r="AF9" s="39">
        <f>SUM(F9:AE9)</f>
        <v/>
      </c>
    </row>
    <row r="10">
      <c r="B10" s="37" t="inlineStr">
        <is>
          <t>Cost Price</t>
        </is>
      </c>
      <c r="F10" s="19">
        <f>Inputs!$C$13</f>
        <v/>
      </c>
      <c r="G10" s="19">
        <f>Inputs!$C$13</f>
        <v/>
      </c>
      <c r="H10" s="19">
        <f>Inputs!$C$13</f>
        <v/>
      </c>
      <c r="I10" s="19">
        <f>Inputs!$C$13</f>
        <v/>
      </c>
      <c r="J10" s="19">
        <f>Inputs!$C$13</f>
        <v/>
      </c>
      <c r="K10" s="19">
        <f>Inputs!$C$13</f>
        <v/>
      </c>
      <c r="L10" s="19">
        <f>Inputs!$C$13</f>
        <v/>
      </c>
      <c r="M10" s="19">
        <f>Inputs!$C$13</f>
        <v/>
      </c>
      <c r="N10" s="19">
        <f>Inputs!$C$13</f>
        <v/>
      </c>
      <c r="O10" s="19">
        <f>Inputs!$C$13</f>
        <v/>
      </c>
      <c r="P10" s="19">
        <f>Inputs!$C$13</f>
        <v/>
      </c>
      <c r="Q10" s="19">
        <f>Inputs!$C$13</f>
        <v/>
      </c>
      <c r="R10" s="19">
        <f>Inputs!$C$13</f>
        <v/>
      </c>
      <c r="S10" s="19">
        <f>Inputs!$C$13</f>
        <v/>
      </c>
      <c r="T10" s="19">
        <f>Inputs!$C$13</f>
        <v/>
      </c>
      <c r="U10" s="19">
        <f>Inputs!$C$13</f>
        <v/>
      </c>
      <c r="V10" s="19">
        <f>Inputs!$C$13</f>
        <v/>
      </c>
      <c r="W10" s="19">
        <f>Inputs!$C$13</f>
        <v/>
      </c>
      <c r="X10" s="19">
        <f>Inputs!$C$13</f>
        <v/>
      </c>
      <c r="Y10" s="19">
        <f>Inputs!$C$13</f>
        <v/>
      </c>
      <c r="Z10" s="19">
        <f>Inputs!$C$13</f>
        <v/>
      </c>
      <c r="AA10" s="19">
        <f>Inputs!$C$13</f>
        <v/>
      </c>
      <c r="AB10" s="19">
        <f>Inputs!$C$13</f>
        <v/>
      </c>
      <c r="AC10" s="19">
        <f>Inputs!$C$13</f>
        <v/>
      </c>
      <c r="AD10" s="19">
        <f>Inputs!$C$13</f>
        <v/>
      </c>
      <c r="AE10" s="19">
        <f>Inputs!$C$13</f>
        <v/>
      </c>
      <c r="AF10" s="38">
        <f>Inputs!$C$13</f>
        <v/>
      </c>
    </row>
    <row r="11">
      <c r="B11" s="37" t="inlineStr">
        <is>
          <t>Raw COGS</t>
        </is>
      </c>
      <c r="F11" s="26">
        <f>F7*F10</f>
        <v/>
      </c>
      <c r="G11" s="26">
        <f>G7*G10</f>
        <v/>
      </c>
      <c r="H11" s="26">
        <f>H7*H10</f>
        <v/>
      </c>
      <c r="I11" s="26">
        <f>I7*I10</f>
        <v/>
      </c>
      <c r="J11" s="26">
        <f>J7*J10</f>
        <v/>
      </c>
      <c r="K11" s="26">
        <f>K7*K10</f>
        <v/>
      </c>
      <c r="L11" s="26">
        <f>L7*L10</f>
        <v/>
      </c>
      <c r="M11" s="26">
        <f>M7*M10</f>
        <v/>
      </c>
      <c r="N11" s="26">
        <f>N7*N10</f>
        <v/>
      </c>
      <c r="O11" s="26">
        <f>O7*O10</f>
        <v/>
      </c>
      <c r="P11" s="26">
        <f>P7*P10</f>
        <v/>
      </c>
      <c r="Q11" s="26">
        <f>Q7*Q10</f>
        <v/>
      </c>
      <c r="R11" s="26">
        <f>R7*R10</f>
        <v/>
      </c>
      <c r="S11" s="26">
        <f>S7*S10</f>
        <v/>
      </c>
      <c r="T11" s="26">
        <f>T7*T10</f>
        <v/>
      </c>
      <c r="U11" s="26">
        <f>U7*U10</f>
        <v/>
      </c>
      <c r="V11" s="26">
        <f>V7*V10</f>
        <v/>
      </c>
      <c r="W11" s="26">
        <f>W7*W10</f>
        <v/>
      </c>
      <c r="X11" s="26">
        <f>X7*X10</f>
        <v/>
      </c>
      <c r="Y11" s="26">
        <f>Y7*Y10</f>
        <v/>
      </c>
      <c r="Z11" s="26">
        <f>Z7*Z10</f>
        <v/>
      </c>
      <c r="AA11" s="26">
        <f>AA7*AA10</f>
        <v/>
      </c>
      <c r="AB11" s="26">
        <f>AB7*AB10</f>
        <v/>
      </c>
      <c r="AC11" s="26">
        <f>AC7*AC10</f>
        <v/>
      </c>
      <c r="AD11" s="26">
        <f>AD7*AD10</f>
        <v/>
      </c>
      <c r="AE11" s="26">
        <f>AE7*AE10</f>
        <v/>
      </c>
      <c r="AF11" s="39">
        <f>SUM(F11:AE11)</f>
        <v/>
      </c>
    </row>
    <row r="12">
      <c r="B12" s="37" t="inlineStr">
        <is>
          <t>— Demo Spend</t>
        </is>
      </c>
      <c r="F12" s="26">
        <f>Inputs!F39*Inputs!$C$24</f>
        <v/>
      </c>
      <c r="G12" s="26">
        <f>Inputs!G39*Inputs!$C$24</f>
        <v/>
      </c>
      <c r="H12" s="26">
        <f>Inputs!H39*Inputs!$C$24</f>
        <v/>
      </c>
      <c r="I12" s="26">
        <f>Inputs!I39*Inputs!$C$24</f>
        <v/>
      </c>
      <c r="J12" s="26">
        <f>Inputs!J39*Inputs!$C$24</f>
        <v/>
      </c>
      <c r="K12" s="26">
        <f>Inputs!K39*Inputs!$C$24</f>
        <v/>
      </c>
      <c r="L12" s="26">
        <f>Inputs!L39*Inputs!$C$24</f>
        <v/>
      </c>
      <c r="M12" s="26">
        <f>Inputs!M39*Inputs!$C$24</f>
        <v/>
      </c>
      <c r="N12" s="26">
        <f>Inputs!N39*Inputs!$C$24</f>
        <v/>
      </c>
      <c r="O12" s="26">
        <f>Inputs!O39*Inputs!$C$24</f>
        <v/>
      </c>
      <c r="P12" s="26">
        <f>Inputs!P39*Inputs!$C$24</f>
        <v/>
      </c>
      <c r="Q12" s="26">
        <f>Inputs!Q39*Inputs!$C$24</f>
        <v/>
      </c>
      <c r="R12" s="26">
        <f>Inputs!R39*Inputs!$C$24</f>
        <v/>
      </c>
      <c r="S12" s="26">
        <f>Inputs!S39*Inputs!$C$24</f>
        <v/>
      </c>
      <c r="T12" s="26">
        <f>Inputs!T39*Inputs!$C$24</f>
        <v/>
      </c>
      <c r="U12" s="26">
        <f>Inputs!U39*Inputs!$C$24</f>
        <v/>
      </c>
      <c r="V12" s="26">
        <f>Inputs!V39*Inputs!$C$24</f>
        <v/>
      </c>
      <c r="W12" s="26">
        <f>Inputs!W39*Inputs!$C$24</f>
        <v/>
      </c>
      <c r="X12" s="26">
        <f>Inputs!X39*Inputs!$C$24</f>
        <v/>
      </c>
      <c r="Y12" s="26">
        <f>Inputs!Y39*Inputs!$C$24</f>
        <v/>
      </c>
      <c r="Z12" s="26">
        <f>Inputs!Z39*Inputs!$C$24</f>
        <v/>
      </c>
      <c r="AA12" s="26">
        <f>Inputs!AA39*Inputs!$C$24</f>
        <v/>
      </c>
      <c r="AB12" s="26">
        <f>Inputs!AB39*Inputs!$C$24</f>
        <v/>
      </c>
      <c r="AC12" s="26">
        <f>Inputs!AC39*Inputs!$C$24</f>
        <v/>
      </c>
      <c r="AD12" s="26">
        <f>Inputs!AD39*Inputs!$C$24</f>
        <v/>
      </c>
      <c r="AE12" s="26">
        <f>Inputs!AE39*Inputs!$C$24</f>
        <v/>
      </c>
      <c r="AF12" s="39">
        <f>SUM(F12:AE12)</f>
        <v/>
      </c>
    </row>
    <row r="13">
      <c r="B13" s="37" t="inlineStr">
        <is>
          <t>— End Cap Spend</t>
        </is>
      </c>
      <c r="F13" s="26">
        <f>Inputs!F40*Inputs!$C$27</f>
        <v/>
      </c>
      <c r="G13" s="26">
        <f>Inputs!G40*Inputs!$C$27</f>
        <v/>
      </c>
      <c r="H13" s="26">
        <f>Inputs!H40*Inputs!$C$27</f>
        <v/>
      </c>
      <c r="I13" s="26">
        <f>Inputs!I40*Inputs!$C$27</f>
        <v/>
      </c>
      <c r="J13" s="26">
        <f>Inputs!J40*Inputs!$C$27</f>
        <v/>
      </c>
      <c r="K13" s="26">
        <f>Inputs!K40*Inputs!$C$27</f>
        <v/>
      </c>
      <c r="L13" s="26">
        <f>Inputs!L40*Inputs!$C$27</f>
        <v/>
      </c>
      <c r="M13" s="26">
        <f>Inputs!M40*Inputs!$C$27</f>
        <v/>
      </c>
      <c r="N13" s="26">
        <f>Inputs!N40*Inputs!$C$27</f>
        <v/>
      </c>
      <c r="O13" s="26">
        <f>Inputs!O40*Inputs!$C$27</f>
        <v/>
      </c>
      <c r="P13" s="26">
        <f>Inputs!P40*Inputs!$C$27</f>
        <v/>
      </c>
      <c r="Q13" s="26">
        <f>Inputs!Q40*Inputs!$C$27</f>
        <v/>
      </c>
      <c r="R13" s="26">
        <f>Inputs!R40*Inputs!$C$27</f>
        <v/>
      </c>
      <c r="S13" s="26">
        <f>Inputs!S40*Inputs!$C$27</f>
        <v/>
      </c>
      <c r="T13" s="26">
        <f>Inputs!T40*Inputs!$C$27</f>
        <v/>
      </c>
      <c r="U13" s="26">
        <f>Inputs!U40*Inputs!$C$27</f>
        <v/>
      </c>
      <c r="V13" s="26">
        <f>Inputs!V40*Inputs!$C$27</f>
        <v/>
      </c>
      <c r="W13" s="26">
        <f>Inputs!W40*Inputs!$C$27</f>
        <v/>
      </c>
      <c r="X13" s="26">
        <f>Inputs!X40*Inputs!$C$27</f>
        <v/>
      </c>
      <c r="Y13" s="26">
        <f>Inputs!Y40*Inputs!$C$27</f>
        <v/>
      </c>
      <c r="Z13" s="26">
        <f>Inputs!Z40*Inputs!$C$27</f>
        <v/>
      </c>
      <c r="AA13" s="26">
        <f>Inputs!AA40*Inputs!$C$27</f>
        <v/>
      </c>
      <c r="AB13" s="26">
        <f>Inputs!AB40*Inputs!$C$27</f>
        <v/>
      </c>
      <c r="AC13" s="26">
        <f>Inputs!AC40*Inputs!$C$27</f>
        <v/>
      </c>
      <c r="AD13" s="26">
        <f>Inputs!AD40*Inputs!$C$27</f>
        <v/>
      </c>
      <c r="AE13" s="26">
        <f>Inputs!AE40*Inputs!$C$27</f>
        <v/>
      </c>
      <c r="AF13" s="39">
        <f>SUM(F13:AE13)</f>
        <v/>
      </c>
    </row>
    <row r="14">
      <c r="B14" s="37" t="inlineStr">
        <is>
          <t>— Fence Spend</t>
        </is>
      </c>
      <c r="F14" s="26">
        <f>Inputs!F41*Inputs!$C$28</f>
        <v/>
      </c>
      <c r="G14" s="26">
        <f>Inputs!G41*Inputs!$C$28</f>
        <v/>
      </c>
      <c r="H14" s="26">
        <f>Inputs!H41*Inputs!$C$28</f>
        <v/>
      </c>
      <c r="I14" s="26">
        <f>Inputs!I41*Inputs!$C$28</f>
        <v/>
      </c>
      <c r="J14" s="26">
        <f>Inputs!J41*Inputs!$C$28</f>
        <v/>
      </c>
      <c r="K14" s="26">
        <f>Inputs!K41*Inputs!$C$28</f>
        <v/>
      </c>
      <c r="L14" s="26">
        <f>Inputs!L41*Inputs!$C$28</f>
        <v/>
      </c>
      <c r="M14" s="26">
        <f>Inputs!M41*Inputs!$C$28</f>
        <v/>
      </c>
      <c r="N14" s="26">
        <f>Inputs!N41*Inputs!$C$28</f>
        <v/>
      </c>
      <c r="O14" s="26">
        <f>Inputs!O41*Inputs!$C$28</f>
        <v/>
      </c>
      <c r="P14" s="26">
        <f>Inputs!P41*Inputs!$C$28</f>
        <v/>
      </c>
      <c r="Q14" s="26">
        <f>Inputs!Q41*Inputs!$C$28</f>
        <v/>
      </c>
      <c r="R14" s="26">
        <f>Inputs!R41*Inputs!$C$28</f>
        <v/>
      </c>
      <c r="S14" s="26">
        <f>Inputs!S41*Inputs!$C$28</f>
        <v/>
      </c>
      <c r="T14" s="26">
        <f>Inputs!T41*Inputs!$C$28</f>
        <v/>
      </c>
      <c r="U14" s="26">
        <f>Inputs!U41*Inputs!$C$28</f>
        <v/>
      </c>
      <c r="V14" s="26">
        <f>Inputs!V41*Inputs!$C$28</f>
        <v/>
      </c>
      <c r="W14" s="26">
        <f>Inputs!W41*Inputs!$C$28</f>
        <v/>
      </c>
      <c r="X14" s="26">
        <f>Inputs!X41*Inputs!$C$28</f>
        <v/>
      </c>
      <c r="Y14" s="26">
        <f>Inputs!Y41*Inputs!$C$28</f>
        <v/>
      </c>
      <c r="Z14" s="26">
        <f>Inputs!Z41*Inputs!$C$28</f>
        <v/>
      </c>
      <c r="AA14" s="26">
        <f>Inputs!AA41*Inputs!$C$28</f>
        <v/>
      </c>
      <c r="AB14" s="26">
        <f>Inputs!AB41*Inputs!$C$28</f>
        <v/>
      </c>
      <c r="AC14" s="26">
        <f>Inputs!AC41*Inputs!$C$28</f>
        <v/>
      </c>
      <c r="AD14" s="26">
        <f>Inputs!AD41*Inputs!$C$28</f>
        <v/>
      </c>
      <c r="AE14" s="26">
        <f>Inputs!AE41*Inputs!$C$28</f>
        <v/>
      </c>
      <c r="AF14" s="39">
        <f>SUM(F14:AE14)</f>
        <v/>
      </c>
    </row>
    <row r="15">
      <c r="B15" s="37" t="inlineStr">
        <is>
          <t>— TPD Spend</t>
        </is>
      </c>
      <c r="F15" s="26">
        <f>Inputs!F42*F7*F8*Inputs!$C$30</f>
        <v/>
      </c>
      <c r="G15" s="26">
        <f>Inputs!G42*G7*G8*Inputs!$C$30</f>
        <v/>
      </c>
      <c r="H15" s="26">
        <f>Inputs!H42*H7*H8*Inputs!$C$30</f>
        <v/>
      </c>
      <c r="I15" s="26">
        <f>Inputs!I42*I7*I8*Inputs!$C$30</f>
        <v/>
      </c>
      <c r="J15" s="26">
        <f>Inputs!J42*J7*J8*Inputs!$C$30</f>
        <v/>
      </c>
      <c r="K15" s="26">
        <f>Inputs!K42*K7*K8*Inputs!$C$30</f>
        <v/>
      </c>
      <c r="L15" s="26">
        <f>Inputs!L42*L7*L8*Inputs!$C$30</f>
        <v/>
      </c>
      <c r="M15" s="26">
        <f>Inputs!M42*M7*M8*Inputs!$C$30</f>
        <v/>
      </c>
      <c r="N15" s="26">
        <f>Inputs!N42*N7*N8*Inputs!$C$30</f>
        <v/>
      </c>
      <c r="O15" s="26">
        <f>Inputs!O42*O7*O8*Inputs!$C$30</f>
        <v/>
      </c>
      <c r="P15" s="26">
        <f>Inputs!P42*P7*P8*Inputs!$C$30</f>
        <v/>
      </c>
      <c r="Q15" s="26">
        <f>Inputs!Q42*Q7*Q8*Inputs!$C$30</f>
        <v/>
      </c>
      <c r="R15" s="26">
        <f>Inputs!R42*R7*R8*Inputs!$C$30</f>
        <v/>
      </c>
      <c r="S15" s="26">
        <f>Inputs!S42*S7*S8*Inputs!$C$30</f>
        <v/>
      </c>
      <c r="T15" s="26">
        <f>Inputs!T42*T7*T8*Inputs!$C$30</f>
        <v/>
      </c>
      <c r="U15" s="26">
        <f>Inputs!U42*U7*U8*Inputs!$C$30</f>
        <v/>
      </c>
      <c r="V15" s="26">
        <f>Inputs!V42*V7*V8*Inputs!$C$30</f>
        <v/>
      </c>
      <c r="W15" s="26">
        <f>Inputs!W42*W7*W8*Inputs!$C$30</f>
        <v/>
      </c>
      <c r="X15" s="26">
        <f>Inputs!X42*X7*X8*Inputs!$C$30</f>
        <v/>
      </c>
      <c r="Y15" s="26">
        <f>Inputs!Y42*Y7*Y8*Inputs!$C$30</f>
        <v/>
      </c>
      <c r="Z15" s="26">
        <f>Inputs!Z42*Z7*Z8*Inputs!$C$30</f>
        <v/>
      </c>
      <c r="AA15" s="26">
        <f>Inputs!AA42*AA7*AA8*Inputs!$C$30</f>
        <v/>
      </c>
      <c r="AB15" s="26">
        <f>Inputs!AB42*AB7*AB8*Inputs!$C$30</f>
        <v/>
      </c>
      <c r="AC15" s="26">
        <f>Inputs!AC42*AC7*AC8*Inputs!$C$30</f>
        <v/>
      </c>
      <c r="AD15" s="26">
        <f>Inputs!AD42*AD7*AD8*Inputs!$C$30</f>
        <v/>
      </c>
      <c r="AE15" s="26">
        <f>Inputs!AE42*AE7*AE8*Inputs!$C$30</f>
        <v/>
      </c>
      <c r="AF15" s="39">
        <f>SUM(F15:AE15)</f>
        <v/>
      </c>
    </row>
    <row r="16">
      <c r="B16" s="37" t="inlineStr">
        <is>
          <t>— Markdown Spend</t>
        </is>
      </c>
      <c r="F16" s="26">
        <f>Inputs!F43*F7*F8*Inputs!$C$31</f>
        <v/>
      </c>
      <c r="G16" s="26">
        <f>Inputs!G43*G7*G8*Inputs!$C$31</f>
        <v/>
      </c>
      <c r="H16" s="26">
        <f>Inputs!H43*H7*H8*Inputs!$C$31</f>
        <v/>
      </c>
      <c r="I16" s="26">
        <f>Inputs!I43*I7*I8*Inputs!$C$31</f>
        <v/>
      </c>
      <c r="J16" s="26">
        <f>Inputs!J43*J7*J8*Inputs!$C$31</f>
        <v/>
      </c>
      <c r="K16" s="26">
        <f>Inputs!K43*K7*K8*Inputs!$C$31</f>
        <v/>
      </c>
      <c r="L16" s="26">
        <f>Inputs!L43*L7*L8*Inputs!$C$31</f>
        <v/>
      </c>
      <c r="M16" s="26">
        <f>Inputs!M43*M7*M8*Inputs!$C$31</f>
        <v/>
      </c>
      <c r="N16" s="26">
        <f>Inputs!N43*N7*N8*Inputs!$C$31</f>
        <v/>
      </c>
      <c r="O16" s="26">
        <f>Inputs!O43*O7*O8*Inputs!$C$31</f>
        <v/>
      </c>
      <c r="P16" s="26">
        <f>Inputs!P43*P7*P8*Inputs!$C$31</f>
        <v/>
      </c>
      <c r="Q16" s="26">
        <f>Inputs!Q43*Q7*Q8*Inputs!$C$31</f>
        <v/>
      </c>
      <c r="R16" s="26">
        <f>Inputs!R43*R7*R8*Inputs!$C$31</f>
        <v/>
      </c>
      <c r="S16" s="26">
        <f>Inputs!S43*S7*S8*Inputs!$C$31</f>
        <v/>
      </c>
      <c r="T16" s="26">
        <f>Inputs!T43*T7*T8*Inputs!$C$31</f>
        <v/>
      </c>
      <c r="U16" s="26">
        <f>Inputs!U43*U7*U8*Inputs!$C$31</f>
        <v/>
      </c>
      <c r="V16" s="26">
        <f>Inputs!V43*V7*V8*Inputs!$C$31</f>
        <v/>
      </c>
      <c r="W16" s="26">
        <f>Inputs!W43*W7*W8*Inputs!$C$31</f>
        <v/>
      </c>
      <c r="X16" s="26">
        <f>Inputs!X43*X7*X8*Inputs!$C$31</f>
        <v/>
      </c>
      <c r="Y16" s="26">
        <f>Inputs!Y43*Y7*Y8*Inputs!$C$31</f>
        <v/>
      </c>
      <c r="Z16" s="26">
        <f>Inputs!Z43*Z7*Z8*Inputs!$C$31</f>
        <v/>
      </c>
      <c r="AA16" s="26">
        <f>Inputs!AA43*AA7*AA8*Inputs!$C$31</f>
        <v/>
      </c>
      <c r="AB16" s="26">
        <f>Inputs!AB43*AB7*AB8*Inputs!$C$31</f>
        <v/>
      </c>
      <c r="AC16" s="26">
        <f>Inputs!AC43*AC7*AC8*Inputs!$C$31</f>
        <v/>
      </c>
      <c r="AD16" s="26">
        <f>Inputs!AD43*AD7*AD8*Inputs!$C$31</f>
        <v/>
      </c>
      <c r="AE16" s="26">
        <f>Inputs!AE43*AE7*AE8*Inputs!$C$31</f>
        <v/>
      </c>
      <c r="AF16" s="39">
        <f>SUM(F16:AE16)</f>
        <v/>
      </c>
    </row>
    <row r="17">
      <c r="B17" s="37" t="inlineStr">
        <is>
          <t>— Advertising Spend</t>
        </is>
      </c>
      <c r="F17" s="26">
        <f>Inputs!F44*Inputs!$C$29</f>
        <v/>
      </c>
      <c r="G17" s="26">
        <f>Inputs!G44*Inputs!$C$29</f>
        <v/>
      </c>
      <c r="H17" s="26">
        <f>Inputs!H44*Inputs!$C$29</f>
        <v/>
      </c>
      <c r="I17" s="26">
        <f>Inputs!I44*Inputs!$C$29</f>
        <v/>
      </c>
      <c r="J17" s="26">
        <f>Inputs!J44*Inputs!$C$29</f>
        <v/>
      </c>
      <c r="K17" s="26">
        <f>Inputs!K44*Inputs!$C$29</f>
        <v/>
      </c>
      <c r="L17" s="26">
        <f>Inputs!L44*Inputs!$C$29</f>
        <v/>
      </c>
      <c r="M17" s="26">
        <f>Inputs!M44*Inputs!$C$29</f>
        <v/>
      </c>
      <c r="N17" s="26">
        <f>Inputs!N44*Inputs!$C$29</f>
        <v/>
      </c>
      <c r="O17" s="26">
        <f>Inputs!O44*Inputs!$C$29</f>
        <v/>
      </c>
      <c r="P17" s="26">
        <f>Inputs!P44*Inputs!$C$29</f>
        <v/>
      </c>
      <c r="Q17" s="26">
        <f>Inputs!Q44*Inputs!$C$29</f>
        <v/>
      </c>
      <c r="R17" s="26">
        <f>Inputs!R44*Inputs!$C$29</f>
        <v/>
      </c>
      <c r="S17" s="26">
        <f>Inputs!S44*Inputs!$C$29</f>
        <v/>
      </c>
      <c r="T17" s="26">
        <f>Inputs!T44*Inputs!$C$29</f>
        <v/>
      </c>
      <c r="U17" s="26">
        <f>Inputs!U44*Inputs!$C$29</f>
        <v/>
      </c>
      <c r="V17" s="26">
        <f>Inputs!V44*Inputs!$C$29</f>
        <v/>
      </c>
      <c r="W17" s="26">
        <f>Inputs!W44*Inputs!$C$29</f>
        <v/>
      </c>
      <c r="X17" s="26">
        <f>Inputs!X44*Inputs!$C$29</f>
        <v/>
      </c>
      <c r="Y17" s="26">
        <f>Inputs!Y44*Inputs!$C$29</f>
        <v/>
      </c>
      <c r="Z17" s="26">
        <f>Inputs!Z44*Inputs!$C$29</f>
        <v/>
      </c>
      <c r="AA17" s="26">
        <f>Inputs!AA44*Inputs!$C$29</f>
        <v/>
      </c>
      <c r="AB17" s="26">
        <f>Inputs!AB44*Inputs!$C$29</f>
        <v/>
      </c>
      <c r="AC17" s="26">
        <f>Inputs!AC44*Inputs!$C$29</f>
        <v/>
      </c>
      <c r="AD17" s="26">
        <f>Inputs!AD44*Inputs!$C$29</f>
        <v/>
      </c>
      <c r="AE17" s="26">
        <f>Inputs!AE44*Inputs!$C$29</f>
        <v/>
      </c>
      <c r="AF17" s="39">
        <f>SUM(F17:AE17)</f>
        <v/>
      </c>
    </row>
    <row r="18">
      <c r="B18" s="13" t="inlineStr">
        <is>
          <t>Total Promo Spend</t>
        </is>
      </c>
      <c r="F18" s="26">
        <f>SUM(F12:F17)</f>
        <v/>
      </c>
      <c r="G18" s="26">
        <f>SUM(G12:G17)</f>
        <v/>
      </c>
      <c r="H18" s="26">
        <f>SUM(H12:H17)</f>
        <v/>
      </c>
      <c r="I18" s="26">
        <f>SUM(I12:I17)</f>
        <v/>
      </c>
      <c r="J18" s="26">
        <f>SUM(J12:J17)</f>
        <v/>
      </c>
      <c r="K18" s="26">
        <f>SUM(K12:K17)</f>
        <v/>
      </c>
      <c r="L18" s="26">
        <f>SUM(L12:L17)</f>
        <v/>
      </c>
      <c r="M18" s="26">
        <f>SUM(M12:M17)</f>
        <v/>
      </c>
      <c r="N18" s="26">
        <f>SUM(N12:N17)</f>
        <v/>
      </c>
      <c r="O18" s="26">
        <f>SUM(O12:O17)</f>
        <v/>
      </c>
      <c r="P18" s="26">
        <f>SUM(P12:P17)</f>
        <v/>
      </c>
      <c r="Q18" s="26">
        <f>SUM(Q12:Q17)</f>
        <v/>
      </c>
      <c r="R18" s="26">
        <f>SUM(R12:R17)</f>
        <v/>
      </c>
      <c r="S18" s="26">
        <f>SUM(S12:S17)</f>
        <v/>
      </c>
      <c r="T18" s="26">
        <f>SUM(T12:T17)</f>
        <v/>
      </c>
      <c r="U18" s="26">
        <f>SUM(U12:U17)</f>
        <v/>
      </c>
      <c r="V18" s="26">
        <f>SUM(V12:V17)</f>
        <v/>
      </c>
      <c r="W18" s="26">
        <f>SUM(W12:W17)</f>
        <v/>
      </c>
      <c r="X18" s="26">
        <f>SUM(X12:X17)</f>
        <v/>
      </c>
      <c r="Y18" s="26">
        <f>SUM(Y12:Y17)</f>
        <v/>
      </c>
      <c r="Z18" s="26">
        <f>SUM(Z12:Z17)</f>
        <v/>
      </c>
      <c r="AA18" s="26">
        <f>SUM(AA12:AA17)</f>
        <v/>
      </c>
      <c r="AB18" s="26">
        <f>SUM(AB12:AB17)</f>
        <v/>
      </c>
      <c r="AC18" s="26">
        <f>SUM(AC12:AC17)</f>
        <v/>
      </c>
      <c r="AD18" s="26">
        <f>SUM(AD12:AD17)</f>
        <v/>
      </c>
      <c r="AE18" s="26">
        <f>SUM(AE12:AE17)</f>
        <v/>
      </c>
      <c r="AF18" s="39">
        <f>SUM(F18:AE18)</f>
        <v/>
      </c>
    </row>
    <row r="19">
      <c r="B19" s="40" t="inlineStr">
        <is>
          <t>Gross Profit</t>
        </is>
      </c>
      <c r="F19" s="26">
        <f>F9-F11</f>
        <v/>
      </c>
      <c r="G19" s="26">
        <f>G9-G11</f>
        <v/>
      </c>
      <c r="H19" s="26">
        <f>H9-H11</f>
        <v/>
      </c>
      <c r="I19" s="26">
        <f>I9-I11</f>
        <v/>
      </c>
      <c r="J19" s="26">
        <f>J9-J11</f>
        <v/>
      </c>
      <c r="K19" s="26">
        <f>K9-K11</f>
        <v/>
      </c>
      <c r="L19" s="26">
        <f>L9-L11</f>
        <v/>
      </c>
      <c r="M19" s="26">
        <f>M9-M11</f>
        <v/>
      </c>
      <c r="N19" s="26">
        <f>N9-N11</f>
        <v/>
      </c>
      <c r="O19" s="26">
        <f>O9-O11</f>
        <v/>
      </c>
      <c r="P19" s="26">
        <f>P9-P11</f>
        <v/>
      </c>
      <c r="Q19" s="26">
        <f>Q9-Q11</f>
        <v/>
      </c>
      <c r="R19" s="26">
        <f>R9-R11</f>
        <v/>
      </c>
      <c r="S19" s="26">
        <f>S9-S11</f>
        <v/>
      </c>
      <c r="T19" s="26">
        <f>T9-T11</f>
        <v/>
      </c>
      <c r="U19" s="26">
        <f>U9-U11</f>
        <v/>
      </c>
      <c r="V19" s="26">
        <f>V9-V11</f>
        <v/>
      </c>
      <c r="W19" s="26">
        <f>W9-W11</f>
        <v/>
      </c>
      <c r="X19" s="26">
        <f>X9-X11</f>
        <v/>
      </c>
      <c r="Y19" s="26">
        <f>Y9-Y11</f>
        <v/>
      </c>
      <c r="Z19" s="26">
        <f>Z9-Z11</f>
        <v/>
      </c>
      <c r="AA19" s="26">
        <f>AA9-AA11</f>
        <v/>
      </c>
      <c r="AB19" s="26">
        <f>AB9-AB11</f>
        <v/>
      </c>
      <c r="AC19" s="26">
        <f>AC9-AC11</f>
        <v/>
      </c>
      <c r="AD19" s="26">
        <f>AD9-AD11</f>
        <v/>
      </c>
      <c r="AE19" s="26">
        <f>AE9-AE11</f>
        <v/>
      </c>
      <c r="AF19" s="39">
        <f>SUM(F19:AE19)</f>
        <v/>
      </c>
    </row>
    <row r="20">
      <c r="B20" s="40" t="inlineStr">
        <is>
          <t>Net Profit (after promo)</t>
        </is>
      </c>
      <c r="F20" s="26">
        <f>F19-F18</f>
        <v/>
      </c>
      <c r="G20" s="26">
        <f>G19-G18</f>
        <v/>
      </c>
      <c r="H20" s="26">
        <f>H19-H18</f>
        <v/>
      </c>
      <c r="I20" s="26">
        <f>I19-I18</f>
        <v/>
      </c>
      <c r="J20" s="26">
        <f>J19-J18</f>
        <v/>
      </c>
      <c r="K20" s="26">
        <f>K19-K18</f>
        <v/>
      </c>
      <c r="L20" s="26">
        <f>L19-L18</f>
        <v/>
      </c>
      <c r="M20" s="26">
        <f>M19-M18</f>
        <v/>
      </c>
      <c r="N20" s="26">
        <f>N19-N18</f>
        <v/>
      </c>
      <c r="O20" s="26">
        <f>O19-O18</f>
        <v/>
      </c>
      <c r="P20" s="26">
        <f>P19-P18</f>
        <v/>
      </c>
      <c r="Q20" s="26">
        <f>Q19-Q18</f>
        <v/>
      </c>
      <c r="R20" s="26">
        <f>R19-R18</f>
        <v/>
      </c>
      <c r="S20" s="26">
        <f>S19-S18</f>
        <v/>
      </c>
      <c r="T20" s="26">
        <f>T19-T18</f>
        <v/>
      </c>
      <c r="U20" s="26">
        <f>U19-U18</f>
        <v/>
      </c>
      <c r="V20" s="26">
        <f>V19-V18</f>
        <v/>
      </c>
      <c r="W20" s="26">
        <f>W19-W18</f>
        <v/>
      </c>
      <c r="X20" s="26">
        <f>X19-X18</f>
        <v/>
      </c>
      <c r="Y20" s="26">
        <f>Y19-Y18</f>
        <v/>
      </c>
      <c r="Z20" s="26">
        <f>Z19-Z18</f>
        <v/>
      </c>
      <c r="AA20" s="26">
        <f>AA19-AA18</f>
        <v/>
      </c>
      <c r="AB20" s="26">
        <f>AB19-AB18</f>
        <v/>
      </c>
      <c r="AC20" s="26">
        <f>AC19-AC18</f>
        <v/>
      </c>
      <c r="AD20" s="26">
        <f>AD19-AD18</f>
        <v/>
      </c>
      <c r="AE20" s="26">
        <f>AE19-AE18</f>
        <v/>
      </c>
      <c r="AF20" s="39">
        <f>SUM(F20:AE20)</f>
        <v/>
      </c>
    </row>
    <row r="23" ht="22" customHeight="1">
      <c r="B23" s="27" t="inlineStr">
        <is>
          <t>IDEAL – x2 Demo + End Cap (Wks 5-6) + TPD</t>
        </is>
      </c>
    </row>
    <row r="24">
      <c r="B24" s="31" t="inlineStr">
        <is>
          <t>Week</t>
        </is>
      </c>
      <c r="F24" s="29" t="inlineStr">
        <is>
          <t>W1</t>
        </is>
      </c>
      <c r="G24" s="29" t="inlineStr">
        <is>
          <t>W2</t>
        </is>
      </c>
      <c r="H24" s="29" t="inlineStr">
        <is>
          <t>W3</t>
        </is>
      </c>
      <c r="I24" s="29" t="inlineStr">
        <is>
          <t>W4</t>
        </is>
      </c>
      <c r="J24" s="29" t="inlineStr">
        <is>
          <t>W5</t>
        </is>
      </c>
      <c r="K24" s="29" t="inlineStr">
        <is>
          <t>W6</t>
        </is>
      </c>
      <c r="L24" s="29" t="inlineStr">
        <is>
          <t>W7</t>
        </is>
      </c>
      <c r="M24" s="29" t="inlineStr">
        <is>
          <t>W8</t>
        </is>
      </c>
      <c r="N24" s="29" t="inlineStr">
        <is>
          <t>W9</t>
        </is>
      </c>
      <c r="O24" s="29" t="inlineStr">
        <is>
          <t>W10</t>
        </is>
      </c>
      <c r="P24" s="29" t="inlineStr">
        <is>
          <t>W11</t>
        </is>
      </c>
      <c r="Q24" s="29" t="inlineStr">
        <is>
          <t>W12</t>
        </is>
      </c>
      <c r="R24" s="29" t="inlineStr">
        <is>
          <t>W13</t>
        </is>
      </c>
      <c r="S24" s="29" t="inlineStr">
        <is>
          <t>W14</t>
        </is>
      </c>
      <c r="T24" s="29" t="inlineStr">
        <is>
          <t>W15</t>
        </is>
      </c>
      <c r="U24" s="29" t="inlineStr">
        <is>
          <t>W16</t>
        </is>
      </c>
      <c r="V24" s="29" t="inlineStr">
        <is>
          <t>W17</t>
        </is>
      </c>
      <c r="W24" s="29" t="inlineStr">
        <is>
          <t>W18</t>
        </is>
      </c>
      <c r="X24" s="29" t="inlineStr">
        <is>
          <t>W19</t>
        </is>
      </c>
      <c r="Y24" s="29" t="inlineStr">
        <is>
          <t>W20</t>
        </is>
      </c>
      <c r="Z24" s="29" t="inlineStr">
        <is>
          <t>W21</t>
        </is>
      </c>
      <c r="AA24" s="29" t="inlineStr">
        <is>
          <t>W22</t>
        </is>
      </c>
      <c r="AB24" s="29" t="inlineStr">
        <is>
          <t>W23</t>
        </is>
      </c>
      <c r="AC24" s="29" t="inlineStr">
        <is>
          <t>W24</t>
        </is>
      </c>
      <c r="AD24" s="29" t="inlineStr">
        <is>
          <t>W25</t>
        </is>
      </c>
      <c r="AE24" s="29" t="inlineStr">
        <is>
          <t>W26</t>
        </is>
      </c>
      <c r="AF24" s="34" t="inlineStr">
        <is>
          <t>TOTAL</t>
        </is>
      </c>
    </row>
    <row r="25">
      <c r="B25" s="31" t="inlineStr">
        <is>
          <t>Wk-commencing</t>
        </is>
      </c>
      <c r="F25" s="30">
        <f>Inputs!$C$7+7*0</f>
        <v/>
      </c>
      <c r="G25" s="30">
        <f>Inputs!$C$7+7*1</f>
        <v/>
      </c>
      <c r="H25" s="30">
        <f>Inputs!$C$7+7*2</f>
        <v/>
      </c>
      <c r="I25" s="30">
        <f>Inputs!$C$7+7*3</f>
        <v/>
      </c>
      <c r="J25" s="30">
        <f>Inputs!$C$7+7*4</f>
        <v/>
      </c>
      <c r="K25" s="30">
        <f>Inputs!$C$7+7*5</f>
        <v/>
      </c>
      <c r="L25" s="30">
        <f>Inputs!$C$7+7*6</f>
        <v/>
      </c>
      <c r="M25" s="30">
        <f>Inputs!$C$7+7*7</f>
        <v/>
      </c>
      <c r="N25" s="30">
        <f>Inputs!$C$7+7*8</f>
        <v/>
      </c>
      <c r="O25" s="30">
        <f>Inputs!$C$7+7*9</f>
        <v/>
      </c>
      <c r="P25" s="30">
        <f>Inputs!$C$7+7*10</f>
        <v/>
      </c>
      <c r="Q25" s="30">
        <f>Inputs!$C$7+7*11</f>
        <v/>
      </c>
      <c r="R25" s="30">
        <f>Inputs!$C$7+7*12</f>
        <v/>
      </c>
      <c r="S25" s="30">
        <f>Inputs!$C$7+7*13</f>
        <v/>
      </c>
      <c r="T25" s="30">
        <f>Inputs!$C$7+7*14</f>
        <v/>
      </c>
      <c r="U25" s="30">
        <f>Inputs!$C$7+7*15</f>
        <v/>
      </c>
      <c r="V25" s="30">
        <f>Inputs!$C$7+7*16</f>
        <v/>
      </c>
      <c r="W25" s="30">
        <f>Inputs!$C$7+7*17</f>
        <v/>
      </c>
      <c r="X25" s="30">
        <f>Inputs!$C$7+7*18</f>
        <v/>
      </c>
      <c r="Y25" s="30">
        <f>Inputs!$C$7+7*19</f>
        <v/>
      </c>
      <c r="Z25" s="30">
        <f>Inputs!$C$7+7*20</f>
        <v/>
      </c>
      <c r="AA25" s="30">
        <f>Inputs!$C$7+7*21</f>
        <v/>
      </c>
      <c r="AB25" s="30">
        <f>Inputs!$C$7+7*22</f>
        <v/>
      </c>
      <c r="AC25" s="30">
        <f>Inputs!$C$7+7*23</f>
        <v/>
      </c>
      <c r="AD25" s="30">
        <f>Inputs!$C$7+7*24</f>
        <v/>
      </c>
      <c r="AE25" s="30">
        <f>Inputs!$C$7+7*25</f>
        <v/>
      </c>
      <c r="AF25" s="35" t="inlineStr"/>
    </row>
    <row r="26">
      <c r="B26" s="13" t="inlineStr">
        <is>
          <t>POS Units</t>
        </is>
      </c>
      <c r="F26" s="23">
        <f>ROUND(Inputs!$C$19*Inputs!F57,0)</f>
        <v/>
      </c>
      <c r="G26" s="23">
        <f>ROUND(Inputs!$C$19*Inputs!G57,0)</f>
        <v/>
      </c>
      <c r="H26" s="23">
        <f>ROUND(Inputs!$C$19*Inputs!H57,0)</f>
        <v/>
      </c>
      <c r="I26" s="23">
        <f>ROUND(Inputs!$C$19*Inputs!I57,0)</f>
        <v/>
      </c>
      <c r="J26" s="23">
        <f>ROUND(Inputs!$C$19*Inputs!J57,0)</f>
        <v/>
      </c>
      <c r="K26" s="23">
        <f>ROUND(Inputs!$C$19*Inputs!K57,0)</f>
        <v/>
      </c>
      <c r="L26" s="23">
        <f>ROUND(Inputs!$C$19*Inputs!L57,0)</f>
        <v/>
      </c>
      <c r="M26" s="23">
        <f>ROUND(Inputs!$C$19*Inputs!M57,0)</f>
        <v/>
      </c>
      <c r="N26" s="23">
        <f>ROUND(Inputs!$C$19*Inputs!N57,0)</f>
        <v/>
      </c>
      <c r="O26" s="23">
        <f>ROUND(Inputs!$C$19*Inputs!O57,0)</f>
        <v/>
      </c>
      <c r="P26" s="23">
        <f>ROUND(Inputs!$C$19*Inputs!P57,0)</f>
        <v/>
      </c>
      <c r="Q26" s="23">
        <f>ROUND(Inputs!$C$19*Inputs!Q57,0)</f>
        <v/>
      </c>
      <c r="R26" s="23">
        <f>ROUND(Inputs!$C$19*Inputs!R57,0)</f>
        <v/>
      </c>
      <c r="S26" s="23">
        <f>ROUND(Inputs!$C$19*Inputs!S57,0)</f>
        <v/>
      </c>
      <c r="T26" s="23">
        <f>ROUND(Inputs!$C$19*Inputs!T57,0)</f>
        <v/>
      </c>
      <c r="U26" s="23">
        <f>ROUND(Inputs!$C$19*Inputs!U57,0)</f>
        <v/>
      </c>
      <c r="V26" s="23">
        <f>ROUND(Inputs!$C$19*Inputs!V57,0)</f>
        <v/>
      </c>
      <c r="W26" s="23">
        <f>ROUND(Inputs!$C$19*Inputs!W57,0)</f>
        <v/>
      </c>
      <c r="X26" s="23">
        <f>ROUND(Inputs!$C$19*Inputs!X57,0)</f>
        <v/>
      </c>
      <c r="Y26" s="23">
        <f>ROUND(Inputs!$C$19*Inputs!Y57,0)</f>
        <v/>
      </c>
      <c r="Z26" s="23">
        <f>ROUND(Inputs!$C$19*Inputs!Z57,0)</f>
        <v/>
      </c>
      <c r="AA26" s="23">
        <f>ROUND(Inputs!$C$19*Inputs!AA57,0)</f>
        <v/>
      </c>
      <c r="AB26" s="23">
        <f>ROUND(Inputs!$C$19*Inputs!AB57,0)</f>
        <v/>
      </c>
      <c r="AC26" s="23">
        <f>ROUND(Inputs!$C$19*Inputs!AC57,0)</f>
        <v/>
      </c>
      <c r="AD26" s="23">
        <f>ROUND(Inputs!$C$19*Inputs!AD57,0)</f>
        <v/>
      </c>
      <c r="AE26" s="23">
        <f>ROUND(Inputs!$C$19*Inputs!AE57,0)</f>
        <v/>
      </c>
      <c r="AF26" s="36">
        <f>SUM(F26:AE26)</f>
        <v/>
      </c>
    </row>
    <row r="27">
      <c r="B27" s="37" t="inlineStr">
        <is>
          <t>Selling Price</t>
        </is>
      </c>
      <c r="F27" s="19">
        <f>Inputs!$C$12</f>
        <v/>
      </c>
      <c r="G27" s="19">
        <f>Inputs!$C$12</f>
        <v/>
      </c>
      <c r="H27" s="19">
        <f>Inputs!$C$12</f>
        <v/>
      </c>
      <c r="I27" s="19">
        <f>Inputs!$C$12</f>
        <v/>
      </c>
      <c r="J27" s="19">
        <f>Inputs!$C$12</f>
        <v/>
      </c>
      <c r="K27" s="19">
        <f>Inputs!$C$12</f>
        <v/>
      </c>
      <c r="L27" s="19">
        <f>Inputs!$C$12</f>
        <v/>
      </c>
      <c r="M27" s="19">
        <f>Inputs!$C$12</f>
        <v/>
      </c>
      <c r="N27" s="19">
        <f>Inputs!$C$12</f>
        <v/>
      </c>
      <c r="O27" s="19">
        <f>Inputs!$C$12</f>
        <v/>
      </c>
      <c r="P27" s="19">
        <f>Inputs!$C$12</f>
        <v/>
      </c>
      <c r="Q27" s="19">
        <f>Inputs!$C$12</f>
        <v/>
      </c>
      <c r="R27" s="19">
        <f>Inputs!$C$12</f>
        <v/>
      </c>
      <c r="S27" s="19">
        <f>Inputs!$C$12</f>
        <v/>
      </c>
      <c r="T27" s="19">
        <f>Inputs!$C$12</f>
        <v/>
      </c>
      <c r="U27" s="19">
        <f>Inputs!$C$12</f>
        <v/>
      </c>
      <c r="V27" s="19">
        <f>Inputs!$C$12</f>
        <v/>
      </c>
      <c r="W27" s="19">
        <f>Inputs!$C$12</f>
        <v/>
      </c>
      <c r="X27" s="19">
        <f>Inputs!$C$12</f>
        <v/>
      </c>
      <c r="Y27" s="19">
        <f>Inputs!$C$12</f>
        <v/>
      </c>
      <c r="Z27" s="19">
        <f>Inputs!$C$12</f>
        <v/>
      </c>
      <c r="AA27" s="19">
        <f>Inputs!$C$12</f>
        <v/>
      </c>
      <c r="AB27" s="19">
        <f>Inputs!$C$12</f>
        <v/>
      </c>
      <c r="AC27" s="19">
        <f>Inputs!$C$12</f>
        <v/>
      </c>
      <c r="AD27" s="19">
        <f>Inputs!$C$12</f>
        <v/>
      </c>
      <c r="AE27" s="19">
        <f>Inputs!$C$12</f>
        <v/>
      </c>
      <c r="AF27" s="38">
        <f>Inputs!$C$12</f>
        <v/>
      </c>
    </row>
    <row r="28">
      <c r="B28" s="13" t="inlineStr">
        <is>
          <t>Revenue</t>
        </is>
      </c>
      <c r="F28" s="26">
        <f>F26*F27</f>
        <v/>
      </c>
      <c r="G28" s="26">
        <f>G26*G27</f>
        <v/>
      </c>
      <c r="H28" s="26">
        <f>H26*H27</f>
        <v/>
      </c>
      <c r="I28" s="26">
        <f>I26*I27</f>
        <v/>
      </c>
      <c r="J28" s="26">
        <f>J26*J27</f>
        <v/>
      </c>
      <c r="K28" s="26">
        <f>K26*K27</f>
        <v/>
      </c>
      <c r="L28" s="26">
        <f>L26*L27</f>
        <v/>
      </c>
      <c r="M28" s="26">
        <f>M26*M27</f>
        <v/>
      </c>
      <c r="N28" s="26">
        <f>N26*N27</f>
        <v/>
      </c>
      <c r="O28" s="26">
        <f>O26*O27</f>
        <v/>
      </c>
      <c r="P28" s="26">
        <f>P26*P27</f>
        <v/>
      </c>
      <c r="Q28" s="26">
        <f>Q26*Q27</f>
        <v/>
      </c>
      <c r="R28" s="26">
        <f>R26*R27</f>
        <v/>
      </c>
      <c r="S28" s="26">
        <f>S26*S27</f>
        <v/>
      </c>
      <c r="T28" s="26">
        <f>T26*T27</f>
        <v/>
      </c>
      <c r="U28" s="26">
        <f>U26*U27</f>
        <v/>
      </c>
      <c r="V28" s="26">
        <f>V26*V27</f>
        <v/>
      </c>
      <c r="W28" s="26">
        <f>W26*W27</f>
        <v/>
      </c>
      <c r="X28" s="26">
        <f>X26*X27</f>
        <v/>
      </c>
      <c r="Y28" s="26">
        <f>Y26*Y27</f>
        <v/>
      </c>
      <c r="Z28" s="26">
        <f>Z26*Z27</f>
        <v/>
      </c>
      <c r="AA28" s="26">
        <f>AA26*AA27</f>
        <v/>
      </c>
      <c r="AB28" s="26">
        <f>AB26*AB27</f>
        <v/>
      </c>
      <c r="AC28" s="26">
        <f>AC26*AC27</f>
        <v/>
      </c>
      <c r="AD28" s="26">
        <f>AD26*AD27</f>
        <v/>
      </c>
      <c r="AE28" s="26">
        <f>AE26*AE27</f>
        <v/>
      </c>
      <c r="AF28" s="39">
        <f>SUM(F28:AE28)</f>
        <v/>
      </c>
    </row>
    <row r="29">
      <c r="B29" s="37" t="inlineStr">
        <is>
          <t>Cost Price</t>
        </is>
      </c>
      <c r="F29" s="19">
        <f>Inputs!$C$13</f>
        <v/>
      </c>
      <c r="G29" s="19">
        <f>Inputs!$C$13</f>
        <v/>
      </c>
      <c r="H29" s="19">
        <f>Inputs!$C$13</f>
        <v/>
      </c>
      <c r="I29" s="19">
        <f>Inputs!$C$13</f>
        <v/>
      </c>
      <c r="J29" s="19">
        <f>Inputs!$C$13</f>
        <v/>
      </c>
      <c r="K29" s="19">
        <f>Inputs!$C$13</f>
        <v/>
      </c>
      <c r="L29" s="19">
        <f>Inputs!$C$13</f>
        <v/>
      </c>
      <c r="M29" s="19">
        <f>Inputs!$C$13</f>
        <v/>
      </c>
      <c r="N29" s="19">
        <f>Inputs!$C$13</f>
        <v/>
      </c>
      <c r="O29" s="19">
        <f>Inputs!$C$13</f>
        <v/>
      </c>
      <c r="P29" s="19">
        <f>Inputs!$C$13</f>
        <v/>
      </c>
      <c r="Q29" s="19">
        <f>Inputs!$C$13</f>
        <v/>
      </c>
      <c r="R29" s="19">
        <f>Inputs!$C$13</f>
        <v/>
      </c>
      <c r="S29" s="19">
        <f>Inputs!$C$13</f>
        <v/>
      </c>
      <c r="T29" s="19">
        <f>Inputs!$C$13</f>
        <v/>
      </c>
      <c r="U29" s="19">
        <f>Inputs!$C$13</f>
        <v/>
      </c>
      <c r="V29" s="19">
        <f>Inputs!$C$13</f>
        <v/>
      </c>
      <c r="W29" s="19">
        <f>Inputs!$C$13</f>
        <v/>
      </c>
      <c r="X29" s="19">
        <f>Inputs!$C$13</f>
        <v/>
      </c>
      <c r="Y29" s="19">
        <f>Inputs!$C$13</f>
        <v/>
      </c>
      <c r="Z29" s="19">
        <f>Inputs!$C$13</f>
        <v/>
      </c>
      <c r="AA29" s="19">
        <f>Inputs!$C$13</f>
        <v/>
      </c>
      <c r="AB29" s="19">
        <f>Inputs!$C$13</f>
        <v/>
      </c>
      <c r="AC29" s="19">
        <f>Inputs!$C$13</f>
        <v/>
      </c>
      <c r="AD29" s="19">
        <f>Inputs!$C$13</f>
        <v/>
      </c>
      <c r="AE29" s="19">
        <f>Inputs!$C$13</f>
        <v/>
      </c>
      <c r="AF29" s="38">
        <f>Inputs!$C$13</f>
        <v/>
      </c>
    </row>
    <row r="30">
      <c r="B30" s="37" t="inlineStr">
        <is>
          <t>Raw COGS</t>
        </is>
      </c>
      <c r="F30" s="26">
        <f>F26*F29</f>
        <v/>
      </c>
      <c r="G30" s="26">
        <f>G26*G29</f>
        <v/>
      </c>
      <c r="H30" s="26">
        <f>H26*H29</f>
        <v/>
      </c>
      <c r="I30" s="26">
        <f>I26*I29</f>
        <v/>
      </c>
      <c r="J30" s="26">
        <f>J26*J29</f>
        <v/>
      </c>
      <c r="K30" s="26">
        <f>K26*K29</f>
        <v/>
      </c>
      <c r="L30" s="26">
        <f>L26*L29</f>
        <v/>
      </c>
      <c r="M30" s="26">
        <f>M26*M29</f>
        <v/>
      </c>
      <c r="N30" s="26">
        <f>N26*N29</f>
        <v/>
      </c>
      <c r="O30" s="26">
        <f>O26*O29</f>
        <v/>
      </c>
      <c r="P30" s="26">
        <f>P26*P29</f>
        <v/>
      </c>
      <c r="Q30" s="26">
        <f>Q26*Q29</f>
        <v/>
      </c>
      <c r="R30" s="26">
        <f>R26*R29</f>
        <v/>
      </c>
      <c r="S30" s="26">
        <f>S26*S29</f>
        <v/>
      </c>
      <c r="T30" s="26">
        <f>T26*T29</f>
        <v/>
      </c>
      <c r="U30" s="26">
        <f>U26*U29</f>
        <v/>
      </c>
      <c r="V30" s="26">
        <f>V26*V29</f>
        <v/>
      </c>
      <c r="W30" s="26">
        <f>W26*W29</f>
        <v/>
      </c>
      <c r="X30" s="26">
        <f>X26*X29</f>
        <v/>
      </c>
      <c r="Y30" s="26">
        <f>Y26*Y29</f>
        <v/>
      </c>
      <c r="Z30" s="26">
        <f>Z26*Z29</f>
        <v/>
      </c>
      <c r="AA30" s="26">
        <f>AA26*AA29</f>
        <v/>
      </c>
      <c r="AB30" s="26">
        <f>AB26*AB29</f>
        <v/>
      </c>
      <c r="AC30" s="26">
        <f>AC26*AC29</f>
        <v/>
      </c>
      <c r="AD30" s="26">
        <f>AD26*AD29</f>
        <v/>
      </c>
      <c r="AE30" s="26">
        <f>AE26*AE29</f>
        <v/>
      </c>
      <c r="AF30" s="39">
        <f>SUM(F30:AE30)</f>
        <v/>
      </c>
    </row>
    <row r="31">
      <c r="B31" s="37" t="inlineStr">
        <is>
          <t>— Demo Spend</t>
        </is>
      </c>
      <c r="F31" s="26">
        <f>Inputs!F51*Inputs!$C$24</f>
        <v/>
      </c>
      <c r="G31" s="26">
        <f>Inputs!G51*Inputs!$C$24</f>
        <v/>
      </c>
      <c r="H31" s="26">
        <f>Inputs!H51*Inputs!$C$24</f>
        <v/>
      </c>
      <c r="I31" s="26">
        <f>Inputs!I51*Inputs!$C$24</f>
        <v/>
      </c>
      <c r="J31" s="26">
        <f>Inputs!J51*Inputs!$C$24</f>
        <v/>
      </c>
      <c r="K31" s="26">
        <f>Inputs!K51*Inputs!$C$24</f>
        <v/>
      </c>
      <c r="L31" s="26">
        <f>Inputs!L51*Inputs!$C$24</f>
        <v/>
      </c>
      <c r="M31" s="26">
        <f>Inputs!M51*Inputs!$C$24</f>
        <v/>
      </c>
      <c r="N31" s="26">
        <f>Inputs!N51*Inputs!$C$24</f>
        <v/>
      </c>
      <c r="O31" s="26">
        <f>Inputs!O51*Inputs!$C$24</f>
        <v/>
      </c>
      <c r="P31" s="26">
        <f>Inputs!P51*Inputs!$C$24</f>
        <v/>
      </c>
      <c r="Q31" s="26">
        <f>Inputs!Q51*Inputs!$C$24</f>
        <v/>
      </c>
      <c r="R31" s="26">
        <f>Inputs!R51*Inputs!$C$24</f>
        <v/>
      </c>
      <c r="S31" s="26">
        <f>Inputs!S51*Inputs!$C$24</f>
        <v/>
      </c>
      <c r="T31" s="26">
        <f>Inputs!T51*Inputs!$C$24</f>
        <v/>
      </c>
      <c r="U31" s="26">
        <f>Inputs!U51*Inputs!$C$24</f>
        <v/>
      </c>
      <c r="V31" s="26">
        <f>Inputs!V51*Inputs!$C$24</f>
        <v/>
      </c>
      <c r="W31" s="26">
        <f>Inputs!W51*Inputs!$C$24</f>
        <v/>
      </c>
      <c r="X31" s="26">
        <f>Inputs!X51*Inputs!$C$24</f>
        <v/>
      </c>
      <c r="Y31" s="26">
        <f>Inputs!Y51*Inputs!$C$24</f>
        <v/>
      </c>
      <c r="Z31" s="26">
        <f>Inputs!Z51*Inputs!$C$24</f>
        <v/>
      </c>
      <c r="AA31" s="26">
        <f>Inputs!AA51*Inputs!$C$24</f>
        <v/>
      </c>
      <c r="AB31" s="26">
        <f>Inputs!AB51*Inputs!$C$24</f>
        <v/>
      </c>
      <c r="AC31" s="26">
        <f>Inputs!AC51*Inputs!$C$24</f>
        <v/>
      </c>
      <c r="AD31" s="26">
        <f>Inputs!AD51*Inputs!$C$24</f>
        <v/>
      </c>
      <c r="AE31" s="26">
        <f>Inputs!AE51*Inputs!$C$24</f>
        <v/>
      </c>
      <c r="AF31" s="39">
        <f>SUM(F31:AE31)</f>
        <v/>
      </c>
    </row>
    <row r="32">
      <c r="B32" s="37" t="inlineStr">
        <is>
          <t>— End Cap Spend</t>
        </is>
      </c>
      <c r="F32" s="26">
        <f>Inputs!F52*Inputs!$C$27</f>
        <v/>
      </c>
      <c r="G32" s="26">
        <f>Inputs!G52*Inputs!$C$27</f>
        <v/>
      </c>
      <c r="H32" s="26">
        <f>Inputs!H52*Inputs!$C$27</f>
        <v/>
      </c>
      <c r="I32" s="26">
        <f>Inputs!I52*Inputs!$C$27</f>
        <v/>
      </c>
      <c r="J32" s="26">
        <f>Inputs!J52*Inputs!$C$27</f>
        <v/>
      </c>
      <c r="K32" s="26">
        <f>Inputs!K52*Inputs!$C$27</f>
        <v/>
      </c>
      <c r="L32" s="26">
        <f>Inputs!L52*Inputs!$C$27</f>
        <v/>
      </c>
      <c r="M32" s="26">
        <f>Inputs!M52*Inputs!$C$27</f>
        <v/>
      </c>
      <c r="N32" s="26">
        <f>Inputs!N52*Inputs!$C$27</f>
        <v/>
      </c>
      <c r="O32" s="26">
        <f>Inputs!O52*Inputs!$C$27</f>
        <v/>
      </c>
      <c r="P32" s="26">
        <f>Inputs!P52*Inputs!$C$27</f>
        <v/>
      </c>
      <c r="Q32" s="26">
        <f>Inputs!Q52*Inputs!$C$27</f>
        <v/>
      </c>
      <c r="R32" s="26">
        <f>Inputs!R52*Inputs!$C$27</f>
        <v/>
      </c>
      <c r="S32" s="26">
        <f>Inputs!S52*Inputs!$C$27</f>
        <v/>
      </c>
      <c r="T32" s="26">
        <f>Inputs!T52*Inputs!$C$27</f>
        <v/>
      </c>
      <c r="U32" s="26">
        <f>Inputs!U52*Inputs!$C$27</f>
        <v/>
      </c>
      <c r="V32" s="26">
        <f>Inputs!V52*Inputs!$C$27</f>
        <v/>
      </c>
      <c r="W32" s="26">
        <f>Inputs!W52*Inputs!$C$27</f>
        <v/>
      </c>
      <c r="X32" s="26">
        <f>Inputs!X52*Inputs!$C$27</f>
        <v/>
      </c>
      <c r="Y32" s="26">
        <f>Inputs!Y52*Inputs!$C$27</f>
        <v/>
      </c>
      <c r="Z32" s="26">
        <f>Inputs!Z52*Inputs!$C$27</f>
        <v/>
      </c>
      <c r="AA32" s="26">
        <f>Inputs!AA52*Inputs!$C$27</f>
        <v/>
      </c>
      <c r="AB32" s="26">
        <f>Inputs!AB52*Inputs!$C$27</f>
        <v/>
      </c>
      <c r="AC32" s="26">
        <f>Inputs!AC52*Inputs!$C$27</f>
        <v/>
      </c>
      <c r="AD32" s="26">
        <f>Inputs!AD52*Inputs!$C$27</f>
        <v/>
      </c>
      <c r="AE32" s="26">
        <f>Inputs!AE52*Inputs!$C$27</f>
        <v/>
      </c>
      <c r="AF32" s="39">
        <f>SUM(F32:AE32)</f>
        <v/>
      </c>
    </row>
    <row r="33">
      <c r="B33" s="37" t="inlineStr">
        <is>
          <t>— Fence Spend</t>
        </is>
      </c>
      <c r="F33" s="26">
        <f>Inputs!F53*Inputs!$C$28</f>
        <v/>
      </c>
      <c r="G33" s="26">
        <f>Inputs!G53*Inputs!$C$28</f>
        <v/>
      </c>
      <c r="H33" s="26">
        <f>Inputs!H53*Inputs!$C$28</f>
        <v/>
      </c>
      <c r="I33" s="26">
        <f>Inputs!I53*Inputs!$C$28</f>
        <v/>
      </c>
      <c r="J33" s="26">
        <f>Inputs!J53*Inputs!$C$28</f>
        <v/>
      </c>
      <c r="K33" s="26">
        <f>Inputs!K53*Inputs!$C$28</f>
        <v/>
      </c>
      <c r="L33" s="26">
        <f>Inputs!L53*Inputs!$C$28</f>
        <v/>
      </c>
      <c r="M33" s="26">
        <f>Inputs!M53*Inputs!$C$28</f>
        <v/>
      </c>
      <c r="N33" s="26">
        <f>Inputs!N53*Inputs!$C$28</f>
        <v/>
      </c>
      <c r="O33" s="26">
        <f>Inputs!O53*Inputs!$C$28</f>
        <v/>
      </c>
      <c r="P33" s="26">
        <f>Inputs!P53*Inputs!$C$28</f>
        <v/>
      </c>
      <c r="Q33" s="26">
        <f>Inputs!Q53*Inputs!$C$28</f>
        <v/>
      </c>
      <c r="R33" s="26">
        <f>Inputs!R53*Inputs!$C$28</f>
        <v/>
      </c>
      <c r="S33" s="26">
        <f>Inputs!S53*Inputs!$C$28</f>
        <v/>
      </c>
      <c r="T33" s="26">
        <f>Inputs!T53*Inputs!$C$28</f>
        <v/>
      </c>
      <c r="U33" s="26">
        <f>Inputs!U53*Inputs!$C$28</f>
        <v/>
      </c>
      <c r="V33" s="26">
        <f>Inputs!V53*Inputs!$C$28</f>
        <v/>
      </c>
      <c r="W33" s="26">
        <f>Inputs!W53*Inputs!$C$28</f>
        <v/>
      </c>
      <c r="X33" s="26">
        <f>Inputs!X53*Inputs!$C$28</f>
        <v/>
      </c>
      <c r="Y33" s="26">
        <f>Inputs!Y53*Inputs!$C$28</f>
        <v/>
      </c>
      <c r="Z33" s="26">
        <f>Inputs!Z53*Inputs!$C$28</f>
        <v/>
      </c>
      <c r="AA33" s="26">
        <f>Inputs!AA53*Inputs!$C$28</f>
        <v/>
      </c>
      <c r="AB33" s="26">
        <f>Inputs!AB53*Inputs!$C$28</f>
        <v/>
      </c>
      <c r="AC33" s="26">
        <f>Inputs!AC53*Inputs!$C$28</f>
        <v/>
      </c>
      <c r="AD33" s="26">
        <f>Inputs!AD53*Inputs!$C$28</f>
        <v/>
      </c>
      <c r="AE33" s="26">
        <f>Inputs!AE53*Inputs!$C$28</f>
        <v/>
      </c>
      <c r="AF33" s="39">
        <f>SUM(F33:AE33)</f>
        <v/>
      </c>
    </row>
    <row r="34">
      <c r="B34" s="37" t="inlineStr">
        <is>
          <t>— TPD Spend</t>
        </is>
      </c>
      <c r="F34" s="26">
        <f>Inputs!F54*F26*F27*Inputs!$C$30</f>
        <v/>
      </c>
      <c r="G34" s="26">
        <f>Inputs!G54*G26*G27*Inputs!$C$30</f>
        <v/>
      </c>
      <c r="H34" s="26">
        <f>Inputs!H54*H26*H27*Inputs!$C$30</f>
        <v/>
      </c>
      <c r="I34" s="26">
        <f>Inputs!I54*I26*I27*Inputs!$C$30</f>
        <v/>
      </c>
      <c r="J34" s="26">
        <f>Inputs!J54*J26*J27*Inputs!$C$30</f>
        <v/>
      </c>
      <c r="K34" s="26">
        <f>Inputs!K54*K26*K27*Inputs!$C$30</f>
        <v/>
      </c>
      <c r="L34" s="26">
        <f>Inputs!L54*L26*L27*Inputs!$C$30</f>
        <v/>
      </c>
      <c r="M34" s="26">
        <f>Inputs!M54*M26*M27*Inputs!$C$30</f>
        <v/>
      </c>
      <c r="N34" s="26">
        <f>Inputs!N54*N26*N27*Inputs!$C$30</f>
        <v/>
      </c>
      <c r="O34" s="26">
        <f>Inputs!O54*O26*O27*Inputs!$C$30</f>
        <v/>
      </c>
      <c r="P34" s="26">
        <f>Inputs!P54*P26*P27*Inputs!$C$30</f>
        <v/>
      </c>
      <c r="Q34" s="26">
        <f>Inputs!Q54*Q26*Q27*Inputs!$C$30</f>
        <v/>
      </c>
      <c r="R34" s="26">
        <f>Inputs!R54*R26*R27*Inputs!$C$30</f>
        <v/>
      </c>
      <c r="S34" s="26">
        <f>Inputs!S54*S26*S27*Inputs!$C$30</f>
        <v/>
      </c>
      <c r="T34" s="26">
        <f>Inputs!T54*T26*T27*Inputs!$C$30</f>
        <v/>
      </c>
      <c r="U34" s="26">
        <f>Inputs!U54*U26*U27*Inputs!$C$30</f>
        <v/>
      </c>
      <c r="V34" s="26">
        <f>Inputs!V54*V26*V27*Inputs!$C$30</f>
        <v/>
      </c>
      <c r="W34" s="26">
        <f>Inputs!W54*W26*W27*Inputs!$C$30</f>
        <v/>
      </c>
      <c r="X34" s="26">
        <f>Inputs!X54*X26*X27*Inputs!$C$30</f>
        <v/>
      </c>
      <c r="Y34" s="26">
        <f>Inputs!Y54*Y26*Y27*Inputs!$C$30</f>
        <v/>
      </c>
      <c r="Z34" s="26">
        <f>Inputs!Z54*Z26*Z27*Inputs!$C$30</f>
        <v/>
      </c>
      <c r="AA34" s="26">
        <f>Inputs!AA54*AA26*AA27*Inputs!$C$30</f>
        <v/>
      </c>
      <c r="AB34" s="26">
        <f>Inputs!AB54*AB26*AB27*Inputs!$C$30</f>
        <v/>
      </c>
      <c r="AC34" s="26">
        <f>Inputs!AC54*AC26*AC27*Inputs!$C$30</f>
        <v/>
      </c>
      <c r="AD34" s="26">
        <f>Inputs!AD54*AD26*AD27*Inputs!$C$30</f>
        <v/>
      </c>
      <c r="AE34" s="26">
        <f>Inputs!AE54*AE26*AE27*Inputs!$C$30</f>
        <v/>
      </c>
      <c r="AF34" s="39">
        <f>SUM(F34:AE34)</f>
        <v/>
      </c>
    </row>
    <row r="35">
      <c r="B35" s="37" t="inlineStr">
        <is>
          <t>— Markdown Spend</t>
        </is>
      </c>
      <c r="F35" s="26">
        <f>Inputs!F55*F26*F27*Inputs!$C$31</f>
        <v/>
      </c>
      <c r="G35" s="26">
        <f>Inputs!G55*G26*G27*Inputs!$C$31</f>
        <v/>
      </c>
      <c r="H35" s="26">
        <f>Inputs!H55*H26*H27*Inputs!$C$31</f>
        <v/>
      </c>
      <c r="I35" s="26">
        <f>Inputs!I55*I26*I27*Inputs!$C$31</f>
        <v/>
      </c>
      <c r="J35" s="26">
        <f>Inputs!J55*J26*J27*Inputs!$C$31</f>
        <v/>
      </c>
      <c r="K35" s="26">
        <f>Inputs!K55*K26*K27*Inputs!$C$31</f>
        <v/>
      </c>
      <c r="L35" s="26">
        <f>Inputs!L55*L26*L27*Inputs!$C$31</f>
        <v/>
      </c>
      <c r="M35" s="26">
        <f>Inputs!M55*M26*M27*Inputs!$C$31</f>
        <v/>
      </c>
      <c r="N35" s="26">
        <f>Inputs!N55*N26*N27*Inputs!$C$31</f>
        <v/>
      </c>
      <c r="O35" s="26">
        <f>Inputs!O55*O26*O27*Inputs!$C$31</f>
        <v/>
      </c>
      <c r="P35" s="26">
        <f>Inputs!P55*P26*P27*Inputs!$C$31</f>
        <v/>
      </c>
      <c r="Q35" s="26">
        <f>Inputs!Q55*Q26*Q27*Inputs!$C$31</f>
        <v/>
      </c>
      <c r="R35" s="26">
        <f>Inputs!R55*R26*R27*Inputs!$C$31</f>
        <v/>
      </c>
      <c r="S35" s="26">
        <f>Inputs!S55*S26*S27*Inputs!$C$31</f>
        <v/>
      </c>
      <c r="T35" s="26">
        <f>Inputs!T55*T26*T27*Inputs!$C$31</f>
        <v/>
      </c>
      <c r="U35" s="26">
        <f>Inputs!U55*U26*U27*Inputs!$C$31</f>
        <v/>
      </c>
      <c r="V35" s="26">
        <f>Inputs!V55*V26*V27*Inputs!$C$31</f>
        <v/>
      </c>
      <c r="W35" s="26">
        <f>Inputs!W55*W26*W27*Inputs!$C$31</f>
        <v/>
      </c>
      <c r="X35" s="26">
        <f>Inputs!X55*X26*X27*Inputs!$C$31</f>
        <v/>
      </c>
      <c r="Y35" s="26">
        <f>Inputs!Y55*Y26*Y27*Inputs!$C$31</f>
        <v/>
      </c>
      <c r="Z35" s="26">
        <f>Inputs!Z55*Z26*Z27*Inputs!$C$31</f>
        <v/>
      </c>
      <c r="AA35" s="26">
        <f>Inputs!AA55*AA26*AA27*Inputs!$C$31</f>
        <v/>
      </c>
      <c r="AB35" s="26">
        <f>Inputs!AB55*AB26*AB27*Inputs!$C$31</f>
        <v/>
      </c>
      <c r="AC35" s="26">
        <f>Inputs!AC55*AC26*AC27*Inputs!$C$31</f>
        <v/>
      </c>
      <c r="AD35" s="26">
        <f>Inputs!AD55*AD26*AD27*Inputs!$C$31</f>
        <v/>
      </c>
      <c r="AE35" s="26">
        <f>Inputs!AE55*AE26*AE27*Inputs!$C$31</f>
        <v/>
      </c>
      <c r="AF35" s="39">
        <f>SUM(F35:AE35)</f>
        <v/>
      </c>
    </row>
    <row r="36">
      <c r="B36" s="37" t="inlineStr">
        <is>
          <t>— Advertising Spend</t>
        </is>
      </c>
      <c r="F36" s="26">
        <f>Inputs!F56*Inputs!$C$29</f>
        <v/>
      </c>
      <c r="G36" s="26">
        <f>Inputs!G56*Inputs!$C$29</f>
        <v/>
      </c>
      <c r="H36" s="26">
        <f>Inputs!H56*Inputs!$C$29</f>
        <v/>
      </c>
      <c r="I36" s="26">
        <f>Inputs!I56*Inputs!$C$29</f>
        <v/>
      </c>
      <c r="J36" s="26">
        <f>Inputs!J56*Inputs!$C$29</f>
        <v/>
      </c>
      <c r="K36" s="26">
        <f>Inputs!K56*Inputs!$C$29</f>
        <v/>
      </c>
      <c r="L36" s="26">
        <f>Inputs!L56*Inputs!$C$29</f>
        <v/>
      </c>
      <c r="M36" s="26">
        <f>Inputs!M56*Inputs!$C$29</f>
        <v/>
      </c>
      <c r="N36" s="26">
        <f>Inputs!N56*Inputs!$C$29</f>
        <v/>
      </c>
      <c r="O36" s="26">
        <f>Inputs!O56*Inputs!$C$29</f>
        <v/>
      </c>
      <c r="P36" s="26">
        <f>Inputs!P56*Inputs!$C$29</f>
        <v/>
      </c>
      <c r="Q36" s="26">
        <f>Inputs!Q56*Inputs!$C$29</f>
        <v/>
      </c>
      <c r="R36" s="26">
        <f>Inputs!R56*Inputs!$C$29</f>
        <v/>
      </c>
      <c r="S36" s="26">
        <f>Inputs!S56*Inputs!$C$29</f>
        <v/>
      </c>
      <c r="T36" s="26">
        <f>Inputs!T56*Inputs!$C$29</f>
        <v/>
      </c>
      <c r="U36" s="26">
        <f>Inputs!U56*Inputs!$C$29</f>
        <v/>
      </c>
      <c r="V36" s="26">
        <f>Inputs!V56*Inputs!$C$29</f>
        <v/>
      </c>
      <c r="W36" s="26">
        <f>Inputs!W56*Inputs!$C$29</f>
        <v/>
      </c>
      <c r="X36" s="26">
        <f>Inputs!X56*Inputs!$C$29</f>
        <v/>
      </c>
      <c r="Y36" s="26">
        <f>Inputs!Y56*Inputs!$C$29</f>
        <v/>
      </c>
      <c r="Z36" s="26">
        <f>Inputs!Z56*Inputs!$C$29</f>
        <v/>
      </c>
      <c r="AA36" s="26">
        <f>Inputs!AA56*Inputs!$C$29</f>
        <v/>
      </c>
      <c r="AB36" s="26">
        <f>Inputs!AB56*Inputs!$C$29</f>
        <v/>
      </c>
      <c r="AC36" s="26">
        <f>Inputs!AC56*Inputs!$C$29</f>
        <v/>
      </c>
      <c r="AD36" s="26">
        <f>Inputs!AD56*Inputs!$C$29</f>
        <v/>
      </c>
      <c r="AE36" s="26">
        <f>Inputs!AE56*Inputs!$C$29</f>
        <v/>
      </c>
      <c r="AF36" s="39">
        <f>SUM(F36:AE36)</f>
        <v/>
      </c>
    </row>
    <row r="37">
      <c r="B37" s="13" t="inlineStr">
        <is>
          <t>Total Promo Spend</t>
        </is>
      </c>
      <c r="F37" s="26">
        <f>SUM(F31:F36)</f>
        <v/>
      </c>
      <c r="G37" s="26">
        <f>SUM(G31:G36)</f>
        <v/>
      </c>
      <c r="H37" s="26">
        <f>SUM(H31:H36)</f>
        <v/>
      </c>
      <c r="I37" s="26">
        <f>SUM(I31:I36)</f>
        <v/>
      </c>
      <c r="J37" s="26">
        <f>SUM(J31:J36)</f>
        <v/>
      </c>
      <c r="K37" s="26">
        <f>SUM(K31:K36)</f>
        <v/>
      </c>
      <c r="L37" s="26">
        <f>SUM(L31:L36)</f>
        <v/>
      </c>
      <c r="M37" s="26">
        <f>SUM(M31:M36)</f>
        <v/>
      </c>
      <c r="N37" s="26">
        <f>SUM(N31:N36)</f>
        <v/>
      </c>
      <c r="O37" s="26">
        <f>SUM(O31:O36)</f>
        <v/>
      </c>
      <c r="P37" s="26">
        <f>SUM(P31:P36)</f>
        <v/>
      </c>
      <c r="Q37" s="26">
        <f>SUM(Q31:Q36)</f>
        <v/>
      </c>
      <c r="R37" s="26">
        <f>SUM(R31:R36)</f>
        <v/>
      </c>
      <c r="S37" s="26">
        <f>SUM(S31:S36)</f>
        <v/>
      </c>
      <c r="T37" s="26">
        <f>SUM(T31:T36)</f>
        <v/>
      </c>
      <c r="U37" s="26">
        <f>SUM(U31:U36)</f>
        <v/>
      </c>
      <c r="V37" s="26">
        <f>SUM(V31:V36)</f>
        <v/>
      </c>
      <c r="W37" s="26">
        <f>SUM(W31:W36)</f>
        <v/>
      </c>
      <c r="X37" s="26">
        <f>SUM(X31:X36)</f>
        <v/>
      </c>
      <c r="Y37" s="26">
        <f>SUM(Y31:Y36)</f>
        <v/>
      </c>
      <c r="Z37" s="26">
        <f>SUM(Z31:Z36)</f>
        <v/>
      </c>
      <c r="AA37" s="26">
        <f>SUM(AA31:AA36)</f>
        <v/>
      </c>
      <c r="AB37" s="26">
        <f>SUM(AB31:AB36)</f>
        <v/>
      </c>
      <c r="AC37" s="26">
        <f>SUM(AC31:AC36)</f>
        <v/>
      </c>
      <c r="AD37" s="26">
        <f>SUM(AD31:AD36)</f>
        <v/>
      </c>
      <c r="AE37" s="26">
        <f>SUM(AE31:AE36)</f>
        <v/>
      </c>
      <c r="AF37" s="39">
        <f>SUM(F37:AE37)</f>
        <v/>
      </c>
    </row>
    <row r="38">
      <c r="B38" s="40" t="inlineStr">
        <is>
          <t>Gross Profit</t>
        </is>
      </c>
      <c r="F38" s="26">
        <f>F28-F30</f>
        <v/>
      </c>
      <c r="G38" s="26">
        <f>G28-G30</f>
        <v/>
      </c>
      <c r="H38" s="26">
        <f>H28-H30</f>
        <v/>
      </c>
      <c r="I38" s="26">
        <f>I28-I30</f>
        <v/>
      </c>
      <c r="J38" s="26">
        <f>J28-J30</f>
        <v/>
      </c>
      <c r="K38" s="26">
        <f>K28-K30</f>
        <v/>
      </c>
      <c r="L38" s="26">
        <f>L28-L30</f>
        <v/>
      </c>
      <c r="M38" s="26">
        <f>M28-M30</f>
        <v/>
      </c>
      <c r="N38" s="26">
        <f>N28-N30</f>
        <v/>
      </c>
      <c r="O38" s="26">
        <f>O28-O30</f>
        <v/>
      </c>
      <c r="P38" s="26">
        <f>P28-P30</f>
        <v/>
      </c>
      <c r="Q38" s="26">
        <f>Q28-Q30</f>
        <v/>
      </c>
      <c r="R38" s="26">
        <f>R28-R30</f>
        <v/>
      </c>
      <c r="S38" s="26">
        <f>S28-S30</f>
        <v/>
      </c>
      <c r="T38" s="26">
        <f>T28-T30</f>
        <v/>
      </c>
      <c r="U38" s="26">
        <f>U28-U30</f>
        <v/>
      </c>
      <c r="V38" s="26">
        <f>V28-V30</f>
        <v/>
      </c>
      <c r="W38" s="26">
        <f>W28-W30</f>
        <v/>
      </c>
      <c r="X38" s="26">
        <f>X28-X30</f>
        <v/>
      </c>
      <c r="Y38" s="26">
        <f>Y28-Y30</f>
        <v/>
      </c>
      <c r="Z38" s="26">
        <f>Z28-Z30</f>
        <v/>
      </c>
      <c r="AA38" s="26">
        <f>AA28-AA30</f>
        <v/>
      </c>
      <c r="AB38" s="26">
        <f>AB28-AB30</f>
        <v/>
      </c>
      <c r="AC38" s="26">
        <f>AC28-AC30</f>
        <v/>
      </c>
      <c r="AD38" s="26">
        <f>AD28-AD30</f>
        <v/>
      </c>
      <c r="AE38" s="26">
        <f>AE28-AE30</f>
        <v/>
      </c>
      <c r="AF38" s="39">
        <f>SUM(F38:AE38)</f>
        <v/>
      </c>
    </row>
    <row r="39">
      <c r="B39" s="40" t="inlineStr">
        <is>
          <t>Net Profit (after promo)</t>
        </is>
      </c>
      <c r="F39" s="26">
        <f>F38-F37</f>
        <v/>
      </c>
      <c r="G39" s="26">
        <f>G38-G37</f>
        <v/>
      </c>
      <c r="H39" s="26">
        <f>H38-H37</f>
        <v/>
      </c>
      <c r="I39" s="26">
        <f>I38-I37</f>
        <v/>
      </c>
      <c r="J39" s="26">
        <f>J38-J37</f>
        <v/>
      </c>
      <c r="K39" s="26">
        <f>K38-K37</f>
        <v/>
      </c>
      <c r="L39" s="26">
        <f>L38-L37</f>
        <v/>
      </c>
      <c r="M39" s="26">
        <f>M38-M37</f>
        <v/>
      </c>
      <c r="N39" s="26">
        <f>N38-N37</f>
        <v/>
      </c>
      <c r="O39" s="26">
        <f>O38-O37</f>
        <v/>
      </c>
      <c r="P39" s="26">
        <f>P38-P37</f>
        <v/>
      </c>
      <c r="Q39" s="26">
        <f>Q38-Q37</f>
        <v/>
      </c>
      <c r="R39" s="26">
        <f>R38-R37</f>
        <v/>
      </c>
      <c r="S39" s="26">
        <f>S38-S37</f>
        <v/>
      </c>
      <c r="T39" s="26">
        <f>T38-T37</f>
        <v/>
      </c>
      <c r="U39" s="26">
        <f>U38-U37</f>
        <v/>
      </c>
      <c r="V39" s="26">
        <f>V38-V37</f>
        <v/>
      </c>
      <c r="W39" s="26">
        <f>W38-W37</f>
        <v/>
      </c>
      <c r="X39" s="26">
        <f>X38-X37</f>
        <v/>
      </c>
      <c r="Y39" s="26">
        <f>Y38-Y37</f>
        <v/>
      </c>
      <c r="Z39" s="26">
        <f>Z38-Z37</f>
        <v/>
      </c>
      <c r="AA39" s="26">
        <f>AA38-AA37</f>
        <v/>
      </c>
      <c r="AB39" s="26">
        <f>AB38-AB37</f>
        <v/>
      </c>
      <c r="AC39" s="26">
        <f>AC38-AC37</f>
        <v/>
      </c>
      <c r="AD39" s="26">
        <f>AD38-AD37</f>
        <v/>
      </c>
      <c r="AE39" s="26">
        <f>AE38-AE37</f>
        <v/>
      </c>
      <c r="AF39" s="39">
        <f>SUM(F39:AE39)</f>
        <v/>
      </c>
    </row>
    <row r="42" ht="22" customHeight="1">
      <c r="B42" s="27" t="inlineStr">
        <is>
          <t>WORST – Demo+EndCap+TPD then Markdown (Wks 18-20)</t>
        </is>
      </c>
    </row>
    <row r="43">
      <c r="B43" s="31" t="inlineStr">
        <is>
          <t>Week</t>
        </is>
      </c>
      <c r="F43" s="29" t="inlineStr">
        <is>
          <t>W1</t>
        </is>
      </c>
      <c r="G43" s="29" t="inlineStr">
        <is>
          <t>W2</t>
        </is>
      </c>
      <c r="H43" s="29" t="inlineStr">
        <is>
          <t>W3</t>
        </is>
      </c>
      <c r="I43" s="29" t="inlineStr">
        <is>
          <t>W4</t>
        </is>
      </c>
      <c r="J43" s="29" t="inlineStr">
        <is>
          <t>W5</t>
        </is>
      </c>
      <c r="K43" s="29" t="inlineStr">
        <is>
          <t>W6</t>
        </is>
      </c>
      <c r="L43" s="29" t="inlineStr">
        <is>
          <t>W7</t>
        </is>
      </c>
      <c r="M43" s="29" t="inlineStr">
        <is>
          <t>W8</t>
        </is>
      </c>
      <c r="N43" s="29" t="inlineStr">
        <is>
          <t>W9</t>
        </is>
      </c>
      <c r="O43" s="29" t="inlineStr">
        <is>
          <t>W10</t>
        </is>
      </c>
      <c r="P43" s="29" t="inlineStr">
        <is>
          <t>W11</t>
        </is>
      </c>
      <c r="Q43" s="29" t="inlineStr">
        <is>
          <t>W12</t>
        </is>
      </c>
      <c r="R43" s="29" t="inlineStr">
        <is>
          <t>W13</t>
        </is>
      </c>
      <c r="S43" s="29" t="inlineStr">
        <is>
          <t>W14</t>
        </is>
      </c>
      <c r="T43" s="29" t="inlineStr">
        <is>
          <t>W15</t>
        </is>
      </c>
      <c r="U43" s="29" t="inlineStr">
        <is>
          <t>W16</t>
        </is>
      </c>
      <c r="V43" s="29" t="inlineStr">
        <is>
          <t>W17</t>
        </is>
      </c>
      <c r="W43" s="29" t="inlineStr">
        <is>
          <t>W18</t>
        </is>
      </c>
      <c r="X43" s="29" t="inlineStr">
        <is>
          <t>W19</t>
        </is>
      </c>
      <c r="Y43" s="29" t="inlineStr">
        <is>
          <t>W20</t>
        </is>
      </c>
      <c r="Z43" s="29" t="inlineStr">
        <is>
          <t>W21</t>
        </is>
      </c>
      <c r="AA43" s="29" t="inlineStr">
        <is>
          <t>W22</t>
        </is>
      </c>
      <c r="AB43" s="29" t="inlineStr">
        <is>
          <t>W23</t>
        </is>
      </c>
      <c r="AC43" s="29" t="inlineStr">
        <is>
          <t>W24</t>
        </is>
      </c>
      <c r="AD43" s="29" t="inlineStr">
        <is>
          <t>W25</t>
        </is>
      </c>
      <c r="AE43" s="29" t="inlineStr">
        <is>
          <t>W26</t>
        </is>
      </c>
      <c r="AF43" s="34" t="inlineStr">
        <is>
          <t>TOTAL</t>
        </is>
      </c>
    </row>
    <row r="44">
      <c r="B44" s="31" t="inlineStr">
        <is>
          <t>Wk-commencing</t>
        </is>
      </c>
      <c r="F44" s="30">
        <f>Inputs!$C$7+7*0</f>
        <v/>
      </c>
      <c r="G44" s="30">
        <f>Inputs!$C$7+7*1</f>
        <v/>
      </c>
      <c r="H44" s="30">
        <f>Inputs!$C$7+7*2</f>
        <v/>
      </c>
      <c r="I44" s="30">
        <f>Inputs!$C$7+7*3</f>
        <v/>
      </c>
      <c r="J44" s="30">
        <f>Inputs!$C$7+7*4</f>
        <v/>
      </c>
      <c r="K44" s="30">
        <f>Inputs!$C$7+7*5</f>
        <v/>
      </c>
      <c r="L44" s="30">
        <f>Inputs!$C$7+7*6</f>
        <v/>
      </c>
      <c r="M44" s="30">
        <f>Inputs!$C$7+7*7</f>
        <v/>
      </c>
      <c r="N44" s="30">
        <f>Inputs!$C$7+7*8</f>
        <v/>
      </c>
      <c r="O44" s="30">
        <f>Inputs!$C$7+7*9</f>
        <v/>
      </c>
      <c r="P44" s="30">
        <f>Inputs!$C$7+7*10</f>
        <v/>
      </c>
      <c r="Q44" s="30">
        <f>Inputs!$C$7+7*11</f>
        <v/>
      </c>
      <c r="R44" s="30">
        <f>Inputs!$C$7+7*12</f>
        <v/>
      </c>
      <c r="S44" s="30">
        <f>Inputs!$C$7+7*13</f>
        <v/>
      </c>
      <c r="T44" s="30">
        <f>Inputs!$C$7+7*14</f>
        <v/>
      </c>
      <c r="U44" s="30">
        <f>Inputs!$C$7+7*15</f>
        <v/>
      </c>
      <c r="V44" s="30">
        <f>Inputs!$C$7+7*16</f>
        <v/>
      </c>
      <c r="W44" s="30">
        <f>Inputs!$C$7+7*17</f>
        <v/>
      </c>
      <c r="X44" s="30">
        <f>Inputs!$C$7+7*18</f>
        <v/>
      </c>
      <c r="Y44" s="30">
        <f>Inputs!$C$7+7*19</f>
        <v/>
      </c>
      <c r="Z44" s="30">
        <f>Inputs!$C$7+7*20</f>
        <v/>
      </c>
      <c r="AA44" s="30">
        <f>Inputs!$C$7+7*21</f>
        <v/>
      </c>
      <c r="AB44" s="30">
        <f>Inputs!$C$7+7*22</f>
        <v/>
      </c>
      <c r="AC44" s="30">
        <f>Inputs!$C$7+7*23</f>
        <v/>
      </c>
      <c r="AD44" s="30">
        <f>Inputs!$C$7+7*24</f>
        <v/>
      </c>
      <c r="AE44" s="30">
        <f>Inputs!$C$7+7*25</f>
        <v/>
      </c>
      <c r="AF44" s="35" t="inlineStr"/>
    </row>
    <row r="45">
      <c r="B45" s="13" t="inlineStr">
        <is>
          <t>POS Units</t>
        </is>
      </c>
      <c r="F45" s="23">
        <f>ROUND(Inputs!$C$19*Inputs!F69,0)</f>
        <v/>
      </c>
      <c r="G45" s="23">
        <f>ROUND(Inputs!$C$19*Inputs!G69,0)</f>
        <v/>
      </c>
      <c r="H45" s="23">
        <f>ROUND(Inputs!$C$19*Inputs!H69,0)</f>
        <v/>
      </c>
      <c r="I45" s="23">
        <f>ROUND(Inputs!$C$19*Inputs!I69,0)</f>
        <v/>
      </c>
      <c r="J45" s="23">
        <f>ROUND(Inputs!$C$19*Inputs!J69,0)</f>
        <v/>
      </c>
      <c r="K45" s="23">
        <f>ROUND(Inputs!$C$19*Inputs!K69,0)</f>
        <v/>
      </c>
      <c r="L45" s="23">
        <f>ROUND(Inputs!$C$19*Inputs!L69,0)</f>
        <v/>
      </c>
      <c r="M45" s="23">
        <f>ROUND(Inputs!$C$19*Inputs!M69,0)</f>
        <v/>
      </c>
      <c r="N45" s="23">
        <f>ROUND(Inputs!$C$19*Inputs!N69,0)</f>
        <v/>
      </c>
      <c r="O45" s="23">
        <f>ROUND(Inputs!$C$19*Inputs!O69,0)</f>
        <v/>
      </c>
      <c r="P45" s="23">
        <f>ROUND(Inputs!$C$19*Inputs!P69,0)</f>
        <v/>
      </c>
      <c r="Q45" s="23">
        <f>ROUND(Inputs!$C$19*Inputs!Q69,0)</f>
        <v/>
      </c>
      <c r="R45" s="23">
        <f>ROUND(Inputs!$C$19*Inputs!R69,0)</f>
        <v/>
      </c>
      <c r="S45" s="23">
        <f>ROUND(Inputs!$C$19*Inputs!S69,0)</f>
        <v/>
      </c>
      <c r="T45" s="23">
        <f>ROUND(Inputs!$C$19*Inputs!T69,0)</f>
        <v/>
      </c>
      <c r="U45" s="23">
        <f>ROUND(Inputs!$C$19*Inputs!U69,0)</f>
        <v/>
      </c>
      <c r="V45" s="23">
        <f>ROUND(Inputs!$C$19*Inputs!V69,0)</f>
        <v/>
      </c>
      <c r="W45" s="23">
        <f>ROUND(Inputs!$C$19*Inputs!W69,0)</f>
        <v/>
      </c>
      <c r="X45" s="23">
        <f>ROUND(Inputs!$C$19*Inputs!X69,0)</f>
        <v/>
      </c>
      <c r="Y45" s="23">
        <f>ROUND(Inputs!$C$19*Inputs!Y69,0)</f>
        <v/>
      </c>
      <c r="Z45" s="23">
        <f>ROUND(Inputs!$C$19*Inputs!Z69,0)</f>
        <v/>
      </c>
      <c r="AA45" s="23">
        <f>ROUND(Inputs!$C$19*Inputs!AA69,0)</f>
        <v/>
      </c>
      <c r="AB45" s="23">
        <f>ROUND(Inputs!$C$19*Inputs!AB69,0)</f>
        <v/>
      </c>
      <c r="AC45" s="23">
        <f>ROUND(Inputs!$C$19*Inputs!AC69,0)</f>
        <v/>
      </c>
      <c r="AD45" s="23">
        <f>ROUND(Inputs!$C$19*Inputs!AD69,0)</f>
        <v/>
      </c>
      <c r="AE45" s="23">
        <f>ROUND(Inputs!$C$19*Inputs!AE69,0)</f>
        <v/>
      </c>
      <c r="AF45" s="36">
        <f>SUM(F45:AE45)</f>
        <v/>
      </c>
    </row>
    <row r="46">
      <c r="B46" s="37" t="inlineStr">
        <is>
          <t>Selling Price</t>
        </is>
      </c>
      <c r="F46" s="19">
        <f>Inputs!$C$12</f>
        <v/>
      </c>
      <c r="G46" s="19">
        <f>Inputs!$C$12</f>
        <v/>
      </c>
      <c r="H46" s="19">
        <f>Inputs!$C$12</f>
        <v/>
      </c>
      <c r="I46" s="19">
        <f>Inputs!$C$12</f>
        <v/>
      </c>
      <c r="J46" s="19">
        <f>Inputs!$C$12</f>
        <v/>
      </c>
      <c r="K46" s="19">
        <f>Inputs!$C$12</f>
        <v/>
      </c>
      <c r="L46" s="19">
        <f>Inputs!$C$12</f>
        <v/>
      </c>
      <c r="M46" s="19">
        <f>Inputs!$C$12</f>
        <v/>
      </c>
      <c r="N46" s="19">
        <f>Inputs!$C$12</f>
        <v/>
      </c>
      <c r="O46" s="19">
        <f>Inputs!$C$12</f>
        <v/>
      </c>
      <c r="P46" s="19">
        <f>Inputs!$C$12</f>
        <v/>
      </c>
      <c r="Q46" s="19">
        <f>Inputs!$C$12</f>
        <v/>
      </c>
      <c r="R46" s="19">
        <f>Inputs!$C$12</f>
        <v/>
      </c>
      <c r="S46" s="19">
        <f>Inputs!$C$12</f>
        <v/>
      </c>
      <c r="T46" s="19">
        <f>Inputs!$C$12</f>
        <v/>
      </c>
      <c r="U46" s="19">
        <f>Inputs!$C$12</f>
        <v/>
      </c>
      <c r="V46" s="19">
        <f>Inputs!$C$12</f>
        <v/>
      </c>
      <c r="W46" s="19">
        <f>Inputs!$C$12</f>
        <v/>
      </c>
      <c r="X46" s="19">
        <f>Inputs!$C$12</f>
        <v/>
      </c>
      <c r="Y46" s="19">
        <f>Inputs!$C$12</f>
        <v/>
      </c>
      <c r="Z46" s="19">
        <f>Inputs!$C$12</f>
        <v/>
      </c>
      <c r="AA46" s="19">
        <f>Inputs!$C$12</f>
        <v/>
      </c>
      <c r="AB46" s="19">
        <f>Inputs!$C$12</f>
        <v/>
      </c>
      <c r="AC46" s="19">
        <f>Inputs!$C$12</f>
        <v/>
      </c>
      <c r="AD46" s="19">
        <f>Inputs!$C$12</f>
        <v/>
      </c>
      <c r="AE46" s="19">
        <f>Inputs!$C$12</f>
        <v/>
      </c>
      <c r="AF46" s="38">
        <f>Inputs!$C$12</f>
        <v/>
      </c>
    </row>
    <row r="47">
      <c r="B47" s="13" t="inlineStr">
        <is>
          <t>Revenue</t>
        </is>
      </c>
      <c r="F47" s="26">
        <f>F45*F46</f>
        <v/>
      </c>
      <c r="G47" s="26">
        <f>G45*G46</f>
        <v/>
      </c>
      <c r="H47" s="26">
        <f>H45*H46</f>
        <v/>
      </c>
      <c r="I47" s="26">
        <f>I45*I46</f>
        <v/>
      </c>
      <c r="J47" s="26">
        <f>J45*J46</f>
        <v/>
      </c>
      <c r="K47" s="26">
        <f>K45*K46</f>
        <v/>
      </c>
      <c r="L47" s="26">
        <f>L45*L46</f>
        <v/>
      </c>
      <c r="M47" s="26">
        <f>M45*M46</f>
        <v/>
      </c>
      <c r="N47" s="26">
        <f>N45*N46</f>
        <v/>
      </c>
      <c r="O47" s="26">
        <f>O45*O46</f>
        <v/>
      </c>
      <c r="P47" s="26">
        <f>P45*P46</f>
        <v/>
      </c>
      <c r="Q47" s="26">
        <f>Q45*Q46</f>
        <v/>
      </c>
      <c r="R47" s="26">
        <f>R45*R46</f>
        <v/>
      </c>
      <c r="S47" s="26">
        <f>S45*S46</f>
        <v/>
      </c>
      <c r="T47" s="26">
        <f>T45*T46</f>
        <v/>
      </c>
      <c r="U47" s="26">
        <f>U45*U46</f>
        <v/>
      </c>
      <c r="V47" s="26">
        <f>V45*V46</f>
        <v/>
      </c>
      <c r="W47" s="26">
        <f>W45*W46</f>
        <v/>
      </c>
      <c r="X47" s="26">
        <f>X45*X46</f>
        <v/>
      </c>
      <c r="Y47" s="26">
        <f>Y45*Y46</f>
        <v/>
      </c>
      <c r="Z47" s="26">
        <f>Z45*Z46</f>
        <v/>
      </c>
      <c r="AA47" s="26">
        <f>AA45*AA46</f>
        <v/>
      </c>
      <c r="AB47" s="26">
        <f>AB45*AB46</f>
        <v/>
      </c>
      <c r="AC47" s="26">
        <f>AC45*AC46</f>
        <v/>
      </c>
      <c r="AD47" s="26">
        <f>AD45*AD46</f>
        <v/>
      </c>
      <c r="AE47" s="26">
        <f>AE45*AE46</f>
        <v/>
      </c>
      <c r="AF47" s="39">
        <f>SUM(F47:AE47)</f>
        <v/>
      </c>
    </row>
    <row r="48">
      <c r="B48" s="37" t="inlineStr">
        <is>
          <t>Cost Price</t>
        </is>
      </c>
      <c r="F48" s="19">
        <f>Inputs!$C$13</f>
        <v/>
      </c>
      <c r="G48" s="19">
        <f>Inputs!$C$13</f>
        <v/>
      </c>
      <c r="H48" s="19">
        <f>Inputs!$C$13</f>
        <v/>
      </c>
      <c r="I48" s="19">
        <f>Inputs!$C$13</f>
        <v/>
      </c>
      <c r="J48" s="19">
        <f>Inputs!$C$13</f>
        <v/>
      </c>
      <c r="K48" s="19">
        <f>Inputs!$C$13</f>
        <v/>
      </c>
      <c r="L48" s="19">
        <f>Inputs!$C$13</f>
        <v/>
      </c>
      <c r="M48" s="19">
        <f>Inputs!$C$13</f>
        <v/>
      </c>
      <c r="N48" s="19">
        <f>Inputs!$C$13</f>
        <v/>
      </c>
      <c r="O48" s="19">
        <f>Inputs!$C$13</f>
        <v/>
      </c>
      <c r="P48" s="19">
        <f>Inputs!$C$13</f>
        <v/>
      </c>
      <c r="Q48" s="19">
        <f>Inputs!$C$13</f>
        <v/>
      </c>
      <c r="R48" s="19">
        <f>Inputs!$C$13</f>
        <v/>
      </c>
      <c r="S48" s="19">
        <f>Inputs!$C$13</f>
        <v/>
      </c>
      <c r="T48" s="19">
        <f>Inputs!$C$13</f>
        <v/>
      </c>
      <c r="U48" s="19">
        <f>Inputs!$C$13</f>
        <v/>
      </c>
      <c r="V48" s="19">
        <f>Inputs!$C$13</f>
        <v/>
      </c>
      <c r="W48" s="19">
        <f>Inputs!$C$13</f>
        <v/>
      </c>
      <c r="X48" s="19">
        <f>Inputs!$C$13</f>
        <v/>
      </c>
      <c r="Y48" s="19">
        <f>Inputs!$C$13</f>
        <v/>
      </c>
      <c r="Z48" s="19">
        <f>Inputs!$C$13</f>
        <v/>
      </c>
      <c r="AA48" s="19">
        <f>Inputs!$C$13</f>
        <v/>
      </c>
      <c r="AB48" s="19">
        <f>Inputs!$C$13</f>
        <v/>
      </c>
      <c r="AC48" s="19">
        <f>Inputs!$C$13</f>
        <v/>
      </c>
      <c r="AD48" s="19">
        <f>Inputs!$C$13</f>
        <v/>
      </c>
      <c r="AE48" s="19">
        <f>Inputs!$C$13</f>
        <v/>
      </c>
      <c r="AF48" s="38">
        <f>Inputs!$C$13</f>
        <v/>
      </c>
    </row>
    <row r="49">
      <c r="B49" s="37" t="inlineStr">
        <is>
          <t>Raw COGS</t>
        </is>
      </c>
      <c r="F49" s="26">
        <f>F45*F48</f>
        <v/>
      </c>
      <c r="G49" s="26">
        <f>G45*G48</f>
        <v/>
      </c>
      <c r="H49" s="26">
        <f>H45*H48</f>
        <v/>
      </c>
      <c r="I49" s="26">
        <f>I45*I48</f>
        <v/>
      </c>
      <c r="J49" s="26">
        <f>J45*J48</f>
        <v/>
      </c>
      <c r="K49" s="26">
        <f>K45*K48</f>
        <v/>
      </c>
      <c r="L49" s="26">
        <f>L45*L48</f>
        <v/>
      </c>
      <c r="M49" s="26">
        <f>M45*M48</f>
        <v/>
      </c>
      <c r="N49" s="26">
        <f>N45*N48</f>
        <v/>
      </c>
      <c r="O49" s="26">
        <f>O45*O48</f>
        <v/>
      </c>
      <c r="P49" s="26">
        <f>P45*P48</f>
        <v/>
      </c>
      <c r="Q49" s="26">
        <f>Q45*Q48</f>
        <v/>
      </c>
      <c r="R49" s="26">
        <f>R45*R48</f>
        <v/>
      </c>
      <c r="S49" s="26">
        <f>S45*S48</f>
        <v/>
      </c>
      <c r="T49" s="26">
        <f>T45*T48</f>
        <v/>
      </c>
      <c r="U49" s="26">
        <f>U45*U48</f>
        <v/>
      </c>
      <c r="V49" s="26">
        <f>V45*V48</f>
        <v/>
      </c>
      <c r="W49" s="26">
        <f>W45*W48</f>
        <v/>
      </c>
      <c r="X49" s="26">
        <f>X45*X48</f>
        <v/>
      </c>
      <c r="Y49" s="26">
        <f>Y45*Y48</f>
        <v/>
      </c>
      <c r="Z49" s="26">
        <f>Z45*Z48</f>
        <v/>
      </c>
      <c r="AA49" s="26">
        <f>AA45*AA48</f>
        <v/>
      </c>
      <c r="AB49" s="26">
        <f>AB45*AB48</f>
        <v/>
      </c>
      <c r="AC49" s="26">
        <f>AC45*AC48</f>
        <v/>
      </c>
      <c r="AD49" s="26">
        <f>AD45*AD48</f>
        <v/>
      </c>
      <c r="AE49" s="26">
        <f>AE45*AE48</f>
        <v/>
      </c>
      <c r="AF49" s="39">
        <f>SUM(F49:AE49)</f>
        <v/>
      </c>
    </row>
    <row r="50">
      <c r="B50" s="37" t="inlineStr">
        <is>
          <t>— Demo Spend</t>
        </is>
      </c>
      <c r="F50" s="26">
        <f>Inputs!F63*Inputs!$C$24</f>
        <v/>
      </c>
      <c r="G50" s="26">
        <f>Inputs!G63*Inputs!$C$24</f>
        <v/>
      </c>
      <c r="H50" s="26">
        <f>Inputs!H63*Inputs!$C$24</f>
        <v/>
      </c>
      <c r="I50" s="26">
        <f>Inputs!I63*Inputs!$C$24</f>
        <v/>
      </c>
      <c r="J50" s="26">
        <f>Inputs!J63*Inputs!$C$24</f>
        <v/>
      </c>
      <c r="K50" s="26">
        <f>Inputs!K63*Inputs!$C$24</f>
        <v/>
      </c>
      <c r="L50" s="26">
        <f>Inputs!L63*Inputs!$C$24</f>
        <v/>
      </c>
      <c r="M50" s="26">
        <f>Inputs!M63*Inputs!$C$24</f>
        <v/>
      </c>
      <c r="N50" s="26">
        <f>Inputs!N63*Inputs!$C$24</f>
        <v/>
      </c>
      <c r="O50" s="26">
        <f>Inputs!O63*Inputs!$C$24</f>
        <v/>
      </c>
      <c r="P50" s="26">
        <f>Inputs!P63*Inputs!$C$24</f>
        <v/>
      </c>
      <c r="Q50" s="26">
        <f>Inputs!Q63*Inputs!$C$24</f>
        <v/>
      </c>
      <c r="R50" s="26">
        <f>Inputs!R63*Inputs!$C$24</f>
        <v/>
      </c>
      <c r="S50" s="26">
        <f>Inputs!S63*Inputs!$C$24</f>
        <v/>
      </c>
      <c r="T50" s="26">
        <f>Inputs!T63*Inputs!$C$24</f>
        <v/>
      </c>
      <c r="U50" s="26">
        <f>Inputs!U63*Inputs!$C$24</f>
        <v/>
      </c>
      <c r="V50" s="26">
        <f>Inputs!V63*Inputs!$C$24</f>
        <v/>
      </c>
      <c r="W50" s="26">
        <f>Inputs!W63*Inputs!$C$24</f>
        <v/>
      </c>
      <c r="X50" s="26">
        <f>Inputs!X63*Inputs!$C$24</f>
        <v/>
      </c>
      <c r="Y50" s="26">
        <f>Inputs!Y63*Inputs!$C$24</f>
        <v/>
      </c>
      <c r="Z50" s="26">
        <f>Inputs!Z63*Inputs!$C$24</f>
        <v/>
      </c>
      <c r="AA50" s="26">
        <f>Inputs!AA63*Inputs!$C$24</f>
        <v/>
      </c>
      <c r="AB50" s="26">
        <f>Inputs!AB63*Inputs!$C$24</f>
        <v/>
      </c>
      <c r="AC50" s="26">
        <f>Inputs!AC63*Inputs!$C$24</f>
        <v/>
      </c>
      <c r="AD50" s="26">
        <f>Inputs!AD63*Inputs!$C$24</f>
        <v/>
      </c>
      <c r="AE50" s="26">
        <f>Inputs!AE63*Inputs!$C$24</f>
        <v/>
      </c>
      <c r="AF50" s="39">
        <f>SUM(F50:AE50)</f>
        <v/>
      </c>
    </row>
    <row r="51">
      <c r="B51" s="37" t="inlineStr">
        <is>
          <t>— End Cap Spend</t>
        </is>
      </c>
      <c r="F51" s="26">
        <f>Inputs!F64*Inputs!$C$27</f>
        <v/>
      </c>
      <c r="G51" s="26">
        <f>Inputs!G64*Inputs!$C$27</f>
        <v/>
      </c>
      <c r="H51" s="26">
        <f>Inputs!H64*Inputs!$C$27</f>
        <v/>
      </c>
      <c r="I51" s="26">
        <f>Inputs!I64*Inputs!$C$27</f>
        <v/>
      </c>
      <c r="J51" s="26">
        <f>Inputs!J64*Inputs!$C$27</f>
        <v/>
      </c>
      <c r="K51" s="26">
        <f>Inputs!K64*Inputs!$C$27</f>
        <v/>
      </c>
      <c r="L51" s="26">
        <f>Inputs!L64*Inputs!$C$27</f>
        <v/>
      </c>
      <c r="M51" s="26">
        <f>Inputs!M64*Inputs!$C$27</f>
        <v/>
      </c>
      <c r="N51" s="26">
        <f>Inputs!N64*Inputs!$C$27</f>
        <v/>
      </c>
      <c r="O51" s="26">
        <f>Inputs!O64*Inputs!$C$27</f>
        <v/>
      </c>
      <c r="P51" s="26">
        <f>Inputs!P64*Inputs!$C$27</f>
        <v/>
      </c>
      <c r="Q51" s="26">
        <f>Inputs!Q64*Inputs!$C$27</f>
        <v/>
      </c>
      <c r="R51" s="26">
        <f>Inputs!R64*Inputs!$C$27</f>
        <v/>
      </c>
      <c r="S51" s="26">
        <f>Inputs!S64*Inputs!$C$27</f>
        <v/>
      </c>
      <c r="T51" s="26">
        <f>Inputs!T64*Inputs!$C$27</f>
        <v/>
      </c>
      <c r="U51" s="26">
        <f>Inputs!U64*Inputs!$C$27</f>
        <v/>
      </c>
      <c r="V51" s="26">
        <f>Inputs!V64*Inputs!$C$27</f>
        <v/>
      </c>
      <c r="W51" s="26">
        <f>Inputs!W64*Inputs!$C$27</f>
        <v/>
      </c>
      <c r="X51" s="26">
        <f>Inputs!X64*Inputs!$C$27</f>
        <v/>
      </c>
      <c r="Y51" s="26">
        <f>Inputs!Y64*Inputs!$C$27</f>
        <v/>
      </c>
      <c r="Z51" s="26">
        <f>Inputs!Z64*Inputs!$C$27</f>
        <v/>
      </c>
      <c r="AA51" s="26">
        <f>Inputs!AA64*Inputs!$C$27</f>
        <v/>
      </c>
      <c r="AB51" s="26">
        <f>Inputs!AB64*Inputs!$C$27</f>
        <v/>
      </c>
      <c r="AC51" s="26">
        <f>Inputs!AC64*Inputs!$C$27</f>
        <v/>
      </c>
      <c r="AD51" s="26">
        <f>Inputs!AD64*Inputs!$C$27</f>
        <v/>
      </c>
      <c r="AE51" s="26">
        <f>Inputs!AE64*Inputs!$C$27</f>
        <v/>
      </c>
      <c r="AF51" s="39">
        <f>SUM(F51:AE51)</f>
        <v/>
      </c>
    </row>
    <row r="52">
      <c r="B52" s="37" t="inlineStr">
        <is>
          <t>— Fence Spend</t>
        </is>
      </c>
      <c r="F52" s="26">
        <f>Inputs!F65*Inputs!$C$28</f>
        <v/>
      </c>
      <c r="G52" s="26">
        <f>Inputs!G65*Inputs!$C$28</f>
        <v/>
      </c>
      <c r="H52" s="26">
        <f>Inputs!H65*Inputs!$C$28</f>
        <v/>
      </c>
      <c r="I52" s="26">
        <f>Inputs!I65*Inputs!$C$28</f>
        <v/>
      </c>
      <c r="J52" s="26">
        <f>Inputs!J65*Inputs!$C$28</f>
        <v/>
      </c>
      <c r="K52" s="26">
        <f>Inputs!K65*Inputs!$C$28</f>
        <v/>
      </c>
      <c r="L52" s="26">
        <f>Inputs!L65*Inputs!$C$28</f>
        <v/>
      </c>
      <c r="M52" s="26">
        <f>Inputs!M65*Inputs!$C$28</f>
        <v/>
      </c>
      <c r="N52" s="26">
        <f>Inputs!N65*Inputs!$C$28</f>
        <v/>
      </c>
      <c r="O52" s="26">
        <f>Inputs!O65*Inputs!$C$28</f>
        <v/>
      </c>
      <c r="P52" s="26">
        <f>Inputs!P65*Inputs!$C$28</f>
        <v/>
      </c>
      <c r="Q52" s="26">
        <f>Inputs!Q65*Inputs!$C$28</f>
        <v/>
      </c>
      <c r="R52" s="26">
        <f>Inputs!R65*Inputs!$C$28</f>
        <v/>
      </c>
      <c r="S52" s="26">
        <f>Inputs!S65*Inputs!$C$28</f>
        <v/>
      </c>
      <c r="T52" s="26">
        <f>Inputs!T65*Inputs!$C$28</f>
        <v/>
      </c>
      <c r="U52" s="26">
        <f>Inputs!U65*Inputs!$C$28</f>
        <v/>
      </c>
      <c r="V52" s="26">
        <f>Inputs!V65*Inputs!$C$28</f>
        <v/>
      </c>
      <c r="W52" s="26">
        <f>Inputs!W65*Inputs!$C$28</f>
        <v/>
      </c>
      <c r="X52" s="26">
        <f>Inputs!X65*Inputs!$C$28</f>
        <v/>
      </c>
      <c r="Y52" s="26">
        <f>Inputs!Y65*Inputs!$C$28</f>
        <v/>
      </c>
      <c r="Z52" s="26">
        <f>Inputs!Z65*Inputs!$C$28</f>
        <v/>
      </c>
      <c r="AA52" s="26">
        <f>Inputs!AA65*Inputs!$C$28</f>
        <v/>
      </c>
      <c r="AB52" s="26">
        <f>Inputs!AB65*Inputs!$C$28</f>
        <v/>
      </c>
      <c r="AC52" s="26">
        <f>Inputs!AC65*Inputs!$C$28</f>
        <v/>
      </c>
      <c r="AD52" s="26">
        <f>Inputs!AD65*Inputs!$C$28</f>
        <v/>
      </c>
      <c r="AE52" s="26">
        <f>Inputs!AE65*Inputs!$C$28</f>
        <v/>
      </c>
      <c r="AF52" s="39">
        <f>SUM(F52:AE52)</f>
        <v/>
      </c>
    </row>
    <row r="53">
      <c r="B53" s="37" t="inlineStr">
        <is>
          <t>— TPD Spend</t>
        </is>
      </c>
      <c r="F53" s="26">
        <f>Inputs!F66*F45*F46*Inputs!$C$30</f>
        <v/>
      </c>
      <c r="G53" s="26">
        <f>Inputs!G66*G45*G46*Inputs!$C$30</f>
        <v/>
      </c>
      <c r="H53" s="26">
        <f>Inputs!H66*H45*H46*Inputs!$C$30</f>
        <v/>
      </c>
      <c r="I53" s="26">
        <f>Inputs!I66*I45*I46*Inputs!$C$30</f>
        <v/>
      </c>
      <c r="J53" s="26">
        <f>Inputs!J66*J45*J46*Inputs!$C$30</f>
        <v/>
      </c>
      <c r="K53" s="26">
        <f>Inputs!K66*K45*K46*Inputs!$C$30</f>
        <v/>
      </c>
      <c r="L53" s="26">
        <f>Inputs!L66*L45*L46*Inputs!$C$30</f>
        <v/>
      </c>
      <c r="M53" s="26">
        <f>Inputs!M66*M45*M46*Inputs!$C$30</f>
        <v/>
      </c>
      <c r="N53" s="26">
        <f>Inputs!N66*N45*N46*Inputs!$C$30</f>
        <v/>
      </c>
      <c r="O53" s="26">
        <f>Inputs!O66*O45*O46*Inputs!$C$30</f>
        <v/>
      </c>
      <c r="P53" s="26">
        <f>Inputs!P66*P45*P46*Inputs!$C$30</f>
        <v/>
      </c>
      <c r="Q53" s="26">
        <f>Inputs!Q66*Q45*Q46*Inputs!$C$30</f>
        <v/>
      </c>
      <c r="R53" s="26">
        <f>Inputs!R66*R45*R46*Inputs!$C$30</f>
        <v/>
      </c>
      <c r="S53" s="26">
        <f>Inputs!S66*S45*S46*Inputs!$C$30</f>
        <v/>
      </c>
      <c r="T53" s="26">
        <f>Inputs!T66*T45*T46*Inputs!$C$30</f>
        <v/>
      </c>
      <c r="U53" s="26">
        <f>Inputs!U66*U45*U46*Inputs!$C$30</f>
        <v/>
      </c>
      <c r="V53" s="26">
        <f>Inputs!V66*V45*V46*Inputs!$C$30</f>
        <v/>
      </c>
      <c r="W53" s="26">
        <f>Inputs!W66*W45*W46*Inputs!$C$30</f>
        <v/>
      </c>
      <c r="X53" s="26">
        <f>Inputs!X66*X45*X46*Inputs!$C$30</f>
        <v/>
      </c>
      <c r="Y53" s="26">
        <f>Inputs!Y66*Y45*Y46*Inputs!$C$30</f>
        <v/>
      </c>
      <c r="Z53" s="26">
        <f>Inputs!Z66*Z45*Z46*Inputs!$C$30</f>
        <v/>
      </c>
      <c r="AA53" s="26">
        <f>Inputs!AA66*AA45*AA46*Inputs!$C$30</f>
        <v/>
      </c>
      <c r="AB53" s="26">
        <f>Inputs!AB66*AB45*AB46*Inputs!$C$30</f>
        <v/>
      </c>
      <c r="AC53" s="26">
        <f>Inputs!AC66*AC45*AC46*Inputs!$C$30</f>
        <v/>
      </c>
      <c r="AD53" s="26">
        <f>Inputs!AD66*AD45*AD46*Inputs!$C$30</f>
        <v/>
      </c>
      <c r="AE53" s="26">
        <f>Inputs!AE66*AE45*AE46*Inputs!$C$30</f>
        <v/>
      </c>
      <c r="AF53" s="39">
        <f>SUM(F53:AE53)</f>
        <v/>
      </c>
    </row>
    <row r="54">
      <c r="B54" s="37" t="inlineStr">
        <is>
          <t>— Markdown Spend</t>
        </is>
      </c>
      <c r="F54" s="26">
        <f>Inputs!F67*F45*F46*Inputs!$C$31</f>
        <v/>
      </c>
      <c r="G54" s="26">
        <f>Inputs!G67*G45*G46*Inputs!$C$31</f>
        <v/>
      </c>
      <c r="H54" s="26">
        <f>Inputs!H67*H45*H46*Inputs!$C$31</f>
        <v/>
      </c>
      <c r="I54" s="26">
        <f>Inputs!I67*I45*I46*Inputs!$C$31</f>
        <v/>
      </c>
      <c r="J54" s="26">
        <f>Inputs!J67*J45*J46*Inputs!$C$31</f>
        <v/>
      </c>
      <c r="K54" s="26">
        <f>Inputs!K67*K45*K46*Inputs!$C$31</f>
        <v/>
      </c>
      <c r="L54" s="26">
        <f>Inputs!L67*L45*L46*Inputs!$C$31</f>
        <v/>
      </c>
      <c r="M54" s="26">
        <f>Inputs!M67*M45*M46*Inputs!$C$31</f>
        <v/>
      </c>
      <c r="N54" s="26">
        <f>Inputs!N67*N45*N46*Inputs!$C$31</f>
        <v/>
      </c>
      <c r="O54" s="26">
        <f>Inputs!O67*O45*O46*Inputs!$C$31</f>
        <v/>
      </c>
      <c r="P54" s="26">
        <f>Inputs!P67*P45*P46*Inputs!$C$31</f>
        <v/>
      </c>
      <c r="Q54" s="26">
        <f>Inputs!Q67*Q45*Q46*Inputs!$C$31</f>
        <v/>
      </c>
      <c r="R54" s="26">
        <f>Inputs!R67*R45*R46*Inputs!$C$31</f>
        <v/>
      </c>
      <c r="S54" s="26">
        <f>Inputs!S67*S45*S46*Inputs!$C$31</f>
        <v/>
      </c>
      <c r="T54" s="26">
        <f>Inputs!T67*T45*T46*Inputs!$C$31</f>
        <v/>
      </c>
      <c r="U54" s="26">
        <f>Inputs!U67*U45*U46*Inputs!$C$31</f>
        <v/>
      </c>
      <c r="V54" s="26">
        <f>Inputs!V67*V45*V46*Inputs!$C$31</f>
        <v/>
      </c>
      <c r="W54" s="26">
        <f>Inputs!W67*W45*W46*Inputs!$C$31</f>
        <v/>
      </c>
      <c r="X54" s="26">
        <f>Inputs!X67*X45*X46*Inputs!$C$31</f>
        <v/>
      </c>
      <c r="Y54" s="26">
        <f>Inputs!Y67*Y45*Y46*Inputs!$C$31</f>
        <v/>
      </c>
      <c r="Z54" s="26">
        <f>Inputs!Z67*Z45*Z46*Inputs!$C$31</f>
        <v/>
      </c>
      <c r="AA54" s="26">
        <f>Inputs!AA67*AA45*AA46*Inputs!$C$31</f>
        <v/>
      </c>
      <c r="AB54" s="26">
        <f>Inputs!AB67*AB45*AB46*Inputs!$C$31</f>
        <v/>
      </c>
      <c r="AC54" s="26">
        <f>Inputs!AC67*AC45*AC46*Inputs!$C$31</f>
        <v/>
      </c>
      <c r="AD54" s="26">
        <f>Inputs!AD67*AD45*AD46*Inputs!$C$31</f>
        <v/>
      </c>
      <c r="AE54" s="26">
        <f>Inputs!AE67*AE45*AE46*Inputs!$C$31</f>
        <v/>
      </c>
      <c r="AF54" s="39">
        <f>SUM(F54:AE54)</f>
        <v/>
      </c>
    </row>
    <row r="55">
      <c r="B55" s="37" t="inlineStr">
        <is>
          <t>— Advertising Spend</t>
        </is>
      </c>
      <c r="F55" s="26">
        <f>Inputs!F68*Inputs!$C$29</f>
        <v/>
      </c>
      <c r="G55" s="26">
        <f>Inputs!G68*Inputs!$C$29</f>
        <v/>
      </c>
      <c r="H55" s="26">
        <f>Inputs!H68*Inputs!$C$29</f>
        <v/>
      </c>
      <c r="I55" s="26">
        <f>Inputs!I68*Inputs!$C$29</f>
        <v/>
      </c>
      <c r="J55" s="26">
        <f>Inputs!J68*Inputs!$C$29</f>
        <v/>
      </c>
      <c r="K55" s="26">
        <f>Inputs!K68*Inputs!$C$29</f>
        <v/>
      </c>
      <c r="L55" s="26">
        <f>Inputs!L68*Inputs!$C$29</f>
        <v/>
      </c>
      <c r="M55" s="26">
        <f>Inputs!M68*Inputs!$C$29</f>
        <v/>
      </c>
      <c r="N55" s="26">
        <f>Inputs!N68*Inputs!$C$29</f>
        <v/>
      </c>
      <c r="O55" s="26">
        <f>Inputs!O68*Inputs!$C$29</f>
        <v/>
      </c>
      <c r="P55" s="26">
        <f>Inputs!P68*Inputs!$C$29</f>
        <v/>
      </c>
      <c r="Q55" s="26">
        <f>Inputs!Q68*Inputs!$C$29</f>
        <v/>
      </c>
      <c r="R55" s="26">
        <f>Inputs!R68*Inputs!$C$29</f>
        <v/>
      </c>
      <c r="S55" s="26">
        <f>Inputs!S68*Inputs!$C$29</f>
        <v/>
      </c>
      <c r="T55" s="26">
        <f>Inputs!T68*Inputs!$C$29</f>
        <v/>
      </c>
      <c r="U55" s="26">
        <f>Inputs!U68*Inputs!$C$29</f>
        <v/>
      </c>
      <c r="V55" s="26">
        <f>Inputs!V68*Inputs!$C$29</f>
        <v/>
      </c>
      <c r="W55" s="26">
        <f>Inputs!W68*Inputs!$C$29</f>
        <v/>
      </c>
      <c r="X55" s="26">
        <f>Inputs!X68*Inputs!$C$29</f>
        <v/>
      </c>
      <c r="Y55" s="26">
        <f>Inputs!Y68*Inputs!$C$29</f>
        <v/>
      </c>
      <c r="Z55" s="26">
        <f>Inputs!Z68*Inputs!$C$29</f>
        <v/>
      </c>
      <c r="AA55" s="26">
        <f>Inputs!AA68*Inputs!$C$29</f>
        <v/>
      </c>
      <c r="AB55" s="26">
        <f>Inputs!AB68*Inputs!$C$29</f>
        <v/>
      </c>
      <c r="AC55" s="26">
        <f>Inputs!AC68*Inputs!$C$29</f>
        <v/>
      </c>
      <c r="AD55" s="26">
        <f>Inputs!AD68*Inputs!$C$29</f>
        <v/>
      </c>
      <c r="AE55" s="26">
        <f>Inputs!AE68*Inputs!$C$29</f>
        <v/>
      </c>
      <c r="AF55" s="39">
        <f>SUM(F55:AE55)</f>
        <v/>
      </c>
    </row>
    <row r="56">
      <c r="B56" s="13" t="inlineStr">
        <is>
          <t>Total Promo Spend</t>
        </is>
      </c>
      <c r="F56" s="26">
        <f>SUM(F50:F55)</f>
        <v/>
      </c>
      <c r="G56" s="26">
        <f>SUM(G50:G55)</f>
        <v/>
      </c>
      <c r="H56" s="26">
        <f>SUM(H50:H55)</f>
        <v/>
      </c>
      <c r="I56" s="26">
        <f>SUM(I50:I55)</f>
        <v/>
      </c>
      <c r="J56" s="26">
        <f>SUM(J50:J55)</f>
        <v/>
      </c>
      <c r="K56" s="26">
        <f>SUM(K50:K55)</f>
        <v/>
      </c>
      <c r="L56" s="26">
        <f>SUM(L50:L55)</f>
        <v/>
      </c>
      <c r="M56" s="26">
        <f>SUM(M50:M55)</f>
        <v/>
      </c>
      <c r="N56" s="26">
        <f>SUM(N50:N55)</f>
        <v/>
      </c>
      <c r="O56" s="26">
        <f>SUM(O50:O55)</f>
        <v/>
      </c>
      <c r="P56" s="26">
        <f>SUM(P50:P55)</f>
        <v/>
      </c>
      <c r="Q56" s="26">
        <f>SUM(Q50:Q55)</f>
        <v/>
      </c>
      <c r="R56" s="26">
        <f>SUM(R50:R55)</f>
        <v/>
      </c>
      <c r="S56" s="26">
        <f>SUM(S50:S55)</f>
        <v/>
      </c>
      <c r="T56" s="26">
        <f>SUM(T50:T55)</f>
        <v/>
      </c>
      <c r="U56" s="26">
        <f>SUM(U50:U55)</f>
        <v/>
      </c>
      <c r="V56" s="26">
        <f>SUM(V50:V55)</f>
        <v/>
      </c>
      <c r="W56" s="26">
        <f>SUM(W50:W55)</f>
        <v/>
      </c>
      <c r="X56" s="26">
        <f>SUM(X50:X55)</f>
        <v/>
      </c>
      <c r="Y56" s="26">
        <f>SUM(Y50:Y55)</f>
        <v/>
      </c>
      <c r="Z56" s="26">
        <f>SUM(Z50:Z55)</f>
        <v/>
      </c>
      <c r="AA56" s="26">
        <f>SUM(AA50:AA55)</f>
        <v/>
      </c>
      <c r="AB56" s="26">
        <f>SUM(AB50:AB55)</f>
        <v/>
      </c>
      <c r="AC56" s="26">
        <f>SUM(AC50:AC55)</f>
        <v/>
      </c>
      <c r="AD56" s="26">
        <f>SUM(AD50:AD55)</f>
        <v/>
      </c>
      <c r="AE56" s="26">
        <f>SUM(AE50:AE55)</f>
        <v/>
      </c>
      <c r="AF56" s="39">
        <f>SUM(F56:AE56)</f>
        <v/>
      </c>
    </row>
    <row r="57">
      <c r="B57" s="40" t="inlineStr">
        <is>
          <t>Gross Profit</t>
        </is>
      </c>
      <c r="F57" s="26">
        <f>F47-F49</f>
        <v/>
      </c>
      <c r="G57" s="26">
        <f>G47-G49</f>
        <v/>
      </c>
      <c r="H57" s="26">
        <f>H47-H49</f>
        <v/>
      </c>
      <c r="I57" s="26">
        <f>I47-I49</f>
        <v/>
      </c>
      <c r="J57" s="26">
        <f>J47-J49</f>
        <v/>
      </c>
      <c r="K57" s="26">
        <f>K47-K49</f>
        <v/>
      </c>
      <c r="L57" s="26">
        <f>L47-L49</f>
        <v/>
      </c>
      <c r="M57" s="26">
        <f>M47-M49</f>
        <v/>
      </c>
      <c r="N57" s="26">
        <f>N47-N49</f>
        <v/>
      </c>
      <c r="O57" s="26">
        <f>O47-O49</f>
        <v/>
      </c>
      <c r="P57" s="26">
        <f>P47-P49</f>
        <v/>
      </c>
      <c r="Q57" s="26">
        <f>Q47-Q49</f>
        <v/>
      </c>
      <c r="R57" s="26">
        <f>R47-R49</f>
        <v/>
      </c>
      <c r="S57" s="26">
        <f>S47-S49</f>
        <v/>
      </c>
      <c r="T57" s="26">
        <f>T47-T49</f>
        <v/>
      </c>
      <c r="U57" s="26">
        <f>U47-U49</f>
        <v/>
      </c>
      <c r="V57" s="26">
        <f>V47-V49</f>
        <v/>
      </c>
      <c r="W57" s="26">
        <f>W47-W49</f>
        <v/>
      </c>
      <c r="X57" s="26">
        <f>X47-X49</f>
        <v/>
      </c>
      <c r="Y57" s="26">
        <f>Y47-Y49</f>
        <v/>
      </c>
      <c r="Z57" s="26">
        <f>Z47-Z49</f>
        <v/>
      </c>
      <c r="AA57" s="26">
        <f>AA47-AA49</f>
        <v/>
      </c>
      <c r="AB57" s="26">
        <f>AB47-AB49</f>
        <v/>
      </c>
      <c r="AC57" s="26">
        <f>AC47-AC49</f>
        <v/>
      </c>
      <c r="AD57" s="26">
        <f>AD47-AD49</f>
        <v/>
      </c>
      <c r="AE57" s="26">
        <f>AE47-AE49</f>
        <v/>
      </c>
      <c r="AF57" s="39">
        <f>SUM(F57:AE57)</f>
        <v/>
      </c>
    </row>
    <row r="58">
      <c r="B58" s="40" t="inlineStr">
        <is>
          <t>Net Profit (after promo)</t>
        </is>
      </c>
      <c r="F58" s="26">
        <f>F57-F56</f>
        <v/>
      </c>
      <c r="G58" s="26">
        <f>G57-G56</f>
        <v/>
      </c>
      <c r="H58" s="26">
        <f>H57-H56</f>
        <v/>
      </c>
      <c r="I58" s="26">
        <f>I57-I56</f>
        <v/>
      </c>
      <c r="J58" s="26">
        <f>J57-J56</f>
        <v/>
      </c>
      <c r="K58" s="26">
        <f>K57-K56</f>
        <v/>
      </c>
      <c r="L58" s="26">
        <f>L57-L56</f>
        <v/>
      </c>
      <c r="M58" s="26">
        <f>M57-M56</f>
        <v/>
      </c>
      <c r="N58" s="26">
        <f>N57-N56</f>
        <v/>
      </c>
      <c r="O58" s="26">
        <f>O57-O56</f>
        <v/>
      </c>
      <c r="P58" s="26">
        <f>P57-P56</f>
        <v/>
      </c>
      <c r="Q58" s="26">
        <f>Q57-Q56</f>
        <v/>
      </c>
      <c r="R58" s="26">
        <f>R57-R56</f>
        <v/>
      </c>
      <c r="S58" s="26">
        <f>S57-S56</f>
        <v/>
      </c>
      <c r="T58" s="26">
        <f>T57-T56</f>
        <v/>
      </c>
      <c r="U58" s="26">
        <f>U57-U56</f>
        <v/>
      </c>
      <c r="V58" s="26">
        <f>V57-V56</f>
        <v/>
      </c>
      <c r="W58" s="26">
        <f>W57-W56</f>
        <v/>
      </c>
      <c r="X58" s="26">
        <f>X57-X56</f>
        <v/>
      </c>
      <c r="Y58" s="26">
        <f>Y57-Y56</f>
        <v/>
      </c>
      <c r="Z58" s="26">
        <f>Z57-Z56</f>
        <v/>
      </c>
      <c r="AA58" s="26">
        <f>AA57-AA56</f>
        <v/>
      </c>
      <c r="AB58" s="26">
        <f>AB57-AB56</f>
        <v/>
      </c>
      <c r="AC58" s="26">
        <f>AC57-AC56</f>
        <v/>
      </c>
      <c r="AD58" s="26">
        <f>AD57-AD56</f>
        <v/>
      </c>
      <c r="AE58" s="26">
        <f>AE57-AE56</f>
        <v/>
      </c>
      <c r="AF58" s="39">
        <f>SUM(F58:AE58)</f>
        <v/>
      </c>
    </row>
  </sheetData>
  <mergeCells count="4">
    <mergeCell ref="B23:AF23"/>
    <mergeCell ref="B4:AF4"/>
    <mergeCell ref="B42:AF42"/>
    <mergeCell ref="B2:AF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27"/>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 customWidth="1" min="1" max="1"/>
    <col width="36" customWidth="1" min="2" max="2"/>
    <col width="22" customWidth="1" min="3" max="3"/>
    <col width="22" customWidth="1" min="4" max="4"/>
    <col width="22" customWidth="1" min="5" max="5"/>
  </cols>
  <sheetData>
    <row r="2" ht="32" customHeight="1">
      <c r="B2" s="9" t="inlineStr">
        <is>
          <t>ROI SUMMARY — Scenario Comparison</t>
        </is>
      </c>
    </row>
    <row r="3">
      <c r="B3" s="41">
        <f>"Test window: W1 ("&amp;TEXT(Inputs!$C$7,"dd-mmm-yyyy")&amp;")  →  W"&amp;Inputs!$C$9&amp;" ("&amp;TEXT(Inputs!$C$7+7*(Inputs!$C$9-1),"dd-mmm-yyyy")&amp;")"</f>
        <v/>
      </c>
    </row>
    <row r="5" ht="24" customHeight="1">
      <c r="B5" s="42" t="inlineStr">
        <is>
          <t>Metric</t>
        </is>
      </c>
      <c r="C5" s="43" t="inlineStr">
        <is>
          <t>BEST</t>
        </is>
      </c>
      <c r="D5" s="43" t="inlineStr">
        <is>
          <t>IDEAL</t>
        </is>
      </c>
      <c r="E5" s="43" t="inlineStr">
        <is>
          <t>WORST</t>
        </is>
      </c>
    </row>
    <row r="6" ht="22" customHeight="1">
      <c r="B6" s="44" t="inlineStr">
        <is>
          <t>Units Sold</t>
        </is>
      </c>
      <c r="C6" s="45">
        <f>Forecast!AF7</f>
        <v/>
      </c>
      <c r="D6" s="45">
        <f>Forecast!AF26</f>
        <v/>
      </c>
      <c r="E6" s="45">
        <f>Forecast!AF45</f>
        <v/>
      </c>
    </row>
    <row r="7" ht="22" customHeight="1">
      <c r="B7" s="44" t="inlineStr">
        <is>
          <t>Revenue</t>
        </is>
      </c>
      <c r="C7" s="46">
        <f>Forecast!AF9</f>
        <v/>
      </c>
      <c r="D7" s="46">
        <f>Forecast!AF28</f>
        <v/>
      </c>
      <c r="E7" s="46">
        <f>Forecast!AF47</f>
        <v/>
      </c>
    </row>
    <row r="8" ht="22" customHeight="1">
      <c r="B8" s="44" t="inlineStr">
        <is>
          <t>Raw COGS</t>
        </is>
      </c>
      <c r="C8" s="46">
        <f>Forecast!AF11</f>
        <v/>
      </c>
      <c r="D8" s="46">
        <f>Forecast!AF30</f>
        <v/>
      </c>
      <c r="E8" s="46">
        <f>Forecast!AF49</f>
        <v/>
      </c>
    </row>
    <row r="9" ht="26" customHeight="1">
      <c r="B9" s="47" t="inlineStr">
        <is>
          <t>Gross Profit</t>
        </is>
      </c>
      <c r="C9" s="48">
        <f>Forecast!AF19</f>
        <v/>
      </c>
      <c r="D9" s="48">
        <f>Forecast!AF38</f>
        <v/>
      </c>
      <c r="E9" s="48">
        <f>Forecast!AF57</f>
        <v/>
      </c>
    </row>
    <row r="10" ht="26" customHeight="1">
      <c r="B10" s="47" t="inlineStr">
        <is>
          <t>Gross Margin %</t>
        </is>
      </c>
      <c r="C10" s="49">
        <f>IFERROR(Forecast!AF19/Forecast!AF9,0)</f>
        <v/>
      </c>
      <c r="D10" s="49">
        <f>IFERROR(Forecast!AF38/Forecast!AF28,0)</f>
        <v/>
      </c>
      <c r="E10" s="49">
        <f>IFERROR(Forecast!AF57/Forecast!AF47,0)</f>
        <v/>
      </c>
    </row>
    <row r="11" ht="22" customHeight="1">
      <c r="B11" s="44" t="inlineStr">
        <is>
          <t>Demo Spend</t>
        </is>
      </c>
      <c r="C11" s="46">
        <f>Forecast!AF12</f>
        <v/>
      </c>
      <c r="D11" s="46">
        <f>Forecast!AF31</f>
        <v/>
      </c>
      <c r="E11" s="46">
        <f>Forecast!AF50</f>
        <v/>
      </c>
    </row>
    <row r="12" ht="22" customHeight="1">
      <c r="B12" s="44" t="inlineStr">
        <is>
          <t>End Cap Spend</t>
        </is>
      </c>
      <c r="C12" s="46">
        <f>Forecast!AF13</f>
        <v/>
      </c>
      <c r="D12" s="46">
        <f>Forecast!AF32</f>
        <v/>
      </c>
      <c r="E12" s="46">
        <f>Forecast!AF51</f>
        <v/>
      </c>
    </row>
    <row r="13" ht="22" customHeight="1">
      <c r="B13" s="44" t="inlineStr">
        <is>
          <t>Fence Spend</t>
        </is>
      </c>
      <c r="C13" s="46">
        <f>Forecast!AF14</f>
        <v/>
      </c>
      <c r="D13" s="46">
        <f>Forecast!AF33</f>
        <v/>
      </c>
      <c r="E13" s="46">
        <f>Forecast!AF52</f>
        <v/>
      </c>
    </row>
    <row r="14" ht="22" customHeight="1">
      <c r="B14" s="44" t="inlineStr">
        <is>
          <t>TPD Spend</t>
        </is>
      </c>
      <c r="C14" s="46">
        <f>Forecast!AF15</f>
        <v/>
      </c>
      <c r="D14" s="46">
        <f>Forecast!AF34</f>
        <v/>
      </c>
      <c r="E14" s="46">
        <f>Forecast!AF53</f>
        <v/>
      </c>
    </row>
    <row r="15" ht="22" customHeight="1">
      <c r="B15" s="44" t="inlineStr">
        <is>
          <t>Markdown Spend</t>
        </is>
      </c>
      <c r="C15" s="46">
        <f>Forecast!AF16</f>
        <v/>
      </c>
      <c r="D15" s="46">
        <f>Forecast!AF35</f>
        <v/>
      </c>
      <c r="E15" s="46">
        <f>Forecast!AF54</f>
        <v/>
      </c>
    </row>
    <row r="16" ht="22" customHeight="1">
      <c r="B16" s="44" t="inlineStr">
        <is>
          <t>Advertising Spend</t>
        </is>
      </c>
      <c r="C16" s="46">
        <f>Forecast!AF17</f>
        <v/>
      </c>
      <c r="D16" s="46">
        <f>Forecast!AF36</f>
        <v/>
      </c>
      <c r="E16" s="46">
        <f>Forecast!AF55</f>
        <v/>
      </c>
    </row>
    <row r="17" ht="26" customHeight="1">
      <c r="B17" s="47" t="inlineStr">
        <is>
          <t>Total Promo Spend</t>
        </is>
      </c>
      <c r="C17" s="48">
        <f>Forecast!AF18</f>
        <v/>
      </c>
      <c r="D17" s="48">
        <f>Forecast!AF37</f>
        <v/>
      </c>
      <c r="E17" s="48">
        <f>Forecast!AF56</f>
        <v/>
      </c>
    </row>
    <row r="18" ht="26" customHeight="1">
      <c r="B18" s="47" t="inlineStr">
        <is>
          <t>Net Profit</t>
        </is>
      </c>
      <c r="C18" s="48">
        <f>Forecast!AF20</f>
        <v/>
      </c>
      <c r="D18" s="48">
        <f>Forecast!AF39</f>
        <v/>
      </c>
      <c r="E18" s="48">
        <f>Forecast!AF58</f>
        <v/>
      </c>
    </row>
    <row r="19" ht="26" customHeight="1">
      <c r="B19" s="47" t="inlineStr">
        <is>
          <t>Net Margin %</t>
        </is>
      </c>
      <c r="C19" s="49">
        <f>IFERROR(Forecast!AF20/Forecast!AF9,0)</f>
        <v/>
      </c>
      <c r="D19" s="49">
        <f>IFERROR(Forecast!AF39/Forecast!AF28,0)</f>
        <v/>
      </c>
      <c r="E19" s="49">
        <f>IFERROR(Forecast!AF58/Forecast!AF47,0)</f>
        <v/>
      </c>
    </row>
    <row r="20" ht="26" customHeight="1">
      <c r="B20" s="47" t="inlineStr">
        <is>
          <t>ROI on Promo Spend</t>
        </is>
      </c>
      <c r="C20" s="49">
        <f>IFERROR(Forecast!AF20/Forecast!AF18,0)</f>
        <v/>
      </c>
      <c r="D20" s="49">
        <f>IFERROR(Forecast!AF39/Forecast!AF37,0)</f>
        <v/>
      </c>
      <c r="E20" s="49">
        <f>IFERROR(Forecast!AF58/Forecast!AF56,0)</f>
        <v/>
      </c>
    </row>
    <row r="21" ht="22" customHeight="1">
      <c r="B21" s="44" t="inlineStr">
        <is>
          <t>Avg Units / WH / Week</t>
        </is>
      </c>
      <c r="C21" s="45">
        <f>IFERROR(Forecast!AF7/Inputs!$C$8/Inputs!$C$9,0)</f>
        <v/>
      </c>
      <c r="D21" s="45">
        <f>IFERROR(Forecast!AF26/Inputs!$C$8/Inputs!$C$9,0)</f>
        <v/>
      </c>
      <c r="E21" s="45">
        <f>IFERROR(Forecast!AF45/Inputs!$C$8/Inputs!$C$9,0)</f>
        <v/>
      </c>
    </row>
    <row r="24" ht="22" customHeight="1">
      <c r="B24" s="12" t="inlineStr">
        <is>
          <t>Why each scenario?</t>
        </is>
      </c>
    </row>
    <row r="25" ht="50" customHeight="1">
      <c r="B25" s="50" t="inlineStr">
        <is>
          <t>BEST</t>
        </is>
      </c>
      <c r="C25" s="15" t="inlineStr">
        <is>
          <t>Two national demo weekends combined with a TPD price promo. Demo lifts unit velocity ~3x in-week (Costco benchmark for supplements). No end cap booked, no markdown needed.</t>
        </is>
      </c>
    </row>
    <row r="26" ht="50" customHeight="1">
      <c r="B26" s="50" t="inlineStr">
        <is>
          <t>IDEAL</t>
        </is>
      </c>
      <c r="C26" s="15" t="inlineStr">
        <is>
          <t>Full-court press: demo + end cap + TPD all running together for two weeks. Stacking end cap on demo weeks lifts velocity to ~3.6x (incremental ~20% on top of demo-only).</t>
        </is>
      </c>
    </row>
    <row r="27" ht="50" customHeight="1">
      <c r="B27" s="50" t="inlineStr">
        <is>
          <t>WORST</t>
        </is>
      </c>
      <c r="C27" s="15" t="inlineStr">
        <is>
          <t>Same launch plan as IDEAL but sell-through stalls after the promo weeks. Residual inventory is cleared via three weeks of 50% markdown (Wks 18-20). Wk 20 spike reflects clearance blow-out (~2,400 units in one week).</t>
        </is>
      </c>
    </row>
  </sheetData>
  <mergeCells count="6">
    <mergeCell ref="C27:E27"/>
    <mergeCell ref="C26:E26"/>
    <mergeCell ref="B24:E24"/>
    <mergeCell ref="B3:E3"/>
    <mergeCell ref="B2:E2"/>
    <mergeCell ref="C25:E25"/>
  </mergeCells>
  <conditionalFormatting sqref="C18:E18">
    <cfRule type="cellIs" priority="1" operator="lessThan" dxfId="0">
      <formula>0</formula>
    </cfRule>
    <cfRule type="cellIs" priority="2" operator="greaterThanOrEqual" dxfId="1">
      <formula>0</formula>
    </cfRule>
  </conditionalFormatting>
  <conditionalFormatting sqref="C20:E20">
    <cfRule type="cellIs" priority="3" operator="lessThan" dxfId="0">
      <formula>0</formula>
    </cfRule>
    <cfRule type="cellIs" priority="4" operator="greaterThanOrEqual"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2026-05-26T22:06:09Z</dcterms:created>
  <dcterms:modified xsi:type="dcterms:W3CDTF">2026-05-26T22:06:09Z</dcterms:modified>
</cp:coreProperties>
</file>