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puts" sheetId="1" state="visible" r:id="rId1"/>
    <sheet name="Doors" sheetId="2" state="visible" r:id="rId2"/>
    <sheet name="Velocity Grid" sheetId="3" state="visible" r:id="rId3"/>
    <sheet name="Bulk Edit" sheetId="4" state="visible" r:id="rId4"/>
    <sheet name="Activations" sheetId="5" state="visible" r:id="rId5"/>
    <sheet name="Online Forecast" sheetId="6" state="visible" r:id="rId6"/>
    <sheet name="Weekly Forecast" sheetId="7" state="visible" r:id="rId7"/>
    <sheet name="Production Calendar" sheetId="8" state="visible" r:id="rId8"/>
    <sheet name="Revenue and Margin" sheetId="9" state="visible" r:id="rId9"/>
    <sheet name="Scenarios" sheetId="10" state="visible" r:id="rId10"/>
    <sheet name="Risk Flags" sheetId="11" state="visible" r:id="rId11"/>
    <sheet name="Dashboard" sheetId="12" state="visible" r:id="rId12"/>
  </sheets>
  <definedNames>
    <definedName name="UNITS_PER_CASE">Inputs!$B$5</definedName>
    <definedName name="SKU_LIST">Inputs!$A$9:$A$11</definedName>
    <definedName name="WHOLESALE_TABLE">Inputs!$B$9:$B$11</definedName>
    <definedName name="COGS_TABLE">Inputs!$C$9:$C$11</definedName>
    <definedName name="BEVMAX_LEAD">Inputs!$B$14</definedName>
    <definedName name="BEVMAX_CAP">Inputs!$B$15</definedName>
    <definedName name="TIER_LIST">Inputs!$A$19:$A$21</definedName>
    <definedName name="VELOCITY_TABLE">Inputs!$B$19:$D$21</definedName>
    <definedName name="RAMP_W1">Inputs!$B$24</definedName>
    <definedName name="RAMP_W2">Inputs!$B$25</definedName>
    <definedName name="RAMP_W3">Inputs!$B$26</definedName>
    <definedName name="RAMP_W4PLUS">Inputs!$B$27</definedName>
    <definedName name="ONLINE_AMZ">Inputs!$B$31:$B$33</definedName>
    <definedName name="ONLINE_DTC">Inputs!$C$31:$C$33</definedName>
    <definedName name="DOORS_ID">Doors!$A$5:$A$104</definedName>
    <definedName name="DOORS_BANNER">Doors!$B$5:$B$104</definedName>
    <definedName name="DOORS_NAME">Doors!$C$5:$C$104</definedName>
    <definedName name="DOORS_REGION">Doors!$E$5:$E$104</definedName>
    <definedName name="DOORS_TIER">Doors!$F$5:$F$104</definedName>
    <definedName name="DOORS_LIMELEMON">Doors!$G$5:$G$104</definedName>
    <definedName name="DOORS_PINEAPPLE">Doors!$H$5:$H$104</definedName>
    <definedName name="DOORS_RASPBERRY">Doors!$I$5:$I$104</definedName>
    <definedName name="DOORS_LAUNCH">Doors!$J$5:$J$104</definedName>
    <definedName name="BULK_ENABLED">'Bulk Edit'!$B$5:$B$24</definedName>
    <definedName name="BULK_TIER">'Bulk Edit'!$C$5:$C$24</definedName>
    <definedName name="BULK_SKU">'Bulk Edit'!$D$5:$D$24</definedName>
    <definedName name="BULK_START">'Bulk Edit'!$E$5:$E$24</definedName>
    <definedName name="BULK_END">'Bulk Edit'!$F$5:$F$24</definedName>
    <definedName name="BULK_VALUE">'Bulk Edit'!$G$5:$G$24</definedName>
    <definedName name="ACT_ID">Activations!$A$5:$A$34</definedName>
    <definedName name="ACT_TYPE">Activations!$B$5:$B$34</definedName>
    <definedName name="ACT_DOOR_SCOPE">Activations!$C$5:$C$34</definedName>
    <definedName name="ACT_SKU_SCOPE">Activations!$D$5:$D$34</definedName>
    <definedName name="ACT_START">Activations!$E$5:$E$34</definedName>
    <definedName name="ACT_END">Activations!$F$5:$F$34</definedName>
    <definedName name="ACT_UPLIFT">Activations!$G$5:$G$34</definedName>
    <definedName name="ACT_POSTLIFT">Activations!$H$5:$H$34</definedName>
    <definedName name="ACT_TRIAL">Activations!$I$5:$I$34</definedName>
    <definedName name="ACT_COST">Activations!$J$5:$J$34</definedName>
    <definedName name="ACTIVE_SCENARIO">Scenarios!$B$5</definedName>
    <definedName name="SCEN_MULT_TABLE">Scenarios!$B$9:$D$11</definedName>
    <definedName name="SCEN_NAMES">Scenarios!$B$8:$D$8</definedName>
    <definedName name="ACTIVE_MULT_TABLE">Scenarios!$B$14:$B$16</definedName>
    <definedName name="VG_DOOR_ID">'Velocity Grid'!$B$5:$B$304</definedName>
    <definedName name="VG_BANNER">'Velocity Grid'!$D$5:$D$304</definedName>
    <definedName name="VG_REGION">'Velocity Grid'!$E$5:$E$304</definedName>
    <definedName name="VG_TIER">'Velocity Grid'!$F$5:$F$304</definedName>
    <definedName name="VG_SKU">'Velocity Grid'!$G$5:$G$304</definedName>
    <definedName name="VG_AUTH">'Velocity Grid'!$H$5:$H$304</definedName>
    <definedName name="VG_LAUNCH">'Velocity Grid'!$I$5:$I$304</definedName>
    <definedName name="VG_W1">'Velocity Grid'!$J$5:$J$304</definedName>
    <definedName name="VG_W2">'Velocity Grid'!$K$5:$K$304</definedName>
    <definedName name="VG_W3">'Velocity Grid'!$L$5:$L$304</definedName>
    <definedName name="VG_W4">'Velocity Grid'!$M$5:$M$304</definedName>
    <definedName name="VG_W5">'Velocity Grid'!$N$5:$N$304</definedName>
    <definedName name="VG_W6">'Velocity Grid'!$O$5:$O$304</definedName>
    <definedName name="VG_W7">'Velocity Grid'!$P$5:$P$304</definedName>
    <definedName name="VG_W8">'Velocity Grid'!$Q$5:$Q$304</definedName>
    <definedName name="VG_W9">'Velocity Grid'!$R$5:$R$304</definedName>
    <definedName name="VG_W10">'Velocity Grid'!$S$5:$S$304</definedName>
    <definedName name="VG_W11">'Velocity Grid'!$T$5:$T$304</definedName>
    <definedName name="VG_W12">'Velocity Grid'!$U$5:$U$304</definedName>
    <definedName name="VG_W13">'Velocity Grid'!$V$5:$V$304</definedName>
    <definedName name="VG_UNITS_BLOCK">'Velocity Grid'!$J$5:$V$304</definedName>
    <definedName name="ONLINE_UNITS_TOTAL_ROW">'Online Forecast'!$C$11:$O$11</definedName>
    <definedName name="ONLINE_TOTAL_UNITS">'Online Forecast'!$P$11</definedName>
    <definedName name="ONLINE_TOTAL_CASES">'Online Forecast'!$Q$11</definedName>
    <definedName name="WF_WEEK_UNITS">'Weekly Forecast'!$E$6:$E$18</definedName>
    <definedName name="WF_WEEK_CASES">'Weekly Forecast'!$I$6:$I$18</definedName>
    <definedName name="WF_SKU_UNITS_TOTAL_BY_SKU">'Weekly Forecast'!$O$26:$O$28</definedName>
    <definedName name="REV_GROSS_TOTAL">'Revenue and Margin'!$B$12</definedName>
    <definedName name="REV_TRADE_TOTAL">'Revenue and Margin'!$B$13</definedName>
    <definedName name="REV_NET_TOTAL">'Revenue and Margin'!$B$15</definedName>
    <definedName name="REV_MARGIN_TOTAL">'Revenue and Margin'!$B$16</definedName>
    <definedName name="REV_TOTAL_CASES">'Revenue and Margin'!$D$8</definedName>
  </definedNames>
  <calcPr calcId="124519" fullCalcOnLoad="1"/>
</workbook>
</file>

<file path=xl/styles.xml><?xml version="1.0" encoding="utf-8"?>
<styleSheet xmlns="http://schemas.openxmlformats.org/spreadsheetml/2006/main">
  <numFmts count="3">
    <numFmt numFmtId="164" formatCode="&quot;$&quot;#,##0.00"/>
    <numFmt numFmtId="165" formatCode="&quot;$&quot;#,##0"/>
    <numFmt numFmtId="166" formatCode="0.0%"/>
  </numFmts>
  <fonts count="8">
    <font>
      <name val="Calibri"/>
      <family val="2"/>
      <color theme="1"/>
      <sz val="11"/>
      <scheme val="minor"/>
    </font>
    <font>
      <name val="Calibri"/>
      <b val="1"/>
      <color rgb="001F3A5F"/>
      <sz val="14"/>
    </font>
    <font>
      <name val="Calibri"/>
      <i val="1"/>
      <color rgb="00595959"/>
      <sz val="9"/>
    </font>
    <font>
      <name val="Calibri"/>
      <b val="1"/>
      <color rgb="001F3A5F"/>
      <sz val="11"/>
    </font>
    <font>
      <b val="1"/>
    </font>
    <font>
      <name val="Calibri"/>
      <b val="1"/>
      <color rgb="00FFFFFF"/>
      <sz val="11"/>
    </font>
    <font>
      <name val="Calibri"/>
      <sz val="10"/>
    </font>
    <font>
      <b val="1"/>
      <color rgb="001F3A5F"/>
    </font>
  </fonts>
  <fills count="5">
    <fill>
      <patternFill/>
    </fill>
    <fill>
      <patternFill patternType="gray125"/>
    </fill>
    <fill>
      <patternFill patternType="solid">
        <fgColor rgb="00DCE6F1"/>
      </patternFill>
    </fill>
    <fill>
      <patternFill patternType="solid">
        <fgColor rgb="00FFF2CC"/>
      </patternFill>
    </fill>
    <fill>
      <patternFill patternType="solid">
        <fgColor rgb="001F3A5F"/>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0">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4" fillId="3" borderId="0" pivotButton="0" quotePrefix="0" xfId="0"/>
    <xf numFmtId="0" fontId="5" fillId="4" borderId="1" applyAlignment="1" pivotButton="0" quotePrefix="0" xfId="0">
      <alignment horizontal="center" vertical="center" wrapText="1"/>
    </xf>
    <xf numFmtId="164" fontId="0" fillId="3" borderId="0" pivotButton="0" quotePrefix="0" xfId="0"/>
    <xf numFmtId="0" fontId="0" fillId="3" borderId="0" pivotButton="0" quotePrefix="0" xfId="0"/>
    <xf numFmtId="9" fontId="0" fillId="3" borderId="0" pivotButton="0" quotePrefix="0" xfId="0"/>
    <xf numFmtId="0" fontId="6" fillId="3" borderId="1" pivotButton="0" quotePrefix="0" xfId="0"/>
    <xf numFmtId="1" fontId="0" fillId="0" borderId="0" applyAlignment="1" pivotButton="0" quotePrefix="0" xfId="0">
      <alignment horizontal="center"/>
    </xf>
    <xf numFmtId="0" fontId="0" fillId="3" borderId="1" pivotButton="0" quotePrefix="0" xfId="0"/>
    <xf numFmtId="2" fontId="0" fillId="3" borderId="1" pivotButton="0" quotePrefix="0" xfId="0"/>
    <xf numFmtId="9" fontId="0" fillId="3" borderId="1" pivotButton="0" quotePrefix="0" xfId="0"/>
    <xf numFmtId="164" fontId="0" fillId="3" borderId="1" pivotButton="0" quotePrefix="0" xfId="0"/>
    <xf numFmtId="1" fontId="0" fillId="0" borderId="0" pivotButton="0" quotePrefix="0" xfId="0"/>
    <xf numFmtId="3" fontId="0" fillId="0" borderId="0" pivotButton="0" quotePrefix="0" xfId="0"/>
    <xf numFmtId="0" fontId="4" fillId="0" borderId="0" pivotButton="0" quotePrefix="0" xfId="0"/>
    <xf numFmtId="3" fontId="4" fillId="0" borderId="0" pivotButton="0" quotePrefix="0" xfId="0"/>
    <xf numFmtId="164" fontId="0" fillId="0" borderId="0" pivotButton="0" quotePrefix="0" xfId="0"/>
    <xf numFmtId="165" fontId="0" fillId="0" borderId="0" pivotButton="0" quotePrefix="0" xfId="0"/>
    <xf numFmtId="166" fontId="0" fillId="0" borderId="0" pivotButton="0" quotePrefix="0" xfId="0"/>
    <xf numFmtId="165" fontId="4" fillId="0" borderId="0" pivotButton="0" quotePrefix="0" xfId="0"/>
    <xf numFmtId="2" fontId="0" fillId="3" borderId="0" pivotButton="0" quotePrefix="0" xfId="0"/>
    <xf numFmtId="0" fontId="3" fillId="0" borderId="0" pivotButton="0" quotePrefix="0" xfId="0"/>
    <xf numFmtId="2" fontId="0" fillId="0" borderId="0" pivotButton="0" quotePrefix="0" xfId="0"/>
    <xf numFmtId="0" fontId="7" fillId="0" borderId="0" pivotButton="0" quotePrefix="0" xfId="0"/>
    <xf numFmtId="3" fontId="7" fillId="0" borderId="0" pivotButton="0" quotePrefix="0" xfId="0"/>
    <xf numFmtId="165" fontId="7" fillId="0" borderId="0" pivotButton="0" quotePrefix="0" xfId="0"/>
    <xf numFmtId="166" fontId="7" fillId="0" borderId="0" pivotButton="0" quotePrefix="0" xfId="0"/>
  </cellXfs>
  <cellStyles count="1">
    <cellStyle name="Normal" xfId="0" builtinId="0" hidden="0"/>
  </cellStyles>
  <dxfs count="3">
    <dxf>
      <fill>
        <patternFill patternType="solid">
          <fgColor rgb="00FFE699"/>
        </patternFill>
      </fill>
    </dxf>
    <dxf>
      <fill>
        <patternFill patternType="solid">
          <fgColor rgb="00FFC7CE"/>
        </patternFill>
      </fill>
    </dxf>
    <dxf>
      <fill>
        <patternFill patternType="solid">
          <f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charts/chart1.xml><?xml version="1.0" encoding="utf-8"?>
<chartSpace xmlns:a="http://schemas.openxmlformats.org/drawingml/2006/main" xmlns="http://schemas.openxmlformats.org/drawingml/2006/chart">
  <chart>
    <title>
      <tx>
        <rich>
          <a:bodyPr/>
          <a:p>
            <a:pPr>
              <a:defRPr/>
            </a:pPr>
            <a:r>
              <a:t>Weekly total units</a:t>
            </a:r>
          </a:p>
        </rich>
      </tx>
    </title>
    <plotArea>
      <lineChart>
        <grouping val="standard"/>
        <ser>
          <idx val="0"/>
          <order val="0"/>
          <tx>
            <strRef>
              <f>'Dashboard'!D45</f>
            </strRef>
          </tx>
          <spPr>
            <a:ln>
              <a:prstDash val="solid"/>
            </a:ln>
          </spPr>
          <marker>
            <symbol val="none"/>
            <spPr>
              <a:ln>
                <a:prstDash val="solid"/>
              </a:ln>
            </spPr>
          </marker>
          <cat>
            <numRef>
              <f>'Dashboard'!$A$46:$A$58</f>
            </numRef>
          </cat>
          <val>
            <numRef>
              <f>'Dashboard'!$D$46:$D$58</f>
            </numRef>
          </val>
        </ser>
        <axId val="10"/>
        <axId val="100"/>
      </lineChart>
      <catAx>
        <axId val="10"/>
        <scaling>
          <orientation val="minMax"/>
        </scaling>
        <axPos val="l"/>
        <title>
          <tx>
            <rich>
              <a:bodyPr/>
              <a:p>
                <a:pPr>
                  <a:defRPr/>
                </a:pPr>
                <a:r>
                  <a:t>Week</a:t>
                </a:r>
              </a:p>
            </rich>
          </tx>
        </title>
        <majorTickMark val="none"/>
        <minorTickMark val="none"/>
        <crossAx val="100"/>
        <lblOffset val="100"/>
      </catAx>
      <valAx>
        <axId val="100"/>
        <scaling>
          <orientation val="minMax"/>
        </scaling>
        <axPos val="l"/>
        <majorGridlines/>
        <title>
          <tx>
            <rich>
              <a:bodyPr/>
              <a:p>
                <a:pPr>
                  <a:defRPr/>
                </a:pPr>
                <a:r>
                  <a:t>Units</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Weekly total cases</a:t>
            </a:r>
          </a:p>
        </rich>
      </tx>
    </title>
    <plotArea>
      <barChart>
        <barDir val="col"/>
        <grouping val="clustered"/>
        <ser>
          <idx val="0"/>
          <order val="0"/>
          <tx>
            <strRef>
              <f>'Dashboard'!E45</f>
            </strRef>
          </tx>
          <spPr>
            <a:ln>
              <a:prstDash val="solid"/>
            </a:ln>
          </spPr>
          <cat>
            <numRef>
              <f>'Dashboard'!$A$46:$A$58</f>
            </numRef>
          </cat>
          <val>
            <numRef>
              <f>'Dashboard'!$E$46:$E$58</f>
            </numRef>
          </val>
        </ser>
        <gapWidth val="150"/>
        <axId val="10"/>
        <axId val="100"/>
      </barChart>
      <catAx>
        <axId val="10"/>
        <scaling>
          <orientation val="minMax"/>
        </scaling>
        <axPos val="l"/>
        <title>
          <tx>
            <rich>
              <a:bodyPr/>
              <a:p>
                <a:pPr>
                  <a:defRPr/>
                </a:pPr>
                <a:r>
                  <a:t>Week</a:t>
                </a:r>
              </a:p>
            </rich>
          </tx>
        </title>
        <majorTickMark val="none"/>
        <minorTickMark val="none"/>
        <crossAx val="100"/>
        <lblOffset val="100"/>
      </catAx>
      <valAx>
        <axId val="100"/>
        <scaling>
          <orientation val="minMax"/>
        </scaling>
        <axPos val="l"/>
        <majorGridlines/>
        <title>
          <tx>
            <rich>
              <a:bodyPr/>
              <a:p>
                <a:pPr>
                  <a:defRPr/>
                </a:pPr>
                <a:r>
                  <a:t>Cases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8</col>
      <colOff>0</colOff>
      <row>14</row>
      <rowOff>0</rowOff>
    </from>
    <ext cx="6480000" cy="2880000"/>
    <graphicFrame>
      <nvGraphicFramePr>
        <cNvPr id="1" name="Chart 1"/>
        <cNvGraphicFramePr/>
      </nvGraphicFramePr>
      <xfrm/>
      <a:graphic>
        <a:graphicData uri="http://schemas.openxmlformats.org/drawingml/2006/chart">
          <c:chart r:id="rId1"/>
        </a:graphicData>
      </a:graphic>
    </graphicFrame>
    <clientData/>
  </oneCellAnchor>
  <oneCellAnchor>
    <from>
      <col>8</col>
      <colOff>0</colOff>
      <row>34</row>
      <rowOff>0</rowOff>
    </from>
    <ext cx="6480000" cy="288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2.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F35"/>
  <sheetViews>
    <sheetView showGridLines="0" workbookViewId="0">
      <selection activeCell="A1" sqref="A1"/>
    </sheetView>
  </sheetViews>
  <sheetFormatPr baseColWidth="8" defaultRowHeight="15"/>
  <cols>
    <col width="34" customWidth="1" min="1" max="1"/>
    <col width="22" customWidth="1" min="2" max="2"/>
    <col width="22" customWidth="1" min="3" max="3"/>
    <col width="60" customWidth="1" min="4" max="4"/>
    <col width="22" customWidth="1" min="5" max="5"/>
    <col width="28" customWidth="1" min="6" max="6"/>
  </cols>
  <sheetData>
    <row r="1">
      <c r="A1" s="1" t="inlineStr">
        <is>
          <t>Inputs and assumptions</t>
        </is>
      </c>
    </row>
    <row r="2">
      <c r="A2" s="2" t="inlineStr">
        <is>
          <t>All yellow cells are editable. Source notes in column D.</t>
        </is>
      </c>
    </row>
    <row r="4">
      <c r="A4" s="3" t="inlineStr">
        <is>
          <t>Case math</t>
        </is>
      </c>
    </row>
    <row r="5">
      <c r="A5" t="inlineStr">
        <is>
          <t>Units per case</t>
        </is>
      </c>
      <c r="B5" s="4" t="n">
        <v>24</v>
      </c>
      <c r="D5" s="2" t="inlineStr">
        <is>
          <t>Six four packs per case. Locked structural constant.</t>
        </is>
      </c>
    </row>
    <row r="7">
      <c r="A7" s="3" t="inlineStr">
        <is>
          <t>Wholesale pricing per case</t>
        </is>
      </c>
    </row>
    <row r="8">
      <c r="A8" s="5" t="inlineStr">
        <is>
          <t>SKU</t>
        </is>
      </c>
      <c r="B8" s="5" t="inlineStr">
        <is>
          <t>Wholesale per case</t>
        </is>
      </c>
      <c r="C8" s="5" t="inlineStr">
        <is>
          <t>COGS per case</t>
        </is>
      </c>
      <c r="D8" s="5" t="inlineStr">
        <is>
          <t>Source note</t>
        </is>
      </c>
    </row>
    <row r="9">
      <c r="A9" t="inlineStr">
        <is>
          <t>Lime Lemon</t>
        </is>
      </c>
      <c r="B9" s="6" t="n">
        <v>36</v>
      </c>
      <c r="C9" s="6" t="n">
        <v>18.5</v>
      </c>
      <c r="D9" s="2" t="inlineStr">
        <is>
          <t>Louis estimate, to validate with finance.</t>
        </is>
      </c>
    </row>
    <row r="10">
      <c r="A10" t="inlineStr">
        <is>
          <t>Pineapple Passion Fruit</t>
        </is>
      </c>
      <c r="B10" s="6" t="n">
        <v>36</v>
      </c>
      <c r="C10" s="6" t="n">
        <v>18.5</v>
      </c>
      <c r="D10" s="2" t="inlineStr">
        <is>
          <t>Louis estimate, to validate with finance.</t>
        </is>
      </c>
    </row>
    <row r="11">
      <c r="A11" t="inlineStr">
        <is>
          <t>Raspberry</t>
        </is>
      </c>
      <c r="B11" s="6" t="n">
        <v>36</v>
      </c>
      <c r="C11" s="6" t="n">
        <v>18.5</v>
      </c>
      <c r="D11" s="2" t="inlineStr">
        <is>
          <t>Louis estimate, to validate with finance.</t>
        </is>
      </c>
    </row>
    <row r="13">
      <c r="A13" s="3" t="inlineStr">
        <is>
          <t>Bevmax co manufacturer</t>
        </is>
      </c>
    </row>
    <row r="14">
      <c r="A14" t="inlineStr">
        <is>
          <t>Lead time in weeks</t>
        </is>
      </c>
      <c r="B14" s="7" t="n">
        <v>6</v>
      </c>
      <c r="D14" s="2" t="inlineStr">
        <is>
          <t>Weeks from PO release to delivery. Louis estimate, to validate.</t>
        </is>
      </c>
    </row>
    <row r="15">
      <c r="A15" t="inlineStr">
        <is>
          <t>Weekly run capacity in cases</t>
        </is>
      </c>
      <c r="B15" s="7" t="n">
        <v>2500</v>
      </c>
      <c r="D15" s="2" t="inlineStr">
        <is>
          <t>Max cases per production week. Louis estimate, to validate.</t>
        </is>
      </c>
    </row>
    <row r="17">
      <c r="A17" s="3" t="inlineStr">
        <is>
          <t>Default velocity by tier and SKU, units per week at steady state</t>
        </is>
      </c>
    </row>
    <row r="18">
      <c r="A18" s="5" t="inlineStr">
        <is>
          <t>Tier</t>
        </is>
      </c>
      <c r="B18" s="5" t="inlineStr">
        <is>
          <t>Lime Lemon</t>
        </is>
      </c>
      <c r="C18" s="5" t="inlineStr">
        <is>
          <t>Pineapple Passion Fruit</t>
        </is>
      </c>
      <c r="D18" s="5" t="inlineStr">
        <is>
          <t>Raspberry</t>
        </is>
      </c>
      <c r="F18" s="2" t="inlineStr">
        <is>
          <t>Source: Louis estimate, to validate with category data.</t>
        </is>
      </c>
    </row>
    <row r="19">
      <c r="A19" t="inlineStr">
        <is>
          <t>A</t>
        </is>
      </c>
      <c r="B19" s="7" t="n">
        <v>16</v>
      </c>
      <c r="C19" s="7" t="n">
        <v>14</v>
      </c>
      <c r="D19" s="7" t="n">
        <v>12</v>
      </c>
    </row>
    <row r="20">
      <c r="A20" t="inlineStr">
        <is>
          <t>B</t>
        </is>
      </c>
      <c r="B20" s="7" t="n">
        <v>10</v>
      </c>
      <c r="C20" s="7" t="n">
        <v>8</v>
      </c>
      <c r="D20" s="7" t="n">
        <v>7</v>
      </c>
    </row>
    <row r="21">
      <c r="A21" t="inlineStr">
        <is>
          <t>C</t>
        </is>
      </c>
      <c r="B21" s="7" t="n">
        <v>5</v>
      </c>
      <c r="C21" s="7" t="n">
        <v>4</v>
      </c>
      <c r="D21" s="7" t="n">
        <v>3</v>
      </c>
    </row>
    <row r="23">
      <c r="A23" s="3" t="inlineStr">
        <is>
          <t>Ramp curve, percent of steady state</t>
        </is>
      </c>
    </row>
    <row r="24">
      <c r="A24" t="inlineStr">
        <is>
          <t>Week 1</t>
        </is>
      </c>
      <c r="B24" s="8" t="n">
        <v>0.4</v>
      </c>
      <c r="D24" s="2" t="inlineStr">
        <is>
          <t>Editable. Louis estimate based on launch heuristic.</t>
        </is>
      </c>
    </row>
    <row r="25">
      <c r="A25" t="inlineStr">
        <is>
          <t>Week 2</t>
        </is>
      </c>
      <c r="B25" s="8" t="n">
        <v>0.6</v>
      </c>
    </row>
    <row r="26">
      <c r="A26" t="inlineStr">
        <is>
          <t>Week 3</t>
        </is>
      </c>
      <c r="B26" s="8" t="n">
        <v>0.8</v>
      </c>
    </row>
    <row r="27">
      <c r="A27" t="inlineStr">
        <is>
          <t>Week 4 onward</t>
        </is>
      </c>
      <c r="B27" s="8" t="n">
        <v>1</v>
      </c>
    </row>
    <row r="29">
      <c r="A29" s="3" t="inlineStr">
        <is>
          <t>Online baseline, units per week at steady state</t>
        </is>
      </c>
    </row>
    <row r="30">
      <c r="A30" s="5" t="inlineStr">
        <is>
          <t>SKU</t>
        </is>
      </c>
      <c r="B30" s="5" t="inlineStr">
        <is>
          <t>Amazon.ca</t>
        </is>
      </c>
      <c r="C30" s="5" t="inlineStr">
        <is>
          <t>Shopify DTC</t>
        </is>
      </c>
      <c r="D30" s="5" t="inlineStr">
        <is>
          <t>Source note</t>
        </is>
      </c>
    </row>
    <row r="31">
      <c r="A31" t="inlineStr">
        <is>
          <t>Lime Lemon</t>
        </is>
      </c>
      <c r="B31" s="7" t="n">
        <v>160</v>
      </c>
      <c r="C31" s="7" t="n">
        <v>80</v>
      </c>
      <c r="D31" s="2" t="inlineStr">
        <is>
          <t>Placeholder. Louis estimate, to validate with channel managers.</t>
        </is>
      </c>
    </row>
    <row r="32">
      <c r="A32" t="inlineStr">
        <is>
          <t>Pineapple Passion Fruit</t>
        </is>
      </c>
      <c r="B32" s="7" t="n">
        <v>140</v>
      </c>
      <c r="C32" s="7" t="n">
        <v>70</v>
      </c>
      <c r="D32" s="2" t="inlineStr">
        <is>
          <t>Placeholder. Louis estimate, to validate with channel managers.</t>
        </is>
      </c>
    </row>
    <row r="33">
      <c r="A33" t="inlineStr">
        <is>
          <t>Raspberry</t>
        </is>
      </c>
      <c r="B33" s="7" t="n">
        <v>120</v>
      </c>
      <c r="C33" s="7" t="n">
        <v>60</v>
      </c>
      <c r="D33" s="2" t="inlineStr">
        <is>
          <t>Placeholder. Louis estimate, to validate with channel managers.</t>
        </is>
      </c>
    </row>
    <row r="35">
      <c r="A35" s="2" t="inlineStr">
        <is>
          <t>Online ramp uses the same ramp curve above, starting from week 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04"/>
  <sheetViews>
    <sheetView showGridLines="0" workbookViewId="0">
      <pane ySplit="4" topLeftCell="A5" activePane="bottomLeft" state="frozen"/>
      <selection pane="bottomLeft" activeCell="A1" sqref="A1"/>
    </sheetView>
  </sheetViews>
  <sheetFormatPr baseColWidth="8" defaultRowHeight="15"/>
  <cols>
    <col width="10" customWidth="1" min="1" max="1"/>
    <col width="26" customWidth="1" min="2" max="2"/>
    <col width="26" customWidth="1" min="3" max="3"/>
    <col width="18" customWidth="1" min="4" max="4"/>
    <col width="18" customWidth="1" min="5" max="5"/>
    <col width="8" customWidth="1" min="6" max="6"/>
    <col width="16" customWidth="1" min="7" max="7"/>
    <col width="28" customWidth="1" min="8" max="8"/>
    <col width="14" customWidth="1" min="9" max="9"/>
    <col width="14" customWidth="1" min="10" max="10"/>
  </cols>
  <sheetData>
    <row r="1">
      <c r="A1" s="1" t="inlineStr">
        <is>
          <t>Door master list</t>
        </is>
      </c>
    </row>
    <row r="2">
      <c r="A2" s="2" t="inlineStr">
        <is>
          <t>Replace placeholder rows with your authoritative door list. Launch Week is the first week a door receives shipment.</t>
        </is>
      </c>
    </row>
    <row r="4">
      <c r="A4" s="5" t="inlineStr">
        <is>
          <t>Door ID</t>
        </is>
      </c>
      <c r="B4" s="5" t="inlineStr">
        <is>
          <t>Banner</t>
        </is>
      </c>
      <c r="C4" s="5" t="inlineStr">
        <is>
          <t>Store Name</t>
        </is>
      </c>
      <c r="D4" s="5" t="inlineStr">
        <is>
          <t>City</t>
        </is>
      </c>
      <c r="E4" s="5" t="inlineStr">
        <is>
          <t>Region</t>
        </is>
      </c>
      <c r="F4" s="5" t="inlineStr">
        <is>
          <t>Tier</t>
        </is>
      </c>
      <c r="G4" s="5" t="inlineStr">
        <is>
          <t>Lime Lemon Auth</t>
        </is>
      </c>
      <c r="H4" s="5" t="inlineStr">
        <is>
          <t>Pineapple Passion Fruit Auth</t>
        </is>
      </c>
      <c r="I4" s="5" t="inlineStr">
        <is>
          <t>Raspberry Auth</t>
        </is>
      </c>
      <c r="J4" s="5" t="inlineStr">
        <is>
          <t>Launch Week</t>
        </is>
      </c>
    </row>
    <row r="5">
      <c r="A5" s="9" t="inlineStr">
        <is>
          <t>D001</t>
        </is>
      </c>
      <c r="B5" s="9" t="inlineStr">
        <is>
          <t>Choices Markets</t>
        </is>
      </c>
      <c r="C5" s="9" t="inlineStr">
        <is>
          <t>Choices Vancouver 01</t>
        </is>
      </c>
      <c r="D5" s="9" t="inlineStr">
        <is>
          <t>Vancouver</t>
        </is>
      </c>
      <c r="E5" s="9" t="inlineStr">
        <is>
          <t>Lower Mainland</t>
        </is>
      </c>
      <c r="F5" s="9" t="inlineStr">
        <is>
          <t>A</t>
        </is>
      </c>
      <c r="G5" s="9" t="inlineStr">
        <is>
          <t>Y</t>
        </is>
      </c>
      <c r="H5" s="9" t="inlineStr">
        <is>
          <t>Y</t>
        </is>
      </c>
      <c r="I5" s="9" t="inlineStr">
        <is>
          <t>Y</t>
        </is>
      </c>
      <c r="J5" s="9" t="n">
        <v>1</v>
      </c>
    </row>
    <row r="6">
      <c r="A6" s="9" t="inlineStr">
        <is>
          <t>D002</t>
        </is>
      </c>
      <c r="B6" s="9" t="inlineStr">
        <is>
          <t>Nature's Fare Markets</t>
        </is>
      </c>
      <c r="C6" s="9" t="inlineStr">
        <is>
          <t>NatFare Burnaby 02</t>
        </is>
      </c>
      <c r="D6" s="9" t="inlineStr">
        <is>
          <t>Burnaby</t>
        </is>
      </c>
      <c r="E6" s="9" t="inlineStr">
        <is>
          <t>Lower Mainland</t>
        </is>
      </c>
      <c r="F6" s="9" t="inlineStr">
        <is>
          <t>A</t>
        </is>
      </c>
      <c r="G6" s="9" t="inlineStr">
        <is>
          <t>Y</t>
        </is>
      </c>
      <c r="H6" s="9" t="inlineStr">
        <is>
          <t>Y</t>
        </is>
      </c>
      <c r="I6" s="9" t="inlineStr">
        <is>
          <t>Y</t>
        </is>
      </c>
      <c r="J6" s="9" t="n">
        <v>1</v>
      </c>
    </row>
    <row r="7">
      <c r="A7" s="9" t="inlineStr">
        <is>
          <t>D003</t>
        </is>
      </c>
      <c r="B7" s="9" t="inlineStr">
        <is>
          <t>Whole Foods Market</t>
        </is>
      </c>
      <c r="C7" s="9" t="inlineStr">
        <is>
          <t>WFM Richmond 03</t>
        </is>
      </c>
      <c r="D7" s="9" t="inlineStr">
        <is>
          <t>Richmond</t>
        </is>
      </c>
      <c r="E7" s="9" t="inlineStr">
        <is>
          <t>Lower Mainland</t>
        </is>
      </c>
      <c r="F7" s="9" t="inlineStr">
        <is>
          <t>A</t>
        </is>
      </c>
      <c r="G7" s="9" t="inlineStr">
        <is>
          <t>Y</t>
        </is>
      </c>
      <c r="H7" s="9" t="inlineStr">
        <is>
          <t>Y</t>
        </is>
      </c>
      <c r="I7" s="9" t="inlineStr">
        <is>
          <t>Y</t>
        </is>
      </c>
      <c r="J7" s="9" t="n">
        <v>1</v>
      </c>
    </row>
    <row r="8">
      <c r="A8" s="9" t="inlineStr">
        <is>
          <t>D004</t>
        </is>
      </c>
      <c r="B8" s="9" t="inlineStr">
        <is>
          <t>Pomme Natural Market</t>
        </is>
      </c>
      <c r="C8" s="9" t="inlineStr">
        <is>
          <t>Pomme Surrey 04</t>
        </is>
      </c>
      <c r="D8" s="9" t="inlineStr">
        <is>
          <t>Surrey</t>
        </is>
      </c>
      <c r="E8" s="9" t="inlineStr">
        <is>
          <t>Lower Mainland</t>
        </is>
      </c>
      <c r="F8" s="9" t="inlineStr">
        <is>
          <t>A</t>
        </is>
      </c>
      <c r="G8" s="9" t="inlineStr">
        <is>
          <t>Y</t>
        </is>
      </c>
      <c r="H8" s="9" t="inlineStr">
        <is>
          <t>Y</t>
        </is>
      </c>
      <c r="I8" s="9" t="inlineStr">
        <is>
          <t>Y</t>
        </is>
      </c>
      <c r="J8" s="9" t="n">
        <v>1</v>
      </c>
    </row>
    <row r="9">
      <c r="A9" s="9" t="inlineStr">
        <is>
          <t>D005</t>
        </is>
      </c>
      <c r="B9" s="9" t="inlineStr">
        <is>
          <t>IGA Marketplace</t>
        </is>
      </c>
      <c r="C9" s="9" t="inlineStr">
        <is>
          <t>IGA Coquitlam 05</t>
        </is>
      </c>
      <c r="D9" s="9" t="inlineStr">
        <is>
          <t>Coquitlam</t>
        </is>
      </c>
      <c r="E9" s="9" t="inlineStr">
        <is>
          <t>Lower Mainland</t>
        </is>
      </c>
      <c r="F9" s="9" t="inlineStr">
        <is>
          <t>A</t>
        </is>
      </c>
      <c r="G9" s="9" t="inlineStr">
        <is>
          <t>Y</t>
        </is>
      </c>
      <c r="H9" s="9" t="inlineStr">
        <is>
          <t>Y</t>
        </is>
      </c>
      <c r="I9" s="9" t="inlineStr">
        <is>
          <t>Y</t>
        </is>
      </c>
      <c r="J9" s="9" t="n">
        <v>1</v>
      </c>
    </row>
    <row r="10">
      <c r="A10" s="9" t="inlineStr">
        <is>
          <t>D006</t>
        </is>
      </c>
      <c r="B10" s="9" t="inlineStr">
        <is>
          <t>Save On Foods</t>
        </is>
      </c>
      <c r="C10" s="9" t="inlineStr">
        <is>
          <t>SOF North Vancouver 06</t>
        </is>
      </c>
      <c r="D10" s="9" t="inlineStr">
        <is>
          <t>North Vancouver</t>
        </is>
      </c>
      <c r="E10" s="9" t="inlineStr">
        <is>
          <t>Lower Mainland</t>
        </is>
      </c>
      <c r="F10" s="9" t="inlineStr">
        <is>
          <t>A</t>
        </is>
      </c>
      <c r="G10" s="9" t="inlineStr">
        <is>
          <t>Y</t>
        </is>
      </c>
      <c r="H10" s="9" t="inlineStr">
        <is>
          <t>Y</t>
        </is>
      </c>
      <c r="I10" s="9" t="inlineStr">
        <is>
          <t>Y</t>
        </is>
      </c>
      <c r="J10" s="9" t="n">
        <v>1</v>
      </c>
    </row>
    <row r="11">
      <c r="A11" s="9" t="inlineStr">
        <is>
          <t>D007</t>
        </is>
      </c>
      <c r="B11" s="9" t="inlineStr">
        <is>
          <t>Urban Fare</t>
        </is>
      </c>
      <c r="C11" s="9" t="inlineStr">
        <is>
          <t>Urban West Vancouver 07</t>
        </is>
      </c>
      <c r="D11" s="9" t="inlineStr">
        <is>
          <t>West Vancouver</t>
        </is>
      </c>
      <c r="E11" s="9" t="inlineStr">
        <is>
          <t>Lower Mainland</t>
        </is>
      </c>
      <c r="F11" s="9" t="inlineStr">
        <is>
          <t>A</t>
        </is>
      </c>
      <c r="G11" s="9" t="inlineStr">
        <is>
          <t>Y</t>
        </is>
      </c>
      <c r="H11" s="9" t="inlineStr">
        <is>
          <t>Y</t>
        </is>
      </c>
      <c r="I11" s="9" t="inlineStr">
        <is>
          <t>Y</t>
        </is>
      </c>
      <c r="J11" s="9" t="n">
        <v>1</v>
      </c>
    </row>
    <row r="12">
      <c r="A12" s="9" t="inlineStr">
        <is>
          <t>D008</t>
        </is>
      </c>
      <c r="B12" s="9" t="inlineStr">
        <is>
          <t>Independent Grocer</t>
        </is>
      </c>
      <c r="C12" s="9" t="inlineStr">
        <is>
          <t>Indie Langley 08</t>
        </is>
      </c>
      <c r="D12" s="9" t="inlineStr">
        <is>
          <t>Langley</t>
        </is>
      </c>
      <c r="E12" s="9" t="inlineStr">
        <is>
          <t>Lower Mainland</t>
        </is>
      </c>
      <c r="F12" s="9" t="inlineStr">
        <is>
          <t>A</t>
        </is>
      </c>
      <c r="G12" s="9" t="inlineStr">
        <is>
          <t>Y</t>
        </is>
      </c>
      <c r="H12" s="9" t="inlineStr">
        <is>
          <t>Y</t>
        </is>
      </c>
      <c r="I12" s="9" t="inlineStr">
        <is>
          <t>Y</t>
        </is>
      </c>
      <c r="J12" s="9" t="n">
        <v>1</v>
      </c>
    </row>
    <row r="13">
      <c r="A13" s="9" t="inlineStr">
        <is>
          <t>D009</t>
        </is>
      </c>
      <c r="B13" s="9" t="inlineStr">
        <is>
          <t>Stong's Market</t>
        </is>
      </c>
      <c r="C13" s="9" t="inlineStr">
        <is>
          <t>Stongs New Westminster 09</t>
        </is>
      </c>
      <c r="D13" s="9" t="inlineStr">
        <is>
          <t>New Westminster</t>
        </is>
      </c>
      <c r="E13" s="9" t="inlineStr">
        <is>
          <t>Lower Mainland</t>
        </is>
      </c>
      <c r="F13" s="9" t="inlineStr">
        <is>
          <t>A</t>
        </is>
      </c>
      <c r="G13" s="9" t="inlineStr">
        <is>
          <t>Y</t>
        </is>
      </c>
      <c r="H13" s="9" t="inlineStr">
        <is>
          <t>Y</t>
        </is>
      </c>
      <c r="I13" s="9" t="inlineStr">
        <is>
          <t>Y</t>
        </is>
      </c>
      <c r="J13" s="9" t="n">
        <v>1</v>
      </c>
    </row>
    <row r="14">
      <c r="A14" s="9" t="inlineStr">
        <is>
          <t>D010</t>
        </is>
      </c>
      <c r="B14" s="9" t="inlineStr">
        <is>
          <t>Fresh St Market</t>
        </is>
      </c>
      <c r="C14" s="9" t="inlineStr">
        <is>
          <t>FreshSt Vancouver 01</t>
        </is>
      </c>
      <c r="D14" s="9" t="inlineStr">
        <is>
          <t>Vancouver</t>
        </is>
      </c>
      <c r="E14" s="9" t="inlineStr">
        <is>
          <t>Lower Mainland</t>
        </is>
      </c>
      <c r="F14" s="9" t="inlineStr">
        <is>
          <t>A</t>
        </is>
      </c>
      <c r="G14" s="9" t="inlineStr">
        <is>
          <t>Y</t>
        </is>
      </c>
      <c r="H14" s="9" t="inlineStr">
        <is>
          <t>Y</t>
        </is>
      </c>
      <c r="I14" s="9" t="inlineStr">
        <is>
          <t>Y</t>
        </is>
      </c>
      <c r="J14" s="9" t="n">
        <v>1</v>
      </c>
    </row>
    <row r="15">
      <c r="A15" s="9" t="inlineStr">
        <is>
          <t>D011</t>
        </is>
      </c>
      <c r="B15" s="9" t="inlineStr">
        <is>
          <t>Choices Markets</t>
        </is>
      </c>
      <c r="C15" s="9" t="inlineStr">
        <is>
          <t>Choices Burnaby 02</t>
        </is>
      </c>
      <c r="D15" s="9" t="inlineStr">
        <is>
          <t>Burnaby</t>
        </is>
      </c>
      <c r="E15" s="9" t="inlineStr">
        <is>
          <t>Lower Mainland</t>
        </is>
      </c>
      <c r="F15" s="9" t="inlineStr">
        <is>
          <t>A</t>
        </is>
      </c>
      <c r="G15" s="9" t="inlineStr">
        <is>
          <t>Y</t>
        </is>
      </c>
      <c r="H15" s="9" t="inlineStr">
        <is>
          <t>Y</t>
        </is>
      </c>
      <c r="I15" s="9" t="inlineStr">
        <is>
          <t>Y</t>
        </is>
      </c>
      <c r="J15" s="9" t="n">
        <v>1</v>
      </c>
    </row>
    <row r="16">
      <c r="A16" s="9" t="inlineStr">
        <is>
          <t>D012</t>
        </is>
      </c>
      <c r="B16" s="9" t="inlineStr">
        <is>
          <t>Nature's Fare Markets</t>
        </is>
      </c>
      <c r="C16" s="9" t="inlineStr">
        <is>
          <t>NatFare Richmond 03</t>
        </is>
      </c>
      <c r="D16" s="9" t="inlineStr">
        <is>
          <t>Richmond</t>
        </is>
      </c>
      <c r="E16" s="9" t="inlineStr">
        <is>
          <t>Lower Mainland</t>
        </is>
      </c>
      <c r="F16" s="9" t="inlineStr">
        <is>
          <t>A</t>
        </is>
      </c>
      <c r="G16" s="9" t="inlineStr">
        <is>
          <t>Y</t>
        </is>
      </c>
      <c r="H16" s="9" t="inlineStr">
        <is>
          <t>Y</t>
        </is>
      </c>
      <c r="I16" s="9" t="inlineStr">
        <is>
          <t>Y</t>
        </is>
      </c>
      <c r="J16" s="9" t="n">
        <v>1</v>
      </c>
    </row>
    <row r="17">
      <c r="A17" s="9" t="inlineStr">
        <is>
          <t>D013</t>
        </is>
      </c>
      <c r="B17" s="9" t="inlineStr">
        <is>
          <t>Whole Foods Market</t>
        </is>
      </c>
      <c r="C17" s="9" t="inlineStr">
        <is>
          <t>WFM Surrey 04</t>
        </is>
      </c>
      <c r="D17" s="9" t="inlineStr">
        <is>
          <t>Surrey</t>
        </is>
      </c>
      <c r="E17" s="9" t="inlineStr">
        <is>
          <t>Lower Mainland</t>
        </is>
      </c>
      <c r="F17" s="9" t="inlineStr">
        <is>
          <t>A</t>
        </is>
      </c>
      <c r="G17" s="9" t="inlineStr">
        <is>
          <t>Y</t>
        </is>
      </c>
      <c r="H17" s="9" t="inlineStr">
        <is>
          <t>Y</t>
        </is>
      </c>
      <c r="I17" s="9" t="inlineStr">
        <is>
          <t>Y</t>
        </is>
      </c>
      <c r="J17" s="9" t="n">
        <v>1</v>
      </c>
    </row>
    <row r="18">
      <c r="A18" s="9" t="inlineStr">
        <is>
          <t>D014</t>
        </is>
      </c>
      <c r="B18" s="9" t="inlineStr">
        <is>
          <t>Pomme Natural Market</t>
        </is>
      </c>
      <c r="C18" s="9" t="inlineStr">
        <is>
          <t>Pomme Coquitlam 05</t>
        </is>
      </c>
      <c r="D18" s="9" t="inlineStr">
        <is>
          <t>Coquitlam</t>
        </is>
      </c>
      <c r="E18" s="9" t="inlineStr">
        <is>
          <t>Lower Mainland</t>
        </is>
      </c>
      <c r="F18" s="9" t="inlineStr">
        <is>
          <t>A</t>
        </is>
      </c>
      <c r="G18" s="9" t="inlineStr">
        <is>
          <t>Y</t>
        </is>
      </c>
      <c r="H18" s="9" t="inlineStr">
        <is>
          <t>Y</t>
        </is>
      </c>
      <c r="I18" s="9" t="inlineStr">
        <is>
          <t>Y</t>
        </is>
      </c>
      <c r="J18" s="9" t="n">
        <v>1</v>
      </c>
    </row>
    <row r="19">
      <c r="A19" s="9" t="inlineStr">
        <is>
          <t>D015</t>
        </is>
      </c>
      <c r="B19" s="9" t="inlineStr">
        <is>
          <t>IGA Marketplace</t>
        </is>
      </c>
      <c r="C19" s="9" t="inlineStr">
        <is>
          <t>IGA North Vancouver 06</t>
        </is>
      </c>
      <c r="D19" s="9" t="inlineStr">
        <is>
          <t>North Vancouver</t>
        </is>
      </c>
      <c r="E19" s="9" t="inlineStr">
        <is>
          <t>Lower Mainland</t>
        </is>
      </c>
      <c r="F19" s="9" t="inlineStr">
        <is>
          <t>A</t>
        </is>
      </c>
      <c r="G19" s="9" t="inlineStr">
        <is>
          <t>Y</t>
        </is>
      </c>
      <c r="H19" s="9" t="inlineStr">
        <is>
          <t>Y</t>
        </is>
      </c>
      <c r="I19" s="9" t="inlineStr">
        <is>
          <t>Y</t>
        </is>
      </c>
      <c r="J19" s="9" t="n">
        <v>1</v>
      </c>
    </row>
    <row r="20">
      <c r="A20" s="9" t="inlineStr">
        <is>
          <t>D016</t>
        </is>
      </c>
      <c r="B20" s="9" t="inlineStr">
        <is>
          <t>Save On Foods</t>
        </is>
      </c>
      <c r="C20" s="9" t="inlineStr">
        <is>
          <t>SOF West Vancouver 07</t>
        </is>
      </c>
      <c r="D20" s="9" t="inlineStr">
        <is>
          <t>West Vancouver</t>
        </is>
      </c>
      <c r="E20" s="9" t="inlineStr">
        <is>
          <t>Lower Mainland</t>
        </is>
      </c>
      <c r="F20" s="9" t="inlineStr">
        <is>
          <t>A</t>
        </is>
      </c>
      <c r="G20" s="9" t="inlineStr">
        <is>
          <t>Y</t>
        </is>
      </c>
      <c r="H20" s="9" t="inlineStr">
        <is>
          <t>Y</t>
        </is>
      </c>
      <c r="I20" s="9" t="inlineStr">
        <is>
          <t>Y</t>
        </is>
      </c>
      <c r="J20" s="9" t="n">
        <v>1</v>
      </c>
    </row>
    <row r="21">
      <c r="A21" s="9" t="inlineStr">
        <is>
          <t>D017</t>
        </is>
      </c>
      <c r="B21" s="9" t="inlineStr">
        <is>
          <t>Urban Fare</t>
        </is>
      </c>
      <c r="C21" s="9" t="inlineStr">
        <is>
          <t>Urban Langley 08</t>
        </is>
      </c>
      <c r="D21" s="9" t="inlineStr">
        <is>
          <t>Langley</t>
        </is>
      </c>
      <c r="E21" s="9" t="inlineStr">
        <is>
          <t>Lower Mainland</t>
        </is>
      </c>
      <c r="F21" s="9" t="inlineStr">
        <is>
          <t>A</t>
        </is>
      </c>
      <c r="G21" s="9" t="inlineStr">
        <is>
          <t>Y</t>
        </is>
      </c>
      <c r="H21" s="9" t="inlineStr">
        <is>
          <t>Y</t>
        </is>
      </c>
      <c r="I21" s="9" t="inlineStr">
        <is>
          <t>Y</t>
        </is>
      </c>
      <c r="J21" s="9" t="n">
        <v>1</v>
      </c>
    </row>
    <row r="22">
      <c r="A22" s="9" t="inlineStr">
        <is>
          <t>D018</t>
        </is>
      </c>
      <c r="B22" s="9" t="inlineStr">
        <is>
          <t>Independent Grocer</t>
        </is>
      </c>
      <c r="C22" s="9" t="inlineStr">
        <is>
          <t>Indie New Westminster 09</t>
        </is>
      </c>
      <c r="D22" s="9" t="inlineStr">
        <is>
          <t>New Westminster</t>
        </is>
      </c>
      <c r="E22" s="9" t="inlineStr">
        <is>
          <t>Lower Mainland</t>
        </is>
      </c>
      <c r="F22" s="9" t="inlineStr">
        <is>
          <t>A</t>
        </is>
      </c>
      <c r="G22" s="9" t="inlineStr">
        <is>
          <t>Y</t>
        </is>
      </c>
      <c r="H22" s="9" t="inlineStr">
        <is>
          <t>Y</t>
        </is>
      </c>
      <c r="I22" s="9" t="inlineStr">
        <is>
          <t>Y</t>
        </is>
      </c>
      <c r="J22" s="9" t="n">
        <v>1</v>
      </c>
    </row>
    <row r="23">
      <c r="A23" s="9" t="inlineStr">
        <is>
          <t>D019</t>
        </is>
      </c>
      <c r="B23" s="9" t="inlineStr">
        <is>
          <t>Stong's Market</t>
        </is>
      </c>
      <c r="C23" s="9" t="inlineStr">
        <is>
          <t>Stongs Vancouver 01</t>
        </is>
      </c>
      <c r="D23" s="9" t="inlineStr">
        <is>
          <t>Vancouver</t>
        </is>
      </c>
      <c r="E23" s="9" t="inlineStr">
        <is>
          <t>Lower Mainland</t>
        </is>
      </c>
      <c r="F23" s="9" t="inlineStr">
        <is>
          <t>A</t>
        </is>
      </c>
      <c r="G23" s="9" t="inlineStr">
        <is>
          <t>Y</t>
        </is>
      </c>
      <c r="H23" s="9" t="inlineStr">
        <is>
          <t>Y</t>
        </is>
      </c>
      <c r="I23" s="9" t="inlineStr">
        <is>
          <t>Y</t>
        </is>
      </c>
      <c r="J23" s="9" t="n">
        <v>1</v>
      </c>
    </row>
    <row r="24">
      <c r="A24" s="9" t="inlineStr">
        <is>
          <t>D020</t>
        </is>
      </c>
      <c r="B24" s="9" t="inlineStr">
        <is>
          <t>Fresh St Market</t>
        </is>
      </c>
      <c r="C24" s="9" t="inlineStr">
        <is>
          <t>FreshSt Burnaby 02</t>
        </is>
      </c>
      <c r="D24" s="9" t="inlineStr">
        <is>
          <t>Burnaby</t>
        </is>
      </c>
      <c r="E24" s="9" t="inlineStr">
        <is>
          <t>Lower Mainland</t>
        </is>
      </c>
      <c r="F24" s="9" t="inlineStr">
        <is>
          <t>A</t>
        </is>
      </c>
      <c r="G24" s="9" t="inlineStr">
        <is>
          <t>Y</t>
        </is>
      </c>
      <c r="H24" s="9" t="inlineStr">
        <is>
          <t>Y</t>
        </is>
      </c>
      <c r="I24" s="9" t="inlineStr">
        <is>
          <t>Y</t>
        </is>
      </c>
      <c r="J24" s="9" t="n">
        <v>1</v>
      </c>
    </row>
    <row r="25">
      <c r="A25" s="9" t="inlineStr">
        <is>
          <t>D021</t>
        </is>
      </c>
      <c r="B25" s="9" t="inlineStr">
        <is>
          <t>Choices Markets</t>
        </is>
      </c>
      <c r="C25" s="9" t="inlineStr">
        <is>
          <t>Choices Richmond 03</t>
        </is>
      </c>
      <c r="D25" s="9" t="inlineStr">
        <is>
          <t>Richmond</t>
        </is>
      </c>
      <c r="E25" s="9" t="inlineStr">
        <is>
          <t>Lower Mainland</t>
        </is>
      </c>
      <c r="F25" s="9" t="inlineStr">
        <is>
          <t>A</t>
        </is>
      </c>
      <c r="G25" s="9" t="inlineStr">
        <is>
          <t>Y</t>
        </is>
      </c>
      <c r="H25" s="9" t="inlineStr">
        <is>
          <t>Y</t>
        </is>
      </c>
      <c r="I25" s="9" t="inlineStr">
        <is>
          <t>Y</t>
        </is>
      </c>
      <c r="J25" s="9" t="n">
        <v>1</v>
      </c>
    </row>
    <row r="26">
      <c r="A26" s="9" t="inlineStr">
        <is>
          <t>D022</t>
        </is>
      </c>
      <c r="B26" s="9" t="inlineStr">
        <is>
          <t>Nature's Fare Markets</t>
        </is>
      </c>
      <c r="C26" s="9" t="inlineStr">
        <is>
          <t>NatFare Surrey 04</t>
        </is>
      </c>
      <c r="D26" s="9" t="inlineStr">
        <is>
          <t>Surrey</t>
        </is>
      </c>
      <c r="E26" s="9" t="inlineStr">
        <is>
          <t>Lower Mainland</t>
        </is>
      </c>
      <c r="F26" s="9" t="inlineStr">
        <is>
          <t>A</t>
        </is>
      </c>
      <c r="G26" s="9" t="inlineStr">
        <is>
          <t>Y</t>
        </is>
      </c>
      <c r="H26" s="9" t="inlineStr">
        <is>
          <t>Y</t>
        </is>
      </c>
      <c r="I26" s="9" t="inlineStr">
        <is>
          <t>Y</t>
        </is>
      </c>
      <c r="J26" s="9" t="n">
        <v>1</v>
      </c>
    </row>
    <row r="27">
      <c r="A27" s="9" t="inlineStr">
        <is>
          <t>D023</t>
        </is>
      </c>
      <c r="B27" s="9" t="inlineStr">
        <is>
          <t>Whole Foods Market</t>
        </is>
      </c>
      <c r="C27" s="9" t="inlineStr">
        <is>
          <t>WFM Coquitlam 05</t>
        </is>
      </c>
      <c r="D27" s="9" t="inlineStr">
        <is>
          <t>Coquitlam</t>
        </is>
      </c>
      <c r="E27" s="9" t="inlineStr">
        <is>
          <t>Lower Mainland</t>
        </is>
      </c>
      <c r="F27" s="9" t="inlineStr">
        <is>
          <t>B</t>
        </is>
      </c>
      <c r="G27" s="9" t="inlineStr">
        <is>
          <t>Y</t>
        </is>
      </c>
      <c r="H27" s="9" t="inlineStr">
        <is>
          <t>Y</t>
        </is>
      </c>
      <c r="I27" s="9" t="inlineStr">
        <is>
          <t>N</t>
        </is>
      </c>
      <c r="J27" s="9" t="n">
        <v>2</v>
      </c>
    </row>
    <row r="28">
      <c r="A28" s="9" t="inlineStr">
        <is>
          <t>D024</t>
        </is>
      </c>
      <c r="B28" s="9" t="inlineStr">
        <is>
          <t>Pomme Natural Market</t>
        </is>
      </c>
      <c r="C28" s="9" t="inlineStr">
        <is>
          <t>Pomme North Vancouver 06</t>
        </is>
      </c>
      <c r="D28" s="9" t="inlineStr">
        <is>
          <t>North Vancouver</t>
        </is>
      </c>
      <c r="E28" s="9" t="inlineStr">
        <is>
          <t>Lower Mainland</t>
        </is>
      </c>
      <c r="F28" s="9" t="inlineStr">
        <is>
          <t>B</t>
        </is>
      </c>
      <c r="G28" s="9" t="inlineStr">
        <is>
          <t>Y</t>
        </is>
      </c>
      <c r="H28" s="9" t="inlineStr">
        <is>
          <t>Y</t>
        </is>
      </c>
      <c r="I28" s="9" t="inlineStr">
        <is>
          <t>N</t>
        </is>
      </c>
      <c r="J28" s="9" t="n">
        <v>3</v>
      </c>
    </row>
    <row r="29">
      <c r="A29" s="9" t="inlineStr">
        <is>
          <t>D025</t>
        </is>
      </c>
      <c r="B29" s="9" t="inlineStr">
        <is>
          <t>IGA Marketplace</t>
        </is>
      </c>
      <c r="C29" s="9" t="inlineStr">
        <is>
          <t>IGA West Vancouver 07</t>
        </is>
      </c>
      <c r="D29" s="9" t="inlineStr">
        <is>
          <t>West Vancouver</t>
        </is>
      </c>
      <c r="E29" s="9" t="inlineStr">
        <is>
          <t>Lower Mainland</t>
        </is>
      </c>
      <c r="F29" s="9" t="inlineStr">
        <is>
          <t>B</t>
        </is>
      </c>
      <c r="G29" s="9" t="inlineStr">
        <is>
          <t>Y</t>
        </is>
      </c>
      <c r="H29" s="9" t="inlineStr">
        <is>
          <t>Y</t>
        </is>
      </c>
      <c r="I29" s="9" t="inlineStr">
        <is>
          <t>Y</t>
        </is>
      </c>
      <c r="J29" s="9" t="n">
        <v>1</v>
      </c>
    </row>
    <row r="30">
      <c r="A30" s="9" t="inlineStr">
        <is>
          <t>D026</t>
        </is>
      </c>
      <c r="B30" s="9" t="inlineStr">
        <is>
          <t>Save On Foods</t>
        </is>
      </c>
      <c r="C30" s="9" t="inlineStr">
        <is>
          <t>SOF Langley 08</t>
        </is>
      </c>
      <c r="D30" s="9" t="inlineStr">
        <is>
          <t>Langley</t>
        </is>
      </c>
      <c r="E30" s="9" t="inlineStr">
        <is>
          <t>Lower Mainland</t>
        </is>
      </c>
      <c r="F30" s="9" t="inlineStr">
        <is>
          <t>B</t>
        </is>
      </c>
      <c r="G30" s="9" t="inlineStr">
        <is>
          <t>Y</t>
        </is>
      </c>
      <c r="H30" s="9" t="inlineStr">
        <is>
          <t>Y</t>
        </is>
      </c>
      <c r="I30" s="9" t="inlineStr">
        <is>
          <t>N</t>
        </is>
      </c>
      <c r="J30" s="9" t="n">
        <v>2</v>
      </c>
    </row>
    <row r="31">
      <c r="A31" s="9" t="inlineStr">
        <is>
          <t>D027</t>
        </is>
      </c>
      <c r="B31" s="9" t="inlineStr">
        <is>
          <t>Urban Fare</t>
        </is>
      </c>
      <c r="C31" s="9" t="inlineStr">
        <is>
          <t>Urban New Westminster 09</t>
        </is>
      </c>
      <c r="D31" s="9" t="inlineStr">
        <is>
          <t>New Westminster</t>
        </is>
      </c>
      <c r="E31" s="9" t="inlineStr">
        <is>
          <t>Lower Mainland</t>
        </is>
      </c>
      <c r="F31" s="9" t="inlineStr">
        <is>
          <t>B</t>
        </is>
      </c>
      <c r="G31" s="9" t="inlineStr">
        <is>
          <t>Y</t>
        </is>
      </c>
      <c r="H31" s="9" t="inlineStr">
        <is>
          <t>Y</t>
        </is>
      </c>
      <c r="I31" s="9" t="inlineStr">
        <is>
          <t>N</t>
        </is>
      </c>
      <c r="J31" s="9" t="n">
        <v>3</v>
      </c>
    </row>
    <row r="32">
      <c r="A32" s="9" t="inlineStr">
        <is>
          <t>D028</t>
        </is>
      </c>
      <c r="B32" s="9" t="inlineStr">
        <is>
          <t>Independent Grocer</t>
        </is>
      </c>
      <c r="C32" s="9" t="inlineStr">
        <is>
          <t>Indie Vancouver 01</t>
        </is>
      </c>
      <c r="D32" s="9" t="inlineStr">
        <is>
          <t>Vancouver</t>
        </is>
      </c>
      <c r="E32" s="9" t="inlineStr">
        <is>
          <t>Lower Mainland</t>
        </is>
      </c>
      <c r="F32" s="9" t="inlineStr">
        <is>
          <t>B</t>
        </is>
      </c>
      <c r="G32" s="9" t="inlineStr">
        <is>
          <t>Y</t>
        </is>
      </c>
      <c r="H32" s="9" t="inlineStr">
        <is>
          <t>Y</t>
        </is>
      </c>
      <c r="I32" s="9" t="inlineStr">
        <is>
          <t>Y</t>
        </is>
      </c>
      <c r="J32" s="9" t="n">
        <v>1</v>
      </c>
    </row>
    <row r="33">
      <c r="A33" s="9" t="inlineStr">
        <is>
          <t>D029</t>
        </is>
      </c>
      <c r="B33" s="9" t="inlineStr">
        <is>
          <t>Stong's Market</t>
        </is>
      </c>
      <c r="C33" s="9" t="inlineStr">
        <is>
          <t>Stongs Burnaby 02</t>
        </is>
      </c>
      <c r="D33" s="9" t="inlineStr">
        <is>
          <t>Burnaby</t>
        </is>
      </c>
      <c r="E33" s="9" t="inlineStr">
        <is>
          <t>Lower Mainland</t>
        </is>
      </c>
      <c r="F33" s="9" t="inlineStr">
        <is>
          <t>B</t>
        </is>
      </c>
      <c r="G33" s="9" t="inlineStr">
        <is>
          <t>Y</t>
        </is>
      </c>
      <c r="H33" s="9" t="inlineStr">
        <is>
          <t>Y</t>
        </is>
      </c>
      <c r="I33" s="9" t="inlineStr">
        <is>
          <t>N</t>
        </is>
      </c>
      <c r="J33" s="9" t="n">
        <v>2</v>
      </c>
    </row>
    <row r="34">
      <c r="A34" s="9" t="inlineStr">
        <is>
          <t>D030</t>
        </is>
      </c>
      <c r="B34" s="9" t="inlineStr">
        <is>
          <t>Fresh St Market</t>
        </is>
      </c>
      <c r="C34" s="9" t="inlineStr">
        <is>
          <t>FreshSt Richmond 03</t>
        </is>
      </c>
      <c r="D34" s="9" t="inlineStr">
        <is>
          <t>Richmond</t>
        </is>
      </c>
      <c r="E34" s="9" t="inlineStr">
        <is>
          <t>Lower Mainland</t>
        </is>
      </c>
      <c r="F34" s="9" t="inlineStr">
        <is>
          <t>B</t>
        </is>
      </c>
      <c r="G34" s="9" t="inlineStr">
        <is>
          <t>Y</t>
        </is>
      </c>
      <c r="H34" s="9" t="inlineStr">
        <is>
          <t>Y</t>
        </is>
      </c>
      <c r="I34" s="9" t="inlineStr">
        <is>
          <t>N</t>
        </is>
      </c>
      <c r="J34" s="9" t="n">
        <v>3</v>
      </c>
    </row>
    <row r="35">
      <c r="A35" s="9" t="inlineStr">
        <is>
          <t>D031</t>
        </is>
      </c>
      <c r="B35" s="9" t="inlineStr">
        <is>
          <t>Choices Markets</t>
        </is>
      </c>
      <c r="C35" s="9" t="inlineStr">
        <is>
          <t>Choices Surrey 04</t>
        </is>
      </c>
      <c r="D35" s="9" t="inlineStr">
        <is>
          <t>Surrey</t>
        </is>
      </c>
      <c r="E35" s="9" t="inlineStr">
        <is>
          <t>Lower Mainland</t>
        </is>
      </c>
      <c r="F35" s="9" t="inlineStr">
        <is>
          <t>B</t>
        </is>
      </c>
      <c r="G35" s="9" t="inlineStr">
        <is>
          <t>Y</t>
        </is>
      </c>
      <c r="H35" s="9" t="inlineStr">
        <is>
          <t>Y</t>
        </is>
      </c>
      <c r="I35" s="9" t="inlineStr">
        <is>
          <t>Y</t>
        </is>
      </c>
      <c r="J35" s="9" t="n">
        <v>1</v>
      </c>
    </row>
    <row r="36">
      <c r="A36" s="9" t="inlineStr">
        <is>
          <t>D032</t>
        </is>
      </c>
      <c r="B36" s="9" t="inlineStr">
        <is>
          <t>Nature's Fare Markets</t>
        </is>
      </c>
      <c r="C36" s="9" t="inlineStr">
        <is>
          <t>NatFare Coquitlam 05</t>
        </is>
      </c>
      <c r="D36" s="9" t="inlineStr">
        <is>
          <t>Coquitlam</t>
        </is>
      </c>
      <c r="E36" s="9" t="inlineStr">
        <is>
          <t>Lower Mainland</t>
        </is>
      </c>
      <c r="F36" s="9" t="inlineStr">
        <is>
          <t>B</t>
        </is>
      </c>
      <c r="G36" s="9" t="inlineStr">
        <is>
          <t>Y</t>
        </is>
      </c>
      <c r="H36" s="9" t="inlineStr">
        <is>
          <t>Y</t>
        </is>
      </c>
      <c r="I36" s="9" t="inlineStr">
        <is>
          <t>N</t>
        </is>
      </c>
      <c r="J36" s="9" t="n">
        <v>2</v>
      </c>
    </row>
    <row r="37">
      <c r="A37" s="9" t="inlineStr">
        <is>
          <t>D033</t>
        </is>
      </c>
      <c r="B37" s="9" t="inlineStr">
        <is>
          <t>Whole Foods Market</t>
        </is>
      </c>
      <c r="C37" s="9" t="inlineStr">
        <is>
          <t>WFM North Vancouver 06</t>
        </is>
      </c>
      <c r="D37" s="9" t="inlineStr">
        <is>
          <t>North Vancouver</t>
        </is>
      </c>
      <c r="E37" s="9" t="inlineStr">
        <is>
          <t>Lower Mainland</t>
        </is>
      </c>
      <c r="F37" s="9" t="inlineStr">
        <is>
          <t>B</t>
        </is>
      </c>
      <c r="G37" s="9" t="inlineStr">
        <is>
          <t>Y</t>
        </is>
      </c>
      <c r="H37" s="9" t="inlineStr">
        <is>
          <t>Y</t>
        </is>
      </c>
      <c r="I37" s="9" t="inlineStr">
        <is>
          <t>N</t>
        </is>
      </c>
      <c r="J37" s="9" t="n">
        <v>3</v>
      </c>
    </row>
    <row r="38">
      <c r="A38" s="9" t="inlineStr">
        <is>
          <t>D034</t>
        </is>
      </c>
      <c r="B38" s="9" t="inlineStr">
        <is>
          <t>Pomme Natural Market</t>
        </is>
      </c>
      <c r="C38" s="9" t="inlineStr">
        <is>
          <t>Pomme West Vancouver 07</t>
        </is>
      </c>
      <c r="D38" s="9" t="inlineStr">
        <is>
          <t>West Vancouver</t>
        </is>
      </c>
      <c r="E38" s="9" t="inlineStr">
        <is>
          <t>Lower Mainland</t>
        </is>
      </c>
      <c r="F38" s="9" t="inlineStr">
        <is>
          <t>B</t>
        </is>
      </c>
      <c r="G38" s="9" t="inlineStr">
        <is>
          <t>Y</t>
        </is>
      </c>
      <c r="H38" s="9" t="inlineStr">
        <is>
          <t>Y</t>
        </is>
      </c>
      <c r="I38" s="9" t="inlineStr">
        <is>
          <t>Y</t>
        </is>
      </c>
      <c r="J38" s="9" t="n">
        <v>1</v>
      </c>
    </row>
    <row r="39">
      <c r="A39" s="9" t="inlineStr">
        <is>
          <t>D035</t>
        </is>
      </c>
      <c r="B39" s="9" t="inlineStr">
        <is>
          <t>IGA Marketplace</t>
        </is>
      </c>
      <c r="C39" s="9" t="inlineStr">
        <is>
          <t>IGA Langley 08</t>
        </is>
      </c>
      <c r="D39" s="9" t="inlineStr">
        <is>
          <t>Langley</t>
        </is>
      </c>
      <c r="E39" s="9" t="inlineStr">
        <is>
          <t>Lower Mainland</t>
        </is>
      </c>
      <c r="F39" s="9" t="inlineStr">
        <is>
          <t>B</t>
        </is>
      </c>
      <c r="G39" s="9" t="inlineStr">
        <is>
          <t>Y</t>
        </is>
      </c>
      <c r="H39" s="9" t="inlineStr">
        <is>
          <t>Y</t>
        </is>
      </c>
      <c r="I39" s="9" t="inlineStr">
        <is>
          <t>N</t>
        </is>
      </c>
      <c r="J39" s="9" t="n">
        <v>2</v>
      </c>
    </row>
    <row r="40">
      <c r="A40" s="9" t="inlineStr">
        <is>
          <t>D036</t>
        </is>
      </c>
      <c r="B40" s="9" t="inlineStr">
        <is>
          <t>Save On Foods</t>
        </is>
      </c>
      <c r="C40" s="9" t="inlineStr">
        <is>
          <t>SOF New Westminster 09</t>
        </is>
      </c>
      <c r="D40" s="9" t="inlineStr">
        <is>
          <t>New Westminster</t>
        </is>
      </c>
      <c r="E40" s="9" t="inlineStr">
        <is>
          <t>Lower Mainland</t>
        </is>
      </c>
      <c r="F40" s="9" t="inlineStr">
        <is>
          <t>B</t>
        </is>
      </c>
      <c r="G40" s="9" t="inlineStr">
        <is>
          <t>Y</t>
        </is>
      </c>
      <c r="H40" s="9" t="inlineStr">
        <is>
          <t>Y</t>
        </is>
      </c>
      <c r="I40" s="9" t="inlineStr">
        <is>
          <t>N</t>
        </is>
      </c>
      <c r="J40" s="9" t="n">
        <v>3</v>
      </c>
    </row>
    <row r="41">
      <c r="A41" s="9" t="inlineStr">
        <is>
          <t>D037</t>
        </is>
      </c>
      <c r="B41" s="9" t="inlineStr">
        <is>
          <t>Urban Fare</t>
        </is>
      </c>
      <c r="C41" s="9" t="inlineStr">
        <is>
          <t>Urban Vancouver 01</t>
        </is>
      </c>
      <c r="D41" s="9" t="inlineStr">
        <is>
          <t>Vancouver</t>
        </is>
      </c>
      <c r="E41" s="9" t="inlineStr">
        <is>
          <t>Lower Mainland</t>
        </is>
      </c>
      <c r="F41" s="9" t="inlineStr">
        <is>
          <t>B</t>
        </is>
      </c>
      <c r="G41" s="9" t="inlineStr">
        <is>
          <t>Y</t>
        </is>
      </c>
      <c r="H41" s="9" t="inlineStr">
        <is>
          <t>Y</t>
        </is>
      </c>
      <c r="I41" s="9" t="inlineStr">
        <is>
          <t>Y</t>
        </is>
      </c>
      <c r="J41" s="9" t="n">
        <v>1</v>
      </c>
    </row>
    <row r="42">
      <c r="A42" s="9" t="inlineStr">
        <is>
          <t>D038</t>
        </is>
      </c>
      <c r="B42" s="9" t="inlineStr">
        <is>
          <t>Independent Grocer</t>
        </is>
      </c>
      <c r="C42" s="9" t="inlineStr">
        <is>
          <t>Indie Burnaby 02</t>
        </is>
      </c>
      <c r="D42" s="9" t="inlineStr">
        <is>
          <t>Burnaby</t>
        </is>
      </c>
      <c r="E42" s="9" t="inlineStr">
        <is>
          <t>Lower Mainland</t>
        </is>
      </c>
      <c r="F42" s="9" t="inlineStr">
        <is>
          <t>B</t>
        </is>
      </c>
      <c r="G42" s="9" t="inlineStr">
        <is>
          <t>Y</t>
        </is>
      </c>
      <c r="H42" s="9" t="inlineStr">
        <is>
          <t>Y</t>
        </is>
      </c>
      <c r="I42" s="9" t="inlineStr">
        <is>
          <t>N</t>
        </is>
      </c>
      <c r="J42" s="9" t="n">
        <v>2</v>
      </c>
    </row>
    <row r="43">
      <c r="A43" s="9" t="inlineStr">
        <is>
          <t>D039</t>
        </is>
      </c>
      <c r="B43" s="9" t="inlineStr">
        <is>
          <t>Stong's Market</t>
        </is>
      </c>
      <c r="C43" s="9" t="inlineStr">
        <is>
          <t>Stongs Richmond 03</t>
        </is>
      </c>
      <c r="D43" s="9" t="inlineStr">
        <is>
          <t>Richmond</t>
        </is>
      </c>
      <c r="E43" s="9" t="inlineStr">
        <is>
          <t>Lower Mainland</t>
        </is>
      </c>
      <c r="F43" s="9" t="inlineStr">
        <is>
          <t>B</t>
        </is>
      </c>
      <c r="G43" s="9" t="inlineStr">
        <is>
          <t>Y</t>
        </is>
      </c>
      <c r="H43" s="9" t="inlineStr">
        <is>
          <t>Y</t>
        </is>
      </c>
      <c r="I43" s="9" t="inlineStr">
        <is>
          <t>N</t>
        </is>
      </c>
      <c r="J43" s="9" t="n">
        <v>3</v>
      </c>
    </row>
    <row r="44">
      <c r="A44" s="9" t="inlineStr">
        <is>
          <t>D040</t>
        </is>
      </c>
      <c r="B44" s="9" t="inlineStr">
        <is>
          <t>Fresh St Market</t>
        </is>
      </c>
      <c r="C44" s="9" t="inlineStr">
        <is>
          <t>FreshSt Surrey 04</t>
        </is>
      </c>
      <c r="D44" s="9" t="inlineStr">
        <is>
          <t>Surrey</t>
        </is>
      </c>
      <c r="E44" s="9" t="inlineStr">
        <is>
          <t>Lower Mainland</t>
        </is>
      </c>
      <c r="F44" s="9" t="inlineStr">
        <is>
          <t>B</t>
        </is>
      </c>
      <c r="G44" s="9" t="inlineStr">
        <is>
          <t>Y</t>
        </is>
      </c>
      <c r="H44" s="9" t="inlineStr">
        <is>
          <t>Y</t>
        </is>
      </c>
      <c r="I44" s="9" t="inlineStr">
        <is>
          <t>Y</t>
        </is>
      </c>
      <c r="J44" s="9" t="n">
        <v>1</v>
      </c>
    </row>
    <row r="45">
      <c r="A45" s="9" t="inlineStr">
        <is>
          <t>D041</t>
        </is>
      </c>
      <c r="B45" s="9" t="inlineStr">
        <is>
          <t>Choices Markets</t>
        </is>
      </c>
      <c r="C45" s="9" t="inlineStr">
        <is>
          <t>Choices Coquitlam 05</t>
        </is>
      </c>
      <c r="D45" s="9" t="inlineStr">
        <is>
          <t>Coquitlam</t>
        </is>
      </c>
      <c r="E45" s="9" t="inlineStr">
        <is>
          <t>Lower Mainland</t>
        </is>
      </c>
      <c r="F45" s="9" t="inlineStr">
        <is>
          <t>B</t>
        </is>
      </c>
      <c r="G45" s="9" t="inlineStr">
        <is>
          <t>Y</t>
        </is>
      </c>
      <c r="H45" s="9" t="inlineStr">
        <is>
          <t>Y</t>
        </is>
      </c>
      <c r="I45" s="9" t="inlineStr">
        <is>
          <t>N</t>
        </is>
      </c>
      <c r="J45" s="9" t="n">
        <v>2</v>
      </c>
    </row>
    <row r="46">
      <c r="A46" s="9" t="inlineStr">
        <is>
          <t>D042</t>
        </is>
      </c>
      <c r="B46" s="9" t="inlineStr">
        <is>
          <t>Nature's Fare Markets</t>
        </is>
      </c>
      <c r="C46" s="9" t="inlineStr">
        <is>
          <t>NatFare North Vancouver 06</t>
        </is>
      </c>
      <c r="D46" s="9" t="inlineStr">
        <is>
          <t>North Vancouver</t>
        </is>
      </c>
      <c r="E46" s="9" t="inlineStr">
        <is>
          <t>Lower Mainland</t>
        </is>
      </c>
      <c r="F46" s="9" t="inlineStr">
        <is>
          <t>B</t>
        </is>
      </c>
      <c r="G46" s="9" t="inlineStr">
        <is>
          <t>Y</t>
        </is>
      </c>
      <c r="H46" s="9" t="inlineStr">
        <is>
          <t>Y</t>
        </is>
      </c>
      <c r="I46" s="9" t="inlineStr">
        <is>
          <t>N</t>
        </is>
      </c>
      <c r="J46" s="9" t="n">
        <v>3</v>
      </c>
    </row>
    <row r="47">
      <c r="A47" s="9" t="inlineStr">
        <is>
          <t>D043</t>
        </is>
      </c>
      <c r="B47" s="9" t="inlineStr">
        <is>
          <t>Whole Foods Market</t>
        </is>
      </c>
      <c r="C47" s="9" t="inlineStr">
        <is>
          <t>WFM West Vancouver 07</t>
        </is>
      </c>
      <c r="D47" s="9" t="inlineStr">
        <is>
          <t>West Vancouver</t>
        </is>
      </c>
      <c r="E47" s="9" t="inlineStr">
        <is>
          <t>Lower Mainland</t>
        </is>
      </c>
      <c r="F47" s="9" t="inlineStr">
        <is>
          <t>B</t>
        </is>
      </c>
      <c r="G47" s="9" t="inlineStr">
        <is>
          <t>Y</t>
        </is>
      </c>
      <c r="H47" s="9" t="inlineStr">
        <is>
          <t>Y</t>
        </is>
      </c>
      <c r="I47" s="9" t="inlineStr">
        <is>
          <t>Y</t>
        </is>
      </c>
      <c r="J47" s="9" t="n">
        <v>1</v>
      </c>
    </row>
    <row r="48">
      <c r="A48" s="9" t="inlineStr">
        <is>
          <t>D044</t>
        </is>
      </c>
      <c r="B48" s="9" t="inlineStr">
        <is>
          <t>Pomme Natural Market</t>
        </is>
      </c>
      <c r="C48" s="9" t="inlineStr">
        <is>
          <t>Pomme Langley 08</t>
        </is>
      </c>
      <c r="D48" s="9" t="inlineStr">
        <is>
          <t>Langley</t>
        </is>
      </c>
      <c r="E48" s="9" t="inlineStr">
        <is>
          <t>Lower Mainland</t>
        </is>
      </c>
      <c r="F48" s="9" t="inlineStr">
        <is>
          <t>B</t>
        </is>
      </c>
      <c r="G48" s="9" t="inlineStr">
        <is>
          <t>Y</t>
        </is>
      </c>
      <c r="H48" s="9" t="inlineStr">
        <is>
          <t>Y</t>
        </is>
      </c>
      <c r="I48" s="9" t="inlineStr">
        <is>
          <t>N</t>
        </is>
      </c>
      <c r="J48" s="9" t="n">
        <v>2</v>
      </c>
    </row>
    <row r="49">
      <c r="A49" s="9" t="inlineStr">
        <is>
          <t>D045</t>
        </is>
      </c>
      <c r="B49" s="9" t="inlineStr">
        <is>
          <t>IGA Marketplace</t>
        </is>
      </c>
      <c r="C49" s="9" t="inlineStr">
        <is>
          <t>IGA New Westminster 09</t>
        </is>
      </c>
      <c r="D49" s="9" t="inlineStr">
        <is>
          <t>New Westminster</t>
        </is>
      </c>
      <c r="E49" s="9" t="inlineStr">
        <is>
          <t>Lower Mainland</t>
        </is>
      </c>
      <c r="F49" s="9" t="inlineStr">
        <is>
          <t>B</t>
        </is>
      </c>
      <c r="G49" s="9" t="inlineStr">
        <is>
          <t>Y</t>
        </is>
      </c>
      <c r="H49" s="9" t="inlineStr">
        <is>
          <t>Y</t>
        </is>
      </c>
      <c r="I49" s="9" t="inlineStr">
        <is>
          <t>N</t>
        </is>
      </c>
      <c r="J49" s="9" t="n">
        <v>3</v>
      </c>
    </row>
    <row r="50">
      <c r="A50" s="9" t="inlineStr">
        <is>
          <t>D046</t>
        </is>
      </c>
      <c r="B50" s="9" t="inlineStr">
        <is>
          <t>Save On Foods</t>
        </is>
      </c>
      <c r="C50" s="9" t="inlineStr">
        <is>
          <t>SOF Vancouver 01</t>
        </is>
      </c>
      <c r="D50" s="9" t="inlineStr">
        <is>
          <t>Vancouver</t>
        </is>
      </c>
      <c r="E50" s="9" t="inlineStr">
        <is>
          <t>Lower Mainland</t>
        </is>
      </c>
      <c r="F50" s="9" t="inlineStr">
        <is>
          <t>B</t>
        </is>
      </c>
      <c r="G50" s="9" t="inlineStr">
        <is>
          <t>Y</t>
        </is>
      </c>
      <c r="H50" s="9" t="inlineStr">
        <is>
          <t>Y</t>
        </is>
      </c>
      <c r="I50" s="9" t="inlineStr">
        <is>
          <t>Y</t>
        </is>
      </c>
      <c r="J50" s="9" t="n">
        <v>1</v>
      </c>
    </row>
    <row r="51">
      <c r="A51" s="9" t="inlineStr">
        <is>
          <t>D047</t>
        </is>
      </c>
      <c r="B51" s="9" t="inlineStr">
        <is>
          <t>Urban Fare</t>
        </is>
      </c>
      <c r="C51" s="9" t="inlineStr">
        <is>
          <t>Urban Burnaby 02</t>
        </is>
      </c>
      <c r="D51" s="9" t="inlineStr">
        <is>
          <t>Burnaby</t>
        </is>
      </c>
      <c r="E51" s="9" t="inlineStr">
        <is>
          <t>Lower Mainland</t>
        </is>
      </c>
      <c r="F51" s="9" t="inlineStr">
        <is>
          <t>B</t>
        </is>
      </c>
      <c r="G51" s="9" t="inlineStr">
        <is>
          <t>Y</t>
        </is>
      </c>
      <c r="H51" s="9" t="inlineStr">
        <is>
          <t>Y</t>
        </is>
      </c>
      <c r="I51" s="9" t="inlineStr">
        <is>
          <t>N</t>
        </is>
      </c>
      <c r="J51" s="9" t="n">
        <v>2</v>
      </c>
    </row>
    <row r="52">
      <c r="A52" s="9" t="inlineStr">
        <is>
          <t>D048</t>
        </is>
      </c>
      <c r="B52" s="9" t="inlineStr">
        <is>
          <t>Independent Grocer</t>
        </is>
      </c>
      <c r="C52" s="9" t="inlineStr">
        <is>
          <t>Indie Richmond 03</t>
        </is>
      </c>
      <c r="D52" s="9" t="inlineStr">
        <is>
          <t>Richmond</t>
        </is>
      </c>
      <c r="E52" s="9" t="inlineStr">
        <is>
          <t>Lower Mainland</t>
        </is>
      </c>
      <c r="F52" s="9" t="inlineStr">
        <is>
          <t>B</t>
        </is>
      </c>
      <c r="G52" s="9" t="inlineStr">
        <is>
          <t>Y</t>
        </is>
      </c>
      <c r="H52" s="9" t="inlineStr">
        <is>
          <t>Y</t>
        </is>
      </c>
      <c r="I52" s="9" t="inlineStr">
        <is>
          <t>N</t>
        </is>
      </c>
      <c r="J52" s="9" t="n">
        <v>3</v>
      </c>
    </row>
    <row r="53">
      <c r="A53" s="9" t="inlineStr">
        <is>
          <t>D049</t>
        </is>
      </c>
      <c r="B53" s="9" t="inlineStr">
        <is>
          <t>Stong's Market</t>
        </is>
      </c>
      <c r="C53" s="9" t="inlineStr">
        <is>
          <t>Stongs Surrey 04</t>
        </is>
      </c>
      <c r="D53" s="9" t="inlineStr">
        <is>
          <t>Surrey</t>
        </is>
      </c>
      <c r="E53" s="9" t="inlineStr">
        <is>
          <t>Lower Mainland</t>
        </is>
      </c>
      <c r="F53" s="9" t="inlineStr">
        <is>
          <t>B</t>
        </is>
      </c>
      <c r="G53" s="9" t="inlineStr">
        <is>
          <t>Y</t>
        </is>
      </c>
      <c r="H53" s="9" t="inlineStr">
        <is>
          <t>Y</t>
        </is>
      </c>
      <c r="I53" s="9" t="inlineStr">
        <is>
          <t>Y</t>
        </is>
      </c>
      <c r="J53" s="9" t="n">
        <v>1</v>
      </c>
    </row>
    <row r="54">
      <c r="A54" s="9" t="inlineStr">
        <is>
          <t>D050</t>
        </is>
      </c>
      <c r="B54" s="9" t="inlineStr">
        <is>
          <t>Fresh St Market</t>
        </is>
      </c>
      <c r="C54" s="9" t="inlineStr">
        <is>
          <t>FreshSt Coquitlam 05</t>
        </is>
      </c>
      <c r="D54" s="9" t="inlineStr">
        <is>
          <t>Coquitlam</t>
        </is>
      </c>
      <c r="E54" s="9" t="inlineStr">
        <is>
          <t>Lower Mainland</t>
        </is>
      </c>
      <c r="F54" s="9" t="inlineStr">
        <is>
          <t>B</t>
        </is>
      </c>
      <c r="G54" s="9" t="inlineStr">
        <is>
          <t>Y</t>
        </is>
      </c>
      <c r="H54" s="9" t="inlineStr">
        <is>
          <t>Y</t>
        </is>
      </c>
      <c r="I54" s="9" t="inlineStr">
        <is>
          <t>N</t>
        </is>
      </c>
      <c r="J54" s="9" t="n">
        <v>2</v>
      </c>
    </row>
    <row r="55">
      <c r="A55" s="9" t="inlineStr">
        <is>
          <t>D051</t>
        </is>
      </c>
      <c r="B55" s="9" t="inlineStr">
        <is>
          <t>Choices Markets</t>
        </is>
      </c>
      <c r="C55" s="9" t="inlineStr">
        <is>
          <t>Choices North Vancouver 06</t>
        </is>
      </c>
      <c r="D55" s="9" t="inlineStr">
        <is>
          <t>North Vancouver</t>
        </is>
      </c>
      <c r="E55" s="9" t="inlineStr">
        <is>
          <t>Lower Mainland</t>
        </is>
      </c>
      <c r="F55" s="9" t="inlineStr">
        <is>
          <t>B</t>
        </is>
      </c>
      <c r="G55" s="9" t="inlineStr">
        <is>
          <t>Y</t>
        </is>
      </c>
      <c r="H55" s="9" t="inlineStr">
        <is>
          <t>Y</t>
        </is>
      </c>
      <c r="I55" s="9" t="inlineStr">
        <is>
          <t>N</t>
        </is>
      </c>
      <c r="J55" s="9" t="n">
        <v>3</v>
      </c>
    </row>
    <row r="56">
      <c r="A56" s="9" t="inlineStr">
        <is>
          <t>D052</t>
        </is>
      </c>
      <c r="B56" s="9" t="inlineStr">
        <is>
          <t>Nature's Fare Markets</t>
        </is>
      </c>
      <c r="C56" s="9" t="inlineStr">
        <is>
          <t>NatFare West Vancouver 07</t>
        </is>
      </c>
      <c r="D56" s="9" t="inlineStr">
        <is>
          <t>West Vancouver</t>
        </is>
      </c>
      <c r="E56" s="9" t="inlineStr">
        <is>
          <t>Lower Mainland</t>
        </is>
      </c>
      <c r="F56" s="9" t="inlineStr">
        <is>
          <t>B</t>
        </is>
      </c>
      <c r="G56" s="9" t="inlineStr">
        <is>
          <t>Y</t>
        </is>
      </c>
      <c r="H56" s="9" t="inlineStr">
        <is>
          <t>Y</t>
        </is>
      </c>
      <c r="I56" s="9" t="inlineStr">
        <is>
          <t>Y</t>
        </is>
      </c>
      <c r="J56" s="9" t="n">
        <v>1</v>
      </c>
    </row>
    <row r="57">
      <c r="A57" s="9" t="inlineStr">
        <is>
          <t>D053</t>
        </is>
      </c>
      <c r="B57" s="9" t="inlineStr">
        <is>
          <t>Whole Foods Market</t>
        </is>
      </c>
      <c r="C57" s="9" t="inlineStr">
        <is>
          <t>WFM Langley 08</t>
        </is>
      </c>
      <c r="D57" s="9" t="inlineStr">
        <is>
          <t>Langley</t>
        </is>
      </c>
      <c r="E57" s="9" t="inlineStr">
        <is>
          <t>Lower Mainland</t>
        </is>
      </c>
      <c r="F57" s="9" t="inlineStr">
        <is>
          <t>B</t>
        </is>
      </c>
      <c r="G57" s="9" t="inlineStr">
        <is>
          <t>Y</t>
        </is>
      </c>
      <c r="H57" s="9" t="inlineStr">
        <is>
          <t>Y</t>
        </is>
      </c>
      <c r="I57" s="9" t="inlineStr">
        <is>
          <t>N</t>
        </is>
      </c>
      <c r="J57" s="9" t="n">
        <v>2</v>
      </c>
    </row>
    <row r="58">
      <c r="A58" s="9" t="inlineStr">
        <is>
          <t>D054</t>
        </is>
      </c>
      <c r="B58" s="9" t="inlineStr">
        <is>
          <t>Pomme Natural Market</t>
        </is>
      </c>
      <c r="C58" s="9" t="inlineStr">
        <is>
          <t>Pomme New Westminster 09</t>
        </is>
      </c>
      <c r="D58" s="9" t="inlineStr">
        <is>
          <t>New Westminster</t>
        </is>
      </c>
      <c r="E58" s="9" t="inlineStr">
        <is>
          <t>Lower Mainland</t>
        </is>
      </c>
      <c r="F58" s="9" t="inlineStr">
        <is>
          <t>B</t>
        </is>
      </c>
      <c r="G58" s="9" t="inlineStr">
        <is>
          <t>Y</t>
        </is>
      </c>
      <c r="H58" s="9" t="inlineStr">
        <is>
          <t>Y</t>
        </is>
      </c>
      <c r="I58" s="9" t="inlineStr">
        <is>
          <t>N</t>
        </is>
      </c>
      <c r="J58" s="9" t="n">
        <v>3</v>
      </c>
    </row>
    <row r="59">
      <c r="A59" s="9" t="inlineStr">
        <is>
          <t>D055</t>
        </is>
      </c>
      <c r="B59" s="9" t="inlineStr">
        <is>
          <t>IGA Marketplace</t>
        </is>
      </c>
      <c r="C59" s="9" t="inlineStr">
        <is>
          <t>IGA Vancouver 01</t>
        </is>
      </c>
      <c r="D59" s="9" t="inlineStr">
        <is>
          <t>Vancouver</t>
        </is>
      </c>
      <c r="E59" s="9" t="inlineStr">
        <is>
          <t>Lower Mainland</t>
        </is>
      </c>
      <c r="F59" s="9" t="inlineStr">
        <is>
          <t>B</t>
        </is>
      </c>
      <c r="G59" s="9" t="inlineStr">
        <is>
          <t>Y</t>
        </is>
      </c>
      <c r="H59" s="9" t="inlineStr">
        <is>
          <t>Y</t>
        </is>
      </c>
      <c r="I59" s="9" t="inlineStr">
        <is>
          <t>Y</t>
        </is>
      </c>
      <c r="J59" s="9" t="n">
        <v>1</v>
      </c>
    </row>
    <row r="60">
      <c r="A60" s="9" t="inlineStr">
        <is>
          <t>D056</t>
        </is>
      </c>
      <c r="B60" s="9" t="inlineStr">
        <is>
          <t>Save On Foods</t>
        </is>
      </c>
      <c r="C60" s="9" t="inlineStr">
        <is>
          <t>SOF Victoria 02</t>
        </is>
      </c>
      <c r="D60" s="9" t="inlineStr">
        <is>
          <t>Victoria</t>
        </is>
      </c>
      <c r="E60" s="9" t="inlineStr">
        <is>
          <t>Vancouver Island</t>
        </is>
      </c>
      <c r="F60" s="9" t="inlineStr">
        <is>
          <t>B</t>
        </is>
      </c>
      <c r="G60" s="9" t="inlineStr">
        <is>
          <t>Y</t>
        </is>
      </c>
      <c r="H60" s="9" t="inlineStr">
        <is>
          <t>Y</t>
        </is>
      </c>
      <c r="I60" s="9" t="inlineStr">
        <is>
          <t>N</t>
        </is>
      </c>
      <c r="J60" s="9" t="n">
        <v>2</v>
      </c>
    </row>
    <row r="61">
      <c r="A61" s="9" t="inlineStr">
        <is>
          <t>D057</t>
        </is>
      </c>
      <c r="B61" s="9" t="inlineStr">
        <is>
          <t>Urban Fare</t>
        </is>
      </c>
      <c r="C61" s="9" t="inlineStr">
        <is>
          <t>Urban Nanaimo 03</t>
        </is>
      </c>
      <c r="D61" s="9" t="inlineStr">
        <is>
          <t>Nanaimo</t>
        </is>
      </c>
      <c r="E61" s="9" t="inlineStr">
        <is>
          <t>Vancouver Island</t>
        </is>
      </c>
      <c r="F61" s="9" t="inlineStr">
        <is>
          <t>B</t>
        </is>
      </c>
      <c r="G61" s="9" t="inlineStr">
        <is>
          <t>Y</t>
        </is>
      </c>
      <c r="H61" s="9" t="inlineStr">
        <is>
          <t>Y</t>
        </is>
      </c>
      <c r="I61" s="9" t="inlineStr">
        <is>
          <t>N</t>
        </is>
      </c>
      <c r="J61" s="9" t="n">
        <v>3</v>
      </c>
    </row>
    <row r="62">
      <c r="A62" s="9" t="inlineStr">
        <is>
          <t>D058</t>
        </is>
      </c>
      <c r="B62" s="9" t="inlineStr">
        <is>
          <t>Independent Grocer</t>
        </is>
      </c>
      <c r="C62" s="9" t="inlineStr">
        <is>
          <t>Indie Courtenay 04</t>
        </is>
      </c>
      <c r="D62" s="9" t="inlineStr">
        <is>
          <t>Courtenay</t>
        </is>
      </c>
      <c r="E62" s="9" t="inlineStr">
        <is>
          <t>Vancouver Island</t>
        </is>
      </c>
      <c r="F62" s="9" t="inlineStr">
        <is>
          <t>B</t>
        </is>
      </c>
      <c r="G62" s="9" t="inlineStr">
        <is>
          <t>Y</t>
        </is>
      </c>
      <c r="H62" s="9" t="inlineStr">
        <is>
          <t>Y</t>
        </is>
      </c>
      <c r="I62" s="9" t="inlineStr">
        <is>
          <t>Y</t>
        </is>
      </c>
      <c r="J62" s="9" t="n">
        <v>1</v>
      </c>
    </row>
    <row r="63">
      <c r="A63" s="9" t="inlineStr">
        <is>
          <t>D059</t>
        </is>
      </c>
      <c r="B63" s="9" t="inlineStr">
        <is>
          <t>Stong's Market</t>
        </is>
      </c>
      <c r="C63" s="9" t="inlineStr">
        <is>
          <t>Stongs Duncan 05</t>
        </is>
      </c>
      <c r="D63" s="9" t="inlineStr">
        <is>
          <t>Duncan</t>
        </is>
      </c>
      <c r="E63" s="9" t="inlineStr">
        <is>
          <t>Vancouver Island</t>
        </is>
      </c>
      <c r="F63" s="9" t="inlineStr">
        <is>
          <t>B</t>
        </is>
      </c>
      <c r="G63" s="9" t="inlineStr">
        <is>
          <t>Y</t>
        </is>
      </c>
      <c r="H63" s="9" t="inlineStr">
        <is>
          <t>Y</t>
        </is>
      </c>
      <c r="I63" s="9" t="inlineStr">
        <is>
          <t>N</t>
        </is>
      </c>
      <c r="J63" s="9" t="n">
        <v>2</v>
      </c>
    </row>
    <row r="64">
      <c r="A64" s="9" t="inlineStr">
        <is>
          <t>D060</t>
        </is>
      </c>
      <c r="B64" s="9" t="inlineStr">
        <is>
          <t>Fresh St Market</t>
        </is>
      </c>
      <c r="C64" s="9" t="inlineStr">
        <is>
          <t>FreshSt Sidney 06</t>
        </is>
      </c>
      <c r="D64" s="9" t="inlineStr">
        <is>
          <t>Sidney</t>
        </is>
      </c>
      <c r="E64" s="9" t="inlineStr">
        <is>
          <t>Vancouver Island</t>
        </is>
      </c>
      <c r="F64" s="9" t="inlineStr">
        <is>
          <t>B</t>
        </is>
      </c>
      <c r="G64" s="9" t="inlineStr">
        <is>
          <t>Y</t>
        </is>
      </c>
      <c r="H64" s="9" t="inlineStr">
        <is>
          <t>Y</t>
        </is>
      </c>
      <c r="I64" s="9" t="inlineStr">
        <is>
          <t>N</t>
        </is>
      </c>
      <c r="J64" s="9" t="n">
        <v>3</v>
      </c>
    </row>
    <row r="65">
      <c r="A65" s="9" t="inlineStr">
        <is>
          <t>D061</t>
        </is>
      </c>
      <c r="B65" s="9" t="inlineStr">
        <is>
          <t>Choices Markets</t>
        </is>
      </c>
      <c r="C65" s="9" t="inlineStr">
        <is>
          <t>Choices Victoria 07</t>
        </is>
      </c>
      <c r="D65" s="9" t="inlineStr">
        <is>
          <t>Victoria</t>
        </is>
      </c>
      <c r="E65" s="9" t="inlineStr">
        <is>
          <t>Vancouver Island</t>
        </is>
      </c>
      <c r="F65" s="9" t="inlineStr">
        <is>
          <t>B</t>
        </is>
      </c>
      <c r="G65" s="9" t="inlineStr">
        <is>
          <t>Y</t>
        </is>
      </c>
      <c r="H65" s="9" t="inlineStr">
        <is>
          <t>Y</t>
        </is>
      </c>
      <c r="I65" s="9" t="inlineStr">
        <is>
          <t>Y</t>
        </is>
      </c>
      <c r="J65" s="9" t="n">
        <v>1</v>
      </c>
    </row>
    <row r="66">
      <c r="A66" s="9" t="inlineStr">
        <is>
          <t>D062</t>
        </is>
      </c>
      <c r="B66" s="9" t="inlineStr">
        <is>
          <t>Nature's Fare Markets</t>
        </is>
      </c>
      <c r="C66" s="9" t="inlineStr">
        <is>
          <t>NatFare Nanaimo 08</t>
        </is>
      </c>
      <c r="D66" s="9" t="inlineStr">
        <is>
          <t>Nanaimo</t>
        </is>
      </c>
      <c r="E66" s="9" t="inlineStr">
        <is>
          <t>Vancouver Island</t>
        </is>
      </c>
      <c r="F66" s="9" t="inlineStr">
        <is>
          <t>B</t>
        </is>
      </c>
      <c r="G66" s="9" t="inlineStr">
        <is>
          <t>Y</t>
        </is>
      </c>
      <c r="H66" s="9" t="inlineStr">
        <is>
          <t>Y</t>
        </is>
      </c>
      <c r="I66" s="9" t="inlineStr">
        <is>
          <t>N</t>
        </is>
      </c>
      <c r="J66" s="9" t="n">
        <v>2</v>
      </c>
    </row>
    <row r="67">
      <c r="A67" s="9" t="inlineStr">
        <is>
          <t>D063</t>
        </is>
      </c>
      <c r="B67" s="9" t="inlineStr">
        <is>
          <t>Whole Foods Market</t>
        </is>
      </c>
      <c r="C67" s="9" t="inlineStr">
        <is>
          <t>WFM Courtenay 09</t>
        </is>
      </c>
      <c r="D67" s="9" t="inlineStr">
        <is>
          <t>Courtenay</t>
        </is>
      </c>
      <c r="E67" s="9" t="inlineStr">
        <is>
          <t>Vancouver Island</t>
        </is>
      </c>
      <c r="F67" s="9" t="inlineStr">
        <is>
          <t>B</t>
        </is>
      </c>
      <c r="G67" s="9" t="inlineStr">
        <is>
          <t>Y</t>
        </is>
      </c>
      <c r="H67" s="9" t="inlineStr">
        <is>
          <t>Y</t>
        </is>
      </c>
      <c r="I67" s="9" t="inlineStr">
        <is>
          <t>N</t>
        </is>
      </c>
      <c r="J67" s="9" t="n">
        <v>3</v>
      </c>
    </row>
    <row r="68">
      <c r="A68" s="9" t="inlineStr">
        <is>
          <t>D064</t>
        </is>
      </c>
      <c r="B68" s="9" t="inlineStr">
        <is>
          <t>Pomme Natural Market</t>
        </is>
      </c>
      <c r="C68" s="9" t="inlineStr">
        <is>
          <t>Pomme Duncan 01</t>
        </is>
      </c>
      <c r="D68" s="9" t="inlineStr">
        <is>
          <t>Duncan</t>
        </is>
      </c>
      <c r="E68" s="9" t="inlineStr">
        <is>
          <t>Vancouver Island</t>
        </is>
      </c>
      <c r="F68" s="9" t="inlineStr">
        <is>
          <t>B</t>
        </is>
      </c>
      <c r="G68" s="9" t="inlineStr">
        <is>
          <t>Y</t>
        </is>
      </c>
      <c r="H68" s="9" t="inlineStr">
        <is>
          <t>Y</t>
        </is>
      </c>
      <c r="I68" s="9" t="inlineStr">
        <is>
          <t>Y</t>
        </is>
      </c>
      <c r="J68" s="9" t="n">
        <v>1</v>
      </c>
    </row>
    <row r="69">
      <c r="A69" s="9" t="inlineStr">
        <is>
          <t>D065</t>
        </is>
      </c>
      <c r="B69" s="9" t="inlineStr">
        <is>
          <t>IGA Marketplace</t>
        </is>
      </c>
      <c r="C69" s="9" t="inlineStr">
        <is>
          <t>IGA Sidney 02</t>
        </is>
      </c>
      <c r="D69" s="9" t="inlineStr">
        <is>
          <t>Sidney</t>
        </is>
      </c>
      <c r="E69" s="9" t="inlineStr">
        <is>
          <t>Vancouver Island</t>
        </is>
      </c>
      <c r="F69" s="9" t="inlineStr">
        <is>
          <t>B</t>
        </is>
      </c>
      <c r="G69" s="9" t="inlineStr">
        <is>
          <t>Y</t>
        </is>
      </c>
      <c r="H69" s="9" t="inlineStr">
        <is>
          <t>Y</t>
        </is>
      </c>
      <c r="I69" s="9" t="inlineStr">
        <is>
          <t>N</t>
        </is>
      </c>
      <c r="J69" s="9" t="n">
        <v>2</v>
      </c>
    </row>
    <row r="70">
      <c r="A70" s="9" t="inlineStr">
        <is>
          <t>D066</t>
        </is>
      </c>
      <c r="B70" s="9" t="inlineStr">
        <is>
          <t>Save On Foods</t>
        </is>
      </c>
      <c r="C70" s="9" t="inlineStr">
        <is>
          <t>SOF Victoria 03</t>
        </is>
      </c>
      <c r="D70" s="9" t="inlineStr">
        <is>
          <t>Victoria</t>
        </is>
      </c>
      <c r="E70" s="9" t="inlineStr">
        <is>
          <t>Vancouver Island</t>
        </is>
      </c>
      <c r="F70" s="9" t="inlineStr">
        <is>
          <t>B</t>
        </is>
      </c>
      <c r="G70" s="9" t="inlineStr">
        <is>
          <t>Y</t>
        </is>
      </c>
      <c r="H70" s="9" t="inlineStr">
        <is>
          <t>Y</t>
        </is>
      </c>
      <c r="I70" s="9" t="inlineStr">
        <is>
          <t>N</t>
        </is>
      </c>
      <c r="J70" s="9" t="n">
        <v>3</v>
      </c>
    </row>
    <row r="71">
      <c r="A71" s="9" t="inlineStr">
        <is>
          <t>D067</t>
        </is>
      </c>
      <c r="B71" s="9" t="inlineStr">
        <is>
          <t>Urban Fare</t>
        </is>
      </c>
      <c r="C71" s="9" t="inlineStr">
        <is>
          <t>Urban Nanaimo 04</t>
        </is>
      </c>
      <c r="D71" s="9" t="inlineStr">
        <is>
          <t>Nanaimo</t>
        </is>
      </c>
      <c r="E71" s="9" t="inlineStr">
        <is>
          <t>Vancouver Island</t>
        </is>
      </c>
      <c r="F71" s="9" t="inlineStr">
        <is>
          <t>B</t>
        </is>
      </c>
      <c r="G71" s="9" t="inlineStr">
        <is>
          <t>Y</t>
        </is>
      </c>
      <c r="H71" s="9" t="inlineStr">
        <is>
          <t>Y</t>
        </is>
      </c>
      <c r="I71" s="9" t="inlineStr">
        <is>
          <t>Y</t>
        </is>
      </c>
      <c r="J71" s="9" t="n">
        <v>1</v>
      </c>
    </row>
    <row r="72">
      <c r="A72" s="9" t="inlineStr">
        <is>
          <t>D068</t>
        </is>
      </c>
      <c r="B72" s="9" t="inlineStr">
        <is>
          <t>Independent Grocer</t>
        </is>
      </c>
      <c r="C72" s="9" t="inlineStr">
        <is>
          <t>Indie Courtenay 05</t>
        </is>
      </c>
      <c r="D72" s="9" t="inlineStr">
        <is>
          <t>Courtenay</t>
        </is>
      </c>
      <c r="E72" s="9" t="inlineStr">
        <is>
          <t>Vancouver Island</t>
        </is>
      </c>
      <c r="F72" s="9" t="inlineStr">
        <is>
          <t>B</t>
        </is>
      </c>
      <c r="G72" s="9" t="inlineStr">
        <is>
          <t>Y</t>
        </is>
      </c>
      <c r="H72" s="9" t="inlineStr">
        <is>
          <t>Y</t>
        </is>
      </c>
      <c r="I72" s="9" t="inlineStr">
        <is>
          <t>N</t>
        </is>
      </c>
      <c r="J72" s="9" t="n">
        <v>2</v>
      </c>
    </row>
    <row r="73">
      <c r="A73" s="9" t="inlineStr">
        <is>
          <t>D069</t>
        </is>
      </c>
      <c r="B73" s="9" t="inlineStr">
        <is>
          <t>Stong's Market</t>
        </is>
      </c>
      <c r="C73" s="9" t="inlineStr">
        <is>
          <t>Stongs Duncan 06</t>
        </is>
      </c>
      <c r="D73" s="9" t="inlineStr">
        <is>
          <t>Duncan</t>
        </is>
      </c>
      <c r="E73" s="9" t="inlineStr">
        <is>
          <t>Vancouver Island</t>
        </is>
      </c>
      <c r="F73" s="9" t="inlineStr">
        <is>
          <t>B</t>
        </is>
      </c>
      <c r="G73" s="9" t="inlineStr">
        <is>
          <t>Y</t>
        </is>
      </c>
      <c r="H73" s="9" t="inlineStr">
        <is>
          <t>Y</t>
        </is>
      </c>
      <c r="I73" s="9" t="inlineStr">
        <is>
          <t>N</t>
        </is>
      </c>
      <c r="J73" s="9" t="n">
        <v>3</v>
      </c>
    </row>
    <row r="74">
      <c r="A74" s="9" t="inlineStr">
        <is>
          <t>D070</t>
        </is>
      </c>
      <c r="B74" s="9" t="inlineStr">
        <is>
          <t>Fresh St Market</t>
        </is>
      </c>
      <c r="C74" s="9" t="inlineStr">
        <is>
          <t>FreshSt Sidney 07</t>
        </is>
      </c>
      <c r="D74" s="9" t="inlineStr">
        <is>
          <t>Sidney</t>
        </is>
      </c>
      <c r="E74" s="9" t="inlineStr">
        <is>
          <t>Vancouver Island</t>
        </is>
      </c>
      <c r="F74" s="9" t="inlineStr">
        <is>
          <t>B</t>
        </is>
      </c>
      <c r="G74" s="9" t="inlineStr">
        <is>
          <t>Y</t>
        </is>
      </c>
      <c r="H74" s="9" t="inlineStr">
        <is>
          <t>Y</t>
        </is>
      </c>
      <c r="I74" s="9" t="inlineStr">
        <is>
          <t>Y</t>
        </is>
      </c>
      <c r="J74" s="9" t="n">
        <v>1</v>
      </c>
    </row>
    <row r="75">
      <c r="A75" s="9" t="inlineStr">
        <is>
          <t>D071</t>
        </is>
      </c>
      <c r="B75" s="9" t="inlineStr">
        <is>
          <t>Choices Markets</t>
        </is>
      </c>
      <c r="C75" s="9" t="inlineStr">
        <is>
          <t>Choices Victoria 08</t>
        </is>
      </c>
      <c r="D75" s="9" t="inlineStr">
        <is>
          <t>Victoria</t>
        </is>
      </c>
      <c r="E75" s="9" t="inlineStr">
        <is>
          <t>Vancouver Island</t>
        </is>
      </c>
      <c r="F75" s="9" t="inlineStr">
        <is>
          <t>C</t>
        </is>
      </c>
      <c r="G75" s="9" t="inlineStr">
        <is>
          <t>Y</t>
        </is>
      </c>
      <c r="H75" s="9" t="inlineStr">
        <is>
          <t>Y</t>
        </is>
      </c>
      <c r="I75" s="9" t="inlineStr">
        <is>
          <t>N</t>
        </is>
      </c>
      <c r="J75" s="9" t="n">
        <v>4</v>
      </c>
    </row>
    <row r="76">
      <c r="A76" s="9" t="inlineStr">
        <is>
          <t>D072</t>
        </is>
      </c>
      <c r="B76" s="9" t="inlineStr">
        <is>
          <t>Nature's Fare Markets</t>
        </is>
      </c>
      <c r="C76" s="9" t="inlineStr">
        <is>
          <t>NatFare Nanaimo 09</t>
        </is>
      </c>
      <c r="D76" s="9" t="inlineStr">
        <is>
          <t>Nanaimo</t>
        </is>
      </c>
      <c r="E76" s="9" t="inlineStr">
        <is>
          <t>Vancouver Island</t>
        </is>
      </c>
      <c r="F76" s="9" t="inlineStr">
        <is>
          <t>C</t>
        </is>
      </c>
      <c r="G76" s="9" t="inlineStr">
        <is>
          <t>Y</t>
        </is>
      </c>
      <c r="H76" s="9" t="inlineStr">
        <is>
          <t>N</t>
        </is>
      </c>
      <c r="I76" s="9" t="inlineStr">
        <is>
          <t>N</t>
        </is>
      </c>
      <c r="J76" s="9" t="n">
        <v>5</v>
      </c>
    </row>
    <row r="77">
      <c r="A77" s="9" t="inlineStr">
        <is>
          <t>D073</t>
        </is>
      </c>
      <c r="B77" s="9" t="inlineStr">
        <is>
          <t>Whole Foods Market</t>
        </is>
      </c>
      <c r="C77" s="9" t="inlineStr">
        <is>
          <t>WFM Courtenay 01</t>
        </is>
      </c>
      <c r="D77" s="9" t="inlineStr">
        <is>
          <t>Courtenay</t>
        </is>
      </c>
      <c r="E77" s="9" t="inlineStr">
        <is>
          <t>Vancouver Island</t>
        </is>
      </c>
      <c r="F77" s="9" t="inlineStr">
        <is>
          <t>C</t>
        </is>
      </c>
      <c r="G77" s="9" t="inlineStr">
        <is>
          <t>Y</t>
        </is>
      </c>
      <c r="H77" s="9" t="inlineStr">
        <is>
          <t>Y</t>
        </is>
      </c>
      <c r="I77" s="9" t="inlineStr">
        <is>
          <t>Y</t>
        </is>
      </c>
      <c r="J77" s="9" t="n">
        <v>2</v>
      </c>
    </row>
    <row r="78">
      <c r="A78" s="9" t="inlineStr">
        <is>
          <t>D074</t>
        </is>
      </c>
      <c r="B78" s="9" t="inlineStr">
        <is>
          <t>Pomme Natural Market</t>
        </is>
      </c>
      <c r="C78" s="9" t="inlineStr">
        <is>
          <t>Pomme Duncan 02</t>
        </is>
      </c>
      <c r="D78" s="9" t="inlineStr">
        <is>
          <t>Duncan</t>
        </is>
      </c>
      <c r="E78" s="9" t="inlineStr">
        <is>
          <t>Vancouver Island</t>
        </is>
      </c>
      <c r="F78" s="9" t="inlineStr">
        <is>
          <t>C</t>
        </is>
      </c>
      <c r="G78" s="9" t="inlineStr">
        <is>
          <t>Y</t>
        </is>
      </c>
      <c r="H78" s="9" t="inlineStr">
        <is>
          <t>N</t>
        </is>
      </c>
      <c r="I78" s="9" t="inlineStr">
        <is>
          <t>N</t>
        </is>
      </c>
      <c r="J78" s="9" t="n">
        <v>3</v>
      </c>
    </row>
    <row r="79">
      <c r="A79" s="9" t="inlineStr">
        <is>
          <t>D075</t>
        </is>
      </c>
      <c r="B79" s="9" t="inlineStr">
        <is>
          <t>IGA Marketplace</t>
        </is>
      </c>
      <c r="C79" s="9" t="inlineStr">
        <is>
          <t>IGA Sidney 03</t>
        </is>
      </c>
      <c r="D79" s="9" t="inlineStr">
        <is>
          <t>Sidney</t>
        </is>
      </c>
      <c r="E79" s="9" t="inlineStr">
        <is>
          <t>Vancouver Island</t>
        </is>
      </c>
      <c r="F79" s="9" t="inlineStr">
        <is>
          <t>C</t>
        </is>
      </c>
      <c r="G79" s="9" t="inlineStr">
        <is>
          <t>Y</t>
        </is>
      </c>
      <c r="H79" s="9" t="inlineStr">
        <is>
          <t>Y</t>
        </is>
      </c>
      <c r="I79" s="9" t="inlineStr">
        <is>
          <t>N</t>
        </is>
      </c>
      <c r="J79" s="9" t="n">
        <v>4</v>
      </c>
    </row>
    <row r="80">
      <c r="A80" s="9" t="inlineStr">
        <is>
          <t>D076</t>
        </is>
      </c>
      <c r="B80" s="9" t="inlineStr">
        <is>
          <t>Save On Foods</t>
        </is>
      </c>
      <c r="C80" s="9" t="inlineStr">
        <is>
          <t>SOF Victoria 04</t>
        </is>
      </c>
      <c r="D80" s="9" t="inlineStr">
        <is>
          <t>Victoria</t>
        </is>
      </c>
      <c r="E80" s="9" t="inlineStr">
        <is>
          <t>Vancouver Island</t>
        </is>
      </c>
      <c r="F80" s="9" t="inlineStr">
        <is>
          <t>C</t>
        </is>
      </c>
      <c r="G80" s="9" t="inlineStr">
        <is>
          <t>Y</t>
        </is>
      </c>
      <c r="H80" s="9" t="inlineStr">
        <is>
          <t>N</t>
        </is>
      </c>
      <c r="I80" s="9" t="inlineStr">
        <is>
          <t>Y</t>
        </is>
      </c>
      <c r="J80" s="9" t="n">
        <v>5</v>
      </c>
    </row>
    <row r="81">
      <c r="A81" s="9" t="inlineStr">
        <is>
          <t>D077</t>
        </is>
      </c>
      <c r="B81" s="9" t="inlineStr">
        <is>
          <t>Urban Fare</t>
        </is>
      </c>
      <c r="C81" s="9" t="inlineStr">
        <is>
          <t>Urban Nanaimo 05</t>
        </is>
      </c>
      <c r="D81" s="9" t="inlineStr">
        <is>
          <t>Nanaimo</t>
        </is>
      </c>
      <c r="E81" s="9" t="inlineStr">
        <is>
          <t>Vancouver Island</t>
        </is>
      </c>
      <c r="F81" s="9" t="inlineStr">
        <is>
          <t>C</t>
        </is>
      </c>
      <c r="G81" s="9" t="inlineStr">
        <is>
          <t>Y</t>
        </is>
      </c>
      <c r="H81" s="9" t="inlineStr">
        <is>
          <t>Y</t>
        </is>
      </c>
      <c r="I81" s="9" t="inlineStr">
        <is>
          <t>N</t>
        </is>
      </c>
      <c r="J81" s="9" t="n">
        <v>2</v>
      </c>
    </row>
    <row r="82">
      <c r="A82" s="9" t="inlineStr">
        <is>
          <t>D078</t>
        </is>
      </c>
      <c r="B82" s="9" t="inlineStr">
        <is>
          <t>Independent Grocer</t>
        </is>
      </c>
      <c r="C82" s="9" t="inlineStr">
        <is>
          <t>Indie Kamloops 06</t>
        </is>
      </c>
      <c r="D82" s="9" t="inlineStr">
        <is>
          <t>Kamloops</t>
        </is>
      </c>
      <c r="E82" s="9" t="inlineStr">
        <is>
          <t>Interior</t>
        </is>
      </c>
      <c r="F82" s="9" t="inlineStr">
        <is>
          <t>C</t>
        </is>
      </c>
      <c r="G82" s="9" t="inlineStr">
        <is>
          <t>Y</t>
        </is>
      </c>
      <c r="H82" s="9" t="inlineStr">
        <is>
          <t>N</t>
        </is>
      </c>
      <c r="I82" s="9" t="inlineStr">
        <is>
          <t>N</t>
        </is>
      </c>
      <c r="J82" s="9" t="n">
        <v>3</v>
      </c>
    </row>
    <row r="83">
      <c r="A83" s="9" t="inlineStr">
        <is>
          <t>D079</t>
        </is>
      </c>
      <c r="B83" s="9" t="inlineStr">
        <is>
          <t>Stong's Market</t>
        </is>
      </c>
      <c r="C83" s="9" t="inlineStr">
        <is>
          <t>Stongs Penticton 07</t>
        </is>
      </c>
      <c r="D83" s="9" t="inlineStr">
        <is>
          <t>Penticton</t>
        </is>
      </c>
      <c r="E83" s="9" t="inlineStr">
        <is>
          <t>Interior</t>
        </is>
      </c>
      <c r="F83" s="9" t="inlineStr">
        <is>
          <t>C</t>
        </is>
      </c>
      <c r="G83" s="9" t="inlineStr">
        <is>
          <t>Y</t>
        </is>
      </c>
      <c r="H83" s="9" t="inlineStr">
        <is>
          <t>Y</t>
        </is>
      </c>
      <c r="I83" s="9" t="inlineStr">
        <is>
          <t>Y</t>
        </is>
      </c>
      <c r="J83" s="9" t="n">
        <v>4</v>
      </c>
    </row>
    <row r="84">
      <c r="A84" s="9" t="inlineStr">
        <is>
          <t>D080</t>
        </is>
      </c>
      <c r="B84" s="9" t="inlineStr">
        <is>
          <t>Fresh St Market</t>
        </is>
      </c>
      <c r="C84" s="9" t="inlineStr">
        <is>
          <t>FreshSt Nelson 08</t>
        </is>
      </c>
      <c r="D84" s="9" t="inlineStr">
        <is>
          <t>Nelson</t>
        </is>
      </c>
      <c r="E84" s="9" t="inlineStr">
        <is>
          <t>Interior</t>
        </is>
      </c>
      <c r="F84" s="9" t="inlineStr">
        <is>
          <t>C</t>
        </is>
      </c>
      <c r="G84" s="9" t="inlineStr">
        <is>
          <t>Y</t>
        </is>
      </c>
      <c r="H84" s="9" t="inlineStr">
        <is>
          <t>N</t>
        </is>
      </c>
      <c r="I84" s="9" t="inlineStr">
        <is>
          <t>N</t>
        </is>
      </c>
      <c r="J84" s="9" t="n">
        <v>5</v>
      </c>
    </row>
    <row r="85">
      <c r="A85" s="9" t="inlineStr">
        <is>
          <t>D081</t>
        </is>
      </c>
      <c r="B85" s="9" t="inlineStr">
        <is>
          <t>Choices Markets</t>
        </is>
      </c>
      <c r="C85" s="9" t="inlineStr">
        <is>
          <t>Choices Kelowna 09</t>
        </is>
      </c>
      <c r="D85" s="9" t="inlineStr">
        <is>
          <t>Kelowna</t>
        </is>
      </c>
      <c r="E85" s="9" t="inlineStr">
        <is>
          <t>Interior</t>
        </is>
      </c>
      <c r="F85" s="9" t="inlineStr">
        <is>
          <t>C</t>
        </is>
      </c>
      <c r="G85" s="9" t="inlineStr">
        <is>
          <t>Y</t>
        </is>
      </c>
      <c r="H85" s="9" t="inlineStr">
        <is>
          <t>Y</t>
        </is>
      </c>
      <c r="I85" s="9" t="inlineStr">
        <is>
          <t>N</t>
        </is>
      </c>
      <c r="J85" s="9" t="n">
        <v>2</v>
      </c>
    </row>
    <row r="86">
      <c r="A86" s="9" t="inlineStr">
        <is>
          <t>D082</t>
        </is>
      </c>
      <c r="B86" s="9" t="inlineStr">
        <is>
          <t>Nature's Fare Markets</t>
        </is>
      </c>
      <c r="C86" s="9" t="inlineStr">
        <is>
          <t>NatFare Vernon 01</t>
        </is>
      </c>
      <c r="D86" s="9" t="inlineStr">
        <is>
          <t>Vernon</t>
        </is>
      </c>
      <c r="E86" s="9" t="inlineStr">
        <is>
          <t>Interior</t>
        </is>
      </c>
      <c r="F86" s="9" t="inlineStr">
        <is>
          <t>C</t>
        </is>
      </c>
      <c r="G86" s="9" t="inlineStr">
        <is>
          <t>Y</t>
        </is>
      </c>
      <c r="H86" s="9" t="inlineStr">
        <is>
          <t>N</t>
        </is>
      </c>
      <c r="I86" s="9" t="inlineStr">
        <is>
          <t>Y</t>
        </is>
      </c>
      <c r="J86" s="9" t="n">
        <v>3</v>
      </c>
    </row>
    <row r="87">
      <c r="A87" s="9" t="inlineStr">
        <is>
          <t>D083</t>
        </is>
      </c>
      <c r="B87" s="9" t="inlineStr">
        <is>
          <t>Whole Foods Market</t>
        </is>
      </c>
      <c r="C87" s="9" t="inlineStr">
        <is>
          <t>WFM Kamloops 02</t>
        </is>
      </c>
      <c r="D87" s="9" t="inlineStr">
        <is>
          <t>Kamloops</t>
        </is>
      </c>
      <c r="E87" s="9" t="inlineStr">
        <is>
          <t>Interior</t>
        </is>
      </c>
      <c r="F87" s="9" t="inlineStr">
        <is>
          <t>C</t>
        </is>
      </c>
      <c r="G87" s="9" t="inlineStr">
        <is>
          <t>Y</t>
        </is>
      </c>
      <c r="H87" s="9" t="inlineStr">
        <is>
          <t>Y</t>
        </is>
      </c>
      <c r="I87" s="9" t="inlineStr">
        <is>
          <t>N</t>
        </is>
      </c>
      <c r="J87" s="9" t="n">
        <v>4</v>
      </c>
    </row>
    <row r="88">
      <c r="A88" s="9" t="inlineStr">
        <is>
          <t>D084</t>
        </is>
      </c>
      <c r="B88" s="9" t="inlineStr">
        <is>
          <t>Pomme Natural Market</t>
        </is>
      </c>
      <c r="C88" s="9" t="inlineStr">
        <is>
          <t>Pomme Penticton 03</t>
        </is>
      </c>
      <c r="D88" s="9" t="inlineStr">
        <is>
          <t>Penticton</t>
        </is>
      </c>
      <c r="E88" s="9" t="inlineStr">
        <is>
          <t>Interior</t>
        </is>
      </c>
      <c r="F88" s="9" t="inlineStr">
        <is>
          <t>C</t>
        </is>
      </c>
      <c r="G88" s="9" t="inlineStr">
        <is>
          <t>Y</t>
        </is>
      </c>
      <c r="H88" s="9" t="inlineStr">
        <is>
          <t>N</t>
        </is>
      </c>
      <c r="I88" s="9" t="inlineStr">
        <is>
          <t>N</t>
        </is>
      </c>
      <c r="J88" s="9" t="n">
        <v>5</v>
      </c>
    </row>
    <row r="89">
      <c r="A89" s="9" t="inlineStr">
        <is>
          <t>D085</t>
        </is>
      </c>
      <c r="B89" s="9" t="inlineStr">
        <is>
          <t>IGA Marketplace</t>
        </is>
      </c>
      <c r="C89" s="9" t="inlineStr">
        <is>
          <t>IGA Nelson 04</t>
        </is>
      </c>
      <c r="D89" s="9" t="inlineStr">
        <is>
          <t>Nelson</t>
        </is>
      </c>
      <c r="E89" s="9" t="inlineStr">
        <is>
          <t>Interior</t>
        </is>
      </c>
      <c r="F89" s="9" t="inlineStr">
        <is>
          <t>C</t>
        </is>
      </c>
      <c r="G89" s="9" t="inlineStr">
        <is>
          <t>Y</t>
        </is>
      </c>
      <c r="H89" s="9" t="inlineStr">
        <is>
          <t>Y</t>
        </is>
      </c>
      <c r="I89" s="9" t="inlineStr">
        <is>
          <t>Y</t>
        </is>
      </c>
      <c r="J89" s="9" t="n">
        <v>2</v>
      </c>
    </row>
    <row r="90">
      <c r="A90" s="9" t="inlineStr">
        <is>
          <t>D086</t>
        </is>
      </c>
      <c r="B90" s="9" t="inlineStr">
        <is>
          <t>Save On Foods</t>
        </is>
      </c>
      <c r="C90" s="9" t="inlineStr">
        <is>
          <t>SOF Kelowna 05</t>
        </is>
      </c>
      <c r="D90" s="9" t="inlineStr">
        <is>
          <t>Kelowna</t>
        </is>
      </c>
      <c r="E90" s="9" t="inlineStr">
        <is>
          <t>Interior</t>
        </is>
      </c>
      <c r="F90" s="9" t="inlineStr">
        <is>
          <t>C</t>
        </is>
      </c>
      <c r="G90" s="9" t="inlineStr">
        <is>
          <t>Y</t>
        </is>
      </c>
      <c r="H90" s="9" t="inlineStr">
        <is>
          <t>N</t>
        </is>
      </c>
      <c r="I90" s="9" t="inlineStr">
        <is>
          <t>N</t>
        </is>
      </c>
      <c r="J90" s="9" t="n">
        <v>3</v>
      </c>
    </row>
    <row r="91">
      <c r="A91" s="9" t="inlineStr">
        <is>
          <t>D087</t>
        </is>
      </c>
      <c r="B91" s="9" t="inlineStr">
        <is>
          <t>Urban Fare</t>
        </is>
      </c>
      <c r="C91" s="9" t="inlineStr">
        <is>
          <t>Urban Vernon 06</t>
        </is>
      </c>
      <c r="D91" s="9" t="inlineStr">
        <is>
          <t>Vernon</t>
        </is>
      </c>
      <c r="E91" s="9" t="inlineStr">
        <is>
          <t>Interior</t>
        </is>
      </c>
      <c r="F91" s="9" t="inlineStr">
        <is>
          <t>C</t>
        </is>
      </c>
      <c r="G91" s="9" t="inlineStr">
        <is>
          <t>Y</t>
        </is>
      </c>
      <c r="H91" s="9" t="inlineStr">
        <is>
          <t>Y</t>
        </is>
      </c>
      <c r="I91" s="9" t="inlineStr">
        <is>
          <t>N</t>
        </is>
      </c>
      <c r="J91" s="9" t="n">
        <v>4</v>
      </c>
    </row>
    <row r="92">
      <c r="A92" s="9" t="inlineStr">
        <is>
          <t>D088</t>
        </is>
      </c>
      <c r="B92" s="9" t="inlineStr">
        <is>
          <t>Independent Grocer</t>
        </is>
      </c>
      <c r="C92" s="9" t="inlineStr">
        <is>
          <t>Indie Kamloops 07</t>
        </is>
      </c>
      <c r="D92" s="9" t="inlineStr">
        <is>
          <t>Kamloops</t>
        </is>
      </c>
      <c r="E92" s="9" t="inlineStr">
        <is>
          <t>Interior</t>
        </is>
      </c>
      <c r="F92" s="9" t="inlineStr">
        <is>
          <t>C</t>
        </is>
      </c>
      <c r="G92" s="9" t="inlineStr">
        <is>
          <t>Y</t>
        </is>
      </c>
      <c r="H92" s="9" t="inlineStr">
        <is>
          <t>N</t>
        </is>
      </c>
      <c r="I92" s="9" t="inlineStr">
        <is>
          <t>Y</t>
        </is>
      </c>
      <c r="J92" s="9" t="n">
        <v>5</v>
      </c>
    </row>
    <row r="93">
      <c r="A93" s="9" t="inlineStr">
        <is>
          <t>D089</t>
        </is>
      </c>
      <c r="B93" s="9" t="inlineStr">
        <is>
          <t>Stong's Market</t>
        </is>
      </c>
      <c r="C93" s="9" t="inlineStr">
        <is>
          <t>Stongs Penticton 08</t>
        </is>
      </c>
      <c r="D93" s="9" t="inlineStr">
        <is>
          <t>Penticton</t>
        </is>
      </c>
      <c r="E93" s="9" t="inlineStr">
        <is>
          <t>Interior</t>
        </is>
      </c>
      <c r="F93" s="9" t="inlineStr">
        <is>
          <t>C</t>
        </is>
      </c>
      <c r="G93" s="9" t="inlineStr">
        <is>
          <t>Y</t>
        </is>
      </c>
      <c r="H93" s="9" t="inlineStr">
        <is>
          <t>Y</t>
        </is>
      </c>
      <c r="I93" s="9" t="inlineStr">
        <is>
          <t>N</t>
        </is>
      </c>
      <c r="J93" s="9" t="n">
        <v>2</v>
      </c>
    </row>
    <row r="94">
      <c r="A94" s="9" t="inlineStr">
        <is>
          <t>D090</t>
        </is>
      </c>
      <c r="B94" s="9" t="inlineStr">
        <is>
          <t>Fresh St Market</t>
        </is>
      </c>
      <c r="C94" s="9" t="inlineStr">
        <is>
          <t>FreshSt Nelson 09</t>
        </is>
      </c>
      <c r="D94" s="9" t="inlineStr">
        <is>
          <t>Nelson</t>
        </is>
      </c>
      <c r="E94" s="9" t="inlineStr">
        <is>
          <t>Interior</t>
        </is>
      </c>
      <c r="F94" s="9" t="inlineStr">
        <is>
          <t>C</t>
        </is>
      </c>
      <c r="G94" s="9" t="inlineStr">
        <is>
          <t>Y</t>
        </is>
      </c>
      <c r="H94" s="9" t="inlineStr">
        <is>
          <t>N</t>
        </is>
      </c>
      <c r="I94" s="9" t="inlineStr">
        <is>
          <t>N</t>
        </is>
      </c>
      <c r="J94" s="9" t="n">
        <v>3</v>
      </c>
    </row>
    <row r="95">
      <c r="A95" s="9" t="inlineStr">
        <is>
          <t>D091</t>
        </is>
      </c>
      <c r="B95" s="9" t="inlineStr">
        <is>
          <t>Choices Markets</t>
        </is>
      </c>
      <c r="C95" s="9" t="inlineStr">
        <is>
          <t>Choices Kelowna 01</t>
        </is>
      </c>
      <c r="D95" s="9" t="inlineStr">
        <is>
          <t>Kelowna</t>
        </is>
      </c>
      <c r="E95" s="9" t="inlineStr">
        <is>
          <t>Interior</t>
        </is>
      </c>
      <c r="F95" s="9" t="inlineStr">
        <is>
          <t>C</t>
        </is>
      </c>
      <c r="G95" s="9" t="inlineStr">
        <is>
          <t>Y</t>
        </is>
      </c>
      <c r="H95" s="9" t="inlineStr">
        <is>
          <t>Y</t>
        </is>
      </c>
      <c r="I95" s="9" t="inlineStr">
        <is>
          <t>Y</t>
        </is>
      </c>
      <c r="J95" s="9" t="n">
        <v>4</v>
      </c>
    </row>
    <row r="96">
      <c r="A96" s="9" t="inlineStr">
        <is>
          <t>D092</t>
        </is>
      </c>
      <c r="B96" s="9" t="inlineStr">
        <is>
          <t>Nature's Fare Markets</t>
        </is>
      </c>
      <c r="C96" s="9" t="inlineStr">
        <is>
          <t>NatFare Vernon 02</t>
        </is>
      </c>
      <c r="D96" s="9" t="inlineStr">
        <is>
          <t>Vernon</t>
        </is>
      </c>
      <c r="E96" s="9" t="inlineStr">
        <is>
          <t>Interior</t>
        </is>
      </c>
      <c r="F96" s="9" t="inlineStr">
        <is>
          <t>C</t>
        </is>
      </c>
      <c r="G96" s="9" t="inlineStr">
        <is>
          <t>Y</t>
        </is>
      </c>
      <c r="H96" s="9" t="inlineStr">
        <is>
          <t>N</t>
        </is>
      </c>
      <c r="I96" s="9" t="inlineStr">
        <is>
          <t>N</t>
        </is>
      </c>
      <c r="J96" s="9" t="n">
        <v>5</v>
      </c>
    </row>
    <row r="97">
      <c r="A97" s="9" t="inlineStr">
        <is>
          <t>D093</t>
        </is>
      </c>
      <c r="B97" s="9" t="inlineStr">
        <is>
          <t>Whole Foods Market</t>
        </is>
      </c>
      <c r="C97" s="9" t="inlineStr">
        <is>
          <t>WFM Kamloops 03</t>
        </is>
      </c>
      <c r="D97" s="9" t="inlineStr">
        <is>
          <t>Kamloops</t>
        </is>
      </c>
      <c r="E97" s="9" t="inlineStr">
        <is>
          <t>Interior</t>
        </is>
      </c>
      <c r="F97" s="9" t="inlineStr">
        <is>
          <t>C</t>
        </is>
      </c>
      <c r="G97" s="9" t="inlineStr">
        <is>
          <t>Y</t>
        </is>
      </c>
      <c r="H97" s="9" t="inlineStr">
        <is>
          <t>Y</t>
        </is>
      </c>
      <c r="I97" s="9" t="inlineStr">
        <is>
          <t>N</t>
        </is>
      </c>
      <c r="J97" s="9" t="n">
        <v>2</v>
      </c>
    </row>
    <row r="98">
      <c r="A98" s="9" t="inlineStr">
        <is>
          <t>D094</t>
        </is>
      </c>
      <c r="B98" s="9" t="inlineStr">
        <is>
          <t>Pomme Natural Market</t>
        </is>
      </c>
      <c r="C98" s="9" t="inlineStr">
        <is>
          <t>Pomme Penticton 04</t>
        </is>
      </c>
      <c r="D98" s="9" t="inlineStr">
        <is>
          <t>Penticton</t>
        </is>
      </c>
      <c r="E98" s="9" t="inlineStr">
        <is>
          <t>Interior</t>
        </is>
      </c>
      <c r="F98" s="9" t="inlineStr">
        <is>
          <t>C</t>
        </is>
      </c>
      <c r="G98" s="9" t="inlineStr">
        <is>
          <t>Y</t>
        </is>
      </c>
      <c r="H98" s="9" t="inlineStr">
        <is>
          <t>N</t>
        </is>
      </c>
      <c r="I98" s="9" t="inlineStr">
        <is>
          <t>Y</t>
        </is>
      </c>
      <c r="J98" s="9" t="n">
        <v>3</v>
      </c>
    </row>
    <row r="99">
      <c r="A99" s="9" t="inlineStr">
        <is>
          <t>D095</t>
        </is>
      </c>
      <c r="B99" s="9" t="inlineStr">
        <is>
          <t>IGA Marketplace</t>
        </is>
      </c>
      <c r="C99" s="9" t="inlineStr">
        <is>
          <t>IGA Terrace 05</t>
        </is>
      </c>
      <c r="D99" s="9" t="inlineStr">
        <is>
          <t>Terrace</t>
        </is>
      </c>
      <c r="E99" s="9" t="inlineStr">
        <is>
          <t>North</t>
        </is>
      </c>
      <c r="F99" s="9" t="inlineStr">
        <is>
          <t>C</t>
        </is>
      </c>
      <c r="G99" s="9" t="inlineStr">
        <is>
          <t>Y</t>
        </is>
      </c>
      <c r="H99" s="9" t="inlineStr">
        <is>
          <t>Y</t>
        </is>
      </c>
      <c r="I99" s="9" t="inlineStr">
        <is>
          <t>N</t>
        </is>
      </c>
      <c r="J99" s="9" t="n">
        <v>4</v>
      </c>
    </row>
    <row r="100">
      <c r="A100" s="9" t="inlineStr">
        <is>
          <t>D096</t>
        </is>
      </c>
      <c r="B100" s="9" t="inlineStr">
        <is>
          <t>Save On Foods</t>
        </is>
      </c>
      <c r="C100" s="9" t="inlineStr">
        <is>
          <t>SOF Smithers 06</t>
        </is>
      </c>
      <c r="D100" s="9" t="inlineStr">
        <is>
          <t>Smithers</t>
        </is>
      </c>
      <c r="E100" s="9" t="inlineStr">
        <is>
          <t>North</t>
        </is>
      </c>
      <c r="F100" s="9" t="inlineStr">
        <is>
          <t>C</t>
        </is>
      </c>
      <c r="G100" s="9" t="inlineStr">
        <is>
          <t>Y</t>
        </is>
      </c>
      <c r="H100" s="9" t="inlineStr">
        <is>
          <t>N</t>
        </is>
      </c>
      <c r="I100" s="9" t="inlineStr">
        <is>
          <t>N</t>
        </is>
      </c>
      <c r="J100" s="9" t="n">
        <v>5</v>
      </c>
    </row>
    <row r="101">
      <c r="A101" s="9" t="inlineStr">
        <is>
          <t>D097</t>
        </is>
      </c>
      <c r="B101" s="9" t="inlineStr">
        <is>
          <t>Urban Fare</t>
        </is>
      </c>
      <c r="C101" s="9" t="inlineStr">
        <is>
          <t>Urban Prince George 07</t>
        </is>
      </c>
      <c r="D101" s="9" t="inlineStr">
        <is>
          <t>Prince George</t>
        </is>
      </c>
      <c r="E101" s="9" t="inlineStr">
        <is>
          <t>North</t>
        </is>
      </c>
      <c r="F101" s="9" t="inlineStr">
        <is>
          <t>C</t>
        </is>
      </c>
      <c r="G101" s="9" t="inlineStr">
        <is>
          <t>Y</t>
        </is>
      </c>
      <c r="H101" s="9" t="inlineStr">
        <is>
          <t>Y</t>
        </is>
      </c>
      <c r="I101" s="9" t="inlineStr">
        <is>
          <t>Y</t>
        </is>
      </c>
      <c r="J101" s="9" t="n">
        <v>2</v>
      </c>
    </row>
    <row r="102">
      <c r="A102" s="9" t="inlineStr">
        <is>
          <t>D098</t>
        </is>
      </c>
      <c r="B102" s="9" t="inlineStr">
        <is>
          <t>Independent Grocer</t>
        </is>
      </c>
      <c r="C102" s="9" t="inlineStr">
        <is>
          <t>Indie Terrace 08</t>
        </is>
      </c>
      <c r="D102" s="9" t="inlineStr">
        <is>
          <t>Terrace</t>
        </is>
      </c>
      <c r="E102" s="9" t="inlineStr">
        <is>
          <t>North</t>
        </is>
      </c>
      <c r="F102" s="9" t="inlineStr">
        <is>
          <t>C</t>
        </is>
      </c>
      <c r="G102" s="9" t="inlineStr">
        <is>
          <t>Y</t>
        </is>
      </c>
      <c r="H102" s="9" t="inlineStr">
        <is>
          <t>N</t>
        </is>
      </c>
      <c r="I102" s="9" t="inlineStr">
        <is>
          <t>N</t>
        </is>
      </c>
      <c r="J102" s="9" t="n">
        <v>3</v>
      </c>
    </row>
    <row r="103">
      <c r="A103" s="9" t="inlineStr">
        <is>
          <t>D099</t>
        </is>
      </c>
      <c r="B103" s="9" t="inlineStr">
        <is>
          <t>Stong's Market</t>
        </is>
      </c>
      <c r="C103" s="9" t="inlineStr">
        <is>
          <t>Stongs Smithers 09</t>
        </is>
      </c>
      <c r="D103" s="9" t="inlineStr">
        <is>
          <t>Smithers</t>
        </is>
      </c>
      <c r="E103" s="9" t="inlineStr">
        <is>
          <t>North</t>
        </is>
      </c>
      <c r="F103" s="9" t="inlineStr">
        <is>
          <t>C</t>
        </is>
      </c>
      <c r="G103" s="9" t="inlineStr">
        <is>
          <t>Y</t>
        </is>
      </c>
      <c r="H103" s="9" t="inlineStr">
        <is>
          <t>Y</t>
        </is>
      </c>
      <c r="I103" s="9" t="inlineStr">
        <is>
          <t>N</t>
        </is>
      </c>
      <c r="J103" s="9" t="n">
        <v>4</v>
      </c>
    </row>
    <row r="104">
      <c r="A104" s="9" t="inlineStr">
        <is>
          <t>D100</t>
        </is>
      </c>
      <c r="B104" s="9" t="inlineStr">
        <is>
          <t>Fresh St Market</t>
        </is>
      </c>
      <c r="C104" s="9" t="inlineStr">
        <is>
          <t>FreshSt Prince George 01</t>
        </is>
      </c>
      <c r="D104" s="9" t="inlineStr">
        <is>
          <t>Prince George</t>
        </is>
      </c>
      <c r="E104" s="9" t="inlineStr">
        <is>
          <t>North</t>
        </is>
      </c>
      <c r="F104" s="9" t="inlineStr">
        <is>
          <t>C</t>
        </is>
      </c>
      <c r="G104" s="9" t="inlineStr">
        <is>
          <t>Y</t>
        </is>
      </c>
      <c r="H104" s="9" t="inlineStr">
        <is>
          <t>N</t>
        </is>
      </c>
      <c r="I104" s="9" t="inlineStr">
        <is>
          <t>Y</t>
        </is>
      </c>
      <c r="J104" s="9" t="n">
        <v>5</v>
      </c>
    </row>
  </sheetData>
  <dataValidations count="4">
    <dataValidation sqref="E5:E104" showDropDown="0" showInputMessage="0" showErrorMessage="0" allowBlank="0" type="list">
      <formula1>"Lower Mainland,Vancouver Island,Interior,North"</formula1>
    </dataValidation>
    <dataValidation sqref="F5:F104" showDropDown="0" showInputMessage="0" showErrorMessage="0" allowBlank="0" type="list">
      <formula1>"A,B,C"</formula1>
    </dataValidation>
    <dataValidation sqref="G5:I104" showDropDown="0" showInputMessage="0" showErrorMessage="0" allowBlank="0" type="list">
      <formula1>"Y,N"</formula1>
    </dataValidation>
    <dataValidation sqref="J5:J104" showDropDown="0" showInputMessage="0" showErrorMessage="0" allowBlank="0" type="whole" operator="between">
      <formula1>1</formula1>
      <formula2>13</formula2>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304"/>
  <sheetViews>
    <sheetView showGridLines="0" workbookViewId="0">
      <pane xSplit="9" ySplit="4" topLeftCell="J5"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22" customWidth="1" min="3" max="3"/>
    <col width="22" customWidth="1" min="4" max="4"/>
    <col width="16" customWidth="1" min="5" max="5"/>
    <col width="6" customWidth="1" min="6" max="6"/>
    <col width="12" customWidth="1" min="7" max="7"/>
    <col width="12" customWidth="1" min="8" max="8"/>
    <col width="12" customWidth="1" min="9" max="9"/>
    <col width="8" customWidth="1" min="10" max="10"/>
    <col width="8" customWidth="1" min="11" max="11"/>
    <col width="8" customWidth="1" min="12" max="12"/>
    <col width="8" customWidth="1" min="13" max="13"/>
    <col width="8" customWidth="1" min="14" max="14"/>
    <col width="8" customWidth="1" min="15" max="15"/>
    <col width="8" customWidth="1" min="16" max="16"/>
    <col width="8" customWidth="1" min="17" max="17"/>
    <col width="8" customWidth="1" min="18" max="18"/>
    <col width="8" customWidth="1" min="19" max="19"/>
    <col width="8" customWidth="1" min="20" max="20"/>
    <col width="8" customWidth="1" min="21" max="21"/>
    <col width="8" customWidth="1" min="22" max="22"/>
  </cols>
  <sheetData>
    <row r="1">
      <c r="A1" s="1" t="inlineStr">
        <is>
          <t>Velocity Grid</t>
        </is>
      </c>
    </row>
    <row r="2">
      <c r="A2" s="2" t="inlineStr">
        <is>
          <t>Heart of the model. Each row is one SKU at one door. W1 through W13 hold units per week. Formulas reflow when Inputs, Activations, Bulk Edit, or Scenarios change. Overtype a cell to apply a hard override. Overridden cells highlight in amber automatically.</t>
        </is>
      </c>
    </row>
    <row r="4">
      <c r="A4" s="5" t="inlineStr">
        <is>
          <t>Row ID</t>
        </is>
      </c>
      <c r="B4" s="5" t="inlineStr">
        <is>
          <t>Door ID</t>
        </is>
      </c>
      <c r="C4" s="5" t="inlineStr">
        <is>
          <t>Door Name</t>
        </is>
      </c>
      <c r="D4" s="5" t="inlineStr">
        <is>
          <t>Banner</t>
        </is>
      </c>
      <c r="E4" s="5" t="inlineStr">
        <is>
          <t>Region</t>
        </is>
      </c>
      <c r="F4" s="5" t="inlineStr">
        <is>
          <t>Tier</t>
        </is>
      </c>
      <c r="G4" s="5" t="inlineStr">
        <is>
          <t>SKU</t>
        </is>
      </c>
      <c r="H4" s="5" t="inlineStr">
        <is>
          <t>Authorized</t>
        </is>
      </c>
      <c r="I4" s="5" t="inlineStr">
        <is>
          <t>Launch Week</t>
        </is>
      </c>
      <c r="J4" s="5" t="inlineStr">
        <is>
          <t>W1</t>
        </is>
      </c>
      <c r="K4" s="5" t="inlineStr">
        <is>
          <t>W2</t>
        </is>
      </c>
      <c r="L4" s="5" t="inlineStr">
        <is>
          <t>W3</t>
        </is>
      </c>
      <c r="M4" s="5" t="inlineStr">
        <is>
          <t>W4</t>
        </is>
      </c>
      <c r="N4" s="5" t="inlineStr">
        <is>
          <t>W5</t>
        </is>
      </c>
      <c r="O4" s="5" t="inlineStr">
        <is>
          <t>W6</t>
        </is>
      </c>
      <c r="P4" s="5" t="inlineStr">
        <is>
          <t>W7</t>
        </is>
      </c>
      <c r="Q4" s="5" t="inlineStr">
        <is>
          <t>W8</t>
        </is>
      </c>
      <c r="R4" s="5" t="inlineStr">
        <is>
          <t>W9</t>
        </is>
      </c>
      <c r="S4" s="5" t="inlineStr">
        <is>
          <t>W10</t>
        </is>
      </c>
      <c r="T4" s="5" t="inlineStr">
        <is>
          <t>W11</t>
        </is>
      </c>
      <c r="U4" s="5" t="inlineStr">
        <is>
          <t>W12</t>
        </is>
      </c>
      <c r="V4" s="5" t="inlineStr">
        <is>
          <t>W13</t>
        </is>
      </c>
    </row>
    <row r="5">
      <c r="A5" t="inlineStr">
        <is>
          <t>R0001</t>
        </is>
      </c>
      <c r="B5">
        <f>Doors!$A$5</f>
        <v/>
      </c>
      <c r="C5">
        <f>Doors!$C$5</f>
        <v/>
      </c>
      <c r="D5">
        <f>Doors!$B$5</f>
        <v/>
      </c>
      <c r="E5">
        <f>Doors!$E$5</f>
        <v/>
      </c>
      <c r="F5">
        <f>Doors!$F$5</f>
        <v/>
      </c>
      <c r="G5" t="inlineStr">
        <is>
          <t>Lime Lemon</t>
        </is>
      </c>
      <c r="H5">
        <f>Doors!$G$5</f>
        <v/>
      </c>
      <c r="I5">
        <f>Doors!$J$5</f>
        <v/>
      </c>
      <c r="J5" s="10">
        <f>IF(OR($H5&lt;&gt;"Y",1&lt;$I5),0,IF(SUMPRODUCT(((BULK_ENABLED="Y")*((BULK_TIER="ALL")+(BULK_TIER=$F5))*((BULK_SKU="ALL")+(BULK_SKU=$G5))*(BULK_START&lt;=1)*(BULK_END&gt;=1)))&gt;0,IFERROR(SUMPRODUCT(((BULK_ENABLED="Y")*((BULK_TIER="ALL")+(BULK_TIER=$F5))*((BULK_SKU="ALL")+(BULK_SKU=$G5))*(BULK_START&lt;=1)*(BULK_END&gt;=1))*IFERROR(BULK_VALUE,0))/MAX(1,SUMPRODUCT(((BULK_ENABLED="Y")*((BULK_TIER="ALL")+(BULK_TIER=$F5))*((BULK_SKU="ALL")+(BULK_SKU=$G5))*(BULK_START&lt;=1)*(BULK_END&gt;=1)))),0),ROUND((INDEX(VELOCITY_TABLE,MATCH($F5,TIER_LIST,0),1))*(IF((1-$I5+1)&lt;=0,0,IF((1-$I5+1)=1,RAMP_W1,IF((1-$I5+1)=2,RAMP_W2,IF((1-$I5+1)=3,RAMP_W3,RAMP_W4PLUS)))))*(INDEX(ACTIVE_MULT_TABLE,1,1))*(1+SUMPRODUCT(SIGN(((ACT_DOOR_SCOPE="ALL")+(ACT_DOOR_SCOPE="TIER_"&amp;$F5)+(ACT_DOOR_SCOPE=$B5)))*SIGN(((ACT_SKU_SCOPE="ALL")+(ACT_SKU_SCOPE=$G5)))*(ACT_START&lt;=1)*(ACT_END&gt;=1)*IFERROR(ACT_UPLIFT-1,0)))*(1+SUMPRODUCT(SIGN(((ACT_DOOR_SCOPE="ALL")+(ACT_DOOR_SCOPE="TIER_"&amp;$F5)+(ACT_DOOR_SCOPE=$B5)))*SIGN(((ACT_SKU_SCOPE="ALL")+(ACT_SKU_SCOPE=$G5)))*(1&gt;ACT_END)*(ACT_END&gt;0)*IFERROR(ACT_POSTLIFT,0))),0)))</f>
        <v/>
      </c>
      <c r="K5" s="10">
        <f>IF(OR($H5&lt;&gt;"Y",2&lt;$I5),0,IF(SUMPRODUCT(((BULK_ENABLED="Y")*((BULK_TIER="ALL")+(BULK_TIER=$F5))*((BULK_SKU="ALL")+(BULK_SKU=$G5))*(BULK_START&lt;=2)*(BULK_END&gt;=2)))&gt;0,IFERROR(SUMPRODUCT(((BULK_ENABLED="Y")*((BULK_TIER="ALL")+(BULK_TIER=$F5))*((BULK_SKU="ALL")+(BULK_SKU=$G5))*(BULK_START&lt;=2)*(BULK_END&gt;=2))*IFERROR(BULK_VALUE,0))/MAX(1,SUMPRODUCT(((BULK_ENABLED="Y")*((BULK_TIER="ALL")+(BULK_TIER=$F5))*((BULK_SKU="ALL")+(BULK_SKU=$G5))*(BULK_START&lt;=2)*(BULK_END&gt;=2)))),0),ROUND((INDEX(VELOCITY_TABLE,MATCH($F5,TIER_LIST,0),1))*(IF((2-$I5+1)&lt;=0,0,IF((2-$I5+1)=1,RAMP_W1,IF((2-$I5+1)=2,RAMP_W2,IF((2-$I5+1)=3,RAMP_W3,RAMP_W4PLUS)))))*(INDEX(ACTIVE_MULT_TABLE,1,1))*(1+SUMPRODUCT(SIGN(((ACT_DOOR_SCOPE="ALL")+(ACT_DOOR_SCOPE="TIER_"&amp;$F5)+(ACT_DOOR_SCOPE=$B5)))*SIGN(((ACT_SKU_SCOPE="ALL")+(ACT_SKU_SCOPE=$G5)))*(ACT_START&lt;=2)*(ACT_END&gt;=2)*IFERROR(ACT_UPLIFT-1,0)))*(1+SUMPRODUCT(SIGN(((ACT_DOOR_SCOPE="ALL")+(ACT_DOOR_SCOPE="TIER_"&amp;$F5)+(ACT_DOOR_SCOPE=$B5)))*SIGN(((ACT_SKU_SCOPE="ALL")+(ACT_SKU_SCOPE=$G5)))*(2&gt;ACT_END)*(ACT_END&gt;0)*IFERROR(ACT_POSTLIFT,0))),0)))</f>
        <v/>
      </c>
      <c r="L5" s="10">
        <f>IF(OR($H5&lt;&gt;"Y",3&lt;$I5),0,IF(SUMPRODUCT(((BULK_ENABLED="Y")*((BULK_TIER="ALL")+(BULK_TIER=$F5))*((BULK_SKU="ALL")+(BULK_SKU=$G5))*(BULK_START&lt;=3)*(BULK_END&gt;=3)))&gt;0,IFERROR(SUMPRODUCT(((BULK_ENABLED="Y")*((BULK_TIER="ALL")+(BULK_TIER=$F5))*((BULK_SKU="ALL")+(BULK_SKU=$G5))*(BULK_START&lt;=3)*(BULK_END&gt;=3))*IFERROR(BULK_VALUE,0))/MAX(1,SUMPRODUCT(((BULK_ENABLED="Y")*((BULK_TIER="ALL")+(BULK_TIER=$F5))*((BULK_SKU="ALL")+(BULK_SKU=$G5))*(BULK_START&lt;=3)*(BULK_END&gt;=3)))),0),ROUND((INDEX(VELOCITY_TABLE,MATCH($F5,TIER_LIST,0),1))*(IF((3-$I5+1)&lt;=0,0,IF((3-$I5+1)=1,RAMP_W1,IF((3-$I5+1)=2,RAMP_W2,IF((3-$I5+1)=3,RAMP_W3,RAMP_W4PLUS)))))*(INDEX(ACTIVE_MULT_TABLE,1,1))*(1+SUMPRODUCT(SIGN(((ACT_DOOR_SCOPE="ALL")+(ACT_DOOR_SCOPE="TIER_"&amp;$F5)+(ACT_DOOR_SCOPE=$B5)))*SIGN(((ACT_SKU_SCOPE="ALL")+(ACT_SKU_SCOPE=$G5)))*(ACT_START&lt;=3)*(ACT_END&gt;=3)*IFERROR(ACT_UPLIFT-1,0)))*(1+SUMPRODUCT(SIGN(((ACT_DOOR_SCOPE="ALL")+(ACT_DOOR_SCOPE="TIER_"&amp;$F5)+(ACT_DOOR_SCOPE=$B5)))*SIGN(((ACT_SKU_SCOPE="ALL")+(ACT_SKU_SCOPE=$G5)))*(3&gt;ACT_END)*(ACT_END&gt;0)*IFERROR(ACT_POSTLIFT,0))),0)))</f>
        <v/>
      </c>
      <c r="M5" s="10">
        <f>IF(OR($H5&lt;&gt;"Y",4&lt;$I5),0,IF(SUMPRODUCT(((BULK_ENABLED="Y")*((BULK_TIER="ALL")+(BULK_TIER=$F5))*((BULK_SKU="ALL")+(BULK_SKU=$G5))*(BULK_START&lt;=4)*(BULK_END&gt;=4)))&gt;0,IFERROR(SUMPRODUCT(((BULK_ENABLED="Y")*((BULK_TIER="ALL")+(BULK_TIER=$F5))*((BULK_SKU="ALL")+(BULK_SKU=$G5))*(BULK_START&lt;=4)*(BULK_END&gt;=4))*IFERROR(BULK_VALUE,0))/MAX(1,SUMPRODUCT(((BULK_ENABLED="Y")*((BULK_TIER="ALL")+(BULK_TIER=$F5))*((BULK_SKU="ALL")+(BULK_SKU=$G5))*(BULK_START&lt;=4)*(BULK_END&gt;=4)))),0),ROUND((INDEX(VELOCITY_TABLE,MATCH($F5,TIER_LIST,0),1))*(IF((4-$I5+1)&lt;=0,0,IF((4-$I5+1)=1,RAMP_W1,IF((4-$I5+1)=2,RAMP_W2,IF((4-$I5+1)=3,RAMP_W3,RAMP_W4PLUS)))))*(INDEX(ACTIVE_MULT_TABLE,1,1))*(1+SUMPRODUCT(SIGN(((ACT_DOOR_SCOPE="ALL")+(ACT_DOOR_SCOPE="TIER_"&amp;$F5)+(ACT_DOOR_SCOPE=$B5)))*SIGN(((ACT_SKU_SCOPE="ALL")+(ACT_SKU_SCOPE=$G5)))*(ACT_START&lt;=4)*(ACT_END&gt;=4)*IFERROR(ACT_UPLIFT-1,0)))*(1+SUMPRODUCT(SIGN(((ACT_DOOR_SCOPE="ALL")+(ACT_DOOR_SCOPE="TIER_"&amp;$F5)+(ACT_DOOR_SCOPE=$B5)))*SIGN(((ACT_SKU_SCOPE="ALL")+(ACT_SKU_SCOPE=$G5)))*(4&gt;ACT_END)*(ACT_END&gt;0)*IFERROR(ACT_POSTLIFT,0))),0)))</f>
        <v/>
      </c>
      <c r="N5" s="10">
        <f>IF(OR($H5&lt;&gt;"Y",5&lt;$I5),0,IF(SUMPRODUCT(((BULK_ENABLED="Y")*((BULK_TIER="ALL")+(BULK_TIER=$F5))*((BULK_SKU="ALL")+(BULK_SKU=$G5))*(BULK_START&lt;=5)*(BULK_END&gt;=5)))&gt;0,IFERROR(SUMPRODUCT(((BULK_ENABLED="Y")*((BULK_TIER="ALL")+(BULK_TIER=$F5))*((BULK_SKU="ALL")+(BULK_SKU=$G5))*(BULK_START&lt;=5)*(BULK_END&gt;=5))*IFERROR(BULK_VALUE,0))/MAX(1,SUMPRODUCT(((BULK_ENABLED="Y")*((BULK_TIER="ALL")+(BULK_TIER=$F5))*((BULK_SKU="ALL")+(BULK_SKU=$G5))*(BULK_START&lt;=5)*(BULK_END&gt;=5)))),0),ROUND((INDEX(VELOCITY_TABLE,MATCH($F5,TIER_LIST,0),1))*(IF((5-$I5+1)&lt;=0,0,IF((5-$I5+1)=1,RAMP_W1,IF((5-$I5+1)=2,RAMP_W2,IF((5-$I5+1)=3,RAMP_W3,RAMP_W4PLUS)))))*(INDEX(ACTIVE_MULT_TABLE,1,1))*(1+SUMPRODUCT(SIGN(((ACT_DOOR_SCOPE="ALL")+(ACT_DOOR_SCOPE="TIER_"&amp;$F5)+(ACT_DOOR_SCOPE=$B5)))*SIGN(((ACT_SKU_SCOPE="ALL")+(ACT_SKU_SCOPE=$G5)))*(ACT_START&lt;=5)*(ACT_END&gt;=5)*IFERROR(ACT_UPLIFT-1,0)))*(1+SUMPRODUCT(SIGN(((ACT_DOOR_SCOPE="ALL")+(ACT_DOOR_SCOPE="TIER_"&amp;$F5)+(ACT_DOOR_SCOPE=$B5)))*SIGN(((ACT_SKU_SCOPE="ALL")+(ACT_SKU_SCOPE=$G5)))*(5&gt;ACT_END)*(ACT_END&gt;0)*IFERROR(ACT_POSTLIFT,0))),0)))</f>
        <v/>
      </c>
      <c r="O5" s="10">
        <f>IF(OR($H5&lt;&gt;"Y",6&lt;$I5),0,IF(SUMPRODUCT(((BULK_ENABLED="Y")*((BULK_TIER="ALL")+(BULK_TIER=$F5))*((BULK_SKU="ALL")+(BULK_SKU=$G5))*(BULK_START&lt;=6)*(BULK_END&gt;=6)))&gt;0,IFERROR(SUMPRODUCT(((BULK_ENABLED="Y")*((BULK_TIER="ALL")+(BULK_TIER=$F5))*((BULK_SKU="ALL")+(BULK_SKU=$G5))*(BULK_START&lt;=6)*(BULK_END&gt;=6))*IFERROR(BULK_VALUE,0))/MAX(1,SUMPRODUCT(((BULK_ENABLED="Y")*((BULK_TIER="ALL")+(BULK_TIER=$F5))*((BULK_SKU="ALL")+(BULK_SKU=$G5))*(BULK_START&lt;=6)*(BULK_END&gt;=6)))),0),ROUND((INDEX(VELOCITY_TABLE,MATCH($F5,TIER_LIST,0),1))*(IF((6-$I5+1)&lt;=0,0,IF((6-$I5+1)=1,RAMP_W1,IF((6-$I5+1)=2,RAMP_W2,IF((6-$I5+1)=3,RAMP_W3,RAMP_W4PLUS)))))*(INDEX(ACTIVE_MULT_TABLE,1,1))*(1+SUMPRODUCT(SIGN(((ACT_DOOR_SCOPE="ALL")+(ACT_DOOR_SCOPE="TIER_"&amp;$F5)+(ACT_DOOR_SCOPE=$B5)))*SIGN(((ACT_SKU_SCOPE="ALL")+(ACT_SKU_SCOPE=$G5)))*(ACT_START&lt;=6)*(ACT_END&gt;=6)*IFERROR(ACT_UPLIFT-1,0)))*(1+SUMPRODUCT(SIGN(((ACT_DOOR_SCOPE="ALL")+(ACT_DOOR_SCOPE="TIER_"&amp;$F5)+(ACT_DOOR_SCOPE=$B5)))*SIGN(((ACT_SKU_SCOPE="ALL")+(ACT_SKU_SCOPE=$G5)))*(6&gt;ACT_END)*(ACT_END&gt;0)*IFERROR(ACT_POSTLIFT,0))),0)))</f>
        <v/>
      </c>
      <c r="P5" s="10">
        <f>IF(OR($H5&lt;&gt;"Y",7&lt;$I5),0,IF(SUMPRODUCT(((BULK_ENABLED="Y")*((BULK_TIER="ALL")+(BULK_TIER=$F5))*((BULK_SKU="ALL")+(BULK_SKU=$G5))*(BULK_START&lt;=7)*(BULK_END&gt;=7)))&gt;0,IFERROR(SUMPRODUCT(((BULK_ENABLED="Y")*((BULK_TIER="ALL")+(BULK_TIER=$F5))*((BULK_SKU="ALL")+(BULK_SKU=$G5))*(BULK_START&lt;=7)*(BULK_END&gt;=7))*IFERROR(BULK_VALUE,0))/MAX(1,SUMPRODUCT(((BULK_ENABLED="Y")*((BULK_TIER="ALL")+(BULK_TIER=$F5))*((BULK_SKU="ALL")+(BULK_SKU=$G5))*(BULK_START&lt;=7)*(BULK_END&gt;=7)))),0),ROUND((INDEX(VELOCITY_TABLE,MATCH($F5,TIER_LIST,0),1))*(IF((7-$I5+1)&lt;=0,0,IF((7-$I5+1)=1,RAMP_W1,IF((7-$I5+1)=2,RAMP_W2,IF((7-$I5+1)=3,RAMP_W3,RAMP_W4PLUS)))))*(INDEX(ACTIVE_MULT_TABLE,1,1))*(1+SUMPRODUCT(SIGN(((ACT_DOOR_SCOPE="ALL")+(ACT_DOOR_SCOPE="TIER_"&amp;$F5)+(ACT_DOOR_SCOPE=$B5)))*SIGN(((ACT_SKU_SCOPE="ALL")+(ACT_SKU_SCOPE=$G5)))*(ACT_START&lt;=7)*(ACT_END&gt;=7)*IFERROR(ACT_UPLIFT-1,0)))*(1+SUMPRODUCT(SIGN(((ACT_DOOR_SCOPE="ALL")+(ACT_DOOR_SCOPE="TIER_"&amp;$F5)+(ACT_DOOR_SCOPE=$B5)))*SIGN(((ACT_SKU_SCOPE="ALL")+(ACT_SKU_SCOPE=$G5)))*(7&gt;ACT_END)*(ACT_END&gt;0)*IFERROR(ACT_POSTLIFT,0))),0)))</f>
        <v/>
      </c>
      <c r="Q5" s="10">
        <f>IF(OR($H5&lt;&gt;"Y",8&lt;$I5),0,IF(SUMPRODUCT(((BULK_ENABLED="Y")*((BULK_TIER="ALL")+(BULK_TIER=$F5))*((BULK_SKU="ALL")+(BULK_SKU=$G5))*(BULK_START&lt;=8)*(BULK_END&gt;=8)))&gt;0,IFERROR(SUMPRODUCT(((BULK_ENABLED="Y")*((BULK_TIER="ALL")+(BULK_TIER=$F5))*((BULK_SKU="ALL")+(BULK_SKU=$G5))*(BULK_START&lt;=8)*(BULK_END&gt;=8))*IFERROR(BULK_VALUE,0))/MAX(1,SUMPRODUCT(((BULK_ENABLED="Y")*((BULK_TIER="ALL")+(BULK_TIER=$F5))*((BULK_SKU="ALL")+(BULK_SKU=$G5))*(BULK_START&lt;=8)*(BULK_END&gt;=8)))),0),ROUND((INDEX(VELOCITY_TABLE,MATCH($F5,TIER_LIST,0),1))*(IF((8-$I5+1)&lt;=0,0,IF((8-$I5+1)=1,RAMP_W1,IF((8-$I5+1)=2,RAMP_W2,IF((8-$I5+1)=3,RAMP_W3,RAMP_W4PLUS)))))*(INDEX(ACTIVE_MULT_TABLE,1,1))*(1+SUMPRODUCT(SIGN(((ACT_DOOR_SCOPE="ALL")+(ACT_DOOR_SCOPE="TIER_"&amp;$F5)+(ACT_DOOR_SCOPE=$B5)))*SIGN(((ACT_SKU_SCOPE="ALL")+(ACT_SKU_SCOPE=$G5)))*(ACT_START&lt;=8)*(ACT_END&gt;=8)*IFERROR(ACT_UPLIFT-1,0)))*(1+SUMPRODUCT(SIGN(((ACT_DOOR_SCOPE="ALL")+(ACT_DOOR_SCOPE="TIER_"&amp;$F5)+(ACT_DOOR_SCOPE=$B5)))*SIGN(((ACT_SKU_SCOPE="ALL")+(ACT_SKU_SCOPE=$G5)))*(8&gt;ACT_END)*(ACT_END&gt;0)*IFERROR(ACT_POSTLIFT,0))),0)))</f>
        <v/>
      </c>
      <c r="R5" s="10">
        <f>IF(OR($H5&lt;&gt;"Y",9&lt;$I5),0,IF(SUMPRODUCT(((BULK_ENABLED="Y")*((BULK_TIER="ALL")+(BULK_TIER=$F5))*((BULK_SKU="ALL")+(BULK_SKU=$G5))*(BULK_START&lt;=9)*(BULK_END&gt;=9)))&gt;0,IFERROR(SUMPRODUCT(((BULK_ENABLED="Y")*((BULK_TIER="ALL")+(BULK_TIER=$F5))*((BULK_SKU="ALL")+(BULK_SKU=$G5))*(BULK_START&lt;=9)*(BULK_END&gt;=9))*IFERROR(BULK_VALUE,0))/MAX(1,SUMPRODUCT(((BULK_ENABLED="Y")*((BULK_TIER="ALL")+(BULK_TIER=$F5))*((BULK_SKU="ALL")+(BULK_SKU=$G5))*(BULK_START&lt;=9)*(BULK_END&gt;=9)))),0),ROUND((INDEX(VELOCITY_TABLE,MATCH($F5,TIER_LIST,0),1))*(IF((9-$I5+1)&lt;=0,0,IF((9-$I5+1)=1,RAMP_W1,IF((9-$I5+1)=2,RAMP_W2,IF((9-$I5+1)=3,RAMP_W3,RAMP_W4PLUS)))))*(INDEX(ACTIVE_MULT_TABLE,1,1))*(1+SUMPRODUCT(SIGN(((ACT_DOOR_SCOPE="ALL")+(ACT_DOOR_SCOPE="TIER_"&amp;$F5)+(ACT_DOOR_SCOPE=$B5)))*SIGN(((ACT_SKU_SCOPE="ALL")+(ACT_SKU_SCOPE=$G5)))*(ACT_START&lt;=9)*(ACT_END&gt;=9)*IFERROR(ACT_UPLIFT-1,0)))*(1+SUMPRODUCT(SIGN(((ACT_DOOR_SCOPE="ALL")+(ACT_DOOR_SCOPE="TIER_"&amp;$F5)+(ACT_DOOR_SCOPE=$B5)))*SIGN(((ACT_SKU_SCOPE="ALL")+(ACT_SKU_SCOPE=$G5)))*(9&gt;ACT_END)*(ACT_END&gt;0)*IFERROR(ACT_POSTLIFT,0))),0)))</f>
        <v/>
      </c>
      <c r="S5" s="10">
        <f>IF(OR($H5&lt;&gt;"Y",10&lt;$I5),0,IF(SUMPRODUCT(((BULK_ENABLED="Y")*((BULK_TIER="ALL")+(BULK_TIER=$F5))*((BULK_SKU="ALL")+(BULK_SKU=$G5))*(BULK_START&lt;=10)*(BULK_END&gt;=10)))&gt;0,IFERROR(SUMPRODUCT(((BULK_ENABLED="Y")*((BULK_TIER="ALL")+(BULK_TIER=$F5))*((BULK_SKU="ALL")+(BULK_SKU=$G5))*(BULK_START&lt;=10)*(BULK_END&gt;=10))*IFERROR(BULK_VALUE,0))/MAX(1,SUMPRODUCT(((BULK_ENABLED="Y")*((BULK_TIER="ALL")+(BULK_TIER=$F5))*((BULK_SKU="ALL")+(BULK_SKU=$G5))*(BULK_START&lt;=10)*(BULK_END&gt;=10)))),0),ROUND((INDEX(VELOCITY_TABLE,MATCH($F5,TIER_LIST,0),1))*(IF((10-$I5+1)&lt;=0,0,IF((10-$I5+1)=1,RAMP_W1,IF((10-$I5+1)=2,RAMP_W2,IF((10-$I5+1)=3,RAMP_W3,RAMP_W4PLUS)))))*(INDEX(ACTIVE_MULT_TABLE,1,1))*(1+SUMPRODUCT(SIGN(((ACT_DOOR_SCOPE="ALL")+(ACT_DOOR_SCOPE="TIER_"&amp;$F5)+(ACT_DOOR_SCOPE=$B5)))*SIGN(((ACT_SKU_SCOPE="ALL")+(ACT_SKU_SCOPE=$G5)))*(ACT_START&lt;=10)*(ACT_END&gt;=10)*IFERROR(ACT_UPLIFT-1,0)))*(1+SUMPRODUCT(SIGN(((ACT_DOOR_SCOPE="ALL")+(ACT_DOOR_SCOPE="TIER_"&amp;$F5)+(ACT_DOOR_SCOPE=$B5)))*SIGN(((ACT_SKU_SCOPE="ALL")+(ACT_SKU_SCOPE=$G5)))*(10&gt;ACT_END)*(ACT_END&gt;0)*IFERROR(ACT_POSTLIFT,0))),0)))</f>
        <v/>
      </c>
      <c r="T5" s="10">
        <f>IF(OR($H5&lt;&gt;"Y",11&lt;$I5),0,IF(SUMPRODUCT(((BULK_ENABLED="Y")*((BULK_TIER="ALL")+(BULK_TIER=$F5))*((BULK_SKU="ALL")+(BULK_SKU=$G5))*(BULK_START&lt;=11)*(BULK_END&gt;=11)))&gt;0,IFERROR(SUMPRODUCT(((BULK_ENABLED="Y")*((BULK_TIER="ALL")+(BULK_TIER=$F5))*((BULK_SKU="ALL")+(BULK_SKU=$G5))*(BULK_START&lt;=11)*(BULK_END&gt;=11))*IFERROR(BULK_VALUE,0))/MAX(1,SUMPRODUCT(((BULK_ENABLED="Y")*((BULK_TIER="ALL")+(BULK_TIER=$F5))*((BULK_SKU="ALL")+(BULK_SKU=$G5))*(BULK_START&lt;=11)*(BULK_END&gt;=11)))),0),ROUND((INDEX(VELOCITY_TABLE,MATCH($F5,TIER_LIST,0),1))*(IF((11-$I5+1)&lt;=0,0,IF((11-$I5+1)=1,RAMP_W1,IF((11-$I5+1)=2,RAMP_W2,IF((11-$I5+1)=3,RAMP_W3,RAMP_W4PLUS)))))*(INDEX(ACTIVE_MULT_TABLE,1,1))*(1+SUMPRODUCT(SIGN(((ACT_DOOR_SCOPE="ALL")+(ACT_DOOR_SCOPE="TIER_"&amp;$F5)+(ACT_DOOR_SCOPE=$B5)))*SIGN(((ACT_SKU_SCOPE="ALL")+(ACT_SKU_SCOPE=$G5)))*(ACT_START&lt;=11)*(ACT_END&gt;=11)*IFERROR(ACT_UPLIFT-1,0)))*(1+SUMPRODUCT(SIGN(((ACT_DOOR_SCOPE="ALL")+(ACT_DOOR_SCOPE="TIER_"&amp;$F5)+(ACT_DOOR_SCOPE=$B5)))*SIGN(((ACT_SKU_SCOPE="ALL")+(ACT_SKU_SCOPE=$G5)))*(11&gt;ACT_END)*(ACT_END&gt;0)*IFERROR(ACT_POSTLIFT,0))),0)))</f>
        <v/>
      </c>
      <c r="U5" s="10">
        <f>IF(OR($H5&lt;&gt;"Y",12&lt;$I5),0,IF(SUMPRODUCT(((BULK_ENABLED="Y")*((BULK_TIER="ALL")+(BULK_TIER=$F5))*((BULK_SKU="ALL")+(BULK_SKU=$G5))*(BULK_START&lt;=12)*(BULK_END&gt;=12)))&gt;0,IFERROR(SUMPRODUCT(((BULK_ENABLED="Y")*((BULK_TIER="ALL")+(BULK_TIER=$F5))*((BULK_SKU="ALL")+(BULK_SKU=$G5))*(BULK_START&lt;=12)*(BULK_END&gt;=12))*IFERROR(BULK_VALUE,0))/MAX(1,SUMPRODUCT(((BULK_ENABLED="Y")*((BULK_TIER="ALL")+(BULK_TIER=$F5))*((BULK_SKU="ALL")+(BULK_SKU=$G5))*(BULK_START&lt;=12)*(BULK_END&gt;=12)))),0),ROUND((INDEX(VELOCITY_TABLE,MATCH($F5,TIER_LIST,0),1))*(IF((12-$I5+1)&lt;=0,0,IF((12-$I5+1)=1,RAMP_W1,IF((12-$I5+1)=2,RAMP_W2,IF((12-$I5+1)=3,RAMP_W3,RAMP_W4PLUS)))))*(INDEX(ACTIVE_MULT_TABLE,1,1))*(1+SUMPRODUCT(SIGN(((ACT_DOOR_SCOPE="ALL")+(ACT_DOOR_SCOPE="TIER_"&amp;$F5)+(ACT_DOOR_SCOPE=$B5)))*SIGN(((ACT_SKU_SCOPE="ALL")+(ACT_SKU_SCOPE=$G5)))*(ACT_START&lt;=12)*(ACT_END&gt;=12)*IFERROR(ACT_UPLIFT-1,0)))*(1+SUMPRODUCT(SIGN(((ACT_DOOR_SCOPE="ALL")+(ACT_DOOR_SCOPE="TIER_"&amp;$F5)+(ACT_DOOR_SCOPE=$B5)))*SIGN(((ACT_SKU_SCOPE="ALL")+(ACT_SKU_SCOPE=$G5)))*(12&gt;ACT_END)*(ACT_END&gt;0)*IFERROR(ACT_POSTLIFT,0))),0)))</f>
        <v/>
      </c>
      <c r="V5" s="10">
        <f>IF(OR($H5&lt;&gt;"Y",13&lt;$I5),0,IF(SUMPRODUCT(((BULK_ENABLED="Y")*((BULK_TIER="ALL")+(BULK_TIER=$F5))*((BULK_SKU="ALL")+(BULK_SKU=$G5))*(BULK_START&lt;=13)*(BULK_END&gt;=13)))&gt;0,IFERROR(SUMPRODUCT(((BULK_ENABLED="Y")*((BULK_TIER="ALL")+(BULK_TIER=$F5))*((BULK_SKU="ALL")+(BULK_SKU=$G5))*(BULK_START&lt;=13)*(BULK_END&gt;=13))*IFERROR(BULK_VALUE,0))/MAX(1,SUMPRODUCT(((BULK_ENABLED="Y")*((BULK_TIER="ALL")+(BULK_TIER=$F5))*((BULK_SKU="ALL")+(BULK_SKU=$G5))*(BULK_START&lt;=13)*(BULK_END&gt;=13)))),0),ROUND((INDEX(VELOCITY_TABLE,MATCH($F5,TIER_LIST,0),1))*(IF((13-$I5+1)&lt;=0,0,IF((13-$I5+1)=1,RAMP_W1,IF((13-$I5+1)=2,RAMP_W2,IF((13-$I5+1)=3,RAMP_W3,RAMP_W4PLUS)))))*(INDEX(ACTIVE_MULT_TABLE,1,1))*(1+SUMPRODUCT(SIGN(((ACT_DOOR_SCOPE="ALL")+(ACT_DOOR_SCOPE="TIER_"&amp;$F5)+(ACT_DOOR_SCOPE=$B5)))*SIGN(((ACT_SKU_SCOPE="ALL")+(ACT_SKU_SCOPE=$G5)))*(ACT_START&lt;=13)*(ACT_END&gt;=13)*IFERROR(ACT_UPLIFT-1,0)))*(1+SUMPRODUCT(SIGN(((ACT_DOOR_SCOPE="ALL")+(ACT_DOOR_SCOPE="TIER_"&amp;$F5)+(ACT_DOOR_SCOPE=$B5)))*SIGN(((ACT_SKU_SCOPE="ALL")+(ACT_SKU_SCOPE=$G5)))*(13&gt;ACT_END)*(ACT_END&gt;0)*IFERROR(ACT_POSTLIFT,0))),0)))</f>
        <v/>
      </c>
    </row>
    <row r="6">
      <c r="A6" t="inlineStr">
        <is>
          <t>R0002</t>
        </is>
      </c>
      <c r="B6">
        <f>Doors!$A$5</f>
        <v/>
      </c>
      <c r="C6">
        <f>Doors!$C$5</f>
        <v/>
      </c>
      <c r="D6">
        <f>Doors!$B$5</f>
        <v/>
      </c>
      <c r="E6">
        <f>Doors!$E$5</f>
        <v/>
      </c>
      <c r="F6">
        <f>Doors!$F$5</f>
        <v/>
      </c>
      <c r="G6" t="inlineStr">
        <is>
          <t>Pineapple Passion Fruit</t>
        </is>
      </c>
      <c r="H6">
        <f>Doors!$H$5</f>
        <v/>
      </c>
      <c r="I6">
        <f>Doors!$J$5</f>
        <v/>
      </c>
      <c r="J6" s="10">
        <f>IF(OR($H6&lt;&gt;"Y",1&lt;$I6),0,IF(SUMPRODUCT(((BULK_ENABLED="Y")*((BULK_TIER="ALL")+(BULK_TIER=$F6))*((BULK_SKU="ALL")+(BULK_SKU=$G6))*(BULK_START&lt;=1)*(BULK_END&gt;=1)))&gt;0,IFERROR(SUMPRODUCT(((BULK_ENABLED="Y")*((BULK_TIER="ALL")+(BULK_TIER=$F6))*((BULK_SKU="ALL")+(BULK_SKU=$G6))*(BULK_START&lt;=1)*(BULK_END&gt;=1))*IFERROR(BULK_VALUE,0))/MAX(1,SUMPRODUCT(((BULK_ENABLED="Y")*((BULK_TIER="ALL")+(BULK_TIER=$F6))*((BULK_SKU="ALL")+(BULK_SKU=$G6))*(BULK_START&lt;=1)*(BULK_END&gt;=1)))),0),ROUND((INDEX(VELOCITY_TABLE,MATCH($F6,TIER_LIST,0),2))*(IF((1-$I6+1)&lt;=0,0,IF((1-$I6+1)=1,RAMP_W1,IF((1-$I6+1)=2,RAMP_W2,IF((1-$I6+1)=3,RAMP_W3,RAMP_W4PLUS)))))*(INDEX(ACTIVE_MULT_TABLE,2,1))*(1+SUMPRODUCT(SIGN(((ACT_DOOR_SCOPE="ALL")+(ACT_DOOR_SCOPE="TIER_"&amp;$F6)+(ACT_DOOR_SCOPE=$B6)))*SIGN(((ACT_SKU_SCOPE="ALL")+(ACT_SKU_SCOPE=$G6)))*(ACT_START&lt;=1)*(ACT_END&gt;=1)*IFERROR(ACT_UPLIFT-1,0)))*(1+SUMPRODUCT(SIGN(((ACT_DOOR_SCOPE="ALL")+(ACT_DOOR_SCOPE="TIER_"&amp;$F6)+(ACT_DOOR_SCOPE=$B6)))*SIGN(((ACT_SKU_SCOPE="ALL")+(ACT_SKU_SCOPE=$G6)))*(1&gt;ACT_END)*(ACT_END&gt;0)*IFERROR(ACT_POSTLIFT,0))),0)))</f>
        <v/>
      </c>
      <c r="K6" s="10">
        <f>IF(OR($H6&lt;&gt;"Y",2&lt;$I6),0,IF(SUMPRODUCT(((BULK_ENABLED="Y")*((BULK_TIER="ALL")+(BULK_TIER=$F6))*((BULK_SKU="ALL")+(BULK_SKU=$G6))*(BULK_START&lt;=2)*(BULK_END&gt;=2)))&gt;0,IFERROR(SUMPRODUCT(((BULK_ENABLED="Y")*((BULK_TIER="ALL")+(BULK_TIER=$F6))*((BULK_SKU="ALL")+(BULK_SKU=$G6))*(BULK_START&lt;=2)*(BULK_END&gt;=2))*IFERROR(BULK_VALUE,0))/MAX(1,SUMPRODUCT(((BULK_ENABLED="Y")*((BULK_TIER="ALL")+(BULK_TIER=$F6))*((BULK_SKU="ALL")+(BULK_SKU=$G6))*(BULK_START&lt;=2)*(BULK_END&gt;=2)))),0),ROUND((INDEX(VELOCITY_TABLE,MATCH($F6,TIER_LIST,0),2))*(IF((2-$I6+1)&lt;=0,0,IF((2-$I6+1)=1,RAMP_W1,IF((2-$I6+1)=2,RAMP_W2,IF((2-$I6+1)=3,RAMP_W3,RAMP_W4PLUS)))))*(INDEX(ACTIVE_MULT_TABLE,2,1))*(1+SUMPRODUCT(SIGN(((ACT_DOOR_SCOPE="ALL")+(ACT_DOOR_SCOPE="TIER_"&amp;$F6)+(ACT_DOOR_SCOPE=$B6)))*SIGN(((ACT_SKU_SCOPE="ALL")+(ACT_SKU_SCOPE=$G6)))*(ACT_START&lt;=2)*(ACT_END&gt;=2)*IFERROR(ACT_UPLIFT-1,0)))*(1+SUMPRODUCT(SIGN(((ACT_DOOR_SCOPE="ALL")+(ACT_DOOR_SCOPE="TIER_"&amp;$F6)+(ACT_DOOR_SCOPE=$B6)))*SIGN(((ACT_SKU_SCOPE="ALL")+(ACT_SKU_SCOPE=$G6)))*(2&gt;ACT_END)*(ACT_END&gt;0)*IFERROR(ACT_POSTLIFT,0))),0)))</f>
        <v/>
      </c>
      <c r="L6" s="10">
        <f>IF(OR($H6&lt;&gt;"Y",3&lt;$I6),0,IF(SUMPRODUCT(((BULK_ENABLED="Y")*((BULK_TIER="ALL")+(BULK_TIER=$F6))*((BULK_SKU="ALL")+(BULK_SKU=$G6))*(BULK_START&lt;=3)*(BULK_END&gt;=3)))&gt;0,IFERROR(SUMPRODUCT(((BULK_ENABLED="Y")*((BULK_TIER="ALL")+(BULK_TIER=$F6))*((BULK_SKU="ALL")+(BULK_SKU=$G6))*(BULK_START&lt;=3)*(BULK_END&gt;=3))*IFERROR(BULK_VALUE,0))/MAX(1,SUMPRODUCT(((BULK_ENABLED="Y")*((BULK_TIER="ALL")+(BULK_TIER=$F6))*((BULK_SKU="ALL")+(BULK_SKU=$G6))*(BULK_START&lt;=3)*(BULK_END&gt;=3)))),0),ROUND((INDEX(VELOCITY_TABLE,MATCH($F6,TIER_LIST,0),2))*(IF((3-$I6+1)&lt;=0,0,IF((3-$I6+1)=1,RAMP_W1,IF((3-$I6+1)=2,RAMP_W2,IF((3-$I6+1)=3,RAMP_W3,RAMP_W4PLUS)))))*(INDEX(ACTIVE_MULT_TABLE,2,1))*(1+SUMPRODUCT(SIGN(((ACT_DOOR_SCOPE="ALL")+(ACT_DOOR_SCOPE="TIER_"&amp;$F6)+(ACT_DOOR_SCOPE=$B6)))*SIGN(((ACT_SKU_SCOPE="ALL")+(ACT_SKU_SCOPE=$G6)))*(ACT_START&lt;=3)*(ACT_END&gt;=3)*IFERROR(ACT_UPLIFT-1,0)))*(1+SUMPRODUCT(SIGN(((ACT_DOOR_SCOPE="ALL")+(ACT_DOOR_SCOPE="TIER_"&amp;$F6)+(ACT_DOOR_SCOPE=$B6)))*SIGN(((ACT_SKU_SCOPE="ALL")+(ACT_SKU_SCOPE=$G6)))*(3&gt;ACT_END)*(ACT_END&gt;0)*IFERROR(ACT_POSTLIFT,0))),0)))</f>
        <v/>
      </c>
      <c r="M6" s="10">
        <f>IF(OR($H6&lt;&gt;"Y",4&lt;$I6),0,IF(SUMPRODUCT(((BULK_ENABLED="Y")*((BULK_TIER="ALL")+(BULK_TIER=$F6))*((BULK_SKU="ALL")+(BULK_SKU=$G6))*(BULK_START&lt;=4)*(BULK_END&gt;=4)))&gt;0,IFERROR(SUMPRODUCT(((BULK_ENABLED="Y")*((BULK_TIER="ALL")+(BULK_TIER=$F6))*((BULK_SKU="ALL")+(BULK_SKU=$G6))*(BULK_START&lt;=4)*(BULK_END&gt;=4))*IFERROR(BULK_VALUE,0))/MAX(1,SUMPRODUCT(((BULK_ENABLED="Y")*((BULK_TIER="ALL")+(BULK_TIER=$F6))*((BULK_SKU="ALL")+(BULK_SKU=$G6))*(BULK_START&lt;=4)*(BULK_END&gt;=4)))),0),ROUND((INDEX(VELOCITY_TABLE,MATCH($F6,TIER_LIST,0),2))*(IF((4-$I6+1)&lt;=0,0,IF((4-$I6+1)=1,RAMP_W1,IF((4-$I6+1)=2,RAMP_W2,IF((4-$I6+1)=3,RAMP_W3,RAMP_W4PLUS)))))*(INDEX(ACTIVE_MULT_TABLE,2,1))*(1+SUMPRODUCT(SIGN(((ACT_DOOR_SCOPE="ALL")+(ACT_DOOR_SCOPE="TIER_"&amp;$F6)+(ACT_DOOR_SCOPE=$B6)))*SIGN(((ACT_SKU_SCOPE="ALL")+(ACT_SKU_SCOPE=$G6)))*(ACT_START&lt;=4)*(ACT_END&gt;=4)*IFERROR(ACT_UPLIFT-1,0)))*(1+SUMPRODUCT(SIGN(((ACT_DOOR_SCOPE="ALL")+(ACT_DOOR_SCOPE="TIER_"&amp;$F6)+(ACT_DOOR_SCOPE=$B6)))*SIGN(((ACT_SKU_SCOPE="ALL")+(ACT_SKU_SCOPE=$G6)))*(4&gt;ACT_END)*(ACT_END&gt;0)*IFERROR(ACT_POSTLIFT,0))),0)))</f>
        <v/>
      </c>
      <c r="N6" s="10">
        <f>IF(OR($H6&lt;&gt;"Y",5&lt;$I6),0,IF(SUMPRODUCT(((BULK_ENABLED="Y")*((BULK_TIER="ALL")+(BULK_TIER=$F6))*((BULK_SKU="ALL")+(BULK_SKU=$G6))*(BULK_START&lt;=5)*(BULK_END&gt;=5)))&gt;0,IFERROR(SUMPRODUCT(((BULK_ENABLED="Y")*((BULK_TIER="ALL")+(BULK_TIER=$F6))*((BULK_SKU="ALL")+(BULK_SKU=$G6))*(BULK_START&lt;=5)*(BULK_END&gt;=5))*IFERROR(BULK_VALUE,0))/MAX(1,SUMPRODUCT(((BULK_ENABLED="Y")*((BULK_TIER="ALL")+(BULK_TIER=$F6))*((BULK_SKU="ALL")+(BULK_SKU=$G6))*(BULK_START&lt;=5)*(BULK_END&gt;=5)))),0),ROUND((INDEX(VELOCITY_TABLE,MATCH($F6,TIER_LIST,0),2))*(IF((5-$I6+1)&lt;=0,0,IF((5-$I6+1)=1,RAMP_W1,IF((5-$I6+1)=2,RAMP_W2,IF((5-$I6+1)=3,RAMP_W3,RAMP_W4PLUS)))))*(INDEX(ACTIVE_MULT_TABLE,2,1))*(1+SUMPRODUCT(SIGN(((ACT_DOOR_SCOPE="ALL")+(ACT_DOOR_SCOPE="TIER_"&amp;$F6)+(ACT_DOOR_SCOPE=$B6)))*SIGN(((ACT_SKU_SCOPE="ALL")+(ACT_SKU_SCOPE=$G6)))*(ACT_START&lt;=5)*(ACT_END&gt;=5)*IFERROR(ACT_UPLIFT-1,0)))*(1+SUMPRODUCT(SIGN(((ACT_DOOR_SCOPE="ALL")+(ACT_DOOR_SCOPE="TIER_"&amp;$F6)+(ACT_DOOR_SCOPE=$B6)))*SIGN(((ACT_SKU_SCOPE="ALL")+(ACT_SKU_SCOPE=$G6)))*(5&gt;ACT_END)*(ACT_END&gt;0)*IFERROR(ACT_POSTLIFT,0))),0)))</f>
        <v/>
      </c>
      <c r="O6" s="10">
        <f>IF(OR($H6&lt;&gt;"Y",6&lt;$I6),0,IF(SUMPRODUCT(((BULK_ENABLED="Y")*((BULK_TIER="ALL")+(BULK_TIER=$F6))*((BULK_SKU="ALL")+(BULK_SKU=$G6))*(BULK_START&lt;=6)*(BULK_END&gt;=6)))&gt;0,IFERROR(SUMPRODUCT(((BULK_ENABLED="Y")*((BULK_TIER="ALL")+(BULK_TIER=$F6))*((BULK_SKU="ALL")+(BULK_SKU=$G6))*(BULK_START&lt;=6)*(BULK_END&gt;=6))*IFERROR(BULK_VALUE,0))/MAX(1,SUMPRODUCT(((BULK_ENABLED="Y")*((BULK_TIER="ALL")+(BULK_TIER=$F6))*((BULK_SKU="ALL")+(BULK_SKU=$G6))*(BULK_START&lt;=6)*(BULK_END&gt;=6)))),0),ROUND((INDEX(VELOCITY_TABLE,MATCH($F6,TIER_LIST,0),2))*(IF((6-$I6+1)&lt;=0,0,IF((6-$I6+1)=1,RAMP_W1,IF((6-$I6+1)=2,RAMP_W2,IF((6-$I6+1)=3,RAMP_W3,RAMP_W4PLUS)))))*(INDEX(ACTIVE_MULT_TABLE,2,1))*(1+SUMPRODUCT(SIGN(((ACT_DOOR_SCOPE="ALL")+(ACT_DOOR_SCOPE="TIER_"&amp;$F6)+(ACT_DOOR_SCOPE=$B6)))*SIGN(((ACT_SKU_SCOPE="ALL")+(ACT_SKU_SCOPE=$G6)))*(ACT_START&lt;=6)*(ACT_END&gt;=6)*IFERROR(ACT_UPLIFT-1,0)))*(1+SUMPRODUCT(SIGN(((ACT_DOOR_SCOPE="ALL")+(ACT_DOOR_SCOPE="TIER_"&amp;$F6)+(ACT_DOOR_SCOPE=$B6)))*SIGN(((ACT_SKU_SCOPE="ALL")+(ACT_SKU_SCOPE=$G6)))*(6&gt;ACT_END)*(ACT_END&gt;0)*IFERROR(ACT_POSTLIFT,0))),0)))</f>
        <v/>
      </c>
      <c r="P6" s="10">
        <f>IF(OR($H6&lt;&gt;"Y",7&lt;$I6),0,IF(SUMPRODUCT(((BULK_ENABLED="Y")*((BULK_TIER="ALL")+(BULK_TIER=$F6))*((BULK_SKU="ALL")+(BULK_SKU=$G6))*(BULK_START&lt;=7)*(BULK_END&gt;=7)))&gt;0,IFERROR(SUMPRODUCT(((BULK_ENABLED="Y")*((BULK_TIER="ALL")+(BULK_TIER=$F6))*((BULK_SKU="ALL")+(BULK_SKU=$G6))*(BULK_START&lt;=7)*(BULK_END&gt;=7))*IFERROR(BULK_VALUE,0))/MAX(1,SUMPRODUCT(((BULK_ENABLED="Y")*((BULK_TIER="ALL")+(BULK_TIER=$F6))*((BULK_SKU="ALL")+(BULK_SKU=$G6))*(BULK_START&lt;=7)*(BULK_END&gt;=7)))),0),ROUND((INDEX(VELOCITY_TABLE,MATCH($F6,TIER_LIST,0),2))*(IF((7-$I6+1)&lt;=0,0,IF((7-$I6+1)=1,RAMP_W1,IF((7-$I6+1)=2,RAMP_W2,IF((7-$I6+1)=3,RAMP_W3,RAMP_W4PLUS)))))*(INDEX(ACTIVE_MULT_TABLE,2,1))*(1+SUMPRODUCT(SIGN(((ACT_DOOR_SCOPE="ALL")+(ACT_DOOR_SCOPE="TIER_"&amp;$F6)+(ACT_DOOR_SCOPE=$B6)))*SIGN(((ACT_SKU_SCOPE="ALL")+(ACT_SKU_SCOPE=$G6)))*(ACT_START&lt;=7)*(ACT_END&gt;=7)*IFERROR(ACT_UPLIFT-1,0)))*(1+SUMPRODUCT(SIGN(((ACT_DOOR_SCOPE="ALL")+(ACT_DOOR_SCOPE="TIER_"&amp;$F6)+(ACT_DOOR_SCOPE=$B6)))*SIGN(((ACT_SKU_SCOPE="ALL")+(ACT_SKU_SCOPE=$G6)))*(7&gt;ACT_END)*(ACT_END&gt;0)*IFERROR(ACT_POSTLIFT,0))),0)))</f>
        <v/>
      </c>
      <c r="Q6" s="10">
        <f>IF(OR($H6&lt;&gt;"Y",8&lt;$I6),0,IF(SUMPRODUCT(((BULK_ENABLED="Y")*((BULK_TIER="ALL")+(BULK_TIER=$F6))*((BULK_SKU="ALL")+(BULK_SKU=$G6))*(BULK_START&lt;=8)*(BULK_END&gt;=8)))&gt;0,IFERROR(SUMPRODUCT(((BULK_ENABLED="Y")*((BULK_TIER="ALL")+(BULK_TIER=$F6))*((BULK_SKU="ALL")+(BULK_SKU=$G6))*(BULK_START&lt;=8)*(BULK_END&gt;=8))*IFERROR(BULK_VALUE,0))/MAX(1,SUMPRODUCT(((BULK_ENABLED="Y")*((BULK_TIER="ALL")+(BULK_TIER=$F6))*((BULK_SKU="ALL")+(BULK_SKU=$G6))*(BULK_START&lt;=8)*(BULK_END&gt;=8)))),0),ROUND((INDEX(VELOCITY_TABLE,MATCH($F6,TIER_LIST,0),2))*(IF((8-$I6+1)&lt;=0,0,IF((8-$I6+1)=1,RAMP_W1,IF((8-$I6+1)=2,RAMP_W2,IF((8-$I6+1)=3,RAMP_W3,RAMP_W4PLUS)))))*(INDEX(ACTIVE_MULT_TABLE,2,1))*(1+SUMPRODUCT(SIGN(((ACT_DOOR_SCOPE="ALL")+(ACT_DOOR_SCOPE="TIER_"&amp;$F6)+(ACT_DOOR_SCOPE=$B6)))*SIGN(((ACT_SKU_SCOPE="ALL")+(ACT_SKU_SCOPE=$G6)))*(ACT_START&lt;=8)*(ACT_END&gt;=8)*IFERROR(ACT_UPLIFT-1,0)))*(1+SUMPRODUCT(SIGN(((ACT_DOOR_SCOPE="ALL")+(ACT_DOOR_SCOPE="TIER_"&amp;$F6)+(ACT_DOOR_SCOPE=$B6)))*SIGN(((ACT_SKU_SCOPE="ALL")+(ACT_SKU_SCOPE=$G6)))*(8&gt;ACT_END)*(ACT_END&gt;0)*IFERROR(ACT_POSTLIFT,0))),0)))</f>
        <v/>
      </c>
      <c r="R6" s="10">
        <f>IF(OR($H6&lt;&gt;"Y",9&lt;$I6),0,IF(SUMPRODUCT(((BULK_ENABLED="Y")*((BULK_TIER="ALL")+(BULK_TIER=$F6))*((BULK_SKU="ALL")+(BULK_SKU=$G6))*(BULK_START&lt;=9)*(BULK_END&gt;=9)))&gt;0,IFERROR(SUMPRODUCT(((BULK_ENABLED="Y")*((BULK_TIER="ALL")+(BULK_TIER=$F6))*((BULK_SKU="ALL")+(BULK_SKU=$G6))*(BULK_START&lt;=9)*(BULK_END&gt;=9))*IFERROR(BULK_VALUE,0))/MAX(1,SUMPRODUCT(((BULK_ENABLED="Y")*((BULK_TIER="ALL")+(BULK_TIER=$F6))*((BULK_SKU="ALL")+(BULK_SKU=$G6))*(BULK_START&lt;=9)*(BULK_END&gt;=9)))),0),ROUND((INDEX(VELOCITY_TABLE,MATCH($F6,TIER_LIST,0),2))*(IF((9-$I6+1)&lt;=0,0,IF((9-$I6+1)=1,RAMP_W1,IF((9-$I6+1)=2,RAMP_W2,IF((9-$I6+1)=3,RAMP_W3,RAMP_W4PLUS)))))*(INDEX(ACTIVE_MULT_TABLE,2,1))*(1+SUMPRODUCT(SIGN(((ACT_DOOR_SCOPE="ALL")+(ACT_DOOR_SCOPE="TIER_"&amp;$F6)+(ACT_DOOR_SCOPE=$B6)))*SIGN(((ACT_SKU_SCOPE="ALL")+(ACT_SKU_SCOPE=$G6)))*(ACT_START&lt;=9)*(ACT_END&gt;=9)*IFERROR(ACT_UPLIFT-1,0)))*(1+SUMPRODUCT(SIGN(((ACT_DOOR_SCOPE="ALL")+(ACT_DOOR_SCOPE="TIER_"&amp;$F6)+(ACT_DOOR_SCOPE=$B6)))*SIGN(((ACT_SKU_SCOPE="ALL")+(ACT_SKU_SCOPE=$G6)))*(9&gt;ACT_END)*(ACT_END&gt;0)*IFERROR(ACT_POSTLIFT,0))),0)))</f>
        <v/>
      </c>
      <c r="S6" s="10">
        <f>IF(OR($H6&lt;&gt;"Y",10&lt;$I6),0,IF(SUMPRODUCT(((BULK_ENABLED="Y")*((BULK_TIER="ALL")+(BULK_TIER=$F6))*((BULK_SKU="ALL")+(BULK_SKU=$G6))*(BULK_START&lt;=10)*(BULK_END&gt;=10)))&gt;0,IFERROR(SUMPRODUCT(((BULK_ENABLED="Y")*((BULK_TIER="ALL")+(BULK_TIER=$F6))*((BULK_SKU="ALL")+(BULK_SKU=$G6))*(BULK_START&lt;=10)*(BULK_END&gt;=10))*IFERROR(BULK_VALUE,0))/MAX(1,SUMPRODUCT(((BULK_ENABLED="Y")*((BULK_TIER="ALL")+(BULK_TIER=$F6))*((BULK_SKU="ALL")+(BULK_SKU=$G6))*(BULK_START&lt;=10)*(BULK_END&gt;=10)))),0),ROUND((INDEX(VELOCITY_TABLE,MATCH($F6,TIER_LIST,0),2))*(IF((10-$I6+1)&lt;=0,0,IF((10-$I6+1)=1,RAMP_W1,IF((10-$I6+1)=2,RAMP_W2,IF((10-$I6+1)=3,RAMP_W3,RAMP_W4PLUS)))))*(INDEX(ACTIVE_MULT_TABLE,2,1))*(1+SUMPRODUCT(SIGN(((ACT_DOOR_SCOPE="ALL")+(ACT_DOOR_SCOPE="TIER_"&amp;$F6)+(ACT_DOOR_SCOPE=$B6)))*SIGN(((ACT_SKU_SCOPE="ALL")+(ACT_SKU_SCOPE=$G6)))*(ACT_START&lt;=10)*(ACT_END&gt;=10)*IFERROR(ACT_UPLIFT-1,0)))*(1+SUMPRODUCT(SIGN(((ACT_DOOR_SCOPE="ALL")+(ACT_DOOR_SCOPE="TIER_"&amp;$F6)+(ACT_DOOR_SCOPE=$B6)))*SIGN(((ACT_SKU_SCOPE="ALL")+(ACT_SKU_SCOPE=$G6)))*(10&gt;ACT_END)*(ACT_END&gt;0)*IFERROR(ACT_POSTLIFT,0))),0)))</f>
        <v/>
      </c>
      <c r="T6" s="10">
        <f>IF(OR($H6&lt;&gt;"Y",11&lt;$I6),0,IF(SUMPRODUCT(((BULK_ENABLED="Y")*((BULK_TIER="ALL")+(BULK_TIER=$F6))*((BULK_SKU="ALL")+(BULK_SKU=$G6))*(BULK_START&lt;=11)*(BULK_END&gt;=11)))&gt;0,IFERROR(SUMPRODUCT(((BULK_ENABLED="Y")*((BULK_TIER="ALL")+(BULK_TIER=$F6))*((BULK_SKU="ALL")+(BULK_SKU=$G6))*(BULK_START&lt;=11)*(BULK_END&gt;=11))*IFERROR(BULK_VALUE,0))/MAX(1,SUMPRODUCT(((BULK_ENABLED="Y")*((BULK_TIER="ALL")+(BULK_TIER=$F6))*((BULK_SKU="ALL")+(BULK_SKU=$G6))*(BULK_START&lt;=11)*(BULK_END&gt;=11)))),0),ROUND((INDEX(VELOCITY_TABLE,MATCH($F6,TIER_LIST,0),2))*(IF((11-$I6+1)&lt;=0,0,IF((11-$I6+1)=1,RAMP_W1,IF((11-$I6+1)=2,RAMP_W2,IF((11-$I6+1)=3,RAMP_W3,RAMP_W4PLUS)))))*(INDEX(ACTIVE_MULT_TABLE,2,1))*(1+SUMPRODUCT(SIGN(((ACT_DOOR_SCOPE="ALL")+(ACT_DOOR_SCOPE="TIER_"&amp;$F6)+(ACT_DOOR_SCOPE=$B6)))*SIGN(((ACT_SKU_SCOPE="ALL")+(ACT_SKU_SCOPE=$G6)))*(ACT_START&lt;=11)*(ACT_END&gt;=11)*IFERROR(ACT_UPLIFT-1,0)))*(1+SUMPRODUCT(SIGN(((ACT_DOOR_SCOPE="ALL")+(ACT_DOOR_SCOPE="TIER_"&amp;$F6)+(ACT_DOOR_SCOPE=$B6)))*SIGN(((ACT_SKU_SCOPE="ALL")+(ACT_SKU_SCOPE=$G6)))*(11&gt;ACT_END)*(ACT_END&gt;0)*IFERROR(ACT_POSTLIFT,0))),0)))</f>
        <v/>
      </c>
      <c r="U6" s="10">
        <f>IF(OR($H6&lt;&gt;"Y",12&lt;$I6),0,IF(SUMPRODUCT(((BULK_ENABLED="Y")*((BULK_TIER="ALL")+(BULK_TIER=$F6))*((BULK_SKU="ALL")+(BULK_SKU=$G6))*(BULK_START&lt;=12)*(BULK_END&gt;=12)))&gt;0,IFERROR(SUMPRODUCT(((BULK_ENABLED="Y")*((BULK_TIER="ALL")+(BULK_TIER=$F6))*((BULK_SKU="ALL")+(BULK_SKU=$G6))*(BULK_START&lt;=12)*(BULK_END&gt;=12))*IFERROR(BULK_VALUE,0))/MAX(1,SUMPRODUCT(((BULK_ENABLED="Y")*((BULK_TIER="ALL")+(BULK_TIER=$F6))*((BULK_SKU="ALL")+(BULK_SKU=$G6))*(BULK_START&lt;=12)*(BULK_END&gt;=12)))),0),ROUND((INDEX(VELOCITY_TABLE,MATCH($F6,TIER_LIST,0),2))*(IF((12-$I6+1)&lt;=0,0,IF((12-$I6+1)=1,RAMP_W1,IF((12-$I6+1)=2,RAMP_W2,IF((12-$I6+1)=3,RAMP_W3,RAMP_W4PLUS)))))*(INDEX(ACTIVE_MULT_TABLE,2,1))*(1+SUMPRODUCT(SIGN(((ACT_DOOR_SCOPE="ALL")+(ACT_DOOR_SCOPE="TIER_"&amp;$F6)+(ACT_DOOR_SCOPE=$B6)))*SIGN(((ACT_SKU_SCOPE="ALL")+(ACT_SKU_SCOPE=$G6)))*(ACT_START&lt;=12)*(ACT_END&gt;=12)*IFERROR(ACT_UPLIFT-1,0)))*(1+SUMPRODUCT(SIGN(((ACT_DOOR_SCOPE="ALL")+(ACT_DOOR_SCOPE="TIER_"&amp;$F6)+(ACT_DOOR_SCOPE=$B6)))*SIGN(((ACT_SKU_SCOPE="ALL")+(ACT_SKU_SCOPE=$G6)))*(12&gt;ACT_END)*(ACT_END&gt;0)*IFERROR(ACT_POSTLIFT,0))),0)))</f>
        <v/>
      </c>
      <c r="V6" s="10">
        <f>IF(OR($H6&lt;&gt;"Y",13&lt;$I6),0,IF(SUMPRODUCT(((BULK_ENABLED="Y")*((BULK_TIER="ALL")+(BULK_TIER=$F6))*((BULK_SKU="ALL")+(BULK_SKU=$G6))*(BULK_START&lt;=13)*(BULK_END&gt;=13)))&gt;0,IFERROR(SUMPRODUCT(((BULK_ENABLED="Y")*((BULK_TIER="ALL")+(BULK_TIER=$F6))*((BULK_SKU="ALL")+(BULK_SKU=$G6))*(BULK_START&lt;=13)*(BULK_END&gt;=13))*IFERROR(BULK_VALUE,0))/MAX(1,SUMPRODUCT(((BULK_ENABLED="Y")*((BULK_TIER="ALL")+(BULK_TIER=$F6))*((BULK_SKU="ALL")+(BULK_SKU=$G6))*(BULK_START&lt;=13)*(BULK_END&gt;=13)))),0),ROUND((INDEX(VELOCITY_TABLE,MATCH($F6,TIER_LIST,0),2))*(IF((13-$I6+1)&lt;=0,0,IF((13-$I6+1)=1,RAMP_W1,IF((13-$I6+1)=2,RAMP_W2,IF((13-$I6+1)=3,RAMP_W3,RAMP_W4PLUS)))))*(INDEX(ACTIVE_MULT_TABLE,2,1))*(1+SUMPRODUCT(SIGN(((ACT_DOOR_SCOPE="ALL")+(ACT_DOOR_SCOPE="TIER_"&amp;$F6)+(ACT_DOOR_SCOPE=$B6)))*SIGN(((ACT_SKU_SCOPE="ALL")+(ACT_SKU_SCOPE=$G6)))*(ACT_START&lt;=13)*(ACT_END&gt;=13)*IFERROR(ACT_UPLIFT-1,0)))*(1+SUMPRODUCT(SIGN(((ACT_DOOR_SCOPE="ALL")+(ACT_DOOR_SCOPE="TIER_"&amp;$F6)+(ACT_DOOR_SCOPE=$B6)))*SIGN(((ACT_SKU_SCOPE="ALL")+(ACT_SKU_SCOPE=$G6)))*(13&gt;ACT_END)*(ACT_END&gt;0)*IFERROR(ACT_POSTLIFT,0))),0)))</f>
        <v/>
      </c>
    </row>
    <row r="7">
      <c r="A7" t="inlineStr">
        <is>
          <t>R0003</t>
        </is>
      </c>
      <c r="B7">
        <f>Doors!$A$5</f>
        <v/>
      </c>
      <c r="C7">
        <f>Doors!$C$5</f>
        <v/>
      </c>
      <c r="D7">
        <f>Doors!$B$5</f>
        <v/>
      </c>
      <c r="E7">
        <f>Doors!$E$5</f>
        <v/>
      </c>
      <c r="F7">
        <f>Doors!$F$5</f>
        <v/>
      </c>
      <c r="G7" t="inlineStr">
        <is>
          <t>Raspberry</t>
        </is>
      </c>
      <c r="H7">
        <f>Doors!$I$5</f>
        <v/>
      </c>
      <c r="I7">
        <f>Doors!$J$5</f>
        <v/>
      </c>
      <c r="J7" s="10">
        <f>IF(OR($H7&lt;&gt;"Y",1&lt;$I7),0,IF(SUMPRODUCT(((BULK_ENABLED="Y")*((BULK_TIER="ALL")+(BULK_TIER=$F7))*((BULK_SKU="ALL")+(BULK_SKU=$G7))*(BULK_START&lt;=1)*(BULK_END&gt;=1)))&gt;0,IFERROR(SUMPRODUCT(((BULK_ENABLED="Y")*((BULK_TIER="ALL")+(BULK_TIER=$F7))*((BULK_SKU="ALL")+(BULK_SKU=$G7))*(BULK_START&lt;=1)*(BULK_END&gt;=1))*IFERROR(BULK_VALUE,0))/MAX(1,SUMPRODUCT(((BULK_ENABLED="Y")*((BULK_TIER="ALL")+(BULK_TIER=$F7))*((BULK_SKU="ALL")+(BULK_SKU=$G7))*(BULK_START&lt;=1)*(BULK_END&gt;=1)))),0),ROUND((INDEX(VELOCITY_TABLE,MATCH($F7,TIER_LIST,0),3))*(IF((1-$I7+1)&lt;=0,0,IF((1-$I7+1)=1,RAMP_W1,IF((1-$I7+1)=2,RAMP_W2,IF((1-$I7+1)=3,RAMP_W3,RAMP_W4PLUS)))))*(INDEX(ACTIVE_MULT_TABLE,3,1))*(1+SUMPRODUCT(SIGN(((ACT_DOOR_SCOPE="ALL")+(ACT_DOOR_SCOPE="TIER_"&amp;$F7)+(ACT_DOOR_SCOPE=$B7)))*SIGN(((ACT_SKU_SCOPE="ALL")+(ACT_SKU_SCOPE=$G7)))*(ACT_START&lt;=1)*(ACT_END&gt;=1)*IFERROR(ACT_UPLIFT-1,0)))*(1+SUMPRODUCT(SIGN(((ACT_DOOR_SCOPE="ALL")+(ACT_DOOR_SCOPE="TIER_"&amp;$F7)+(ACT_DOOR_SCOPE=$B7)))*SIGN(((ACT_SKU_SCOPE="ALL")+(ACT_SKU_SCOPE=$G7)))*(1&gt;ACT_END)*(ACT_END&gt;0)*IFERROR(ACT_POSTLIFT,0))),0)))</f>
        <v/>
      </c>
      <c r="K7" s="10">
        <f>IF(OR($H7&lt;&gt;"Y",2&lt;$I7),0,IF(SUMPRODUCT(((BULK_ENABLED="Y")*((BULK_TIER="ALL")+(BULK_TIER=$F7))*((BULK_SKU="ALL")+(BULK_SKU=$G7))*(BULK_START&lt;=2)*(BULK_END&gt;=2)))&gt;0,IFERROR(SUMPRODUCT(((BULK_ENABLED="Y")*((BULK_TIER="ALL")+(BULK_TIER=$F7))*((BULK_SKU="ALL")+(BULK_SKU=$G7))*(BULK_START&lt;=2)*(BULK_END&gt;=2))*IFERROR(BULK_VALUE,0))/MAX(1,SUMPRODUCT(((BULK_ENABLED="Y")*((BULK_TIER="ALL")+(BULK_TIER=$F7))*((BULK_SKU="ALL")+(BULK_SKU=$G7))*(BULK_START&lt;=2)*(BULK_END&gt;=2)))),0),ROUND((INDEX(VELOCITY_TABLE,MATCH($F7,TIER_LIST,0),3))*(IF((2-$I7+1)&lt;=0,0,IF((2-$I7+1)=1,RAMP_W1,IF((2-$I7+1)=2,RAMP_W2,IF((2-$I7+1)=3,RAMP_W3,RAMP_W4PLUS)))))*(INDEX(ACTIVE_MULT_TABLE,3,1))*(1+SUMPRODUCT(SIGN(((ACT_DOOR_SCOPE="ALL")+(ACT_DOOR_SCOPE="TIER_"&amp;$F7)+(ACT_DOOR_SCOPE=$B7)))*SIGN(((ACT_SKU_SCOPE="ALL")+(ACT_SKU_SCOPE=$G7)))*(ACT_START&lt;=2)*(ACT_END&gt;=2)*IFERROR(ACT_UPLIFT-1,0)))*(1+SUMPRODUCT(SIGN(((ACT_DOOR_SCOPE="ALL")+(ACT_DOOR_SCOPE="TIER_"&amp;$F7)+(ACT_DOOR_SCOPE=$B7)))*SIGN(((ACT_SKU_SCOPE="ALL")+(ACT_SKU_SCOPE=$G7)))*(2&gt;ACT_END)*(ACT_END&gt;0)*IFERROR(ACT_POSTLIFT,0))),0)))</f>
        <v/>
      </c>
      <c r="L7" s="10">
        <f>IF(OR($H7&lt;&gt;"Y",3&lt;$I7),0,IF(SUMPRODUCT(((BULK_ENABLED="Y")*((BULK_TIER="ALL")+(BULK_TIER=$F7))*((BULK_SKU="ALL")+(BULK_SKU=$G7))*(BULK_START&lt;=3)*(BULK_END&gt;=3)))&gt;0,IFERROR(SUMPRODUCT(((BULK_ENABLED="Y")*((BULK_TIER="ALL")+(BULK_TIER=$F7))*((BULK_SKU="ALL")+(BULK_SKU=$G7))*(BULK_START&lt;=3)*(BULK_END&gt;=3))*IFERROR(BULK_VALUE,0))/MAX(1,SUMPRODUCT(((BULK_ENABLED="Y")*((BULK_TIER="ALL")+(BULK_TIER=$F7))*((BULK_SKU="ALL")+(BULK_SKU=$G7))*(BULK_START&lt;=3)*(BULK_END&gt;=3)))),0),ROUND((INDEX(VELOCITY_TABLE,MATCH($F7,TIER_LIST,0),3))*(IF((3-$I7+1)&lt;=0,0,IF((3-$I7+1)=1,RAMP_W1,IF((3-$I7+1)=2,RAMP_W2,IF((3-$I7+1)=3,RAMP_W3,RAMP_W4PLUS)))))*(INDEX(ACTIVE_MULT_TABLE,3,1))*(1+SUMPRODUCT(SIGN(((ACT_DOOR_SCOPE="ALL")+(ACT_DOOR_SCOPE="TIER_"&amp;$F7)+(ACT_DOOR_SCOPE=$B7)))*SIGN(((ACT_SKU_SCOPE="ALL")+(ACT_SKU_SCOPE=$G7)))*(ACT_START&lt;=3)*(ACT_END&gt;=3)*IFERROR(ACT_UPLIFT-1,0)))*(1+SUMPRODUCT(SIGN(((ACT_DOOR_SCOPE="ALL")+(ACT_DOOR_SCOPE="TIER_"&amp;$F7)+(ACT_DOOR_SCOPE=$B7)))*SIGN(((ACT_SKU_SCOPE="ALL")+(ACT_SKU_SCOPE=$G7)))*(3&gt;ACT_END)*(ACT_END&gt;0)*IFERROR(ACT_POSTLIFT,0))),0)))</f>
        <v/>
      </c>
      <c r="M7" s="10">
        <f>IF(OR($H7&lt;&gt;"Y",4&lt;$I7),0,IF(SUMPRODUCT(((BULK_ENABLED="Y")*((BULK_TIER="ALL")+(BULK_TIER=$F7))*((BULK_SKU="ALL")+(BULK_SKU=$G7))*(BULK_START&lt;=4)*(BULK_END&gt;=4)))&gt;0,IFERROR(SUMPRODUCT(((BULK_ENABLED="Y")*((BULK_TIER="ALL")+(BULK_TIER=$F7))*((BULK_SKU="ALL")+(BULK_SKU=$G7))*(BULK_START&lt;=4)*(BULK_END&gt;=4))*IFERROR(BULK_VALUE,0))/MAX(1,SUMPRODUCT(((BULK_ENABLED="Y")*((BULK_TIER="ALL")+(BULK_TIER=$F7))*((BULK_SKU="ALL")+(BULK_SKU=$G7))*(BULK_START&lt;=4)*(BULK_END&gt;=4)))),0),ROUND((INDEX(VELOCITY_TABLE,MATCH($F7,TIER_LIST,0),3))*(IF((4-$I7+1)&lt;=0,0,IF((4-$I7+1)=1,RAMP_W1,IF((4-$I7+1)=2,RAMP_W2,IF((4-$I7+1)=3,RAMP_W3,RAMP_W4PLUS)))))*(INDEX(ACTIVE_MULT_TABLE,3,1))*(1+SUMPRODUCT(SIGN(((ACT_DOOR_SCOPE="ALL")+(ACT_DOOR_SCOPE="TIER_"&amp;$F7)+(ACT_DOOR_SCOPE=$B7)))*SIGN(((ACT_SKU_SCOPE="ALL")+(ACT_SKU_SCOPE=$G7)))*(ACT_START&lt;=4)*(ACT_END&gt;=4)*IFERROR(ACT_UPLIFT-1,0)))*(1+SUMPRODUCT(SIGN(((ACT_DOOR_SCOPE="ALL")+(ACT_DOOR_SCOPE="TIER_"&amp;$F7)+(ACT_DOOR_SCOPE=$B7)))*SIGN(((ACT_SKU_SCOPE="ALL")+(ACT_SKU_SCOPE=$G7)))*(4&gt;ACT_END)*(ACT_END&gt;0)*IFERROR(ACT_POSTLIFT,0))),0)))</f>
        <v/>
      </c>
      <c r="N7" s="10">
        <f>IF(OR($H7&lt;&gt;"Y",5&lt;$I7),0,IF(SUMPRODUCT(((BULK_ENABLED="Y")*((BULK_TIER="ALL")+(BULK_TIER=$F7))*((BULK_SKU="ALL")+(BULK_SKU=$G7))*(BULK_START&lt;=5)*(BULK_END&gt;=5)))&gt;0,IFERROR(SUMPRODUCT(((BULK_ENABLED="Y")*((BULK_TIER="ALL")+(BULK_TIER=$F7))*((BULK_SKU="ALL")+(BULK_SKU=$G7))*(BULK_START&lt;=5)*(BULK_END&gt;=5))*IFERROR(BULK_VALUE,0))/MAX(1,SUMPRODUCT(((BULK_ENABLED="Y")*((BULK_TIER="ALL")+(BULK_TIER=$F7))*((BULK_SKU="ALL")+(BULK_SKU=$G7))*(BULK_START&lt;=5)*(BULK_END&gt;=5)))),0),ROUND((INDEX(VELOCITY_TABLE,MATCH($F7,TIER_LIST,0),3))*(IF((5-$I7+1)&lt;=0,0,IF((5-$I7+1)=1,RAMP_W1,IF((5-$I7+1)=2,RAMP_W2,IF((5-$I7+1)=3,RAMP_W3,RAMP_W4PLUS)))))*(INDEX(ACTIVE_MULT_TABLE,3,1))*(1+SUMPRODUCT(SIGN(((ACT_DOOR_SCOPE="ALL")+(ACT_DOOR_SCOPE="TIER_"&amp;$F7)+(ACT_DOOR_SCOPE=$B7)))*SIGN(((ACT_SKU_SCOPE="ALL")+(ACT_SKU_SCOPE=$G7)))*(ACT_START&lt;=5)*(ACT_END&gt;=5)*IFERROR(ACT_UPLIFT-1,0)))*(1+SUMPRODUCT(SIGN(((ACT_DOOR_SCOPE="ALL")+(ACT_DOOR_SCOPE="TIER_"&amp;$F7)+(ACT_DOOR_SCOPE=$B7)))*SIGN(((ACT_SKU_SCOPE="ALL")+(ACT_SKU_SCOPE=$G7)))*(5&gt;ACT_END)*(ACT_END&gt;0)*IFERROR(ACT_POSTLIFT,0))),0)))</f>
        <v/>
      </c>
      <c r="O7" s="10">
        <f>IF(OR($H7&lt;&gt;"Y",6&lt;$I7),0,IF(SUMPRODUCT(((BULK_ENABLED="Y")*((BULK_TIER="ALL")+(BULK_TIER=$F7))*((BULK_SKU="ALL")+(BULK_SKU=$G7))*(BULK_START&lt;=6)*(BULK_END&gt;=6)))&gt;0,IFERROR(SUMPRODUCT(((BULK_ENABLED="Y")*((BULK_TIER="ALL")+(BULK_TIER=$F7))*((BULK_SKU="ALL")+(BULK_SKU=$G7))*(BULK_START&lt;=6)*(BULK_END&gt;=6))*IFERROR(BULK_VALUE,0))/MAX(1,SUMPRODUCT(((BULK_ENABLED="Y")*((BULK_TIER="ALL")+(BULK_TIER=$F7))*((BULK_SKU="ALL")+(BULK_SKU=$G7))*(BULK_START&lt;=6)*(BULK_END&gt;=6)))),0),ROUND((INDEX(VELOCITY_TABLE,MATCH($F7,TIER_LIST,0),3))*(IF((6-$I7+1)&lt;=0,0,IF((6-$I7+1)=1,RAMP_W1,IF((6-$I7+1)=2,RAMP_W2,IF((6-$I7+1)=3,RAMP_W3,RAMP_W4PLUS)))))*(INDEX(ACTIVE_MULT_TABLE,3,1))*(1+SUMPRODUCT(SIGN(((ACT_DOOR_SCOPE="ALL")+(ACT_DOOR_SCOPE="TIER_"&amp;$F7)+(ACT_DOOR_SCOPE=$B7)))*SIGN(((ACT_SKU_SCOPE="ALL")+(ACT_SKU_SCOPE=$G7)))*(ACT_START&lt;=6)*(ACT_END&gt;=6)*IFERROR(ACT_UPLIFT-1,0)))*(1+SUMPRODUCT(SIGN(((ACT_DOOR_SCOPE="ALL")+(ACT_DOOR_SCOPE="TIER_"&amp;$F7)+(ACT_DOOR_SCOPE=$B7)))*SIGN(((ACT_SKU_SCOPE="ALL")+(ACT_SKU_SCOPE=$G7)))*(6&gt;ACT_END)*(ACT_END&gt;0)*IFERROR(ACT_POSTLIFT,0))),0)))</f>
        <v/>
      </c>
      <c r="P7" s="10">
        <f>IF(OR($H7&lt;&gt;"Y",7&lt;$I7),0,IF(SUMPRODUCT(((BULK_ENABLED="Y")*((BULK_TIER="ALL")+(BULK_TIER=$F7))*((BULK_SKU="ALL")+(BULK_SKU=$G7))*(BULK_START&lt;=7)*(BULK_END&gt;=7)))&gt;0,IFERROR(SUMPRODUCT(((BULK_ENABLED="Y")*((BULK_TIER="ALL")+(BULK_TIER=$F7))*((BULK_SKU="ALL")+(BULK_SKU=$G7))*(BULK_START&lt;=7)*(BULK_END&gt;=7))*IFERROR(BULK_VALUE,0))/MAX(1,SUMPRODUCT(((BULK_ENABLED="Y")*((BULK_TIER="ALL")+(BULK_TIER=$F7))*((BULK_SKU="ALL")+(BULK_SKU=$G7))*(BULK_START&lt;=7)*(BULK_END&gt;=7)))),0),ROUND((INDEX(VELOCITY_TABLE,MATCH($F7,TIER_LIST,0),3))*(IF((7-$I7+1)&lt;=0,0,IF((7-$I7+1)=1,RAMP_W1,IF((7-$I7+1)=2,RAMP_W2,IF((7-$I7+1)=3,RAMP_W3,RAMP_W4PLUS)))))*(INDEX(ACTIVE_MULT_TABLE,3,1))*(1+SUMPRODUCT(SIGN(((ACT_DOOR_SCOPE="ALL")+(ACT_DOOR_SCOPE="TIER_"&amp;$F7)+(ACT_DOOR_SCOPE=$B7)))*SIGN(((ACT_SKU_SCOPE="ALL")+(ACT_SKU_SCOPE=$G7)))*(ACT_START&lt;=7)*(ACT_END&gt;=7)*IFERROR(ACT_UPLIFT-1,0)))*(1+SUMPRODUCT(SIGN(((ACT_DOOR_SCOPE="ALL")+(ACT_DOOR_SCOPE="TIER_"&amp;$F7)+(ACT_DOOR_SCOPE=$B7)))*SIGN(((ACT_SKU_SCOPE="ALL")+(ACT_SKU_SCOPE=$G7)))*(7&gt;ACT_END)*(ACT_END&gt;0)*IFERROR(ACT_POSTLIFT,0))),0)))</f>
        <v/>
      </c>
      <c r="Q7" s="10">
        <f>IF(OR($H7&lt;&gt;"Y",8&lt;$I7),0,IF(SUMPRODUCT(((BULK_ENABLED="Y")*((BULK_TIER="ALL")+(BULK_TIER=$F7))*((BULK_SKU="ALL")+(BULK_SKU=$G7))*(BULK_START&lt;=8)*(BULK_END&gt;=8)))&gt;0,IFERROR(SUMPRODUCT(((BULK_ENABLED="Y")*((BULK_TIER="ALL")+(BULK_TIER=$F7))*((BULK_SKU="ALL")+(BULK_SKU=$G7))*(BULK_START&lt;=8)*(BULK_END&gt;=8))*IFERROR(BULK_VALUE,0))/MAX(1,SUMPRODUCT(((BULK_ENABLED="Y")*((BULK_TIER="ALL")+(BULK_TIER=$F7))*((BULK_SKU="ALL")+(BULK_SKU=$G7))*(BULK_START&lt;=8)*(BULK_END&gt;=8)))),0),ROUND((INDEX(VELOCITY_TABLE,MATCH($F7,TIER_LIST,0),3))*(IF((8-$I7+1)&lt;=0,0,IF((8-$I7+1)=1,RAMP_W1,IF((8-$I7+1)=2,RAMP_W2,IF((8-$I7+1)=3,RAMP_W3,RAMP_W4PLUS)))))*(INDEX(ACTIVE_MULT_TABLE,3,1))*(1+SUMPRODUCT(SIGN(((ACT_DOOR_SCOPE="ALL")+(ACT_DOOR_SCOPE="TIER_"&amp;$F7)+(ACT_DOOR_SCOPE=$B7)))*SIGN(((ACT_SKU_SCOPE="ALL")+(ACT_SKU_SCOPE=$G7)))*(ACT_START&lt;=8)*(ACT_END&gt;=8)*IFERROR(ACT_UPLIFT-1,0)))*(1+SUMPRODUCT(SIGN(((ACT_DOOR_SCOPE="ALL")+(ACT_DOOR_SCOPE="TIER_"&amp;$F7)+(ACT_DOOR_SCOPE=$B7)))*SIGN(((ACT_SKU_SCOPE="ALL")+(ACT_SKU_SCOPE=$G7)))*(8&gt;ACT_END)*(ACT_END&gt;0)*IFERROR(ACT_POSTLIFT,0))),0)))</f>
        <v/>
      </c>
      <c r="R7" s="10">
        <f>IF(OR($H7&lt;&gt;"Y",9&lt;$I7),0,IF(SUMPRODUCT(((BULK_ENABLED="Y")*((BULK_TIER="ALL")+(BULK_TIER=$F7))*((BULK_SKU="ALL")+(BULK_SKU=$G7))*(BULK_START&lt;=9)*(BULK_END&gt;=9)))&gt;0,IFERROR(SUMPRODUCT(((BULK_ENABLED="Y")*((BULK_TIER="ALL")+(BULK_TIER=$F7))*((BULK_SKU="ALL")+(BULK_SKU=$G7))*(BULK_START&lt;=9)*(BULK_END&gt;=9))*IFERROR(BULK_VALUE,0))/MAX(1,SUMPRODUCT(((BULK_ENABLED="Y")*((BULK_TIER="ALL")+(BULK_TIER=$F7))*((BULK_SKU="ALL")+(BULK_SKU=$G7))*(BULK_START&lt;=9)*(BULK_END&gt;=9)))),0),ROUND((INDEX(VELOCITY_TABLE,MATCH($F7,TIER_LIST,0),3))*(IF((9-$I7+1)&lt;=0,0,IF((9-$I7+1)=1,RAMP_W1,IF((9-$I7+1)=2,RAMP_W2,IF((9-$I7+1)=3,RAMP_W3,RAMP_W4PLUS)))))*(INDEX(ACTIVE_MULT_TABLE,3,1))*(1+SUMPRODUCT(SIGN(((ACT_DOOR_SCOPE="ALL")+(ACT_DOOR_SCOPE="TIER_"&amp;$F7)+(ACT_DOOR_SCOPE=$B7)))*SIGN(((ACT_SKU_SCOPE="ALL")+(ACT_SKU_SCOPE=$G7)))*(ACT_START&lt;=9)*(ACT_END&gt;=9)*IFERROR(ACT_UPLIFT-1,0)))*(1+SUMPRODUCT(SIGN(((ACT_DOOR_SCOPE="ALL")+(ACT_DOOR_SCOPE="TIER_"&amp;$F7)+(ACT_DOOR_SCOPE=$B7)))*SIGN(((ACT_SKU_SCOPE="ALL")+(ACT_SKU_SCOPE=$G7)))*(9&gt;ACT_END)*(ACT_END&gt;0)*IFERROR(ACT_POSTLIFT,0))),0)))</f>
        <v/>
      </c>
      <c r="S7" s="10">
        <f>IF(OR($H7&lt;&gt;"Y",10&lt;$I7),0,IF(SUMPRODUCT(((BULK_ENABLED="Y")*((BULK_TIER="ALL")+(BULK_TIER=$F7))*((BULK_SKU="ALL")+(BULK_SKU=$G7))*(BULK_START&lt;=10)*(BULK_END&gt;=10)))&gt;0,IFERROR(SUMPRODUCT(((BULK_ENABLED="Y")*((BULK_TIER="ALL")+(BULK_TIER=$F7))*((BULK_SKU="ALL")+(BULK_SKU=$G7))*(BULK_START&lt;=10)*(BULK_END&gt;=10))*IFERROR(BULK_VALUE,0))/MAX(1,SUMPRODUCT(((BULK_ENABLED="Y")*((BULK_TIER="ALL")+(BULK_TIER=$F7))*((BULK_SKU="ALL")+(BULK_SKU=$G7))*(BULK_START&lt;=10)*(BULK_END&gt;=10)))),0),ROUND((INDEX(VELOCITY_TABLE,MATCH($F7,TIER_LIST,0),3))*(IF((10-$I7+1)&lt;=0,0,IF((10-$I7+1)=1,RAMP_W1,IF((10-$I7+1)=2,RAMP_W2,IF((10-$I7+1)=3,RAMP_W3,RAMP_W4PLUS)))))*(INDEX(ACTIVE_MULT_TABLE,3,1))*(1+SUMPRODUCT(SIGN(((ACT_DOOR_SCOPE="ALL")+(ACT_DOOR_SCOPE="TIER_"&amp;$F7)+(ACT_DOOR_SCOPE=$B7)))*SIGN(((ACT_SKU_SCOPE="ALL")+(ACT_SKU_SCOPE=$G7)))*(ACT_START&lt;=10)*(ACT_END&gt;=10)*IFERROR(ACT_UPLIFT-1,0)))*(1+SUMPRODUCT(SIGN(((ACT_DOOR_SCOPE="ALL")+(ACT_DOOR_SCOPE="TIER_"&amp;$F7)+(ACT_DOOR_SCOPE=$B7)))*SIGN(((ACT_SKU_SCOPE="ALL")+(ACT_SKU_SCOPE=$G7)))*(10&gt;ACT_END)*(ACT_END&gt;0)*IFERROR(ACT_POSTLIFT,0))),0)))</f>
        <v/>
      </c>
      <c r="T7" s="10">
        <f>IF(OR($H7&lt;&gt;"Y",11&lt;$I7),0,IF(SUMPRODUCT(((BULK_ENABLED="Y")*((BULK_TIER="ALL")+(BULK_TIER=$F7))*((BULK_SKU="ALL")+(BULK_SKU=$G7))*(BULK_START&lt;=11)*(BULK_END&gt;=11)))&gt;0,IFERROR(SUMPRODUCT(((BULK_ENABLED="Y")*((BULK_TIER="ALL")+(BULK_TIER=$F7))*((BULK_SKU="ALL")+(BULK_SKU=$G7))*(BULK_START&lt;=11)*(BULK_END&gt;=11))*IFERROR(BULK_VALUE,0))/MAX(1,SUMPRODUCT(((BULK_ENABLED="Y")*((BULK_TIER="ALL")+(BULK_TIER=$F7))*((BULK_SKU="ALL")+(BULK_SKU=$G7))*(BULK_START&lt;=11)*(BULK_END&gt;=11)))),0),ROUND((INDEX(VELOCITY_TABLE,MATCH($F7,TIER_LIST,0),3))*(IF((11-$I7+1)&lt;=0,0,IF((11-$I7+1)=1,RAMP_W1,IF((11-$I7+1)=2,RAMP_W2,IF((11-$I7+1)=3,RAMP_W3,RAMP_W4PLUS)))))*(INDEX(ACTIVE_MULT_TABLE,3,1))*(1+SUMPRODUCT(SIGN(((ACT_DOOR_SCOPE="ALL")+(ACT_DOOR_SCOPE="TIER_"&amp;$F7)+(ACT_DOOR_SCOPE=$B7)))*SIGN(((ACT_SKU_SCOPE="ALL")+(ACT_SKU_SCOPE=$G7)))*(ACT_START&lt;=11)*(ACT_END&gt;=11)*IFERROR(ACT_UPLIFT-1,0)))*(1+SUMPRODUCT(SIGN(((ACT_DOOR_SCOPE="ALL")+(ACT_DOOR_SCOPE="TIER_"&amp;$F7)+(ACT_DOOR_SCOPE=$B7)))*SIGN(((ACT_SKU_SCOPE="ALL")+(ACT_SKU_SCOPE=$G7)))*(11&gt;ACT_END)*(ACT_END&gt;0)*IFERROR(ACT_POSTLIFT,0))),0)))</f>
        <v/>
      </c>
      <c r="U7" s="10">
        <f>IF(OR($H7&lt;&gt;"Y",12&lt;$I7),0,IF(SUMPRODUCT(((BULK_ENABLED="Y")*((BULK_TIER="ALL")+(BULK_TIER=$F7))*((BULK_SKU="ALL")+(BULK_SKU=$G7))*(BULK_START&lt;=12)*(BULK_END&gt;=12)))&gt;0,IFERROR(SUMPRODUCT(((BULK_ENABLED="Y")*((BULK_TIER="ALL")+(BULK_TIER=$F7))*((BULK_SKU="ALL")+(BULK_SKU=$G7))*(BULK_START&lt;=12)*(BULK_END&gt;=12))*IFERROR(BULK_VALUE,0))/MAX(1,SUMPRODUCT(((BULK_ENABLED="Y")*((BULK_TIER="ALL")+(BULK_TIER=$F7))*((BULK_SKU="ALL")+(BULK_SKU=$G7))*(BULK_START&lt;=12)*(BULK_END&gt;=12)))),0),ROUND((INDEX(VELOCITY_TABLE,MATCH($F7,TIER_LIST,0),3))*(IF((12-$I7+1)&lt;=0,0,IF((12-$I7+1)=1,RAMP_W1,IF((12-$I7+1)=2,RAMP_W2,IF((12-$I7+1)=3,RAMP_W3,RAMP_W4PLUS)))))*(INDEX(ACTIVE_MULT_TABLE,3,1))*(1+SUMPRODUCT(SIGN(((ACT_DOOR_SCOPE="ALL")+(ACT_DOOR_SCOPE="TIER_"&amp;$F7)+(ACT_DOOR_SCOPE=$B7)))*SIGN(((ACT_SKU_SCOPE="ALL")+(ACT_SKU_SCOPE=$G7)))*(ACT_START&lt;=12)*(ACT_END&gt;=12)*IFERROR(ACT_UPLIFT-1,0)))*(1+SUMPRODUCT(SIGN(((ACT_DOOR_SCOPE="ALL")+(ACT_DOOR_SCOPE="TIER_"&amp;$F7)+(ACT_DOOR_SCOPE=$B7)))*SIGN(((ACT_SKU_SCOPE="ALL")+(ACT_SKU_SCOPE=$G7)))*(12&gt;ACT_END)*(ACT_END&gt;0)*IFERROR(ACT_POSTLIFT,0))),0)))</f>
        <v/>
      </c>
      <c r="V7" s="10">
        <f>IF(OR($H7&lt;&gt;"Y",13&lt;$I7),0,IF(SUMPRODUCT(((BULK_ENABLED="Y")*((BULK_TIER="ALL")+(BULK_TIER=$F7))*((BULK_SKU="ALL")+(BULK_SKU=$G7))*(BULK_START&lt;=13)*(BULK_END&gt;=13)))&gt;0,IFERROR(SUMPRODUCT(((BULK_ENABLED="Y")*((BULK_TIER="ALL")+(BULK_TIER=$F7))*((BULK_SKU="ALL")+(BULK_SKU=$G7))*(BULK_START&lt;=13)*(BULK_END&gt;=13))*IFERROR(BULK_VALUE,0))/MAX(1,SUMPRODUCT(((BULK_ENABLED="Y")*((BULK_TIER="ALL")+(BULK_TIER=$F7))*((BULK_SKU="ALL")+(BULK_SKU=$G7))*(BULK_START&lt;=13)*(BULK_END&gt;=13)))),0),ROUND((INDEX(VELOCITY_TABLE,MATCH($F7,TIER_LIST,0),3))*(IF((13-$I7+1)&lt;=0,0,IF((13-$I7+1)=1,RAMP_W1,IF((13-$I7+1)=2,RAMP_W2,IF((13-$I7+1)=3,RAMP_W3,RAMP_W4PLUS)))))*(INDEX(ACTIVE_MULT_TABLE,3,1))*(1+SUMPRODUCT(SIGN(((ACT_DOOR_SCOPE="ALL")+(ACT_DOOR_SCOPE="TIER_"&amp;$F7)+(ACT_DOOR_SCOPE=$B7)))*SIGN(((ACT_SKU_SCOPE="ALL")+(ACT_SKU_SCOPE=$G7)))*(ACT_START&lt;=13)*(ACT_END&gt;=13)*IFERROR(ACT_UPLIFT-1,0)))*(1+SUMPRODUCT(SIGN(((ACT_DOOR_SCOPE="ALL")+(ACT_DOOR_SCOPE="TIER_"&amp;$F7)+(ACT_DOOR_SCOPE=$B7)))*SIGN(((ACT_SKU_SCOPE="ALL")+(ACT_SKU_SCOPE=$G7)))*(13&gt;ACT_END)*(ACT_END&gt;0)*IFERROR(ACT_POSTLIFT,0))),0)))</f>
        <v/>
      </c>
    </row>
    <row r="8">
      <c r="A8" t="inlineStr">
        <is>
          <t>R0004</t>
        </is>
      </c>
      <c r="B8">
        <f>Doors!$A$6</f>
        <v/>
      </c>
      <c r="C8">
        <f>Doors!$C$6</f>
        <v/>
      </c>
      <c r="D8">
        <f>Doors!$B$6</f>
        <v/>
      </c>
      <c r="E8">
        <f>Doors!$E$6</f>
        <v/>
      </c>
      <c r="F8">
        <f>Doors!$F$6</f>
        <v/>
      </c>
      <c r="G8" t="inlineStr">
        <is>
          <t>Lime Lemon</t>
        </is>
      </c>
      <c r="H8">
        <f>Doors!$G$6</f>
        <v/>
      </c>
      <c r="I8">
        <f>Doors!$J$6</f>
        <v/>
      </c>
      <c r="J8" s="10">
        <f>IF(OR($H8&lt;&gt;"Y",1&lt;$I8),0,IF(SUMPRODUCT(((BULK_ENABLED="Y")*((BULK_TIER="ALL")+(BULK_TIER=$F8))*((BULK_SKU="ALL")+(BULK_SKU=$G8))*(BULK_START&lt;=1)*(BULK_END&gt;=1)))&gt;0,IFERROR(SUMPRODUCT(((BULK_ENABLED="Y")*((BULK_TIER="ALL")+(BULK_TIER=$F8))*((BULK_SKU="ALL")+(BULK_SKU=$G8))*(BULK_START&lt;=1)*(BULK_END&gt;=1))*IFERROR(BULK_VALUE,0))/MAX(1,SUMPRODUCT(((BULK_ENABLED="Y")*((BULK_TIER="ALL")+(BULK_TIER=$F8))*((BULK_SKU="ALL")+(BULK_SKU=$G8))*(BULK_START&lt;=1)*(BULK_END&gt;=1)))),0),ROUND((INDEX(VELOCITY_TABLE,MATCH($F8,TIER_LIST,0),1))*(IF((1-$I8+1)&lt;=0,0,IF((1-$I8+1)=1,RAMP_W1,IF((1-$I8+1)=2,RAMP_W2,IF((1-$I8+1)=3,RAMP_W3,RAMP_W4PLUS)))))*(INDEX(ACTIVE_MULT_TABLE,1,1))*(1+SUMPRODUCT(SIGN(((ACT_DOOR_SCOPE="ALL")+(ACT_DOOR_SCOPE="TIER_"&amp;$F8)+(ACT_DOOR_SCOPE=$B8)))*SIGN(((ACT_SKU_SCOPE="ALL")+(ACT_SKU_SCOPE=$G8)))*(ACT_START&lt;=1)*(ACT_END&gt;=1)*IFERROR(ACT_UPLIFT-1,0)))*(1+SUMPRODUCT(SIGN(((ACT_DOOR_SCOPE="ALL")+(ACT_DOOR_SCOPE="TIER_"&amp;$F8)+(ACT_DOOR_SCOPE=$B8)))*SIGN(((ACT_SKU_SCOPE="ALL")+(ACT_SKU_SCOPE=$G8)))*(1&gt;ACT_END)*(ACT_END&gt;0)*IFERROR(ACT_POSTLIFT,0))),0)))</f>
        <v/>
      </c>
      <c r="K8" s="10">
        <f>IF(OR($H8&lt;&gt;"Y",2&lt;$I8),0,IF(SUMPRODUCT(((BULK_ENABLED="Y")*((BULK_TIER="ALL")+(BULK_TIER=$F8))*((BULK_SKU="ALL")+(BULK_SKU=$G8))*(BULK_START&lt;=2)*(BULK_END&gt;=2)))&gt;0,IFERROR(SUMPRODUCT(((BULK_ENABLED="Y")*((BULK_TIER="ALL")+(BULK_TIER=$F8))*((BULK_SKU="ALL")+(BULK_SKU=$G8))*(BULK_START&lt;=2)*(BULK_END&gt;=2))*IFERROR(BULK_VALUE,0))/MAX(1,SUMPRODUCT(((BULK_ENABLED="Y")*((BULK_TIER="ALL")+(BULK_TIER=$F8))*((BULK_SKU="ALL")+(BULK_SKU=$G8))*(BULK_START&lt;=2)*(BULK_END&gt;=2)))),0),ROUND((INDEX(VELOCITY_TABLE,MATCH($F8,TIER_LIST,0),1))*(IF((2-$I8+1)&lt;=0,0,IF((2-$I8+1)=1,RAMP_W1,IF((2-$I8+1)=2,RAMP_W2,IF((2-$I8+1)=3,RAMP_W3,RAMP_W4PLUS)))))*(INDEX(ACTIVE_MULT_TABLE,1,1))*(1+SUMPRODUCT(SIGN(((ACT_DOOR_SCOPE="ALL")+(ACT_DOOR_SCOPE="TIER_"&amp;$F8)+(ACT_DOOR_SCOPE=$B8)))*SIGN(((ACT_SKU_SCOPE="ALL")+(ACT_SKU_SCOPE=$G8)))*(ACT_START&lt;=2)*(ACT_END&gt;=2)*IFERROR(ACT_UPLIFT-1,0)))*(1+SUMPRODUCT(SIGN(((ACT_DOOR_SCOPE="ALL")+(ACT_DOOR_SCOPE="TIER_"&amp;$F8)+(ACT_DOOR_SCOPE=$B8)))*SIGN(((ACT_SKU_SCOPE="ALL")+(ACT_SKU_SCOPE=$G8)))*(2&gt;ACT_END)*(ACT_END&gt;0)*IFERROR(ACT_POSTLIFT,0))),0)))</f>
        <v/>
      </c>
      <c r="L8" s="10">
        <f>IF(OR($H8&lt;&gt;"Y",3&lt;$I8),0,IF(SUMPRODUCT(((BULK_ENABLED="Y")*((BULK_TIER="ALL")+(BULK_TIER=$F8))*((BULK_SKU="ALL")+(BULK_SKU=$G8))*(BULK_START&lt;=3)*(BULK_END&gt;=3)))&gt;0,IFERROR(SUMPRODUCT(((BULK_ENABLED="Y")*((BULK_TIER="ALL")+(BULK_TIER=$F8))*((BULK_SKU="ALL")+(BULK_SKU=$G8))*(BULK_START&lt;=3)*(BULK_END&gt;=3))*IFERROR(BULK_VALUE,0))/MAX(1,SUMPRODUCT(((BULK_ENABLED="Y")*((BULK_TIER="ALL")+(BULK_TIER=$F8))*((BULK_SKU="ALL")+(BULK_SKU=$G8))*(BULK_START&lt;=3)*(BULK_END&gt;=3)))),0),ROUND((INDEX(VELOCITY_TABLE,MATCH($F8,TIER_LIST,0),1))*(IF((3-$I8+1)&lt;=0,0,IF((3-$I8+1)=1,RAMP_W1,IF((3-$I8+1)=2,RAMP_W2,IF((3-$I8+1)=3,RAMP_W3,RAMP_W4PLUS)))))*(INDEX(ACTIVE_MULT_TABLE,1,1))*(1+SUMPRODUCT(SIGN(((ACT_DOOR_SCOPE="ALL")+(ACT_DOOR_SCOPE="TIER_"&amp;$F8)+(ACT_DOOR_SCOPE=$B8)))*SIGN(((ACT_SKU_SCOPE="ALL")+(ACT_SKU_SCOPE=$G8)))*(ACT_START&lt;=3)*(ACT_END&gt;=3)*IFERROR(ACT_UPLIFT-1,0)))*(1+SUMPRODUCT(SIGN(((ACT_DOOR_SCOPE="ALL")+(ACT_DOOR_SCOPE="TIER_"&amp;$F8)+(ACT_DOOR_SCOPE=$B8)))*SIGN(((ACT_SKU_SCOPE="ALL")+(ACT_SKU_SCOPE=$G8)))*(3&gt;ACT_END)*(ACT_END&gt;0)*IFERROR(ACT_POSTLIFT,0))),0)))</f>
        <v/>
      </c>
      <c r="M8" s="10">
        <f>IF(OR($H8&lt;&gt;"Y",4&lt;$I8),0,IF(SUMPRODUCT(((BULK_ENABLED="Y")*((BULK_TIER="ALL")+(BULK_TIER=$F8))*((BULK_SKU="ALL")+(BULK_SKU=$G8))*(BULK_START&lt;=4)*(BULK_END&gt;=4)))&gt;0,IFERROR(SUMPRODUCT(((BULK_ENABLED="Y")*((BULK_TIER="ALL")+(BULK_TIER=$F8))*((BULK_SKU="ALL")+(BULK_SKU=$G8))*(BULK_START&lt;=4)*(BULK_END&gt;=4))*IFERROR(BULK_VALUE,0))/MAX(1,SUMPRODUCT(((BULK_ENABLED="Y")*((BULK_TIER="ALL")+(BULK_TIER=$F8))*((BULK_SKU="ALL")+(BULK_SKU=$G8))*(BULK_START&lt;=4)*(BULK_END&gt;=4)))),0),ROUND((INDEX(VELOCITY_TABLE,MATCH($F8,TIER_LIST,0),1))*(IF((4-$I8+1)&lt;=0,0,IF((4-$I8+1)=1,RAMP_W1,IF((4-$I8+1)=2,RAMP_W2,IF((4-$I8+1)=3,RAMP_W3,RAMP_W4PLUS)))))*(INDEX(ACTIVE_MULT_TABLE,1,1))*(1+SUMPRODUCT(SIGN(((ACT_DOOR_SCOPE="ALL")+(ACT_DOOR_SCOPE="TIER_"&amp;$F8)+(ACT_DOOR_SCOPE=$B8)))*SIGN(((ACT_SKU_SCOPE="ALL")+(ACT_SKU_SCOPE=$G8)))*(ACT_START&lt;=4)*(ACT_END&gt;=4)*IFERROR(ACT_UPLIFT-1,0)))*(1+SUMPRODUCT(SIGN(((ACT_DOOR_SCOPE="ALL")+(ACT_DOOR_SCOPE="TIER_"&amp;$F8)+(ACT_DOOR_SCOPE=$B8)))*SIGN(((ACT_SKU_SCOPE="ALL")+(ACT_SKU_SCOPE=$G8)))*(4&gt;ACT_END)*(ACT_END&gt;0)*IFERROR(ACT_POSTLIFT,0))),0)))</f>
        <v/>
      </c>
      <c r="N8" s="10">
        <f>IF(OR($H8&lt;&gt;"Y",5&lt;$I8),0,IF(SUMPRODUCT(((BULK_ENABLED="Y")*((BULK_TIER="ALL")+(BULK_TIER=$F8))*((BULK_SKU="ALL")+(BULK_SKU=$G8))*(BULK_START&lt;=5)*(BULK_END&gt;=5)))&gt;0,IFERROR(SUMPRODUCT(((BULK_ENABLED="Y")*((BULK_TIER="ALL")+(BULK_TIER=$F8))*((BULK_SKU="ALL")+(BULK_SKU=$G8))*(BULK_START&lt;=5)*(BULK_END&gt;=5))*IFERROR(BULK_VALUE,0))/MAX(1,SUMPRODUCT(((BULK_ENABLED="Y")*((BULK_TIER="ALL")+(BULK_TIER=$F8))*((BULK_SKU="ALL")+(BULK_SKU=$G8))*(BULK_START&lt;=5)*(BULK_END&gt;=5)))),0),ROUND((INDEX(VELOCITY_TABLE,MATCH($F8,TIER_LIST,0),1))*(IF((5-$I8+1)&lt;=0,0,IF((5-$I8+1)=1,RAMP_W1,IF((5-$I8+1)=2,RAMP_W2,IF((5-$I8+1)=3,RAMP_W3,RAMP_W4PLUS)))))*(INDEX(ACTIVE_MULT_TABLE,1,1))*(1+SUMPRODUCT(SIGN(((ACT_DOOR_SCOPE="ALL")+(ACT_DOOR_SCOPE="TIER_"&amp;$F8)+(ACT_DOOR_SCOPE=$B8)))*SIGN(((ACT_SKU_SCOPE="ALL")+(ACT_SKU_SCOPE=$G8)))*(ACT_START&lt;=5)*(ACT_END&gt;=5)*IFERROR(ACT_UPLIFT-1,0)))*(1+SUMPRODUCT(SIGN(((ACT_DOOR_SCOPE="ALL")+(ACT_DOOR_SCOPE="TIER_"&amp;$F8)+(ACT_DOOR_SCOPE=$B8)))*SIGN(((ACT_SKU_SCOPE="ALL")+(ACT_SKU_SCOPE=$G8)))*(5&gt;ACT_END)*(ACT_END&gt;0)*IFERROR(ACT_POSTLIFT,0))),0)))</f>
        <v/>
      </c>
      <c r="O8" s="10">
        <f>IF(OR($H8&lt;&gt;"Y",6&lt;$I8),0,IF(SUMPRODUCT(((BULK_ENABLED="Y")*((BULK_TIER="ALL")+(BULK_TIER=$F8))*((BULK_SKU="ALL")+(BULK_SKU=$G8))*(BULK_START&lt;=6)*(BULK_END&gt;=6)))&gt;0,IFERROR(SUMPRODUCT(((BULK_ENABLED="Y")*((BULK_TIER="ALL")+(BULK_TIER=$F8))*((BULK_SKU="ALL")+(BULK_SKU=$G8))*(BULK_START&lt;=6)*(BULK_END&gt;=6))*IFERROR(BULK_VALUE,0))/MAX(1,SUMPRODUCT(((BULK_ENABLED="Y")*((BULK_TIER="ALL")+(BULK_TIER=$F8))*((BULK_SKU="ALL")+(BULK_SKU=$G8))*(BULK_START&lt;=6)*(BULK_END&gt;=6)))),0),ROUND((INDEX(VELOCITY_TABLE,MATCH($F8,TIER_LIST,0),1))*(IF((6-$I8+1)&lt;=0,0,IF((6-$I8+1)=1,RAMP_W1,IF((6-$I8+1)=2,RAMP_W2,IF((6-$I8+1)=3,RAMP_W3,RAMP_W4PLUS)))))*(INDEX(ACTIVE_MULT_TABLE,1,1))*(1+SUMPRODUCT(SIGN(((ACT_DOOR_SCOPE="ALL")+(ACT_DOOR_SCOPE="TIER_"&amp;$F8)+(ACT_DOOR_SCOPE=$B8)))*SIGN(((ACT_SKU_SCOPE="ALL")+(ACT_SKU_SCOPE=$G8)))*(ACT_START&lt;=6)*(ACT_END&gt;=6)*IFERROR(ACT_UPLIFT-1,0)))*(1+SUMPRODUCT(SIGN(((ACT_DOOR_SCOPE="ALL")+(ACT_DOOR_SCOPE="TIER_"&amp;$F8)+(ACT_DOOR_SCOPE=$B8)))*SIGN(((ACT_SKU_SCOPE="ALL")+(ACT_SKU_SCOPE=$G8)))*(6&gt;ACT_END)*(ACT_END&gt;0)*IFERROR(ACT_POSTLIFT,0))),0)))</f>
        <v/>
      </c>
      <c r="P8" s="10">
        <f>IF(OR($H8&lt;&gt;"Y",7&lt;$I8),0,IF(SUMPRODUCT(((BULK_ENABLED="Y")*((BULK_TIER="ALL")+(BULK_TIER=$F8))*((BULK_SKU="ALL")+(BULK_SKU=$G8))*(BULK_START&lt;=7)*(BULK_END&gt;=7)))&gt;0,IFERROR(SUMPRODUCT(((BULK_ENABLED="Y")*((BULK_TIER="ALL")+(BULK_TIER=$F8))*((BULK_SKU="ALL")+(BULK_SKU=$G8))*(BULK_START&lt;=7)*(BULK_END&gt;=7))*IFERROR(BULK_VALUE,0))/MAX(1,SUMPRODUCT(((BULK_ENABLED="Y")*((BULK_TIER="ALL")+(BULK_TIER=$F8))*((BULK_SKU="ALL")+(BULK_SKU=$G8))*(BULK_START&lt;=7)*(BULK_END&gt;=7)))),0),ROUND((INDEX(VELOCITY_TABLE,MATCH($F8,TIER_LIST,0),1))*(IF((7-$I8+1)&lt;=0,0,IF((7-$I8+1)=1,RAMP_W1,IF((7-$I8+1)=2,RAMP_W2,IF((7-$I8+1)=3,RAMP_W3,RAMP_W4PLUS)))))*(INDEX(ACTIVE_MULT_TABLE,1,1))*(1+SUMPRODUCT(SIGN(((ACT_DOOR_SCOPE="ALL")+(ACT_DOOR_SCOPE="TIER_"&amp;$F8)+(ACT_DOOR_SCOPE=$B8)))*SIGN(((ACT_SKU_SCOPE="ALL")+(ACT_SKU_SCOPE=$G8)))*(ACT_START&lt;=7)*(ACT_END&gt;=7)*IFERROR(ACT_UPLIFT-1,0)))*(1+SUMPRODUCT(SIGN(((ACT_DOOR_SCOPE="ALL")+(ACT_DOOR_SCOPE="TIER_"&amp;$F8)+(ACT_DOOR_SCOPE=$B8)))*SIGN(((ACT_SKU_SCOPE="ALL")+(ACT_SKU_SCOPE=$G8)))*(7&gt;ACT_END)*(ACT_END&gt;0)*IFERROR(ACT_POSTLIFT,0))),0)))</f>
        <v/>
      </c>
      <c r="Q8" s="10">
        <f>IF(OR($H8&lt;&gt;"Y",8&lt;$I8),0,IF(SUMPRODUCT(((BULK_ENABLED="Y")*((BULK_TIER="ALL")+(BULK_TIER=$F8))*((BULK_SKU="ALL")+(BULK_SKU=$G8))*(BULK_START&lt;=8)*(BULK_END&gt;=8)))&gt;0,IFERROR(SUMPRODUCT(((BULK_ENABLED="Y")*((BULK_TIER="ALL")+(BULK_TIER=$F8))*((BULK_SKU="ALL")+(BULK_SKU=$G8))*(BULK_START&lt;=8)*(BULK_END&gt;=8))*IFERROR(BULK_VALUE,0))/MAX(1,SUMPRODUCT(((BULK_ENABLED="Y")*((BULK_TIER="ALL")+(BULK_TIER=$F8))*((BULK_SKU="ALL")+(BULK_SKU=$G8))*(BULK_START&lt;=8)*(BULK_END&gt;=8)))),0),ROUND((INDEX(VELOCITY_TABLE,MATCH($F8,TIER_LIST,0),1))*(IF((8-$I8+1)&lt;=0,0,IF((8-$I8+1)=1,RAMP_W1,IF((8-$I8+1)=2,RAMP_W2,IF((8-$I8+1)=3,RAMP_W3,RAMP_W4PLUS)))))*(INDEX(ACTIVE_MULT_TABLE,1,1))*(1+SUMPRODUCT(SIGN(((ACT_DOOR_SCOPE="ALL")+(ACT_DOOR_SCOPE="TIER_"&amp;$F8)+(ACT_DOOR_SCOPE=$B8)))*SIGN(((ACT_SKU_SCOPE="ALL")+(ACT_SKU_SCOPE=$G8)))*(ACT_START&lt;=8)*(ACT_END&gt;=8)*IFERROR(ACT_UPLIFT-1,0)))*(1+SUMPRODUCT(SIGN(((ACT_DOOR_SCOPE="ALL")+(ACT_DOOR_SCOPE="TIER_"&amp;$F8)+(ACT_DOOR_SCOPE=$B8)))*SIGN(((ACT_SKU_SCOPE="ALL")+(ACT_SKU_SCOPE=$G8)))*(8&gt;ACT_END)*(ACT_END&gt;0)*IFERROR(ACT_POSTLIFT,0))),0)))</f>
        <v/>
      </c>
      <c r="R8" s="10">
        <f>IF(OR($H8&lt;&gt;"Y",9&lt;$I8),0,IF(SUMPRODUCT(((BULK_ENABLED="Y")*((BULK_TIER="ALL")+(BULK_TIER=$F8))*((BULK_SKU="ALL")+(BULK_SKU=$G8))*(BULK_START&lt;=9)*(BULK_END&gt;=9)))&gt;0,IFERROR(SUMPRODUCT(((BULK_ENABLED="Y")*((BULK_TIER="ALL")+(BULK_TIER=$F8))*((BULK_SKU="ALL")+(BULK_SKU=$G8))*(BULK_START&lt;=9)*(BULK_END&gt;=9))*IFERROR(BULK_VALUE,0))/MAX(1,SUMPRODUCT(((BULK_ENABLED="Y")*((BULK_TIER="ALL")+(BULK_TIER=$F8))*((BULK_SKU="ALL")+(BULK_SKU=$G8))*(BULK_START&lt;=9)*(BULK_END&gt;=9)))),0),ROUND((INDEX(VELOCITY_TABLE,MATCH($F8,TIER_LIST,0),1))*(IF((9-$I8+1)&lt;=0,0,IF((9-$I8+1)=1,RAMP_W1,IF((9-$I8+1)=2,RAMP_W2,IF((9-$I8+1)=3,RAMP_W3,RAMP_W4PLUS)))))*(INDEX(ACTIVE_MULT_TABLE,1,1))*(1+SUMPRODUCT(SIGN(((ACT_DOOR_SCOPE="ALL")+(ACT_DOOR_SCOPE="TIER_"&amp;$F8)+(ACT_DOOR_SCOPE=$B8)))*SIGN(((ACT_SKU_SCOPE="ALL")+(ACT_SKU_SCOPE=$G8)))*(ACT_START&lt;=9)*(ACT_END&gt;=9)*IFERROR(ACT_UPLIFT-1,0)))*(1+SUMPRODUCT(SIGN(((ACT_DOOR_SCOPE="ALL")+(ACT_DOOR_SCOPE="TIER_"&amp;$F8)+(ACT_DOOR_SCOPE=$B8)))*SIGN(((ACT_SKU_SCOPE="ALL")+(ACT_SKU_SCOPE=$G8)))*(9&gt;ACT_END)*(ACT_END&gt;0)*IFERROR(ACT_POSTLIFT,0))),0)))</f>
        <v/>
      </c>
      <c r="S8" s="10">
        <f>IF(OR($H8&lt;&gt;"Y",10&lt;$I8),0,IF(SUMPRODUCT(((BULK_ENABLED="Y")*((BULK_TIER="ALL")+(BULK_TIER=$F8))*((BULK_SKU="ALL")+(BULK_SKU=$G8))*(BULK_START&lt;=10)*(BULK_END&gt;=10)))&gt;0,IFERROR(SUMPRODUCT(((BULK_ENABLED="Y")*((BULK_TIER="ALL")+(BULK_TIER=$F8))*((BULK_SKU="ALL")+(BULK_SKU=$G8))*(BULK_START&lt;=10)*(BULK_END&gt;=10))*IFERROR(BULK_VALUE,0))/MAX(1,SUMPRODUCT(((BULK_ENABLED="Y")*((BULK_TIER="ALL")+(BULK_TIER=$F8))*((BULK_SKU="ALL")+(BULK_SKU=$G8))*(BULK_START&lt;=10)*(BULK_END&gt;=10)))),0),ROUND((INDEX(VELOCITY_TABLE,MATCH($F8,TIER_LIST,0),1))*(IF((10-$I8+1)&lt;=0,0,IF((10-$I8+1)=1,RAMP_W1,IF((10-$I8+1)=2,RAMP_W2,IF((10-$I8+1)=3,RAMP_W3,RAMP_W4PLUS)))))*(INDEX(ACTIVE_MULT_TABLE,1,1))*(1+SUMPRODUCT(SIGN(((ACT_DOOR_SCOPE="ALL")+(ACT_DOOR_SCOPE="TIER_"&amp;$F8)+(ACT_DOOR_SCOPE=$B8)))*SIGN(((ACT_SKU_SCOPE="ALL")+(ACT_SKU_SCOPE=$G8)))*(ACT_START&lt;=10)*(ACT_END&gt;=10)*IFERROR(ACT_UPLIFT-1,0)))*(1+SUMPRODUCT(SIGN(((ACT_DOOR_SCOPE="ALL")+(ACT_DOOR_SCOPE="TIER_"&amp;$F8)+(ACT_DOOR_SCOPE=$B8)))*SIGN(((ACT_SKU_SCOPE="ALL")+(ACT_SKU_SCOPE=$G8)))*(10&gt;ACT_END)*(ACT_END&gt;0)*IFERROR(ACT_POSTLIFT,0))),0)))</f>
        <v/>
      </c>
      <c r="T8" s="10">
        <f>IF(OR($H8&lt;&gt;"Y",11&lt;$I8),0,IF(SUMPRODUCT(((BULK_ENABLED="Y")*((BULK_TIER="ALL")+(BULK_TIER=$F8))*((BULK_SKU="ALL")+(BULK_SKU=$G8))*(BULK_START&lt;=11)*(BULK_END&gt;=11)))&gt;0,IFERROR(SUMPRODUCT(((BULK_ENABLED="Y")*((BULK_TIER="ALL")+(BULK_TIER=$F8))*((BULK_SKU="ALL")+(BULK_SKU=$G8))*(BULK_START&lt;=11)*(BULK_END&gt;=11))*IFERROR(BULK_VALUE,0))/MAX(1,SUMPRODUCT(((BULK_ENABLED="Y")*((BULK_TIER="ALL")+(BULK_TIER=$F8))*((BULK_SKU="ALL")+(BULK_SKU=$G8))*(BULK_START&lt;=11)*(BULK_END&gt;=11)))),0),ROUND((INDEX(VELOCITY_TABLE,MATCH($F8,TIER_LIST,0),1))*(IF((11-$I8+1)&lt;=0,0,IF((11-$I8+1)=1,RAMP_W1,IF((11-$I8+1)=2,RAMP_W2,IF((11-$I8+1)=3,RAMP_W3,RAMP_W4PLUS)))))*(INDEX(ACTIVE_MULT_TABLE,1,1))*(1+SUMPRODUCT(SIGN(((ACT_DOOR_SCOPE="ALL")+(ACT_DOOR_SCOPE="TIER_"&amp;$F8)+(ACT_DOOR_SCOPE=$B8)))*SIGN(((ACT_SKU_SCOPE="ALL")+(ACT_SKU_SCOPE=$G8)))*(ACT_START&lt;=11)*(ACT_END&gt;=11)*IFERROR(ACT_UPLIFT-1,0)))*(1+SUMPRODUCT(SIGN(((ACT_DOOR_SCOPE="ALL")+(ACT_DOOR_SCOPE="TIER_"&amp;$F8)+(ACT_DOOR_SCOPE=$B8)))*SIGN(((ACT_SKU_SCOPE="ALL")+(ACT_SKU_SCOPE=$G8)))*(11&gt;ACT_END)*(ACT_END&gt;0)*IFERROR(ACT_POSTLIFT,0))),0)))</f>
        <v/>
      </c>
      <c r="U8" s="10">
        <f>IF(OR($H8&lt;&gt;"Y",12&lt;$I8),0,IF(SUMPRODUCT(((BULK_ENABLED="Y")*((BULK_TIER="ALL")+(BULK_TIER=$F8))*((BULK_SKU="ALL")+(BULK_SKU=$G8))*(BULK_START&lt;=12)*(BULK_END&gt;=12)))&gt;0,IFERROR(SUMPRODUCT(((BULK_ENABLED="Y")*((BULK_TIER="ALL")+(BULK_TIER=$F8))*((BULK_SKU="ALL")+(BULK_SKU=$G8))*(BULK_START&lt;=12)*(BULK_END&gt;=12))*IFERROR(BULK_VALUE,0))/MAX(1,SUMPRODUCT(((BULK_ENABLED="Y")*((BULK_TIER="ALL")+(BULK_TIER=$F8))*((BULK_SKU="ALL")+(BULK_SKU=$G8))*(BULK_START&lt;=12)*(BULK_END&gt;=12)))),0),ROUND((INDEX(VELOCITY_TABLE,MATCH($F8,TIER_LIST,0),1))*(IF((12-$I8+1)&lt;=0,0,IF((12-$I8+1)=1,RAMP_W1,IF((12-$I8+1)=2,RAMP_W2,IF((12-$I8+1)=3,RAMP_W3,RAMP_W4PLUS)))))*(INDEX(ACTIVE_MULT_TABLE,1,1))*(1+SUMPRODUCT(SIGN(((ACT_DOOR_SCOPE="ALL")+(ACT_DOOR_SCOPE="TIER_"&amp;$F8)+(ACT_DOOR_SCOPE=$B8)))*SIGN(((ACT_SKU_SCOPE="ALL")+(ACT_SKU_SCOPE=$G8)))*(ACT_START&lt;=12)*(ACT_END&gt;=12)*IFERROR(ACT_UPLIFT-1,0)))*(1+SUMPRODUCT(SIGN(((ACT_DOOR_SCOPE="ALL")+(ACT_DOOR_SCOPE="TIER_"&amp;$F8)+(ACT_DOOR_SCOPE=$B8)))*SIGN(((ACT_SKU_SCOPE="ALL")+(ACT_SKU_SCOPE=$G8)))*(12&gt;ACT_END)*(ACT_END&gt;0)*IFERROR(ACT_POSTLIFT,0))),0)))</f>
        <v/>
      </c>
      <c r="V8" s="10">
        <f>IF(OR($H8&lt;&gt;"Y",13&lt;$I8),0,IF(SUMPRODUCT(((BULK_ENABLED="Y")*((BULK_TIER="ALL")+(BULK_TIER=$F8))*((BULK_SKU="ALL")+(BULK_SKU=$G8))*(BULK_START&lt;=13)*(BULK_END&gt;=13)))&gt;0,IFERROR(SUMPRODUCT(((BULK_ENABLED="Y")*((BULK_TIER="ALL")+(BULK_TIER=$F8))*((BULK_SKU="ALL")+(BULK_SKU=$G8))*(BULK_START&lt;=13)*(BULK_END&gt;=13))*IFERROR(BULK_VALUE,0))/MAX(1,SUMPRODUCT(((BULK_ENABLED="Y")*((BULK_TIER="ALL")+(BULK_TIER=$F8))*((BULK_SKU="ALL")+(BULK_SKU=$G8))*(BULK_START&lt;=13)*(BULK_END&gt;=13)))),0),ROUND((INDEX(VELOCITY_TABLE,MATCH($F8,TIER_LIST,0),1))*(IF((13-$I8+1)&lt;=0,0,IF((13-$I8+1)=1,RAMP_W1,IF((13-$I8+1)=2,RAMP_W2,IF((13-$I8+1)=3,RAMP_W3,RAMP_W4PLUS)))))*(INDEX(ACTIVE_MULT_TABLE,1,1))*(1+SUMPRODUCT(SIGN(((ACT_DOOR_SCOPE="ALL")+(ACT_DOOR_SCOPE="TIER_"&amp;$F8)+(ACT_DOOR_SCOPE=$B8)))*SIGN(((ACT_SKU_SCOPE="ALL")+(ACT_SKU_SCOPE=$G8)))*(ACT_START&lt;=13)*(ACT_END&gt;=13)*IFERROR(ACT_UPLIFT-1,0)))*(1+SUMPRODUCT(SIGN(((ACT_DOOR_SCOPE="ALL")+(ACT_DOOR_SCOPE="TIER_"&amp;$F8)+(ACT_DOOR_SCOPE=$B8)))*SIGN(((ACT_SKU_SCOPE="ALL")+(ACT_SKU_SCOPE=$G8)))*(13&gt;ACT_END)*(ACT_END&gt;0)*IFERROR(ACT_POSTLIFT,0))),0)))</f>
        <v/>
      </c>
    </row>
    <row r="9">
      <c r="A9" t="inlineStr">
        <is>
          <t>R0005</t>
        </is>
      </c>
      <c r="B9">
        <f>Doors!$A$6</f>
        <v/>
      </c>
      <c r="C9">
        <f>Doors!$C$6</f>
        <v/>
      </c>
      <c r="D9">
        <f>Doors!$B$6</f>
        <v/>
      </c>
      <c r="E9">
        <f>Doors!$E$6</f>
        <v/>
      </c>
      <c r="F9">
        <f>Doors!$F$6</f>
        <v/>
      </c>
      <c r="G9" t="inlineStr">
        <is>
          <t>Pineapple Passion Fruit</t>
        </is>
      </c>
      <c r="H9">
        <f>Doors!$H$6</f>
        <v/>
      </c>
      <c r="I9">
        <f>Doors!$J$6</f>
        <v/>
      </c>
      <c r="J9" s="10">
        <f>IF(OR($H9&lt;&gt;"Y",1&lt;$I9),0,IF(SUMPRODUCT(((BULK_ENABLED="Y")*((BULK_TIER="ALL")+(BULK_TIER=$F9))*((BULK_SKU="ALL")+(BULK_SKU=$G9))*(BULK_START&lt;=1)*(BULK_END&gt;=1)))&gt;0,IFERROR(SUMPRODUCT(((BULK_ENABLED="Y")*((BULK_TIER="ALL")+(BULK_TIER=$F9))*((BULK_SKU="ALL")+(BULK_SKU=$G9))*(BULK_START&lt;=1)*(BULK_END&gt;=1))*IFERROR(BULK_VALUE,0))/MAX(1,SUMPRODUCT(((BULK_ENABLED="Y")*((BULK_TIER="ALL")+(BULK_TIER=$F9))*((BULK_SKU="ALL")+(BULK_SKU=$G9))*(BULK_START&lt;=1)*(BULK_END&gt;=1)))),0),ROUND((INDEX(VELOCITY_TABLE,MATCH($F9,TIER_LIST,0),2))*(IF((1-$I9+1)&lt;=0,0,IF((1-$I9+1)=1,RAMP_W1,IF((1-$I9+1)=2,RAMP_W2,IF((1-$I9+1)=3,RAMP_W3,RAMP_W4PLUS)))))*(INDEX(ACTIVE_MULT_TABLE,2,1))*(1+SUMPRODUCT(SIGN(((ACT_DOOR_SCOPE="ALL")+(ACT_DOOR_SCOPE="TIER_"&amp;$F9)+(ACT_DOOR_SCOPE=$B9)))*SIGN(((ACT_SKU_SCOPE="ALL")+(ACT_SKU_SCOPE=$G9)))*(ACT_START&lt;=1)*(ACT_END&gt;=1)*IFERROR(ACT_UPLIFT-1,0)))*(1+SUMPRODUCT(SIGN(((ACT_DOOR_SCOPE="ALL")+(ACT_DOOR_SCOPE="TIER_"&amp;$F9)+(ACT_DOOR_SCOPE=$B9)))*SIGN(((ACT_SKU_SCOPE="ALL")+(ACT_SKU_SCOPE=$G9)))*(1&gt;ACT_END)*(ACT_END&gt;0)*IFERROR(ACT_POSTLIFT,0))),0)))</f>
        <v/>
      </c>
      <c r="K9" s="10">
        <f>IF(OR($H9&lt;&gt;"Y",2&lt;$I9),0,IF(SUMPRODUCT(((BULK_ENABLED="Y")*((BULK_TIER="ALL")+(BULK_TIER=$F9))*((BULK_SKU="ALL")+(BULK_SKU=$G9))*(BULK_START&lt;=2)*(BULK_END&gt;=2)))&gt;0,IFERROR(SUMPRODUCT(((BULK_ENABLED="Y")*((BULK_TIER="ALL")+(BULK_TIER=$F9))*((BULK_SKU="ALL")+(BULK_SKU=$G9))*(BULK_START&lt;=2)*(BULK_END&gt;=2))*IFERROR(BULK_VALUE,0))/MAX(1,SUMPRODUCT(((BULK_ENABLED="Y")*((BULK_TIER="ALL")+(BULK_TIER=$F9))*((BULK_SKU="ALL")+(BULK_SKU=$G9))*(BULK_START&lt;=2)*(BULK_END&gt;=2)))),0),ROUND((INDEX(VELOCITY_TABLE,MATCH($F9,TIER_LIST,0),2))*(IF((2-$I9+1)&lt;=0,0,IF((2-$I9+1)=1,RAMP_W1,IF((2-$I9+1)=2,RAMP_W2,IF((2-$I9+1)=3,RAMP_W3,RAMP_W4PLUS)))))*(INDEX(ACTIVE_MULT_TABLE,2,1))*(1+SUMPRODUCT(SIGN(((ACT_DOOR_SCOPE="ALL")+(ACT_DOOR_SCOPE="TIER_"&amp;$F9)+(ACT_DOOR_SCOPE=$B9)))*SIGN(((ACT_SKU_SCOPE="ALL")+(ACT_SKU_SCOPE=$G9)))*(ACT_START&lt;=2)*(ACT_END&gt;=2)*IFERROR(ACT_UPLIFT-1,0)))*(1+SUMPRODUCT(SIGN(((ACT_DOOR_SCOPE="ALL")+(ACT_DOOR_SCOPE="TIER_"&amp;$F9)+(ACT_DOOR_SCOPE=$B9)))*SIGN(((ACT_SKU_SCOPE="ALL")+(ACT_SKU_SCOPE=$G9)))*(2&gt;ACT_END)*(ACT_END&gt;0)*IFERROR(ACT_POSTLIFT,0))),0)))</f>
        <v/>
      </c>
      <c r="L9" s="10">
        <f>IF(OR($H9&lt;&gt;"Y",3&lt;$I9),0,IF(SUMPRODUCT(((BULK_ENABLED="Y")*((BULK_TIER="ALL")+(BULK_TIER=$F9))*((BULK_SKU="ALL")+(BULK_SKU=$G9))*(BULK_START&lt;=3)*(BULK_END&gt;=3)))&gt;0,IFERROR(SUMPRODUCT(((BULK_ENABLED="Y")*((BULK_TIER="ALL")+(BULK_TIER=$F9))*((BULK_SKU="ALL")+(BULK_SKU=$G9))*(BULK_START&lt;=3)*(BULK_END&gt;=3))*IFERROR(BULK_VALUE,0))/MAX(1,SUMPRODUCT(((BULK_ENABLED="Y")*((BULK_TIER="ALL")+(BULK_TIER=$F9))*((BULK_SKU="ALL")+(BULK_SKU=$G9))*(BULK_START&lt;=3)*(BULK_END&gt;=3)))),0),ROUND((INDEX(VELOCITY_TABLE,MATCH($F9,TIER_LIST,0),2))*(IF((3-$I9+1)&lt;=0,0,IF((3-$I9+1)=1,RAMP_W1,IF((3-$I9+1)=2,RAMP_W2,IF((3-$I9+1)=3,RAMP_W3,RAMP_W4PLUS)))))*(INDEX(ACTIVE_MULT_TABLE,2,1))*(1+SUMPRODUCT(SIGN(((ACT_DOOR_SCOPE="ALL")+(ACT_DOOR_SCOPE="TIER_"&amp;$F9)+(ACT_DOOR_SCOPE=$B9)))*SIGN(((ACT_SKU_SCOPE="ALL")+(ACT_SKU_SCOPE=$G9)))*(ACT_START&lt;=3)*(ACT_END&gt;=3)*IFERROR(ACT_UPLIFT-1,0)))*(1+SUMPRODUCT(SIGN(((ACT_DOOR_SCOPE="ALL")+(ACT_DOOR_SCOPE="TIER_"&amp;$F9)+(ACT_DOOR_SCOPE=$B9)))*SIGN(((ACT_SKU_SCOPE="ALL")+(ACT_SKU_SCOPE=$G9)))*(3&gt;ACT_END)*(ACT_END&gt;0)*IFERROR(ACT_POSTLIFT,0))),0)))</f>
        <v/>
      </c>
      <c r="M9" s="10">
        <f>IF(OR($H9&lt;&gt;"Y",4&lt;$I9),0,IF(SUMPRODUCT(((BULK_ENABLED="Y")*((BULK_TIER="ALL")+(BULK_TIER=$F9))*((BULK_SKU="ALL")+(BULK_SKU=$G9))*(BULK_START&lt;=4)*(BULK_END&gt;=4)))&gt;0,IFERROR(SUMPRODUCT(((BULK_ENABLED="Y")*((BULK_TIER="ALL")+(BULK_TIER=$F9))*((BULK_SKU="ALL")+(BULK_SKU=$G9))*(BULK_START&lt;=4)*(BULK_END&gt;=4))*IFERROR(BULK_VALUE,0))/MAX(1,SUMPRODUCT(((BULK_ENABLED="Y")*((BULK_TIER="ALL")+(BULK_TIER=$F9))*((BULK_SKU="ALL")+(BULK_SKU=$G9))*(BULK_START&lt;=4)*(BULK_END&gt;=4)))),0),ROUND((INDEX(VELOCITY_TABLE,MATCH($F9,TIER_LIST,0),2))*(IF((4-$I9+1)&lt;=0,0,IF((4-$I9+1)=1,RAMP_W1,IF((4-$I9+1)=2,RAMP_W2,IF((4-$I9+1)=3,RAMP_W3,RAMP_W4PLUS)))))*(INDEX(ACTIVE_MULT_TABLE,2,1))*(1+SUMPRODUCT(SIGN(((ACT_DOOR_SCOPE="ALL")+(ACT_DOOR_SCOPE="TIER_"&amp;$F9)+(ACT_DOOR_SCOPE=$B9)))*SIGN(((ACT_SKU_SCOPE="ALL")+(ACT_SKU_SCOPE=$G9)))*(ACT_START&lt;=4)*(ACT_END&gt;=4)*IFERROR(ACT_UPLIFT-1,0)))*(1+SUMPRODUCT(SIGN(((ACT_DOOR_SCOPE="ALL")+(ACT_DOOR_SCOPE="TIER_"&amp;$F9)+(ACT_DOOR_SCOPE=$B9)))*SIGN(((ACT_SKU_SCOPE="ALL")+(ACT_SKU_SCOPE=$G9)))*(4&gt;ACT_END)*(ACT_END&gt;0)*IFERROR(ACT_POSTLIFT,0))),0)))</f>
        <v/>
      </c>
      <c r="N9" s="10">
        <f>IF(OR($H9&lt;&gt;"Y",5&lt;$I9),0,IF(SUMPRODUCT(((BULK_ENABLED="Y")*((BULK_TIER="ALL")+(BULK_TIER=$F9))*((BULK_SKU="ALL")+(BULK_SKU=$G9))*(BULK_START&lt;=5)*(BULK_END&gt;=5)))&gt;0,IFERROR(SUMPRODUCT(((BULK_ENABLED="Y")*((BULK_TIER="ALL")+(BULK_TIER=$F9))*((BULK_SKU="ALL")+(BULK_SKU=$G9))*(BULK_START&lt;=5)*(BULK_END&gt;=5))*IFERROR(BULK_VALUE,0))/MAX(1,SUMPRODUCT(((BULK_ENABLED="Y")*((BULK_TIER="ALL")+(BULK_TIER=$F9))*((BULK_SKU="ALL")+(BULK_SKU=$G9))*(BULK_START&lt;=5)*(BULK_END&gt;=5)))),0),ROUND((INDEX(VELOCITY_TABLE,MATCH($F9,TIER_LIST,0),2))*(IF((5-$I9+1)&lt;=0,0,IF((5-$I9+1)=1,RAMP_W1,IF((5-$I9+1)=2,RAMP_W2,IF((5-$I9+1)=3,RAMP_W3,RAMP_W4PLUS)))))*(INDEX(ACTIVE_MULT_TABLE,2,1))*(1+SUMPRODUCT(SIGN(((ACT_DOOR_SCOPE="ALL")+(ACT_DOOR_SCOPE="TIER_"&amp;$F9)+(ACT_DOOR_SCOPE=$B9)))*SIGN(((ACT_SKU_SCOPE="ALL")+(ACT_SKU_SCOPE=$G9)))*(ACT_START&lt;=5)*(ACT_END&gt;=5)*IFERROR(ACT_UPLIFT-1,0)))*(1+SUMPRODUCT(SIGN(((ACT_DOOR_SCOPE="ALL")+(ACT_DOOR_SCOPE="TIER_"&amp;$F9)+(ACT_DOOR_SCOPE=$B9)))*SIGN(((ACT_SKU_SCOPE="ALL")+(ACT_SKU_SCOPE=$G9)))*(5&gt;ACT_END)*(ACT_END&gt;0)*IFERROR(ACT_POSTLIFT,0))),0)))</f>
        <v/>
      </c>
      <c r="O9" s="10">
        <f>IF(OR($H9&lt;&gt;"Y",6&lt;$I9),0,IF(SUMPRODUCT(((BULK_ENABLED="Y")*((BULK_TIER="ALL")+(BULK_TIER=$F9))*((BULK_SKU="ALL")+(BULK_SKU=$G9))*(BULK_START&lt;=6)*(BULK_END&gt;=6)))&gt;0,IFERROR(SUMPRODUCT(((BULK_ENABLED="Y")*((BULK_TIER="ALL")+(BULK_TIER=$F9))*((BULK_SKU="ALL")+(BULK_SKU=$G9))*(BULK_START&lt;=6)*(BULK_END&gt;=6))*IFERROR(BULK_VALUE,0))/MAX(1,SUMPRODUCT(((BULK_ENABLED="Y")*((BULK_TIER="ALL")+(BULK_TIER=$F9))*((BULK_SKU="ALL")+(BULK_SKU=$G9))*(BULK_START&lt;=6)*(BULK_END&gt;=6)))),0),ROUND((INDEX(VELOCITY_TABLE,MATCH($F9,TIER_LIST,0),2))*(IF((6-$I9+1)&lt;=0,0,IF((6-$I9+1)=1,RAMP_W1,IF((6-$I9+1)=2,RAMP_W2,IF((6-$I9+1)=3,RAMP_W3,RAMP_W4PLUS)))))*(INDEX(ACTIVE_MULT_TABLE,2,1))*(1+SUMPRODUCT(SIGN(((ACT_DOOR_SCOPE="ALL")+(ACT_DOOR_SCOPE="TIER_"&amp;$F9)+(ACT_DOOR_SCOPE=$B9)))*SIGN(((ACT_SKU_SCOPE="ALL")+(ACT_SKU_SCOPE=$G9)))*(ACT_START&lt;=6)*(ACT_END&gt;=6)*IFERROR(ACT_UPLIFT-1,0)))*(1+SUMPRODUCT(SIGN(((ACT_DOOR_SCOPE="ALL")+(ACT_DOOR_SCOPE="TIER_"&amp;$F9)+(ACT_DOOR_SCOPE=$B9)))*SIGN(((ACT_SKU_SCOPE="ALL")+(ACT_SKU_SCOPE=$G9)))*(6&gt;ACT_END)*(ACT_END&gt;0)*IFERROR(ACT_POSTLIFT,0))),0)))</f>
        <v/>
      </c>
      <c r="P9" s="10">
        <f>IF(OR($H9&lt;&gt;"Y",7&lt;$I9),0,IF(SUMPRODUCT(((BULK_ENABLED="Y")*((BULK_TIER="ALL")+(BULK_TIER=$F9))*((BULK_SKU="ALL")+(BULK_SKU=$G9))*(BULK_START&lt;=7)*(BULK_END&gt;=7)))&gt;0,IFERROR(SUMPRODUCT(((BULK_ENABLED="Y")*((BULK_TIER="ALL")+(BULK_TIER=$F9))*((BULK_SKU="ALL")+(BULK_SKU=$G9))*(BULK_START&lt;=7)*(BULK_END&gt;=7))*IFERROR(BULK_VALUE,0))/MAX(1,SUMPRODUCT(((BULK_ENABLED="Y")*((BULK_TIER="ALL")+(BULK_TIER=$F9))*((BULK_SKU="ALL")+(BULK_SKU=$G9))*(BULK_START&lt;=7)*(BULK_END&gt;=7)))),0),ROUND((INDEX(VELOCITY_TABLE,MATCH($F9,TIER_LIST,0),2))*(IF((7-$I9+1)&lt;=0,0,IF((7-$I9+1)=1,RAMP_W1,IF((7-$I9+1)=2,RAMP_W2,IF((7-$I9+1)=3,RAMP_W3,RAMP_W4PLUS)))))*(INDEX(ACTIVE_MULT_TABLE,2,1))*(1+SUMPRODUCT(SIGN(((ACT_DOOR_SCOPE="ALL")+(ACT_DOOR_SCOPE="TIER_"&amp;$F9)+(ACT_DOOR_SCOPE=$B9)))*SIGN(((ACT_SKU_SCOPE="ALL")+(ACT_SKU_SCOPE=$G9)))*(ACT_START&lt;=7)*(ACT_END&gt;=7)*IFERROR(ACT_UPLIFT-1,0)))*(1+SUMPRODUCT(SIGN(((ACT_DOOR_SCOPE="ALL")+(ACT_DOOR_SCOPE="TIER_"&amp;$F9)+(ACT_DOOR_SCOPE=$B9)))*SIGN(((ACT_SKU_SCOPE="ALL")+(ACT_SKU_SCOPE=$G9)))*(7&gt;ACT_END)*(ACT_END&gt;0)*IFERROR(ACT_POSTLIFT,0))),0)))</f>
        <v/>
      </c>
      <c r="Q9" s="10">
        <f>IF(OR($H9&lt;&gt;"Y",8&lt;$I9),0,IF(SUMPRODUCT(((BULK_ENABLED="Y")*((BULK_TIER="ALL")+(BULK_TIER=$F9))*((BULK_SKU="ALL")+(BULK_SKU=$G9))*(BULK_START&lt;=8)*(BULK_END&gt;=8)))&gt;0,IFERROR(SUMPRODUCT(((BULK_ENABLED="Y")*((BULK_TIER="ALL")+(BULK_TIER=$F9))*((BULK_SKU="ALL")+(BULK_SKU=$G9))*(BULK_START&lt;=8)*(BULK_END&gt;=8))*IFERROR(BULK_VALUE,0))/MAX(1,SUMPRODUCT(((BULK_ENABLED="Y")*((BULK_TIER="ALL")+(BULK_TIER=$F9))*((BULK_SKU="ALL")+(BULK_SKU=$G9))*(BULK_START&lt;=8)*(BULK_END&gt;=8)))),0),ROUND((INDEX(VELOCITY_TABLE,MATCH($F9,TIER_LIST,0),2))*(IF((8-$I9+1)&lt;=0,0,IF((8-$I9+1)=1,RAMP_W1,IF((8-$I9+1)=2,RAMP_W2,IF((8-$I9+1)=3,RAMP_W3,RAMP_W4PLUS)))))*(INDEX(ACTIVE_MULT_TABLE,2,1))*(1+SUMPRODUCT(SIGN(((ACT_DOOR_SCOPE="ALL")+(ACT_DOOR_SCOPE="TIER_"&amp;$F9)+(ACT_DOOR_SCOPE=$B9)))*SIGN(((ACT_SKU_SCOPE="ALL")+(ACT_SKU_SCOPE=$G9)))*(ACT_START&lt;=8)*(ACT_END&gt;=8)*IFERROR(ACT_UPLIFT-1,0)))*(1+SUMPRODUCT(SIGN(((ACT_DOOR_SCOPE="ALL")+(ACT_DOOR_SCOPE="TIER_"&amp;$F9)+(ACT_DOOR_SCOPE=$B9)))*SIGN(((ACT_SKU_SCOPE="ALL")+(ACT_SKU_SCOPE=$G9)))*(8&gt;ACT_END)*(ACT_END&gt;0)*IFERROR(ACT_POSTLIFT,0))),0)))</f>
        <v/>
      </c>
      <c r="R9" s="10">
        <f>IF(OR($H9&lt;&gt;"Y",9&lt;$I9),0,IF(SUMPRODUCT(((BULK_ENABLED="Y")*((BULK_TIER="ALL")+(BULK_TIER=$F9))*((BULK_SKU="ALL")+(BULK_SKU=$G9))*(BULK_START&lt;=9)*(BULK_END&gt;=9)))&gt;0,IFERROR(SUMPRODUCT(((BULK_ENABLED="Y")*((BULK_TIER="ALL")+(BULK_TIER=$F9))*((BULK_SKU="ALL")+(BULK_SKU=$G9))*(BULK_START&lt;=9)*(BULK_END&gt;=9))*IFERROR(BULK_VALUE,0))/MAX(1,SUMPRODUCT(((BULK_ENABLED="Y")*((BULK_TIER="ALL")+(BULK_TIER=$F9))*((BULK_SKU="ALL")+(BULK_SKU=$G9))*(BULK_START&lt;=9)*(BULK_END&gt;=9)))),0),ROUND((INDEX(VELOCITY_TABLE,MATCH($F9,TIER_LIST,0),2))*(IF((9-$I9+1)&lt;=0,0,IF((9-$I9+1)=1,RAMP_W1,IF((9-$I9+1)=2,RAMP_W2,IF((9-$I9+1)=3,RAMP_W3,RAMP_W4PLUS)))))*(INDEX(ACTIVE_MULT_TABLE,2,1))*(1+SUMPRODUCT(SIGN(((ACT_DOOR_SCOPE="ALL")+(ACT_DOOR_SCOPE="TIER_"&amp;$F9)+(ACT_DOOR_SCOPE=$B9)))*SIGN(((ACT_SKU_SCOPE="ALL")+(ACT_SKU_SCOPE=$G9)))*(ACT_START&lt;=9)*(ACT_END&gt;=9)*IFERROR(ACT_UPLIFT-1,0)))*(1+SUMPRODUCT(SIGN(((ACT_DOOR_SCOPE="ALL")+(ACT_DOOR_SCOPE="TIER_"&amp;$F9)+(ACT_DOOR_SCOPE=$B9)))*SIGN(((ACT_SKU_SCOPE="ALL")+(ACT_SKU_SCOPE=$G9)))*(9&gt;ACT_END)*(ACT_END&gt;0)*IFERROR(ACT_POSTLIFT,0))),0)))</f>
        <v/>
      </c>
      <c r="S9" s="10">
        <f>IF(OR($H9&lt;&gt;"Y",10&lt;$I9),0,IF(SUMPRODUCT(((BULK_ENABLED="Y")*((BULK_TIER="ALL")+(BULK_TIER=$F9))*((BULK_SKU="ALL")+(BULK_SKU=$G9))*(BULK_START&lt;=10)*(BULK_END&gt;=10)))&gt;0,IFERROR(SUMPRODUCT(((BULK_ENABLED="Y")*((BULK_TIER="ALL")+(BULK_TIER=$F9))*((BULK_SKU="ALL")+(BULK_SKU=$G9))*(BULK_START&lt;=10)*(BULK_END&gt;=10))*IFERROR(BULK_VALUE,0))/MAX(1,SUMPRODUCT(((BULK_ENABLED="Y")*((BULK_TIER="ALL")+(BULK_TIER=$F9))*((BULK_SKU="ALL")+(BULK_SKU=$G9))*(BULK_START&lt;=10)*(BULK_END&gt;=10)))),0),ROUND((INDEX(VELOCITY_TABLE,MATCH($F9,TIER_LIST,0),2))*(IF((10-$I9+1)&lt;=0,0,IF((10-$I9+1)=1,RAMP_W1,IF((10-$I9+1)=2,RAMP_W2,IF((10-$I9+1)=3,RAMP_W3,RAMP_W4PLUS)))))*(INDEX(ACTIVE_MULT_TABLE,2,1))*(1+SUMPRODUCT(SIGN(((ACT_DOOR_SCOPE="ALL")+(ACT_DOOR_SCOPE="TIER_"&amp;$F9)+(ACT_DOOR_SCOPE=$B9)))*SIGN(((ACT_SKU_SCOPE="ALL")+(ACT_SKU_SCOPE=$G9)))*(ACT_START&lt;=10)*(ACT_END&gt;=10)*IFERROR(ACT_UPLIFT-1,0)))*(1+SUMPRODUCT(SIGN(((ACT_DOOR_SCOPE="ALL")+(ACT_DOOR_SCOPE="TIER_"&amp;$F9)+(ACT_DOOR_SCOPE=$B9)))*SIGN(((ACT_SKU_SCOPE="ALL")+(ACT_SKU_SCOPE=$G9)))*(10&gt;ACT_END)*(ACT_END&gt;0)*IFERROR(ACT_POSTLIFT,0))),0)))</f>
        <v/>
      </c>
      <c r="T9" s="10">
        <f>IF(OR($H9&lt;&gt;"Y",11&lt;$I9),0,IF(SUMPRODUCT(((BULK_ENABLED="Y")*((BULK_TIER="ALL")+(BULK_TIER=$F9))*((BULK_SKU="ALL")+(BULK_SKU=$G9))*(BULK_START&lt;=11)*(BULK_END&gt;=11)))&gt;0,IFERROR(SUMPRODUCT(((BULK_ENABLED="Y")*((BULK_TIER="ALL")+(BULK_TIER=$F9))*((BULK_SKU="ALL")+(BULK_SKU=$G9))*(BULK_START&lt;=11)*(BULK_END&gt;=11))*IFERROR(BULK_VALUE,0))/MAX(1,SUMPRODUCT(((BULK_ENABLED="Y")*((BULK_TIER="ALL")+(BULK_TIER=$F9))*((BULK_SKU="ALL")+(BULK_SKU=$G9))*(BULK_START&lt;=11)*(BULK_END&gt;=11)))),0),ROUND((INDEX(VELOCITY_TABLE,MATCH($F9,TIER_LIST,0),2))*(IF((11-$I9+1)&lt;=0,0,IF((11-$I9+1)=1,RAMP_W1,IF((11-$I9+1)=2,RAMP_W2,IF((11-$I9+1)=3,RAMP_W3,RAMP_W4PLUS)))))*(INDEX(ACTIVE_MULT_TABLE,2,1))*(1+SUMPRODUCT(SIGN(((ACT_DOOR_SCOPE="ALL")+(ACT_DOOR_SCOPE="TIER_"&amp;$F9)+(ACT_DOOR_SCOPE=$B9)))*SIGN(((ACT_SKU_SCOPE="ALL")+(ACT_SKU_SCOPE=$G9)))*(ACT_START&lt;=11)*(ACT_END&gt;=11)*IFERROR(ACT_UPLIFT-1,0)))*(1+SUMPRODUCT(SIGN(((ACT_DOOR_SCOPE="ALL")+(ACT_DOOR_SCOPE="TIER_"&amp;$F9)+(ACT_DOOR_SCOPE=$B9)))*SIGN(((ACT_SKU_SCOPE="ALL")+(ACT_SKU_SCOPE=$G9)))*(11&gt;ACT_END)*(ACT_END&gt;0)*IFERROR(ACT_POSTLIFT,0))),0)))</f>
        <v/>
      </c>
      <c r="U9" s="10">
        <f>IF(OR($H9&lt;&gt;"Y",12&lt;$I9),0,IF(SUMPRODUCT(((BULK_ENABLED="Y")*((BULK_TIER="ALL")+(BULK_TIER=$F9))*((BULK_SKU="ALL")+(BULK_SKU=$G9))*(BULK_START&lt;=12)*(BULK_END&gt;=12)))&gt;0,IFERROR(SUMPRODUCT(((BULK_ENABLED="Y")*((BULK_TIER="ALL")+(BULK_TIER=$F9))*((BULK_SKU="ALL")+(BULK_SKU=$G9))*(BULK_START&lt;=12)*(BULK_END&gt;=12))*IFERROR(BULK_VALUE,0))/MAX(1,SUMPRODUCT(((BULK_ENABLED="Y")*((BULK_TIER="ALL")+(BULK_TIER=$F9))*((BULK_SKU="ALL")+(BULK_SKU=$G9))*(BULK_START&lt;=12)*(BULK_END&gt;=12)))),0),ROUND((INDEX(VELOCITY_TABLE,MATCH($F9,TIER_LIST,0),2))*(IF((12-$I9+1)&lt;=0,0,IF((12-$I9+1)=1,RAMP_W1,IF((12-$I9+1)=2,RAMP_W2,IF((12-$I9+1)=3,RAMP_W3,RAMP_W4PLUS)))))*(INDEX(ACTIVE_MULT_TABLE,2,1))*(1+SUMPRODUCT(SIGN(((ACT_DOOR_SCOPE="ALL")+(ACT_DOOR_SCOPE="TIER_"&amp;$F9)+(ACT_DOOR_SCOPE=$B9)))*SIGN(((ACT_SKU_SCOPE="ALL")+(ACT_SKU_SCOPE=$G9)))*(ACT_START&lt;=12)*(ACT_END&gt;=12)*IFERROR(ACT_UPLIFT-1,0)))*(1+SUMPRODUCT(SIGN(((ACT_DOOR_SCOPE="ALL")+(ACT_DOOR_SCOPE="TIER_"&amp;$F9)+(ACT_DOOR_SCOPE=$B9)))*SIGN(((ACT_SKU_SCOPE="ALL")+(ACT_SKU_SCOPE=$G9)))*(12&gt;ACT_END)*(ACT_END&gt;0)*IFERROR(ACT_POSTLIFT,0))),0)))</f>
        <v/>
      </c>
      <c r="V9" s="10">
        <f>IF(OR($H9&lt;&gt;"Y",13&lt;$I9),0,IF(SUMPRODUCT(((BULK_ENABLED="Y")*((BULK_TIER="ALL")+(BULK_TIER=$F9))*((BULK_SKU="ALL")+(BULK_SKU=$G9))*(BULK_START&lt;=13)*(BULK_END&gt;=13)))&gt;0,IFERROR(SUMPRODUCT(((BULK_ENABLED="Y")*((BULK_TIER="ALL")+(BULK_TIER=$F9))*((BULK_SKU="ALL")+(BULK_SKU=$G9))*(BULK_START&lt;=13)*(BULK_END&gt;=13))*IFERROR(BULK_VALUE,0))/MAX(1,SUMPRODUCT(((BULK_ENABLED="Y")*((BULK_TIER="ALL")+(BULK_TIER=$F9))*((BULK_SKU="ALL")+(BULK_SKU=$G9))*(BULK_START&lt;=13)*(BULK_END&gt;=13)))),0),ROUND((INDEX(VELOCITY_TABLE,MATCH($F9,TIER_LIST,0),2))*(IF((13-$I9+1)&lt;=0,0,IF((13-$I9+1)=1,RAMP_W1,IF((13-$I9+1)=2,RAMP_W2,IF((13-$I9+1)=3,RAMP_W3,RAMP_W4PLUS)))))*(INDEX(ACTIVE_MULT_TABLE,2,1))*(1+SUMPRODUCT(SIGN(((ACT_DOOR_SCOPE="ALL")+(ACT_DOOR_SCOPE="TIER_"&amp;$F9)+(ACT_DOOR_SCOPE=$B9)))*SIGN(((ACT_SKU_SCOPE="ALL")+(ACT_SKU_SCOPE=$G9)))*(ACT_START&lt;=13)*(ACT_END&gt;=13)*IFERROR(ACT_UPLIFT-1,0)))*(1+SUMPRODUCT(SIGN(((ACT_DOOR_SCOPE="ALL")+(ACT_DOOR_SCOPE="TIER_"&amp;$F9)+(ACT_DOOR_SCOPE=$B9)))*SIGN(((ACT_SKU_SCOPE="ALL")+(ACT_SKU_SCOPE=$G9)))*(13&gt;ACT_END)*(ACT_END&gt;0)*IFERROR(ACT_POSTLIFT,0))),0)))</f>
        <v/>
      </c>
    </row>
    <row r="10">
      <c r="A10" t="inlineStr">
        <is>
          <t>R0006</t>
        </is>
      </c>
      <c r="B10">
        <f>Doors!$A$6</f>
        <v/>
      </c>
      <c r="C10">
        <f>Doors!$C$6</f>
        <v/>
      </c>
      <c r="D10">
        <f>Doors!$B$6</f>
        <v/>
      </c>
      <c r="E10">
        <f>Doors!$E$6</f>
        <v/>
      </c>
      <c r="F10">
        <f>Doors!$F$6</f>
        <v/>
      </c>
      <c r="G10" t="inlineStr">
        <is>
          <t>Raspberry</t>
        </is>
      </c>
      <c r="H10">
        <f>Doors!$I$6</f>
        <v/>
      </c>
      <c r="I10">
        <f>Doors!$J$6</f>
        <v/>
      </c>
      <c r="J10" s="10">
        <f>IF(OR($H10&lt;&gt;"Y",1&lt;$I10),0,IF(SUMPRODUCT(((BULK_ENABLED="Y")*((BULK_TIER="ALL")+(BULK_TIER=$F10))*((BULK_SKU="ALL")+(BULK_SKU=$G10))*(BULK_START&lt;=1)*(BULK_END&gt;=1)))&gt;0,IFERROR(SUMPRODUCT(((BULK_ENABLED="Y")*((BULK_TIER="ALL")+(BULK_TIER=$F10))*((BULK_SKU="ALL")+(BULK_SKU=$G10))*(BULK_START&lt;=1)*(BULK_END&gt;=1))*IFERROR(BULK_VALUE,0))/MAX(1,SUMPRODUCT(((BULK_ENABLED="Y")*((BULK_TIER="ALL")+(BULK_TIER=$F10))*((BULK_SKU="ALL")+(BULK_SKU=$G10))*(BULK_START&lt;=1)*(BULK_END&gt;=1)))),0),ROUND((INDEX(VELOCITY_TABLE,MATCH($F10,TIER_LIST,0),3))*(IF((1-$I10+1)&lt;=0,0,IF((1-$I10+1)=1,RAMP_W1,IF((1-$I10+1)=2,RAMP_W2,IF((1-$I10+1)=3,RAMP_W3,RAMP_W4PLUS)))))*(INDEX(ACTIVE_MULT_TABLE,3,1))*(1+SUMPRODUCT(SIGN(((ACT_DOOR_SCOPE="ALL")+(ACT_DOOR_SCOPE="TIER_"&amp;$F10)+(ACT_DOOR_SCOPE=$B10)))*SIGN(((ACT_SKU_SCOPE="ALL")+(ACT_SKU_SCOPE=$G10)))*(ACT_START&lt;=1)*(ACT_END&gt;=1)*IFERROR(ACT_UPLIFT-1,0)))*(1+SUMPRODUCT(SIGN(((ACT_DOOR_SCOPE="ALL")+(ACT_DOOR_SCOPE="TIER_"&amp;$F10)+(ACT_DOOR_SCOPE=$B10)))*SIGN(((ACT_SKU_SCOPE="ALL")+(ACT_SKU_SCOPE=$G10)))*(1&gt;ACT_END)*(ACT_END&gt;0)*IFERROR(ACT_POSTLIFT,0))),0)))</f>
        <v/>
      </c>
      <c r="K10" s="10">
        <f>IF(OR($H10&lt;&gt;"Y",2&lt;$I10),0,IF(SUMPRODUCT(((BULK_ENABLED="Y")*((BULK_TIER="ALL")+(BULK_TIER=$F10))*((BULK_SKU="ALL")+(BULK_SKU=$G10))*(BULK_START&lt;=2)*(BULK_END&gt;=2)))&gt;0,IFERROR(SUMPRODUCT(((BULK_ENABLED="Y")*((BULK_TIER="ALL")+(BULK_TIER=$F10))*((BULK_SKU="ALL")+(BULK_SKU=$G10))*(BULK_START&lt;=2)*(BULK_END&gt;=2))*IFERROR(BULK_VALUE,0))/MAX(1,SUMPRODUCT(((BULK_ENABLED="Y")*((BULK_TIER="ALL")+(BULK_TIER=$F10))*((BULK_SKU="ALL")+(BULK_SKU=$G10))*(BULK_START&lt;=2)*(BULK_END&gt;=2)))),0),ROUND((INDEX(VELOCITY_TABLE,MATCH($F10,TIER_LIST,0),3))*(IF((2-$I10+1)&lt;=0,0,IF((2-$I10+1)=1,RAMP_W1,IF((2-$I10+1)=2,RAMP_W2,IF((2-$I10+1)=3,RAMP_W3,RAMP_W4PLUS)))))*(INDEX(ACTIVE_MULT_TABLE,3,1))*(1+SUMPRODUCT(SIGN(((ACT_DOOR_SCOPE="ALL")+(ACT_DOOR_SCOPE="TIER_"&amp;$F10)+(ACT_DOOR_SCOPE=$B10)))*SIGN(((ACT_SKU_SCOPE="ALL")+(ACT_SKU_SCOPE=$G10)))*(ACT_START&lt;=2)*(ACT_END&gt;=2)*IFERROR(ACT_UPLIFT-1,0)))*(1+SUMPRODUCT(SIGN(((ACT_DOOR_SCOPE="ALL")+(ACT_DOOR_SCOPE="TIER_"&amp;$F10)+(ACT_DOOR_SCOPE=$B10)))*SIGN(((ACT_SKU_SCOPE="ALL")+(ACT_SKU_SCOPE=$G10)))*(2&gt;ACT_END)*(ACT_END&gt;0)*IFERROR(ACT_POSTLIFT,0))),0)))</f>
        <v/>
      </c>
      <c r="L10" s="10">
        <f>IF(OR($H10&lt;&gt;"Y",3&lt;$I10),0,IF(SUMPRODUCT(((BULK_ENABLED="Y")*((BULK_TIER="ALL")+(BULK_TIER=$F10))*((BULK_SKU="ALL")+(BULK_SKU=$G10))*(BULK_START&lt;=3)*(BULK_END&gt;=3)))&gt;0,IFERROR(SUMPRODUCT(((BULK_ENABLED="Y")*((BULK_TIER="ALL")+(BULK_TIER=$F10))*((BULK_SKU="ALL")+(BULK_SKU=$G10))*(BULK_START&lt;=3)*(BULK_END&gt;=3))*IFERROR(BULK_VALUE,0))/MAX(1,SUMPRODUCT(((BULK_ENABLED="Y")*((BULK_TIER="ALL")+(BULK_TIER=$F10))*((BULK_SKU="ALL")+(BULK_SKU=$G10))*(BULK_START&lt;=3)*(BULK_END&gt;=3)))),0),ROUND((INDEX(VELOCITY_TABLE,MATCH($F10,TIER_LIST,0),3))*(IF((3-$I10+1)&lt;=0,0,IF((3-$I10+1)=1,RAMP_W1,IF((3-$I10+1)=2,RAMP_W2,IF((3-$I10+1)=3,RAMP_W3,RAMP_W4PLUS)))))*(INDEX(ACTIVE_MULT_TABLE,3,1))*(1+SUMPRODUCT(SIGN(((ACT_DOOR_SCOPE="ALL")+(ACT_DOOR_SCOPE="TIER_"&amp;$F10)+(ACT_DOOR_SCOPE=$B10)))*SIGN(((ACT_SKU_SCOPE="ALL")+(ACT_SKU_SCOPE=$G10)))*(ACT_START&lt;=3)*(ACT_END&gt;=3)*IFERROR(ACT_UPLIFT-1,0)))*(1+SUMPRODUCT(SIGN(((ACT_DOOR_SCOPE="ALL")+(ACT_DOOR_SCOPE="TIER_"&amp;$F10)+(ACT_DOOR_SCOPE=$B10)))*SIGN(((ACT_SKU_SCOPE="ALL")+(ACT_SKU_SCOPE=$G10)))*(3&gt;ACT_END)*(ACT_END&gt;0)*IFERROR(ACT_POSTLIFT,0))),0)))</f>
        <v/>
      </c>
      <c r="M10" s="10">
        <f>IF(OR($H10&lt;&gt;"Y",4&lt;$I10),0,IF(SUMPRODUCT(((BULK_ENABLED="Y")*((BULK_TIER="ALL")+(BULK_TIER=$F10))*((BULK_SKU="ALL")+(BULK_SKU=$G10))*(BULK_START&lt;=4)*(BULK_END&gt;=4)))&gt;0,IFERROR(SUMPRODUCT(((BULK_ENABLED="Y")*((BULK_TIER="ALL")+(BULK_TIER=$F10))*((BULK_SKU="ALL")+(BULK_SKU=$G10))*(BULK_START&lt;=4)*(BULK_END&gt;=4))*IFERROR(BULK_VALUE,0))/MAX(1,SUMPRODUCT(((BULK_ENABLED="Y")*((BULK_TIER="ALL")+(BULK_TIER=$F10))*((BULK_SKU="ALL")+(BULK_SKU=$G10))*(BULK_START&lt;=4)*(BULK_END&gt;=4)))),0),ROUND((INDEX(VELOCITY_TABLE,MATCH($F10,TIER_LIST,0),3))*(IF((4-$I10+1)&lt;=0,0,IF((4-$I10+1)=1,RAMP_W1,IF((4-$I10+1)=2,RAMP_W2,IF((4-$I10+1)=3,RAMP_W3,RAMP_W4PLUS)))))*(INDEX(ACTIVE_MULT_TABLE,3,1))*(1+SUMPRODUCT(SIGN(((ACT_DOOR_SCOPE="ALL")+(ACT_DOOR_SCOPE="TIER_"&amp;$F10)+(ACT_DOOR_SCOPE=$B10)))*SIGN(((ACT_SKU_SCOPE="ALL")+(ACT_SKU_SCOPE=$G10)))*(ACT_START&lt;=4)*(ACT_END&gt;=4)*IFERROR(ACT_UPLIFT-1,0)))*(1+SUMPRODUCT(SIGN(((ACT_DOOR_SCOPE="ALL")+(ACT_DOOR_SCOPE="TIER_"&amp;$F10)+(ACT_DOOR_SCOPE=$B10)))*SIGN(((ACT_SKU_SCOPE="ALL")+(ACT_SKU_SCOPE=$G10)))*(4&gt;ACT_END)*(ACT_END&gt;0)*IFERROR(ACT_POSTLIFT,0))),0)))</f>
        <v/>
      </c>
      <c r="N10" s="10">
        <f>IF(OR($H10&lt;&gt;"Y",5&lt;$I10),0,IF(SUMPRODUCT(((BULK_ENABLED="Y")*((BULK_TIER="ALL")+(BULK_TIER=$F10))*((BULK_SKU="ALL")+(BULK_SKU=$G10))*(BULK_START&lt;=5)*(BULK_END&gt;=5)))&gt;0,IFERROR(SUMPRODUCT(((BULK_ENABLED="Y")*((BULK_TIER="ALL")+(BULK_TIER=$F10))*((BULK_SKU="ALL")+(BULK_SKU=$G10))*(BULK_START&lt;=5)*(BULK_END&gt;=5))*IFERROR(BULK_VALUE,0))/MAX(1,SUMPRODUCT(((BULK_ENABLED="Y")*((BULK_TIER="ALL")+(BULK_TIER=$F10))*((BULK_SKU="ALL")+(BULK_SKU=$G10))*(BULK_START&lt;=5)*(BULK_END&gt;=5)))),0),ROUND((INDEX(VELOCITY_TABLE,MATCH($F10,TIER_LIST,0),3))*(IF((5-$I10+1)&lt;=0,0,IF((5-$I10+1)=1,RAMP_W1,IF((5-$I10+1)=2,RAMP_W2,IF((5-$I10+1)=3,RAMP_W3,RAMP_W4PLUS)))))*(INDEX(ACTIVE_MULT_TABLE,3,1))*(1+SUMPRODUCT(SIGN(((ACT_DOOR_SCOPE="ALL")+(ACT_DOOR_SCOPE="TIER_"&amp;$F10)+(ACT_DOOR_SCOPE=$B10)))*SIGN(((ACT_SKU_SCOPE="ALL")+(ACT_SKU_SCOPE=$G10)))*(ACT_START&lt;=5)*(ACT_END&gt;=5)*IFERROR(ACT_UPLIFT-1,0)))*(1+SUMPRODUCT(SIGN(((ACT_DOOR_SCOPE="ALL")+(ACT_DOOR_SCOPE="TIER_"&amp;$F10)+(ACT_DOOR_SCOPE=$B10)))*SIGN(((ACT_SKU_SCOPE="ALL")+(ACT_SKU_SCOPE=$G10)))*(5&gt;ACT_END)*(ACT_END&gt;0)*IFERROR(ACT_POSTLIFT,0))),0)))</f>
        <v/>
      </c>
      <c r="O10" s="10">
        <f>IF(OR($H10&lt;&gt;"Y",6&lt;$I10),0,IF(SUMPRODUCT(((BULK_ENABLED="Y")*((BULK_TIER="ALL")+(BULK_TIER=$F10))*((BULK_SKU="ALL")+(BULK_SKU=$G10))*(BULK_START&lt;=6)*(BULK_END&gt;=6)))&gt;0,IFERROR(SUMPRODUCT(((BULK_ENABLED="Y")*((BULK_TIER="ALL")+(BULK_TIER=$F10))*((BULK_SKU="ALL")+(BULK_SKU=$G10))*(BULK_START&lt;=6)*(BULK_END&gt;=6))*IFERROR(BULK_VALUE,0))/MAX(1,SUMPRODUCT(((BULK_ENABLED="Y")*((BULK_TIER="ALL")+(BULK_TIER=$F10))*((BULK_SKU="ALL")+(BULK_SKU=$G10))*(BULK_START&lt;=6)*(BULK_END&gt;=6)))),0),ROUND((INDEX(VELOCITY_TABLE,MATCH($F10,TIER_LIST,0),3))*(IF((6-$I10+1)&lt;=0,0,IF((6-$I10+1)=1,RAMP_W1,IF((6-$I10+1)=2,RAMP_W2,IF((6-$I10+1)=3,RAMP_W3,RAMP_W4PLUS)))))*(INDEX(ACTIVE_MULT_TABLE,3,1))*(1+SUMPRODUCT(SIGN(((ACT_DOOR_SCOPE="ALL")+(ACT_DOOR_SCOPE="TIER_"&amp;$F10)+(ACT_DOOR_SCOPE=$B10)))*SIGN(((ACT_SKU_SCOPE="ALL")+(ACT_SKU_SCOPE=$G10)))*(ACT_START&lt;=6)*(ACT_END&gt;=6)*IFERROR(ACT_UPLIFT-1,0)))*(1+SUMPRODUCT(SIGN(((ACT_DOOR_SCOPE="ALL")+(ACT_DOOR_SCOPE="TIER_"&amp;$F10)+(ACT_DOOR_SCOPE=$B10)))*SIGN(((ACT_SKU_SCOPE="ALL")+(ACT_SKU_SCOPE=$G10)))*(6&gt;ACT_END)*(ACT_END&gt;0)*IFERROR(ACT_POSTLIFT,0))),0)))</f>
        <v/>
      </c>
      <c r="P10" s="10">
        <f>IF(OR($H10&lt;&gt;"Y",7&lt;$I10),0,IF(SUMPRODUCT(((BULK_ENABLED="Y")*((BULK_TIER="ALL")+(BULK_TIER=$F10))*((BULK_SKU="ALL")+(BULK_SKU=$G10))*(BULK_START&lt;=7)*(BULK_END&gt;=7)))&gt;0,IFERROR(SUMPRODUCT(((BULK_ENABLED="Y")*((BULK_TIER="ALL")+(BULK_TIER=$F10))*((BULK_SKU="ALL")+(BULK_SKU=$G10))*(BULK_START&lt;=7)*(BULK_END&gt;=7))*IFERROR(BULK_VALUE,0))/MAX(1,SUMPRODUCT(((BULK_ENABLED="Y")*((BULK_TIER="ALL")+(BULK_TIER=$F10))*((BULK_SKU="ALL")+(BULK_SKU=$G10))*(BULK_START&lt;=7)*(BULK_END&gt;=7)))),0),ROUND((INDEX(VELOCITY_TABLE,MATCH($F10,TIER_LIST,0),3))*(IF((7-$I10+1)&lt;=0,0,IF((7-$I10+1)=1,RAMP_W1,IF((7-$I10+1)=2,RAMP_W2,IF((7-$I10+1)=3,RAMP_W3,RAMP_W4PLUS)))))*(INDEX(ACTIVE_MULT_TABLE,3,1))*(1+SUMPRODUCT(SIGN(((ACT_DOOR_SCOPE="ALL")+(ACT_DOOR_SCOPE="TIER_"&amp;$F10)+(ACT_DOOR_SCOPE=$B10)))*SIGN(((ACT_SKU_SCOPE="ALL")+(ACT_SKU_SCOPE=$G10)))*(ACT_START&lt;=7)*(ACT_END&gt;=7)*IFERROR(ACT_UPLIFT-1,0)))*(1+SUMPRODUCT(SIGN(((ACT_DOOR_SCOPE="ALL")+(ACT_DOOR_SCOPE="TIER_"&amp;$F10)+(ACT_DOOR_SCOPE=$B10)))*SIGN(((ACT_SKU_SCOPE="ALL")+(ACT_SKU_SCOPE=$G10)))*(7&gt;ACT_END)*(ACT_END&gt;0)*IFERROR(ACT_POSTLIFT,0))),0)))</f>
        <v/>
      </c>
      <c r="Q10" s="10">
        <f>IF(OR($H10&lt;&gt;"Y",8&lt;$I10),0,IF(SUMPRODUCT(((BULK_ENABLED="Y")*((BULK_TIER="ALL")+(BULK_TIER=$F10))*((BULK_SKU="ALL")+(BULK_SKU=$G10))*(BULK_START&lt;=8)*(BULK_END&gt;=8)))&gt;0,IFERROR(SUMPRODUCT(((BULK_ENABLED="Y")*((BULK_TIER="ALL")+(BULK_TIER=$F10))*((BULK_SKU="ALL")+(BULK_SKU=$G10))*(BULK_START&lt;=8)*(BULK_END&gt;=8))*IFERROR(BULK_VALUE,0))/MAX(1,SUMPRODUCT(((BULK_ENABLED="Y")*((BULK_TIER="ALL")+(BULK_TIER=$F10))*((BULK_SKU="ALL")+(BULK_SKU=$G10))*(BULK_START&lt;=8)*(BULK_END&gt;=8)))),0),ROUND((INDEX(VELOCITY_TABLE,MATCH($F10,TIER_LIST,0),3))*(IF((8-$I10+1)&lt;=0,0,IF((8-$I10+1)=1,RAMP_W1,IF((8-$I10+1)=2,RAMP_W2,IF((8-$I10+1)=3,RAMP_W3,RAMP_W4PLUS)))))*(INDEX(ACTIVE_MULT_TABLE,3,1))*(1+SUMPRODUCT(SIGN(((ACT_DOOR_SCOPE="ALL")+(ACT_DOOR_SCOPE="TIER_"&amp;$F10)+(ACT_DOOR_SCOPE=$B10)))*SIGN(((ACT_SKU_SCOPE="ALL")+(ACT_SKU_SCOPE=$G10)))*(ACT_START&lt;=8)*(ACT_END&gt;=8)*IFERROR(ACT_UPLIFT-1,0)))*(1+SUMPRODUCT(SIGN(((ACT_DOOR_SCOPE="ALL")+(ACT_DOOR_SCOPE="TIER_"&amp;$F10)+(ACT_DOOR_SCOPE=$B10)))*SIGN(((ACT_SKU_SCOPE="ALL")+(ACT_SKU_SCOPE=$G10)))*(8&gt;ACT_END)*(ACT_END&gt;0)*IFERROR(ACT_POSTLIFT,0))),0)))</f>
        <v/>
      </c>
      <c r="R10" s="10">
        <f>IF(OR($H10&lt;&gt;"Y",9&lt;$I10),0,IF(SUMPRODUCT(((BULK_ENABLED="Y")*((BULK_TIER="ALL")+(BULK_TIER=$F10))*((BULK_SKU="ALL")+(BULK_SKU=$G10))*(BULK_START&lt;=9)*(BULK_END&gt;=9)))&gt;0,IFERROR(SUMPRODUCT(((BULK_ENABLED="Y")*((BULK_TIER="ALL")+(BULK_TIER=$F10))*((BULK_SKU="ALL")+(BULK_SKU=$G10))*(BULK_START&lt;=9)*(BULK_END&gt;=9))*IFERROR(BULK_VALUE,0))/MAX(1,SUMPRODUCT(((BULK_ENABLED="Y")*((BULK_TIER="ALL")+(BULK_TIER=$F10))*((BULK_SKU="ALL")+(BULK_SKU=$G10))*(BULK_START&lt;=9)*(BULK_END&gt;=9)))),0),ROUND((INDEX(VELOCITY_TABLE,MATCH($F10,TIER_LIST,0),3))*(IF((9-$I10+1)&lt;=0,0,IF((9-$I10+1)=1,RAMP_W1,IF((9-$I10+1)=2,RAMP_W2,IF((9-$I10+1)=3,RAMP_W3,RAMP_W4PLUS)))))*(INDEX(ACTIVE_MULT_TABLE,3,1))*(1+SUMPRODUCT(SIGN(((ACT_DOOR_SCOPE="ALL")+(ACT_DOOR_SCOPE="TIER_"&amp;$F10)+(ACT_DOOR_SCOPE=$B10)))*SIGN(((ACT_SKU_SCOPE="ALL")+(ACT_SKU_SCOPE=$G10)))*(ACT_START&lt;=9)*(ACT_END&gt;=9)*IFERROR(ACT_UPLIFT-1,0)))*(1+SUMPRODUCT(SIGN(((ACT_DOOR_SCOPE="ALL")+(ACT_DOOR_SCOPE="TIER_"&amp;$F10)+(ACT_DOOR_SCOPE=$B10)))*SIGN(((ACT_SKU_SCOPE="ALL")+(ACT_SKU_SCOPE=$G10)))*(9&gt;ACT_END)*(ACT_END&gt;0)*IFERROR(ACT_POSTLIFT,0))),0)))</f>
        <v/>
      </c>
      <c r="S10" s="10">
        <f>IF(OR($H10&lt;&gt;"Y",10&lt;$I10),0,IF(SUMPRODUCT(((BULK_ENABLED="Y")*((BULK_TIER="ALL")+(BULK_TIER=$F10))*((BULK_SKU="ALL")+(BULK_SKU=$G10))*(BULK_START&lt;=10)*(BULK_END&gt;=10)))&gt;0,IFERROR(SUMPRODUCT(((BULK_ENABLED="Y")*((BULK_TIER="ALL")+(BULK_TIER=$F10))*((BULK_SKU="ALL")+(BULK_SKU=$G10))*(BULK_START&lt;=10)*(BULK_END&gt;=10))*IFERROR(BULK_VALUE,0))/MAX(1,SUMPRODUCT(((BULK_ENABLED="Y")*((BULK_TIER="ALL")+(BULK_TIER=$F10))*((BULK_SKU="ALL")+(BULK_SKU=$G10))*(BULK_START&lt;=10)*(BULK_END&gt;=10)))),0),ROUND((INDEX(VELOCITY_TABLE,MATCH($F10,TIER_LIST,0),3))*(IF((10-$I10+1)&lt;=0,0,IF((10-$I10+1)=1,RAMP_W1,IF((10-$I10+1)=2,RAMP_W2,IF((10-$I10+1)=3,RAMP_W3,RAMP_W4PLUS)))))*(INDEX(ACTIVE_MULT_TABLE,3,1))*(1+SUMPRODUCT(SIGN(((ACT_DOOR_SCOPE="ALL")+(ACT_DOOR_SCOPE="TIER_"&amp;$F10)+(ACT_DOOR_SCOPE=$B10)))*SIGN(((ACT_SKU_SCOPE="ALL")+(ACT_SKU_SCOPE=$G10)))*(ACT_START&lt;=10)*(ACT_END&gt;=10)*IFERROR(ACT_UPLIFT-1,0)))*(1+SUMPRODUCT(SIGN(((ACT_DOOR_SCOPE="ALL")+(ACT_DOOR_SCOPE="TIER_"&amp;$F10)+(ACT_DOOR_SCOPE=$B10)))*SIGN(((ACT_SKU_SCOPE="ALL")+(ACT_SKU_SCOPE=$G10)))*(10&gt;ACT_END)*(ACT_END&gt;0)*IFERROR(ACT_POSTLIFT,0))),0)))</f>
        <v/>
      </c>
      <c r="T10" s="10">
        <f>IF(OR($H10&lt;&gt;"Y",11&lt;$I10),0,IF(SUMPRODUCT(((BULK_ENABLED="Y")*((BULK_TIER="ALL")+(BULK_TIER=$F10))*((BULK_SKU="ALL")+(BULK_SKU=$G10))*(BULK_START&lt;=11)*(BULK_END&gt;=11)))&gt;0,IFERROR(SUMPRODUCT(((BULK_ENABLED="Y")*((BULK_TIER="ALL")+(BULK_TIER=$F10))*((BULK_SKU="ALL")+(BULK_SKU=$G10))*(BULK_START&lt;=11)*(BULK_END&gt;=11))*IFERROR(BULK_VALUE,0))/MAX(1,SUMPRODUCT(((BULK_ENABLED="Y")*((BULK_TIER="ALL")+(BULK_TIER=$F10))*((BULK_SKU="ALL")+(BULK_SKU=$G10))*(BULK_START&lt;=11)*(BULK_END&gt;=11)))),0),ROUND((INDEX(VELOCITY_TABLE,MATCH($F10,TIER_LIST,0),3))*(IF((11-$I10+1)&lt;=0,0,IF((11-$I10+1)=1,RAMP_W1,IF((11-$I10+1)=2,RAMP_W2,IF((11-$I10+1)=3,RAMP_W3,RAMP_W4PLUS)))))*(INDEX(ACTIVE_MULT_TABLE,3,1))*(1+SUMPRODUCT(SIGN(((ACT_DOOR_SCOPE="ALL")+(ACT_DOOR_SCOPE="TIER_"&amp;$F10)+(ACT_DOOR_SCOPE=$B10)))*SIGN(((ACT_SKU_SCOPE="ALL")+(ACT_SKU_SCOPE=$G10)))*(ACT_START&lt;=11)*(ACT_END&gt;=11)*IFERROR(ACT_UPLIFT-1,0)))*(1+SUMPRODUCT(SIGN(((ACT_DOOR_SCOPE="ALL")+(ACT_DOOR_SCOPE="TIER_"&amp;$F10)+(ACT_DOOR_SCOPE=$B10)))*SIGN(((ACT_SKU_SCOPE="ALL")+(ACT_SKU_SCOPE=$G10)))*(11&gt;ACT_END)*(ACT_END&gt;0)*IFERROR(ACT_POSTLIFT,0))),0)))</f>
        <v/>
      </c>
      <c r="U10" s="10">
        <f>IF(OR($H10&lt;&gt;"Y",12&lt;$I10),0,IF(SUMPRODUCT(((BULK_ENABLED="Y")*((BULK_TIER="ALL")+(BULK_TIER=$F10))*((BULK_SKU="ALL")+(BULK_SKU=$G10))*(BULK_START&lt;=12)*(BULK_END&gt;=12)))&gt;0,IFERROR(SUMPRODUCT(((BULK_ENABLED="Y")*((BULK_TIER="ALL")+(BULK_TIER=$F10))*((BULK_SKU="ALL")+(BULK_SKU=$G10))*(BULK_START&lt;=12)*(BULK_END&gt;=12))*IFERROR(BULK_VALUE,0))/MAX(1,SUMPRODUCT(((BULK_ENABLED="Y")*((BULK_TIER="ALL")+(BULK_TIER=$F10))*((BULK_SKU="ALL")+(BULK_SKU=$G10))*(BULK_START&lt;=12)*(BULK_END&gt;=12)))),0),ROUND((INDEX(VELOCITY_TABLE,MATCH($F10,TIER_LIST,0),3))*(IF((12-$I10+1)&lt;=0,0,IF((12-$I10+1)=1,RAMP_W1,IF((12-$I10+1)=2,RAMP_W2,IF((12-$I10+1)=3,RAMP_W3,RAMP_W4PLUS)))))*(INDEX(ACTIVE_MULT_TABLE,3,1))*(1+SUMPRODUCT(SIGN(((ACT_DOOR_SCOPE="ALL")+(ACT_DOOR_SCOPE="TIER_"&amp;$F10)+(ACT_DOOR_SCOPE=$B10)))*SIGN(((ACT_SKU_SCOPE="ALL")+(ACT_SKU_SCOPE=$G10)))*(ACT_START&lt;=12)*(ACT_END&gt;=12)*IFERROR(ACT_UPLIFT-1,0)))*(1+SUMPRODUCT(SIGN(((ACT_DOOR_SCOPE="ALL")+(ACT_DOOR_SCOPE="TIER_"&amp;$F10)+(ACT_DOOR_SCOPE=$B10)))*SIGN(((ACT_SKU_SCOPE="ALL")+(ACT_SKU_SCOPE=$G10)))*(12&gt;ACT_END)*(ACT_END&gt;0)*IFERROR(ACT_POSTLIFT,0))),0)))</f>
        <v/>
      </c>
      <c r="V10" s="10">
        <f>IF(OR($H10&lt;&gt;"Y",13&lt;$I10),0,IF(SUMPRODUCT(((BULK_ENABLED="Y")*((BULK_TIER="ALL")+(BULK_TIER=$F10))*((BULK_SKU="ALL")+(BULK_SKU=$G10))*(BULK_START&lt;=13)*(BULK_END&gt;=13)))&gt;0,IFERROR(SUMPRODUCT(((BULK_ENABLED="Y")*((BULK_TIER="ALL")+(BULK_TIER=$F10))*((BULK_SKU="ALL")+(BULK_SKU=$G10))*(BULK_START&lt;=13)*(BULK_END&gt;=13))*IFERROR(BULK_VALUE,0))/MAX(1,SUMPRODUCT(((BULK_ENABLED="Y")*((BULK_TIER="ALL")+(BULK_TIER=$F10))*((BULK_SKU="ALL")+(BULK_SKU=$G10))*(BULK_START&lt;=13)*(BULK_END&gt;=13)))),0),ROUND((INDEX(VELOCITY_TABLE,MATCH($F10,TIER_LIST,0),3))*(IF((13-$I10+1)&lt;=0,0,IF((13-$I10+1)=1,RAMP_W1,IF((13-$I10+1)=2,RAMP_W2,IF((13-$I10+1)=3,RAMP_W3,RAMP_W4PLUS)))))*(INDEX(ACTIVE_MULT_TABLE,3,1))*(1+SUMPRODUCT(SIGN(((ACT_DOOR_SCOPE="ALL")+(ACT_DOOR_SCOPE="TIER_"&amp;$F10)+(ACT_DOOR_SCOPE=$B10)))*SIGN(((ACT_SKU_SCOPE="ALL")+(ACT_SKU_SCOPE=$G10)))*(ACT_START&lt;=13)*(ACT_END&gt;=13)*IFERROR(ACT_UPLIFT-1,0)))*(1+SUMPRODUCT(SIGN(((ACT_DOOR_SCOPE="ALL")+(ACT_DOOR_SCOPE="TIER_"&amp;$F10)+(ACT_DOOR_SCOPE=$B10)))*SIGN(((ACT_SKU_SCOPE="ALL")+(ACT_SKU_SCOPE=$G10)))*(13&gt;ACT_END)*(ACT_END&gt;0)*IFERROR(ACT_POSTLIFT,0))),0)))</f>
        <v/>
      </c>
    </row>
    <row r="11">
      <c r="A11" t="inlineStr">
        <is>
          <t>R0007</t>
        </is>
      </c>
      <c r="B11">
        <f>Doors!$A$7</f>
        <v/>
      </c>
      <c r="C11">
        <f>Doors!$C$7</f>
        <v/>
      </c>
      <c r="D11">
        <f>Doors!$B$7</f>
        <v/>
      </c>
      <c r="E11">
        <f>Doors!$E$7</f>
        <v/>
      </c>
      <c r="F11">
        <f>Doors!$F$7</f>
        <v/>
      </c>
      <c r="G11" t="inlineStr">
        <is>
          <t>Lime Lemon</t>
        </is>
      </c>
      <c r="H11">
        <f>Doors!$G$7</f>
        <v/>
      </c>
      <c r="I11">
        <f>Doors!$J$7</f>
        <v/>
      </c>
      <c r="J11" s="10">
        <f>IF(OR($H11&lt;&gt;"Y",1&lt;$I11),0,IF(SUMPRODUCT(((BULK_ENABLED="Y")*((BULK_TIER="ALL")+(BULK_TIER=$F11))*((BULK_SKU="ALL")+(BULK_SKU=$G11))*(BULK_START&lt;=1)*(BULK_END&gt;=1)))&gt;0,IFERROR(SUMPRODUCT(((BULK_ENABLED="Y")*((BULK_TIER="ALL")+(BULK_TIER=$F11))*((BULK_SKU="ALL")+(BULK_SKU=$G11))*(BULK_START&lt;=1)*(BULK_END&gt;=1))*IFERROR(BULK_VALUE,0))/MAX(1,SUMPRODUCT(((BULK_ENABLED="Y")*((BULK_TIER="ALL")+(BULK_TIER=$F11))*((BULK_SKU="ALL")+(BULK_SKU=$G11))*(BULK_START&lt;=1)*(BULK_END&gt;=1)))),0),ROUND((INDEX(VELOCITY_TABLE,MATCH($F11,TIER_LIST,0),1))*(IF((1-$I11+1)&lt;=0,0,IF((1-$I11+1)=1,RAMP_W1,IF((1-$I11+1)=2,RAMP_W2,IF((1-$I11+1)=3,RAMP_W3,RAMP_W4PLUS)))))*(INDEX(ACTIVE_MULT_TABLE,1,1))*(1+SUMPRODUCT(SIGN(((ACT_DOOR_SCOPE="ALL")+(ACT_DOOR_SCOPE="TIER_"&amp;$F11)+(ACT_DOOR_SCOPE=$B11)))*SIGN(((ACT_SKU_SCOPE="ALL")+(ACT_SKU_SCOPE=$G11)))*(ACT_START&lt;=1)*(ACT_END&gt;=1)*IFERROR(ACT_UPLIFT-1,0)))*(1+SUMPRODUCT(SIGN(((ACT_DOOR_SCOPE="ALL")+(ACT_DOOR_SCOPE="TIER_"&amp;$F11)+(ACT_DOOR_SCOPE=$B11)))*SIGN(((ACT_SKU_SCOPE="ALL")+(ACT_SKU_SCOPE=$G11)))*(1&gt;ACT_END)*(ACT_END&gt;0)*IFERROR(ACT_POSTLIFT,0))),0)))</f>
        <v/>
      </c>
      <c r="K11" s="10">
        <f>IF(OR($H11&lt;&gt;"Y",2&lt;$I11),0,IF(SUMPRODUCT(((BULK_ENABLED="Y")*((BULK_TIER="ALL")+(BULK_TIER=$F11))*((BULK_SKU="ALL")+(BULK_SKU=$G11))*(BULK_START&lt;=2)*(BULK_END&gt;=2)))&gt;0,IFERROR(SUMPRODUCT(((BULK_ENABLED="Y")*((BULK_TIER="ALL")+(BULK_TIER=$F11))*((BULK_SKU="ALL")+(BULK_SKU=$G11))*(BULK_START&lt;=2)*(BULK_END&gt;=2))*IFERROR(BULK_VALUE,0))/MAX(1,SUMPRODUCT(((BULK_ENABLED="Y")*((BULK_TIER="ALL")+(BULK_TIER=$F11))*((BULK_SKU="ALL")+(BULK_SKU=$G11))*(BULK_START&lt;=2)*(BULK_END&gt;=2)))),0),ROUND((INDEX(VELOCITY_TABLE,MATCH($F11,TIER_LIST,0),1))*(IF((2-$I11+1)&lt;=0,0,IF((2-$I11+1)=1,RAMP_W1,IF((2-$I11+1)=2,RAMP_W2,IF((2-$I11+1)=3,RAMP_W3,RAMP_W4PLUS)))))*(INDEX(ACTIVE_MULT_TABLE,1,1))*(1+SUMPRODUCT(SIGN(((ACT_DOOR_SCOPE="ALL")+(ACT_DOOR_SCOPE="TIER_"&amp;$F11)+(ACT_DOOR_SCOPE=$B11)))*SIGN(((ACT_SKU_SCOPE="ALL")+(ACT_SKU_SCOPE=$G11)))*(ACT_START&lt;=2)*(ACT_END&gt;=2)*IFERROR(ACT_UPLIFT-1,0)))*(1+SUMPRODUCT(SIGN(((ACT_DOOR_SCOPE="ALL")+(ACT_DOOR_SCOPE="TIER_"&amp;$F11)+(ACT_DOOR_SCOPE=$B11)))*SIGN(((ACT_SKU_SCOPE="ALL")+(ACT_SKU_SCOPE=$G11)))*(2&gt;ACT_END)*(ACT_END&gt;0)*IFERROR(ACT_POSTLIFT,0))),0)))</f>
        <v/>
      </c>
      <c r="L11" s="10">
        <f>IF(OR($H11&lt;&gt;"Y",3&lt;$I11),0,IF(SUMPRODUCT(((BULK_ENABLED="Y")*((BULK_TIER="ALL")+(BULK_TIER=$F11))*((BULK_SKU="ALL")+(BULK_SKU=$G11))*(BULK_START&lt;=3)*(BULK_END&gt;=3)))&gt;0,IFERROR(SUMPRODUCT(((BULK_ENABLED="Y")*((BULK_TIER="ALL")+(BULK_TIER=$F11))*((BULK_SKU="ALL")+(BULK_SKU=$G11))*(BULK_START&lt;=3)*(BULK_END&gt;=3))*IFERROR(BULK_VALUE,0))/MAX(1,SUMPRODUCT(((BULK_ENABLED="Y")*((BULK_TIER="ALL")+(BULK_TIER=$F11))*((BULK_SKU="ALL")+(BULK_SKU=$G11))*(BULK_START&lt;=3)*(BULK_END&gt;=3)))),0),ROUND((INDEX(VELOCITY_TABLE,MATCH($F11,TIER_LIST,0),1))*(IF((3-$I11+1)&lt;=0,0,IF((3-$I11+1)=1,RAMP_W1,IF((3-$I11+1)=2,RAMP_W2,IF((3-$I11+1)=3,RAMP_W3,RAMP_W4PLUS)))))*(INDEX(ACTIVE_MULT_TABLE,1,1))*(1+SUMPRODUCT(SIGN(((ACT_DOOR_SCOPE="ALL")+(ACT_DOOR_SCOPE="TIER_"&amp;$F11)+(ACT_DOOR_SCOPE=$B11)))*SIGN(((ACT_SKU_SCOPE="ALL")+(ACT_SKU_SCOPE=$G11)))*(ACT_START&lt;=3)*(ACT_END&gt;=3)*IFERROR(ACT_UPLIFT-1,0)))*(1+SUMPRODUCT(SIGN(((ACT_DOOR_SCOPE="ALL")+(ACT_DOOR_SCOPE="TIER_"&amp;$F11)+(ACT_DOOR_SCOPE=$B11)))*SIGN(((ACT_SKU_SCOPE="ALL")+(ACT_SKU_SCOPE=$G11)))*(3&gt;ACT_END)*(ACT_END&gt;0)*IFERROR(ACT_POSTLIFT,0))),0)))</f>
        <v/>
      </c>
      <c r="M11" s="10">
        <f>IF(OR($H11&lt;&gt;"Y",4&lt;$I11),0,IF(SUMPRODUCT(((BULK_ENABLED="Y")*((BULK_TIER="ALL")+(BULK_TIER=$F11))*((BULK_SKU="ALL")+(BULK_SKU=$G11))*(BULK_START&lt;=4)*(BULK_END&gt;=4)))&gt;0,IFERROR(SUMPRODUCT(((BULK_ENABLED="Y")*((BULK_TIER="ALL")+(BULK_TIER=$F11))*((BULK_SKU="ALL")+(BULK_SKU=$G11))*(BULK_START&lt;=4)*(BULK_END&gt;=4))*IFERROR(BULK_VALUE,0))/MAX(1,SUMPRODUCT(((BULK_ENABLED="Y")*((BULK_TIER="ALL")+(BULK_TIER=$F11))*((BULK_SKU="ALL")+(BULK_SKU=$G11))*(BULK_START&lt;=4)*(BULK_END&gt;=4)))),0),ROUND((INDEX(VELOCITY_TABLE,MATCH($F11,TIER_LIST,0),1))*(IF((4-$I11+1)&lt;=0,0,IF((4-$I11+1)=1,RAMP_W1,IF((4-$I11+1)=2,RAMP_W2,IF((4-$I11+1)=3,RAMP_W3,RAMP_W4PLUS)))))*(INDEX(ACTIVE_MULT_TABLE,1,1))*(1+SUMPRODUCT(SIGN(((ACT_DOOR_SCOPE="ALL")+(ACT_DOOR_SCOPE="TIER_"&amp;$F11)+(ACT_DOOR_SCOPE=$B11)))*SIGN(((ACT_SKU_SCOPE="ALL")+(ACT_SKU_SCOPE=$G11)))*(ACT_START&lt;=4)*(ACT_END&gt;=4)*IFERROR(ACT_UPLIFT-1,0)))*(1+SUMPRODUCT(SIGN(((ACT_DOOR_SCOPE="ALL")+(ACT_DOOR_SCOPE="TIER_"&amp;$F11)+(ACT_DOOR_SCOPE=$B11)))*SIGN(((ACT_SKU_SCOPE="ALL")+(ACT_SKU_SCOPE=$G11)))*(4&gt;ACT_END)*(ACT_END&gt;0)*IFERROR(ACT_POSTLIFT,0))),0)))</f>
        <v/>
      </c>
      <c r="N11" s="10">
        <f>IF(OR($H11&lt;&gt;"Y",5&lt;$I11),0,IF(SUMPRODUCT(((BULK_ENABLED="Y")*((BULK_TIER="ALL")+(BULK_TIER=$F11))*((BULK_SKU="ALL")+(BULK_SKU=$G11))*(BULK_START&lt;=5)*(BULK_END&gt;=5)))&gt;0,IFERROR(SUMPRODUCT(((BULK_ENABLED="Y")*((BULK_TIER="ALL")+(BULK_TIER=$F11))*((BULK_SKU="ALL")+(BULK_SKU=$G11))*(BULK_START&lt;=5)*(BULK_END&gt;=5))*IFERROR(BULK_VALUE,0))/MAX(1,SUMPRODUCT(((BULK_ENABLED="Y")*((BULK_TIER="ALL")+(BULK_TIER=$F11))*((BULK_SKU="ALL")+(BULK_SKU=$G11))*(BULK_START&lt;=5)*(BULK_END&gt;=5)))),0),ROUND((INDEX(VELOCITY_TABLE,MATCH($F11,TIER_LIST,0),1))*(IF((5-$I11+1)&lt;=0,0,IF((5-$I11+1)=1,RAMP_W1,IF((5-$I11+1)=2,RAMP_W2,IF((5-$I11+1)=3,RAMP_W3,RAMP_W4PLUS)))))*(INDEX(ACTIVE_MULT_TABLE,1,1))*(1+SUMPRODUCT(SIGN(((ACT_DOOR_SCOPE="ALL")+(ACT_DOOR_SCOPE="TIER_"&amp;$F11)+(ACT_DOOR_SCOPE=$B11)))*SIGN(((ACT_SKU_SCOPE="ALL")+(ACT_SKU_SCOPE=$G11)))*(ACT_START&lt;=5)*(ACT_END&gt;=5)*IFERROR(ACT_UPLIFT-1,0)))*(1+SUMPRODUCT(SIGN(((ACT_DOOR_SCOPE="ALL")+(ACT_DOOR_SCOPE="TIER_"&amp;$F11)+(ACT_DOOR_SCOPE=$B11)))*SIGN(((ACT_SKU_SCOPE="ALL")+(ACT_SKU_SCOPE=$G11)))*(5&gt;ACT_END)*(ACT_END&gt;0)*IFERROR(ACT_POSTLIFT,0))),0)))</f>
        <v/>
      </c>
      <c r="O11" s="10">
        <f>IF(OR($H11&lt;&gt;"Y",6&lt;$I11),0,IF(SUMPRODUCT(((BULK_ENABLED="Y")*((BULK_TIER="ALL")+(BULK_TIER=$F11))*((BULK_SKU="ALL")+(BULK_SKU=$G11))*(BULK_START&lt;=6)*(BULK_END&gt;=6)))&gt;0,IFERROR(SUMPRODUCT(((BULK_ENABLED="Y")*((BULK_TIER="ALL")+(BULK_TIER=$F11))*((BULK_SKU="ALL")+(BULK_SKU=$G11))*(BULK_START&lt;=6)*(BULK_END&gt;=6))*IFERROR(BULK_VALUE,0))/MAX(1,SUMPRODUCT(((BULK_ENABLED="Y")*((BULK_TIER="ALL")+(BULK_TIER=$F11))*((BULK_SKU="ALL")+(BULK_SKU=$G11))*(BULK_START&lt;=6)*(BULK_END&gt;=6)))),0),ROUND((INDEX(VELOCITY_TABLE,MATCH($F11,TIER_LIST,0),1))*(IF((6-$I11+1)&lt;=0,0,IF((6-$I11+1)=1,RAMP_W1,IF((6-$I11+1)=2,RAMP_W2,IF((6-$I11+1)=3,RAMP_W3,RAMP_W4PLUS)))))*(INDEX(ACTIVE_MULT_TABLE,1,1))*(1+SUMPRODUCT(SIGN(((ACT_DOOR_SCOPE="ALL")+(ACT_DOOR_SCOPE="TIER_"&amp;$F11)+(ACT_DOOR_SCOPE=$B11)))*SIGN(((ACT_SKU_SCOPE="ALL")+(ACT_SKU_SCOPE=$G11)))*(ACT_START&lt;=6)*(ACT_END&gt;=6)*IFERROR(ACT_UPLIFT-1,0)))*(1+SUMPRODUCT(SIGN(((ACT_DOOR_SCOPE="ALL")+(ACT_DOOR_SCOPE="TIER_"&amp;$F11)+(ACT_DOOR_SCOPE=$B11)))*SIGN(((ACT_SKU_SCOPE="ALL")+(ACT_SKU_SCOPE=$G11)))*(6&gt;ACT_END)*(ACT_END&gt;0)*IFERROR(ACT_POSTLIFT,0))),0)))</f>
        <v/>
      </c>
      <c r="P11" s="10">
        <f>IF(OR($H11&lt;&gt;"Y",7&lt;$I11),0,IF(SUMPRODUCT(((BULK_ENABLED="Y")*((BULK_TIER="ALL")+(BULK_TIER=$F11))*((BULK_SKU="ALL")+(BULK_SKU=$G11))*(BULK_START&lt;=7)*(BULK_END&gt;=7)))&gt;0,IFERROR(SUMPRODUCT(((BULK_ENABLED="Y")*((BULK_TIER="ALL")+(BULK_TIER=$F11))*((BULK_SKU="ALL")+(BULK_SKU=$G11))*(BULK_START&lt;=7)*(BULK_END&gt;=7))*IFERROR(BULK_VALUE,0))/MAX(1,SUMPRODUCT(((BULK_ENABLED="Y")*((BULK_TIER="ALL")+(BULK_TIER=$F11))*((BULK_SKU="ALL")+(BULK_SKU=$G11))*(BULK_START&lt;=7)*(BULK_END&gt;=7)))),0),ROUND((INDEX(VELOCITY_TABLE,MATCH($F11,TIER_LIST,0),1))*(IF((7-$I11+1)&lt;=0,0,IF((7-$I11+1)=1,RAMP_W1,IF((7-$I11+1)=2,RAMP_W2,IF((7-$I11+1)=3,RAMP_W3,RAMP_W4PLUS)))))*(INDEX(ACTIVE_MULT_TABLE,1,1))*(1+SUMPRODUCT(SIGN(((ACT_DOOR_SCOPE="ALL")+(ACT_DOOR_SCOPE="TIER_"&amp;$F11)+(ACT_DOOR_SCOPE=$B11)))*SIGN(((ACT_SKU_SCOPE="ALL")+(ACT_SKU_SCOPE=$G11)))*(ACT_START&lt;=7)*(ACT_END&gt;=7)*IFERROR(ACT_UPLIFT-1,0)))*(1+SUMPRODUCT(SIGN(((ACT_DOOR_SCOPE="ALL")+(ACT_DOOR_SCOPE="TIER_"&amp;$F11)+(ACT_DOOR_SCOPE=$B11)))*SIGN(((ACT_SKU_SCOPE="ALL")+(ACT_SKU_SCOPE=$G11)))*(7&gt;ACT_END)*(ACT_END&gt;0)*IFERROR(ACT_POSTLIFT,0))),0)))</f>
        <v/>
      </c>
      <c r="Q11" s="10">
        <f>IF(OR($H11&lt;&gt;"Y",8&lt;$I11),0,IF(SUMPRODUCT(((BULK_ENABLED="Y")*((BULK_TIER="ALL")+(BULK_TIER=$F11))*((BULK_SKU="ALL")+(BULK_SKU=$G11))*(BULK_START&lt;=8)*(BULK_END&gt;=8)))&gt;0,IFERROR(SUMPRODUCT(((BULK_ENABLED="Y")*((BULK_TIER="ALL")+(BULK_TIER=$F11))*((BULK_SKU="ALL")+(BULK_SKU=$G11))*(BULK_START&lt;=8)*(BULK_END&gt;=8))*IFERROR(BULK_VALUE,0))/MAX(1,SUMPRODUCT(((BULK_ENABLED="Y")*((BULK_TIER="ALL")+(BULK_TIER=$F11))*((BULK_SKU="ALL")+(BULK_SKU=$G11))*(BULK_START&lt;=8)*(BULK_END&gt;=8)))),0),ROUND((INDEX(VELOCITY_TABLE,MATCH($F11,TIER_LIST,0),1))*(IF((8-$I11+1)&lt;=0,0,IF((8-$I11+1)=1,RAMP_W1,IF((8-$I11+1)=2,RAMP_W2,IF((8-$I11+1)=3,RAMP_W3,RAMP_W4PLUS)))))*(INDEX(ACTIVE_MULT_TABLE,1,1))*(1+SUMPRODUCT(SIGN(((ACT_DOOR_SCOPE="ALL")+(ACT_DOOR_SCOPE="TIER_"&amp;$F11)+(ACT_DOOR_SCOPE=$B11)))*SIGN(((ACT_SKU_SCOPE="ALL")+(ACT_SKU_SCOPE=$G11)))*(ACT_START&lt;=8)*(ACT_END&gt;=8)*IFERROR(ACT_UPLIFT-1,0)))*(1+SUMPRODUCT(SIGN(((ACT_DOOR_SCOPE="ALL")+(ACT_DOOR_SCOPE="TIER_"&amp;$F11)+(ACT_DOOR_SCOPE=$B11)))*SIGN(((ACT_SKU_SCOPE="ALL")+(ACT_SKU_SCOPE=$G11)))*(8&gt;ACT_END)*(ACT_END&gt;0)*IFERROR(ACT_POSTLIFT,0))),0)))</f>
        <v/>
      </c>
      <c r="R11" s="10">
        <f>IF(OR($H11&lt;&gt;"Y",9&lt;$I11),0,IF(SUMPRODUCT(((BULK_ENABLED="Y")*((BULK_TIER="ALL")+(BULK_TIER=$F11))*((BULK_SKU="ALL")+(BULK_SKU=$G11))*(BULK_START&lt;=9)*(BULK_END&gt;=9)))&gt;0,IFERROR(SUMPRODUCT(((BULK_ENABLED="Y")*((BULK_TIER="ALL")+(BULK_TIER=$F11))*((BULK_SKU="ALL")+(BULK_SKU=$G11))*(BULK_START&lt;=9)*(BULK_END&gt;=9))*IFERROR(BULK_VALUE,0))/MAX(1,SUMPRODUCT(((BULK_ENABLED="Y")*((BULK_TIER="ALL")+(BULK_TIER=$F11))*((BULK_SKU="ALL")+(BULK_SKU=$G11))*(BULK_START&lt;=9)*(BULK_END&gt;=9)))),0),ROUND((INDEX(VELOCITY_TABLE,MATCH($F11,TIER_LIST,0),1))*(IF((9-$I11+1)&lt;=0,0,IF((9-$I11+1)=1,RAMP_W1,IF((9-$I11+1)=2,RAMP_W2,IF((9-$I11+1)=3,RAMP_W3,RAMP_W4PLUS)))))*(INDEX(ACTIVE_MULT_TABLE,1,1))*(1+SUMPRODUCT(SIGN(((ACT_DOOR_SCOPE="ALL")+(ACT_DOOR_SCOPE="TIER_"&amp;$F11)+(ACT_DOOR_SCOPE=$B11)))*SIGN(((ACT_SKU_SCOPE="ALL")+(ACT_SKU_SCOPE=$G11)))*(ACT_START&lt;=9)*(ACT_END&gt;=9)*IFERROR(ACT_UPLIFT-1,0)))*(1+SUMPRODUCT(SIGN(((ACT_DOOR_SCOPE="ALL")+(ACT_DOOR_SCOPE="TIER_"&amp;$F11)+(ACT_DOOR_SCOPE=$B11)))*SIGN(((ACT_SKU_SCOPE="ALL")+(ACT_SKU_SCOPE=$G11)))*(9&gt;ACT_END)*(ACT_END&gt;0)*IFERROR(ACT_POSTLIFT,0))),0)))</f>
        <v/>
      </c>
      <c r="S11" s="10">
        <f>IF(OR($H11&lt;&gt;"Y",10&lt;$I11),0,IF(SUMPRODUCT(((BULK_ENABLED="Y")*((BULK_TIER="ALL")+(BULK_TIER=$F11))*((BULK_SKU="ALL")+(BULK_SKU=$G11))*(BULK_START&lt;=10)*(BULK_END&gt;=10)))&gt;0,IFERROR(SUMPRODUCT(((BULK_ENABLED="Y")*((BULK_TIER="ALL")+(BULK_TIER=$F11))*((BULK_SKU="ALL")+(BULK_SKU=$G11))*(BULK_START&lt;=10)*(BULK_END&gt;=10))*IFERROR(BULK_VALUE,0))/MAX(1,SUMPRODUCT(((BULK_ENABLED="Y")*((BULK_TIER="ALL")+(BULK_TIER=$F11))*((BULK_SKU="ALL")+(BULK_SKU=$G11))*(BULK_START&lt;=10)*(BULK_END&gt;=10)))),0),ROUND((INDEX(VELOCITY_TABLE,MATCH($F11,TIER_LIST,0),1))*(IF((10-$I11+1)&lt;=0,0,IF((10-$I11+1)=1,RAMP_W1,IF((10-$I11+1)=2,RAMP_W2,IF((10-$I11+1)=3,RAMP_W3,RAMP_W4PLUS)))))*(INDEX(ACTIVE_MULT_TABLE,1,1))*(1+SUMPRODUCT(SIGN(((ACT_DOOR_SCOPE="ALL")+(ACT_DOOR_SCOPE="TIER_"&amp;$F11)+(ACT_DOOR_SCOPE=$B11)))*SIGN(((ACT_SKU_SCOPE="ALL")+(ACT_SKU_SCOPE=$G11)))*(ACT_START&lt;=10)*(ACT_END&gt;=10)*IFERROR(ACT_UPLIFT-1,0)))*(1+SUMPRODUCT(SIGN(((ACT_DOOR_SCOPE="ALL")+(ACT_DOOR_SCOPE="TIER_"&amp;$F11)+(ACT_DOOR_SCOPE=$B11)))*SIGN(((ACT_SKU_SCOPE="ALL")+(ACT_SKU_SCOPE=$G11)))*(10&gt;ACT_END)*(ACT_END&gt;0)*IFERROR(ACT_POSTLIFT,0))),0)))</f>
        <v/>
      </c>
      <c r="T11" s="10">
        <f>IF(OR($H11&lt;&gt;"Y",11&lt;$I11),0,IF(SUMPRODUCT(((BULK_ENABLED="Y")*((BULK_TIER="ALL")+(BULK_TIER=$F11))*((BULK_SKU="ALL")+(BULK_SKU=$G11))*(BULK_START&lt;=11)*(BULK_END&gt;=11)))&gt;0,IFERROR(SUMPRODUCT(((BULK_ENABLED="Y")*((BULK_TIER="ALL")+(BULK_TIER=$F11))*((BULK_SKU="ALL")+(BULK_SKU=$G11))*(BULK_START&lt;=11)*(BULK_END&gt;=11))*IFERROR(BULK_VALUE,0))/MAX(1,SUMPRODUCT(((BULK_ENABLED="Y")*((BULK_TIER="ALL")+(BULK_TIER=$F11))*((BULK_SKU="ALL")+(BULK_SKU=$G11))*(BULK_START&lt;=11)*(BULK_END&gt;=11)))),0),ROUND((INDEX(VELOCITY_TABLE,MATCH($F11,TIER_LIST,0),1))*(IF((11-$I11+1)&lt;=0,0,IF((11-$I11+1)=1,RAMP_W1,IF((11-$I11+1)=2,RAMP_W2,IF((11-$I11+1)=3,RAMP_W3,RAMP_W4PLUS)))))*(INDEX(ACTIVE_MULT_TABLE,1,1))*(1+SUMPRODUCT(SIGN(((ACT_DOOR_SCOPE="ALL")+(ACT_DOOR_SCOPE="TIER_"&amp;$F11)+(ACT_DOOR_SCOPE=$B11)))*SIGN(((ACT_SKU_SCOPE="ALL")+(ACT_SKU_SCOPE=$G11)))*(ACT_START&lt;=11)*(ACT_END&gt;=11)*IFERROR(ACT_UPLIFT-1,0)))*(1+SUMPRODUCT(SIGN(((ACT_DOOR_SCOPE="ALL")+(ACT_DOOR_SCOPE="TIER_"&amp;$F11)+(ACT_DOOR_SCOPE=$B11)))*SIGN(((ACT_SKU_SCOPE="ALL")+(ACT_SKU_SCOPE=$G11)))*(11&gt;ACT_END)*(ACT_END&gt;0)*IFERROR(ACT_POSTLIFT,0))),0)))</f>
        <v/>
      </c>
      <c r="U11" s="10">
        <f>IF(OR($H11&lt;&gt;"Y",12&lt;$I11),0,IF(SUMPRODUCT(((BULK_ENABLED="Y")*((BULK_TIER="ALL")+(BULK_TIER=$F11))*((BULK_SKU="ALL")+(BULK_SKU=$G11))*(BULK_START&lt;=12)*(BULK_END&gt;=12)))&gt;0,IFERROR(SUMPRODUCT(((BULK_ENABLED="Y")*((BULK_TIER="ALL")+(BULK_TIER=$F11))*((BULK_SKU="ALL")+(BULK_SKU=$G11))*(BULK_START&lt;=12)*(BULK_END&gt;=12))*IFERROR(BULK_VALUE,0))/MAX(1,SUMPRODUCT(((BULK_ENABLED="Y")*((BULK_TIER="ALL")+(BULK_TIER=$F11))*((BULK_SKU="ALL")+(BULK_SKU=$G11))*(BULK_START&lt;=12)*(BULK_END&gt;=12)))),0),ROUND((INDEX(VELOCITY_TABLE,MATCH($F11,TIER_LIST,0),1))*(IF((12-$I11+1)&lt;=0,0,IF((12-$I11+1)=1,RAMP_W1,IF((12-$I11+1)=2,RAMP_W2,IF((12-$I11+1)=3,RAMP_W3,RAMP_W4PLUS)))))*(INDEX(ACTIVE_MULT_TABLE,1,1))*(1+SUMPRODUCT(SIGN(((ACT_DOOR_SCOPE="ALL")+(ACT_DOOR_SCOPE="TIER_"&amp;$F11)+(ACT_DOOR_SCOPE=$B11)))*SIGN(((ACT_SKU_SCOPE="ALL")+(ACT_SKU_SCOPE=$G11)))*(ACT_START&lt;=12)*(ACT_END&gt;=12)*IFERROR(ACT_UPLIFT-1,0)))*(1+SUMPRODUCT(SIGN(((ACT_DOOR_SCOPE="ALL")+(ACT_DOOR_SCOPE="TIER_"&amp;$F11)+(ACT_DOOR_SCOPE=$B11)))*SIGN(((ACT_SKU_SCOPE="ALL")+(ACT_SKU_SCOPE=$G11)))*(12&gt;ACT_END)*(ACT_END&gt;0)*IFERROR(ACT_POSTLIFT,0))),0)))</f>
        <v/>
      </c>
      <c r="V11" s="10">
        <f>IF(OR($H11&lt;&gt;"Y",13&lt;$I11),0,IF(SUMPRODUCT(((BULK_ENABLED="Y")*((BULK_TIER="ALL")+(BULK_TIER=$F11))*((BULK_SKU="ALL")+(BULK_SKU=$G11))*(BULK_START&lt;=13)*(BULK_END&gt;=13)))&gt;0,IFERROR(SUMPRODUCT(((BULK_ENABLED="Y")*((BULK_TIER="ALL")+(BULK_TIER=$F11))*((BULK_SKU="ALL")+(BULK_SKU=$G11))*(BULK_START&lt;=13)*(BULK_END&gt;=13))*IFERROR(BULK_VALUE,0))/MAX(1,SUMPRODUCT(((BULK_ENABLED="Y")*((BULK_TIER="ALL")+(BULK_TIER=$F11))*((BULK_SKU="ALL")+(BULK_SKU=$G11))*(BULK_START&lt;=13)*(BULK_END&gt;=13)))),0),ROUND((INDEX(VELOCITY_TABLE,MATCH($F11,TIER_LIST,0),1))*(IF((13-$I11+1)&lt;=0,0,IF((13-$I11+1)=1,RAMP_W1,IF((13-$I11+1)=2,RAMP_W2,IF((13-$I11+1)=3,RAMP_W3,RAMP_W4PLUS)))))*(INDEX(ACTIVE_MULT_TABLE,1,1))*(1+SUMPRODUCT(SIGN(((ACT_DOOR_SCOPE="ALL")+(ACT_DOOR_SCOPE="TIER_"&amp;$F11)+(ACT_DOOR_SCOPE=$B11)))*SIGN(((ACT_SKU_SCOPE="ALL")+(ACT_SKU_SCOPE=$G11)))*(ACT_START&lt;=13)*(ACT_END&gt;=13)*IFERROR(ACT_UPLIFT-1,0)))*(1+SUMPRODUCT(SIGN(((ACT_DOOR_SCOPE="ALL")+(ACT_DOOR_SCOPE="TIER_"&amp;$F11)+(ACT_DOOR_SCOPE=$B11)))*SIGN(((ACT_SKU_SCOPE="ALL")+(ACT_SKU_SCOPE=$G11)))*(13&gt;ACT_END)*(ACT_END&gt;0)*IFERROR(ACT_POSTLIFT,0))),0)))</f>
        <v/>
      </c>
    </row>
    <row r="12">
      <c r="A12" t="inlineStr">
        <is>
          <t>R0008</t>
        </is>
      </c>
      <c r="B12">
        <f>Doors!$A$7</f>
        <v/>
      </c>
      <c r="C12">
        <f>Doors!$C$7</f>
        <v/>
      </c>
      <c r="D12">
        <f>Doors!$B$7</f>
        <v/>
      </c>
      <c r="E12">
        <f>Doors!$E$7</f>
        <v/>
      </c>
      <c r="F12">
        <f>Doors!$F$7</f>
        <v/>
      </c>
      <c r="G12" t="inlineStr">
        <is>
          <t>Pineapple Passion Fruit</t>
        </is>
      </c>
      <c r="H12">
        <f>Doors!$H$7</f>
        <v/>
      </c>
      <c r="I12">
        <f>Doors!$J$7</f>
        <v/>
      </c>
      <c r="J12" s="10">
        <f>IF(OR($H12&lt;&gt;"Y",1&lt;$I12),0,IF(SUMPRODUCT(((BULK_ENABLED="Y")*((BULK_TIER="ALL")+(BULK_TIER=$F12))*((BULK_SKU="ALL")+(BULK_SKU=$G12))*(BULK_START&lt;=1)*(BULK_END&gt;=1)))&gt;0,IFERROR(SUMPRODUCT(((BULK_ENABLED="Y")*((BULK_TIER="ALL")+(BULK_TIER=$F12))*((BULK_SKU="ALL")+(BULK_SKU=$G12))*(BULK_START&lt;=1)*(BULK_END&gt;=1))*IFERROR(BULK_VALUE,0))/MAX(1,SUMPRODUCT(((BULK_ENABLED="Y")*((BULK_TIER="ALL")+(BULK_TIER=$F12))*((BULK_SKU="ALL")+(BULK_SKU=$G12))*(BULK_START&lt;=1)*(BULK_END&gt;=1)))),0),ROUND((INDEX(VELOCITY_TABLE,MATCH($F12,TIER_LIST,0),2))*(IF((1-$I12+1)&lt;=0,0,IF((1-$I12+1)=1,RAMP_W1,IF((1-$I12+1)=2,RAMP_W2,IF((1-$I12+1)=3,RAMP_W3,RAMP_W4PLUS)))))*(INDEX(ACTIVE_MULT_TABLE,2,1))*(1+SUMPRODUCT(SIGN(((ACT_DOOR_SCOPE="ALL")+(ACT_DOOR_SCOPE="TIER_"&amp;$F12)+(ACT_DOOR_SCOPE=$B12)))*SIGN(((ACT_SKU_SCOPE="ALL")+(ACT_SKU_SCOPE=$G12)))*(ACT_START&lt;=1)*(ACT_END&gt;=1)*IFERROR(ACT_UPLIFT-1,0)))*(1+SUMPRODUCT(SIGN(((ACT_DOOR_SCOPE="ALL")+(ACT_DOOR_SCOPE="TIER_"&amp;$F12)+(ACT_DOOR_SCOPE=$B12)))*SIGN(((ACT_SKU_SCOPE="ALL")+(ACT_SKU_SCOPE=$G12)))*(1&gt;ACT_END)*(ACT_END&gt;0)*IFERROR(ACT_POSTLIFT,0))),0)))</f>
        <v/>
      </c>
      <c r="K12" s="10">
        <f>IF(OR($H12&lt;&gt;"Y",2&lt;$I12),0,IF(SUMPRODUCT(((BULK_ENABLED="Y")*((BULK_TIER="ALL")+(BULK_TIER=$F12))*((BULK_SKU="ALL")+(BULK_SKU=$G12))*(BULK_START&lt;=2)*(BULK_END&gt;=2)))&gt;0,IFERROR(SUMPRODUCT(((BULK_ENABLED="Y")*((BULK_TIER="ALL")+(BULK_TIER=$F12))*((BULK_SKU="ALL")+(BULK_SKU=$G12))*(BULK_START&lt;=2)*(BULK_END&gt;=2))*IFERROR(BULK_VALUE,0))/MAX(1,SUMPRODUCT(((BULK_ENABLED="Y")*((BULK_TIER="ALL")+(BULK_TIER=$F12))*((BULK_SKU="ALL")+(BULK_SKU=$G12))*(BULK_START&lt;=2)*(BULK_END&gt;=2)))),0),ROUND((INDEX(VELOCITY_TABLE,MATCH($F12,TIER_LIST,0),2))*(IF((2-$I12+1)&lt;=0,0,IF((2-$I12+1)=1,RAMP_W1,IF((2-$I12+1)=2,RAMP_W2,IF((2-$I12+1)=3,RAMP_W3,RAMP_W4PLUS)))))*(INDEX(ACTIVE_MULT_TABLE,2,1))*(1+SUMPRODUCT(SIGN(((ACT_DOOR_SCOPE="ALL")+(ACT_DOOR_SCOPE="TIER_"&amp;$F12)+(ACT_DOOR_SCOPE=$B12)))*SIGN(((ACT_SKU_SCOPE="ALL")+(ACT_SKU_SCOPE=$G12)))*(ACT_START&lt;=2)*(ACT_END&gt;=2)*IFERROR(ACT_UPLIFT-1,0)))*(1+SUMPRODUCT(SIGN(((ACT_DOOR_SCOPE="ALL")+(ACT_DOOR_SCOPE="TIER_"&amp;$F12)+(ACT_DOOR_SCOPE=$B12)))*SIGN(((ACT_SKU_SCOPE="ALL")+(ACT_SKU_SCOPE=$G12)))*(2&gt;ACT_END)*(ACT_END&gt;0)*IFERROR(ACT_POSTLIFT,0))),0)))</f>
        <v/>
      </c>
      <c r="L12" s="10">
        <f>IF(OR($H12&lt;&gt;"Y",3&lt;$I12),0,IF(SUMPRODUCT(((BULK_ENABLED="Y")*((BULK_TIER="ALL")+(BULK_TIER=$F12))*((BULK_SKU="ALL")+(BULK_SKU=$G12))*(BULK_START&lt;=3)*(BULK_END&gt;=3)))&gt;0,IFERROR(SUMPRODUCT(((BULK_ENABLED="Y")*((BULK_TIER="ALL")+(BULK_TIER=$F12))*((BULK_SKU="ALL")+(BULK_SKU=$G12))*(BULK_START&lt;=3)*(BULK_END&gt;=3))*IFERROR(BULK_VALUE,0))/MAX(1,SUMPRODUCT(((BULK_ENABLED="Y")*((BULK_TIER="ALL")+(BULK_TIER=$F12))*((BULK_SKU="ALL")+(BULK_SKU=$G12))*(BULK_START&lt;=3)*(BULK_END&gt;=3)))),0),ROUND((INDEX(VELOCITY_TABLE,MATCH($F12,TIER_LIST,0),2))*(IF((3-$I12+1)&lt;=0,0,IF((3-$I12+1)=1,RAMP_W1,IF((3-$I12+1)=2,RAMP_W2,IF((3-$I12+1)=3,RAMP_W3,RAMP_W4PLUS)))))*(INDEX(ACTIVE_MULT_TABLE,2,1))*(1+SUMPRODUCT(SIGN(((ACT_DOOR_SCOPE="ALL")+(ACT_DOOR_SCOPE="TIER_"&amp;$F12)+(ACT_DOOR_SCOPE=$B12)))*SIGN(((ACT_SKU_SCOPE="ALL")+(ACT_SKU_SCOPE=$G12)))*(ACT_START&lt;=3)*(ACT_END&gt;=3)*IFERROR(ACT_UPLIFT-1,0)))*(1+SUMPRODUCT(SIGN(((ACT_DOOR_SCOPE="ALL")+(ACT_DOOR_SCOPE="TIER_"&amp;$F12)+(ACT_DOOR_SCOPE=$B12)))*SIGN(((ACT_SKU_SCOPE="ALL")+(ACT_SKU_SCOPE=$G12)))*(3&gt;ACT_END)*(ACT_END&gt;0)*IFERROR(ACT_POSTLIFT,0))),0)))</f>
        <v/>
      </c>
      <c r="M12" s="10">
        <f>IF(OR($H12&lt;&gt;"Y",4&lt;$I12),0,IF(SUMPRODUCT(((BULK_ENABLED="Y")*((BULK_TIER="ALL")+(BULK_TIER=$F12))*((BULK_SKU="ALL")+(BULK_SKU=$G12))*(BULK_START&lt;=4)*(BULK_END&gt;=4)))&gt;0,IFERROR(SUMPRODUCT(((BULK_ENABLED="Y")*((BULK_TIER="ALL")+(BULK_TIER=$F12))*((BULK_SKU="ALL")+(BULK_SKU=$G12))*(BULK_START&lt;=4)*(BULK_END&gt;=4))*IFERROR(BULK_VALUE,0))/MAX(1,SUMPRODUCT(((BULK_ENABLED="Y")*((BULK_TIER="ALL")+(BULK_TIER=$F12))*((BULK_SKU="ALL")+(BULK_SKU=$G12))*(BULK_START&lt;=4)*(BULK_END&gt;=4)))),0),ROUND((INDEX(VELOCITY_TABLE,MATCH($F12,TIER_LIST,0),2))*(IF((4-$I12+1)&lt;=0,0,IF((4-$I12+1)=1,RAMP_W1,IF((4-$I12+1)=2,RAMP_W2,IF((4-$I12+1)=3,RAMP_W3,RAMP_W4PLUS)))))*(INDEX(ACTIVE_MULT_TABLE,2,1))*(1+SUMPRODUCT(SIGN(((ACT_DOOR_SCOPE="ALL")+(ACT_DOOR_SCOPE="TIER_"&amp;$F12)+(ACT_DOOR_SCOPE=$B12)))*SIGN(((ACT_SKU_SCOPE="ALL")+(ACT_SKU_SCOPE=$G12)))*(ACT_START&lt;=4)*(ACT_END&gt;=4)*IFERROR(ACT_UPLIFT-1,0)))*(1+SUMPRODUCT(SIGN(((ACT_DOOR_SCOPE="ALL")+(ACT_DOOR_SCOPE="TIER_"&amp;$F12)+(ACT_DOOR_SCOPE=$B12)))*SIGN(((ACT_SKU_SCOPE="ALL")+(ACT_SKU_SCOPE=$G12)))*(4&gt;ACT_END)*(ACT_END&gt;0)*IFERROR(ACT_POSTLIFT,0))),0)))</f>
        <v/>
      </c>
      <c r="N12" s="10">
        <f>IF(OR($H12&lt;&gt;"Y",5&lt;$I12),0,IF(SUMPRODUCT(((BULK_ENABLED="Y")*((BULK_TIER="ALL")+(BULK_TIER=$F12))*((BULK_SKU="ALL")+(BULK_SKU=$G12))*(BULK_START&lt;=5)*(BULK_END&gt;=5)))&gt;0,IFERROR(SUMPRODUCT(((BULK_ENABLED="Y")*((BULK_TIER="ALL")+(BULK_TIER=$F12))*((BULK_SKU="ALL")+(BULK_SKU=$G12))*(BULK_START&lt;=5)*(BULK_END&gt;=5))*IFERROR(BULK_VALUE,0))/MAX(1,SUMPRODUCT(((BULK_ENABLED="Y")*((BULK_TIER="ALL")+(BULK_TIER=$F12))*((BULK_SKU="ALL")+(BULK_SKU=$G12))*(BULK_START&lt;=5)*(BULK_END&gt;=5)))),0),ROUND((INDEX(VELOCITY_TABLE,MATCH($F12,TIER_LIST,0),2))*(IF((5-$I12+1)&lt;=0,0,IF((5-$I12+1)=1,RAMP_W1,IF((5-$I12+1)=2,RAMP_W2,IF((5-$I12+1)=3,RAMP_W3,RAMP_W4PLUS)))))*(INDEX(ACTIVE_MULT_TABLE,2,1))*(1+SUMPRODUCT(SIGN(((ACT_DOOR_SCOPE="ALL")+(ACT_DOOR_SCOPE="TIER_"&amp;$F12)+(ACT_DOOR_SCOPE=$B12)))*SIGN(((ACT_SKU_SCOPE="ALL")+(ACT_SKU_SCOPE=$G12)))*(ACT_START&lt;=5)*(ACT_END&gt;=5)*IFERROR(ACT_UPLIFT-1,0)))*(1+SUMPRODUCT(SIGN(((ACT_DOOR_SCOPE="ALL")+(ACT_DOOR_SCOPE="TIER_"&amp;$F12)+(ACT_DOOR_SCOPE=$B12)))*SIGN(((ACT_SKU_SCOPE="ALL")+(ACT_SKU_SCOPE=$G12)))*(5&gt;ACT_END)*(ACT_END&gt;0)*IFERROR(ACT_POSTLIFT,0))),0)))</f>
        <v/>
      </c>
      <c r="O12" s="10">
        <f>IF(OR($H12&lt;&gt;"Y",6&lt;$I12),0,IF(SUMPRODUCT(((BULK_ENABLED="Y")*((BULK_TIER="ALL")+(BULK_TIER=$F12))*((BULK_SKU="ALL")+(BULK_SKU=$G12))*(BULK_START&lt;=6)*(BULK_END&gt;=6)))&gt;0,IFERROR(SUMPRODUCT(((BULK_ENABLED="Y")*((BULK_TIER="ALL")+(BULK_TIER=$F12))*((BULK_SKU="ALL")+(BULK_SKU=$G12))*(BULK_START&lt;=6)*(BULK_END&gt;=6))*IFERROR(BULK_VALUE,0))/MAX(1,SUMPRODUCT(((BULK_ENABLED="Y")*((BULK_TIER="ALL")+(BULK_TIER=$F12))*((BULK_SKU="ALL")+(BULK_SKU=$G12))*(BULK_START&lt;=6)*(BULK_END&gt;=6)))),0),ROUND((INDEX(VELOCITY_TABLE,MATCH($F12,TIER_LIST,0),2))*(IF((6-$I12+1)&lt;=0,0,IF((6-$I12+1)=1,RAMP_W1,IF((6-$I12+1)=2,RAMP_W2,IF((6-$I12+1)=3,RAMP_W3,RAMP_W4PLUS)))))*(INDEX(ACTIVE_MULT_TABLE,2,1))*(1+SUMPRODUCT(SIGN(((ACT_DOOR_SCOPE="ALL")+(ACT_DOOR_SCOPE="TIER_"&amp;$F12)+(ACT_DOOR_SCOPE=$B12)))*SIGN(((ACT_SKU_SCOPE="ALL")+(ACT_SKU_SCOPE=$G12)))*(ACT_START&lt;=6)*(ACT_END&gt;=6)*IFERROR(ACT_UPLIFT-1,0)))*(1+SUMPRODUCT(SIGN(((ACT_DOOR_SCOPE="ALL")+(ACT_DOOR_SCOPE="TIER_"&amp;$F12)+(ACT_DOOR_SCOPE=$B12)))*SIGN(((ACT_SKU_SCOPE="ALL")+(ACT_SKU_SCOPE=$G12)))*(6&gt;ACT_END)*(ACT_END&gt;0)*IFERROR(ACT_POSTLIFT,0))),0)))</f>
        <v/>
      </c>
      <c r="P12" s="10">
        <f>IF(OR($H12&lt;&gt;"Y",7&lt;$I12),0,IF(SUMPRODUCT(((BULK_ENABLED="Y")*((BULK_TIER="ALL")+(BULK_TIER=$F12))*((BULK_SKU="ALL")+(BULK_SKU=$G12))*(BULK_START&lt;=7)*(BULK_END&gt;=7)))&gt;0,IFERROR(SUMPRODUCT(((BULK_ENABLED="Y")*((BULK_TIER="ALL")+(BULK_TIER=$F12))*((BULK_SKU="ALL")+(BULK_SKU=$G12))*(BULK_START&lt;=7)*(BULK_END&gt;=7))*IFERROR(BULK_VALUE,0))/MAX(1,SUMPRODUCT(((BULK_ENABLED="Y")*((BULK_TIER="ALL")+(BULK_TIER=$F12))*((BULK_SKU="ALL")+(BULK_SKU=$G12))*(BULK_START&lt;=7)*(BULK_END&gt;=7)))),0),ROUND((INDEX(VELOCITY_TABLE,MATCH($F12,TIER_LIST,0),2))*(IF((7-$I12+1)&lt;=0,0,IF((7-$I12+1)=1,RAMP_W1,IF((7-$I12+1)=2,RAMP_W2,IF((7-$I12+1)=3,RAMP_W3,RAMP_W4PLUS)))))*(INDEX(ACTIVE_MULT_TABLE,2,1))*(1+SUMPRODUCT(SIGN(((ACT_DOOR_SCOPE="ALL")+(ACT_DOOR_SCOPE="TIER_"&amp;$F12)+(ACT_DOOR_SCOPE=$B12)))*SIGN(((ACT_SKU_SCOPE="ALL")+(ACT_SKU_SCOPE=$G12)))*(ACT_START&lt;=7)*(ACT_END&gt;=7)*IFERROR(ACT_UPLIFT-1,0)))*(1+SUMPRODUCT(SIGN(((ACT_DOOR_SCOPE="ALL")+(ACT_DOOR_SCOPE="TIER_"&amp;$F12)+(ACT_DOOR_SCOPE=$B12)))*SIGN(((ACT_SKU_SCOPE="ALL")+(ACT_SKU_SCOPE=$G12)))*(7&gt;ACT_END)*(ACT_END&gt;0)*IFERROR(ACT_POSTLIFT,0))),0)))</f>
        <v/>
      </c>
      <c r="Q12" s="10">
        <f>IF(OR($H12&lt;&gt;"Y",8&lt;$I12),0,IF(SUMPRODUCT(((BULK_ENABLED="Y")*((BULK_TIER="ALL")+(BULK_TIER=$F12))*((BULK_SKU="ALL")+(BULK_SKU=$G12))*(BULK_START&lt;=8)*(BULK_END&gt;=8)))&gt;0,IFERROR(SUMPRODUCT(((BULK_ENABLED="Y")*((BULK_TIER="ALL")+(BULK_TIER=$F12))*((BULK_SKU="ALL")+(BULK_SKU=$G12))*(BULK_START&lt;=8)*(BULK_END&gt;=8))*IFERROR(BULK_VALUE,0))/MAX(1,SUMPRODUCT(((BULK_ENABLED="Y")*((BULK_TIER="ALL")+(BULK_TIER=$F12))*((BULK_SKU="ALL")+(BULK_SKU=$G12))*(BULK_START&lt;=8)*(BULK_END&gt;=8)))),0),ROUND((INDEX(VELOCITY_TABLE,MATCH($F12,TIER_LIST,0),2))*(IF((8-$I12+1)&lt;=0,0,IF((8-$I12+1)=1,RAMP_W1,IF((8-$I12+1)=2,RAMP_W2,IF((8-$I12+1)=3,RAMP_W3,RAMP_W4PLUS)))))*(INDEX(ACTIVE_MULT_TABLE,2,1))*(1+SUMPRODUCT(SIGN(((ACT_DOOR_SCOPE="ALL")+(ACT_DOOR_SCOPE="TIER_"&amp;$F12)+(ACT_DOOR_SCOPE=$B12)))*SIGN(((ACT_SKU_SCOPE="ALL")+(ACT_SKU_SCOPE=$G12)))*(ACT_START&lt;=8)*(ACT_END&gt;=8)*IFERROR(ACT_UPLIFT-1,0)))*(1+SUMPRODUCT(SIGN(((ACT_DOOR_SCOPE="ALL")+(ACT_DOOR_SCOPE="TIER_"&amp;$F12)+(ACT_DOOR_SCOPE=$B12)))*SIGN(((ACT_SKU_SCOPE="ALL")+(ACT_SKU_SCOPE=$G12)))*(8&gt;ACT_END)*(ACT_END&gt;0)*IFERROR(ACT_POSTLIFT,0))),0)))</f>
        <v/>
      </c>
      <c r="R12" s="10">
        <f>IF(OR($H12&lt;&gt;"Y",9&lt;$I12),0,IF(SUMPRODUCT(((BULK_ENABLED="Y")*((BULK_TIER="ALL")+(BULK_TIER=$F12))*((BULK_SKU="ALL")+(BULK_SKU=$G12))*(BULK_START&lt;=9)*(BULK_END&gt;=9)))&gt;0,IFERROR(SUMPRODUCT(((BULK_ENABLED="Y")*((BULK_TIER="ALL")+(BULK_TIER=$F12))*((BULK_SKU="ALL")+(BULK_SKU=$G12))*(BULK_START&lt;=9)*(BULK_END&gt;=9))*IFERROR(BULK_VALUE,0))/MAX(1,SUMPRODUCT(((BULK_ENABLED="Y")*((BULK_TIER="ALL")+(BULK_TIER=$F12))*((BULK_SKU="ALL")+(BULK_SKU=$G12))*(BULK_START&lt;=9)*(BULK_END&gt;=9)))),0),ROUND((INDEX(VELOCITY_TABLE,MATCH($F12,TIER_LIST,0),2))*(IF((9-$I12+1)&lt;=0,0,IF((9-$I12+1)=1,RAMP_W1,IF((9-$I12+1)=2,RAMP_W2,IF((9-$I12+1)=3,RAMP_W3,RAMP_W4PLUS)))))*(INDEX(ACTIVE_MULT_TABLE,2,1))*(1+SUMPRODUCT(SIGN(((ACT_DOOR_SCOPE="ALL")+(ACT_DOOR_SCOPE="TIER_"&amp;$F12)+(ACT_DOOR_SCOPE=$B12)))*SIGN(((ACT_SKU_SCOPE="ALL")+(ACT_SKU_SCOPE=$G12)))*(ACT_START&lt;=9)*(ACT_END&gt;=9)*IFERROR(ACT_UPLIFT-1,0)))*(1+SUMPRODUCT(SIGN(((ACT_DOOR_SCOPE="ALL")+(ACT_DOOR_SCOPE="TIER_"&amp;$F12)+(ACT_DOOR_SCOPE=$B12)))*SIGN(((ACT_SKU_SCOPE="ALL")+(ACT_SKU_SCOPE=$G12)))*(9&gt;ACT_END)*(ACT_END&gt;0)*IFERROR(ACT_POSTLIFT,0))),0)))</f>
        <v/>
      </c>
      <c r="S12" s="10">
        <f>IF(OR($H12&lt;&gt;"Y",10&lt;$I12),0,IF(SUMPRODUCT(((BULK_ENABLED="Y")*((BULK_TIER="ALL")+(BULK_TIER=$F12))*((BULK_SKU="ALL")+(BULK_SKU=$G12))*(BULK_START&lt;=10)*(BULK_END&gt;=10)))&gt;0,IFERROR(SUMPRODUCT(((BULK_ENABLED="Y")*((BULK_TIER="ALL")+(BULK_TIER=$F12))*((BULK_SKU="ALL")+(BULK_SKU=$G12))*(BULK_START&lt;=10)*(BULK_END&gt;=10))*IFERROR(BULK_VALUE,0))/MAX(1,SUMPRODUCT(((BULK_ENABLED="Y")*((BULK_TIER="ALL")+(BULK_TIER=$F12))*((BULK_SKU="ALL")+(BULK_SKU=$G12))*(BULK_START&lt;=10)*(BULK_END&gt;=10)))),0),ROUND((INDEX(VELOCITY_TABLE,MATCH($F12,TIER_LIST,0),2))*(IF((10-$I12+1)&lt;=0,0,IF((10-$I12+1)=1,RAMP_W1,IF((10-$I12+1)=2,RAMP_W2,IF((10-$I12+1)=3,RAMP_W3,RAMP_W4PLUS)))))*(INDEX(ACTIVE_MULT_TABLE,2,1))*(1+SUMPRODUCT(SIGN(((ACT_DOOR_SCOPE="ALL")+(ACT_DOOR_SCOPE="TIER_"&amp;$F12)+(ACT_DOOR_SCOPE=$B12)))*SIGN(((ACT_SKU_SCOPE="ALL")+(ACT_SKU_SCOPE=$G12)))*(ACT_START&lt;=10)*(ACT_END&gt;=10)*IFERROR(ACT_UPLIFT-1,0)))*(1+SUMPRODUCT(SIGN(((ACT_DOOR_SCOPE="ALL")+(ACT_DOOR_SCOPE="TIER_"&amp;$F12)+(ACT_DOOR_SCOPE=$B12)))*SIGN(((ACT_SKU_SCOPE="ALL")+(ACT_SKU_SCOPE=$G12)))*(10&gt;ACT_END)*(ACT_END&gt;0)*IFERROR(ACT_POSTLIFT,0))),0)))</f>
        <v/>
      </c>
      <c r="T12" s="10">
        <f>IF(OR($H12&lt;&gt;"Y",11&lt;$I12),0,IF(SUMPRODUCT(((BULK_ENABLED="Y")*((BULK_TIER="ALL")+(BULK_TIER=$F12))*((BULK_SKU="ALL")+(BULK_SKU=$G12))*(BULK_START&lt;=11)*(BULK_END&gt;=11)))&gt;0,IFERROR(SUMPRODUCT(((BULK_ENABLED="Y")*((BULK_TIER="ALL")+(BULK_TIER=$F12))*((BULK_SKU="ALL")+(BULK_SKU=$G12))*(BULK_START&lt;=11)*(BULK_END&gt;=11))*IFERROR(BULK_VALUE,0))/MAX(1,SUMPRODUCT(((BULK_ENABLED="Y")*((BULK_TIER="ALL")+(BULK_TIER=$F12))*((BULK_SKU="ALL")+(BULK_SKU=$G12))*(BULK_START&lt;=11)*(BULK_END&gt;=11)))),0),ROUND((INDEX(VELOCITY_TABLE,MATCH($F12,TIER_LIST,0),2))*(IF((11-$I12+1)&lt;=0,0,IF((11-$I12+1)=1,RAMP_W1,IF((11-$I12+1)=2,RAMP_W2,IF((11-$I12+1)=3,RAMP_W3,RAMP_W4PLUS)))))*(INDEX(ACTIVE_MULT_TABLE,2,1))*(1+SUMPRODUCT(SIGN(((ACT_DOOR_SCOPE="ALL")+(ACT_DOOR_SCOPE="TIER_"&amp;$F12)+(ACT_DOOR_SCOPE=$B12)))*SIGN(((ACT_SKU_SCOPE="ALL")+(ACT_SKU_SCOPE=$G12)))*(ACT_START&lt;=11)*(ACT_END&gt;=11)*IFERROR(ACT_UPLIFT-1,0)))*(1+SUMPRODUCT(SIGN(((ACT_DOOR_SCOPE="ALL")+(ACT_DOOR_SCOPE="TIER_"&amp;$F12)+(ACT_DOOR_SCOPE=$B12)))*SIGN(((ACT_SKU_SCOPE="ALL")+(ACT_SKU_SCOPE=$G12)))*(11&gt;ACT_END)*(ACT_END&gt;0)*IFERROR(ACT_POSTLIFT,0))),0)))</f>
        <v/>
      </c>
      <c r="U12" s="10">
        <f>IF(OR($H12&lt;&gt;"Y",12&lt;$I12),0,IF(SUMPRODUCT(((BULK_ENABLED="Y")*((BULK_TIER="ALL")+(BULK_TIER=$F12))*((BULK_SKU="ALL")+(BULK_SKU=$G12))*(BULK_START&lt;=12)*(BULK_END&gt;=12)))&gt;0,IFERROR(SUMPRODUCT(((BULK_ENABLED="Y")*((BULK_TIER="ALL")+(BULK_TIER=$F12))*((BULK_SKU="ALL")+(BULK_SKU=$G12))*(BULK_START&lt;=12)*(BULK_END&gt;=12))*IFERROR(BULK_VALUE,0))/MAX(1,SUMPRODUCT(((BULK_ENABLED="Y")*((BULK_TIER="ALL")+(BULK_TIER=$F12))*((BULK_SKU="ALL")+(BULK_SKU=$G12))*(BULK_START&lt;=12)*(BULK_END&gt;=12)))),0),ROUND((INDEX(VELOCITY_TABLE,MATCH($F12,TIER_LIST,0),2))*(IF((12-$I12+1)&lt;=0,0,IF((12-$I12+1)=1,RAMP_W1,IF((12-$I12+1)=2,RAMP_W2,IF((12-$I12+1)=3,RAMP_W3,RAMP_W4PLUS)))))*(INDEX(ACTIVE_MULT_TABLE,2,1))*(1+SUMPRODUCT(SIGN(((ACT_DOOR_SCOPE="ALL")+(ACT_DOOR_SCOPE="TIER_"&amp;$F12)+(ACT_DOOR_SCOPE=$B12)))*SIGN(((ACT_SKU_SCOPE="ALL")+(ACT_SKU_SCOPE=$G12)))*(ACT_START&lt;=12)*(ACT_END&gt;=12)*IFERROR(ACT_UPLIFT-1,0)))*(1+SUMPRODUCT(SIGN(((ACT_DOOR_SCOPE="ALL")+(ACT_DOOR_SCOPE="TIER_"&amp;$F12)+(ACT_DOOR_SCOPE=$B12)))*SIGN(((ACT_SKU_SCOPE="ALL")+(ACT_SKU_SCOPE=$G12)))*(12&gt;ACT_END)*(ACT_END&gt;0)*IFERROR(ACT_POSTLIFT,0))),0)))</f>
        <v/>
      </c>
      <c r="V12" s="10">
        <f>IF(OR($H12&lt;&gt;"Y",13&lt;$I12),0,IF(SUMPRODUCT(((BULK_ENABLED="Y")*((BULK_TIER="ALL")+(BULK_TIER=$F12))*((BULK_SKU="ALL")+(BULK_SKU=$G12))*(BULK_START&lt;=13)*(BULK_END&gt;=13)))&gt;0,IFERROR(SUMPRODUCT(((BULK_ENABLED="Y")*((BULK_TIER="ALL")+(BULK_TIER=$F12))*((BULK_SKU="ALL")+(BULK_SKU=$G12))*(BULK_START&lt;=13)*(BULK_END&gt;=13))*IFERROR(BULK_VALUE,0))/MAX(1,SUMPRODUCT(((BULK_ENABLED="Y")*((BULK_TIER="ALL")+(BULK_TIER=$F12))*((BULK_SKU="ALL")+(BULK_SKU=$G12))*(BULK_START&lt;=13)*(BULK_END&gt;=13)))),0),ROUND((INDEX(VELOCITY_TABLE,MATCH($F12,TIER_LIST,0),2))*(IF((13-$I12+1)&lt;=0,0,IF((13-$I12+1)=1,RAMP_W1,IF((13-$I12+1)=2,RAMP_W2,IF((13-$I12+1)=3,RAMP_W3,RAMP_W4PLUS)))))*(INDEX(ACTIVE_MULT_TABLE,2,1))*(1+SUMPRODUCT(SIGN(((ACT_DOOR_SCOPE="ALL")+(ACT_DOOR_SCOPE="TIER_"&amp;$F12)+(ACT_DOOR_SCOPE=$B12)))*SIGN(((ACT_SKU_SCOPE="ALL")+(ACT_SKU_SCOPE=$G12)))*(ACT_START&lt;=13)*(ACT_END&gt;=13)*IFERROR(ACT_UPLIFT-1,0)))*(1+SUMPRODUCT(SIGN(((ACT_DOOR_SCOPE="ALL")+(ACT_DOOR_SCOPE="TIER_"&amp;$F12)+(ACT_DOOR_SCOPE=$B12)))*SIGN(((ACT_SKU_SCOPE="ALL")+(ACT_SKU_SCOPE=$G12)))*(13&gt;ACT_END)*(ACT_END&gt;0)*IFERROR(ACT_POSTLIFT,0))),0)))</f>
        <v/>
      </c>
    </row>
    <row r="13">
      <c r="A13" t="inlineStr">
        <is>
          <t>R0009</t>
        </is>
      </c>
      <c r="B13">
        <f>Doors!$A$7</f>
        <v/>
      </c>
      <c r="C13">
        <f>Doors!$C$7</f>
        <v/>
      </c>
      <c r="D13">
        <f>Doors!$B$7</f>
        <v/>
      </c>
      <c r="E13">
        <f>Doors!$E$7</f>
        <v/>
      </c>
      <c r="F13">
        <f>Doors!$F$7</f>
        <v/>
      </c>
      <c r="G13" t="inlineStr">
        <is>
          <t>Raspberry</t>
        </is>
      </c>
      <c r="H13">
        <f>Doors!$I$7</f>
        <v/>
      </c>
      <c r="I13">
        <f>Doors!$J$7</f>
        <v/>
      </c>
      <c r="J13" s="10">
        <f>IF(OR($H13&lt;&gt;"Y",1&lt;$I13),0,IF(SUMPRODUCT(((BULK_ENABLED="Y")*((BULK_TIER="ALL")+(BULK_TIER=$F13))*((BULK_SKU="ALL")+(BULK_SKU=$G13))*(BULK_START&lt;=1)*(BULK_END&gt;=1)))&gt;0,IFERROR(SUMPRODUCT(((BULK_ENABLED="Y")*((BULK_TIER="ALL")+(BULK_TIER=$F13))*((BULK_SKU="ALL")+(BULK_SKU=$G13))*(BULK_START&lt;=1)*(BULK_END&gt;=1))*IFERROR(BULK_VALUE,0))/MAX(1,SUMPRODUCT(((BULK_ENABLED="Y")*((BULK_TIER="ALL")+(BULK_TIER=$F13))*((BULK_SKU="ALL")+(BULK_SKU=$G13))*(BULK_START&lt;=1)*(BULK_END&gt;=1)))),0),ROUND((INDEX(VELOCITY_TABLE,MATCH($F13,TIER_LIST,0),3))*(IF((1-$I13+1)&lt;=0,0,IF((1-$I13+1)=1,RAMP_W1,IF((1-$I13+1)=2,RAMP_W2,IF((1-$I13+1)=3,RAMP_W3,RAMP_W4PLUS)))))*(INDEX(ACTIVE_MULT_TABLE,3,1))*(1+SUMPRODUCT(SIGN(((ACT_DOOR_SCOPE="ALL")+(ACT_DOOR_SCOPE="TIER_"&amp;$F13)+(ACT_DOOR_SCOPE=$B13)))*SIGN(((ACT_SKU_SCOPE="ALL")+(ACT_SKU_SCOPE=$G13)))*(ACT_START&lt;=1)*(ACT_END&gt;=1)*IFERROR(ACT_UPLIFT-1,0)))*(1+SUMPRODUCT(SIGN(((ACT_DOOR_SCOPE="ALL")+(ACT_DOOR_SCOPE="TIER_"&amp;$F13)+(ACT_DOOR_SCOPE=$B13)))*SIGN(((ACT_SKU_SCOPE="ALL")+(ACT_SKU_SCOPE=$G13)))*(1&gt;ACT_END)*(ACT_END&gt;0)*IFERROR(ACT_POSTLIFT,0))),0)))</f>
        <v/>
      </c>
      <c r="K13" s="10">
        <f>IF(OR($H13&lt;&gt;"Y",2&lt;$I13),0,IF(SUMPRODUCT(((BULK_ENABLED="Y")*((BULK_TIER="ALL")+(BULK_TIER=$F13))*((BULK_SKU="ALL")+(BULK_SKU=$G13))*(BULK_START&lt;=2)*(BULK_END&gt;=2)))&gt;0,IFERROR(SUMPRODUCT(((BULK_ENABLED="Y")*((BULK_TIER="ALL")+(BULK_TIER=$F13))*((BULK_SKU="ALL")+(BULK_SKU=$G13))*(BULK_START&lt;=2)*(BULK_END&gt;=2))*IFERROR(BULK_VALUE,0))/MAX(1,SUMPRODUCT(((BULK_ENABLED="Y")*((BULK_TIER="ALL")+(BULK_TIER=$F13))*((BULK_SKU="ALL")+(BULK_SKU=$G13))*(BULK_START&lt;=2)*(BULK_END&gt;=2)))),0),ROUND((INDEX(VELOCITY_TABLE,MATCH($F13,TIER_LIST,0),3))*(IF((2-$I13+1)&lt;=0,0,IF((2-$I13+1)=1,RAMP_W1,IF((2-$I13+1)=2,RAMP_W2,IF((2-$I13+1)=3,RAMP_W3,RAMP_W4PLUS)))))*(INDEX(ACTIVE_MULT_TABLE,3,1))*(1+SUMPRODUCT(SIGN(((ACT_DOOR_SCOPE="ALL")+(ACT_DOOR_SCOPE="TIER_"&amp;$F13)+(ACT_DOOR_SCOPE=$B13)))*SIGN(((ACT_SKU_SCOPE="ALL")+(ACT_SKU_SCOPE=$G13)))*(ACT_START&lt;=2)*(ACT_END&gt;=2)*IFERROR(ACT_UPLIFT-1,0)))*(1+SUMPRODUCT(SIGN(((ACT_DOOR_SCOPE="ALL")+(ACT_DOOR_SCOPE="TIER_"&amp;$F13)+(ACT_DOOR_SCOPE=$B13)))*SIGN(((ACT_SKU_SCOPE="ALL")+(ACT_SKU_SCOPE=$G13)))*(2&gt;ACT_END)*(ACT_END&gt;0)*IFERROR(ACT_POSTLIFT,0))),0)))</f>
        <v/>
      </c>
      <c r="L13" s="10">
        <f>IF(OR($H13&lt;&gt;"Y",3&lt;$I13),0,IF(SUMPRODUCT(((BULK_ENABLED="Y")*((BULK_TIER="ALL")+(BULK_TIER=$F13))*((BULK_SKU="ALL")+(BULK_SKU=$G13))*(BULK_START&lt;=3)*(BULK_END&gt;=3)))&gt;0,IFERROR(SUMPRODUCT(((BULK_ENABLED="Y")*((BULK_TIER="ALL")+(BULK_TIER=$F13))*((BULK_SKU="ALL")+(BULK_SKU=$G13))*(BULK_START&lt;=3)*(BULK_END&gt;=3))*IFERROR(BULK_VALUE,0))/MAX(1,SUMPRODUCT(((BULK_ENABLED="Y")*((BULK_TIER="ALL")+(BULK_TIER=$F13))*((BULK_SKU="ALL")+(BULK_SKU=$G13))*(BULK_START&lt;=3)*(BULK_END&gt;=3)))),0),ROUND((INDEX(VELOCITY_TABLE,MATCH($F13,TIER_LIST,0),3))*(IF((3-$I13+1)&lt;=0,0,IF((3-$I13+1)=1,RAMP_W1,IF((3-$I13+1)=2,RAMP_W2,IF((3-$I13+1)=3,RAMP_W3,RAMP_W4PLUS)))))*(INDEX(ACTIVE_MULT_TABLE,3,1))*(1+SUMPRODUCT(SIGN(((ACT_DOOR_SCOPE="ALL")+(ACT_DOOR_SCOPE="TIER_"&amp;$F13)+(ACT_DOOR_SCOPE=$B13)))*SIGN(((ACT_SKU_SCOPE="ALL")+(ACT_SKU_SCOPE=$G13)))*(ACT_START&lt;=3)*(ACT_END&gt;=3)*IFERROR(ACT_UPLIFT-1,0)))*(1+SUMPRODUCT(SIGN(((ACT_DOOR_SCOPE="ALL")+(ACT_DOOR_SCOPE="TIER_"&amp;$F13)+(ACT_DOOR_SCOPE=$B13)))*SIGN(((ACT_SKU_SCOPE="ALL")+(ACT_SKU_SCOPE=$G13)))*(3&gt;ACT_END)*(ACT_END&gt;0)*IFERROR(ACT_POSTLIFT,0))),0)))</f>
        <v/>
      </c>
      <c r="M13" s="10">
        <f>IF(OR($H13&lt;&gt;"Y",4&lt;$I13),0,IF(SUMPRODUCT(((BULK_ENABLED="Y")*((BULK_TIER="ALL")+(BULK_TIER=$F13))*((BULK_SKU="ALL")+(BULK_SKU=$G13))*(BULK_START&lt;=4)*(BULK_END&gt;=4)))&gt;0,IFERROR(SUMPRODUCT(((BULK_ENABLED="Y")*((BULK_TIER="ALL")+(BULK_TIER=$F13))*((BULK_SKU="ALL")+(BULK_SKU=$G13))*(BULK_START&lt;=4)*(BULK_END&gt;=4))*IFERROR(BULK_VALUE,0))/MAX(1,SUMPRODUCT(((BULK_ENABLED="Y")*((BULK_TIER="ALL")+(BULK_TIER=$F13))*((BULK_SKU="ALL")+(BULK_SKU=$G13))*(BULK_START&lt;=4)*(BULK_END&gt;=4)))),0),ROUND((INDEX(VELOCITY_TABLE,MATCH($F13,TIER_LIST,0),3))*(IF((4-$I13+1)&lt;=0,0,IF((4-$I13+1)=1,RAMP_W1,IF((4-$I13+1)=2,RAMP_W2,IF((4-$I13+1)=3,RAMP_W3,RAMP_W4PLUS)))))*(INDEX(ACTIVE_MULT_TABLE,3,1))*(1+SUMPRODUCT(SIGN(((ACT_DOOR_SCOPE="ALL")+(ACT_DOOR_SCOPE="TIER_"&amp;$F13)+(ACT_DOOR_SCOPE=$B13)))*SIGN(((ACT_SKU_SCOPE="ALL")+(ACT_SKU_SCOPE=$G13)))*(ACT_START&lt;=4)*(ACT_END&gt;=4)*IFERROR(ACT_UPLIFT-1,0)))*(1+SUMPRODUCT(SIGN(((ACT_DOOR_SCOPE="ALL")+(ACT_DOOR_SCOPE="TIER_"&amp;$F13)+(ACT_DOOR_SCOPE=$B13)))*SIGN(((ACT_SKU_SCOPE="ALL")+(ACT_SKU_SCOPE=$G13)))*(4&gt;ACT_END)*(ACT_END&gt;0)*IFERROR(ACT_POSTLIFT,0))),0)))</f>
        <v/>
      </c>
      <c r="N13" s="10">
        <f>IF(OR($H13&lt;&gt;"Y",5&lt;$I13),0,IF(SUMPRODUCT(((BULK_ENABLED="Y")*((BULK_TIER="ALL")+(BULK_TIER=$F13))*((BULK_SKU="ALL")+(BULK_SKU=$G13))*(BULK_START&lt;=5)*(BULK_END&gt;=5)))&gt;0,IFERROR(SUMPRODUCT(((BULK_ENABLED="Y")*((BULK_TIER="ALL")+(BULK_TIER=$F13))*((BULK_SKU="ALL")+(BULK_SKU=$G13))*(BULK_START&lt;=5)*(BULK_END&gt;=5))*IFERROR(BULK_VALUE,0))/MAX(1,SUMPRODUCT(((BULK_ENABLED="Y")*((BULK_TIER="ALL")+(BULK_TIER=$F13))*((BULK_SKU="ALL")+(BULK_SKU=$G13))*(BULK_START&lt;=5)*(BULK_END&gt;=5)))),0),ROUND((INDEX(VELOCITY_TABLE,MATCH($F13,TIER_LIST,0),3))*(IF((5-$I13+1)&lt;=0,0,IF((5-$I13+1)=1,RAMP_W1,IF((5-$I13+1)=2,RAMP_W2,IF((5-$I13+1)=3,RAMP_W3,RAMP_W4PLUS)))))*(INDEX(ACTIVE_MULT_TABLE,3,1))*(1+SUMPRODUCT(SIGN(((ACT_DOOR_SCOPE="ALL")+(ACT_DOOR_SCOPE="TIER_"&amp;$F13)+(ACT_DOOR_SCOPE=$B13)))*SIGN(((ACT_SKU_SCOPE="ALL")+(ACT_SKU_SCOPE=$G13)))*(ACT_START&lt;=5)*(ACT_END&gt;=5)*IFERROR(ACT_UPLIFT-1,0)))*(1+SUMPRODUCT(SIGN(((ACT_DOOR_SCOPE="ALL")+(ACT_DOOR_SCOPE="TIER_"&amp;$F13)+(ACT_DOOR_SCOPE=$B13)))*SIGN(((ACT_SKU_SCOPE="ALL")+(ACT_SKU_SCOPE=$G13)))*(5&gt;ACT_END)*(ACT_END&gt;0)*IFERROR(ACT_POSTLIFT,0))),0)))</f>
        <v/>
      </c>
      <c r="O13" s="10">
        <f>IF(OR($H13&lt;&gt;"Y",6&lt;$I13),0,IF(SUMPRODUCT(((BULK_ENABLED="Y")*((BULK_TIER="ALL")+(BULK_TIER=$F13))*((BULK_SKU="ALL")+(BULK_SKU=$G13))*(BULK_START&lt;=6)*(BULK_END&gt;=6)))&gt;0,IFERROR(SUMPRODUCT(((BULK_ENABLED="Y")*((BULK_TIER="ALL")+(BULK_TIER=$F13))*((BULK_SKU="ALL")+(BULK_SKU=$G13))*(BULK_START&lt;=6)*(BULK_END&gt;=6))*IFERROR(BULK_VALUE,0))/MAX(1,SUMPRODUCT(((BULK_ENABLED="Y")*((BULK_TIER="ALL")+(BULK_TIER=$F13))*((BULK_SKU="ALL")+(BULK_SKU=$G13))*(BULK_START&lt;=6)*(BULK_END&gt;=6)))),0),ROUND((INDEX(VELOCITY_TABLE,MATCH($F13,TIER_LIST,0),3))*(IF((6-$I13+1)&lt;=0,0,IF((6-$I13+1)=1,RAMP_W1,IF((6-$I13+1)=2,RAMP_W2,IF((6-$I13+1)=3,RAMP_W3,RAMP_W4PLUS)))))*(INDEX(ACTIVE_MULT_TABLE,3,1))*(1+SUMPRODUCT(SIGN(((ACT_DOOR_SCOPE="ALL")+(ACT_DOOR_SCOPE="TIER_"&amp;$F13)+(ACT_DOOR_SCOPE=$B13)))*SIGN(((ACT_SKU_SCOPE="ALL")+(ACT_SKU_SCOPE=$G13)))*(ACT_START&lt;=6)*(ACT_END&gt;=6)*IFERROR(ACT_UPLIFT-1,0)))*(1+SUMPRODUCT(SIGN(((ACT_DOOR_SCOPE="ALL")+(ACT_DOOR_SCOPE="TIER_"&amp;$F13)+(ACT_DOOR_SCOPE=$B13)))*SIGN(((ACT_SKU_SCOPE="ALL")+(ACT_SKU_SCOPE=$G13)))*(6&gt;ACT_END)*(ACT_END&gt;0)*IFERROR(ACT_POSTLIFT,0))),0)))</f>
        <v/>
      </c>
      <c r="P13" s="10">
        <f>IF(OR($H13&lt;&gt;"Y",7&lt;$I13),0,IF(SUMPRODUCT(((BULK_ENABLED="Y")*((BULK_TIER="ALL")+(BULK_TIER=$F13))*((BULK_SKU="ALL")+(BULK_SKU=$G13))*(BULK_START&lt;=7)*(BULK_END&gt;=7)))&gt;0,IFERROR(SUMPRODUCT(((BULK_ENABLED="Y")*((BULK_TIER="ALL")+(BULK_TIER=$F13))*((BULK_SKU="ALL")+(BULK_SKU=$G13))*(BULK_START&lt;=7)*(BULK_END&gt;=7))*IFERROR(BULK_VALUE,0))/MAX(1,SUMPRODUCT(((BULK_ENABLED="Y")*((BULK_TIER="ALL")+(BULK_TIER=$F13))*((BULK_SKU="ALL")+(BULK_SKU=$G13))*(BULK_START&lt;=7)*(BULK_END&gt;=7)))),0),ROUND((INDEX(VELOCITY_TABLE,MATCH($F13,TIER_LIST,0),3))*(IF((7-$I13+1)&lt;=0,0,IF((7-$I13+1)=1,RAMP_W1,IF((7-$I13+1)=2,RAMP_W2,IF((7-$I13+1)=3,RAMP_W3,RAMP_W4PLUS)))))*(INDEX(ACTIVE_MULT_TABLE,3,1))*(1+SUMPRODUCT(SIGN(((ACT_DOOR_SCOPE="ALL")+(ACT_DOOR_SCOPE="TIER_"&amp;$F13)+(ACT_DOOR_SCOPE=$B13)))*SIGN(((ACT_SKU_SCOPE="ALL")+(ACT_SKU_SCOPE=$G13)))*(ACT_START&lt;=7)*(ACT_END&gt;=7)*IFERROR(ACT_UPLIFT-1,0)))*(1+SUMPRODUCT(SIGN(((ACT_DOOR_SCOPE="ALL")+(ACT_DOOR_SCOPE="TIER_"&amp;$F13)+(ACT_DOOR_SCOPE=$B13)))*SIGN(((ACT_SKU_SCOPE="ALL")+(ACT_SKU_SCOPE=$G13)))*(7&gt;ACT_END)*(ACT_END&gt;0)*IFERROR(ACT_POSTLIFT,0))),0)))</f>
        <v/>
      </c>
      <c r="Q13" s="10">
        <f>IF(OR($H13&lt;&gt;"Y",8&lt;$I13),0,IF(SUMPRODUCT(((BULK_ENABLED="Y")*((BULK_TIER="ALL")+(BULK_TIER=$F13))*((BULK_SKU="ALL")+(BULK_SKU=$G13))*(BULK_START&lt;=8)*(BULK_END&gt;=8)))&gt;0,IFERROR(SUMPRODUCT(((BULK_ENABLED="Y")*((BULK_TIER="ALL")+(BULK_TIER=$F13))*((BULK_SKU="ALL")+(BULK_SKU=$G13))*(BULK_START&lt;=8)*(BULK_END&gt;=8))*IFERROR(BULK_VALUE,0))/MAX(1,SUMPRODUCT(((BULK_ENABLED="Y")*((BULK_TIER="ALL")+(BULK_TIER=$F13))*((BULK_SKU="ALL")+(BULK_SKU=$G13))*(BULK_START&lt;=8)*(BULK_END&gt;=8)))),0),ROUND((INDEX(VELOCITY_TABLE,MATCH($F13,TIER_LIST,0),3))*(IF((8-$I13+1)&lt;=0,0,IF((8-$I13+1)=1,RAMP_W1,IF((8-$I13+1)=2,RAMP_W2,IF((8-$I13+1)=3,RAMP_W3,RAMP_W4PLUS)))))*(INDEX(ACTIVE_MULT_TABLE,3,1))*(1+SUMPRODUCT(SIGN(((ACT_DOOR_SCOPE="ALL")+(ACT_DOOR_SCOPE="TIER_"&amp;$F13)+(ACT_DOOR_SCOPE=$B13)))*SIGN(((ACT_SKU_SCOPE="ALL")+(ACT_SKU_SCOPE=$G13)))*(ACT_START&lt;=8)*(ACT_END&gt;=8)*IFERROR(ACT_UPLIFT-1,0)))*(1+SUMPRODUCT(SIGN(((ACT_DOOR_SCOPE="ALL")+(ACT_DOOR_SCOPE="TIER_"&amp;$F13)+(ACT_DOOR_SCOPE=$B13)))*SIGN(((ACT_SKU_SCOPE="ALL")+(ACT_SKU_SCOPE=$G13)))*(8&gt;ACT_END)*(ACT_END&gt;0)*IFERROR(ACT_POSTLIFT,0))),0)))</f>
        <v/>
      </c>
      <c r="R13" s="10">
        <f>IF(OR($H13&lt;&gt;"Y",9&lt;$I13),0,IF(SUMPRODUCT(((BULK_ENABLED="Y")*((BULK_TIER="ALL")+(BULK_TIER=$F13))*((BULK_SKU="ALL")+(BULK_SKU=$G13))*(BULK_START&lt;=9)*(BULK_END&gt;=9)))&gt;0,IFERROR(SUMPRODUCT(((BULK_ENABLED="Y")*((BULK_TIER="ALL")+(BULK_TIER=$F13))*((BULK_SKU="ALL")+(BULK_SKU=$G13))*(BULK_START&lt;=9)*(BULK_END&gt;=9))*IFERROR(BULK_VALUE,0))/MAX(1,SUMPRODUCT(((BULK_ENABLED="Y")*((BULK_TIER="ALL")+(BULK_TIER=$F13))*((BULK_SKU="ALL")+(BULK_SKU=$G13))*(BULK_START&lt;=9)*(BULK_END&gt;=9)))),0),ROUND((INDEX(VELOCITY_TABLE,MATCH($F13,TIER_LIST,0),3))*(IF((9-$I13+1)&lt;=0,0,IF((9-$I13+1)=1,RAMP_W1,IF((9-$I13+1)=2,RAMP_W2,IF((9-$I13+1)=3,RAMP_W3,RAMP_W4PLUS)))))*(INDEX(ACTIVE_MULT_TABLE,3,1))*(1+SUMPRODUCT(SIGN(((ACT_DOOR_SCOPE="ALL")+(ACT_DOOR_SCOPE="TIER_"&amp;$F13)+(ACT_DOOR_SCOPE=$B13)))*SIGN(((ACT_SKU_SCOPE="ALL")+(ACT_SKU_SCOPE=$G13)))*(ACT_START&lt;=9)*(ACT_END&gt;=9)*IFERROR(ACT_UPLIFT-1,0)))*(1+SUMPRODUCT(SIGN(((ACT_DOOR_SCOPE="ALL")+(ACT_DOOR_SCOPE="TIER_"&amp;$F13)+(ACT_DOOR_SCOPE=$B13)))*SIGN(((ACT_SKU_SCOPE="ALL")+(ACT_SKU_SCOPE=$G13)))*(9&gt;ACT_END)*(ACT_END&gt;0)*IFERROR(ACT_POSTLIFT,0))),0)))</f>
        <v/>
      </c>
      <c r="S13" s="10">
        <f>IF(OR($H13&lt;&gt;"Y",10&lt;$I13),0,IF(SUMPRODUCT(((BULK_ENABLED="Y")*((BULK_TIER="ALL")+(BULK_TIER=$F13))*((BULK_SKU="ALL")+(BULK_SKU=$G13))*(BULK_START&lt;=10)*(BULK_END&gt;=10)))&gt;0,IFERROR(SUMPRODUCT(((BULK_ENABLED="Y")*((BULK_TIER="ALL")+(BULK_TIER=$F13))*((BULK_SKU="ALL")+(BULK_SKU=$G13))*(BULK_START&lt;=10)*(BULK_END&gt;=10))*IFERROR(BULK_VALUE,0))/MAX(1,SUMPRODUCT(((BULK_ENABLED="Y")*((BULK_TIER="ALL")+(BULK_TIER=$F13))*((BULK_SKU="ALL")+(BULK_SKU=$G13))*(BULK_START&lt;=10)*(BULK_END&gt;=10)))),0),ROUND((INDEX(VELOCITY_TABLE,MATCH($F13,TIER_LIST,0),3))*(IF((10-$I13+1)&lt;=0,0,IF((10-$I13+1)=1,RAMP_W1,IF((10-$I13+1)=2,RAMP_W2,IF((10-$I13+1)=3,RAMP_W3,RAMP_W4PLUS)))))*(INDEX(ACTIVE_MULT_TABLE,3,1))*(1+SUMPRODUCT(SIGN(((ACT_DOOR_SCOPE="ALL")+(ACT_DOOR_SCOPE="TIER_"&amp;$F13)+(ACT_DOOR_SCOPE=$B13)))*SIGN(((ACT_SKU_SCOPE="ALL")+(ACT_SKU_SCOPE=$G13)))*(ACT_START&lt;=10)*(ACT_END&gt;=10)*IFERROR(ACT_UPLIFT-1,0)))*(1+SUMPRODUCT(SIGN(((ACT_DOOR_SCOPE="ALL")+(ACT_DOOR_SCOPE="TIER_"&amp;$F13)+(ACT_DOOR_SCOPE=$B13)))*SIGN(((ACT_SKU_SCOPE="ALL")+(ACT_SKU_SCOPE=$G13)))*(10&gt;ACT_END)*(ACT_END&gt;0)*IFERROR(ACT_POSTLIFT,0))),0)))</f>
        <v/>
      </c>
      <c r="T13" s="10">
        <f>IF(OR($H13&lt;&gt;"Y",11&lt;$I13),0,IF(SUMPRODUCT(((BULK_ENABLED="Y")*((BULK_TIER="ALL")+(BULK_TIER=$F13))*((BULK_SKU="ALL")+(BULK_SKU=$G13))*(BULK_START&lt;=11)*(BULK_END&gt;=11)))&gt;0,IFERROR(SUMPRODUCT(((BULK_ENABLED="Y")*((BULK_TIER="ALL")+(BULK_TIER=$F13))*((BULK_SKU="ALL")+(BULK_SKU=$G13))*(BULK_START&lt;=11)*(BULK_END&gt;=11))*IFERROR(BULK_VALUE,0))/MAX(1,SUMPRODUCT(((BULK_ENABLED="Y")*((BULK_TIER="ALL")+(BULK_TIER=$F13))*((BULK_SKU="ALL")+(BULK_SKU=$G13))*(BULK_START&lt;=11)*(BULK_END&gt;=11)))),0),ROUND((INDEX(VELOCITY_TABLE,MATCH($F13,TIER_LIST,0),3))*(IF((11-$I13+1)&lt;=0,0,IF((11-$I13+1)=1,RAMP_W1,IF((11-$I13+1)=2,RAMP_W2,IF((11-$I13+1)=3,RAMP_W3,RAMP_W4PLUS)))))*(INDEX(ACTIVE_MULT_TABLE,3,1))*(1+SUMPRODUCT(SIGN(((ACT_DOOR_SCOPE="ALL")+(ACT_DOOR_SCOPE="TIER_"&amp;$F13)+(ACT_DOOR_SCOPE=$B13)))*SIGN(((ACT_SKU_SCOPE="ALL")+(ACT_SKU_SCOPE=$G13)))*(ACT_START&lt;=11)*(ACT_END&gt;=11)*IFERROR(ACT_UPLIFT-1,0)))*(1+SUMPRODUCT(SIGN(((ACT_DOOR_SCOPE="ALL")+(ACT_DOOR_SCOPE="TIER_"&amp;$F13)+(ACT_DOOR_SCOPE=$B13)))*SIGN(((ACT_SKU_SCOPE="ALL")+(ACT_SKU_SCOPE=$G13)))*(11&gt;ACT_END)*(ACT_END&gt;0)*IFERROR(ACT_POSTLIFT,0))),0)))</f>
        <v/>
      </c>
      <c r="U13" s="10">
        <f>IF(OR($H13&lt;&gt;"Y",12&lt;$I13),0,IF(SUMPRODUCT(((BULK_ENABLED="Y")*((BULK_TIER="ALL")+(BULK_TIER=$F13))*((BULK_SKU="ALL")+(BULK_SKU=$G13))*(BULK_START&lt;=12)*(BULK_END&gt;=12)))&gt;0,IFERROR(SUMPRODUCT(((BULK_ENABLED="Y")*((BULK_TIER="ALL")+(BULK_TIER=$F13))*((BULK_SKU="ALL")+(BULK_SKU=$G13))*(BULK_START&lt;=12)*(BULK_END&gt;=12))*IFERROR(BULK_VALUE,0))/MAX(1,SUMPRODUCT(((BULK_ENABLED="Y")*((BULK_TIER="ALL")+(BULK_TIER=$F13))*((BULK_SKU="ALL")+(BULK_SKU=$G13))*(BULK_START&lt;=12)*(BULK_END&gt;=12)))),0),ROUND((INDEX(VELOCITY_TABLE,MATCH($F13,TIER_LIST,0),3))*(IF((12-$I13+1)&lt;=0,0,IF((12-$I13+1)=1,RAMP_W1,IF((12-$I13+1)=2,RAMP_W2,IF((12-$I13+1)=3,RAMP_W3,RAMP_W4PLUS)))))*(INDEX(ACTIVE_MULT_TABLE,3,1))*(1+SUMPRODUCT(SIGN(((ACT_DOOR_SCOPE="ALL")+(ACT_DOOR_SCOPE="TIER_"&amp;$F13)+(ACT_DOOR_SCOPE=$B13)))*SIGN(((ACT_SKU_SCOPE="ALL")+(ACT_SKU_SCOPE=$G13)))*(ACT_START&lt;=12)*(ACT_END&gt;=12)*IFERROR(ACT_UPLIFT-1,0)))*(1+SUMPRODUCT(SIGN(((ACT_DOOR_SCOPE="ALL")+(ACT_DOOR_SCOPE="TIER_"&amp;$F13)+(ACT_DOOR_SCOPE=$B13)))*SIGN(((ACT_SKU_SCOPE="ALL")+(ACT_SKU_SCOPE=$G13)))*(12&gt;ACT_END)*(ACT_END&gt;0)*IFERROR(ACT_POSTLIFT,0))),0)))</f>
        <v/>
      </c>
      <c r="V13" s="10">
        <f>IF(OR($H13&lt;&gt;"Y",13&lt;$I13),0,IF(SUMPRODUCT(((BULK_ENABLED="Y")*((BULK_TIER="ALL")+(BULK_TIER=$F13))*((BULK_SKU="ALL")+(BULK_SKU=$G13))*(BULK_START&lt;=13)*(BULK_END&gt;=13)))&gt;0,IFERROR(SUMPRODUCT(((BULK_ENABLED="Y")*((BULK_TIER="ALL")+(BULK_TIER=$F13))*((BULK_SKU="ALL")+(BULK_SKU=$G13))*(BULK_START&lt;=13)*(BULK_END&gt;=13))*IFERROR(BULK_VALUE,0))/MAX(1,SUMPRODUCT(((BULK_ENABLED="Y")*((BULK_TIER="ALL")+(BULK_TIER=$F13))*((BULK_SKU="ALL")+(BULK_SKU=$G13))*(BULK_START&lt;=13)*(BULK_END&gt;=13)))),0),ROUND((INDEX(VELOCITY_TABLE,MATCH($F13,TIER_LIST,0),3))*(IF((13-$I13+1)&lt;=0,0,IF((13-$I13+1)=1,RAMP_W1,IF((13-$I13+1)=2,RAMP_W2,IF((13-$I13+1)=3,RAMP_W3,RAMP_W4PLUS)))))*(INDEX(ACTIVE_MULT_TABLE,3,1))*(1+SUMPRODUCT(SIGN(((ACT_DOOR_SCOPE="ALL")+(ACT_DOOR_SCOPE="TIER_"&amp;$F13)+(ACT_DOOR_SCOPE=$B13)))*SIGN(((ACT_SKU_SCOPE="ALL")+(ACT_SKU_SCOPE=$G13)))*(ACT_START&lt;=13)*(ACT_END&gt;=13)*IFERROR(ACT_UPLIFT-1,0)))*(1+SUMPRODUCT(SIGN(((ACT_DOOR_SCOPE="ALL")+(ACT_DOOR_SCOPE="TIER_"&amp;$F13)+(ACT_DOOR_SCOPE=$B13)))*SIGN(((ACT_SKU_SCOPE="ALL")+(ACT_SKU_SCOPE=$G13)))*(13&gt;ACT_END)*(ACT_END&gt;0)*IFERROR(ACT_POSTLIFT,0))),0)))</f>
        <v/>
      </c>
    </row>
    <row r="14">
      <c r="A14" t="inlineStr">
        <is>
          <t>R0010</t>
        </is>
      </c>
      <c r="B14">
        <f>Doors!$A$8</f>
        <v/>
      </c>
      <c r="C14">
        <f>Doors!$C$8</f>
        <v/>
      </c>
      <c r="D14">
        <f>Doors!$B$8</f>
        <v/>
      </c>
      <c r="E14">
        <f>Doors!$E$8</f>
        <v/>
      </c>
      <c r="F14">
        <f>Doors!$F$8</f>
        <v/>
      </c>
      <c r="G14" t="inlineStr">
        <is>
          <t>Lime Lemon</t>
        </is>
      </c>
      <c r="H14">
        <f>Doors!$G$8</f>
        <v/>
      </c>
      <c r="I14">
        <f>Doors!$J$8</f>
        <v/>
      </c>
      <c r="J14" s="10">
        <f>IF(OR($H14&lt;&gt;"Y",1&lt;$I14),0,IF(SUMPRODUCT(((BULK_ENABLED="Y")*((BULK_TIER="ALL")+(BULK_TIER=$F14))*((BULK_SKU="ALL")+(BULK_SKU=$G14))*(BULK_START&lt;=1)*(BULK_END&gt;=1)))&gt;0,IFERROR(SUMPRODUCT(((BULK_ENABLED="Y")*((BULK_TIER="ALL")+(BULK_TIER=$F14))*((BULK_SKU="ALL")+(BULK_SKU=$G14))*(BULK_START&lt;=1)*(BULK_END&gt;=1))*IFERROR(BULK_VALUE,0))/MAX(1,SUMPRODUCT(((BULK_ENABLED="Y")*((BULK_TIER="ALL")+(BULK_TIER=$F14))*((BULK_SKU="ALL")+(BULK_SKU=$G14))*(BULK_START&lt;=1)*(BULK_END&gt;=1)))),0),ROUND((INDEX(VELOCITY_TABLE,MATCH($F14,TIER_LIST,0),1))*(IF((1-$I14+1)&lt;=0,0,IF((1-$I14+1)=1,RAMP_W1,IF((1-$I14+1)=2,RAMP_W2,IF((1-$I14+1)=3,RAMP_W3,RAMP_W4PLUS)))))*(INDEX(ACTIVE_MULT_TABLE,1,1))*(1+SUMPRODUCT(SIGN(((ACT_DOOR_SCOPE="ALL")+(ACT_DOOR_SCOPE="TIER_"&amp;$F14)+(ACT_DOOR_SCOPE=$B14)))*SIGN(((ACT_SKU_SCOPE="ALL")+(ACT_SKU_SCOPE=$G14)))*(ACT_START&lt;=1)*(ACT_END&gt;=1)*IFERROR(ACT_UPLIFT-1,0)))*(1+SUMPRODUCT(SIGN(((ACT_DOOR_SCOPE="ALL")+(ACT_DOOR_SCOPE="TIER_"&amp;$F14)+(ACT_DOOR_SCOPE=$B14)))*SIGN(((ACT_SKU_SCOPE="ALL")+(ACT_SKU_SCOPE=$G14)))*(1&gt;ACT_END)*(ACT_END&gt;0)*IFERROR(ACT_POSTLIFT,0))),0)))</f>
        <v/>
      </c>
      <c r="K14" s="10">
        <f>IF(OR($H14&lt;&gt;"Y",2&lt;$I14),0,IF(SUMPRODUCT(((BULK_ENABLED="Y")*((BULK_TIER="ALL")+(BULK_TIER=$F14))*((BULK_SKU="ALL")+(BULK_SKU=$G14))*(BULK_START&lt;=2)*(BULK_END&gt;=2)))&gt;0,IFERROR(SUMPRODUCT(((BULK_ENABLED="Y")*((BULK_TIER="ALL")+(BULK_TIER=$F14))*((BULK_SKU="ALL")+(BULK_SKU=$G14))*(BULK_START&lt;=2)*(BULK_END&gt;=2))*IFERROR(BULK_VALUE,0))/MAX(1,SUMPRODUCT(((BULK_ENABLED="Y")*((BULK_TIER="ALL")+(BULK_TIER=$F14))*((BULK_SKU="ALL")+(BULK_SKU=$G14))*(BULK_START&lt;=2)*(BULK_END&gt;=2)))),0),ROUND((INDEX(VELOCITY_TABLE,MATCH($F14,TIER_LIST,0),1))*(IF((2-$I14+1)&lt;=0,0,IF((2-$I14+1)=1,RAMP_W1,IF((2-$I14+1)=2,RAMP_W2,IF((2-$I14+1)=3,RAMP_W3,RAMP_W4PLUS)))))*(INDEX(ACTIVE_MULT_TABLE,1,1))*(1+SUMPRODUCT(SIGN(((ACT_DOOR_SCOPE="ALL")+(ACT_DOOR_SCOPE="TIER_"&amp;$F14)+(ACT_DOOR_SCOPE=$B14)))*SIGN(((ACT_SKU_SCOPE="ALL")+(ACT_SKU_SCOPE=$G14)))*(ACT_START&lt;=2)*(ACT_END&gt;=2)*IFERROR(ACT_UPLIFT-1,0)))*(1+SUMPRODUCT(SIGN(((ACT_DOOR_SCOPE="ALL")+(ACT_DOOR_SCOPE="TIER_"&amp;$F14)+(ACT_DOOR_SCOPE=$B14)))*SIGN(((ACT_SKU_SCOPE="ALL")+(ACT_SKU_SCOPE=$G14)))*(2&gt;ACT_END)*(ACT_END&gt;0)*IFERROR(ACT_POSTLIFT,0))),0)))</f>
        <v/>
      </c>
      <c r="L14" s="10">
        <f>IF(OR($H14&lt;&gt;"Y",3&lt;$I14),0,IF(SUMPRODUCT(((BULK_ENABLED="Y")*((BULK_TIER="ALL")+(BULK_TIER=$F14))*((BULK_SKU="ALL")+(BULK_SKU=$G14))*(BULK_START&lt;=3)*(BULK_END&gt;=3)))&gt;0,IFERROR(SUMPRODUCT(((BULK_ENABLED="Y")*((BULK_TIER="ALL")+(BULK_TIER=$F14))*((BULK_SKU="ALL")+(BULK_SKU=$G14))*(BULK_START&lt;=3)*(BULK_END&gt;=3))*IFERROR(BULK_VALUE,0))/MAX(1,SUMPRODUCT(((BULK_ENABLED="Y")*((BULK_TIER="ALL")+(BULK_TIER=$F14))*((BULK_SKU="ALL")+(BULK_SKU=$G14))*(BULK_START&lt;=3)*(BULK_END&gt;=3)))),0),ROUND((INDEX(VELOCITY_TABLE,MATCH($F14,TIER_LIST,0),1))*(IF((3-$I14+1)&lt;=0,0,IF((3-$I14+1)=1,RAMP_W1,IF((3-$I14+1)=2,RAMP_W2,IF((3-$I14+1)=3,RAMP_W3,RAMP_W4PLUS)))))*(INDEX(ACTIVE_MULT_TABLE,1,1))*(1+SUMPRODUCT(SIGN(((ACT_DOOR_SCOPE="ALL")+(ACT_DOOR_SCOPE="TIER_"&amp;$F14)+(ACT_DOOR_SCOPE=$B14)))*SIGN(((ACT_SKU_SCOPE="ALL")+(ACT_SKU_SCOPE=$G14)))*(ACT_START&lt;=3)*(ACT_END&gt;=3)*IFERROR(ACT_UPLIFT-1,0)))*(1+SUMPRODUCT(SIGN(((ACT_DOOR_SCOPE="ALL")+(ACT_DOOR_SCOPE="TIER_"&amp;$F14)+(ACT_DOOR_SCOPE=$B14)))*SIGN(((ACT_SKU_SCOPE="ALL")+(ACT_SKU_SCOPE=$G14)))*(3&gt;ACT_END)*(ACT_END&gt;0)*IFERROR(ACT_POSTLIFT,0))),0)))</f>
        <v/>
      </c>
      <c r="M14" s="10">
        <f>IF(OR($H14&lt;&gt;"Y",4&lt;$I14),0,IF(SUMPRODUCT(((BULK_ENABLED="Y")*((BULK_TIER="ALL")+(BULK_TIER=$F14))*((BULK_SKU="ALL")+(BULK_SKU=$G14))*(BULK_START&lt;=4)*(BULK_END&gt;=4)))&gt;0,IFERROR(SUMPRODUCT(((BULK_ENABLED="Y")*((BULK_TIER="ALL")+(BULK_TIER=$F14))*((BULK_SKU="ALL")+(BULK_SKU=$G14))*(BULK_START&lt;=4)*(BULK_END&gt;=4))*IFERROR(BULK_VALUE,0))/MAX(1,SUMPRODUCT(((BULK_ENABLED="Y")*((BULK_TIER="ALL")+(BULK_TIER=$F14))*((BULK_SKU="ALL")+(BULK_SKU=$G14))*(BULK_START&lt;=4)*(BULK_END&gt;=4)))),0),ROUND((INDEX(VELOCITY_TABLE,MATCH($F14,TIER_LIST,0),1))*(IF((4-$I14+1)&lt;=0,0,IF((4-$I14+1)=1,RAMP_W1,IF((4-$I14+1)=2,RAMP_W2,IF((4-$I14+1)=3,RAMP_W3,RAMP_W4PLUS)))))*(INDEX(ACTIVE_MULT_TABLE,1,1))*(1+SUMPRODUCT(SIGN(((ACT_DOOR_SCOPE="ALL")+(ACT_DOOR_SCOPE="TIER_"&amp;$F14)+(ACT_DOOR_SCOPE=$B14)))*SIGN(((ACT_SKU_SCOPE="ALL")+(ACT_SKU_SCOPE=$G14)))*(ACT_START&lt;=4)*(ACT_END&gt;=4)*IFERROR(ACT_UPLIFT-1,0)))*(1+SUMPRODUCT(SIGN(((ACT_DOOR_SCOPE="ALL")+(ACT_DOOR_SCOPE="TIER_"&amp;$F14)+(ACT_DOOR_SCOPE=$B14)))*SIGN(((ACT_SKU_SCOPE="ALL")+(ACT_SKU_SCOPE=$G14)))*(4&gt;ACT_END)*(ACT_END&gt;0)*IFERROR(ACT_POSTLIFT,0))),0)))</f>
        <v/>
      </c>
      <c r="N14" s="10">
        <f>IF(OR($H14&lt;&gt;"Y",5&lt;$I14),0,IF(SUMPRODUCT(((BULK_ENABLED="Y")*((BULK_TIER="ALL")+(BULK_TIER=$F14))*((BULK_SKU="ALL")+(BULK_SKU=$G14))*(BULK_START&lt;=5)*(BULK_END&gt;=5)))&gt;0,IFERROR(SUMPRODUCT(((BULK_ENABLED="Y")*((BULK_TIER="ALL")+(BULK_TIER=$F14))*((BULK_SKU="ALL")+(BULK_SKU=$G14))*(BULK_START&lt;=5)*(BULK_END&gt;=5))*IFERROR(BULK_VALUE,0))/MAX(1,SUMPRODUCT(((BULK_ENABLED="Y")*((BULK_TIER="ALL")+(BULK_TIER=$F14))*((BULK_SKU="ALL")+(BULK_SKU=$G14))*(BULK_START&lt;=5)*(BULK_END&gt;=5)))),0),ROUND((INDEX(VELOCITY_TABLE,MATCH($F14,TIER_LIST,0),1))*(IF((5-$I14+1)&lt;=0,0,IF((5-$I14+1)=1,RAMP_W1,IF((5-$I14+1)=2,RAMP_W2,IF((5-$I14+1)=3,RAMP_W3,RAMP_W4PLUS)))))*(INDEX(ACTIVE_MULT_TABLE,1,1))*(1+SUMPRODUCT(SIGN(((ACT_DOOR_SCOPE="ALL")+(ACT_DOOR_SCOPE="TIER_"&amp;$F14)+(ACT_DOOR_SCOPE=$B14)))*SIGN(((ACT_SKU_SCOPE="ALL")+(ACT_SKU_SCOPE=$G14)))*(ACT_START&lt;=5)*(ACT_END&gt;=5)*IFERROR(ACT_UPLIFT-1,0)))*(1+SUMPRODUCT(SIGN(((ACT_DOOR_SCOPE="ALL")+(ACT_DOOR_SCOPE="TIER_"&amp;$F14)+(ACT_DOOR_SCOPE=$B14)))*SIGN(((ACT_SKU_SCOPE="ALL")+(ACT_SKU_SCOPE=$G14)))*(5&gt;ACT_END)*(ACT_END&gt;0)*IFERROR(ACT_POSTLIFT,0))),0)))</f>
        <v/>
      </c>
      <c r="O14" s="10">
        <f>IF(OR($H14&lt;&gt;"Y",6&lt;$I14),0,IF(SUMPRODUCT(((BULK_ENABLED="Y")*((BULK_TIER="ALL")+(BULK_TIER=$F14))*((BULK_SKU="ALL")+(BULK_SKU=$G14))*(BULK_START&lt;=6)*(BULK_END&gt;=6)))&gt;0,IFERROR(SUMPRODUCT(((BULK_ENABLED="Y")*((BULK_TIER="ALL")+(BULK_TIER=$F14))*((BULK_SKU="ALL")+(BULK_SKU=$G14))*(BULK_START&lt;=6)*(BULK_END&gt;=6))*IFERROR(BULK_VALUE,0))/MAX(1,SUMPRODUCT(((BULK_ENABLED="Y")*((BULK_TIER="ALL")+(BULK_TIER=$F14))*((BULK_SKU="ALL")+(BULK_SKU=$G14))*(BULK_START&lt;=6)*(BULK_END&gt;=6)))),0),ROUND((INDEX(VELOCITY_TABLE,MATCH($F14,TIER_LIST,0),1))*(IF((6-$I14+1)&lt;=0,0,IF((6-$I14+1)=1,RAMP_W1,IF((6-$I14+1)=2,RAMP_W2,IF((6-$I14+1)=3,RAMP_W3,RAMP_W4PLUS)))))*(INDEX(ACTIVE_MULT_TABLE,1,1))*(1+SUMPRODUCT(SIGN(((ACT_DOOR_SCOPE="ALL")+(ACT_DOOR_SCOPE="TIER_"&amp;$F14)+(ACT_DOOR_SCOPE=$B14)))*SIGN(((ACT_SKU_SCOPE="ALL")+(ACT_SKU_SCOPE=$G14)))*(ACT_START&lt;=6)*(ACT_END&gt;=6)*IFERROR(ACT_UPLIFT-1,0)))*(1+SUMPRODUCT(SIGN(((ACT_DOOR_SCOPE="ALL")+(ACT_DOOR_SCOPE="TIER_"&amp;$F14)+(ACT_DOOR_SCOPE=$B14)))*SIGN(((ACT_SKU_SCOPE="ALL")+(ACT_SKU_SCOPE=$G14)))*(6&gt;ACT_END)*(ACT_END&gt;0)*IFERROR(ACT_POSTLIFT,0))),0)))</f>
        <v/>
      </c>
      <c r="P14" s="10">
        <f>IF(OR($H14&lt;&gt;"Y",7&lt;$I14),0,IF(SUMPRODUCT(((BULK_ENABLED="Y")*((BULK_TIER="ALL")+(BULK_TIER=$F14))*((BULK_SKU="ALL")+(BULK_SKU=$G14))*(BULK_START&lt;=7)*(BULK_END&gt;=7)))&gt;0,IFERROR(SUMPRODUCT(((BULK_ENABLED="Y")*((BULK_TIER="ALL")+(BULK_TIER=$F14))*((BULK_SKU="ALL")+(BULK_SKU=$G14))*(BULK_START&lt;=7)*(BULK_END&gt;=7))*IFERROR(BULK_VALUE,0))/MAX(1,SUMPRODUCT(((BULK_ENABLED="Y")*((BULK_TIER="ALL")+(BULK_TIER=$F14))*((BULK_SKU="ALL")+(BULK_SKU=$G14))*(BULK_START&lt;=7)*(BULK_END&gt;=7)))),0),ROUND((INDEX(VELOCITY_TABLE,MATCH($F14,TIER_LIST,0),1))*(IF((7-$I14+1)&lt;=0,0,IF((7-$I14+1)=1,RAMP_W1,IF((7-$I14+1)=2,RAMP_W2,IF((7-$I14+1)=3,RAMP_W3,RAMP_W4PLUS)))))*(INDEX(ACTIVE_MULT_TABLE,1,1))*(1+SUMPRODUCT(SIGN(((ACT_DOOR_SCOPE="ALL")+(ACT_DOOR_SCOPE="TIER_"&amp;$F14)+(ACT_DOOR_SCOPE=$B14)))*SIGN(((ACT_SKU_SCOPE="ALL")+(ACT_SKU_SCOPE=$G14)))*(ACT_START&lt;=7)*(ACT_END&gt;=7)*IFERROR(ACT_UPLIFT-1,0)))*(1+SUMPRODUCT(SIGN(((ACT_DOOR_SCOPE="ALL")+(ACT_DOOR_SCOPE="TIER_"&amp;$F14)+(ACT_DOOR_SCOPE=$B14)))*SIGN(((ACT_SKU_SCOPE="ALL")+(ACT_SKU_SCOPE=$G14)))*(7&gt;ACT_END)*(ACT_END&gt;0)*IFERROR(ACT_POSTLIFT,0))),0)))</f>
        <v/>
      </c>
      <c r="Q14" s="10">
        <f>IF(OR($H14&lt;&gt;"Y",8&lt;$I14),0,IF(SUMPRODUCT(((BULK_ENABLED="Y")*((BULK_TIER="ALL")+(BULK_TIER=$F14))*((BULK_SKU="ALL")+(BULK_SKU=$G14))*(BULK_START&lt;=8)*(BULK_END&gt;=8)))&gt;0,IFERROR(SUMPRODUCT(((BULK_ENABLED="Y")*((BULK_TIER="ALL")+(BULK_TIER=$F14))*((BULK_SKU="ALL")+(BULK_SKU=$G14))*(BULK_START&lt;=8)*(BULK_END&gt;=8))*IFERROR(BULK_VALUE,0))/MAX(1,SUMPRODUCT(((BULK_ENABLED="Y")*((BULK_TIER="ALL")+(BULK_TIER=$F14))*((BULK_SKU="ALL")+(BULK_SKU=$G14))*(BULK_START&lt;=8)*(BULK_END&gt;=8)))),0),ROUND((INDEX(VELOCITY_TABLE,MATCH($F14,TIER_LIST,0),1))*(IF((8-$I14+1)&lt;=0,0,IF((8-$I14+1)=1,RAMP_W1,IF((8-$I14+1)=2,RAMP_W2,IF((8-$I14+1)=3,RAMP_W3,RAMP_W4PLUS)))))*(INDEX(ACTIVE_MULT_TABLE,1,1))*(1+SUMPRODUCT(SIGN(((ACT_DOOR_SCOPE="ALL")+(ACT_DOOR_SCOPE="TIER_"&amp;$F14)+(ACT_DOOR_SCOPE=$B14)))*SIGN(((ACT_SKU_SCOPE="ALL")+(ACT_SKU_SCOPE=$G14)))*(ACT_START&lt;=8)*(ACT_END&gt;=8)*IFERROR(ACT_UPLIFT-1,0)))*(1+SUMPRODUCT(SIGN(((ACT_DOOR_SCOPE="ALL")+(ACT_DOOR_SCOPE="TIER_"&amp;$F14)+(ACT_DOOR_SCOPE=$B14)))*SIGN(((ACT_SKU_SCOPE="ALL")+(ACT_SKU_SCOPE=$G14)))*(8&gt;ACT_END)*(ACT_END&gt;0)*IFERROR(ACT_POSTLIFT,0))),0)))</f>
        <v/>
      </c>
      <c r="R14" s="10">
        <f>IF(OR($H14&lt;&gt;"Y",9&lt;$I14),0,IF(SUMPRODUCT(((BULK_ENABLED="Y")*((BULK_TIER="ALL")+(BULK_TIER=$F14))*((BULK_SKU="ALL")+(BULK_SKU=$G14))*(BULK_START&lt;=9)*(BULK_END&gt;=9)))&gt;0,IFERROR(SUMPRODUCT(((BULK_ENABLED="Y")*((BULK_TIER="ALL")+(BULK_TIER=$F14))*((BULK_SKU="ALL")+(BULK_SKU=$G14))*(BULK_START&lt;=9)*(BULK_END&gt;=9))*IFERROR(BULK_VALUE,0))/MAX(1,SUMPRODUCT(((BULK_ENABLED="Y")*((BULK_TIER="ALL")+(BULK_TIER=$F14))*((BULK_SKU="ALL")+(BULK_SKU=$G14))*(BULK_START&lt;=9)*(BULK_END&gt;=9)))),0),ROUND((INDEX(VELOCITY_TABLE,MATCH($F14,TIER_LIST,0),1))*(IF((9-$I14+1)&lt;=0,0,IF((9-$I14+1)=1,RAMP_W1,IF((9-$I14+1)=2,RAMP_W2,IF((9-$I14+1)=3,RAMP_W3,RAMP_W4PLUS)))))*(INDEX(ACTIVE_MULT_TABLE,1,1))*(1+SUMPRODUCT(SIGN(((ACT_DOOR_SCOPE="ALL")+(ACT_DOOR_SCOPE="TIER_"&amp;$F14)+(ACT_DOOR_SCOPE=$B14)))*SIGN(((ACT_SKU_SCOPE="ALL")+(ACT_SKU_SCOPE=$G14)))*(ACT_START&lt;=9)*(ACT_END&gt;=9)*IFERROR(ACT_UPLIFT-1,0)))*(1+SUMPRODUCT(SIGN(((ACT_DOOR_SCOPE="ALL")+(ACT_DOOR_SCOPE="TIER_"&amp;$F14)+(ACT_DOOR_SCOPE=$B14)))*SIGN(((ACT_SKU_SCOPE="ALL")+(ACT_SKU_SCOPE=$G14)))*(9&gt;ACT_END)*(ACT_END&gt;0)*IFERROR(ACT_POSTLIFT,0))),0)))</f>
        <v/>
      </c>
      <c r="S14" s="10">
        <f>IF(OR($H14&lt;&gt;"Y",10&lt;$I14),0,IF(SUMPRODUCT(((BULK_ENABLED="Y")*((BULK_TIER="ALL")+(BULK_TIER=$F14))*((BULK_SKU="ALL")+(BULK_SKU=$G14))*(BULK_START&lt;=10)*(BULK_END&gt;=10)))&gt;0,IFERROR(SUMPRODUCT(((BULK_ENABLED="Y")*((BULK_TIER="ALL")+(BULK_TIER=$F14))*((BULK_SKU="ALL")+(BULK_SKU=$G14))*(BULK_START&lt;=10)*(BULK_END&gt;=10))*IFERROR(BULK_VALUE,0))/MAX(1,SUMPRODUCT(((BULK_ENABLED="Y")*((BULK_TIER="ALL")+(BULK_TIER=$F14))*((BULK_SKU="ALL")+(BULK_SKU=$G14))*(BULK_START&lt;=10)*(BULK_END&gt;=10)))),0),ROUND((INDEX(VELOCITY_TABLE,MATCH($F14,TIER_LIST,0),1))*(IF((10-$I14+1)&lt;=0,0,IF((10-$I14+1)=1,RAMP_W1,IF((10-$I14+1)=2,RAMP_W2,IF((10-$I14+1)=3,RAMP_W3,RAMP_W4PLUS)))))*(INDEX(ACTIVE_MULT_TABLE,1,1))*(1+SUMPRODUCT(SIGN(((ACT_DOOR_SCOPE="ALL")+(ACT_DOOR_SCOPE="TIER_"&amp;$F14)+(ACT_DOOR_SCOPE=$B14)))*SIGN(((ACT_SKU_SCOPE="ALL")+(ACT_SKU_SCOPE=$G14)))*(ACT_START&lt;=10)*(ACT_END&gt;=10)*IFERROR(ACT_UPLIFT-1,0)))*(1+SUMPRODUCT(SIGN(((ACT_DOOR_SCOPE="ALL")+(ACT_DOOR_SCOPE="TIER_"&amp;$F14)+(ACT_DOOR_SCOPE=$B14)))*SIGN(((ACT_SKU_SCOPE="ALL")+(ACT_SKU_SCOPE=$G14)))*(10&gt;ACT_END)*(ACT_END&gt;0)*IFERROR(ACT_POSTLIFT,0))),0)))</f>
        <v/>
      </c>
      <c r="T14" s="10">
        <f>IF(OR($H14&lt;&gt;"Y",11&lt;$I14),0,IF(SUMPRODUCT(((BULK_ENABLED="Y")*((BULK_TIER="ALL")+(BULK_TIER=$F14))*((BULK_SKU="ALL")+(BULK_SKU=$G14))*(BULK_START&lt;=11)*(BULK_END&gt;=11)))&gt;0,IFERROR(SUMPRODUCT(((BULK_ENABLED="Y")*((BULK_TIER="ALL")+(BULK_TIER=$F14))*((BULK_SKU="ALL")+(BULK_SKU=$G14))*(BULK_START&lt;=11)*(BULK_END&gt;=11))*IFERROR(BULK_VALUE,0))/MAX(1,SUMPRODUCT(((BULK_ENABLED="Y")*((BULK_TIER="ALL")+(BULK_TIER=$F14))*((BULK_SKU="ALL")+(BULK_SKU=$G14))*(BULK_START&lt;=11)*(BULK_END&gt;=11)))),0),ROUND((INDEX(VELOCITY_TABLE,MATCH($F14,TIER_LIST,0),1))*(IF((11-$I14+1)&lt;=0,0,IF((11-$I14+1)=1,RAMP_W1,IF((11-$I14+1)=2,RAMP_W2,IF((11-$I14+1)=3,RAMP_W3,RAMP_W4PLUS)))))*(INDEX(ACTIVE_MULT_TABLE,1,1))*(1+SUMPRODUCT(SIGN(((ACT_DOOR_SCOPE="ALL")+(ACT_DOOR_SCOPE="TIER_"&amp;$F14)+(ACT_DOOR_SCOPE=$B14)))*SIGN(((ACT_SKU_SCOPE="ALL")+(ACT_SKU_SCOPE=$G14)))*(ACT_START&lt;=11)*(ACT_END&gt;=11)*IFERROR(ACT_UPLIFT-1,0)))*(1+SUMPRODUCT(SIGN(((ACT_DOOR_SCOPE="ALL")+(ACT_DOOR_SCOPE="TIER_"&amp;$F14)+(ACT_DOOR_SCOPE=$B14)))*SIGN(((ACT_SKU_SCOPE="ALL")+(ACT_SKU_SCOPE=$G14)))*(11&gt;ACT_END)*(ACT_END&gt;0)*IFERROR(ACT_POSTLIFT,0))),0)))</f>
        <v/>
      </c>
      <c r="U14" s="10">
        <f>IF(OR($H14&lt;&gt;"Y",12&lt;$I14),0,IF(SUMPRODUCT(((BULK_ENABLED="Y")*((BULK_TIER="ALL")+(BULK_TIER=$F14))*((BULK_SKU="ALL")+(BULK_SKU=$G14))*(BULK_START&lt;=12)*(BULK_END&gt;=12)))&gt;0,IFERROR(SUMPRODUCT(((BULK_ENABLED="Y")*((BULK_TIER="ALL")+(BULK_TIER=$F14))*((BULK_SKU="ALL")+(BULK_SKU=$G14))*(BULK_START&lt;=12)*(BULK_END&gt;=12))*IFERROR(BULK_VALUE,0))/MAX(1,SUMPRODUCT(((BULK_ENABLED="Y")*((BULK_TIER="ALL")+(BULK_TIER=$F14))*((BULK_SKU="ALL")+(BULK_SKU=$G14))*(BULK_START&lt;=12)*(BULK_END&gt;=12)))),0),ROUND((INDEX(VELOCITY_TABLE,MATCH($F14,TIER_LIST,0),1))*(IF((12-$I14+1)&lt;=0,0,IF((12-$I14+1)=1,RAMP_W1,IF((12-$I14+1)=2,RAMP_W2,IF((12-$I14+1)=3,RAMP_W3,RAMP_W4PLUS)))))*(INDEX(ACTIVE_MULT_TABLE,1,1))*(1+SUMPRODUCT(SIGN(((ACT_DOOR_SCOPE="ALL")+(ACT_DOOR_SCOPE="TIER_"&amp;$F14)+(ACT_DOOR_SCOPE=$B14)))*SIGN(((ACT_SKU_SCOPE="ALL")+(ACT_SKU_SCOPE=$G14)))*(ACT_START&lt;=12)*(ACT_END&gt;=12)*IFERROR(ACT_UPLIFT-1,0)))*(1+SUMPRODUCT(SIGN(((ACT_DOOR_SCOPE="ALL")+(ACT_DOOR_SCOPE="TIER_"&amp;$F14)+(ACT_DOOR_SCOPE=$B14)))*SIGN(((ACT_SKU_SCOPE="ALL")+(ACT_SKU_SCOPE=$G14)))*(12&gt;ACT_END)*(ACT_END&gt;0)*IFERROR(ACT_POSTLIFT,0))),0)))</f>
        <v/>
      </c>
      <c r="V14" s="10">
        <f>IF(OR($H14&lt;&gt;"Y",13&lt;$I14),0,IF(SUMPRODUCT(((BULK_ENABLED="Y")*((BULK_TIER="ALL")+(BULK_TIER=$F14))*((BULK_SKU="ALL")+(BULK_SKU=$G14))*(BULK_START&lt;=13)*(BULK_END&gt;=13)))&gt;0,IFERROR(SUMPRODUCT(((BULK_ENABLED="Y")*((BULK_TIER="ALL")+(BULK_TIER=$F14))*((BULK_SKU="ALL")+(BULK_SKU=$G14))*(BULK_START&lt;=13)*(BULK_END&gt;=13))*IFERROR(BULK_VALUE,0))/MAX(1,SUMPRODUCT(((BULK_ENABLED="Y")*((BULK_TIER="ALL")+(BULK_TIER=$F14))*((BULK_SKU="ALL")+(BULK_SKU=$G14))*(BULK_START&lt;=13)*(BULK_END&gt;=13)))),0),ROUND((INDEX(VELOCITY_TABLE,MATCH($F14,TIER_LIST,0),1))*(IF((13-$I14+1)&lt;=0,0,IF((13-$I14+1)=1,RAMP_W1,IF((13-$I14+1)=2,RAMP_W2,IF((13-$I14+1)=3,RAMP_W3,RAMP_W4PLUS)))))*(INDEX(ACTIVE_MULT_TABLE,1,1))*(1+SUMPRODUCT(SIGN(((ACT_DOOR_SCOPE="ALL")+(ACT_DOOR_SCOPE="TIER_"&amp;$F14)+(ACT_DOOR_SCOPE=$B14)))*SIGN(((ACT_SKU_SCOPE="ALL")+(ACT_SKU_SCOPE=$G14)))*(ACT_START&lt;=13)*(ACT_END&gt;=13)*IFERROR(ACT_UPLIFT-1,0)))*(1+SUMPRODUCT(SIGN(((ACT_DOOR_SCOPE="ALL")+(ACT_DOOR_SCOPE="TIER_"&amp;$F14)+(ACT_DOOR_SCOPE=$B14)))*SIGN(((ACT_SKU_SCOPE="ALL")+(ACT_SKU_SCOPE=$G14)))*(13&gt;ACT_END)*(ACT_END&gt;0)*IFERROR(ACT_POSTLIFT,0))),0)))</f>
        <v/>
      </c>
    </row>
    <row r="15">
      <c r="A15" t="inlineStr">
        <is>
          <t>R0011</t>
        </is>
      </c>
      <c r="B15">
        <f>Doors!$A$8</f>
        <v/>
      </c>
      <c r="C15">
        <f>Doors!$C$8</f>
        <v/>
      </c>
      <c r="D15">
        <f>Doors!$B$8</f>
        <v/>
      </c>
      <c r="E15">
        <f>Doors!$E$8</f>
        <v/>
      </c>
      <c r="F15">
        <f>Doors!$F$8</f>
        <v/>
      </c>
      <c r="G15" t="inlineStr">
        <is>
          <t>Pineapple Passion Fruit</t>
        </is>
      </c>
      <c r="H15">
        <f>Doors!$H$8</f>
        <v/>
      </c>
      <c r="I15">
        <f>Doors!$J$8</f>
        <v/>
      </c>
      <c r="J15" s="10">
        <f>IF(OR($H15&lt;&gt;"Y",1&lt;$I15),0,IF(SUMPRODUCT(((BULK_ENABLED="Y")*((BULK_TIER="ALL")+(BULK_TIER=$F15))*((BULK_SKU="ALL")+(BULK_SKU=$G15))*(BULK_START&lt;=1)*(BULK_END&gt;=1)))&gt;0,IFERROR(SUMPRODUCT(((BULK_ENABLED="Y")*((BULK_TIER="ALL")+(BULK_TIER=$F15))*((BULK_SKU="ALL")+(BULK_SKU=$G15))*(BULK_START&lt;=1)*(BULK_END&gt;=1))*IFERROR(BULK_VALUE,0))/MAX(1,SUMPRODUCT(((BULK_ENABLED="Y")*((BULK_TIER="ALL")+(BULK_TIER=$F15))*((BULK_SKU="ALL")+(BULK_SKU=$G15))*(BULK_START&lt;=1)*(BULK_END&gt;=1)))),0),ROUND((INDEX(VELOCITY_TABLE,MATCH($F15,TIER_LIST,0),2))*(IF((1-$I15+1)&lt;=0,0,IF((1-$I15+1)=1,RAMP_W1,IF((1-$I15+1)=2,RAMP_W2,IF((1-$I15+1)=3,RAMP_W3,RAMP_W4PLUS)))))*(INDEX(ACTIVE_MULT_TABLE,2,1))*(1+SUMPRODUCT(SIGN(((ACT_DOOR_SCOPE="ALL")+(ACT_DOOR_SCOPE="TIER_"&amp;$F15)+(ACT_DOOR_SCOPE=$B15)))*SIGN(((ACT_SKU_SCOPE="ALL")+(ACT_SKU_SCOPE=$G15)))*(ACT_START&lt;=1)*(ACT_END&gt;=1)*IFERROR(ACT_UPLIFT-1,0)))*(1+SUMPRODUCT(SIGN(((ACT_DOOR_SCOPE="ALL")+(ACT_DOOR_SCOPE="TIER_"&amp;$F15)+(ACT_DOOR_SCOPE=$B15)))*SIGN(((ACT_SKU_SCOPE="ALL")+(ACT_SKU_SCOPE=$G15)))*(1&gt;ACT_END)*(ACT_END&gt;0)*IFERROR(ACT_POSTLIFT,0))),0)))</f>
        <v/>
      </c>
      <c r="K15" s="10">
        <f>IF(OR($H15&lt;&gt;"Y",2&lt;$I15),0,IF(SUMPRODUCT(((BULK_ENABLED="Y")*((BULK_TIER="ALL")+(BULK_TIER=$F15))*((BULK_SKU="ALL")+(BULK_SKU=$G15))*(BULK_START&lt;=2)*(BULK_END&gt;=2)))&gt;0,IFERROR(SUMPRODUCT(((BULK_ENABLED="Y")*((BULK_TIER="ALL")+(BULK_TIER=$F15))*((BULK_SKU="ALL")+(BULK_SKU=$G15))*(BULK_START&lt;=2)*(BULK_END&gt;=2))*IFERROR(BULK_VALUE,0))/MAX(1,SUMPRODUCT(((BULK_ENABLED="Y")*((BULK_TIER="ALL")+(BULK_TIER=$F15))*((BULK_SKU="ALL")+(BULK_SKU=$G15))*(BULK_START&lt;=2)*(BULK_END&gt;=2)))),0),ROUND((INDEX(VELOCITY_TABLE,MATCH($F15,TIER_LIST,0),2))*(IF((2-$I15+1)&lt;=0,0,IF((2-$I15+1)=1,RAMP_W1,IF((2-$I15+1)=2,RAMP_W2,IF((2-$I15+1)=3,RAMP_W3,RAMP_W4PLUS)))))*(INDEX(ACTIVE_MULT_TABLE,2,1))*(1+SUMPRODUCT(SIGN(((ACT_DOOR_SCOPE="ALL")+(ACT_DOOR_SCOPE="TIER_"&amp;$F15)+(ACT_DOOR_SCOPE=$B15)))*SIGN(((ACT_SKU_SCOPE="ALL")+(ACT_SKU_SCOPE=$G15)))*(ACT_START&lt;=2)*(ACT_END&gt;=2)*IFERROR(ACT_UPLIFT-1,0)))*(1+SUMPRODUCT(SIGN(((ACT_DOOR_SCOPE="ALL")+(ACT_DOOR_SCOPE="TIER_"&amp;$F15)+(ACT_DOOR_SCOPE=$B15)))*SIGN(((ACT_SKU_SCOPE="ALL")+(ACT_SKU_SCOPE=$G15)))*(2&gt;ACT_END)*(ACT_END&gt;0)*IFERROR(ACT_POSTLIFT,0))),0)))</f>
        <v/>
      </c>
      <c r="L15" s="10">
        <f>IF(OR($H15&lt;&gt;"Y",3&lt;$I15),0,IF(SUMPRODUCT(((BULK_ENABLED="Y")*((BULK_TIER="ALL")+(BULK_TIER=$F15))*((BULK_SKU="ALL")+(BULK_SKU=$G15))*(BULK_START&lt;=3)*(BULK_END&gt;=3)))&gt;0,IFERROR(SUMPRODUCT(((BULK_ENABLED="Y")*((BULK_TIER="ALL")+(BULK_TIER=$F15))*((BULK_SKU="ALL")+(BULK_SKU=$G15))*(BULK_START&lt;=3)*(BULK_END&gt;=3))*IFERROR(BULK_VALUE,0))/MAX(1,SUMPRODUCT(((BULK_ENABLED="Y")*((BULK_TIER="ALL")+(BULK_TIER=$F15))*((BULK_SKU="ALL")+(BULK_SKU=$G15))*(BULK_START&lt;=3)*(BULK_END&gt;=3)))),0),ROUND((INDEX(VELOCITY_TABLE,MATCH($F15,TIER_LIST,0),2))*(IF((3-$I15+1)&lt;=0,0,IF((3-$I15+1)=1,RAMP_W1,IF((3-$I15+1)=2,RAMP_W2,IF((3-$I15+1)=3,RAMP_W3,RAMP_W4PLUS)))))*(INDEX(ACTIVE_MULT_TABLE,2,1))*(1+SUMPRODUCT(SIGN(((ACT_DOOR_SCOPE="ALL")+(ACT_DOOR_SCOPE="TIER_"&amp;$F15)+(ACT_DOOR_SCOPE=$B15)))*SIGN(((ACT_SKU_SCOPE="ALL")+(ACT_SKU_SCOPE=$G15)))*(ACT_START&lt;=3)*(ACT_END&gt;=3)*IFERROR(ACT_UPLIFT-1,0)))*(1+SUMPRODUCT(SIGN(((ACT_DOOR_SCOPE="ALL")+(ACT_DOOR_SCOPE="TIER_"&amp;$F15)+(ACT_DOOR_SCOPE=$B15)))*SIGN(((ACT_SKU_SCOPE="ALL")+(ACT_SKU_SCOPE=$G15)))*(3&gt;ACT_END)*(ACT_END&gt;0)*IFERROR(ACT_POSTLIFT,0))),0)))</f>
        <v/>
      </c>
      <c r="M15" s="10">
        <f>IF(OR($H15&lt;&gt;"Y",4&lt;$I15),0,IF(SUMPRODUCT(((BULK_ENABLED="Y")*((BULK_TIER="ALL")+(BULK_TIER=$F15))*((BULK_SKU="ALL")+(BULK_SKU=$G15))*(BULK_START&lt;=4)*(BULK_END&gt;=4)))&gt;0,IFERROR(SUMPRODUCT(((BULK_ENABLED="Y")*((BULK_TIER="ALL")+(BULK_TIER=$F15))*((BULK_SKU="ALL")+(BULK_SKU=$G15))*(BULK_START&lt;=4)*(BULK_END&gt;=4))*IFERROR(BULK_VALUE,0))/MAX(1,SUMPRODUCT(((BULK_ENABLED="Y")*((BULK_TIER="ALL")+(BULK_TIER=$F15))*((BULK_SKU="ALL")+(BULK_SKU=$G15))*(BULK_START&lt;=4)*(BULK_END&gt;=4)))),0),ROUND((INDEX(VELOCITY_TABLE,MATCH($F15,TIER_LIST,0),2))*(IF((4-$I15+1)&lt;=0,0,IF((4-$I15+1)=1,RAMP_W1,IF((4-$I15+1)=2,RAMP_W2,IF((4-$I15+1)=3,RAMP_W3,RAMP_W4PLUS)))))*(INDEX(ACTIVE_MULT_TABLE,2,1))*(1+SUMPRODUCT(SIGN(((ACT_DOOR_SCOPE="ALL")+(ACT_DOOR_SCOPE="TIER_"&amp;$F15)+(ACT_DOOR_SCOPE=$B15)))*SIGN(((ACT_SKU_SCOPE="ALL")+(ACT_SKU_SCOPE=$G15)))*(ACT_START&lt;=4)*(ACT_END&gt;=4)*IFERROR(ACT_UPLIFT-1,0)))*(1+SUMPRODUCT(SIGN(((ACT_DOOR_SCOPE="ALL")+(ACT_DOOR_SCOPE="TIER_"&amp;$F15)+(ACT_DOOR_SCOPE=$B15)))*SIGN(((ACT_SKU_SCOPE="ALL")+(ACT_SKU_SCOPE=$G15)))*(4&gt;ACT_END)*(ACT_END&gt;0)*IFERROR(ACT_POSTLIFT,0))),0)))</f>
        <v/>
      </c>
      <c r="N15" s="10">
        <f>IF(OR($H15&lt;&gt;"Y",5&lt;$I15),0,IF(SUMPRODUCT(((BULK_ENABLED="Y")*((BULK_TIER="ALL")+(BULK_TIER=$F15))*((BULK_SKU="ALL")+(BULK_SKU=$G15))*(BULK_START&lt;=5)*(BULK_END&gt;=5)))&gt;0,IFERROR(SUMPRODUCT(((BULK_ENABLED="Y")*((BULK_TIER="ALL")+(BULK_TIER=$F15))*((BULK_SKU="ALL")+(BULK_SKU=$G15))*(BULK_START&lt;=5)*(BULK_END&gt;=5))*IFERROR(BULK_VALUE,0))/MAX(1,SUMPRODUCT(((BULK_ENABLED="Y")*((BULK_TIER="ALL")+(BULK_TIER=$F15))*((BULK_SKU="ALL")+(BULK_SKU=$G15))*(BULK_START&lt;=5)*(BULK_END&gt;=5)))),0),ROUND((INDEX(VELOCITY_TABLE,MATCH($F15,TIER_LIST,0),2))*(IF((5-$I15+1)&lt;=0,0,IF((5-$I15+1)=1,RAMP_W1,IF((5-$I15+1)=2,RAMP_W2,IF((5-$I15+1)=3,RAMP_W3,RAMP_W4PLUS)))))*(INDEX(ACTIVE_MULT_TABLE,2,1))*(1+SUMPRODUCT(SIGN(((ACT_DOOR_SCOPE="ALL")+(ACT_DOOR_SCOPE="TIER_"&amp;$F15)+(ACT_DOOR_SCOPE=$B15)))*SIGN(((ACT_SKU_SCOPE="ALL")+(ACT_SKU_SCOPE=$G15)))*(ACT_START&lt;=5)*(ACT_END&gt;=5)*IFERROR(ACT_UPLIFT-1,0)))*(1+SUMPRODUCT(SIGN(((ACT_DOOR_SCOPE="ALL")+(ACT_DOOR_SCOPE="TIER_"&amp;$F15)+(ACT_DOOR_SCOPE=$B15)))*SIGN(((ACT_SKU_SCOPE="ALL")+(ACT_SKU_SCOPE=$G15)))*(5&gt;ACT_END)*(ACT_END&gt;0)*IFERROR(ACT_POSTLIFT,0))),0)))</f>
        <v/>
      </c>
      <c r="O15" s="10">
        <f>IF(OR($H15&lt;&gt;"Y",6&lt;$I15),0,IF(SUMPRODUCT(((BULK_ENABLED="Y")*((BULK_TIER="ALL")+(BULK_TIER=$F15))*((BULK_SKU="ALL")+(BULK_SKU=$G15))*(BULK_START&lt;=6)*(BULK_END&gt;=6)))&gt;0,IFERROR(SUMPRODUCT(((BULK_ENABLED="Y")*((BULK_TIER="ALL")+(BULK_TIER=$F15))*((BULK_SKU="ALL")+(BULK_SKU=$G15))*(BULK_START&lt;=6)*(BULK_END&gt;=6))*IFERROR(BULK_VALUE,0))/MAX(1,SUMPRODUCT(((BULK_ENABLED="Y")*((BULK_TIER="ALL")+(BULK_TIER=$F15))*((BULK_SKU="ALL")+(BULK_SKU=$G15))*(BULK_START&lt;=6)*(BULK_END&gt;=6)))),0),ROUND((INDEX(VELOCITY_TABLE,MATCH($F15,TIER_LIST,0),2))*(IF((6-$I15+1)&lt;=0,0,IF((6-$I15+1)=1,RAMP_W1,IF((6-$I15+1)=2,RAMP_W2,IF((6-$I15+1)=3,RAMP_W3,RAMP_W4PLUS)))))*(INDEX(ACTIVE_MULT_TABLE,2,1))*(1+SUMPRODUCT(SIGN(((ACT_DOOR_SCOPE="ALL")+(ACT_DOOR_SCOPE="TIER_"&amp;$F15)+(ACT_DOOR_SCOPE=$B15)))*SIGN(((ACT_SKU_SCOPE="ALL")+(ACT_SKU_SCOPE=$G15)))*(ACT_START&lt;=6)*(ACT_END&gt;=6)*IFERROR(ACT_UPLIFT-1,0)))*(1+SUMPRODUCT(SIGN(((ACT_DOOR_SCOPE="ALL")+(ACT_DOOR_SCOPE="TIER_"&amp;$F15)+(ACT_DOOR_SCOPE=$B15)))*SIGN(((ACT_SKU_SCOPE="ALL")+(ACT_SKU_SCOPE=$G15)))*(6&gt;ACT_END)*(ACT_END&gt;0)*IFERROR(ACT_POSTLIFT,0))),0)))</f>
        <v/>
      </c>
      <c r="P15" s="10">
        <f>IF(OR($H15&lt;&gt;"Y",7&lt;$I15),0,IF(SUMPRODUCT(((BULK_ENABLED="Y")*((BULK_TIER="ALL")+(BULK_TIER=$F15))*((BULK_SKU="ALL")+(BULK_SKU=$G15))*(BULK_START&lt;=7)*(BULK_END&gt;=7)))&gt;0,IFERROR(SUMPRODUCT(((BULK_ENABLED="Y")*((BULK_TIER="ALL")+(BULK_TIER=$F15))*((BULK_SKU="ALL")+(BULK_SKU=$G15))*(BULK_START&lt;=7)*(BULK_END&gt;=7))*IFERROR(BULK_VALUE,0))/MAX(1,SUMPRODUCT(((BULK_ENABLED="Y")*((BULK_TIER="ALL")+(BULK_TIER=$F15))*((BULK_SKU="ALL")+(BULK_SKU=$G15))*(BULK_START&lt;=7)*(BULK_END&gt;=7)))),0),ROUND((INDEX(VELOCITY_TABLE,MATCH($F15,TIER_LIST,0),2))*(IF((7-$I15+1)&lt;=0,0,IF((7-$I15+1)=1,RAMP_W1,IF((7-$I15+1)=2,RAMP_W2,IF((7-$I15+1)=3,RAMP_W3,RAMP_W4PLUS)))))*(INDEX(ACTIVE_MULT_TABLE,2,1))*(1+SUMPRODUCT(SIGN(((ACT_DOOR_SCOPE="ALL")+(ACT_DOOR_SCOPE="TIER_"&amp;$F15)+(ACT_DOOR_SCOPE=$B15)))*SIGN(((ACT_SKU_SCOPE="ALL")+(ACT_SKU_SCOPE=$G15)))*(ACT_START&lt;=7)*(ACT_END&gt;=7)*IFERROR(ACT_UPLIFT-1,0)))*(1+SUMPRODUCT(SIGN(((ACT_DOOR_SCOPE="ALL")+(ACT_DOOR_SCOPE="TIER_"&amp;$F15)+(ACT_DOOR_SCOPE=$B15)))*SIGN(((ACT_SKU_SCOPE="ALL")+(ACT_SKU_SCOPE=$G15)))*(7&gt;ACT_END)*(ACT_END&gt;0)*IFERROR(ACT_POSTLIFT,0))),0)))</f>
        <v/>
      </c>
      <c r="Q15" s="10">
        <f>IF(OR($H15&lt;&gt;"Y",8&lt;$I15),0,IF(SUMPRODUCT(((BULK_ENABLED="Y")*((BULK_TIER="ALL")+(BULK_TIER=$F15))*((BULK_SKU="ALL")+(BULK_SKU=$G15))*(BULK_START&lt;=8)*(BULK_END&gt;=8)))&gt;0,IFERROR(SUMPRODUCT(((BULK_ENABLED="Y")*((BULK_TIER="ALL")+(BULK_TIER=$F15))*((BULK_SKU="ALL")+(BULK_SKU=$G15))*(BULK_START&lt;=8)*(BULK_END&gt;=8))*IFERROR(BULK_VALUE,0))/MAX(1,SUMPRODUCT(((BULK_ENABLED="Y")*((BULK_TIER="ALL")+(BULK_TIER=$F15))*((BULK_SKU="ALL")+(BULK_SKU=$G15))*(BULK_START&lt;=8)*(BULK_END&gt;=8)))),0),ROUND((INDEX(VELOCITY_TABLE,MATCH($F15,TIER_LIST,0),2))*(IF((8-$I15+1)&lt;=0,0,IF((8-$I15+1)=1,RAMP_W1,IF((8-$I15+1)=2,RAMP_W2,IF((8-$I15+1)=3,RAMP_W3,RAMP_W4PLUS)))))*(INDEX(ACTIVE_MULT_TABLE,2,1))*(1+SUMPRODUCT(SIGN(((ACT_DOOR_SCOPE="ALL")+(ACT_DOOR_SCOPE="TIER_"&amp;$F15)+(ACT_DOOR_SCOPE=$B15)))*SIGN(((ACT_SKU_SCOPE="ALL")+(ACT_SKU_SCOPE=$G15)))*(ACT_START&lt;=8)*(ACT_END&gt;=8)*IFERROR(ACT_UPLIFT-1,0)))*(1+SUMPRODUCT(SIGN(((ACT_DOOR_SCOPE="ALL")+(ACT_DOOR_SCOPE="TIER_"&amp;$F15)+(ACT_DOOR_SCOPE=$B15)))*SIGN(((ACT_SKU_SCOPE="ALL")+(ACT_SKU_SCOPE=$G15)))*(8&gt;ACT_END)*(ACT_END&gt;0)*IFERROR(ACT_POSTLIFT,0))),0)))</f>
        <v/>
      </c>
      <c r="R15" s="10">
        <f>IF(OR($H15&lt;&gt;"Y",9&lt;$I15),0,IF(SUMPRODUCT(((BULK_ENABLED="Y")*((BULK_TIER="ALL")+(BULK_TIER=$F15))*((BULK_SKU="ALL")+(BULK_SKU=$G15))*(BULK_START&lt;=9)*(BULK_END&gt;=9)))&gt;0,IFERROR(SUMPRODUCT(((BULK_ENABLED="Y")*((BULK_TIER="ALL")+(BULK_TIER=$F15))*((BULK_SKU="ALL")+(BULK_SKU=$G15))*(BULK_START&lt;=9)*(BULK_END&gt;=9))*IFERROR(BULK_VALUE,0))/MAX(1,SUMPRODUCT(((BULK_ENABLED="Y")*((BULK_TIER="ALL")+(BULK_TIER=$F15))*((BULK_SKU="ALL")+(BULK_SKU=$G15))*(BULK_START&lt;=9)*(BULK_END&gt;=9)))),0),ROUND((INDEX(VELOCITY_TABLE,MATCH($F15,TIER_LIST,0),2))*(IF((9-$I15+1)&lt;=0,0,IF((9-$I15+1)=1,RAMP_W1,IF((9-$I15+1)=2,RAMP_W2,IF((9-$I15+1)=3,RAMP_W3,RAMP_W4PLUS)))))*(INDEX(ACTIVE_MULT_TABLE,2,1))*(1+SUMPRODUCT(SIGN(((ACT_DOOR_SCOPE="ALL")+(ACT_DOOR_SCOPE="TIER_"&amp;$F15)+(ACT_DOOR_SCOPE=$B15)))*SIGN(((ACT_SKU_SCOPE="ALL")+(ACT_SKU_SCOPE=$G15)))*(ACT_START&lt;=9)*(ACT_END&gt;=9)*IFERROR(ACT_UPLIFT-1,0)))*(1+SUMPRODUCT(SIGN(((ACT_DOOR_SCOPE="ALL")+(ACT_DOOR_SCOPE="TIER_"&amp;$F15)+(ACT_DOOR_SCOPE=$B15)))*SIGN(((ACT_SKU_SCOPE="ALL")+(ACT_SKU_SCOPE=$G15)))*(9&gt;ACT_END)*(ACT_END&gt;0)*IFERROR(ACT_POSTLIFT,0))),0)))</f>
        <v/>
      </c>
      <c r="S15" s="10">
        <f>IF(OR($H15&lt;&gt;"Y",10&lt;$I15),0,IF(SUMPRODUCT(((BULK_ENABLED="Y")*((BULK_TIER="ALL")+(BULK_TIER=$F15))*((BULK_SKU="ALL")+(BULK_SKU=$G15))*(BULK_START&lt;=10)*(BULK_END&gt;=10)))&gt;0,IFERROR(SUMPRODUCT(((BULK_ENABLED="Y")*((BULK_TIER="ALL")+(BULK_TIER=$F15))*((BULK_SKU="ALL")+(BULK_SKU=$G15))*(BULK_START&lt;=10)*(BULK_END&gt;=10))*IFERROR(BULK_VALUE,0))/MAX(1,SUMPRODUCT(((BULK_ENABLED="Y")*((BULK_TIER="ALL")+(BULK_TIER=$F15))*((BULK_SKU="ALL")+(BULK_SKU=$G15))*(BULK_START&lt;=10)*(BULK_END&gt;=10)))),0),ROUND((INDEX(VELOCITY_TABLE,MATCH($F15,TIER_LIST,0),2))*(IF((10-$I15+1)&lt;=0,0,IF((10-$I15+1)=1,RAMP_W1,IF((10-$I15+1)=2,RAMP_W2,IF((10-$I15+1)=3,RAMP_W3,RAMP_W4PLUS)))))*(INDEX(ACTIVE_MULT_TABLE,2,1))*(1+SUMPRODUCT(SIGN(((ACT_DOOR_SCOPE="ALL")+(ACT_DOOR_SCOPE="TIER_"&amp;$F15)+(ACT_DOOR_SCOPE=$B15)))*SIGN(((ACT_SKU_SCOPE="ALL")+(ACT_SKU_SCOPE=$G15)))*(ACT_START&lt;=10)*(ACT_END&gt;=10)*IFERROR(ACT_UPLIFT-1,0)))*(1+SUMPRODUCT(SIGN(((ACT_DOOR_SCOPE="ALL")+(ACT_DOOR_SCOPE="TIER_"&amp;$F15)+(ACT_DOOR_SCOPE=$B15)))*SIGN(((ACT_SKU_SCOPE="ALL")+(ACT_SKU_SCOPE=$G15)))*(10&gt;ACT_END)*(ACT_END&gt;0)*IFERROR(ACT_POSTLIFT,0))),0)))</f>
        <v/>
      </c>
      <c r="T15" s="10">
        <f>IF(OR($H15&lt;&gt;"Y",11&lt;$I15),0,IF(SUMPRODUCT(((BULK_ENABLED="Y")*((BULK_TIER="ALL")+(BULK_TIER=$F15))*((BULK_SKU="ALL")+(BULK_SKU=$G15))*(BULK_START&lt;=11)*(BULK_END&gt;=11)))&gt;0,IFERROR(SUMPRODUCT(((BULK_ENABLED="Y")*((BULK_TIER="ALL")+(BULK_TIER=$F15))*((BULK_SKU="ALL")+(BULK_SKU=$G15))*(BULK_START&lt;=11)*(BULK_END&gt;=11))*IFERROR(BULK_VALUE,0))/MAX(1,SUMPRODUCT(((BULK_ENABLED="Y")*((BULK_TIER="ALL")+(BULK_TIER=$F15))*((BULK_SKU="ALL")+(BULK_SKU=$G15))*(BULK_START&lt;=11)*(BULK_END&gt;=11)))),0),ROUND((INDEX(VELOCITY_TABLE,MATCH($F15,TIER_LIST,0),2))*(IF((11-$I15+1)&lt;=0,0,IF((11-$I15+1)=1,RAMP_W1,IF((11-$I15+1)=2,RAMP_W2,IF((11-$I15+1)=3,RAMP_W3,RAMP_W4PLUS)))))*(INDEX(ACTIVE_MULT_TABLE,2,1))*(1+SUMPRODUCT(SIGN(((ACT_DOOR_SCOPE="ALL")+(ACT_DOOR_SCOPE="TIER_"&amp;$F15)+(ACT_DOOR_SCOPE=$B15)))*SIGN(((ACT_SKU_SCOPE="ALL")+(ACT_SKU_SCOPE=$G15)))*(ACT_START&lt;=11)*(ACT_END&gt;=11)*IFERROR(ACT_UPLIFT-1,0)))*(1+SUMPRODUCT(SIGN(((ACT_DOOR_SCOPE="ALL")+(ACT_DOOR_SCOPE="TIER_"&amp;$F15)+(ACT_DOOR_SCOPE=$B15)))*SIGN(((ACT_SKU_SCOPE="ALL")+(ACT_SKU_SCOPE=$G15)))*(11&gt;ACT_END)*(ACT_END&gt;0)*IFERROR(ACT_POSTLIFT,0))),0)))</f>
        <v/>
      </c>
      <c r="U15" s="10">
        <f>IF(OR($H15&lt;&gt;"Y",12&lt;$I15),0,IF(SUMPRODUCT(((BULK_ENABLED="Y")*((BULK_TIER="ALL")+(BULK_TIER=$F15))*((BULK_SKU="ALL")+(BULK_SKU=$G15))*(BULK_START&lt;=12)*(BULK_END&gt;=12)))&gt;0,IFERROR(SUMPRODUCT(((BULK_ENABLED="Y")*((BULK_TIER="ALL")+(BULK_TIER=$F15))*((BULK_SKU="ALL")+(BULK_SKU=$G15))*(BULK_START&lt;=12)*(BULK_END&gt;=12))*IFERROR(BULK_VALUE,0))/MAX(1,SUMPRODUCT(((BULK_ENABLED="Y")*((BULK_TIER="ALL")+(BULK_TIER=$F15))*((BULK_SKU="ALL")+(BULK_SKU=$G15))*(BULK_START&lt;=12)*(BULK_END&gt;=12)))),0),ROUND((INDEX(VELOCITY_TABLE,MATCH($F15,TIER_LIST,0),2))*(IF((12-$I15+1)&lt;=0,0,IF((12-$I15+1)=1,RAMP_W1,IF((12-$I15+1)=2,RAMP_W2,IF((12-$I15+1)=3,RAMP_W3,RAMP_W4PLUS)))))*(INDEX(ACTIVE_MULT_TABLE,2,1))*(1+SUMPRODUCT(SIGN(((ACT_DOOR_SCOPE="ALL")+(ACT_DOOR_SCOPE="TIER_"&amp;$F15)+(ACT_DOOR_SCOPE=$B15)))*SIGN(((ACT_SKU_SCOPE="ALL")+(ACT_SKU_SCOPE=$G15)))*(ACT_START&lt;=12)*(ACT_END&gt;=12)*IFERROR(ACT_UPLIFT-1,0)))*(1+SUMPRODUCT(SIGN(((ACT_DOOR_SCOPE="ALL")+(ACT_DOOR_SCOPE="TIER_"&amp;$F15)+(ACT_DOOR_SCOPE=$B15)))*SIGN(((ACT_SKU_SCOPE="ALL")+(ACT_SKU_SCOPE=$G15)))*(12&gt;ACT_END)*(ACT_END&gt;0)*IFERROR(ACT_POSTLIFT,0))),0)))</f>
        <v/>
      </c>
      <c r="V15" s="10">
        <f>IF(OR($H15&lt;&gt;"Y",13&lt;$I15),0,IF(SUMPRODUCT(((BULK_ENABLED="Y")*((BULK_TIER="ALL")+(BULK_TIER=$F15))*((BULK_SKU="ALL")+(BULK_SKU=$G15))*(BULK_START&lt;=13)*(BULK_END&gt;=13)))&gt;0,IFERROR(SUMPRODUCT(((BULK_ENABLED="Y")*((BULK_TIER="ALL")+(BULK_TIER=$F15))*((BULK_SKU="ALL")+(BULK_SKU=$G15))*(BULK_START&lt;=13)*(BULK_END&gt;=13))*IFERROR(BULK_VALUE,0))/MAX(1,SUMPRODUCT(((BULK_ENABLED="Y")*((BULK_TIER="ALL")+(BULK_TIER=$F15))*((BULK_SKU="ALL")+(BULK_SKU=$G15))*(BULK_START&lt;=13)*(BULK_END&gt;=13)))),0),ROUND((INDEX(VELOCITY_TABLE,MATCH($F15,TIER_LIST,0),2))*(IF((13-$I15+1)&lt;=0,0,IF((13-$I15+1)=1,RAMP_W1,IF((13-$I15+1)=2,RAMP_W2,IF((13-$I15+1)=3,RAMP_W3,RAMP_W4PLUS)))))*(INDEX(ACTIVE_MULT_TABLE,2,1))*(1+SUMPRODUCT(SIGN(((ACT_DOOR_SCOPE="ALL")+(ACT_DOOR_SCOPE="TIER_"&amp;$F15)+(ACT_DOOR_SCOPE=$B15)))*SIGN(((ACT_SKU_SCOPE="ALL")+(ACT_SKU_SCOPE=$G15)))*(ACT_START&lt;=13)*(ACT_END&gt;=13)*IFERROR(ACT_UPLIFT-1,0)))*(1+SUMPRODUCT(SIGN(((ACT_DOOR_SCOPE="ALL")+(ACT_DOOR_SCOPE="TIER_"&amp;$F15)+(ACT_DOOR_SCOPE=$B15)))*SIGN(((ACT_SKU_SCOPE="ALL")+(ACT_SKU_SCOPE=$G15)))*(13&gt;ACT_END)*(ACT_END&gt;0)*IFERROR(ACT_POSTLIFT,0))),0)))</f>
        <v/>
      </c>
    </row>
    <row r="16">
      <c r="A16" t="inlineStr">
        <is>
          <t>R0012</t>
        </is>
      </c>
      <c r="B16">
        <f>Doors!$A$8</f>
        <v/>
      </c>
      <c r="C16">
        <f>Doors!$C$8</f>
        <v/>
      </c>
      <c r="D16">
        <f>Doors!$B$8</f>
        <v/>
      </c>
      <c r="E16">
        <f>Doors!$E$8</f>
        <v/>
      </c>
      <c r="F16">
        <f>Doors!$F$8</f>
        <v/>
      </c>
      <c r="G16" t="inlineStr">
        <is>
          <t>Raspberry</t>
        </is>
      </c>
      <c r="H16">
        <f>Doors!$I$8</f>
        <v/>
      </c>
      <c r="I16">
        <f>Doors!$J$8</f>
        <v/>
      </c>
      <c r="J16" s="10">
        <f>IF(OR($H16&lt;&gt;"Y",1&lt;$I16),0,IF(SUMPRODUCT(((BULK_ENABLED="Y")*((BULK_TIER="ALL")+(BULK_TIER=$F16))*((BULK_SKU="ALL")+(BULK_SKU=$G16))*(BULK_START&lt;=1)*(BULK_END&gt;=1)))&gt;0,IFERROR(SUMPRODUCT(((BULK_ENABLED="Y")*((BULK_TIER="ALL")+(BULK_TIER=$F16))*((BULK_SKU="ALL")+(BULK_SKU=$G16))*(BULK_START&lt;=1)*(BULK_END&gt;=1))*IFERROR(BULK_VALUE,0))/MAX(1,SUMPRODUCT(((BULK_ENABLED="Y")*((BULK_TIER="ALL")+(BULK_TIER=$F16))*((BULK_SKU="ALL")+(BULK_SKU=$G16))*(BULK_START&lt;=1)*(BULK_END&gt;=1)))),0),ROUND((INDEX(VELOCITY_TABLE,MATCH($F16,TIER_LIST,0),3))*(IF((1-$I16+1)&lt;=0,0,IF((1-$I16+1)=1,RAMP_W1,IF((1-$I16+1)=2,RAMP_W2,IF((1-$I16+1)=3,RAMP_W3,RAMP_W4PLUS)))))*(INDEX(ACTIVE_MULT_TABLE,3,1))*(1+SUMPRODUCT(SIGN(((ACT_DOOR_SCOPE="ALL")+(ACT_DOOR_SCOPE="TIER_"&amp;$F16)+(ACT_DOOR_SCOPE=$B16)))*SIGN(((ACT_SKU_SCOPE="ALL")+(ACT_SKU_SCOPE=$G16)))*(ACT_START&lt;=1)*(ACT_END&gt;=1)*IFERROR(ACT_UPLIFT-1,0)))*(1+SUMPRODUCT(SIGN(((ACT_DOOR_SCOPE="ALL")+(ACT_DOOR_SCOPE="TIER_"&amp;$F16)+(ACT_DOOR_SCOPE=$B16)))*SIGN(((ACT_SKU_SCOPE="ALL")+(ACT_SKU_SCOPE=$G16)))*(1&gt;ACT_END)*(ACT_END&gt;0)*IFERROR(ACT_POSTLIFT,0))),0)))</f>
        <v/>
      </c>
      <c r="K16" s="10">
        <f>IF(OR($H16&lt;&gt;"Y",2&lt;$I16),0,IF(SUMPRODUCT(((BULK_ENABLED="Y")*((BULK_TIER="ALL")+(BULK_TIER=$F16))*((BULK_SKU="ALL")+(BULK_SKU=$G16))*(BULK_START&lt;=2)*(BULK_END&gt;=2)))&gt;0,IFERROR(SUMPRODUCT(((BULK_ENABLED="Y")*((BULK_TIER="ALL")+(BULK_TIER=$F16))*((BULK_SKU="ALL")+(BULK_SKU=$G16))*(BULK_START&lt;=2)*(BULK_END&gt;=2))*IFERROR(BULK_VALUE,0))/MAX(1,SUMPRODUCT(((BULK_ENABLED="Y")*((BULK_TIER="ALL")+(BULK_TIER=$F16))*((BULK_SKU="ALL")+(BULK_SKU=$G16))*(BULK_START&lt;=2)*(BULK_END&gt;=2)))),0),ROUND((INDEX(VELOCITY_TABLE,MATCH($F16,TIER_LIST,0),3))*(IF((2-$I16+1)&lt;=0,0,IF((2-$I16+1)=1,RAMP_W1,IF((2-$I16+1)=2,RAMP_W2,IF((2-$I16+1)=3,RAMP_W3,RAMP_W4PLUS)))))*(INDEX(ACTIVE_MULT_TABLE,3,1))*(1+SUMPRODUCT(SIGN(((ACT_DOOR_SCOPE="ALL")+(ACT_DOOR_SCOPE="TIER_"&amp;$F16)+(ACT_DOOR_SCOPE=$B16)))*SIGN(((ACT_SKU_SCOPE="ALL")+(ACT_SKU_SCOPE=$G16)))*(ACT_START&lt;=2)*(ACT_END&gt;=2)*IFERROR(ACT_UPLIFT-1,0)))*(1+SUMPRODUCT(SIGN(((ACT_DOOR_SCOPE="ALL")+(ACT_DOOR_SCOPE="TIER_"&amp;$F16)+(ACT_DOOR_SCOPE=$B16)))*SIGN(((ACT_SKU_SCOPE="ALL")+(ACT_SKU_SCOPE=$G16)))*(2&gt;ACT_END)*(ACT_END&gt;0)*IFERROR(ACT_POSTLIFT,0))),0)))</f>
        <v/>
      </c>
      <c r="L16" s="10">
        <f>IF(OR($H16&lt;&gt;"Y",3&lt;$I16),0,IF(SUMPRODUCT(((BULK_ENABLED="Y")*((BULK_TIER="ALL")+(BULK_TIER=$F16))*((BULK_SKU="ALL")+(BULK_SKU=$G16))*(BULK_START&lt;=3)*(BULK_END&gt;=3)))&gt;0,IFERROR(SUMPRODUCT(((BULK_ENABLED="Y")*((BULK_TIER="ALL")+(BULK_TIER=$F16))*((BULK_SKU="ALL")+(BULK_SKU=$G16))*(BULK_START&lt;=3)*(BULK_END&gt;=3))*IFERROR(BULK_VALUE,0))/MAX(1,SUMPRODUCT(((BULK_ENABLED="Y")*((BULK_TIER="ALL")+(BULK_TIER=$F16))*((BULK_SKU="ALL")+(BULK_SKU=$G16))*(BULK_START&lt;=3)*(BULK_END&gt;=3)))),0),ROUND((INDEX(VELOCITY_TABLE,MATCH($F16,TIER_LIST,0),3))*(IF((3-$I16+1)&lt;=0,0,IF((3-$I16+1)=1,RAMP_W1,IF((3-$I16+1)=2,RAMP_W2,IF((3-$I16+1)=3,RAMP_W3,RAMP_W4PLUS)))))*(INDEX(ACTIVE_MULT_TABLE,3,1))*(1+SUMPRODUCT(SIGN(((ACT_DOOR_SCOPE="ALL")+(ACT_DOOR_SCOPE="TIER_"&amp;$F16)+(ACT_DOOR_SCOPE=$B16)))*SIGN(((ACT_SKU_SCOPE="ALL")+(ACT_SKU_SCOPE=$G16)))*(ACT_START&lt;=3)*(ACT_END&gt;=3)*IFERROR(ACT_UPLIFT-1,0)))*(1+SUMPRODUCT(SIGN(((ACT_DOOR_SCOPE="ALL")+(ACT_DOOR_SCOPE="TIER_"&amp;$F16)+(ACT_DOOR_SCOPE=$B16)))*SIGN(((ACT_SKU_SCOPE="ALL")+(ACT_SKU_SCOPE=$G16)))*(3&gt;ACT_END)*(ACT_END&gt;0)*IFERROR(ACT_POSTLIFT,0))),0)))</f>
        <v/>
      </c>
      <c r="M16" s="10">
        <f>IF(OR($H16&lt;&gt;"Y",4&lt;$I16),0,IF(SUMPRODUCT(((BULK_ENABLED="Y")*((BULK_TIER="ALL")+(BULK_TIER=$F16))*((BULK_SKU="ALL")+(BULK_SKU=$G16))*(BULK_START&lt;=4)*(BULK_END&gt;=4)))&gt;0,IFERROR(SUMPRODUCT(((BULK_ENABLED="Y")*((BULK_TIER="ALL")+(BULK_TIER=$F16))*((BULK_SKU="ALL")+(BULK_SKU=$G16))*(BULK_START&lt;=4)*(BULK_END&gt;=4))*IFERROR(BULK_VALUE,0))/MAX(1,SUMPRODUCT(((BULK_ENABLED="Y")*((BULK_TIER="ALL")+(BULK_TIER=$F16))*((BULK_SKU="ALL")+(BULK_SKU=$G16))*(BULK_START&lt;=4)*(BULK_END&gt;=4)))),0),ROUND((INDEX(VELOCITY_TABLE,MATCH($F16,TIER_LIST,0),3))*(IF((4-$I16+1)&lt;=0,0,IF((4-$I16+1)=1,RAMP_W1,IF((4-$I16+1)=2,RAMP_W2,IF((4-$I16+1)=3,RAMP_W3,RAMP_W4PLUS)))))*(INDEX(ACTIVE_MULT_TABLE,3,1))*(1+SUMPRODUCT(SIGN(((ACT_DOOR_SCOPE="ALL")+(ACT_DOOR_SCOPE="TIER_"&amp;$F16)+(ACT_DOOR_SCOPE=$B16)))*SIGN(((ACT_SKU_SCOPE="ALL")+(ACT_SKU_SCOPE=$G16)))*(ACT_START&lt;=4)*(ACT_END&gt;=4)*IFERROR(ACT_UPLIFT-1,0)))*(1+SUMPRODUCT(SIGN(((ACT_DOOR_SCOPE="ALL")+(ACT_DOOR_SCOPE="TIER_"&amp;$F16)+(ACT_DOOR_SCOPE=$B16)))*SIGN(((ACT_SKU_SCOPE="ALL")+(ACT_SKU_SCOPE=$G16)))*(4&gt;ACT_END)*(ACT_END&gt;0)*IFERROR(ACT_POSTLIFT,0))),0)))</f>
        <v/>
      </c>
      <c r="N16" s="10">
        <f>IF(OR($H16&lt;&gt;"Y",5&lt;$I16),0,IF(SUMPRODUCT(((BULK_ENABLED="Y")*((BULK_TIER="ALL")+(BULK_TIER=$F16))*((BULK_SKU="ALL")+(BULK_SKU=$G16))*(BULK_START&lt;=5)*(BULK_END&gt;=5)))&gt;0,IFERROR(SUMPRODUCT(((BULK_ENABLED="Y")*((BULK_TIER="ALL")+(BULK_TIER=$F16))*((BULK_SKU="ALL")+(BULK_SKU=$G16))*(BULK_START&lt;=5)*(BULK_END&gt;=5))*IFERROR(BULK_VALUE,0))/MAX(1,SUMPRODUCT(((BULK_ENABLED="Y")*((BULK_TIER="ALL")+(BULK_TIER=$F16))*((BULK_SKU="ALL")+(BULK_SKU=$G16))*(BULK_START&lt;=5)*(BULK_END&gt;=5)))),0),ROUND((INDEX(VELOCITY_TABLE,MATCH($F16,TIER_LIST,0),3))*(IF((5-$I16+1)&lt;=0,0,IF((5-$I16+1)=1,RAMP_W1,IF((5-$I16+1)=2,RAMP_W2,IF((5-$I16+1)=3,RAMP_W3,RAMP_W4PLUS)))))*(INDEX(ACTIVE_MULT_TABLE,3,1))*(1+SUMPRODUCT(SIGN(((ACT_DOOR_SCOPE="ALL")+(ACT_DOOR_SCOPE="TIER_"&amp;$F16)+(ACT_DOOR_SCOPE=$B16)))*SIGN(((ACT_SKU_SCOPE="ALL")+(ACT_SKU_SCOPE=$G16)))*(ACT_START&lt;=5)*(ACT_END&gt;=5)*IFERROR(ACT_UPLIFT-1,0)))*(1+SUMPRODUCT(SIGN(((ACT_DOOR_SCOPE="ALL")+(ACT_DOOR_SCOPE="TIER_"&amp;$F16)+(ACT_DOOR_SCOPE=$B16)))*SIGN(((ACT_SKU_SCOPE="ALL")+(ACT_SKU_SCOPE=$G16)))*(5&gt;ACT_END)*(ACT_END&gt;0)*IFERROR(ACT_POSTLIFT,0))),0)))</f>
        <v/>
      </c>
      <c r="O16" s="10">
        <f>IF(OR($H16&lt;&gt;"Y",6&lt;$I16),0,IF(SUMPRODUCT(((BULK_ENABLED="Y")*((BULK_TIER="ALL")+(BULK_TIER=$F16))*((BULK_SKU="ALL")+(BULK_SKU=$G16))*(BULK_START&lt;=6)*(BULK_END&gt;=6)))&gt;0,IFERROR(SUMPRODUCT(((BULK_ENABLED="Y")*((BULK_TIER="ALL")+(BULK_TIER=$F16))*((BULK_SKU="ALL")+(BULK_SKU=$G16))*(BULK_START&lt;=6)*(BULK_END&gt;=6))*IFERROR(BULK_VALUE,0))/MAX(1,SUMPRODUCT(((BULK_ENABLED="Y")*((BULK_TIER="ALL")+(BULK_TIER=$F16))*((BULK_SKU="ALL")+(BULK_SKU=$G16))*(BULK_START&lt;=6)*(BULK_END&gt;=6)))),0),ROUND((INDEX(VELOCITY_TABLE,MATCH($F16,TIER_LIST,0),3))*(IF((6-$I16+1)&lt;=0,0,IF((6-$I16+1)=1,RAMP_W1,IF((6-$I16+1)=2,RAMP_W2,IF((6-$I16+1)=3,RAMP_W3,RAMP_W4PLUS)))))*(INDEX(ACTIVE_MULT_TABLE,3,1))*(1+SUMPRODUCT(SIGN(((ACT_DOOR_SCOPE="ALL")+(ACT_DOOR_SCOPE="TIER_"&amp;$F16)+(ACT_DOOR_SCOPE=$B16)))*SIGN(((ACT_SKU_SCOPE="ALL")+(ACT_SKU_SCOPE=$G16)))*(ACT_START&lt;=6)*(ACT_END&gt;=6)*IFERROR(ACT_UPLIFT-1,0)))*(1+SUMPRODUCT(SIGN(((ACT_DOOR_SCOPE="ALL")+(ACT_DOOR_SCOPE="TIER_"&amp;$F16)+(ACT_DOOR_SCOPE=$B16)))*SIGN(((ACT_SKU_SCOPE="ALL")+(ACT_SKU_SCOPE=$G16)))*(6&gt;ACT_END)*(ACT_END&gt;0)*IFERROR(ACT_POSTLIFT,0))),0)))</f>
        <v/>
      </c>
      <c r="P16" s="10">
        <f>IF(OR($H16&lt;&gt;"Y",7&lt;$I16),0,IF(SUMPRODUCT(((BULK_ENABLED="Y")*((BULK_TIER="ALL")+(BULK_TIER=$F16))*((BULK_SKU="ALL")+(BULK_SKU=$G16))*(BULK_START&lt;=7)*(BULK_END&gt;=7)))&gt;0,IFERROR(SUMPRODUCT(((BULK_ENABLED="Y")*((BULK_TIER="ALL")+(BULK_TIER=$F16))*((BULK_SKU="ALL")+(BULK_SKU=$G16))*(BULK_START&lt;=7)*(BULK_END&gt;=7))*IFERROR(BULK_VALUE,0))/MAX(1,SUMPRODUCT(((BULK_ENABLED="Y")*((BULK_TIER="ALL")+(BULK_TIER=$F16))*((BULK_SKU="ALL")+(BULK_SKU=$G16))*(BULK_START&lt;=7)*(BULK_END&gt;=7)))),0),ROUND((INDEX(VELOCITY_TABLE,MATCH($F16,TIER_LIST,0),3))*(IF((7-$I16+1)&lt;=0,0,IF((7-$I16+1)=1,RAMP_W1,IF((7-$I16+1)=2,RAMP_W2,IF((7-$I16+1)=3,RAMP_W3,RAMP_W4PLUS)))))*(INDEX(ACTIVE_MULT_TABLE,3,1))*(1+SUMPRODUCT(SIGN(((ACT_DOOR_SCOPE="ALL")+(ACT_DOOR_SCOPE="TIER_"&amp;$F16)+(ACT_DOOR_SCOPE=$B16)))*SIGN(((ACT_SKU_SCOPE="ALL")+(ACT_SKU_SCOPE=$G16)))*(ACT_START&lt;=7)*(ACT_END&gt;=7)*IFERROR(ACT_UPLIFT-1,0)))*(1+SUMPRODUCT(SIGN(((ACT_DOOR_SCOPE="ALL")+(ACT_DOOR_SCOPE="TIER_"&amp;$F16)+(ACT_DOOR_SCOPE=$B16)))*SIGN(((ACT_SKU_SCOPE="ALL")+(ACT_SKU_SCOPE=$G16)))*(7&gt;ACT_END)*(ACT_END&gt;0)*IFERROR(ACT_POSTLIFT,0))),0)))</f>
        <v/>
      </c>
      <c r="Q16" s="10">
        <f>IF(OR($H16&lt;&gt;"Y",8&lt;$I16),0,IF(SUMPRODUCT(((BULK_ENABLED="Y")*((BULK_TIER="ALL")+(BULK_TIER=$F16))*((BULK_SKU="ALL")+(BULK_SKU=$G16))*(BULK_START&lt;=8)*(BULK_END&gt;=8)))&gt;0,IFERROR(SUMPRODUCT(((BULK_ENABLED="Y")*((BULK_TIER="ALL")+(BULK_TIER=$F16))*((BULK_SKU="ALL")+(BULK_SKU=$G16))*(BULK_START&lt;=8)*(BULK_END&gt;=8))*IFERROR(BULK_VALUE,0))/MAX(1,SUMPRODUCT(((BULK_ENABLED="Y")*((BULK_TIER="ALL")+(BULK_TIER=$F16))*((BULK_SKU="ALL")+(BULK_SKU=$G16))*(BULK_START&lt;=8)*(BULK_END&gt;=8)))),0),ROUND((INDEX(VELOCITY_TABLE,MATCH($F16,TIER_LIST,0),3))*(IF((8-$I16+1)&lt;=0,0,IF((8-$I16+1)=1,RAMP_W1,IF((8-$I16+1)=2,RAMP_W2,IF((8-$I16+1)=3,RAMP_W3,RAMP_W4PLUS)))))*(INDEX(ACTIVE_MULT_TABLE,3,1))*(1+SUMPRODUCT(SIGN(((ACT_DOOR_SCOPE="ALL")+(ACT_DOOR_SCOPE="TIER_"&amp;$F16)+(ACT_DOOR_SCOPE=$B16)))*SIGN(((ACT_SKU_SCOPE="ALL")+(ACT_SKU_SCOPE=$G16)))*(ACT_START&lt;=8)*(ACT_END&gt;=8)*IFERROR(ACT_UPLIFT-1,0)))*(1+SUMPRODUCT(SIGN(((ACT_DOOR_SCOPE="ALL")+(ACT_DOOR_SCOPE="TIER_"&amp;$F16)+(ACT_DOOR_SCOPE=$B16)))*SIGN(((ACT_SKU_SCOPE="ALL")+(ACT_SKU_SCOPE=$G16)))*(8&gt;ACT_END)*(ACT_END&gt;0)*IFERROR(ACT_POSTLIFT,0))),0)))</f>
        <v/>
      </c>
      <c r="R16" s="10">
        <f>IF(OR($H16&lt;&gt;"Y",9&lt;$I16),0,IF(SUMPRODUCT(((BULK_ENABLED="Y")*((BULK_TIER="ALL")+(BULK_TIER=$F16))*((BULK_SKU="ALL")+(BULK_SKU=$G16))*(BULK_START&lt;=9)*(BULK_END&gt;=9)))&gt;0,IFERROR(SUMPRODUCT(((BULK_ENABLED="Y")*((BULK_TIER="ALL")+(BULK_TIER=$F16))*((BULK_SKU="ALL")+(BULK_SKU=$G16))*(BULK_START&lt;=9)*(BULK_END&gt;=9))*IFERROR(BULK_VALUE,0))/MAX(1,SUMPRODUCT(((BULK_ENABLED="Y")*((BULK_TIER="ALL")+(BULK_TIER=$F16))*((BULK_SKU="ALL")+(BULK_SKU=$G16))*(BULK_START&lt;=9)*(BULK_END&gt;=9)))),0),ROUND((INDEX(VELOCITY_TABLE,MATCH($F16,TIER_LIST,0),3))*(IF((9-$I16+1)&lt;=0,0,IF((9-$I16+1)=1,RAMP_W1,IF((9-$I16+1)=2,RAMP_W2,IF((9-$I16+1)=3,RAMP_W3,RAMP_W4PLUS)))))*(INDEX(ACTIVE_MULT_TABLE,3,1))*(1+SUMPRODUCT(SIGN(((ACT_DOOR_SCOPE="ALL")+(ACT_DOOR_SCOPE="TIER_"&amp;$F16)+(ACT_DOOR_SCOPE=$B16)))*SIGN(((ACT_SKU_SCOPE="ALL")+(ACT_SKU_SCOPE=$G16)))*(ACT_START&lt;=9)*(ACT_END&gt;=9)*IFERROR(ACT_UPLIFT-1,0)))*(1+SUMPRODUCT(SIGN(((ACT_DOOR_SCOPE="ALL")+(ACT_DOOR_SCOPE="TIER_"&amp;$F16)+(ACT_DOOR_SCOPE=$B16)))*SIGN(((ACT_SKU_SCOPE="ALL")+(ACT_SKU_SCOPE=$G16)))*(9&gt;ACT_END)*(ACT_END&gt;0)*IFERROR(ACT_POSTLIFT,0))),0)))</f>
        <v/>
      </c>
      <c r="S16" s="10">
        <f>IF(OR($H16&lt;&gt;"Y",10&lt;$I16),0,IF(SUMPRODUCT(((BULK_ENABLED="Y")*((BULK_TIER="ALL")+(BULK_TIER=$F16))*((BULK_SKU="ALL")+(BULK_SKU=$G16))*(BULK_START&lt;=10)*(BULK_END&gt;=10)))&gt;0,IFERROR(SUMPRODUCT(((BULK_ENABLED="Y")*((BULK_TIER="ALL")+(BULK_TIER=$F16))*((BULK_SKU="ALL")+(BULK_SKU=$G16))*(BULK_START&lt;=10)*(BULK_END&gt;=10))*IFERROR(BULK_VALUE,0))/MAX(1,SUMPRODUCT(((BULK_ENABLED="Y")*((BULK_TIER="ALL")+(BULK_TIER=$F16))*((BULK_SKU="ALL")+(BULK_SKU=$G16))*(BULK_START&lt;=10)*(BULK_END&gt;=10)))),0),ROUND((INDEX(VELOCITY_TABLE,MATCH($F16,TIER_LIST,0),3))*(IF((10-$I16+1)&lt;=0,0,IF((10-$I16+1)=1,RAMP_W1,IF((10-$I16+1)=2,RAMP_W2,IF((10-$I16+1)=3,RAMP_W3,RAMP_W4PLUS)))))*(INDEX(ACTIVE_MULT_TABLE,3,1))*(1+SUMPRODUCT(SIGN(((ACT_DOOR_SCOPE="ALL")+(ACT_DOOR_SCOPE="TIER_"&amp;$F16)+(ACT_DOOR_SCOPE=$B16)))*SIGN(((ACT_SKU_SCOPE="ALL")+(ACT_SKU_SCOPE=$G16)))*(ACT_START&lt;=10)*(ACT_END&gt;=10)*IFERROR(ACT_UPLIFT-1,0)))*(1+SUMPRODUCT(SIGN(((ACT_DOOR_SCOPE="ALL")+(ACT_DOOR_SCOPE="TIER_"&amp;$F16)+(ACT_DOOR_SCOPE=$B16)))*SIGN(((ACT_SKU_SCOPE="ALL")+(ACT_SKU_SCOPE=$G16)))*(10&gt;ACT_END)*(ACT_END&gt;0)*IFERROR(ACT_POSTLIFT,0))),0)))</f>
        <v/>
      </c>
      <c r="T16" s="10">
        <f>IF(OR($H16&lt;&gt;"Y",11&lt;$I16),0,IF(SUMPRODUCT(((BULK_ENABLED="Y")*((BULK_TIER="ALL")+(BULK_TIER=$F16))*((BULK_SKU="ALL")+(BULK_SKU=$G16))*(BULK_START&lt;=11)*(BULK_END&gt;=11)))&gt;0,IFERROR(SUMPRODUCT(((BULK_ENABLED="Y")*((BULK_TIER="ALL")+(BULK_TIER=$F16))*((BULK_SKU="ALL")+(BULK_SKU=$G16))*(BULK_START&lt;=11)*(BULK_END&gt;=11))*IFERROR(BULK_VALUE,0))/MAX(1,SUMPRODUCT(((BULK_ENABLED="Y")*((BULK_TIER="ALL")+(BULK_TIER=$F16))*((BULK_SKU="ALL")+(BULK_SKU=$G16))*(BULK_START&lt;=11)*(BULK_END&gt;=11)))),0),ROUND((INDEX(VELOCITY_TABLE,MATCH($F16,TIER_LIST,0),3))*(IF((11-$I16+1)&lt;=0,0,IF((11-$I16+1)=1,RAMP_W1,IF((11-$I16+1)=2,RAMP_W2,IF((11-$I16+1)=3,RAMP_W3,RAMP_W4PLUS)))))*(INDEX(ACTIVE_MULT_TABLE,3,1))*(1+SUMPRODUCT(SIGN(((ACT_DOOR_SCOPE="ALL")+(ACT_DOOR_SCOPE="TIER_"&amp;$F16)+(ACT_DOOR_SCOPE=$B16)))*SIGN(((ACT_SKU_SCOPE="ALL")+(ACT_SKU_SCOPE=$G16)))*(ACT_START&lt;=11)*(ACT_END&gt;=11)*IFERROR(ACT_UPLIFT-1,0)))*(1+SUMPRODUCT(SIGN(((ACT_DOOR_SCOPE="ALL")+(ACT_DOOR_SCOPE="TIER_"&amp;$F16)+(ACT_DOOR_SCOPE=$B16)))*SIGN(((ACT_SKU_SCOPE="ALL")+(ACT_SKU_SCOPE=$G16)))*(11&gt;ACT_END)*(ACT_END&gt;0)*IFERROR(ACT_POSTLIFT,0))),0)))</f>
        <v/>
      </c>
      <c r="U16" s="10">
        <f>IF(OR($H16&lt;&gt;"Y",12&lt;$I16),0,IF(SUMPRODUCT(((BULK_ENABLED="Y")*((BULK_TIER="ALL")+(BULK_TIER=$F16))*((BULK_SKU="ALL")+(BULK_SKU=$G16))*(BULK_START&lt;=12)*(BULK_END&gt;=12)))&gt;0,IFERROR(SUMPRODUCT(((BULK_ENABLED="Y")*((BULK_TIER="ALL")+(BULK_TIER=$F16))*((BULK_SKU="ALL")+(BULK_SKU=$G16))*(BULK_START&lt;=12)*(BULK_END&gt;=12))*IFERROR(BULK_VALUE,0))/MAX(1,SUMPRODUCT(((BULK_ENABLED="Y")*((BULK_TIER="ALL")+(BULK_TIER=$F16))*((BULK_SKU="ALL")+(BULK_SKU=$G16))*(BULK_START&lt;=12)*(BULK_END&gt;=12)))),0),ROUND((INDEX(VELOCITY_TABLE,MATCH($F16,TIER_LIST,0),3))*(IF((12-$I16+1)&lt;=0,0,IF((12-$I16+1)=1,RAMP_W1,IF((12-$I16+1)=2,RAMP_W2,IF((12-$I16+1)=3,RAMP_W3,RAMP_W4PLUS)))))*(INDEX(ACTIVE_MULT_TABLE,3,1))*(1+SUMPRODUCT(SIGN(((ACT_DOOR_SCOPE="ALL")+(ACT_DOOR_SCOPE="TIER_"&amp;$F16)+(ACT_DOOR_SCOPE=$B16)))*SIGN(((ACT_SKU_SCOPE="ALL")+(ACT_SKU_SCOPE=$G16)))*(ACT_START&lt;=12)*(ACT_END&gt;=12)*IFERROR(ACT_UPLIFT-1,0)))*(1+SUMPRODUCT(SIGN(((ACT_DOOR_SCOPE="ALL")+(ACT_DOOR_SCOPE="TIER_"&amp;$F16)+(ACT_DOOR_SCOPE=$B16)))*SIGN(((ACT_SKU_SCOPE="ALL")+(ACT_SKU_SCOPE=$G16)))*(12&gt;ACT_END)*(ACT_END&gt;0)*IFERROR(ACT_POSTLIFT,0))),0)))</f>
        <v/>
      </c>
      <c r="V16" s="10">
        <f>IF(OR($H16&lt;&gt;"Y",13&lt;$I16),0,IF(SUMPRODUCT(((BULK_ENABLED="Y")*((BULK_TIER="ALL")+(BULK_TIER=$F16))*((BULK_SKU="ALL")+(BULK_SKU=$G16))*(BULK_START&lt;=13)*(BULK_END&gt;=13)))&gt;0,IFERROR(SUMPRODUCT(((BULK_ENABLED="Y")*((BULK_TIER="ALL")+(BULK_TIER=$F16))*((BULK_SKU="ALL")+(BULK_SKU=$G16))*(BULK_START&lt;=13)*(BULK_END&gt;=13))*IFERROR(BULK_VALUE,0))/MAX(1,SUMPRODUCT(((BULK_ENABLED="Y")*((BULK_TIER="ALL")+(BULK_TIER=$F16))*((BULK_SKU="ALL")+(BULK_SKU=$G16))*(BULK_START&lt;=13)*(BULK_END&gt;=13)))),0),ROUND((INDEX(VELOCITY_TABLE,MATCH($F16,TIER_LIST,0),3))*(IF((13-$I16+1)&lt;=0,0,IF((13-$I16+1)=1,RAMP_W1,IF((13-$I16+1)=2,RAMP_W2,IF((13-$I16+1)=3,RAMP_W3,RAMP_W4PLUS)))))*(INDEX(ACTIVE_MULT_TABLE,3,1))*(1+SUMPRODUCT(SIGN(((ACT_DOOR_SCOPE="ALL")+(ACT_DOOR_SCOPE="TIER_"&amp;$F16)+(ACT_DOOR_SCOPE=$B16)))*SIGN(((ACT_SKU_SCOPE="ALL")+(ACT_SKU_SCOPE=$G16)))*(ACT_START&lt;=13)*(ACT_END&gt;=13)*IFERROR(ACT_UPLIFT-1,0)))*(1+SUMPRODUCT(SIGN(((ACT_DOOR_SCOPE="ALL")+(ACT_DOOR_SCOPE="TIER_"&amp;$F16)+(ACT_DOOR_SCOPE=$B16)))*SIGN(((ACT_SKU_SCOPE="ALL")+(ACT_SKU_SCOPE=$G16)))*(13&gt;ACT_END)*(ACT_END&gt;0)*IFERROR(ACT_POSTLIFT,0))),0)))</f>
        <v/>
      </c>
    </row>
    <row r="17">
      <c r="A17" t="inlineStr">
        <is>
          <t>R0013</t>
        </is>
      </c>
      <c r="B17">
        <f>Doors!$A$9</f>
        <v/>
      </c>
      <c r="C17">
        <f>Doors!$C$9</f>
        <v/>
      </c>
      <c r="D17">
        <f>Doors!$B$9</f>
        <v/>
      </c>
      <c r="E17">
        <f>Doors!$E$9</f>
        <v/>
      </c>
      <c r="F17">
        <f>Doors!$F$9</f>
        <v/>
      </c>
      <c r="G17" t="inlineStr">
        <is>
          <t>Lime Lemon</t>
        </is>
      </c>
      <c r="H17">
        <f>Doors!$G$9</f>
        <v/>
      </c>
      <c r="I17">
        <f>Doors!$J$9</f>
        <v/>
      </c>
      <c r="J17" s="10">
        <f>IF(OR($H17&lt;&gt;"Y",1&lt;$I17),0,IF(SUMPRODUCT(((BULK_ENABLED="Y")*((BULK_TIER="ALL")+(BULK_TIER=$F17))*((BULK_SKU="ALL")+(BULK_SKU=$G17))*(BULK_START&lt;=1)*(BULK_END&gt;=1)))&gt;0,IFERROR(SUMPRODUCT(((BULK_ENABLED="Y")*((BULK_TIER="ALL")+(BULK_TIER=$F17))*((BULK_SKU="ALL")+(BULK_SKU=$G17))*(BULK_START&lt;=1)*(BULK_END&gt;=1))*IFERROR(BULK_VALUE,0))/MAX(1,SUMPRODUCT(((BULK_ENABLED="Y")*((BULK_TIER="ALL")+(BULK_TIER=$F17))*((BULK_SKU="ALL")+(BULK_SKU=$G17))*(BULK_START&lt;=1)*(BULK_END&gt;=1)))),0),ROUND((INDEX(VELOCITY_TABLE,MATCH($F17,TIER_LIST,0),1))*(IF((1-$I17+1)&lt;=0,0,IF((1-$I17+1)=1,RAMP_W1,IF((1-$I17+1)=2,RAMP_W2,IF((1-$I17+1)=3,RAMP_W3,RAMP_W4PLUS)))))*(INDEX(ACTIVE_MULT_TABLE,1,1))*(1+SUMPRODUCT(SIGN(((ACT_DOOR_SCOPE="ALL")+(ACT_DOOR_SCOPE="TIER_"&amp;$F17)+(ACT_DOOR_SCOPE=$B17)))*SIGN(((ACT_SKU_SCOPE="ALL")+(ACT_SKU_SCOPE=$G17)))*(ACT_START&lt;=1)*(ACT_END&gt;=1)*IFERROR(ACT_UPLIFT-1,0)))*(1+SUMPRODUCT(SIGN(((ACT_DOOR_SCOPE="ALL")+(ACT_DOOR_SCOPE="TIER_"&amp;$F17)+(ACT_DOOR_SCOPE=$B17)))*SIGN(((ACT_SKU_SCOPE="ALL")+(ACT_SKU_SCOPE=$G17)))*(1&gt;ACT_END)*(ACT_END&gt;0)*IFERROR(ACT_POSTLIFT,0))),0)))</f>
        <v/>
      </c>
      <c r="K17" s="10">
        <f>IF(OR($H17&lt;&gt;"Y",2&lt;$I17),0,IF(SUMPRODUCT(((BULK_ENABLED="Y")*((BULK_TIER="ALL")+(BULK_TIER=$F17))*((BULK_SKU="ALL")+(BULK_SKU=$G17))*(BULK_START&lt;=2)*(BULK_END&gt;=2)))&gt;0,IFERROR(SUMPRODUCT(((BULK_ENABLED="Y")*((BULK_TIER="ALL")+(BULK_TIER=$F17))*((BULK_SKU="ALL")+(BULK_SKU=$G17))*(BULK_START&lt;=2)*(BULK_END&gt;=2))*IFERROR(BULK_VALUE,0))/MAX(1,SUMPRODUCT(((BULK_ENABLED="Y")*((BULK_TIER="ALL")+(BULK_TIER=$F17))*((BULK_SKU="ALL")+(BULK_SKU=$G17))*(BULK_START&lt;=2)*(BULK_END&gt;=2)))),0),ROUND((INDEX(VELOCITY_TABLE,MATCH($F17,TIER_LIST,0),1))*(IF((2-$I17+1)&lt;=0,0,IF((2-$I17+1)=1,RAMP_W1,IF((2-$I17+1)=2,RAMP_W2,IF((2-$I17+1)=3,RAMP_W3,RAMP_W4PLUS)))))*(INDEX(ACTIVE_MULT_TABLE,1,1))*(1+SUMPRODUCT(SIGN(((ACT_DOOR_SCOPE="ALL")+(ACT_DOOR_SCOPE="TIER_"&amp;$F17)+(ACT_DOOR_SCOPE=$B17)))*SIGN(((ACT_SKU_SCOPE="ALL")+(ACT_SKU_SCOPE=$G17)))*(ACT_START&lt;=2)*(ACT_END&gt;=2)*IFERROR(ACT_UPLIFT-1,0)))*(1+SUMPRODUCT(SIGN(((ACT_DOOR_SCOPE="ALL")+(ACT_DOOR_SCOPE="TIER_"&amp;$F17)+(ACT_DOOR_SCOPE=$B17)))*SIGN(((ACT_SKU_SCOPE="ALL")+(ACT_SKU_SCOPE=$G17)))*(2&gt;ACT_END)*(ACT_END&gt;0)*IFERROR(ACT_POSTLIFT,0))),0)))</f>
        <v/>
      </c>
      <c r="L17" s="10">
        <f>IF(OR($H17&lt;&gt;"Y",3&lt;$I17),0,IF(SUMPRODUCT(((BULK_ENABLED="Y")*((BULK_TIER="ALL")+(BULK_TIER=$F17))*((BULK_SKU="ALL")+(BULK_SKU=$G17))*(BULK_START&lt;=3)*(BULK_END&gt;=3)))&gt;0,IFERROR(SUMPRODUCT(((BULK_ENABLED="Y")*((BULK_TIER="ALL")+(BULK_TIER=$F17))*((BULK_SKU="ALL")+(BULK_SKU=$G17))*(BULK_START&lt;=3)*(BULK_END&gt;=3))*IFERROR(BULK_VALUE,0))/MAX(1,SUMPRODUCT(((BULK_ENABLED="Y")*((BULK_TIER="ALL")+(BULK_TIER=$F17))*((BULK_SKU="ALL")+(BULK_SKU=$G17))*(BULK_START&lt;=3)*(BULK_END&gt;=3)))),0),ROUND((INDEX(VELOCITY_TABLE,MATCH($F17,TIER_LIST,0),1))*(IF((3-$I17+1)&lt;=0,0,IF((3-$I17+1)=1,RAMP_W1,IF((3-$I17+1)=2,RAMP_W2,IF((3-$I17+1)=3,RAMP_W3,RAMP_W4PLUS)))))*(INDEX(ACTIVE_MULT_TABLE,1,1))*(1+SUMPRODUCT(SIGN(((ACT_DOOR_SCOPE="ALL")+(ACT_DOOR_SCOPE="TIER_"&amp;$F17)+(ACT_DOOR_SCOPE=$B17)))*SIGN(((ACT_SKU_SCOPE="ALL")+(ACT_SKU_SCOPE=$G17)))*(ACT_START&lt;=3)*(ACT_END&gt;=3)*IFERROR(ACT_UPLIFT-1,0)))*(1+SUMPRODUCT(SIGN(((ACT_DOOR_SCOPE="ALL")+(ACT_DOOR_SCOPE="TIER_"&amp;$F17)+(ACT_DOOR_SCOPE=$B17)))*SIGN(((ACT_SKU_SCOPE="ALL")+(ACT_SKU_SCOPE=$G17)))*(3&gt;ACT_END)*(ACT_END&gt;0)*IFERROR(ACT_POSTLIFT,0))),0)))</f>
        <v/>
      </c>
      <c r="M17" s="10">
        <f>IF(OR($H17&lt;&gt;"Y",4&lt;$I17),0,IF(SUMPRODUCT(((BULK_ENABLED="Y")*((BULK_TIER="ALL")+(BULK_TIER=$F17))*((BULK_SKU="ALL")+(BULK_SKU=$G17))*(BULK_START&lt;=4)*(BULK_END&gt;=4)))&gt;0,IFERROR(SUMPRODUCT(((BULK_ENABLED="Y")*((BULK_TIER="ALL")+(BULK_TIER=$F17))*((BULK_SKU="ALL")+(BULK_SKU=$G17))*(BULK_START&lt;=4)*(BULK_END&gt;=4))*IFERROR(BULK_VALUE,0))/MAX(1,SUMPRODUCT(((BULK_ENABLED="Y")*((BULK_TIER="ALL")+(BULK_TIER=$F17))*((BULK_SKU="ALL")+(BULK_SKU=$G17))*(BULK_START&lt;=4)*(BULK_END&gt;=4)))),0),ROUND((INDEX(VELOCITY_TABLE,MATCH($F17,TIER_LIST,0),1))*(IF((4-$I17+1)&lt;=0,0,IF((4-$I17+1)=1,RAMP_W1,IF((4-$I17+1)=2,RAMP_W2,IF((4-$I17+1)=3,RAMP_W3,RAMP_W4PLUS)))))*(INDEX(ACTIVE_MULT_TABLE,1,1))*(1+SUMPRODUCT(SIGN(((ACT_DOOR_SCOPE="ALL")+(ACT_DOOR_SCOPE="TIER_"&amp;$F17)+(ACT_DOOR_SCOPE=$B17)))*SIGN(((ACT_SKU_SCOPE="ALL")+(ACT_SKU_SCOPE=$G17)))*(ACT_START&lt;=4)*(ACT_END&gt;=4)*IFERROR(ACT_UPLIFT-1,0)))*(1+SUMPRODUCT(SIGN(((ACT_DOOR_SCOPE="ALL")+(ACT_DOOR_SCOPE="TIER_"&amp;$F17)+(ACT_DOOR_SCOPE=$B17)))*SIGN(((ACT_SKU_SCOPE="ALL")+(ACT_SKU_SCOPE=$G17)))*(4&gt;ACT_END)*(ACT_END&gt;0)*IFERROR(ACT_POSTLIFT,0))),0)))</f>
        <v/>
      </c>
      <c r="N17" s="10">
        <f>IF(OR($H17&lt;&gt;"Y",5&lt;$I17),0,IF(SUMPRODUCT(((BULK_ENABLED="Y")*((BULK_TIER="ALL")+(BULK_TIER=$F17))*((BULK_SKU="ALL")+(BULK_SKU=$G17))*(BULK_START&lt;=5)*(BULK_END&gt;=5)))&gt;0,IFERROR(SUMPRODUCT(((BULK_ENABLED="Y")*((BULK_TIER="ALL")+(BULK_TIER=$F17))*((BULK_SKU="ALL")+(BULK_SKU=$G17))*(BULK_START&lt;=5)*(BULK_END&gt;=5))*IFERROR(BULK_VALUE,0))/MAX(1,SUMPRODUCT(((BULK_ENABLED="Y")*((BULK_TIER="ALL")+(BULK_TIER=$F17))*((BULK_SKU="ALL")+(BULK_SKU=$G17))*(BULK_START&lt;=5)*(BULK_END&gt;=5)))),0),ROUND((INDEX(VELOCITY_TABLE,MATCH($F17,TIER_LIST,0),1))*(IF((5-$I17+1)&lt;=0,0,IF((5-$I17+1)=1,RAMP_W1,IF((5-$I17+1)=2,RAMP_W2,IF((5-$I17+1)=3,RAMP_W3,RAMP_W4PLUS)))))*(INDEX(ACTIVE_MULT_TABLE,1,1))*(1+SUMPRODUCT(SIGN(((ACT_DOOR_SCOPE="ALL")+(ACT_DOOR_SCOPE="TIER_"&amp;$F17)+(ACT_DOOR_SCOPE=$B17)))*SIGN(((ACT_SKU_SCOPE="ALL")+(ACT_SKU_SCOPE=$G17)))*(ACT_START&lt;=5)*(ACT_END&gt;=5)*IFERROR(ACT_UPLIFT-1,0)))*(1+SUMPRODUCT(SIGN(((ACT_DOOR_SCOPE="ALL")+(ACT_DOOR_SCOPE="TIER_"&amp;$F17)+(ACT_DOOR_SCOPE=$B17)))*SIGN(((ACT_SKU_SCOPE="ALL")+(ACT_SKU_SCOPE=$G17)))*(5&gt;ACT_END)*(ACT_END&gt;0)*IFERROR(ACT_POSTLIFT,0))),0)))</f>
        <v/>
      </c>
      <c r="O17" s="10">
        <f>IF(OR($H17&lt;&gt;"Y",6&lt;$I17),0,IF(SUMPRODUCT(((BULK_ENABLED="Y")*((BULK_TIER="ALL")+(BULK_TIER=$F17))*((BULK_SKU="ALL")+(BULK_SKU=$G17))*(BULK_START&lt;=6)*(BULK_END&gt;=6)))&gt;0,IFERROR(SUMPRODUCT(((BULK_ENABLED="Y")*((BULK_TIER="ALL")+(BULK_TIER=$F17))*((BULK_SKU="ALL")+(BULK_SKU=$G17))*(BULK_START&lt;=6)*(BULK_END&gt;=6))*IFERROR(BULK_VALUE,0))/MAX(1,SUMPRODUCT(((BULK_ENABLED="Y")*((BULK_TIER="ALL")+(BULK_TIER=$F17))*((BULK_SKU="ALL")+(BULK_SKU=$G17))*(BULK_START&lt;=6)*(BULK_END&gt;=6)))),0),ROUND((INDEX(VELOCITY_TABLE,MATCH($F17,TIER_LIST,0),1))*(IF((6-$I17+1)&lt;=0,0,IF((6-$I17+1)=1,RAMP_W1,IF((6-$I17+1)=2,RAMP_W2,IF((6-$I17+1)=3,RAMP_W3,RAMP_W4PLUS)))))*(INDEX(ACTIVE_MULT_TABLE,1,1))*(1+SUMPRODUCT(SIGN(((ACT_DOOR_SCOPE="ALL")+(ACT_DOOR_SCOPE="TIER_"&amp;$F17)+(ACT_DOOR_SCOPE=$B17)))*SIGN(((ACT_SKU_SCOPE="ALL")+(ACT_SKU_SCOPE=$G17)))*(ACT_START&lt;=6)*(ACT_END&gt;=6)*IFERROR(ACT_UPLIFT-1,0)))*(1+SUMPRODUCT(SIGN(((ACT_DOOR_SCOPE="ALL")+(ACT_DOOR_SCOPE="TIER_"&amp;$F17)+(ACT_DOOR_SCOPE=$B17)))*SIGN(((ACT_SKU_SCOPE="ALL")+(ACT_SKU_SCOPE=$G17)))*(6&gt;ACT_END)*(ACT_END&gt;0)*IFERROR(ACT_POSTLIFT,0))),0)))</f>
        <v/>
      </c>
      <c r="P17" s="10">
        <f>IF(OR($H17&lt;&gt;"Y",7&lt;$I17),0,IF(SUMPRODUCT(((BULK_ENABLED="Y")*((BULK_TIER="ALL")+(BULK_TIER=$F17))*((BULK_SKU="ALL")+(BULK_SKU=$G17))*(BULK_START&lt;=7)*(BULK_END&gt;=7)))&gt;0,IFERROR(SUMPRODUCT(((BULK_ENABLED="Y")*((BULK_TIER="ALL")+(BULK_TIER=$F17))*((BULK_SKU="ALL")+(BULK_SKU=$G17))*(BULK_START&lt;=7)*(BULK_END&gt;=7))*IFERROR(BULK_VALUE,0))/MAX(1,SUMPRODUCT(((BULK_ENABLED="Y")*((BULK_TIER="ALL")+(BULK_TIER=$F17))*((BULK_SKU="ALL")+(BULK_SKU=$G17))*(BULK_START&lt;=7)*(BULK_END&gt;=7)))),0),ROUND((INDEX(VELOCITY_TABLE,MATCH($F17,TIER_LIST,0),1))*(IF((7-$I17+1)&lt;=0,0,IF((7-$I17+1)=1,RAMP_W1,IF((7-$I17+1)=2,RAMP_W2,IF((7-$I17+1)=3,RAMP_W3,RAMP_W4PLUS)))))*(INDEX(ACTIVE_MULT_TABLE,1,1))*(1+SUMPRODUCT(SIGN(((ACT_DOOR_SCOPE="ALL")+(ACT_DOOR_SCOPE="TIER_"&amp;$F17)+(ACT_DOOR_SCOPE=$B17)))*SIGN(((ACT_SKU_SCOPE="ALL")+(ACT_SKU_SCOPE=$G17)))*(ACT_START&lt;=7)*(ACT_END&gt;=7)*IFERROR(ACT_UPLIFT-1,0)))*(1+SUMPRODUCT(SIGN(((ACT_DOOR_SCOPE="ALL")+(ACT_DOOR_SCOPE="TIER_"&amp;$F17)+(ACT_DOOR_SCOPE=$B17)))*SIGN(((ACT_SKU_SCOPE="ALL")+(ACT_SKU_SCOPE=$G17)))*(7&gt;ACT_END)*(ACT_END&gt;0)*IFERROR(ACT_POSTLIFT,0))),0)))</f>
        <v/>
      </c>
      <c r="Q17" s="10">
        <f>IF(OR($H17&lt;&gt;"Y",8&lt;$I17),0,IF(SUMPRODUCT(((BULK_ENABLED="Y")*((BULK_TIER="ALL")+(BULK_TIER=$F17))*((BULK_SKU="ALL")+(BULK_SKU=$G17))*(BULK_START&lt;=8)*(BULK_END&gt;=8)))&gt;0,IFERROR(SUMPRODUCT(((BULK_ENABLED="Y")*((BULK_TIER="ALL")+(BULK_TIER=$F17))*((BULK_SKU="ALL")+(BULK_SKU=$G17))*(BULK_START&lt;=8)*(BULK_END&gt;=8))*IFERROR(BULK_VALUE,0))/MAX(1,SUMPRODUCT(((BULK_ENABLED="Y")*((BULK_TIER="ALL")+(BULK_TIER=$F17))*((BULK_SKU="ALL")+(BULK_SKU=$G17))*(BULK_START&lt;=8)*(BULK_END&gt;=8)))),0),ROUND((INDEX(VELOCITY_TABLE,MATCH($F17,TIER_LIST,0),1))*(IF((8-$I17+1)&lt;=0,0,IF((8-$I17+1)=1,RAMP_W1,IF((8-$I17+1)=2,RAMP_W2,IF((8-$I17+1)=3,RAMP_W3,RAMP_W4PLUS)))))*(INDEX(ACTIVE_MULT_TABLE,1,1))*(1+SUMPRODUCT(SIGN(((ACT_DOOR_SCOPE="ALL")+(ACT_DOOR_SCOPE="TIER_"&amp;$F17)+(ACT_DOOR_SCOPE=$B17)))*SIGN(((ACT_SKU_SCOPE="ALL")+(ACT_SKU_SCOPE=$G17)))*(ACT_START&lt;=8)*(ACT_END&gt;=8)*IFERROR(ACT_UPLIFT-1,0)))*(1+SUMPRODUCT(SIGN(((ACT_DOOR_SCOPE="ALL")+(ACT_DOOR_SCOPE="TIER_"&amp;$F17)+(ACT_DOOR_SCOPE=$B17)))*SIGN(((ACT_SKU_SCOPE="ALL")+(ACT_SKU_SCOPE=$G17)))*(8&gt;ACT_END)*(ACT_END&gt;0)*IFERROR(ACT_POSTLIFT,0))),0)))</f>
        <v/>
      </c>
      <c r="R17" s="10">
        <f>IF(OR($H17&lt;&gt;"Y",9&lt;$I17),0,IF(SUMPRODUCT(((BULK_ENABLED="Y")*((BULK_TIER="ALL")+(BULK_TIER=$F17))*((BULK_SKU="ALL")+(BULK_SKU=$G17))*(BULK_START&lt;=9)*(BULK_END&gt;=9)))&gt;0,IFERROR(SUMPRODUCT(((BULK_ENABLED="Y")*((BULK_TIER="ALL")+(BULK_TIER=$F17))*((BULK_SKU="ALL")+(BULK_SKU=$G17))*(BULK_START&lt;=9)*(BULK_END&gt;=9))*IFERROR(BULK_VALUE,0))/MAX(1,SUMPRODUCT(((BULK_ENABLED="Y")*((BULK_TIER="ALL")+(BULK_TIER=$F17))*((BULK_SKU="ALL")+(BULK_SKU=$G17))*(BULK_START&lt;=9)*(BULK_END&gt;=9)))),0),ROUND((INDEX(VELOCITY_TABLE,MATCH($F17,TIER_LIST,0),1))*(IF((9-$I17+1)&lt;=0,0,IF((9-$I17+1)=1,RAMP_W1,IF((9-$I17+1)=2,RAMP_W2,IF((9-$I17+1)=3,RAMP_W3,RAMP_W4PLUS)))))*(INDEX(ACTIVE_MULT_TABLE,1,1))*(1+SUMPRODUCT(SIGN(((ACT_DOOR_SCOPE="ALL")+(ACT_DOOR_SCOPE="TIER_"&amp;$F17)+(ACT_DOOR_SCOPE=$B17)))*SIGN(((ACT_SKU_SCOPE="ALL")+(ACT_SKU_SCOPE=$G17)))*(ACT_START&lt;=9)*(ACT_END&gt;=9)*IFERROR(ACT_UPLIFT-1,0)))*(1+SUMPRODUCT(SIGN(((ACT_DOOR_SCOPE="ALL")+(ACT_DOOR_SCOPE="TIER_"&amp;$F17)+(ACT_DOOR_SCOPE=$B17)))*SIGN(((ACT_SKU_SCOPE="ALL")+(ACT_SKU_SCOPE=$G17)))*(9&gt;ACT_END)*(ACT_END&gt;0)*IFERROR(ACT_POSTLIFT,0))),0)))</f>
        <v/>
      </c>
      <c r="S17" s="10">
        <f>IF(OR($H17&lt;&gt;"Y",10&lt;$I17),0,IF(SUMPRODUCT(((BULK_ENABLED="Y")*((BULK_TIER="ALL")+(BULK_TIER=$F17))*((BULK_SKU="ALL")+(BULK_SKU=$G17))*(BULK_START&lt;=10)*(BULK_END&gt;=10)))&gt;0,IFERROR(SUMPRODUCT(((BULK_ENABLED="Y")*((BULK_TIER="ALL")+(BULK_TIER=$F17))*((BULK_SKU="ALL")+(BULK_SKU=$G17))*(BULK_START&lt;=10)*(BULK_END&gt;=10))*IFERROR(BULK_VALUE,0))/MAX(1,SUMPRODUCT(((BULK_ENABLED="Y")*((BULK_TIER="ALL")+(BULK_TIER=$F17))*((BULK_SKU="ALL")+(BULK_SKU=$G17))*(BULK_START&lt;=10)*(BULK_END&gt;=10)))),0),ROUND((INDEX(VELOCITY_TABLE,MATCH($F17,TIER_LIST,0),1))*(IF((10-$I17+1)&lt;=0,0,IF((10-$I17+1)=1,RAMP_W1,IF((10-$I17+1)=2,RAMP_W2,IF((10-$I17+1)=3,RAMP_W3,RAMP_W4PLUS)))))*(INDEX(ACTIVE_MULT_TABLE,1,1))*(1+SUMPRODUCT(SIGN(((ACT_DOOR_SCOPE="ALL")+(ACT_DOOR_SCOPE="TIER_"&amp;$F17)+(ACT_DOOR_SCOPE=$B17)))*SIGN(((ACT_SKU_SCOPE="ALL")+(ACT_SKU_SCOPE=$G17)))*(ACT_START&lt;=10)*(ACT_END&gt;=10)*IFERROR(ACT_UPLIFT-1,0)))*(1+SUMPRODUCT(SIGN(((ACT_DOOR_SCOPE="ALL")+(ACT_DOOR_SCOPE="TIER_"&amp;$F17)+(ACT_DOOR_SCOPE=$B17)))*SIGN(((ACT_SKU_SCOPE="ALL")+(ACT_SKU_SCOPE=$G17)))*(10&gt;ACT_END)*(ACT_END&gt;0)*IFERROR(ACT_POSTLIFT,0))),0)))</f>
        <v/>
      </c>
      <c r="T17" s="10">
        <f>IF(OR($H17&lt;&gt;"Y",11&lt;$I17),0,IF(SUMPRODUCT(((BULK_ENABLED="Y")*((BULK_TIER="ALL")+(BULK_TIER=$F17))*((BULK_SKU="ALL")+(BULK_SKU=$G17))*(BULK_START&lt;=11)*(BULK_END&gt;=11)))&gt;0,IFERROR(SUMPRODUCT(((BULK_ENABLED="Y")*((BULK_TIER="ALL")+(BULK_TIER=$F17))*((BULK_SKU="ALL")+(BULK_SKU=$G17))*(BULK_START&lt;=11)*(BULK_END&gt;=11))*IFERROR(BULK_VALUE,0))/MAX(1,SUMPRODUCT(((BULK_ENABLED="Y")*((BULK_TIER="ALL")+(BULK_TIER=$F17))*((BULK_SKU="ALL")+(BULK_SKU=$G17))*(BULK_START&lt;=11)*(BULK_END&gt;=11)))),0),ROUND((INDEX(VELOCITY_TABLE,MATCH($F17,TIER_LIST,0),1))*(IF((11-$I17+1)&lt;=0,0,IF((11-$I17+1)=1,RAMP_W1,IF((11-$I17+1)=2,RAMP_W2,IF((11-$I17+1)=3,RAMP_W3,RAMP_W4PLUS)))))*(INDEX(ACTIVE_MULT_TABLE,1,1))*(1+SUMPRODUCT(SIGN(((ACT_DOOR_SCOPE="ALL")+(ACT_DOOR_SCOPE="TIER_"&amp;$F17)+(ACT_DOOR_SCOPE=$B17)))*SIGN(((ACT_SKU_SCOPE="ALL")+(ACT_SKU_SCOPE=$G17)))*(ACT_START&lt;=11)*(ACT_END&gt;=11)*IFERROR(ACT_UPLIFT-1,0)))*(1+SUMPRODUCT(SIGN(((ACT_DOOR_SCOPE="ALL")+(ACT_DOOR_SCOPE="TIER_"&amp;$F17)+(ACT_DOOR_SCOPE=$B17)))*SIGN(((ACT_SKU_SCOPE="ALL")+(ACT_SKU_SCOPE=$G17)))*(11&gt;ACT_END)*(ACT_END&gt;0)*IFERROR(ACT_POSTLIFT,0))),0)))</f>
        <v/>
      </c>
      <c r="U17" s="10">
        <f>IF(OR($H17&lt;&gt;"Y",12&lt;$I17),0,IF(SUMPRODUCT(((BULK_ENABLED="Y")*((BULK_TIER="ALL")+(BULK_TIER=$F17))*((BULK_SKU="ALL")+(BULK_SKU=$G17))*(BULK_START&lt;=12)*(BULK_END&gt;=12)))&gt;0,IFERROR(SUMPRODUCT(((BULK_ENABLED="Y")*((BULK_TIER="ALL")+(BULK_TIER=$F17))*((BULK_SKU="ALL")+(BULK_SKU=$G17))*(BULK_START&lt;=12)*(BULK_END&gt;=12))*IFERROR(BULK_VALUE,0))/MAX(1,SUMPRODUCT(((BULK_ENABLED="Y")*((BULK_TIER="ALL")+(BULK_TIER=$F17))*((BULK_SKU="ALL")+(BULK_SKU=$G17))*(BULK_START&lt;=12)*(BULK_END&gt;=12)))),0),ROUND((INDEX(VELOCITY_TABLE,MATCH($F17,TIER_LIST,0),1))*(IF((12-$I17+1)&lt;=0,0,IF((12-$I17+1)=1,RAMP_W1,IF((12-$I17+1)=2,RAMP_W2,IF((12-$I17+1)=3,RAMP_W3,RAMP_W4PLUS)))))*(INDEX(ACTIVE_MULT_TABLE,1,1))*(1+SUMPRODUCT(SIGN(((ACT_DOOR_SCOPE="ALL")+(ACT_DOOR_SCOPE="TIER_"&amp;$F17)+(ACT_DOOR_SCOPE=$B17)))*SIGN(((ACT_SKU_SCOPE="ALL")+(ACT_SKU_SCOPE=$G17)))*(ACT_START&lt;=12)*(ACT_END&gt;=12)*IFERROR(ACT_UPLIFT-1,0)))*(1+SUMPRODUCT(SIGN(((ACT_DOOR_SCOPE="ALL")+(ACT_DOOR_SCOPE="TIER_"&amp;$F17)+(ACT_DOOR_SCOPE=$B17)))*SIGN(((ACT_SKU_SCOPE="ALL")+(ACT_SKU_SCOPE=$G17)))*(12&gt;ACT_END)*(ACT_END&gt;0)*IFERROR(ACT_POSTLIFT,0))),0)))</f>
        <v/>
      </c>
      <c r="V17" s="10">
        <f>IF(OR($H17&lt;&gt;"Y",13&lt;$I17),0,IF(SUMPRODUCT(((BULK_ENABLED="Y")*((BULK_TIER="ALL")+(BULK_TIER=$F17))*((BULK_SKU="ALL")+(BULK_SKU=$G17))*(BULK_START&lt;=13)*(BULK_END&gt;=13)))&gt;0,IFERROR(SUMPRODUCT(((BULK_ENABLED="Y")*((BULK_TIER="ALL")+(BULK_TIER=$F17))*((BULK_SKU="ALL")+(BULK_SKU=$G17))*(BULK_START&lt;=13)*(BULK_END&gt;=13))*IFERROR(BULK_VALUE,0))/MAX(1,SUMPRODUCT(((BULK_ENABLED="Y")*((BULK_TIER="ALL")+(BULK_TIER=$F17))*((BULK_SKU="ALL")+(BULK_SKU=$G17))*(BULK_START&lt;=13)*(BULK_END&gt;=13)))),0),ROUND((INDEX(VELOCITY_TABLE,MATCH($F17,TIER_LIST,0),1))*(IF((13-$I17+1)&lt;=0,0,IF((13-$I17+1)=1,RAMP_W1,IF((13-$I17+1)=2,RAMP_W2,IF((13-$I17+1)=3,RAMP_W3,RAMP_W4PLUS)))))*(INDEX(ACTIVE_MULT_TABLE,1,1))*(1+SUMPRODUCT(SIGN(((ACT_DOOR_SCOPE="ALL")+(ACT_DOOR_SCOPE="TIER_"&amp;$F17)+(ACT_DOOR_SCOPE=$B17)))*SIGN(((ACT_SKU_SCOPE="ALL")+(ACT_SKU_SCOPE=$G17)))*(ACT_START&lt;=13)*(ACT_END&gt;=13)*IFERROR(ACT_UPLIFT-1,0)))*(1+SUMPRODUCT(SIGN(((ACT_DOOR_SCOPE="ALL")+(ACT_DOOR_SCOPE="TIER_"&amp;$F17)+(ACT_DOOR_SCOPE=$B17)))*SIGN(((ACT_SKU_SCOPE="ALL")+(ACT_SKU_SCOPE=$G17)))*(13&gt;ACT_END)*(ACT_END&gt;0)*IFERROR(ACT_POSTLIFT,0))),0)))</f>
        <v/>
      </c>
    </row>
    <row r="18">
      <c r="A18" t="inlineStr">
        <is>
          <t>R0014</t>
        </is>
      </c>
      <c r="B18">
        <f>Doors!$A$9</f>
        <v/>
      </c>
      <c r="C18">
        <f>Doors!$C$9</f>
        <v/>
      </c>
      <c r="D18">
        <f>Doors!$B$9</f>
        <v/>
      </c>
      <c r="E18">
        <f>Doors!$E$9</f>
        <v/>
      </c>
      <c r="F18">
        <f>Doors!$F$9</f>
        <v/>
      </c>
      <c r="G18" t="inlineStr">
        <is>
          <t>Pineapple Passion Fruit</t>
        </is>
      </c>
      <c r="H18">
        <f>Doors!$H$9</f>
        <v/>
      </c>
      <c r="I18">
        <f>Doors!$J$9</f>
        <v/>
      </c>
      <c r="J18" s="10">
        <f>IF(OR($H18&lt;&gt;"Y",1&lt;$I18),0,IF(SUMPRODUCT(((BULK_ENABLED="Y")*((BULK_TIER="ALL")+(BULK_TIER=$F18))*((BULK_SKU="ALL")+(BULK_SKU=$G18))*(BULK_START&lt;=1)*(BULK_END&gt;=1)))&gt;0,IFERROR(SUMPRODUCT(((BULK_ENABLED="Y")*((BULK_TIER="ALL")+(BULK_TIER=$F18))*((BULK_SKU="ALL")+(BULK_SKU=$G18))*(BULK_START&lt;=1)*(BULK_END&gt;=1))*IFERROR(BULK_VALUE,0))/MAX(1,SUMPRODUCT(((BULK_ENABLED="Y")*((BULK_TIER="ALL")+(BULK_TIER=$F18))*((BULK_SKU="ALL")+(BULK_SKU=$G18))*(BULK_START&lt;=1)*(BULK_END&gt;=1)))),0),ROUND((INDEX(VELOCITY_TABLE,MATCH($F18,TIER_LIST,0),2))*(IF((1-$I18+1)&lt;=0,0,IF((1-$I18+1)=1,RAMP_W1,IF((1-$I18+1)=2,RAMP_W2,IF((1-$I18+1)=3,RAMP_W3,RAMP_W4PLUS)))))*(INDEX(ACTIVE_MULT_TABLE,2,1))*(1+SUMPRODUCT(SIGN(((ACT_DOOR_SCOPE="ALL")+(ACT_DOOR_SCOPE="TIER_"&amp;$F18)+(ACT_DOOR_SCOPE=$B18)))*SIGN(((ACT_SKU_SCOPE="ALL")+(ACT_SKU_SCOPE=$G18)))*(ACT_START&lt;=1)*(ACT_END&gt;=1)*IFERROR(ACT_UPLIFT-1,0)))*(1+SUMPRODUCT(SIGN(((ACT_DOOR_SCOPE="ALL")+(ACT_DOOR_SCOPE="TIER_"&amp;$F18)+(ACT_DOOR_SCOPE=$B18)))*SIGN(((ACT_SKU_SCOPE="ALL")+(ACT_SKU_SCOPE=$G18)))*(1&gt;ACT_END)*(ACT_END&gt;0)*IFERROR(ACT_POSTLIFT,0))),0)))</f>
        <v/>
      </c>
      <c r="K18" s="10">
        <f>IF(OR($H18&lt;&gt;"Y",2&lt;$I18),0,IF(SUMPRODUCT(((BULK_ENABLED="Y")*((BULK_TIER="ALL")+(BULK_TIER=$F18))*((BULK_SKU="ALL")+(BULK_SKU=$G18))*(BULK_START&lt;=2)*(BULK_END&gt;=2)))&gt;0,IFERROR(SUMPRODUCT(((BULK_ENABLED="Y")*((BULK_TIER="ALL")+(BULK_TIER=$F18))*((BULK_SKU="ALL")+(BULK_SKU=$G18))*(BULK_START&lt;=2)*(BULK_END&gt;=2))*IFERROR(BULK_VALUE,0))/MAX(1,SUMPRODUCT(((BULK_ENABLED="Y")*((BULK_TIER="ALL")+(BULK_TIER=$F18))*((BULK_SKU="ALL")+(BULK_SKU=$G18))*(BULK_START&lt;=2)*(BULK_END&gt;=2)))),0),ROUND((INDEX(VELOCITY_TABLE,MATCH($F18,TIER_LIST,0),2))*(IF((2-$I18+1)&lt;=0,0,IF((2-$I18+1)=1,RAMP_W1,IF((2-$I18+1)=2,RAMP_W2,IF((2-$I18+1)=3,RAMP_W3,RAMP_W4PLUS)))))*(INDEX(ACTIVE_MULT_TABLE,2,1))*(1+SUMPRODUCT(SIGN(((ACT_DOOR_SCOPE="ALL")+(ACT_DOOR_SCOPE="TIER_"&amp;$F18)+(ACT_DOOR_SCOPE=$B18)))*SIGN(((ACT_SKU_SCOPE="ALL")+(ACT_SKU_SCOPE=$G18)))*(ACT_START&lt;=2)*(ACT_END&gt;=2)*IFERROR(ACT_UPLIFT-1,0)))*(1+SUMPRODUCT(SIGN(((ACT_DOOR_SCOPE="ALL")+(ACT_DOOR_SCOPE="TIER_"&amp;$F18)+(ACT_DOOR_SCOPE=$B18)))*SIGN(((ACT_SKU_SCOPE="ALL")+(ACT_SKU_SCOPE=$G18)))*(2&gt;ACT_END)*(ACT_END&gt;0)*IFERROR(ACT_POSTLIFT,0))),0)))</f>
        <v/>
      </c>
      <c r="L18" s="10">
        <f>IF(OR($H18&lt;&gt;"Y",3&lt;$I18),0,IF(SUMPRODUCT(((BULK_ENABLED="Y")*((BULK_TIER="ALL")+(BULK_TIER=$F18))*((BULK_SKU="ALL")+(BULK_SKU=$G18))*(BULK_START&lt;=3)*(BULK_END&gt;=3)))&gt;0,IFERROR(SUMPRODUCT(((BULK_ENABLED="Y")*((BULK_TIER="ALL")+(BULK_TIER=$F18))*((BULK_SKU="ALL")+(BULK_SKU=$G18))*(BULK_START&lt;=3)*(BULK_END&gt;=3))*IFERROR(BULK_VALUE,0))/MAX(1,SUMPRODUCT(((BULK_ENABLED="Y")*((BULK_TIER="ALL")+(BULK_TIER=$F18))*((BULK_SKU="ALL")+(BULK_SKU=$G18))*(BULK_START&lt;=3)*(BULK_END&gt;=3)))),0),ROUND((INDEX(VELOCITY_TABLE,MATCH($F18,TIER_LIST,0),2))*(IF((3-$I18+1)&lt;=0,0,IF((3-$I18+1)=1,RAMP_W1,IF((3-$I18+1)=2,RAMP_W2,IF((3-$I18+1)=3,RAMP_W3,RAMP_W4PLUS)))))*(INDEX(ACTIVE_MULT_TABLE,2,1))*(1+SUMPRODUCT(SIGN(((ACT_DOOR_SCOPE="ALL")+(ACT_DOOR_SCOPE="TIER_"&amp;$F18)+(ACT_DOOR_SCOPE=$B18)))*SIGN(((ACT_SKU_SCOPE="ALL")+(ACT_SKU_SCOPE=$G18)))*(ACT_START&lt;=3)*(ACT_END&gt;=3)*IFERROR(ACT_UPLIFT-1,0)))*(1+SUMPRODUCT(SIGN(((ACT_DOOR_SCOPE="ALL")+(ACT_DOOR_SCOPE="TIER_"&amp;$F18)+(ACT_DOOR_SCOPE=$B18)))*SIGN(((ACT_SKU_SCOPE="ALL")+(ACT_SKU_SCOPE=$G18)))*(3&gt;ACT_END)*(ACT_END&gt;0)*IFERROR(ACT_POSTLIFT,0))),0)))</f>
        <v/>
      </c>
      <c r="M18" s="10">
        <f>IF(OR($H18&lt;&gt;"Y",4&lt;$I18),0,IF(SUMPRODUCT(((BULK_ENABLED="Y")*((BULK_TIER="ALL")+(BULK_TIER=$F18))*((BULK_SKU="ALL")+(BULK_SKU=$G18))*(BULK_START&lt;=4)*(BULK_END&gt;=4)))&gt;0,IFERROR(SUMPRODUCT(((BULK_ENABLED="Y")*((BULK_TIER="ALL")+(BULK_TIER=$F18))*((BULK_SKU="ALL")+(BULK_SKU=$G18))*(BULK_START&lt;=4)*(BULK_END&gt;=4))*IFERROR(BULK_VALUE,0))/MAX(1,SUMPRODUCT(((BULK_ENABLED="Y")*((BULK_TIER="ALL")+(BULK_TIER=$F18))*((BULK_SKU="ALL")+(BULK_SKU=$G18))*(BULK_START&lt;=4)*(BULK_END&gt;=4)))),0),ROUND((INDEX(VELOCITY_TABLE,MATCH($F18,TIER_LIST,0),2))*(IF((4-$I18+1)&lt;=0,0,IF((4-$I18+1)=1,RAMP_W1,IF((4-$I18+1)=2,RAMP_W2,IF((4-$I18+1)=3,RAMP_W3,RAMP_W4PLUS)))))*(INDEX(ACTIVE_MULT_TABLE,2,1))*(1+SUMPRODUCT(SIGN(((ACT_DOOR_SCOPE="ALL")+(ACT_DOOR_SCOPE="TIER_"&amp;$F18)+(ACT_DOOR_SCOPE=$B18)))*SIGN(((ACT_SKU_SCOPE="ALL")+(ACT_SKU_SCOPE=$G18)))*(ACT_START&lt;=4)*(ACT_END&gt;=4)*IFERROR(ACT_UPLIFT-1,0)))*(1+SUMPRODUCT(SIGN(((ACT_DOOR_SCOPE="ALL")+(ACT_DOOR_SCOPE="TIER_"&amp;$F18)+(ACT_DOOR_SCOPE=$B18)))*SIGN(((ACT_SKU_SCOPE="ALL")+(ACT_SKU_SCOPE=$G18)))*(4&gt;ACT_END)*(ACT_END&gt;0)*IFERROR(ACT_POSTLIFT,0))),0)))</f>
        <v/>
      </c>
      <c r="N18" s="10">
        <f>IF(OR($H18&lt;&gt;"Y",5&lt;$I18),0,IF(SUMPRODUCT(((BULK_ENABLED="Y")*((BULK_TIER="ALL")+(BULK_TIER=$F18))*((BULK_SKU="ALL")+(BULK_SKU=$G18))*(BULK_START&lt;=5)*(BULK_END&gt;=5)))&gt;0,IFERROR(SUMPRODUCT(((BULK_ENABLED="Y")*((BULK_TIER="ALL")+(BULK_TIER=$F18))*((BULK_SKU="ALL")+(BULK_SKU=$G18))*(BULK_START&lt;=5)*(BULK_END&gt;=5))*IFERROR(BULK_VALUE,0))/MAX(1,SUMPRODUCT(((BULK_ENABLED="Y")*((BULK_TIER="ALL")+(BULK_TIER=$F18))*((BULK_SKU="ALL")+(BULK_SKU=$G18))*(BULK_START&lt;=5)*(BULK_END&gt;=5)))),0),ROUND((INDEX(VELOCITY_TABLE,MATCH($F18,TIER_LIST,0),2))*(IF((5-$I18+1)&lt;=0,0,IF((5-$I18+1)=1,RAMP_W1,IF((5-$I18+1)=2,RAMP_W2,IF((5-$I18+1)=3,RAMP_W3,RAMP_W4PLUS)))))*(INDEX(ACTIVE_MULT_TABLE,2,1))*(1+SUMPRODUCT(SIGN(((ACT_DOOR_SCOPE="ALL")+(ACT_DOOR_SCOPE="TIER_"&amp;$F18)+(ACT_DOOR_SCOPE=$B18)))*SIGN(((ACT_SKU_SCOPE="ALL")+(ACT_SKU_SCOPE=$G18)))*(ACT_START&lt;=5)*(ACT_END&gt;=5)*IFERROR(ACT_UPLIFT-1,0)))*(1+SUMPRODUCT(SIGN(((ACT_DOOR_SCOPE="ALL")+(ACT_DOOR_SCOPE="TIER_"&amp;$F18)+(ACT_DOOR_SCOPE=$B18)))*SIGN(((ACT_SKU_SCOPE="ALL")+(ACT_SKU_SCOPE=$G18)))*(5&gt;ACT_END)*(ACT_END&gt;0)*IFERROR(ACT_POSTLIFT,0))),0)))</f>
        <v/>
      </c>
      <c r="O18" s="10">
        <f>IF(OR($H18&lt;&gt;"Y",6&lt;$I18),0,IF(SUMPRODUCT(((BULK_ENABLED="Y")*((BULK_TIER="ALL")+(BULK_TIER=$F18))*((BULK_SKU="ALL")+(BULK_SKU=$G18))*(BULK_START&lt;=6)*(BULK_END&gt;=6)))&gt;0,IFERROR(SUMPRODUCT(((BULK_ENABLED="Y")*((BULK_TIER="ALL")+(BULK_TIER=$F18))*((BULK_SKU="ALL")+(BULK_SKU=$G18))*(BULK_START&lt;=6)*(BULK_END&gt;=6))*IFERROR(BULK_VALUE,0))/MAX(1,SUMPRODUCT(((BULK_ENABLED="Y")*((BULK_TIER="ALL")+(BULK_TIER=$F18))*((BULK_SKU="ALL")+(BULK_SKU=$G18))*(BULK_START&lt;=6)*(BULK_END&gt;=6)))),0),ROUND((INDEX(VELOCITY_TABLE,MATCH($F18,TIER_LIST,0),2))*(IF((6-$I18+1)&lt;=0,0,IF((6-$I18+1)=1,RAMP_W1,IF((6-$I18+1)=2,RAMP_W2,IF((6-$I18+1)=3,RAMP_W3,RAMP_W4PLUS)))))*(INDEX(ACTIVE_MULT_TABLE,2,1))*(1+SUMPRODUCT(SIGN(((ACT_DOOR_SCOPE="ALL")+(ACT_DOOR_SCOPE="TIER_"&amp;$F18)+(ACT_DOOR_SCOPE=$B18)))*SIGN(((ACT_SKU_SCOPE="ALL")+(ACT_SKU_SCOPE=$G18)))*(ACT_START&lt;=6)*(ACT_END&gt;=6)*IFERROR(ACT_UPLIFT-1,0)))*(1+SUMPRODUCT(SIGN(((ACT_DOOR_SCOPE="ALL")+(ACT_DOOR_SCOPE="TIER_"&amp;$F18)+(ACT_DOOR_SCOPE=$B18)))*SIGN(((ACT_SKU_SCOPE="ALL")+(ACT_SKU_SCOPE=$G18)))*(6&gt;ACT_END)*(ACT_END&gt;0)*IFERROR(ACT_POSTLIFT,0))),0)))</f>
        <v/>
      </c>
      <c r="P18" s="10">
        <f>IF(OR($H18&lt;&gt;"Y",7&lt;$I18),0,IF(SUMPRODUCT(((BULK_ENABLED="Y")*((BULK_TIER="ALL")+(BULK_TIER=$F18))*((BULK_SKU="ALL")+(BULK_SKU=$G18))*(BULK_START&lt;=7)*(BULK_END&gt;=7)))&gt;0,IFERROR(SUMPRODUCT(((BULK_ENABLED="Y")*((BULK_TIER="ALL")+(BULK_TIER=$F18))*((BULK_SKU="ALL")+(BULK_SKU=$G18))*(BULK_START&lt;=7)*(BULK_END&gt;=7))*IFERROR(BULK_VALUE,0))/MAX(1,SUMPRODUCT(((BULK_ENABLED="Y")*((BULK_TIER="ALL")+(BULK_TIER=$F18))*((BULK_SKU="ALL")+(BULK_SKU=$G18))*(BULK_START&lt;=7)*(BULK_END&gt;=7)))),0),ROUND((INDEX(VELOCITY_TABLE,MATCH($F18,TIER_LIST,0),2))*(IF((7-$I18+1)&lt;=0,0,IF((7-$I18+1)=1,RAMP_W1,IF((7-$I18+1)=2,RAMP_W2,IF((7-$I18+1)=3,RAMP_W3,RAMP_W4PLUS)))))*(INDEX(ACTIVE_MULT_TABLE,2,1))*(1+SUMPRODUCT(SIGN(((ACT_DOOR_SCOPE="ALL")+(ACT_DOOR_SCOPE="TIER_"&amp;$F18)+(ACT_DOOR_SCOPE=$B18)))*SIGN(((ACT_SKU_SCOPE="ALL")+(ACT_SKU_SCOPE=$G18)))*(ACT_START&lt;=7)*(ACT_END&gt;=7)*IFERROR(ACT_UPLIFT-1,0)))*(1+SUMPRODUCT(SIGN(((ACT_DOOR_SCOPE="ALL")+(ACT_DOOR_SCOPE="TIER_"&amp;$F18)+(ACT_DOOR_SCOPE=$B18)))*SIGN(((ACT_SKU_SCOPE="ALL")+(ACT_SKU_SCOPE=$G18)))*(7&gt;ACT_END)*(ACT_END&gt;0)*IFERROR(ACT_POSTLIFT,0))),0)))</f>
        <v/>
      </c>
      <c r="Q18" s="10">
        <f>IF(OR($H18&lt;&gt;"Y",8&lt;$I18),0,IF(SUMPRODUCT(((BULK_ENABLED="Y")*((BULK_TIER="ALL")+(BULK_TIER=$F18))*((BULK_SKU="ALL")+(BULK_SKU=$G18))*(BULK_START&lt;=8)*(BULK_END&gt;=8)))&gt;0,IFERROR(SUMPRODUCT(((BULK_ENABLED="Y")*((BULK_TIER="ALL")+(BULK_TIER=$F18))*((BULK_SKU="ALL")+(BULK_SKU=$G18))*(BULK_START&lt;=8)*(BULK_END&gt;=8))*IFERROR(BULK_VALUE,0))/MAX(1,SUMPRODUCT(((BULK_ENABLED="Y")*((BULK_TIER="ALL")+(BULK_TIER=$F18))*((BULK_SKU="ALL")+(BULK_SKU=$G18))*(BULK_START&lt;=8)*(BULK_END&gt;=8)))),0),ROUND((INDEX(VELOCITY_TABLE,MATCH($F18,TIER_LIST,0),2))*(IF((8-$I18+1)&lt;=0,0,IF((8-$I18+1)=1,RAMP_W1,IF((8-$I18+1)=2,RAMP_W2,IF((8-$I18+1)=3,RAMP_W3,RAMP_W4PLUS)))))*(INDEX(ACTIVE_MULT_TABLE,2,1))*(1+SUMPRODUCT(SIGN(((ACT_DOOR_SCOPE="ALL")+(ACT_DOOR_SCOPE="TIER_"&amp;$F18)+(ACT_DOOR_SCOPE=$B18)))*SIGN(((ACT_SKU_SCOPE="ALL")+(ACT_SKU_SCOPE=$G18)))*(ACT_START&lt;=8)*(ACT_END&gt;=8)*IFERROR(ACT_UPLIFT-1,0)))*(1+SUMPRODUCT(SIGN(((ACT_DOOR_SCOPE="ALL")+(ACT_DOOR_SCOPE="TIER_"&amp;$F18)+(ACT_DOOR_SCOPE=$B18)))*SIGN(((ACT_SKU_SCOPE="ALL")+(ACT_SKU_SCOPE=$G18)))*(8&gt;ACT_END)*(ACT_END&gt;0)*IFERROR(ACT_POSTLIFT,0))),0)))</f>
        <v/>
      </c>
      <c r="R18" s="10">
        <f>IF(OR($H18&lt;&gt;"Y",9&lt;$I18),0,IF(SUMPRODUCT(((BULK_ENABLED="Y")*((BULK_TIER="ALL")+(BULK_TIER=$F18))*((BULK_SKU="ALL")+(BULK_SKU=$G18))*(BULK_START&lt;=9)*(BULK_END&gt;=9)))&gt;0,IFERROR(SUMPRODUCT(((BULK_ENABLED="Y")*((BULK_TIER="ALL")+(BULK_TIER=$F18))*((BULK_SKU="ALL")+(BULK_SKU=$G18))*(BULK_START&lt;=9)*(BULK_END&gt;=9))*IFERROR(BULK_VALUE,0))/MAX(1,SUMPRODUCT(((BULK_ENABLED="Y")*((BULK_TIER="ALL")+(BULK_TIER=$F18))*((BULK_SKU="ALL")+(BULK_SKU=$G18))*(BULK_START&lt;=9)*(BULK_END&gt;=9)))),0),ROUND((INDEX(VELOCITY_TABLE,MATCH($F18,TIER_LIST,0),2))*(IF((9-$I18+1)&lt;=0,0,IF((9-$I18+1)=1,RAMP_W1,IF((9-$I18+1)=2,RAMP_W2,IF((9-$I18+1)=3,RAMP_W3,RAMP_W4PLUS)))))*(INDEX(ACTIVE_MULT_TABLE,2,1))*(1+SUMPRODUCT(SIGN(((ACT_DOOR_SCOPE="ALL")+(ACT_DOOR_SCOPE="TIER_"&amp;$F18)+(ACT_DOOR_SCOPE=$B18)))*SIGN(((ACT_SKU_SCOPE="ALL")+(ACT_SKU_SCOPE=$G18)))*(ACT_START&lt;=9)*(ACT_END&gt;=9)*IFERROR(ACT_UPLIFT-1,0)))*(1+SUMPRODUCT(SIGN(((ACT_DOOR_SCOPE="ALL")+(ACT_DOOR_SCOPE="TIER_"&amp;$F18)+(ACT_DOOR_SCOPE=$B18)))*SIGN(((ACT_SKU_SCOPE="ALL")+(ACT_SKU_SCOPE=$G18)))*(9&gt;ACT_END)*(ACT_END&gt;0)*IFERROR(ACT_POSTLIFT,0))),0)))</f>
        <v/>
      </c>
      <c r="S18" s="10">
        <f>IF(OR($H18&lt;&gt;"Y",10&lt;$I18),0,IF(SUMPRODUCT(((BULK_ENABLED="Y")*((BULK_TIER="ALL")+(BULK_TIER=$F18))*((BULK_SKU="ALL")+(BULK_SKU=$G18))*(BULK_START&lt;=10)*(BULK_END&gt;=10)))&gt;0,IFERROR(SUMPRODUCT(((BULK_ENABLED="Y")*((BULK_TIER="ALL")+(BULK_TIER=$F18))*((BULK_SKU="ALL")+(BULK_SKU=$G18))*(BULK_START&lt;=10)*(BULK_END&gt;=10))*IFERROR(BULK_VALUE,0))/MAX(1,SUMPRODUCT(((BULK_ENABLED="Y")*((BULK_TIER="ALL")+(BULK_TIER=$F18))*((BULK_SKU="ALL")+(BULK_SKU=$G18))*(BULK_START&lt;=10)*(BULK_END&gt;=10)))),0),ROUND((INDEX(VELOCITY_TABLE,MATCH($F18,TIER_LIST,0),2))*(IF((10-$I18+1)&lt;=0,0,IF((10-$I18+1)=1,RAMP_W1,IF((10-$I18+1)=2,RAMP_W2,IF((10-$I18+1)=3,RAMP_W3,RAMP_W4PLUS)))))*(INDEX(ACTIVE_MULT_TABLE,2,1))*(1+SUMPRODUCT(SIGN(((ACT_DOOR_SCOPE="ALL")+(ACT_DOOR_SCOPE="TIER_"&amp;$F18)+(ACT_DOOR_SCOPE=$B18)))*SIGN(((ACT_SKU_SCOPE="ALL")+(ACT_SKU_SCOPE=$G18)))*(ACT_START&lt;=10)*(ACT_END&gt;=10)*IFERROR(ACT_UPLIFT-1,0)))*(1+SUMPRODUCT(SIGN(((ACT_DOOR_SCOPE="ALL")+(ACT_DOOR_SCOPE="TIER_"&amp;$F18)+(ACT_DOOR_SCOPE=$B18)))*SIGN(((ACT_SKU_SCOPE="ALL")+(ACT_SKU_SCOPE=$G18)))*(10&gt;ACT_END)*(ACT_END&gt;0)*IFERROR(ACT_POSTLIFT,0))),0)))</f>
        <v/>
      </c>
      <c r="T18" s="10">
        <f>IF(OR($H18&lt;&gt;"Y",11&lt;$I18),0,IF(SUMPRODUCT(((BULK_ENABLED="Y")*((BULK_TIER="ALL")+(BULK_TIER=$F18))*((BULK_SKU="ALL")+(BULK_SKU=$G18))*(BULK_START&lt;=11)*(BULK_END&gt;=11)))&gt;0,IFERROR(SUMPRODUCT(((BULK_ENABLED="Y")*((BULK_TIER="ALL")+(BULK_TIER=$F18))*((BULK_SKU="ALL")+(BULK_SKU=$G18))*(BULK_START&lt;=11)*(BULK_END&gt;=11))*IFERROR(BULK_VALUE,0))/MAX(1,SUMPRODUCT(((BULK_ENABLED="Y")*((BULK_TIER="ALL")+(BULK_TIER=$F18))*((BULK_SKU="ALL")+(BULK_SKU=$G18))*(BULK_START&lt;=11)*(BULK_END&gt;=11)))),0),ROUND((INDEX(VELOCITY_TABLE,MATCH($F18,TIER_LIST,0),2))*(IF((11-$I18+1)&lt;=0,0,IF((11-$I18+1)=1,RAMP_W1,IF((11-$I18+1)=2,RAMP_W2,IF((11-$I18+1)=3,RAMP_W3,RAMP_W4PLUS)))))*(INDEX(ACTIVE_MULT_TABLE,2,1))*(1+SUMPRODUCT(SIGN(((ACT_DOOR_SCOPE="ALL")+(ACT_DOOR_SCOPE="TIER_"&amp;$F18)+(ACT_DOOR_SCOPE=$B18)))*SIGN(((ACT_SKU_SCOPE="ALL")+(ACT_SKU_SCOPE=$G18)))*(ACT_START&lt;=11)*(ACT_END&gt;=11)*IFERROR(ACT_UPLIFT-1,0)))*(1+SUMPRODUCT(SIGN(((ACT_DOOR_SCOPE="ALL")+(ACT_DOOR_SCOPE="TIER_"&amp;$F18)+(ACT_DOOR_SCOPE=$B18)))*SIGN(((ACT_SKU_SCOPE="ALL")+(ACT_SKU_SCOPE=$G18)))*(11&gt;ACT_END)*(ACT_END&gt;0)*IFERROR(ACT_POSTLIFT,0))),0)))</f>
        <v/>
      </c>
      <c r="U18" s="10">
        <f>IF(OR($H18&lt;&gt;"Y",12&lt;$I18),0,IF(SUMPRODUCT(((BULK_ENABLED="Y")*((BULK_TIER="ALL")+(BULK_TIER=$F18))*((BULK_SKU="ALL")+(BULK_SKU=$G18))*(BULK_START&lt;=12)*(BULK_END&gt;=12)))&gt;0,IFERROR(SUMPRODUCT(((BULK_ENABLED="Y")*((BULK_TIER="ALL")+(BULK_TIER=$F18))*((BULK_SKU="ALL")+(BULK_SKU=$G18))*(BULK_START&lt;=12)*(BULK_END&gt;=12))*IFERROR(BULK_VALUE,0))/MAX(1,SUMPRODUCT(((BULK_ENABLED="Y")*((BULK_TIER="ALL")+(BULK_TIER=$F18))*((BULK_SKU="ALL")+(BULK_SKU=$G18))*(BULK_START&lt;=12)*(BULK_END&gt;=12)))),0),ROUND((INDEX(VELOCITY_TABLE,MATCH($F18,TIER_LIST,0),2))*(IF((12-$I18+1)&lt;=0,0,IF((12-$I18+1)=1,RAMP_W1,IF((12-$I18+1)=2,RAMP_W2,IF((12-$I18+1)=3,RAMP_W3,RAMP_W4PLUS)))))*(INDEX(ACTIVE_MULT_TABLE,2,1))*(1+SUMPRODUCT(SIGN(((ACT_DOOR_SCOPE="ALL")+(ACT_DOOR_SCOPE="TIER_"&amp;$F18)+(ACT_DOOR_SCOPE=$B18)))*SIGN(((ACT_SKU_SCOPE="ALL")+(ACT_SKU_SCOPE=$G18)))*(ACT_START&lt;=12)*(ACT_END&gt;=12)*IFERROR(ACT_UPLIFT-1,0)))*(1+SUMPRODUCT(SIGN(((ACT_DOOR_SCOPE="ALL")+(ACT_DOOR_SCOPE="TIER_"&amp;$F18)+(ACT_DOOR_SCOPE=$B18)))*SIGN(((ACT_SKU_SCOPE="ALL")+(ACT_SKU_SCOPE=$G18)))*(12&gt;ACT_END)*(ACT_END&gt;0)*IFERROR(ACT_POSTLIFT,0))),0)))</f>
        <v/>
      </c>
      <c r="V18" s="10">
        <f>IF(OR($H18&lt;&gt;"Y",13&lt;$I18),0,IF(SUMPRODUCT(((BULK_ENABLED="Y")*((BULK_TIER="ALL")+(BULK_TIER=$F18))*((BULK_SKU="ALL")+(BULK_SKU=$G18))*(BULK_START&lt;=13)*(BULK_END&gt;=13)))&gt;0,IFERROR(SUMPRODUCT(((BULK_ENABLED="Y")*((BULK_TIER="ALL")+(BULK_TIER=$F18))*((BULK_SKU="ALL")+(BULK_SKU=$G18))*(BULK_START&lt;=13)*(BULK_END&gt;=13))*IFERROR(BULK_VALUE,0))/MAX(1,SUMPRODUCT(((BULK_ENABLED="Y")*((BULK_TIER="ALL")+(BULK_TIER=$F18))*((BULK_SKU="ALL")+(BULK_SKU=$G18))*(BULK_START&lt;=13)*(BULK_END&gt;=13)))),0),ROUND((INDEX(VELOCITY_TABLE,MATCH($F18,TIER_LIST,0),2))*(IF((13-$I18+1)&lt;=0,0,IF((13-$I18+1)=1,RAMP_W1,IF((13-$I18+1)=2,RAMP_W2,IF((13-$I18+1)=3,RAMP_W3,RAMP_W4PLUS)))))*(INDEX(ACTIVE_MULT_TABLE,2,1))*(1+SUMPRODUCT(SIGN(((ACT_DOOR_SCOPE="ALL")+(ACT_DOOR_SCOPE="TIER_"&amp;$F18)+(ACT_DOOR_SCOPE=$B18)))*SIGN(((ACT_SKU_SCOPE="ALL")+(ACT_SKU_SCOPE=$G18)))*(ACT_START&lt;=13)*(ACT_END&gt;=13)*IFERROR(ACT_UPLIFT-1,0)))*(1+SUMPRODUCT(SIGN(((ACT_DOOR_SCOPE="ALL")+(ACT_DOOR_SCOPE="TIER_"&amp;$F18)+(ACT_DOOR_SCOPE=$B18)))*SIGN(((ACT_SKU_SCOPE="ALL")+(ACT_SKU_SCOPE=$G18)))*(13&gt;ACT_END)*(ACT_END&gt;0)*IFERROR(ACT_POSTLIFT,0))),0)))</f>
        <v/>
      </c>
    </row>
    <row r="19">
      <c r="A19" t="inlineStr">
        <is>
          <t>R0015</t>
        </is>
      </c>
      <c r="B19">
        <f>Doors!$A$9</f>
        <v/>
      </c>
      <c r="C19">
        <f>Doors!$C$9</f>
        <v/>
      </c>
      <c r="D19">
        <f>Doors!$B$9</f>
        <v/>
      </c>
      <c r="E19">
        <f>Doors!$E$9</f>
        <v/>
      </c>
      <c r="F19">
        <f>Doors!$F$9</f>
        <v/>
      </c>
      <c r="G19" t="inlineStr">
        <is>
          <t>Raspberry</t>
        </is>
      </c>
      <c r="H19">
        <f>Doors!$I$9</f>
        <v/>
      </c>
      <c r="I19">
        <f>Doors!$J$9</f>
        <v/>
      </c>
      <c r="J19" s="10">
        <f>IF(OR($H19&lt;&gt;"Y",1&lt;$I19),0,IF(SUMPRODUCT(((BULK_ENABLED="Y")*((BULK_TIER="ALL")+(BULK_TIER=$F19))*((BULK_SKU="ALL")+(BULK_SKU=$G19))*(BULK_START&lt;=1)*(BULK_END&gt;=1)))&gt;0,IFERROR(SUMPRODUCT(((BULK_ENABLED="Y")*((BULK_TIER="ALL")+(BULK_TIER=$F19))*((BULK_SKU="ALL")+(BULK_SKU=$G19))*(BULK_START&lt;=1)*(BULK_END&gt;=1))*IFERROR(BULK_VALUE,0))/MAX(1,SUMPRODUCT(((BULK_ENABLED="Y")*((BULK_TIER="ALL")+(BULK_TIER=$F19))*((BULK_SKU="ALL")+(BULK_SKU=$G19))*(BULK_START&lt;=1)*(BULK_END&gt;=1)))),0),ROUND((INDEX(VELOCITY_TABLE,MATCH($F19,TIER_LIST,0),3))*(IF((1-$I19+1)&lt;=0,0,IF((1-$I19+1)=1,RAMP_W1,IF((1-$I19+1)=2,RAMP_W2,IF((1-$I19+1)=3,RAMP_W3,RAMP_W4PLUS)))))*(INDEX(ACTIVE_MULT_TABLE,3,1))*(1+SUMPRODUCT(SIGN(((ACT_DOOR_SCOPE="ALL")+(ACT_DOOR_SCOPE="TIER_"&amp;$F19)+(ACT_DOOR_SCOPE=$B19)))*SIGN(((ACT_SKU_SCOPE="ALL")+(ACT_SKU_SCOPE=$G19)))*(ACT_START&lt;=1)*(ACT_END&gt;=1)*IFERROR(ACT_UPLIFT-1,0)))*(1+SUMPRODUCT(SIGN(((ACT_DOOR_SCOPE="ALL")+(ACT_DOOR_SCOPE="TIER_"&amp;$F19)+(ACT_DOOR_SCOPE=$B19)))*SIGN(((ACT_SKU_SCOPE="ALL")+(ACT_SKU_SCOPE=$G19)))*(1&gt;ACT_END)*(ACT_END&gt;0)*IFERROR(ACT_POSTLIFT,0))),0)))</f>
        <v/>
      </c>
      <c r="K19" s="10">
        <f>IF(OR($H19&lt;&gt;"Y",2&lt;$I19),0,IF(SUMPRODUCT(((BULK_ENABLED="Y")*((BULK_TIER="ALL")+(BULK_TIER=$F19))*((BULK_SKU="ALL")+(BULK_SKU=$G19))*(BULK_START&lt;=2)*(BULK_END&gt;=2)))&gt;0,IFERROR(SUMPRODUCT(((BULK_ENABLED="Y")*((BULK_TIER="ALL")+(BULK_TIER=$F19))*((BULK_SKU="ALL")+(BULK_SKU=$G19))*(BULK_START&lt;=2)*(BULK_END&gt;=2))*IFERROR(BULK_VALUE,0))/MAX(1,SUMPRODUCT(((BULK_ENABLED="Y")*((BULK_TIER="ALL")+(BULK_TIER=$F19))*((BULK_SKU="ALL")+(BULK_SKU=$G19))*(BULK_START&lt;=2)*(BULK_END&gt;=2)))),0),ROUND((INDEX(VELOCITY_TABLE,MATCH($F19,TIER_LIST,0),3))*(IF((2-$I19+1)&lt;=0,0,IF((2-$I19+1)=1,RAMP_W1,IF((2-$I19+1)=2,RAMP_W2,IF((2-$I19+1)=3,RAMP_W3,RAMP_W4PLUS)))))*(INDEX(ACTIVE_MULT_TABLE,3,1))*(1+SUMPRODUCT(SIGN(((ACT_DOOR_SCOPE="ALL")+(ACT_DOOR_SCOPE="TIER_"&amp;$F19)+(ACT_DOOR_SCOPE=$B19)))*SIGN(((ACT_SKU_SCOPE="ALL")+(ACT_SKU_SCOPE=$G19)))*(ACT_START&lt;=2)*(ACT_END&gt;=2)*IFERROR(ACT_UPLIFT-1,0)))*(1+SUMPRODUCT(SIGN(((ACT_DOOR_SCOPE="ALL")+(ACT_DOOR_SCOPE="TIER_"&amp;$F19)+(ACT_DOOR_SCOPE=$B19)))*SIGN(((ACT_SKU_SCOPE="ALL")+(ACT_SKU_SCOPE=$G19)))*(2&gt;ACT_END)*(ACT_END&gt;0)*IFERROR(ACT_POSTLIFT,0))),0)))</f>
        <v/>
      </c>
      <c r="L19" s="10">
        <f>IF(OR($H19&lt;&gt;"Y",3&lt;$I19),0,IF(SUMPRODUCT(((BULK_ENABLED="Y")*((BULK_TIER="ALL")+(BULK_TIER=$F19))*((BULK_SKU="ALL")+(BULK_SKU=$G19))*(BULK_START&lt;=3)*(BULK_END&gt;=3)))&gt;0,IFERROR(SUMPRODUCT(((BULK_ENABLED="Y")*((BULK_TIER="ALL")+(BULK_TIER=$F19))*((BULK_SKU="ALL")+(BULK_SKU=$G19))*(BULK_START&lt;=3)*(BULK_END&gt;=3))*IFERROR(BULK_VALUE,0))/MAX(1,SUMPRODUCT(((BULK_ENABLED="Y")*((BULK_TIER="ALL")+(BULK_TIER=$F19))*((BULK_SKU="ALL")+(BULK_SKU=$G19))*(BULK_START&lt;=3)*(BULK_END&gt;=3)))),0),ROUND((INDEX(VELOCITY_TABLE,MATCH($F19,TIER_LIST,0),3))*(IF((3-$I19+1)&lt;=0,0,IF((3-$I19+1)=1,RAMP_W1,IF((3-$I19+1)=2,RAMP_W2,IF((3-$I19+1)=3,RAMP_W3,RAMP_W4PLUS)))))*(INDEX(ACTIVE_MULT_TABLE,3,1))*(1+SUMPRODUCT(SIGN(((ACT_DOOR_SCOPE="ALL")+(ACT_DOOR_SCOPE="TIER_"&amp;$F19)+(ACT_DOOR_SCOPE=$B19)))*SIGN(((ACT_SKU_SCOPE="ALL")+(ACT_SKU_SCOPE=$G19)))*(ACT_START&lt;=3)*(ACT_END&gt;=3)*IFERROR(ACT_UPLIFT-1,0)))*(1+SUMPRODUCT(SIGN(((ACT_DOOR_SCOPE="ALL")+(ACT_DOOR_SCOPE="TIER_"&amp;$F19)+(ACT_DOOR_SCOPE=$B19)))*SIGN(((ACT_SKU_SCOPE="ALL")+(ACT_SKU_SCOPE=$G19)))*(3&gt;ACT_END)*(ACT_END&gt;0)*IFERROR(ACT_POSTLIFT,0))),0)))</f>
        <v/>
      </c>
      <c r="M19" s="10">
        <f>IF(OR($H19&lt;&gt;"Y",4&lt;$I19),0,IF(SUMPRODUCT(((BULK_ENABLED="Y")*((BULK_TIER="ALL")+(BULK_TIER=$F19))*((BULK_SKU="ALL")+(BULK_SKU=$G19))*(BULK_START&lt;=4)*(BULK_END&gt;=4)))&gt;0,IFERROR(SUMPRODUCT(((BULK_ENABLED="Y")*((BULK_TIER="ALL")+(BULK_TIER=$F19))*((BULK_SKU="ALL")+(BULK_SKU=$G19))*(BULK_START&lt;=4)*(BULK_END&gt;=4))*IFERROR(BULK_VALUE,0))/MAX(1,SUMPRODUCT(((BULK_ENABLED="Y")*((BULK_TIER="ALL")+(BULK_TIER=$F19))*((BULK_SKU="ALL")+(BULK_SKU=$G19))*(BULK_START&lt;=4)*(BULK_END&gt;=4)))),0),ROUND((INDEX(VELOCITY_TABLE,MATCH($F19,TIER_LIST,0),3))*(IF((4-$I19+1)&lt;=0,0,IF((4-$I19+1)=1,RAMP_W1,IF((4-$I19+1)=2,RAMP_W2,IF((4-$I19+1)=3,RAMP_W3,RAMP_W4PLUS)))))*(INDEX(ACTIVE_MULT_TABLE,3,1))*(1+SUMPRODUCT(SIGN(((ACT_DOOR_SCOPE="ALL")+(ACT_DOOR_SCOPE="TIER_"&amp;$F19)+(ACT_DOOR_SCOPE=$B19)))*SIGN(((ACT_SKU_SCOPE="ALL")+(ACT_SKU_SCOPE=$G19)))*(ACT_START&lt;=4)*(ACT_END&gt;=4)*IFERROR(ACT_UPLIFT-1,0)))*(1+SUMPRODUCT(SIGN(((ACT_DOOR_SCOPE="ALL")+(ACT_DOOR_SCOPE="TIER_"&amp;$F19)+(ACT_DOOR_SCOPE=$B19)))*SIGN(((ACT_SKU_SCOPE="ALL")+(ACT_SKU_SCOPE=$G19)))*(4&gt;ACT_END)*(ACT_END&gt;0)*IFERROR(ACT_POSTLIFT,0))),0)))</f>
        <v/>
      </c>
      <c r="N19" s="10">
        <f>IF(OR($H19&lt;&gt;"Y",5&lt;$I19),0,IF(SUMPRODUCT(((BULK_ENABLED="Y")*((BULK_TIER="ALL")+(BULK_TIER=$F19))*((BULK_SKU="ALL")+(BULK_SKU=$G19))*(BULK_START&lt;=5)*(BULK_END&gt;=5)))&gt;0,IFERROR(SUMPRODUCT(((BULK_ENABLED="Y")*((BULK_TIER="ALL")+(BULK_TIER=$F19))*((BULK_SKU="ALL")+(BULK_SKU=$G19))*(BULK_START&lt;=5)*(BULK_END&gt;=5))*IFERROR(BULK_VALUE,0))/MAX(1,SUMPRODUCT(((BULK_ENABLED="Y")*((BULK_TIER="ALL")+(BULK_TIER=$F19))*((BULK_SKU="ALL")+(BULK_SKU=$G19))*(BULK_START&lt;=5)*(BULK_END&gt;=5)))),0),ROUND((INDEX(VELOCITY_TABLE,MATCH($F19,TIER_LIST,0),3))*(IF((5-$I19+1)&lt;=0,0,IF((5-$I19+1)=1,RAMP_W1,IF((5-$I19+1)=2,RAMP_W2,IF((5-$I19+1)=3,RAMP_W3,RAMP_W4PLUS)))))*(INDEX(ACTIVE_MULT_TABLE,3,1))*(1+SUMPRODUCT(SIGN(((ACT_DOOR_SCOPE="ALL")+(ACT_DOOR_SCOPE="TIER_"&amp;$F19)+(ACT_DOOR_SCOPE=$B19)))*SIGN(((ACT_SKU_SCOPE="ALL")+(ACT_SKU_SCOPE=$G19)))*(ACT_START&lt;=5)*(ACT_END&gt;=5)*IFERROR(ACT_UPLIFT-1,0)))*(1+SUMPRODUCT(SIGN(((ACT_DOOR_SCOPE="ALL")+(ACT_DOOR_SCOPE="TIER_"&amp;$F19)+(ACT_DOOR_SCOPE=$B19)))*SIGN(((ACT_SKU_SCOPE="ALL")+(ACT_SKU_SCOPE=$G19)))*(5&gt;ACT_END)*(ACT_END&gt;0)*IFERROR(ACT_POSTLIFT,0))),0)))</f>
        <v/>
      </c>
      <c r="O19" s="10">
        <f>IF(OR($H19&lt;&gt;"Y",6&lt;$I19),0,IF(SUMPRODUCT(((BULK_ENABLED="Y")*((BULK_TIER="ALL")+(BULK_TIER=$F19))*((BULK_SKU="ALL")+(BULK_SKU=$G19))*(BULK_START&lt;=6)*(BULK_END&gt;=6)))&gt;0,IFERROR(SUMPRODUCT(((BULK_ENABLED="Y")*((BULK_TIER="ALL")+(BULK_TIER=$F19))*((BULK_SKU="ALL")+(BULK_SKU=$G19))*(BULK_START&lt;=6)*(BULK_END&gt;=6))*IFERROR(BULK_VALUE,0))/MAX(1,SUMPRODUCT(((BULK_ENABLED="Y")*((BULK_TIER="ALL")+(BULK_TIER=$F19))*((BULK_SKU="ALL")+(BULK_SKU=$G19))*(BULK_START&lt;=6)*(BULK_END&gt;=6)))),0),ROUND((INDEX(VELOCITY_TABLE,MATCH($F19,TIER_LIST,0),3))*(IF((6-$I19+1)&lt;=0,0,IF((6-$I19+1)=1,RAMP_W1,IF((6-$I19+1)=2,RAMP_W2,IF((6-$I19+1)=3,RAMP_W3,RAMP_W4PLUS)))))*(INDEX(ACTIVE_MULT_TABLE,3,1))*(1+SUMPRODUCT(SIGN(((ACT_DOOR_SCOPE="ALL")+(ACT_DOOR_SCOPE="TIER_"&amp;$F19)+(ACT_DOOR_SCOPE=$B19)))*SIGN(((ACT_SKU_SCOPE="ALL")+(ACT_SKU_SCOPE=$G19)))*(ACT_START&lt;=6)*(ACT_END&gt;=6)*IFERROR(ACT_UPLIFT-1,0)))*(1+SUMPRODUCT(SIGN(((ACT_DOOR_SCOPE="ALL")+(ACT_DOOR_SCOPE="TIER_"&amp;$F19)+(ACT_DOOR_SCOPE=$B19)))*SIGN(((ACT_SKU_SCOPE="ALL")+(ACT_SKU_SCOPE=$G19)))*(6&gt;ACT_END)*(ACT_END&gt;0)*IFERROR(ACT_POSTLIFT,0))),0)))</f>
        <v/>
      </c>
      <c r="P19" s="10">
        <f>IF(OR($H19&lt;&gt;"Y",7&lt;$I19),0,IF(SUMPRODUCT(((BULK_ENABLED="Y")*((BULK_TIER="ALL")+(BULK_TIER=$F19))*((BULK_SKU="ALL")+(BULK_SKU=$G19))*(BULK_START&lt;=7)*(BULK_END&gt;=7)))&gt;0,IFERROR(SUMPRODUCT(((BULK_ENABLED="Y")*((BULK_TIER="ALL")+(BULK_TIER=$F19))*((BULK_SKU="ALL")+(BULK_SKU=$G19))*(BULK_START&lt;=7)*(BULK_END&gt;=7))*IFERROR(BULK_VALUE,0))/MAX(1,SUMPRODUCT(((BULK_ENABLED="Y")*((BULK_TIER="ALL")+(BULK_TIER=$F19))*((BULK_SKU="ALL")+(BULK_SKU=$G19))*(BULK_START&lt;=7)*(BULK_END&gt;=7)))),0),ROUND((INDEX(VELOCITY_TABLE,MATCH($F19,TIER_LIST,0),3))*(IF((7-$I19+1)&lt;=0,0,IF((7-$I19+1)=1,RAMP_W1,IF((7-$I19+1)=2,RAMP_W2,IF((7-$I19+1)=3,RAMP_W3,RAMP_W4PLUS)))))*(INDEX(ACTIVE_MULT_TABLE,3,1))*(1+SUMPRODUCT(SIGN(((ACT_DOOR_SCOPE="ALL")+(ACT_DOOR_SCOPE="TIER_"&amp;$F19)+(ACT_DOOR_SCOPE=$B19)))*SIGN(((ACT_SKU_SCOPE="ALL")+(ACT_SKU_SCOPE=$G19)))*(ACT_START&lt;=7)*(ACT_END&gt;=7)*IFERROR(ACT_UPLIFT-1,0)))*(1+SUMPRODUCT(SIGN(((ACT_DOOR_SCOPE="ALL")+(ACT_DOOR_SCOPE="TIER_"&amp;$F19)+(ACT_DOOR_SCOPE=$B19)))*SIGN(((ACT_SKU_SCOPE="ALL")+(ACT_SKU_SCOPE=$G19)))*(7&gt;ACT_END)*(ACT_END&gt;0)*IFERROR(ACT_POSTLIFT,0))),0)))</f>
        <v/>
      </c>
      <c r="Q19" s="10">
        <f>IF(OR($H19&lt;&gt;"Y",8&lt;$I19),0,IF(SUMPRODUCT(((BULK_ENABLED="Y")*((BULK_TIER="ALL")+(BULK_TIER=$F19))*((BULK_SKU="ALL")+(BULK_SKU=$G19))*(BULK_START&lt;=8)*(BULK_END&gt;=8)))&gt;0,IFERROR(SUMPRODUCT(((BULK_ENABLED="Y")*((BULK_TIER="ALL")+(BULK_TIER=$F19))*((BULK_SKU="ALL")+(BULK_SKU=$G19))*(BULK_START&lt;=8)*(BULK_END&gt;=8))*IFERROR(BULK_VALUE,0))/MAX(1,SUMPRODUCT(((BULK_ENABLED="Y")*((BULK_TIER="ALL")+(BULK_TIER=$F19))*((BULK_SKU="ALL")+(BULK_SKU=$G19))*(BULK_START&lt;=8)*(BULK_END&gt;=8)))),0),ROUND((INDEX(VELOCITY_TABLE,MATCH($F19,TIER_LIST,0),3))*(IF((8-$I19+1)&lt;=0,0,IF((8-$I19+1)=1,RAMP_W1,IF((8-$I19+1)=2,RAMP_W2,IF((8-$I19+1)=3,RAMP_W3,RAMP_W4PLUS)))))*(INDEX(ACTIVE_MULT_TABLE,3,1))*(1+SUMPRODUCT(SIGN(((ACT_DOOR_SCOPE="ALL")+(ACT_DOOR_SCOPE="TIER_"&amp;$F19)+(ACT_DOOR_SCOPE=$B19)))*SIGN(((ACT_SKU_SCOPE="ALL")+(ACT_SKU_SCOPE=$G19)))*(ACT_START&lt;=8)*(ACT_END&gt;=8)*IFERROR(ACT_UPLIFT-1,0)))*(1+SUMPRODUCT(SIGN(((ACT_DOOR_SCOPE="ALL")+(ACT_DOOR_SCOPE="TIER_"&amp;$F19)+(ACT_DOOR_SCOPE=$B19)))*SIGN(((ACT_SKU_SCOPE="ALL")+(ACT_SKU_SCOPE=$G19)))*(8&gt;ACT_END)*(ACT_END&gt;0)*IFERROR(ACT_POSTLIFT,0))),0)))</f>
        <v/>
      </c>
      <c r="R19" s="10">
        <f>IF(OR($H19&lt;&gt;"Y",9&lt;$I19),0,IF(SUMPRODUCT(((BULK_ENABLED="Y")*((BULK_TIER="ALL")+(BULK_TIER=$F19))*((BULK_SKU="ALL")+(BULK_SKU=$G19))*(BULK_START&lt;=9)*(BULK_END&gt;=9)))&gt;0,IFERROR(SUMPRODUCT(((BULK_ENABLED="Y")*((BULK_TIER="ALL")+(BULK_TIER=$F19))*((BULK_SKU="ALL")+(BULK_SKU=$G19))*(BULK_START&lt;=9)*(BULK_END&gt;=9))*IFERROR(BULK_VALUE,0))/MAX(1,SUMPRODUCT(((BULK_ENABLED="Y")*((BULK_TIER="ALL")+(BULK_TIER=$F19))*((BULK_SKU="ALL")+(BULK_SKU=$G19))*(BULK_START&lt;=9)*(BULK_END&gt;=9)))),0),ROUND((INDEX(VELOCITY_TABLE,MATCH($F19,TIER_LIST,0),3))*(IF((9-$I19+1)&lt;=0,0,IF((9-$I19+1)=1,RAMP_W1,IF((9-$I19+1)=2,RAMP_W2,IF((9-$I19+1)=3,RAMP_W3,RAMP_W4PLUS)))))*(INDEX(ACTIVE_MULT_TABLE,3,1))*(1+SUMPRODUCT(SIGN(((ACT_DOOR_SCOPE="ALL")+(ACT_DOOR_SCOPE="TIER_"&amp;$F19)+(ACT_DOOR_SCOPE=$B19)))*SIGN(((ACT_SKU_SCOPE="ALL")+(ACT_SKU_SCOPE=$G19)))*(ACT_START&lt;=9)*(ACT_END&gt;=9)*IFERROR(ACT_UPLIFT-1,0)))*(1+SUMPRODUCT(SIGN(((ACT_DOOR_SCOPE="ALL")+(ACT_DOOR_SCOPE="TIER_"&amp;$F19)+(ACT_DOOR_SCOPE=$B19)))*SIGN(((ACT_SKU_SCOPE="ALL")+(ACT_SKU_SCOPE=$G19)))*(9&gt;ACT_END)*(ACT_END&gt;0)*IFERROR(ACT_POSTLIFT,0))),0)))</f>
        <v/>
      </c>
      <c r="S19" s="10">
        <f>IF(OR($H19&lt;&gt;"Y",10&lt;$I19),0,IF(SUMPRODUCT(((BULK_ENABLED="Y")*((BULK_TIER="ALL")+(BULK_TIER=$F19))*((BULK_SKU="ALL")+(BULK_SKU=$G19))*(BULK_START&lt;=10)*(BULK_END&gt;=10)))&gt;0,IFERROR(SUMPRODUCT(((BULK_ENABLED="Y")*((BULK_TIER="ALL")+(BULK_TIER=$F19))*((BULK_SKU="ALL")+(BULK_SKU=$G19))*(BULK_START&lt;=10)*(BULK_END&gt;=10))*IFERROR(BULK_VALUE,0))/MAX(1,SUMPRODUCT(((BULK_ENABLED="Y")*((BULK_TIER="ALL")+(BULK_TIER=$F19))*((BULK_SKU="ALL")+(BULK_SKU=$G19))*(BULK_START&lt;=10)*(BULK_END&gt;=10)))),0),ROUND((INDEX(VELOCITY_TABLE,MATCH($F19,TIER_LIST,0),3))*(IF((10-$I19+1)&lt;=0,0,IF((10-$I19+1)=1,RAMP_W1,IF((10-$I19+1)=2,RAMP_W2,IF((10-$I19+1)=3,RAMP_W3,RAMP_W4PLUS)))))*(INDEX(ACTIVE_MULT_TABLE,3,1))*(1+SUMPRODUCT(SIGN(((ACT_DOOR_SCOPE="ALL")+(ACT_DOOR_SCOPE="TIER_"&amp;$F19)+(ACT_DOOR_SCOPE=$B19)))*SIGN(((ACT_SKU_SCOPE="ALL")+(ACT_SKU_SCOPE=$G19)))*(ACT_START&lt;=10)*(ACT_END&gt;=10)*IFERROR(ACT_UPLIFT-1,0)))*(1+SUMPRODUCT(SIGN(((ACT_DOOR_SCOPE="ALL")+(ACT_DOOR_SCOPE="TIER_"&amp;$F19)+(ACT_DOOR_SCOPE=$B19)))*SIGN(((ACT_SKU_SCOPE="ALL")+(ACT_SKU_SCOPE=$G19)))*(10&gt;ACT_END)*(ACT_END&gt;0)*IFERROR(ACT_POSTLIFT,0))),0)))</f>
        <v/>
      </c>
      <c r="T19" s="10">
        <f>IF(OR($H19&lt;&gt;"Y",11&lt;$I19),0,IF(SUMPRODUCT(((BULK_ENABLED="Y")*((BULK_TIER="ALL")+(BULK_TIER=$F19))*((BULK_SKU="ALL")+(BULK_SKU=$G19))*(BULK_START&lt;=11)*(BULK_END&gt;=11)))&gt;0,IFERROR(SUMPRODUCT(((BULK_ENABLED="Y")*((BULK_TIER="ALL")+(BULK_TIER=$F19))*((BULK_SKU="ALL")+(BULK_SKU=$G19))*(BULK_START&lt;=11)*(BULK_END&gt;=11))*IFERROR(BULK_VALUE,0))/MAX(1,SUMPRODUCT(((BULK_ENABLED="Y")*((BULK_TIER="ALL")+(BULK_TIER=$F19))*((BULK_SKU="ALL")+(BULK_SKU=$G19))*(BULK_START&lt;=11)*(BULK_END&gt;=11)))),0),ROUND((INDEX(VELOCITY_TABLE,MATCH($F19,TIER_LIST,0),3))*(IF((11-$I19+1)&lt;=0,0,IF((11-$I19+1)=1,RAMP_W1,IF((11-$I19+1)=2,RAMP_W2,IF((11-$I19+1)=3,RAMP_W3,RAMP_W4PLUS)))))*(INDEX(ACTIVE_MULT_TABLE,3,1))*(1+SUMPRODUCT(SIGN(((ACT_DOOR_SCOPE="ALL")+(ACT_DOOR_SCOPE="TIER_"&amp;$F19)+(ACT_DOOR_SCOPE=$B19)))*SIGN(((ACT_SKU_SCOPE="ALL")+(ACT_SKU_SCOPE=$G19)))*(ACT_START&lt;=11)*(ACT_END&gt;=11)*IFERROR(ACT_UPLIFT-1,0)))*(1+SUMPRODUCT(SIGN(((ACT_DOOR_SCOPE="ALL")+(ACT_DOOR_SCOPE="TIER_"&amp;$F19)+(ACT_DOOR_SCOPE=$B19)))*SIGN(((ACT_SKU_SCOPE="ALL")+(ACT_SKU_SCOPE=$G19)))*(11&gt;ACT_END)*(ACT_END&gt;0)*IFERROR(ACT_POSTLIFT,0))),0)))</f>
        <v/>
      </c>
      <c r="U19" s="10">
        <f>IF(OR($H19&lt;&gt;"Y",12&lt;$I19),0,IF(SUMPRODUCT(((BULK_ENABLED="Y")*((BULK_TIER="ALL")+(BULK_TIER=$F19))*((BULK_SKU="ALL")+(BULK_SKU=$G19))*(BULK_START&lt;=12)*(BULK_END&gt;=12)))&gt;0,IFERROR(SUMPRODUCT(((BULK_ENABLED="Y")*((BULK_TIER="ALL")+(BULK_TIER=$F19))*((BULK_SKU="ALL")+(BULK_SKU=$G19))*(BULK_START&lt;=12)*(BULK_END&gt;=12))*IFERROR(BULK_VALUE,0))/MAX(1,SUMPRODUCT(((BULK_ENABLED="Y")*((BULK_TIER="ALL")+(BULK_TIER=$F19))*((BULK_SKU="ALL")+(BULK_SKU=$G19))*(BULK_START&lt;=12)*(BULK_END&gt;=12)))),0),ROUND((INDEX(VELOCITY_TABLE,MATCH($F19,TIER_LIST,0),3))*(IF((12-$I19+1)&lt;=0,0,IF((12-$I19+1)=1,RAMP_W1,IF((12-$I19+1)=2,RAMP_W2,IF((12-$I19+1)=3,RAMP_W3,RAMP_W4PLUS)))))*(INDEX(ACTIVE_MULT_TABLE,3,1))*(1+SUMPRODUCT(SIGN(((ACT_DOOR_SCOPE="ALL")+(ACT_DOOR_SCOPE="TIER_"&amp;$F19)+(ACT_DOOR_SCOPE=$B19)))*SIGN(((ACT_SKU_SCOPE="ALL")+(ACT_SKU_SCOPE=$G19)))*(ACT_START&lt;=12)*(ACT_END&gt;=12)*IFERROR(ACT_UPLIFT-1,0)))*(1+SUMPRODUCT(SIGN(((ACT_DOOR_SCOPE="ALL")+(ACT_DOOR_SCOPE="TIER_"&amp;$F19)+(ACT_DOOR_SCOPE=$B19)))*SIGN(((ACT_SKU_SCOPE="ALL")+(ACT_SKU_SCOPE=$G19)))*(12&gt;ACT_END)*(ACT_END&gt;0)*IFERROR(ACT_POSTLIFT,0))),0)))</f>
        <v/>
      </c>
      <c r="V19" s="10">
        <f>IF(OR($H19&lt;&gt;"Y",13&lt;$I19),0,IF(SUMPRODUCT(((BULK_ENABLED="Y")*((BULK_TIER="ALL")+(BULK_TIER=$F19))*((BULK_SKU="ALL")+(BULK_SKU=$G19))*(BULK_START&lt;=13)*(BULK_END&gt;=13)))&gt;0,IFERROR(SUMPRODUCT(((BULK_ENABLED="Y")*((BULK_TIER="ALL")+(BULK_TIER=$F19))*((BULK_SKU="ALL")+(BULK_SKU=$G19))*(BULK_START&lt;=13)*(BULK_END&gt;=13))*IFERROR(BULK_VALUE,0))/MAX(1,SUMPRODUCT(((BULK_ENABLED="Y")*((BULK_TIER="ALL")+(BULK_TIER=$F19))*((BULK_SKU="ALL")+(BULK_SKU=$G19))*(BULK_START&lt;=13)*(BULK_END&gt;=13)))),0),ROUND((INDEX(VELOCITY_TABLE,MATCH($F19,TIER_LIST,0),3))*(IF((13-$I19+1)&lt;=0,0,IF((13-$I19+1)=1,RAMP_W1,IF((13-$I19+1)=2,RAMP_W2,IF((13-$I19+1)=3,RAMP_W3,RAMP_W4PLUS)))))*(INDEX(ACTIVE_MULT_TABLE,3,1))*(1+SUMPRODUCT(SIGN(((ACT_DOOR_SCOPE="ALL")+(ACT_DOOR_SCOPE="TIER_"&amp;$F19)+(ACT_DOOR_SCOPE=$B19)))*SIGN(((ACT_SKU_SCOPE="ALL")+(ACT_SKU_SCOPE=$G19)))*(ACT_START&lt;=13)*(ACT_END&gt;=13)*IFERROR(ACT_UPLIFT-1,0)))*(1+SUMPRODUCT(SIGN(((ACT_DOOR_SCOPE="ALL")+(ACT_DOOR_SCOPE="TIER_"&amp;$F19)+(ACT_DOOR_SCOPE=$B19)))*SIGN(((ACT_SKU_SCOPE="ALL")+(ACT_SKU_SCOPE=$G19)))*(13&gt;ACT_END)*(ACT_END&gt;0)*IFERROR(ACT_POSTLIFT,0))),0)))</f>
        <v/>
      </c>
    </row>
    <row r="20">
      <c r="A20" t="inlineStr">
        <is>
          <t>R0016</t>
        </is>
      </c>
      <c r="B20">
        <f>Doors!$A$10</f>
        <v/>
      </c>
      <c r="C20">
        <f>Doors!$C$10</f>
        <v/>
      </c>
      <c r="D20">
        <f>Doors!$B$10</f>
        <v/>
      </c>
      <c r="E20">
        <f>Doors!$E$10</f>
        <v/>
      </c>
      <c r="F20">
        <f>Doors!$F$10</f>
        <v/>
      </c>
      <c r="G20" t="inlineStr">
        <is>
          <t>Lime Lemon</t>
        </is>
      </c>
      <c r="H20">
        <f>Doors!$G$10</f>
        <v/>
      </c>
      <c r="I20">
        <f>Doors!$J$10</f>
        <v/>
      </c>
      <c r="J20" s="10">
        <f>IF(OR($H20&lt;&gt;"Y",1&lt;$I20),0,IF(SUMPRODUCT(((BULK_ENABLED="Y")*((BULK_TIER="ALL")+(BULK_TIER=$F20))*((BULK_SKU="ALL")+(BULK_SKU=$G20))*(BULK_START&lt;=1)*(BULK_END&gt;=1)))&gt;0,IFERROR(SUMPRODUCT(((BULK_ENABLED="Y")*((BULK_TIER="ALL")+(BULK_TIER=$F20))*((BULK_SKU="ALL")+(BULK_SKU=$G20))*(BULK_START&lt;=1)*(BULK_END&gt;=1))*IFERROR(BULK_VALUE,0))/MAX(1,SUMPRODUCT(((BULK_ENABLED="Y")*((BULK_TIER="ALL")+(BULK_TIER=$F20))*((BULK_SKU="ALL")+(BULK_SKU=$G20))*(BULK_START&lt;=1)*(BULK_END&gt;=1)))),0),ROUND((INDEX(VELOCITY_TABLE,MATCH($F20,TIER_LIST,0),1))*(IF((1-$I20+1)&lt;=0,0,IF((1-$I20+1)=1,RAMP_W1,IF((1-$I20+1)=2,RAMP_W2,IF((1-$I20+1)=3,RAMP_W3,RAMP_W4PLUS)))))*(INDEX(ACTIVE_MULT_TABLE,1,1))*(1+SUMPRODUCT(SIGN(((ACT_DOOR_SCOPE="ALL")+(ACT_DOOR_SCOPE="TIER_"&amp;$F20)+(ACT_DOOR_SCOPE=$B20)))*SIGN(((ACT_SKU_SCOPE="ALL")+(ACT_SKU_SCOPE=$G20)))*(ACT_START&lt;=1)*(ACT_END&gt;=1)*IFERROR(ACT_UPLIFT-1,0)))*(1+SUMPRODUCT(SIGN(((ACT_DOOR_SCOPE="ALL")+(ACT_DOOR_SCOPE="TIER_"&amp;$F20)+(ACT_DOOR_SCOPE=$B20)))*SIGN(((ACT_SKU_SCOPE="ALL")+(ACT_SKU_SCOPE=$G20)))*(1&gt;ACT_END)*(ACT_END&gt;0)*IFERROR(ACT_POSTLIFT,0))),0)))</f>
        <v/>
      </c>
      <c r="K20" s="10">
        <f>IF(OR($H20&lt;&gt;"Y",2&lt;$I20),0,IF(SUMPRODUCT(((BULK_ENABLED="Y")*((BULK_TIER="ALL")+(BULK_TIER=$F20))*((BULK_SKU="ALL")+(BULK_SKU=$G20))*(BULK_START&lt;=2)*(BULK_END&gt;=2)))&gt;0,IFERROR(SUMPRODUCT(((BULK_ENABLED="Y")*((BULK_TIER="ALL")+(BULK_TIER=$F20))*((BULK_SKU="ALL")+(BULK_SKU=$G20))*(BULK_START&lt;=2)*(BULK_END&gt;=2))*IFERROR(BULK_VALUE,0))/MAX(1,SUMPRODUCT(((BULK_ENABLED="Y")*((BULK_TIER="ALL")+(BULK_TIER=$F20))*((BULK_SKU="ALL")+(BULK_SKU=$G20))*(BULK_START&lt;=2)*(BULK_END&gt;=2)))),0),ROUND((INDEX(VELOCITY_TABLE,MATCH($F20,TIER_LIST,0),1))*(IF((2-$I20+1)&lt;=0,0,IF((2-$I20+1)=1,RAMP_W1,IF((2-$I20+1)=2,RAMP_W2,IF((2-$I20+1)=3,RAMP_W3,RAMP_W4PLUS)))))*(INDEX(ACTIVE_MULT_TABLE,1,1))*(1+SUMPRODUCT(SIGN(((ACT_DOOR_SCOPE="ALL")+(ACT_DOOR_SCOPE="TIER_"&amp;$F20)+(ACT_DOOR_SCOPE=$B20)))*SIGN(((ACT_SKU_SCOPE="ALL")+(ACT_SKU_SCOPE=$G20)))*(ACT_START&lt;=2)*(ACT_END&gt;=2)*IFERROR(ACT_UPLIFT-1,0)))*(1+SUMPRODUCT(SIGN(((ACT_DOOR_SCOPE="ALL")+(ACT_DOOR_SCOPE="TIER_"&amp;$F20)+(ACT_DOOR_SCOPE=$B20)))*SIGN(((ACT_SKU_SCOPE="ALL")+(ACT_SKU_SCOPE=$G20)))*(2&gt;ACT_END)*(ACT_END&gt;0)*IFERROR(ACT_POSTLIFT,0))),0)))</f>
        <v/>
      </c>
      <c r="L20" s="10">
        <f>IF(OR($H20&lt;&gt;"Y",3&lt;$I20),0,IF(SUMPRODUCT(((BULK_ENABLED="Y")*((BULK_TIER="ALL")+(BULK_TIER=$F20))*((BULK_SKU="ALL")+(BULK_SKU=$G20))*(BULK_START&lt;=3)*(BULK_END&gt;=3)))&gt;0,IFERROR(SUMPRODUCT(((BULK_ENABLED="Y")*((BULK_TIER="ALL")+(BULK_TIER=$F20))*((BULK_SKU="ALL")+(BULK_SKU=$G20))*(BULK_START&lt;=3)*(BULK_END&gt;=3))*IFERROR(BULK_VALUE,0))/MAX(1,SUMPRODUCT(((BULK_ENABLED="Y")*((BULK_TIER="ALL")+(BULK_TIER=$F20))*((BULK_SKU="ALL")+(BULK_SKU=$G20))*(BULK_START&lt;=3)*(BULK_END&gt;=3)))),0),ROUND((INDEX(VELOCITY_TABLE,MATCH($F20,TIER_LIST,0),1))*(IF((3-$I20+1)&lt;=0,0,IF((3-$I20+1)=1,RAMP_W1,IF((3-$I20+1)=2,RAMP_W2,IF((3-$I20+1)=3,RAMP_W3,RAMP_W4PLUS)))))*(INDEX(ACTIVE_MULT_TABLE,1,1))*(1+SUMPRODUCT(SIGN(((ACT_DOOR_SCOPE="ALL")+(ACT_DOOR_SCOPE="TIER_"&amp;$F20)+(ACT_DOOR_SCOPE=$B20)))*SIGN(((ACT_SKU_SCOPE="ALL")+(ACT_SKU_SCOPE=$G20)))*(ACT_START&lt;=3)*(ACT_END&gt;=3)*IFERROR(ACT_UPLIFT-1,0)))*(1+SUMPRODUCT(SIGN(((ACT_DOOR_SCOPE="ALL")+(ACT_DOOR_SCOPE="TIER_"&amp;$F20)+(ACT_DOOR_SCOPE=$B20)))*SIGN(((ACT_SKU_SCOPE="ALL")+(ACT_SKU_SCOPE=$G20)))*(3&gt;ACT_END)*(ACT_END&gt;0)*IFERROR(ACT_POSTLIFT,0))),0)))</f>
        <v/>
      </c>
      <c r="M20" s="10">
        <f>IF(OR($H20&lt;&gt;"Y",4&lt;$I20),0,IF(SUMPRODUCT(((BULK_ENABLED="Y")*((BULK_TIER="ALL")+(BULK_TIER=$F20))*((BULK_SKU="ALL")+(BULK_SKU=$G20))*(BULK_START&lt;=4)*(BULK_END&gt;=4)))&gt;0,IFERROR(SUMPRODUCT(((BULK_ENABLED="Y")*((BULK_TIER="ALL")+(BULK_TIER=$F20))*((BULK_SKU="ALL")+(BULK_SKU=$G20))*(BULK_START&lt;=4)*(BULK_END&gt;=4))*IFERROR(BULK_VALUE,0))/MAX(1,SUMPRODUCT(((BULK_ENABLED="Y")*((BULK_TIER="ALL")+(BULK_TIER=$F20))*((BULK_SKU="ALL")+(BULK_SKU=$G20))*(BULK_START&lt;=4)*(BULK_END&gt;=4)))),0),ROUND((INDEX(VELOCITY_TABLE,MATCH($F20,TIER_LIST,0),1))*(IF((4-$I20+1)&lt;=0,0,IF((4-$I20+1)=1,RAMP_W1,IF((4-$I20+1)=2,RAMP_W2,IF((4-$I20+1)=3,RAMP_W3,RAMP_W4PLUS)))))*(INDEX(ACTIVE_MULT_TABLE,1,1))*(1+SUMPRODUCT(SIGN(((ACT_DOOR_SCOPE="ALL")+(ACT_DOOR_SCOPE="TIER_"&amp;$F20)+(ACT_DOOR_SCOPE=$B20)))*SIGN(((ACT_SKU_SCOPE="ALL")+(ACT_SKU_SCOPE=$G20)))*(ACT_START&lt;=4)*(ACT_END&gt;=4)*IFERROR(ACT_UPLIFT-1,0)))*(1+SUMPRODUCT(SIGN(((ACT_DOOR_SCOPE="ALL")+(ACT_DOOR_SCOPE="TIER_"&amp;$F20)+(ACT_DOOR_SCOPE=$B20)))*SIGN(((ACT_SKU_SCOPE="ALL")+(ACT_SKU_SCOPE=$G20)))*(4&gt;ACT_END)*(ACT_END&gt;0)*IFERROR(ACT_POSTLIFT,0))),0)))</f>
        <v/>
      </c>
      <c r="N20" s="10">
        <f>IF(OR($H20&lt;&gt;"Y",5&lt;$I20),0,IF(SUMPRODUCT(((BULK_ENABLED="Y")*((BULK_TIER="ALL")+(BULK_TIER=$F20))*((BULK_SKU="ALL")+(BULK_SKU=$G20))*(BULK_START&lt;=5)*(BULK_END&gt;=5)))&gt;0,IFERROR(SUMPRODUCT(((BULK_ENABLED="Y")*((BULK_TIER="ALL")+(BULK_TIER=$F20))*((BULK_SKU="ALL")+(BULK_SKU=$G20))*(BULK_START&lt;=5)*(BULK_END&gt;=5))*IFERROR(BULK_VALUE,0))/MAX(1,SUMPRODUCT(((BULK_ENABLED="Y")*((BULK_TIER="ALL")+(BULK_TIER=$F20))*((BULK_SKU="ALL")+(BULK_SKU=$G20))*(BULK_START&lt;=5)*(BULK_END&gt;=5)))),0),ROUND((INDEX(VELOCITY_TABLE,MATCH($F20,TIER_LIST,0),1))*(IF((5-$I20+1)&lt;=0,0,IF((5-$I20+1)=1,RAMP_W1,IF((5-$I20+1)=2,RAMP_W2,IF((5-$I20+1)=3,RAMP_W3,RAMP_W4PLUS)))))*(INDEX(ACTIVE_MULT_TABLE,1,1))*(1+SUMPRODUCT(SIGN(((ACT_DOOR_SCOPE="ALL")+(ACT_DOOR_SCOPE="TIER_"&amp;$F20)+(ACT_DOOR_SCOPE=$B20)))*SIGN(((ACT_SKU_SCOPE="ALL")+(ACT_SKU_SCOPE=$G20)))*(ACT_START&lt;=5)*(ACT_END&gt;=5)*IFERROR(ACT_UPLIFT-1,0)))*(1+SUMPRODUCT(SIGN(((ACT_DOOR_SCOPE="ALL")+(ACT_DOOR_SCOPE="TIER_"&amp;$F20)+(ACT_DOOR_SCOPE=$B20)))*SIGN(((ACT_SKU_SCOPE="ALL")+(ACT_SKU_SCOPE=$G20)))*(5&gt;ACT_END)*(ACT_END&gt;0)*IFERROR(ACT_POSTLIFT,0))),0)))</f>
        <v/>
      </c>
      <c r="O20" s="10">
        <f>IF(OR($H20&lt;&gt;"Y",6&lt;$I20),0,IF(SUMPRODUCT(((BULK_ENABLED="Y")*((BULK_TIER="ALL")+(BULK_TIER=$F20))*((BULK_SKU="ALL")+(BULK_SKU=$G20))*(BULK_START&lt;=6)*(BULK_END&gt;=6)))&gt;0,IFERROR(SUMPRODUCT(((BULK_ENABLED="Y")*((BULK_TIER="ALL")+(BULK_TIER=$F20))*((BULK_SKU="ALL")+(BULK_SKU=$G20))*(BULK_START&lt;=6)*(BULK_END&gt;=6))*IFERROR(BULK_VALUE,0))/MAX(1,SUMPRODUCT(((BULK_ENABLED="Y")*((BULK_TIER="ALL")+(BULK_TIER=$F20))*((BULK_SKU="ALL")+(BULK_SKU=$G20))*(BULK_START&lt;=6)*(BULK_END&gt;=6)))),0),ROUND((INDEX(VELOCITY_TABLE,MATCH($F20,TIER_LIST,0),1))*(IF((6-$I20+1)&lt;=0,0,IF((6-$I20+1)=1,RAMP_W1,IF((6-$I20+1)=2,RAMP_W2,IF((6-$I20+1)=3,RAMP_W3,RAMP_W4PLUS)))))*(INDEX(ACTIVE_MULT_TABLE,1,1))*(1+SUMPRODUCT(SIGN(((ACT_DOOR_SCOPE="ALL")+(ACT_DOOR_SCOPE="TIER_"&amp;$F20)+(ACT_DOOR_SCOPE=$B20)))*SIGN(((ACT_SKU_SCOPE="ALL")+(ACT_SKU_SCOPE=$G20)))*(ACT_START&lt;=6)*(ACT_END&gt;=6)*IFERROR(ACT_UPLIFT-1,0)))*(1+SUMPRODUCT(SIGN(((ACT_DOOR_SCOPE="ALL")+(ACT_DOOR_SCOPE="TIER_"&amp;$F20)+(ACT_DOOR_SCOPE=$B20)))*SIGN(((ACT_SKU_SCOPE="ALL")+(ACT_SKU_SCOPE=$G20)))*(6&gt;ACT_END)*(ACT_END&gt;0)*IFERROR(ACT_POSTLIFT,0))),0)))</f>
        <v/>
      </c>
      <c r="P20" s="10">
        <f>IF(OR($H20&lt;&gt;"Y",7&lt;$I20),0,IF(SUMPRODUCT(((BULK_ENABLED="Y")*((BULK_TIER="ALL")+(BULK_TIER=$F20))*((BULK_SKU="ALL")+(BULK_SKU=$G20))*(BULK_START&lt;=7)*(BULK_END&gt;=7)))&gt;0,IFERROR(SUMPRODUCT(((BULK_ENABLED="Y")*((BULK_TIER="ALL")+(BULK_TIER=$F20))*((BULK_SKU="ALL")+(BULK_SKU=$G20))*(BULK_START&lt;=7)*(BULK_END&gt;=7))*IFERROR(BULK_VALUE,0))/MAX(1,SUMPRODUCT(((BULK_ENABLED="Y")*((BULK_TIER="ALL")+(BULK_TIER=$F20))*((BULK_SKU="ALL")+(BULK_SKU=$G20))*(BULK_START&lt;=7)*(BULK_END&gt;=7)))),0),ROUND((INDEX(VELOCITY_TABLE,MATCH($F20,TIER_LIST,0),1))*(IF((7-$I20+1)&lt;=0,0,IF((7-$I20+1)=1,RAMP_W1,IF((7-$I20+1)=2,RAMP_W2,IF((7-$I20+1)=3,RAMP_W3,RAMP_W4PLUS)))))*(INDEX(ACTIVE_MULT_TABLE,1,1))*(1+SUMPRODUCT(SIGN(((ACT_DOOR_SCOPE="ALL")+(ACT_DOOR_SCOPE="TIER_"&amp;$F20)+(ACT_DOOR_SCOPE=$B20)))*SIGN(((ACT_SKU_SCOPE="ALL")+(ACT_SKU_SCOPE=$G20)))*(ACT_START&lt;=7)*(ACT_END&gt;=7)*IFERROR(ACT_UPLIFT-1,0)))*(1+SUMPRODUCT(SIGN(((ACT_DOOR_SCOPE="ALL")+(ACT_DOOR_SCOPE="TIER_"&amp;$F20)+(ACT_DOOR_SCOPE=$B20)))*SIGN(((ACT_SKU_SCOPE="ALL")+(ACT_SKU_SCOPE=$G20)))*(7&gt;ACT_END)*(ACT_END&gt;0)*IFERROR(ACT_POSTLIFT,0))),0)))</f>
        <v/>
      </c>
      <c r="Q20" s="10">
        <f>IF(OR($H20&lt;&gt;"Y",8&lt;$I20),0,IF(SUMPRODUCT(((BULK_ENABLED="Y")*((BULK_TIER="ALL")+(BULK_TIER=$F20))*((BULK_SKU="ALL")+(BULK_SKU=$G20))*(BULK_START&lt;=8)*(BULK_END&gt;=8)))&gt;0,IFERROR(SUMPRODUCT(((BULK_ENABLED="Y")*((BULK_TIER="ALL")+(BULK_TIER=$F20))*((BULK_SKU="ALL")+(BULK_SKU=$G20))*(BULK_START&lt;=8)*(BULK_END&gt;=8))*IFERROR(BULK_VALUE,0))/MAX(1,SUMPRODUCT(((BULK_ENABLED="Y")*((BULK_TIER="ALL")+(BULK_TIER=$F20))*((BULK_SKU="ALL")+(BULK_SKU=$G20))*(BULK_START&lt;=8)*(BULK_END&gt;=8)))),0),ROUND((INDEX(VELOCITY_TABLE,MATCH($F20,TIER_LIST,0),1))*(IF((8-$I20+1)&lt;=0,0,IF((8-$I20+1)=1,RAMP_W1,IF((8-$I20+1)=2,RAMP_W2,IF((8-$I20+1)=3,RAMP_W3,RAMP_W4PLUS)))))*(INDEX(ACTIVE_MULT_TABLE,1,1))*(1+SUMPRODUCT(SIGN(((ACT_DOOR_SCOPE="ALL")+(ACT_DOOR_SCOPE="TIER_"&amp;$F20)+(ACT_DOOR_SCOPE=$B20)))*SIGN(((ACT_SKU_SCOPE="ALL")+(ACT_SKU_SCOPE=$G20)))*(ACT_START&lt;=8)*(ACT_END&gt;=8)*IFERROR(ACT_UPLIFT-1,0)))*(1+SUMPRODUCT(SIGN(((ACT_DOOR_SCOPE="ALL")+(ACT_DOOR_SCOPE="TIER_"&amp;$F20)+(ACT_DOOR_SCOPE=$B20)))*SIGN(((ACT_SKU_SCOPE="ALL")+(ACT_SKU_SCOPE=$G20)))*(8&gt;ACT_END)*(ACT_END&gt;0)*IFERROR(ACT_POSTLIFT,0))),0)))</f>
        <v/>
      </c>
      <c r="R20" s="10">
        <f>IF(OR($H20&lt;&gt;"Y",9&lt;$I20),0,IF(SUMPRODUCT(((BULK_ENABLED="Y")*((BULK_TIER="ALL")+(BULK_TIER=$F20))*((BULK_SKU="ALL")+(BULK_SKU=$G20))*(BULK_START&lt;=9)*(BULK_END&gt;=9)))&gt;0,IFERROR(SUMPRODUCT(((BULK_ENABLED="Y")*((BULK_TIER="ALL")+(BULK_TIER=$F20))*((BULK_SKU="ALL")+(BULK_SKU=$G20))*(BULK_START&lt;=9)*(BULK_END&gt;=9))*IFERROR(BULK_VALUE,0))/MAX(1,SUMPRODUCT(((BULK_ENABLED="Y")*((BULK_TIER="ALL")+(BULK_TIER=$F20))*((BULK_SKU="ALL")+(BULK_SKU=$G20))*(BULK_START&lt;=9)*(BULK_END&gt;=9)))),0),ROUND((INDEX(VELOCITY_TABLE,MATCH($F20,TIER_LIST,0),1))*(IF((9-$I20+1)&lt;=0,0,IF((9-$I20+1)=1,RAMP_W1,IF((9-$I20+1)=2,RAMP_W2,IF((9-$I20+1)=3,RAMP_W3,RAMP_W4PLUS)))))*(INDEX(ACTIVE_MULT_TABLE,1,1))*(1+SUMPRODUCT(SIGN(((ACT_DOOR_SCOPE="ALL")+(ACT_DOOR_SCOPE="TIER_"&amp;$F20)+(ACT_DOOR_SCOPE=$B20)))*SIGN(((ACT_SKU_SCOPE="ALL")+(ACT_SKU_SCOPE=$G20)))*(ACT_START&lt;=9)*(ACT_END&gt;=9)*IFERROR(ACT_UPLIFT-1,0)))*(1+SUMPRODUCT(SIGN(((ACT_DOOR_SCOPE="ALL")+(ACT_DOOR_SCOPE="TIER_"&amp;$F20)+(ACT_DOOR_SCOPE=$B20)))*SIGN(((ACT_SKU_SCOPE="ALL")+(ACT_SKU_SCOPE=$G20)))*(9&gt;ACT_END)*(ACT_END&gt;0)*IFERROR(ACT_POSTLIFT,0))),0)))</f>
        <v/>
      </c>
      <c r="S20" s="10">
        <f>IF(OR($H20&lt;&gt;"Y",10&lt;$I20),0,IF(SUMPRODUCT(((BULK_ENABLED="Y")*((BULK_TIER="ALL")+(BULK_TIER=$F20))*((BULK_SKU="ALL")+(BULK_SKU=$G20))*(BULK_START&lt;=10)*(BULK_END&gt;=10)))&gt;0,IFERROR(SUMPRODUCT(((BULK_ENABLED="Y")*((BULK_TIER="ALL")+(BULK_TIER=$F20))*((BULK_SKU="ALL")+(BULK_SKU=$G20))*(BULK_START&lt;=10)*(BULK_END&gt;=10))*IFERROR(BULK_VALUE,0))/MAX(1,SUMPRODUCT(((BULK_ENABLED="Y")*((BULK_TIER="ALL")+(BULK_TIER=$F20))*((BULK_SKU="ALL")+(BULK_SKU=$G20))*(BULK_START&lt;=10)*(BULK_END&gt;=10)))),0),ROUND((INDEX(VELOCITY_TABLE,MATCH($F20,TIER_LIST,0),1))*(IF((10-$I20+1)&lt;=0,0,IF((10-$I20+1)=1,RAMP_W1,IF((10-$I20+1)=2,RAMP_W2,IF((10-$I20+1)=3,RAMP_W3,RAMP_W4PLUS)))))*(INDEX(ACTIVE_MULT_TABLE,1,1))*(1+SUMPRODUCT(SIGN(((ACT_DOOR_SCOPE="ALL")+(ACT_DOOR_SCOPE="TIER_"&amp;$F20)+(ACT_DOOR_SCOPE=$B20)))*SIGN(((ACT_SKU_SCOPE="ALL")+(ACT_SKU_SCOPE=$G20)))*(ACT_START&lt;=10)*(ACT_END&gt;=10)*IFERROR(ACT_UPLIFT-1,0)))*(1+SUMPRODUCT(SIGN(((ACT_DOOR_SCOPE="ALL")+(ACT_DOOR_SCOPE="TIER_"&amp;$F20)+(ACT_DOOR_SCOPE=$B20)))*SIGN(((ACT_SKU_SCOPE="ALL")+(ACT_SKU_SCOPE=$G20)))*(10&gt;ACT_END)*(ACT_END&gt;0)*IFERROR(ACT_POSTLIFT,0))),0)))</f>
        <v/>
      </c>
      <c r="T20" s="10">
        <f>IF(OR($H20&lt;&gt;"Y",11&lt;$I20),0,IF(SUMPRODUCT(((BULK_ENABLED="Y")*((BULK_TIER="ALL")+(BULK_TIER=$F20))*((BULK_SKU="ALL")+(BULK_SKU=$G20))*(BULK_START&lt;=11)*(BULK_END&gt;=11)))&gt;0,IFERROR(SUMPRODUCT(((BULK_ENABLED="Y")*((BULK_TIER="ALL")+(BULK_TIER=$F20))*((BULK_SKU="ALL")+(BULK_SKU=$G20))*(BULK_START&lt;=11)*(BULK_END&gt;=11))*IFERROR(BULK_VALUE,0))/MAX(1,SUMPRODUCT(((BULK_ENABLED="Y")*((BULK_TIER="ALL")+(BULK_TIER=$F20))*((BULK_SKU="ALL")+(BULK_SKU=$G20))*(BULK_START&lt;=11)*(BULK_END&gt;=11)))),0),ROUND((INDEX(VELOCITY_TABLE,MATCH($F20,TIER_LIST,0),1))*(IF((11-$I20+1)&lt;=0,0,IF((11-$I20+1)=1,RAMP_W1,IF((11-$I20+1)=2,RAMP_W2,IF((11-$I20+1)=3,RAMP_W3,RAMP_W4PLUS)))))*(INDEX(ACTIVE_MULT_TABLE,1,1))*(1+SUMPRODUCT(SIGN(((ACT_DOOR_SCOPE="ALL")+(ACT_DOOR_SCOPE="TIER_"&amp;$F20)+(ACT_DOOR_SCOPE=$B20)))*SIGN(((ACT_SKU_SCOPE="ALL")+(ACT_SKU_SCOPE=$G20)))*(ACT_START&lt;=11)*(ACT_END&gt;=11)*IFERROR(ACT_UPLIFT-1,0)))*(1+SUMPRODUCT(SIGN(((ACT_DOOR_SCOPE="ALL")+(ACT_DOOR_SCOPE="TIER_"&amp;$F20)+(ACT_DOOR_SCOPE=$B20)))*SIGN(((ACT_SKU_SCOPE="ALL")+(ACT_SKU_SCOPE=$G20)))*(11&gt;ACT_END)*(ACT_END&gt;0)*IFERROR(ACT_POSTLIFT,0))),0)))</f>
        <v/>
      </c>
      <c r="U20" s="10">
        <f>IF(OR($H20&lt;&gt;"Y",12&lt;$I20),0,IF(SUMPRODUCT(((BULK_ENABLED="Y")*((BULK_TIER="ALL")+(BULK_TIER=$F20))*((BULK_SKU="ALL")+(BULK_SKU=$G20))*(BULK_START&lt;=12)*(BULK_END&gt;=12)))&gt;0,IFERROR(SUMPRODUCT(((BULK_ENABLED="Y")*((BULK_TIER="ALL")+(BULK_TIER=$F20))*((BULK_SKU="ALL")+(BULK_SKU=$G20))*(BULK_START&lt;=12)*(BULK_END&gt;=12))*IFERROR(BULK_VALUE,0))/MAX(1,SUMPRODUCT(((BULK_ENABLED="Y")*((BULK_TIER="ALL")+(BULK_TIER=$F20))*((BULK_SKU="ALL")+(BULK_SKU=$G20))*(BULK_START&lt;=12)*(BULK_END&gt;=12)))),0),ROUND((INDEX(VELOCITY_TABLE,MATCH($F20,TIER_LIST,0),1))*(IF((12-$I20+1)&lt;=0,0,IF((12-$I20+1)=1,RAMP_W1,IF((12-$I20+1)=2,RAMP_W2,IF((12-$I20+1)=3,RAMP_W3,RAMP_W4PLUS)))))*(INDEX(ACTIVE_MULT_TABLE,1,1))*(1+SUMPRODUCT(SIGN(((ACT_DOOR_SCOPE="ALL")+(ACT_DOOR_SCOPE="TIER_"&amp;$F20)+(ACT_DOOR_SCOPE=$B20)))*SIGN(((ACT_SKU_SCOPE="ALL")+(ACT_SKU_SCOPE=$G20)))*(ACT_START&lt;=12)*(ACT_END&gt;=12)*IFERROR(ACT_UPLIFT-1,0)))*(1+SUMPRODUCT(SIGN(((ACT_DOOR_SCOPE="ALL")+(ACT_DOOR_SCOPE="TIER_"&amp;$F20)+(ACT_DOOR_SCOPE=$B20)))*SIGN(((ACT_SKU_SCOPE="ALL")+(ACT_SKU_SCOPE=$G20)))*(12&gt;ACT_END)*(ACT_END&gt;0)*IFERROR(ACT_POSTLIFT,0))),0)))</f>
        <v/>
      </c>
      <c r="V20" s="10">
        <f>IF(OR($H20&lt;&gt;"Y",13&lt;$I20),0,IF(SUMPRODUCT(((BULK_ENABLED="Y")*((BULK_TIER="ALL")+(BULK_TIER=$F20))*((BULK_SKU="ALL")+(BULK_SKU=$G20))*(BULK_START&lt;=13)*(BULK_END&gt;=13)))&gt;0,IFERROR(SUMPRODUCT(((BULK_ENABLED="Y")*((BULK_TIER="ALL")+(BULK_TIER=$F20))*((BULK_SKU="ALL")+(BULK_SKU=$G20))*(BULK_START&lt;=13)*(BULK_END&gt;=13))*IFERROR(BULK_VALUE,0))/MAX(1,SUMPRODUCT(((BULK_ENABLED="Y")*((BULK_TIER="ALL")+(BULK_TIER=$F20))*((BULK_SKU="ALL")+(BULK_SKU=$G20))*(BULK_START&lt;=13)*(BULK_END&gt;=13)))),0),ROUND((INDEX(VELOCITY_TABLE,MATCH($F20,TIER_LIST,0),1))*(IF((13-$I20+1)&lt;=0,0,IF((13-$I20+1)=1,RAMP_W1,IF((13-$I20+1)=2,RAMP_W2,IF((13-$I20+1)=3,RAMP_W3,RAMP_W4PLUS)))))*(INDEX(ACTIVE_MULT_TABLE,1,1))*(1+SUMPRODUCT(SIGN(((ACT_DOOR_SCOPE="ALL")+(ACT_DOOR_SCOPE="TIER_"&amp;$F20)+(ACT_DOOR_SCOPE=$B20)))*SIGN(((ACT_SKU_SCOPE="ALL")+(ACT_SKU_SCOPE=$G20)))*(ACT_START&lt;=13)*(ACT_END&gt;=13)*IFERROR(ACT_UPLIFT-1,0)))*(1+SUMPRODUCT(SIGN(((ACT_DOOR_SCOPE="ALL")+(ACT_DOOR_SCOPE="TIER_"&amp;$F20)+(ACT_DOOR_SCOPE=$B20)))*SIGN(((ACT_SKU_SCOPE="ALL")+(ACT_SKU_SCOPE=$G20)))*(13&gt;ACT_END)*(ACT_END&gt;0)*IFERROR(ACT_POSTLIFT,0))),0)))</f>
        <v/>
      </c>
    </row>
    <row r="21">
      <c r="A21" t="inlineStr">
        <is>
          <t>R0017</t>
        </is>
      </c>
      <c r="B21">
        <f>Doors!$A$10</f>
        <v/>
      </c>
      <c r="C21">
        <f>Doors!$C$10</f>
        <v/>
      </c>
      <c r="D21">
        <f>Doors!$B$10</f>
        <v/>
      </c>
      <c r="E21">
        <f>Doors!$E$10</f>
        <v/>
      </c>
      <c r="F21">
        <f>Doors!$F$10</f>
        <v/>
      </c>
      <c r="G21" t="inlineStr">
        <is>
          <t>Pineapple Passion Fruit</t>
        </is>
      </c>
      <c r="H21">
        <f>Doors!$H$10</f>
        <v/>
      </c>
      <c r="I21">
        <f>Doors!$J$10</f>
        <v/>
      </c>
      <c r="J21" s="10">
        <f>IF(OR($H21&lt;&gt;"Y",1&lt;$I21),0,IF(SUMPRODUCT(((BULK_ENABLED="Y")*((BULK_TIER="ALL")+(BULK_TIER=$F21))*((BULK_SKU="ALL")+(BULK_SKU=$G21))*(BULK_START&lt;=1)*(BULK_END&gt;=1)))&gt;0,IFERROR(SUMPRODUCT(((BULK_ENABLED="Y")*((BULK_TIER="ALL")+(BULK_TIER=$F21))*((BULK_SKU="ALL")+(BULK_SKU=$G21))*(BULK_START&lt;=1)*(BULK_END&gt;=1))*IFERROR(BULK_VALUE,0))/MAX(1,SUMPRODUCT(((BULK_ENABLED="Y")*((BULK_TIER="ALL")+(BULK_TIER=$F21))*((BULK_SKU="ALL")+(BULK_SKU=$G21))*(BULK_START&lt;=1)*(BULK_END&gt;=1)))),0),ROUND((INDEX(VELOCITY_TABLE,MATCH($F21,TIER_LIST,0),2))*(IF((1-$I21+1)&lt;=0,0,IF((1-$I21+1)=1,RAMP_W1,IF((1-$I21+1)=2,RAMP_W2,IF((1-$I21+1)=3,RAMP_W3,RAMP_W4PLUS)))))*(INDEX(ACTIVE_MULT_TABLE,2,1))*(1+SUMPRODUCT(SIGN(((ACT_DOOR_SCOPE="ALL")+(ACT_DOOR_SCOPE="TIER_"&amp;$F21)+(ACT_DOOR_SCOPE=$B21)))*SIGN(((ACT_SKU_SCOPE="ALL")+(ACT_SKU_SCOPE=$G21)))*(ACT_START&lt;=1)*(ACT_END&gt;=1)*IFERROR(ACT_UPLIFT-1,0)))*(1+SUMPRODUCT(SIGN(((ACT_DOOR_SCOPE="ALL")+(ACT_DOOR_SCOPE="TIER_"&amp;$F21)+(ACT_DOOR_SCOPE=$B21)))*SIGN(((ACT_SKU_SCOPE="ALL")+(ACT_SKU_SCOPE=$G21)))*(1&gt;ACT_END)*(ACT_END&gt;0)*IFERROR(ACT_POSTLIFT,0))),0)))</f>
        <v/>
      </c>
      <c r="K21" s="10">
        <f>IF(OR($H21&lt;&gt;"Y",2&lt;$I21),0,IF(SUMPRODUCT(((BULK_ENABLED="Y")*((BULK_TIER="ALL")+(BULK_TIER=$F21))*((BULK_SKU="ALL")+(BULK_SKU=$G21))*(BULK_START&lt;=2)*(BULK_END&gt;=2)))&gt;0,IFERROR(SUMPRODUCT(((BULK_ENABLED="Y")*((BULK_TIER="ALL")+(BULK_TIER=$F21))*((BULK_SKU="ALL")+(BULK_SKU=$G21))*(BULK_START&lt;=2)*(BULK_END&gt;=2))*IFERROR(BULK_VALUE,0))/MAX(1,SUMPRODUCT(((BULK_ENABLED="Y")*((BULK_TIER="ALL")+(BULK_TIER=$F21))*((BULK_SKU="ALL")+(BULK_SKU=$G21))*(BULK_START&lt;=2)*(BULK_END&gt;=2)))),0),ROUND((INDEX(VELOCITY_TABLE,MATCH($F21,TIER_LIST,0),2))*(IF((2-$I21+1)&lt;=0,0,IF((2-$I21+1)=1,RAMP_W1,IF((2-$I21+1)=2,RAMP_W2,IF((2-$I21+1)=3,RAMP_W3,RAMP_W4PLUS)))))*(INDEX(ACTIVE_MULT_TABLE,2,1))*(1+SUMPRODUCT(SIGN(((ACT_DOOR_SCOPE="ALL")+(ACT_DOOR_SCOPE="TIER_"&amp;$F21)+(ACT_DOOR_SCOPE=$B21)))*SIGN(((ACT_SKU_SCOPE="ALL")+(ACT_SKU_SCOPE=$G21)))*(ACT_START&lt;=2)*(ACT_END&gt;=2)*IFERROR(ACT_UPLIFT-1,0)))*(1+SUMPRODUCT(SIGN(((ACT_DOOR_SCOPE="ALL")+(ACT_DOOR_SCOPE="TIER_"&amp;$F21)+(ACT_DOOR_SCOPE=$B21)))*SIGN(((ACT_SKU_SCOPE="ALL")+(ACT_SKU_SCOPE=$G21)))*(2&gt;ACT_END)*(ACT_END&gt;0)*IFERROR(ACT_POSTLIFT,0))),0)))</f>
        <v/>
      </c>
      <c r="L21" s="10">
        <f>IF(OR($H21&lt;&gt;"Y",3&lt;$I21),0,IF(SUMPRODUCT(((BULK_ENABLED="Y")*((BULK_TIER="ALL")+(BULK_TIER=$F21))*((BULK_SKU="ALL")+(BULK_SKU=$G21))*(BULK_START&lt;=3)*(BULK_END&gt;=3)))&gt;0,IFERROR(SUMPRODUCT(((BULK_ENABLED="Y")*((BULK_TIER="ALL")+(BULK_TIER=$F21))*((BULK_SKU="ALL")+(BULK_SKU=$G21))*(BULK_START&lt;=3)*(BULK_END&gt;=3))*IFERROR(BULK_VALUE,0))/MAX(1,SUMPRODUCT(((BULK_ENABLED="Y")*((BULK_TIER="ALL")+(BULK_TIER=$F21))*((BULK_SKU="ALL")+(BULK_SKU=$G21))*(BULK_START&lt;=3)*(BULK_END&gt;=3)))),0),ROUND((INDEX(VELOCITY_TABLE,MATCH($F21,TIER_LIST,0),2))*(IF((3-$I21+1)&lt;=0,0,IF((3-$I21+1)=1,RAMP_W1,IF((3-$I21+1)=2,RAMP_W2,IF((3-$I21+1)=3,RAMP_W3,RAMP_W4PLUS)))))*(INDEX(ACTIVE_MULT_TABLE,2,1))*(1+SUMPRODUCT(SIGN(((ACT_DOOR_SCOPE="ALL")+(ACT_DOOR_SCOPE="TIER_"&amp;$F21)+(ACT_DOOR_SCOPE=$B21)))*SIGN(((ACT_SKU_SCOPE="ALL")+(ACT_SKU_SCOPE=$G21)))*(ACT_START&lt;=3)*(ACT_END&gt;=3)*IFERROR(ACT_UPLIFT-1,0)))*(1+SUMPRODUCT(SIGN(((ACT_DOOR_SCOPE="ALL")+(ACT_DOOR_SCOPE="TIER_"&amp;$F21)+(ACT_DOOR_SCOPE=$B21)))*SIGN(((ACT_SKU_SCOPE="ALL")+(ACT_SKU_SCOPE=$G21)))*(3&gt;ACT_END)*(ACT_END&gt;0)*IFERROR(ACT_POSTLIFT,0))),0)))</f>
        <v/>
      </c>
      <c r="M21" s="10">
        <f>IF(OR($H21&lt;&gt;"Y",4&lt;$I21),0,IF(SUMPRODUCT(((BULK_ENABLED="Y")*((BULK_TIER="ALL")+(BULK_TIER=$F21))*((BULK_SKU="ALL")+(BULK_SKU=$G21))*(BULK_START&lt;=4)*(BULK_END&gt;=4)))&gt;0,IFERROR(SUMPRODUCT(((BULK_ENABLED="Y")*((BULK_TIER="ALL")+(BULK_TIER=$F21))*((BULK_SKU="ALL")+(BULK_SKU=$G21))*(BULK_START&lt;=4)*(BULK_END&gt;=4))*IFERROR(BULK_VALUE,0))/MAX(1,SUMPRODUCT(((BULK_ENABLED="Y")*((BULK_TIER="ALL")+(BULK_TIER=$F21))*((BULK_SKU="ALL")+(BULK_SKU=$G21))*(BULK_START&lt;=4)*(BULK_END&gt;=4)))),0),ROUND((INDEX(VELOCITY_TABLE,MATCH($F21,TIER_LIST,0),2))*(IF((4-$I21+1)&lt;=0,0,IF((4-$I21+1)=1,RAMP_W1,IF((4-$I21+1)=2,RAMP_W2,IF((4-$I21+1)=3,RAMP_W3,RAMP_W4PLUS)))))*(INDEX(ACTIVE_MULT_TABLE,2,1))*(1+SUMPRODUCT(SIGN(((ACT_DOOR_SCOPE="ALL")+(ACT_DOOR_SCOPE="TIER_"&amp;$F21)+(ACT_DOOR_SCOPE=$B21)))*SIGN(((ACT_SKU_SCOPE="ALL")+(ACT_SKU_SCOPE=$G21)))*(ACT_START&lt;=4)*(ACT_END&gt;=4)*IFERROR(ACT_UPLIFT-1,0)))*(1+SUMPRODUCT(SIGN(((ACT_DOOR_SCOPE="ALL")+(ACT_DOOR_SCOPE="TIER_"&amp;$F21)+(ACT_DOOR_SCOPE=$B21)))*SIGN(((ACT_SKU_SCOPE="ALL")+(ACT_SKU_SCOPE=$G21)))*(4&gt;ACT_END)*(ACT_END&gt;0)*IFERROR(ACT_POSTLIFT,0))),0)))</f>
        <v/>
      </c>
      <c r="N21" s="10">
        <f>IF(OR($H21&lt;&gt;"Y",5&lt;$I21),0,IF(SUMPRODUCT(((BULK_ENABLED="Y")*((BULK_TIER="ALL")+(BULK_TIER=$F21))*((BULK_SKU="ALL")+(BULK_SKU=$G21))*(BULK_START&lt;=5)*(BULK_END&gt;=5)))&gt;0,IFERROR(SUMPRODUCT(((BULK_ENABLED="Y")*((BULK_TIER="ALL")+(BULK_TIER=$F21))*((BULK_SKU="ALL")+(BULK_SKU=$G21))*(BULK_START&lt;=5)*(BULK_END&gt;=5))*IFERROR(BULK_VALUE,0))/MAX(1,SUMPRODUCT(((BULK_ENABLED="Y")*((BULK_TIER="ALL")+(BULK_TIER=$F21))*((BULK_SKU="ALL")+(BULK_SKU=$G21))*(BULK_START&lt;=5)*(BULK_END&gt;=5)))),0),ROUND((INDEX(VELOCITY_TABLE,MATCH($F21,TIER_LIST,0),2))*(IF((5-$I21+1)&lt;=0,0,IF((5-$I21+1)=1,RAMP_W1,IF((5-$I21+1)=2,RAMP_W2,IF((5-$I21+1)=3,RAMP_W3,RAMP_W4PLUS)))))*(INDEX(ACTIVE_MULT_TABLE,2,1))*(1+SUMPRODUCT(SIGN(((ACT_DOOR_SCOPE="ALL")+(ACT_DOOR_SCOPE="TIER_"&amp;$F21)+(ACT_DOOR_SCOPE=$B21)))*SIGN(((ACT_SKU_SCOPE="ALL")+(ACT_SKU_SCOPE=$G21)))*(ACT_START&lt;=5)*(ACT_END&gt;=5)*IFERROR(ACT_UPLIFT-1,0)))*(1+SUMPRODUCT(SIGN(((ACT_DOOR_SCOPE="ALL")+(ACT_DOOR_SCOPE="TIER_"&amp;$F21)+(ACT_DOOR_SCOPE=$B21)))*SIGN(((ACT_SKU_SCOPE="ALL")+(ACT_SKU_SCOPE=$G21)))*(5&gt;ACT_END)*(ACT_END&gt;0)*IFERROR(ACT_POSTLIFT,0))),0)))</f>
        <v/>
      </c>
      <c r="O21" s="10">
        <f>IF(OR($H21&lt;&gt;"Y",6&lt;$I21),0,IF(SUMPRODUCT(((BULK_ENABLED="Y")*((BULK_TIER="ALL")+(BULK_TIER=$F21))*((BULK_SKU="ALL")+(BULK_SKU=$G21))*(BULK_START&lt;=6)*(BULK_END&gt;=6)))&gt;0,IFERROR(SUMPRODUCT(((BULK_ENABLED="Y")*((BULK_TIER="ALL")+(BULK_TIER=$F21))*((BULK_SKU="ALL")+(BULK_SKU=$G21))*(BULK_START&lt;=6)*(BULK_END&gt;=6))*IFERROR(BULK_VALUE,0))/MAX(1,SUMPRODUCT(((BULK_ENABLED="Y")*((BULK_TIER="ALL")+(BULK_TIER=$F21))*((BULK_SKU="ALL")+(BULK_SKU=$G21))*(BULK_START&lt;=6)*(BULK_END&gt;=6)))),0),ROUND((INDEX(VELOCITY_TABLE,MATCH($F21,TIER_LIST,0),2))*(IF((6-$I21+1)&lt;=0,0,IF((6-$I21+1)=1,RAMP_W1,IF((6-$I21+1)=2,RAMP_W2,IF((6-$I21+1)=3,RAMP_W3,RAMP_W4PLUS)))))*(INDEX(ACTIVE_MULT_TABLE,2,1))*(1+SUMPRODUCT(SIGN(((ACT_DOOR_SCOPE="ALL")+(ACT_DOOR_SCOPE="TIER_"&amp;$F21)+(ACT_DOOR_SCOPE=$B21)))*SIGN(((ACT_SKU_SCOPE="ALL")+(ACT_SKU_SCOPE=$G21)))*(ACT_START&lt;=6)*(ACT_END&gt;=6)*IFERROR(ACT_UPLIFT-1,0)))*(1+SUMPRODUCT(SIGN(((ACT_DOOR_SCOPE="ALL")+(ACT_DOOR_SCOPE="TIER_"&amp;$F21)+(ACT_DOOR_SCOPE=$B21)))*SIGN(((ACT_SKU_SCOPE="ALL")+(ACT_SKU_SCOPE=$G21)))*(6&gt;ACT_END)*(ACT_END&gt;0)*IFERROR(ACT_POSTLIFT,0))),0)))</f>
        <v/>
      </c>
      <c r="P21" s="10">
        <f>IF(OR($H21&lt;&gt;"Y",7&lt;$I21),0,IF(SUMPRODUCT(((BULK_ENABLED="Y")*((BULK_TIER="ALL")+(BULK_TIER=$F21))*((BULK_SKU="ALL")+(BULK_SKU=$G21))*(BULK_START&lt;=7)*(BULK_END&gt;=7)))&gt;0,IFERROR(SUMPRODUCT(((BULK_ENABLED="Y")*((BULK_TIER="ALL")+(BULK_TIER=$F21))*((BULK_SKU="ALL")+(BULK_SKU=$G21))*(BULK_START&lt;=7)*(BULK_END&gt;=7))*IFERROR(BULK_VALUE,0))/MAX(1,SUMPRODUCT(((BULK_ENABLED="Y")*((BULK_TIER="ALL")+(BULK_TIER=$F21))*((BULK_SKU="ALL")+(BULK_SKU=$G21))*(BULK_START&lt;=7)*(BULK_END&gt;=7)))),0),ROUND((INDEX(VELOCITY_TABLE,MATCH($F21,TIER_LIST,0),2))*(IF((7-$I21+1)&lt;=0,0,IF((7-$I21+1)=1,RAMP_W1,IF((7-$I21+1)=2,RAMP_W2,IF((7-$I21+1)=3,RAMP_W3,RAMP_W4PLUS)))))*(INDEX(ACTIVE_MULT_TABLE,2,1))*(1+SUMPRODUCT(SIGN(((ACT_DOOR_SCOPE="ALL")+(ACT_DOOR_SCOPE="TIER_"&amp;$F21)+(ACT_DOOR_SCOPE=$B21)))*SIGN(((ACT_SKU_SCOPE="ALL")+(ACT_SKU_SCOPE=$G21)))*(ACT_START&lt;=7)*(ACT_END&gt;=7)*IFERROR(ACT_UPLIFT-1,0)))*(1+SUMPRODUCT(SIGN(((ACT_DOOR_SCOPE="ALL")+(ACT_DOOR_SCOPE="TIER_"&amp;$F21)+(ACT_DOOR_SCOPE=$B21)))*SIGN(((ACT_SKU_SCOPE="ALL")+(ACT_SKU_SCOPE=$G21)))*(7&gt;ACT_END)*(ACT_END&gt;0)*IFERROR(ACT_POSTLIFT,0))),0)))</f>
        <v/>
      </c>
      <c r="Q21" s="10">
        <f>IF(OR($H21&lt;&gt;"Y",8&lt;$I21),0,IF(SUMPRODUCT(((BULK_ENABLED="Y")*((BULK_TIER="ALL")+(BULK_TIER=$F21))*((BULK_SKU="ALL")+(BULK_SKU=$G21))*(BULK_START&lt;=8)*(BULK_END&gt;=8)))&gt;0,IFERROR(SUMPRODUCT(((BULK_ENABLED="Y")*((BULK_TIER="ALL")+(BULK_TIER=$F21))*((BULK_SKU="ALL")+(BULK_SKU=$G21))*(BULK_START&lt;=8)*(BULK_END&gt;=8))*IFERROR(BULK_VALUE,0))/MAX(1,SUMPRODUCT(((BULK_ENABLED="Y")*((BULK_TIER="ALL")+(BULK_TIER=$F21))*((BULK_SKU="ALL")+(BULK_SKU=$G21))*(BULK_START&lt;=8)*(BULK_END&gt;=8)))),0),ROUND((INDEX(VELOCITY_TABLE,MATCH($F21,TIER_LIST,0),2))*(IF((8-$I21+1)&lt;=0,0,IF((8-$I21+1)=1,RAMP_W1,IF((8-$I21+1)=2,RAMP_W2,IF((8-$I21+1)=3,RAMP_W3,RAMP_W4PLUS)))))*(INDEX(ACTIVE_MULT_TABLE,2,1))*(1+SUMPRODUCT(SIGN(((ACT_DOOR_SCOPE="ALL")+(ACT_DOOR_SCOPE="TIER_"&amp;$F21)+(ACT_DOOR_SCOPE=$B21)))*SIGN(((ACT_SKU_SCOPE="ALL")+(ACT_SKU_SCOPE=$G21)))*(ACT_START&lt;=8)*(ACT_END&gt;=8)*IFERROR(ACT_UPLIFT-1,0)))*(1+SUMPRODUCT(SIGN(((ACT_DOOR_SCOPE="ALL")+(ACT_DOOR_SCOPE="TIER_"&amp;$F21)+(ACT_DOOR_SCOPE=$B21)))*SIGN(((ACT_SKU_SCOPE="ALL")+(ACT_SKU_SCOPE=$G21)))*(8&gt;ACT_END)*(ACT_END&gt;0)*IFERROR(ACT_POSTLIFT,0))),0)))</f>
        <v/>
      </c>
      <c r="R21" s="10">
        <f>IF(OR($H21&lt;&gt;"Y",9&lt;$I21),0,IF(SUMPRODUCT(((BULK_ENABLED="Y")*((BULK_TIER="ALL")+(BULK_TIER=$F21))*((BULK_SKU="ALL")+(BULK_SKU=$G21))*(BULK_START&lt;=9)*(BULK_END&gt;=9)))&gt;0,IFERROR(SUMPRODUCT(((BULK_ENABLED="Y")*((BULK_TIER="ALL")+(BULK_TIER=$F21))*((BULK_SKU="ALL")+(BULK_SKU=$G21))*(BULK_START&lt;=9)*(BULK_END&gt;=9))*IFERROR(BULK_VALUE,0))/MAX(1,SUMPRODUCT(((BULK_ENABLED="Y")*((BULK_TIER="ALL")+(BULK_TIER=$F21))*((BULK_SKU="ALL")+(BULK_SKU=$G21))*(BULK_START&lt;=9)*(BULK_END&gt;=9)))),0),ROUND((INDEX(VELOCITY_TABLE,MATCH($F21,TIER_LIST,0),2))*(IF((9-$I21+1)&lt;=0,0,IF((9-$I21+1)=1,RAMP_W1,IF((9-$I21+1)=2,RAMP_W2,IF((9-$I21+1)=3,RAMP_W3,RAMP_W4PLUS)))))*(INDEX(ACTIVE_MULT_TABLE,2,1))*(1+SUMPRODUCT(SIGN(((ACT_DOOR_SCOPE="ALL")+(ACT_DOOR_SCOPE="TIER_"&amp;$F21)+(ACT_DOOR_SCOPE=$B21)))*SIGN(((ACT_SKU_SCOPE="ALL")+(ACT_SKU_SCOPE=$G21)))*(ACT_START&lt;=9)*(ACT_END&gt;=9)*IFERROR(ACT_UPLIFT-1,0)))*(1+SUMPRODUCT(SIGN(((ACT_DOOR_SCOPE="ALL")+(ACT_DOOR_SCOPE="TIER_"&amp;$F21)+(ACT_DOOR_SCOPE=$B21)))*SIGN(((ACT_SKU_SCOPE="ALL")+(ACT_SKU_SCOPE=$G21)))*(9&gt;ACT_END)*(ACT_END&gt;0)*IFERROR(ACT_POSTLIFT,0))),0)))</f>
        <v/>
      </c>
      <c r="S21" s="10">
        <f>IF(OR($H21&lt;&gt;"Y",10&lt;$I21),0,IF(SUMPRODUCT(((BULK_ENABLED="Y")*((BULK_TIER="ALL")+(BULK_TIER=$F21))*((BULK_SKU="ALL")+(BULK_SKU=$G21))*(BULK_START&lt;=10)*(BULK_END&gt;=10)))&gt;0,IFERROR(SUMPRODUCT(((BULK_ENABLED="Y")*((BULK_TIER="ALL")+(BULK_TIER=$F21))*((BULK_SKU="ALL")+(BULK_SKU=$G21))*(BULK_START&lt;=10)*(BULK_END&gt;=10))*IFERROR(BULK_VALUE,0))/MAX(1,SUMPRODUCT(((BULK_ENABLED="Y")*((BULK_TIER="ALL")+(BULK_TIER=$F21))*((BULK_SKU="ALL")+(BULK_SKU=$G21))*(BULK_START&lt;=10)*(BULK_END&gt;=10)))),0),ROUND((INDEX(VELOCITY_TABLE,MATCH($F21,TIER_LIST,0),2))*(IF((10-$I21+1)&lt;=0,0,IF((10-$I21+1)=1,RAMP_W1,IF((10-$I21+1)=2,RAMP_W2,IF((10-$I21+1)=3,RAMP_W3,RAMP_W4PLUS)))))*(INDEX(ACTIVE_MULT_TABLE,2,1))*(1+SUMPRODUCT(SIGN(((ACT_DOOR_SCOPE="ALL")+(ACT_DOOR_SCOPE="TIER_"&amp;$F21)+(ACT_DOOR_SCOPE=$B21)))*SIGN(((ACT_SKU_SCOPE="ALL")+(ACT_SKU_SCOPE=$G21)))*(ACT_START&lt;=10)*(ACT_END&gt;=10)*IFERROR(ACT_UPLIFT-1,0)))*(1+SUMPRODUCT(SIGN(((ACT_DOOR_SCOPE="ALL")+(ACT_DOOR_SCOPE="TIER_"&amp;$F21)+(ACT_DOOR_SCOPE=$B21)))*SIGN(((ACT_SKU_SCOPE="ALL")+(ACT_SKU_SCOPE=$G21)))*(10&gt;ACT_END)*(ACT_END&gt;0)*IFERROR(ACT_POSTLIFT,0))),0)))</f>
        <v/>
      </c>
      <c r="T21" s="10">
        <f>IF(OR($H21&lt;&gt;"Y",11&lt;$I21),0,IF(SUMPRODUCT(((BULK_ENABLED="Y")*((BULK_TIER="ALL")+(BULK_TIER=$F21))*((BULK_SKU="ALL")+(BULK_SKU=$G21))*(BULK_START&lt;=11)*(BULK_END&gt;=11)))&gt;0,IFERROR(SUMPRODUCT(((BULK_ENABLED="Y")*((BULK_TIER="ALL")+(BULK_TIER=$F21))*((BULK_SKU="ALL")+(BULK_SKU=$G21))*(BULK_START&lt;=11)*(BULK_END&gt;=11))*IFERROR(BULK_VALUE,0))/MAX(1,SUMPRODUCT(((BULK_ENABLED="Y")*((BULK_TIER="ALL")+(BULK_TIER=$F21))*((BULK_SKU="ALL")+(BULK_SKU=$G21))*(BULK_START&lt;=11)*(BULK_END&gt;=11)))),0),ROUND((INDEX(VELOCITY_TABLE,MATCH($F21,TIER_LIST,0),2))*(IF((11-$I21+1)&lt;=0,0,IF((11-$I21+1)=1,RAMP_W1,IF((11-$I21+1)=2,RAMP_W2,IF((11-$I21+1)=3,RAMP_W3,RAMP_W4PLUS)))))*(INDEX(ACTIVE_MULT_TABLE,2,1))*(1+SUMPRODUCT(SIGN(((ACT_DOOR_SCOPE="ALL")+(ACT_DOOR_SCOPE="TIER_"&amp;$F21)+(ACT_DOOR_SCOPE=$B21)))*SIGN(((ACT_SKU_SCOPE="ALL")+(ACT_SKU_SCOPE=$G21)))*(ACT_START&lt;=11)*(ACT_END&gt;=11)*IFERROR(ACT_UPLIFT-1,0)))*(1+SUMPRODUCT(SIGN(((ACT_DOOR_SCOPE="ALL")+(ACT_DOOR_SCOPE="TIER_"&amp;$F21)+(ACT_DOOR_SCOPE=$B21)))*SIGN(((ACT_SKU_SCOPE="ALL")+(ACT_SKU_SCOPE=$G21)))*(11&gt;ACT_END)*(ACT_END&gt;0)*IFERROR(ACT_POSTLIFT,0))),0)))</f>
        <v/>
      </c>
      <c r="U21" s="10">
        <f>IF(OR($H21&lt;&gt;"Y",12&lt;$I21),0,IF(SUMPRODUCT(((BULK_ENABLED="Y")*((BULK_TIER="ALL")+(BULK_TIER=$F21))*((BULK_SKU="ALL")+(BULK_SKU=$G21))*(BULK_START&lt;=12)*(BULK_END&gt;=12)))&gt;0,IFERROR(SUMPRODUCT(((BULK_ENABLED="Y")*((BULK_TIER="ALL")+(BULK_TIER=$F21))*((BULK_SKU="ALL")+(BULK_SKU=$G21))*(BULK_START&lt;=12)*(BULK_END&gt;=12))*IFERROR(BULK_VALUE,0))/MAX(1,SUMPRODUCT(((BULK_ENABLED="Y")*((BULK_TIER="ALL")+(BULK_TIER=$F21))*((BULK_SKU="ALL")+(BULK_SKU=$G21))*(BULK_START&lt;=12)*(BULK_END&gt;=12)))),0),ROUND((INDEX(VELOCITY_TABLE,MATCH($F21,TIER_LIST,0),2))*(IF((12-$I21+1)&lt;=0,0,IF((12-$I21+1)=1,RAMP_W1,IF((12-$I21+1)=2,RAMP_W2,IF((12-$I21+1)=3,RAMP_W3,RAMP_W4PLUS)))))*(INDEX(ACTIVE_MULT_TABLE,2,1))*(1+SUMPRODUCT(SIGN(((ACT_DOOR_SCOPE="ALL")+(ACT_DOOR_SCOPE="TIER_"&amp;$F21)+(ACT_DOOR_SCOPE=$B21)))*SIGN(((ACT_SKU_SCOPE="ALL")+(ACT_SKU_SCOPE=$G21)))*(ACT_START&lt;=12)*(ACT_END&gt;=12)*IFERROR(ACT_UPLIFT-1,0)))*(1+SUMPRODUCT(SIGN(((ACT_DOOR_SCOPE="ALL")+(ACT_DOOR_SCOPE="TIER_"&amp;$F21)+(ACT_DOOR_SCOPE=$B21)))*SIGN(((ACT_SKU_SCOPE="ALL")+(ACT_SKU_SCOPE=$G21)))*(12&gt;ACT_END)*(ACT_END&gt;0)*IFERROR(ACT_POSTLIFT,0))),0)))</f>
        <v/>
      </c>
      <c r="V21" s="10">
        <f>IF(OR($H21&lt;&gt;"Y",13&lt;$I21),0,IF(SUMPRODUCT(((BULK_ENABLED="Y")*((BULK_TIER="ALL")+(BULK_TIER=$F21))*((BULK_SKU="ALL")+(BULK_SKU=$G21))*(BULK_START&lt;=13)*(BULK_END&gt;=13)))&gt;0,IFERROR(SUMPRODUCT(((BULK_ENABLED="Y")*((BULK_TIER="ALL")+(BULK_TIER=$F21))*((BULK_SKU="ALL")+(BULK_SKU=$G21))*(BULK_START&lt;=13)*(BULK_END&gt;=13))*IFERROR(BULK_VALUE,0))/MAX(1,SUMPRODUCT(((BULK_ENABLED="Y")*((BULK_TIER="ALL")+(BULK_TIER=$F21))*((BULK_SKU="ALL")+(BULK_SKU=$G21))*(BULK_START&lt;=13)*(BULK_END&gt;=13)))),0),ROUND((INDEX(VELOCITY_TABLE,MATCH($F21,TIER_LIST,0),2))*(IF((13-$I21+1)&lt;=0,0,IF((13-$I21+1)=1,RAMP_W1,IF((13-$I21+1)=2,RAMP_W2,IF((13-$I21+1)=3,RAMP_W3,RAMP_W4PLUS)))))*(INDEX(ACTIVE_MULT_TABLE,2,1))*(1+SUMPRODUCT(SIGN(((ACT_DOOR_SCOPE="ALL")+(ACT_DOOR_SCOPE="TIER_"&amp;$F21)+(ACT_DOOR_SCOPE=$B21)))*SIGN(((ACT_SKU_SCOPE="ALL")+(ACT_SKU_SCOPE=$G21)))*(ACT_START&lt;=13)*(ACT_END&gt;=13)*IFERROR(ACT_UPLIFT-1,0)))*(1+SUMPRODUCT(SIGN(((ACT_DOOR_SCOPE="ALL")+(ACT_DOOR_SCOPE="TIER_"&amp;$F21)+(ACT_DOOR_SCOPE=$B21)))*SIGN(((ACT_SKU_SCOPE="ALL")+(ACT_SKU_SCOPE=$G21)))*(13&gt;ACT_END)*(ACT_END&gt;0)*IFERROR(ACT_POSTLIFT,0))),0)))</f>
        <v/>
      </c>
    </row>
    <row r="22">
      <c r="A22" t="inlineStr">
        <is>
          <t>R0018</t>
        </is>
      </c>
      <c r="B22">
        <f>Doors!$A$10</f>
        <v/>
      </c>
      <c r="C22">
        <f>Doors!$C$10</f>
        <v/>
      </c>
      <c r="D22">
        <f>Doors!$B$10</f>
        <v/>
      </c>
      <c r="E22">
        <f>Doors!$E$10</f>
        <v/>
      </c>
      <c r="F22">
        <f>Doors!$F$10</f>
        <v/>
      </c>
      <c r="G22" t="inlineStr">
        <is>
          <t>Raspberry</t>
        </is>
      </c>
      <c r="H22">
        <f>Doors!$I$10</f>
        <v/>
      </c>
      <c r="I22">
        <f>Doors!$J$10</f>
        <v/>
      </c>
      <c r="J22" s="10">
        <f>IF(OR($H22&lt;&gt;"Y",1&lt;$I22),0,IF(SUMPRODUCT(((BULK_ENABLED="Y")*((BULK_TIER="ALL")+(BULK_TIER=$F22))*((BULK_SKU="ALL")+(BULK_SKU=$G22))*(BULK_START&lt;=1)*(BULK_END&gt;=1)))&gt;0,IFERROR(SUMPRODUCT(((BULK_ENABLED="Y")*((BULK_TIER="ALL")+(BULK_TIER=$F22))*((BULK_SKU="ALL")+(BULK_SKU=$G22))*(BULK_START&lt;=1)*(BULK_END&gt;=1))*IFERROR(BULK_VALUE,0))/MAX(1,SUMPRODUCT(((BULK_ENABLED="Y")*((BULK_TIER="ALL")+(BULK_TIER=$F22))*((BULK_SKU="ALL")+(BULK_SKU=$G22))*(BULK_START&lt;=1)*(BULK_END&gt;=1)))),0),ROUND((INDEX(VELOCITY_TABLE,MATCH($F22,TIER_LIST,0),3))*(IF((1-$I22+1)&lt;=0,0,IF((1-$I22+1)=1,RAMP_W1,IF((1-$I22+1)=2,RAMP_W2,IF((1-$I22+1)=3,RAMP_W3,RAMP_W4PLUS)))))*(INDEX(ACTIVE_MULT_TABLE,3,1))*(1+SUMPRODUCT(SIGN(((ACT_DOOR_SCOPE="ALL")+(ACT_DOOR_SCOPE="TIER_"&amp;$F22)+(ACT_DOOR_SCOPE=$B22)))*SIGN(((ACT_SKU_SCOPE="ALL")+(ACT_SKU_SCOPE=$G22)))*(ACT_START&lt;=1)*(ACT_END&gt;=1)*IFERROR(ACT_UPLIFT-1,0)))*(1+SUMPRODUCT(SIGN(((ACT_DOOR_SCOPE="ALL")+(ACT_DOOR_SCOPE="TIER_"&amp;$F22)+(ACT_DOOR_SCOPE=$B22)))*SIGN(((ACT_SKU_SCOPE="ALL")+(ACT_SKU_SCOPE=$G22)))*(1&gt;ACT_END)*(ACT_END&gt;0)*IFERROR(ACT_POSTLIFT,0))),0)))</f>
        <v/>
      </c>
      <c r="K22" s="10">
        <f>IF(OR($H22&lt;&gt;"Y",2&lt;$I22),0,IF(SUMPRODUCT(((BULK_ENABLED="Y")*((BULK_TIER="ALL")+(BULK_TIER=$F22))*((BULK_SKU="ALL")+(BULK_SKU=$G22))*(BULK_START&lt;=2)*(BULK_END&gt;=2)))&gt;0,IFERROR(SUMPRODUCT(((BULK_ENABLED="Y")*((BULK_TIER="ALL")+(BULK_TIER=$F22))*((BULK_SKU="ALL")+(BULK_SKU=$G22))*(BULK_START&lt;=2)*(BULK_END&gt;=2))*IFERROR(BULK_VALUE,0))/MAX(1,SUMPRODUCT(((BULK_ENABLED="Y")*((BULK_TIER="ALL")+(BULK_TIER=$F22))*((BULK_SKU="ALL")+(BULK_SKU=$G22))*(BULK_START&lt;=2)*(BULK_END&gt;=2)))),0),ROUND((INDEX(VELOCITY_TABLE,MATCH($F22,TIER_LIST,0),3))*(IF((2-$I22+1)&lt;=0,0,IF((2-$I22+1)=1,RAMP_W1,IF((2-$I22+1)=2,RAMP_W2,IF((2-$I22+1)=3,RAMP_W3,RAMP_W4PLUS)))))*(INDEX(ACTIVE_MULT_TABLE,3,1))*(1+SUMPRODUCT(SIGN(((ACT_DOOR_SCOPE="ALL")+(ACT_DOOR_SCOPE="TIER_"&amp;$F22)+(ACT_DOOR_SCOPE=$B22)))*SIGN(((ACT_SKU_SCOPE="ALL")+(ACT_SKU_SCOPE=$G22)))*(ACT_START&lt;=2)*(ACT_END&gt;=2)*IFERROR(ACT_UPLIFT-1,0)))*(1+SUMPRODUCT(SIGN(((ACT_DOOR_SCOPE="ALL")+(ACT_DOOR_SCOPE="TIER_"&amp;$F22)+(ACT_DOOR_SCOPE=$B22)))*SIGN(((ACT_SKU_SCOPE="ALL")+(ACT_SKU_SCOPE=$G22)))*(2&gt;ACT_END)*(ACT_END&gt;0)*IFERROR(ACT_POSTLIFT,0))),0)))</f>
        <v/>
      </c>
      <c r="L22" s="10">
        <f>IF(OR($H22&lt;&gt;"Y",3&lt;$I22),0,IF(SUMPRODUCT(((BULK_ENABLED="Y")*((BULK_TIER="ALL")+(BULK_TIER=$F22))*((BULK_SKU="ALL")+(BULK_SKU=$G22))*(BULK_START&lt;=3)*(BULK_END&gt;=3)))&gt;0,IFERROR(SUMPRODUCT(((BULK_ENABLED="Y")*((BULK_TIER="ALL")+(BULK_TIER=$F22))*((BULK_SKU="ALL")+(BULK_SKU=$G22))*(BULK_START&lt;=3)*(BULK_END&gt;=3))*IFERROR(BULK_VALUE,0))/MAX(1,SUMPRODUCT(((BULK_ENABLED="Y")*((BULK_TIER="ALL")+(BULK_TIER=$F22))*((BULK_SKU="ALL")+(BULK_SKU=$G22))*(BULK_START&lt;=3)*(BULK_END&gt;=3)))),0),ROUND((INDEX(VELOCITY_TABLE,MATCH($F22,TIER_LIST,0),3))*(IF((3-$I22+1)&lt;=0,0,IF((3-$I22+1)=1,RAMP_W1,IF((3-$I22+1)=2,RAMP_W2,IF((3-$I22+1)=3,RAMP_W3,RAMP_W4PLUS)))))*(INDEX(ACTIVE_MULT_TABLE,3,1))*(1+SUMPRODUCT(SIGN(((ACT_DOOR_SCOPE="ALL")+(ACT_DOOR_SCOPE="TIER_"&amp;$F22)+(ACT_DOOR_SCOPE=$B22)))*SIGN(((ACT_SKU_SCOPE="ALL")+(ACT_SKU_SCOPE=$G22)))*(ACT_START&lt;=3)*(ACT_END&gt;=3)*IFERROR(ACT_UPLIFT-1,0)))*(1+SUMPRODUCT(SIGN(((ACT_DOOR_SCOPE="ALL")+(ACT_DOOR_SCOPE="TIER_"&amp;$F22)+(ACT_DOOR_SCOPE=$B22)))*SIGN(((ACT_SKU_SCOPE="ALL")+(ACT_SKU_SCOPE=$G22)))*(3&gt;ACT_END)*(ACT_END&gt;0)*IFERROR(ACT_POSTLIFT,0))),0)))</f>
        <v/>
      </c>
      <c r="M22" s="10">
        <f>IF(OR($H22&lt;&gt;"Y",4&lt;$I22),0,IF(SUMPRODUCT(((BULK_ENABLED="Y")*((BULK_TIER="ALL")+(BULK_TIER=$F22))*((BULK_SKU="ALL")+(BULK_SKU=$G22))*(BULK_START&lt;=4)*(BULK_END&gt;=4)))&gt;0,IFERROR(SUMPRODUCT(((BULK_ENABLED="Y")*((BULK_TIER="ALL")+(BULK_TIER=$F22))*((BULK_SKU="ALL")+(BULK_SKU=$G22))*(BULK_START&lt;=4)*(BULK_END&gt;=4))*IFERROR(BULK_VALUE,0))/MAX(1,SUMPRODUCT(((BULK_ENABLED="Y")*((BULK_TIER="ALL")+(BULK_TIER=$F22))*((BULK_SKU="ALL")+(BULK_SKU=$G22))*(BULK_START&lt;=4)*(BULK_END&gt;=4)))),0),ROUND((INDEX(VELOCITY_TABLE,MATCH($F22,TIER_LIST,0),3))*(IF((4-$I22+1)&lt;=0,0,IF((4-$I22+1)=1,RAMP_W1,IF((4-$I22+1)=2,RAMP_W2,IF((4-$I22+1)=3,RAMP_W3,RAMP_W4PLUS)))))*(INDEX(ACTIVE_MULT_TABLE,3,1))*(1+SUMPRODUCT(SIGN(((ACT_DOOR_SCOPE="ALL")+(ACT_DOOR_SCOPE="TIER_"&amp;$F22)+(ACT_DOOR_SCOPE=$B22)))*SIGN(((ACT_SKU_SCOPE="ALL")+(ACT_SKU_SCOPE=$G22)))*(ACT_START&lt;=4)*(ACT_END&gt;=4)*IFERROR(ACT_UPLIFT-1,0)))*(1+SUMPRODUCT(SIGN(((ACT_DOOR_SCOPE="ALL")+(ACT_DOOR_SCOPE="TIER_"&amp;$F22)+(ACT_DOOR_SCOPE=$B22)))*SIGN(((ACT_SKU_SCOPE="ALL")+(ACT_SKU_SCOPE=$G22)))*(4&gt;ACT_END)*(ACT_END&gt;0)*IFERROR(ACT_POSTLIFT,0))),0)))</f>
        <v/>
      </c>
      <c r="N22" s="10">
        <f>IF(OR($H22&lt;&gt;"Y",5&lt;$I22),0,IF(SUMPRODUCT(((BULK_ENABLED="Y")*((BULK_TIER="ALL")+(BULK_TIER=$F22))*((BULK_SKU="ALL")+(BULK_SKU=$G22))*(BULK_START&lt;=5)*(BULK_END&gt;=5)))&gt;0,IFERROR(SUMPRODUCT(((BULK_ENABLED="Y")*((BULK_TIER="ALL")+(BULK_TIER=$F22))*((BULK_SKU="ALL")+(BULK_SKU=$G22))*(BULK_START&lt;=5)*(BULK_END&gt;=5))*IFERROR(BULK_VALUE,0))/MAX(1,SUMPRODUCT(((BULK_ENABLED="Y")*((BULK_TIER="ALL")+(BULK_TIER=$F22))*((BULK_SKU="ALL")+(BULK_SKU=$G22))*(BULK_START&lt;=5)*(BULK_END&gt;=5)))),0),ROUND((INDEX(VELOCITY_TABLE,MATCH($F22,TIER_LIST,0),3))*(IF((5-$I22+1)&lt;=0,0,IF((5-$I22+1)=1,RAMP_W1,IF((5-$I22+1)=2,RAMP_W2,IF((5-$I22+1)=3,RAMP_W3,RAMP_W4PLUS)))))*(INDEX(ACTIVE_MULT_TABLE,3,1))*(1+SUMPRODUCT(SIGN(((ACT_DOOR_SCOPE="ALL")+(ACT_DOOR_SCOPE="TIER_"&amp;$F22)+(ACT_DOOR_SCOPE=$B22)))*SIGN(((ACT_SKU_SCOPE="ALL")+(ACT_SKU_SCOPE=$G22)))*(ACT_START&lt;=5)*(ACT_END&gt;=5)*IFERROR(ACT_UPLIFT-1,0)))*(1+SUMPRODUCT(SIGN(((ACT_DOOR_SCOPE="ALL")+(ACT_DOOR_SCOPE="TIER_"&amp;$F22)+(ACT_DOOR_SCOPE=$B22)))*SIGN(((ACT_SKU_SCOPE="ALL")+(ACT_SKU_SCOPE=$G22)))*(5&gt;ACT_END)*(ACT_END&gt;0)*IFERROR(ACT_POSTLIFT,0))),0)))</f>
        <v/>
      </c>
      <c r="O22" s="10">
        <f>IF(OR($H22&lt;&gt;"Y",6&lt;$I22),0,IF(SUMPRODUCT(((BULK_ENABLED="Y")*((BULK_TIER="ALL")+(BULK_TIER=$F22))*((BULK_SKU="ALL")+(BULK_SKU=$G22))*(BULK_START&lt;=6)*(BULK_END&gt;=6)))&gt;0,IFERROR(SUMPRODUCT(((BULK_ENABLED="Y")*((BULK_TIER="ALL")+(BULK_TIER=$F22))*((BULK_SKU="ALL")+(BULK_SKU=$G22))*(BULK_START&lt;=6)*(BULK_END&gt;=6))*IFERROR(BULK_VALUE,0))/MAX(1,SUMPRODUCT(((BULK_ENABLED="Y")*((BULK_TIER="ALL")+(BULK_TIER=$F22))*((BULK_SKU="ALL")+(BULK_SKU=$G22))*(BULK_START&lt;=6)*(BULK_END&gt;=6)))),0),ROUND((INDEX(VELOCITY_TABLE,MATCH($F22,TIER_LIST,0),3))*(IF((6-$I22+1)&lt;=0,0,IF((6-$I22+1)=1,RAMP_W1,IF((6-$I22+1)=2,RAMP_W2,IF((6-$I22+1)=3,RAMP_W3,RAMP_W4PLUS)))))*(INDEX(ACTIVE_MULT_TABLE,3,1))*(1+SUMPRODUCT(SIGN(((ACT_DOOR_SCOPE="ALL")+(ACT_DOOR_SCOPE="TIER_"&amp;$F22)+(ACT_DOOR_SCOPE=$B22)))*SIGN(((ACT_SKU_SCOPE="ALL")+(ACT_SKU_SCOPE=$G22)))*(ACT_START&lt;=6)*(ACT_END&gt;=6)*IFERROR(ACT_UPLIFT-1,0)))*(1+SUMPRODUCT(SIGN(((ACT_DOOR_SCOPE="ALL")+(ACT_DOOR_SCOPE="TIER_"&amp;$F22)+(ACT_DOOR_SCOPE=$B22)))*SIGN(((ACT_SKU_SCOPE="ALL")+(ACT_SKU_SCOPE=$G22)))*(6&gt;ACT_END)*(ACT_END&gt;0)*IFERROR(ACT_POSTLIFT,0))),0)))</f>
        <v/>
      </c>
      <c r="P22" s="10">
        <f>IF(OR($H22&lt;&gt;"Y",7&lt;$I22),0,IF(SUMPRODUCT(((BULK_ENABLED="Y")*((BULK_TIER="ALL")+(BULK_TIER=$F22))*((BULK_SKU="ALL")+(BULK_SKU=$G22))*(BULK_START&lt;=7)*(BULK_END&gt;=7)))&gt;0,IFERROR(SUMPRODUCT(((BULK_ENABLED="Y")*((BULK_TIER="ALL")+(BULK_TIER=$F22))*((BULK_SKU="ALL")+(BULK_SKU=$G22))*(BULK_START&lt;=7)*(BULK_END&gt;=7))*IFERROR(BULK_VALUE,0))/MAX(1,SUMPRODUCT(((BULK_ENABLED="Y")*((BULK_TIER="ALL")+(BULK_TIER=$F22))*((BULK_SKU="ALL")+(BULK_SKU=$G22))*(BULK_START&lt;=7)*(BULK_END&gt;=7)))),0),ROUND((INDEX(VELOCITY_TABLE,MATCH($F22,TIER_LIST,0),3))*(IF((7-$I22+1)&lt;=0,0,IF((7-$I22+1)=1,RAMP_W1,IF((7-$I22+1)=2,RAMP_W2,IF((7-$I22+1)=3,RAMP_W3,RAMP_W4PLUS)))))*(INDEX(ACTIVE_MULT_TABLE,3,1))*(1+SUMPRODUCT(SIGN(((ACT_DOOR_SCOPE="ALL")+(ACT_DOOR_SCOPE="TIER_"&amp;$F22)+(ACT_DOOR_SCOPE=$B22)))*SIGN(((ACT_SKU_SCOPE="ALL")+(ACT_SKU_SCOPE=$G22)))*(ACT_START&lt;=7)*(ACT_END&gt;=7)*IFERROR(ACT_UPLIFT-1,0)))*(1+SUMPRODUCT(SIGN(((ACT_DOOR_SCOPE="ALL")+(ACT_DOOR_SCOPE="TIER_"&amp;$F22)+(ACT_DOOR_SCOPE=$B22)))*SIGN(((ACT_SKU_SCOPE="ALL")+(ACT_SKU_SCOPE=$G22)))*(7&gt;ACT_END)*(ACT_END&gt;0)*IFERROR(ACT_POSTLIFT,0))),0)))</f>
        <v/>
      </c>
      <c r="Q22" s="10">
        <f>IF(OR($H22&lt;&gt;"Y",8&lt;$I22),0,IF(SUMPRODUCT(((BULK_ENABLED="Y")*((BULK_TIER="ALL")+(BULK_TIER=$F22))*((BULK_SKU="ALL")+(BULK_SKU=$G22))*(BULK_START&lt;=8)*(BULK_END&gt;=8)))&gt;0,IFERROR(SUMPRODUCT(((BULK_ENABLED="Y")*((BULK_TIER="ALL")+(BULK_TIER=$F22))*((BULK_SKU="ALL")+(BULK_SKU=$G22))*(BULK_START&lt;=8)*(BULK_END&gt;=8))*IFERROR(BULK_VALUE,0))/MAX(1,SUMPRODUCT(((BULK_ENABLED="Y")*((BULK_TIER="ALL")+(BULK_TIER=$F22))*((BULK_SKU="ALL")+(BULK_SKU=$G22))*(BULK_START&lt;=8)*(BULK_END&gt;=8)))),0),ROUND((INDEX(VELOCITY_TABLE,MATCH($F22,TIER_LIST,0),3))*(IF((8-$I22+1)&lt;=0,0,IF((8-$I22+1)=1,RAMP_W1,IF((8-$I22+1)=2,RAMP_W2,IF((8-$I22+1)=3,RAMP_W3,RAMP_W4PLUS)))))*(INDEX(ACTIVE_MULT_TABLE,3,1))*(1+SUMPRODUCT(SIGN(((ACT_DOOR_SCOPE="ALL")+(ACT_DOOR_SCOPE="TIER_"&amp;$F22)+(ACT_DOOR_SCOPE=$B22)))*SIGN(((ACT_SKU_SCOPE="ALL")+(ACT_SKU_SCOPE=$G22)))*(ACT_START&lt;=8)*(ACT_END&gt;=8)*IFERROR(ACT_UPLIFT-1,0)))*(1+SUMPRODUCT(SIGN(((ACT_DOOR_SCOPE="ALL")+(ACT_DOOR_SCOPE="TIER_"&amp;$F22)+(ACT_DOOR_SCOPE=$B22)))*SIGN(((ACT_SKU_SCOPE="ALL")+(ACT_SKU_SCOPE=$G22)))*(8&gt;ACT_END)*(ACT_END&gt;0)*IFERROR(ACT_POSTLIFT,0))),0)))</f>
        <v/>
      </c>
      <c r="R22" s="10">
        <f>IF(OR($H22&lt;&gt;"Y",9&lt;$I22),0,IF(SUMPRODUCT(((BULK_ENABLED="Y")*((BULK_TIER="ALL")+(BULK_TIER=$F22))*((BULK_SKU="ALL")+(BULK_SKU=$G22))*(BULK_START&lt;=9)*(BULK_END&gt;=9)))&gt;0,IFERROR(SUMPRODUCT(((BULK_ENABLED="Y")*((BULK_TIER="ALL")+(BULK_TIER=$F22))*((BULK_SKU="ALL")+(BULK_SKU=$G22))*(BULK_START&lt;=9)*(BULK_END&gt;=9))*IFERROR(BULK_VALUE,0))/MAX(1,SUMPRODUCT(((BULK_ENABLED="Y")*((BULK_TIER="ALL")+(BULK_TIER=$F22))*((BULK_SKU="ALL")+(BULK_SKU=$G22))*(BULK_START&lt;=9)*(BULK_END&gt;=9)))),0),ROUND((INDEX(VELOCITY_TABLE,MATCH($F22,TIER_LIST,0),3))*(IF((9-$I22+1)&lt;=0,0,IF((9-$I22+1)=1,RAMP_W1,IF((9-$I22+1)=2,RAMP_W2,IF((9-$I22+1)=3,RAMP_W3,RAMP_W4PLUS)))))*(INDEX(ACTIVE_MULT_TABLE,3,1))*(1+SUMPRODUCT(SIGN(((ACT_DOOR_SCOPE="ALL")+(ACT_DOOR_SCOPE="TIER_"&amp;$F22)+(ACT_DOOR_SCOPE=$B22)))*SIGN(((ACT_SKU_SCOPE="ALL")+(ACT_SKU_SCOPE=$G22)))*(ACT_START&lt;=9)*(ACT_END&gt;=9)*IFERROR(ACT_UPLIFT-1,0)))*(1+SUMPRODUCT(SIGN(((ACT_DOOR_SCOPE="ALL")+(ACT_DOOR_SCOPE="TIER_"&amp;$F22)+(ACT_DOOR_SCOPE=$B22)))*SIGN(((ACT_SKU_SCOPE="ALL")+(ACT_SKU_SCOPE=$G22)))*(9&gt;ACT_END)*(ACT_END&gt;0)*IFERROR(ACT_POSTLIFT,0))),0)))</f>
        <v/>
      </c>
      <c r="S22" s="10">
        <f>IF(OR($H22&lt;&gt;"Y",10&lt;$I22),0,IF(SUMPRODUCT(((BULK_ENABLED="Y")*((BULK_TIER="ALL")+(BULK_TIER=$F22))*((BULK_SKU="ALL")+(BULK_SKU=$G22))*(BULK_START&lt;=10)*(BULK_END&gt;=10)))&gt;0,IFERROR(SUMPRODUCT(((BULK_ENABLED="Y")*((BULK_TIER="ALL")+(BULK_TIER=$F22))*((BULK_SKU="ALL")+(BULK_SKU=$G22))*(BULK_START&lt;=10)*(BULK_END&gt;=10))*IFERROR(BULK_VALUE,0))/MAX(1,SUMPRODUCT(((BULK_ENABLED="Y")*((BULK_TIER="ALL")+(BULK_TIER=$F22))*((BULK_SKU="ALL")+(BULK_SKU=$G22))*(BULK_START&lt;=10)*(BULK_END&gt;=10)))),0),ROUND((INDEX(VELOCITY_TABLE,MATCH($F22,TIER_LIST,0),3))*(IF((10-$I22+1)&lt;=0,0,IF((10-$I22+1)=1,RAMP_W1,IF((10-$I22+1)=2,RAMP_W2,IF((10-$I22+1)=3,RAMP_W3,RAMP_W4PLUS)))))*(INDEX(ACTIVE_MULT_TABLE,3,1))*(1+SUMPRODUCT(SIGN(((ACT_DOOR_SCOPE="ALL")+(ACT_DOOR_SCOPE="TIER_"&amp;$F22)+(ACT_DOOR_SCOPE=$B22)))*SIGN(((ACT_SKU_SCOPE="ALL")+(ACT_SKU_SCOPE=$G22)))*(ACT_START&lt;=10)*(ACT_END&gt;=10)*IFERROR(ACT_UPLIFT-1,0)))*(1+SUMPRODUCT(SIGN(((ACT_DOOR_SCOPE="ALL")+(ACT_DOOR_SCOPE="TIER_"&amp;$F22)+(ACT_DOOR_SCOPE=$B22)))*SIGN(((ACT_SKU_SCOPE="ALL")+(ACT_SKU_SCOPE=$G22)))*(10&gt;ACT_END)*(ACT_END&gt;0)*IFERROR(ACT_POSTLIFT,0))),0)))</f>
        <v/>
      </c>
      <c r="T22" s="10">
        <f>IF(OR($H22&lt;&gt;"Y",11&lt;$I22),0,IF(SUMPRODUCT(((BULK_ENABLED="Y")*((BULK_TIER="ALL")+(BULK_TIER=$F22))*((BULK_SKU="ALL")+(BULK_SKU=$G22))*(BULK_START&lt;=11)*(BULK_END&gt;=11)))&gt;0,IFERROR(SUMPRODUCT(((BULK_ENABLED="Y")*((BULK_TIER="ALL")+(BULK_TIER=$F22))*((BULK_SKU="ALL")+(BULK_SKU=$G22))*(BULK_START&lt;=11)*(BULK_END&gt;=11))*IFERROR(BULK_VALUE,0))/MAX(1,SUMPRODUCT(((BULK_ENABLED="Y")*((BULK_TIER="ALL")+(BULK_TIER=$F22))*((BULK_SKU="ALL")+(BULK_SKU=$G22))*(BULK_START&lt;=11)*(BULK_END&gt;=11)))),0),ROUND((INDEX(VELOCITY_TABLE,MATCH($F22,TIER_LIST,0),3))*(IF((11-$I22+1)&lt;=0,0,IF((11-$I22+1)=1,RAMP_W1,IF((11-$I22+1)=2,RAMP_W2,IF((11-$I22+1)=3,RAMP_W3,RAMP_W4PLUS)))))*(INDEX(ACTIVE_MULT_TABLE,3,1))*(1+SUMPRODUCT(SIGN(((ACT_DOOR_SCOPE="ALL")+(ACT_DOOR_SCOPE="TIER_"&amp;$F22)+(ACT_DOOR_SCOPE=$B22)))*SIGN(((ACT_SKU_SCOPE="ALL")+(ACT_SKU_SCOPE=$G22)))*(ACT_START&lt;=11)*(ACT_END&gt;=11)*IFERROR(ACT_UPLIFT-1,0)))*(1+SUMPRODUCT(SIGN(((ACT_DOOR_SCOPE="ALL")+(ACT_DOOR_SCOPE="TIER_"&amp;$F22)+(ACT_DOOR_SCOPE=$B22)))*SIGN(((ACT_SKU_SCOPE="ALL")+(ACT_SKU_SCOPE=$G22)))*(11&gt;ACT_END)*(ACT_END&gt;0)*IFERROR(ACT_POSTLIFT,0))),0)))</f>
        <v/>
      </c>
      <c r="U22" s="10">
        <f>IF(OR($H22&lt;&gt;"Y",12&lt;$I22),0,IF(SUMPRODUCT(((BULK_ENABLED="Y")*((BULK_TIER="ALL")+(BULK_TIER=$F22))*((BULK_SKU="ALL")+(BULK_SKU=$G22))*(BULK_START&lt;=12)*(BULK_END&gt;=12)))&gt;0,IFERROR(SUMPRODUCT(((BULK_ENABLED="Y")*((BULK_TIER="ALL")+(BULK_TIER=$F22))*((BULK_SKU="ALL")+(BULK_SKU=$G22))*(BULK_START&lt;=12)*(BULK_END&gt;=12))*IFERROR(BULK_VALUE,0))/MAX(1,SUMPRODUCT(((BULK_ENABLED="Y")*((BULK_TIER="ALL")+(BULK_TIER=$F22))*((BULK_SKU="ALL")+(BULK_SKU=$G22))*(BULK_START&lt;=12)*(BULK_END&gt;=12)))),0),ROUND((INDEX(VELOCITY_TABLE,MATCH($F22,TIER_LIST,0),3))*(IF((12-$I22+1)&lt;=0,0,IF((12-$I22+1)=1,RAMP_W1,IF((12-$I22+1)=2,RAMP_W2,IF((12-$I22+1)=3,RAMP_W3,RAMP_W4PLUS)))))*(INDEX(ACTIVE_MULT_TABLE,3,1))*(1+SUMPRODUCT(SIGN(((ACT_DOOR_SCOPE="ALL")+(ACT_DOOR_SCOPE="TIER_"&amp;$F22)+(ACT_DOOR_SCOPE=$B22)))*SIGN(((ACT_SKU_SCOPE="ALL")+(ACT_SKU_SCOPE=$G22)))*(ACT_START&lt;=12)*(ACT_END&gt;=12)*IFERROR(ACT_UPLIFT-1,0)))*(1+SUMPRODUCT(SIGN(((ACT_DOOR_SCOPE="ALL")+(ACT_DOOR_SCOPE="TIER_"&amp;$F22)+(ACT_DOOR_SCOPE=$B22)))*SIGN(((ACT_SKU_SCOPE="ALL")+(ACT_SKU_SCOPE=$G22)))*(12&gt;ACT_END)*(ACT_END&gt;0)*IFERROR(ACT_POSTLIFT,0))),0)))</f>
        <v/>
      </c>
      <c r="V22" s="10">
        <f>IF(OR($H22&lt;&gt;"Y",13&lt;$I22),0,IF(SUMPRODUCT(((BULK_ENABLED="Y")*((BULK_TIER="ALL")+(BULK_TIER=$F22))*((BULK_SKU="ALL")+(BULK_SKU=$G22))*(BULK_START&lt;=13)*(BULK_END&gt;=13)))&gt;0,IFERROR(SUMPRODUCT(((BULK_ENABLED="Y")*((BULK_TIER="ALL")+(BULK_TIER=$F22))*((BULK_SKU="ALL")+(BULK_SKU=$G22))*(BULK_START&lt;=13)*(BULK_END&gt;=13))*IFERROR(BULK_VALUE,0))/MAX(1,SUMPRODUCT(((BULK_ENABLED="Y")*((BULK_TIER="ALL")+(BULK_TIER=$F22))*((BULK_SKU="ALL")+(BULK_SKU=$G22))*(BULK_START&lt;=13)*(BULK_END&gt;=13)))),0),ROUND((INDEX(VELOCITY_TABLE,MATCH($F22,TIER_LIST,0),3))*(IF((13-$I22+1)&lt;=0,0,IF((13-$I22+1)=1,RAMP_W1,IF((13-$I22+1)=2,RAMP_W2,IF((13-$I22+1)=3,RAMP_W3,RAMP_W4PLUS)))))*(INDEX(ACTIVE_MULT_TABLE,3,1))*(1+SUMPRODUCT(SIGN(((ACT_DOOR_SCOPE="ALL")+(ACT_DOOR_SCOPE="TIER_"&amp;$F22)+(ACT_DOOR_SCOPE=$B22)))*SIGN(((ACT_SKU_SCOPE="ALL")+(ACT_SKU_SCOPE=$G22)))*(ACT_START&lt;=13)*(ACT_END&gt;=13)*IFERROR(ACT_UPLIFT-1,0)))*(1+SUMPRODUCT(SIGN(((ACT_DOOR_SCOPE="ALL")+(ACT_DOOR_SCOPE="TIER_"&amp;$F22)+(ACT_DOOR_SCOPE=$B22)))*SIGN(((ACT_SKU_SCOPE="ALL")+(ACT_SKU_SCOPE=$G22)))*(13&gt;ACT_END)*(ACT_END&gt;0)*IFERROR(ACT_POSTLIFT,0))),0)))</f>
        <v/>
      </c>
    </row>
    <row r="23">
      <c r="A23" t="inlineStr">
        <is>
          <t>R0019</t>
        </is>
      </c>
      <c r="B23">
        <f>Doors!$A$11</f>
        <v/>
      </c>
      <c r="C23">
        <f>Doors!$C$11</f>
        <v/>
      </c>
      <c r="D23">
        <f>Doors!$B$11</f>
        <v/>
      </c>
      <c r="E23">
        <f>Doors!$E$11</f>
        <v/>
      </c>
      <c r="F23">
        <f>Doors!$F$11</f>
        <v/>
      </c>
      <c r="G23" t="inlineStr">
        <is>
          <t>Lime Lemon</t>
        </is>
      </c>
      <c r="H23">
        <f>Doors!$G$11</f>
        <v/>
      </c>
      <c r="I23">
        <f>Doors!$J$11</f>
        <v/>
      </c>
      <c r="J23" s="10">
        <f>IF(OR($H23&lt;&gt;"Y",1&lt;$I23),0,IF(SUMPRODUCT(((BULK_ENABLED="Y")*((BULK_TIER="ALL")+(BULK_TIER=$F23))*((BULK_SKU="ALL")+(BULK_SKU=$G23))*(BULK_START&lt;=1)*(BULK_END&gt;=1)))&gt;0,IFERROR(SUMPRODUCT(((BULK_ENABLED="Y")*((BULK_TIER="ALL")+(BULK_TIER=$F23))*((BULK_SKU="ALL")+(BULK_SKU=$G23))*(BULK_START&lt;=1)*(BULK_END&gt;=1))*IFERROR(BULK_VALUE,0))/MAX(1,SUMPRODUCT(((BULK_ENABLED="Y")*((BULK_TIER="ALL")+(BULK_TIER=$F23))*((BULK_SKU="ALL")+(BULK_SKU=$G23))*(BULK_START&lt;=1)*(BULK_END&gt;=1)))),0),ROUND((INDEX(VELOCITY_TABLE,MATCH($F23,TIER_LIST,0),1))*(IF((1-$I23+1)&lt;=0,0,IF((1-$I23+1)=1,RAMP_W1,IF((1-$I23+1)=2,RAMP_W2,IF((1-$I23+1)=3,RAMP_W3,RAMP_W4PLUS)))))*(INDEX(ACTIVE_MULT_TABLE,1,1))*(1+SUMPRODUCT(SIGN(((ACT_DOOR_SCOPE="ALL")+(ACT_DOOR_SCOPE="TIER_"&amp;$F23)+(ACT_DOOR_SCOPE=$B23)))*SIGN(((ACT_SKU_SCOPE="ALL")+(ACT_SKU_SCOPE=$G23)))*(ACT_START&lt;=1)*(ACT_END&gt;=1)*IFERROR(ACT_UPLIFT-1,0)))*(1+SUMPRODUCT(SIGN(((ACT_DOOR_SCOPE="ALL")+(ACT_DOOR_SCOPE="TIER_"&amp;$F23)+(ACT_DOOR_SCOPE=$B23)))*SIGN(((ACT_SKU_SCOPE="ALL")+(ACT_SKU_SCOPE=$G23)))*(1&gt;ACT_END)*(ACT_END&gt;0)*IFERROR(ACT_POSTLIFT,0))),0)))</f>
        <v/>
      </c>
      <c r="K23" s="10">
        <f>IF(OR($H23&lt;&gt;"Y",2&lt;$I23),0,IF(SUMPRODUCT(((BULK_ENABLED="Y")*((BULK_TIER="ALL")+(BULK_TIER=$F23))*((BULK_SKU="ALL")+(BULK_SKU=$G23))*(BULK_START&lt;=2)*(BULK_END&gt;=2)))&gt;0,IFERROR(SUMPRODUCT(((BULK_ENABLED="Y")*((BULK_TIER="ALL")+(BULK_TIER=$F23))*((BULK_SKU="ALL")+(BULK_SKU=$G23))*(BULK_START&lt;=2)*(BULK_END&gt;=2))*IFERROR(BULK_VALUE,0))/MAX(1,SUMPRODUCT(((BULK_ENABLED="Y")*((BULK_TIER="ALL")+(BULK_TIER=$F23))*((BULK_SKU="ALL")+(BULK_SKU=$G23))*(BULK_START&lt;=2)*(BULK_END&gt;=2)))),0),ROUND((INDEX(VELOCITY_TABLE,MATCH($F23,TIER_LIST,0),1))*(IF((2-$I23+1)&lt;=0,0,IF((2-$I23+1)=1,RAMP_W1,IF((2-$I23+1)=2,RAMP_W2,IF((2-$I23+1)=3,RAMP_W3,RAMP_W4PLUS)))))*(INDEX(ACTIVE_MULT_TABLE,1,1))*(1+SUMPRODUCT(SIGN(((ACT_DOOR_SCOPE="ALL")+(ACT_DOOR_SCOPE="TIER_"&amp;$F23)+(ACT_DOOR_SCOPE=$B23)))*SIGN(((ACT_SKU_SCOPE="ALL")+(ACT_SKU_SCOPE=$G23)))*(ACT_START&lt;=2)*(ACT_END&gt;=2)*IFERROR(ACT_UPLIFT-1,0)))*(1+SUMPRODUCT(SIGN(((ACT_DOOR_SCOPE="ALL")+(ACT_DOOR_SCOPE="TIER_"&amp;$F23)+(ACT_DOOR_SCOPE=$B23)))*SIGN(((ACT_SKU_SCOPE="ALL")+(ACT_SKU_SCOPE=$G23)))*(2&gt;ACT_END)*(ACT_END&gt;0)*IFERROR(ACT_POSTLIFT,0))),0)))</f>
        <v/>
      </c>
      <c r="L23" s="10">
        <f>IF(OR($H23&lt;&gt;"Y",3&lt;$I23),0,IF(SUMPRODUCT(((BULK_ENABLED="Y")*((BULK_TIER="ALL")+(BULK_TIER=$F23))*((BULK_SKU="ALL")+(BULK_SKU=$G23))*(BULK_START&lt;=3)*(BULK_END&gt;=3)))&gt;0,IFERROR(SUMPRODUCT(((BULK_ENABLED="Y")*((BULK_TIER="ALL")+(BULK_TIER=$F23))*((BULK_SKU="ALL")+(BULK_SKU=$G23))*(BULK_START&lt;=3)*(BULK_END&gt;=3))*IFERROR(BULK_VALUE,0))/MAX(1,SUMPRODUCT(((BULK_ENABLED="Y")*((BULK_TIER="ALL")+(BULK_TIER=$F23))*((BULK_SKU="ALL")+(BULK_SKU=$G23))*(BULK_START&lt;=3)*(BULK_END&gt;=3)))),0),ROUND((INDEX(VELOCITY_TABLE,MATCH($F23,TIER_LIST,0),1))*(IF((3-$I23+1)&lt;=0,0,IF((3-$I23+1)=1,RAMP_W1,IF((3-$I23+1)=2,RAMP_W2,IF((3-$I23+1)=3,RAMP_W3,RAMP_W4PLUS)))))*(INDEX(ACTIVE_MULT_TABLE,1,1))*(1+SUMPRODUCT(SIGN(((ACT_DOOR_SCOPE="ALL")+(ACT_DOOR_SCOPE="TIER_"&amp;$F23)+(ACT_DOOR_SCOPE=$B23)))*SIGN(((ACT_SKU_SCOPE="ALL")+(ACT_SKU_SCOPE=$G23)))*(ACT_START&lt;=3)*(ACT_END&gt;=3)*IFERROR(ACT_UPLIFT-1,0)))*(1+SUMPRODUCT(SIGN(((ACT_DOOR_SCOPE="ALL")+(ACT_DOOR_SCOPE="TIER_"&amp;$F23)+(ACT_DOOR_SCOPE=$B23)))*SIGN(((ACT_SKU_SCOPE="ALL")+(ACT_SKU_SCOPE=$G23)))*(3&gt;ACT_END)*(ACT_END&gt;0)*IFERROR(ACT_POSTLIFT,0))),0)))</f>
        <v/>
      </c>
      <c r="M23" s="10">
        <f>IF(OR($H23&lt;&gt;"Y",4&lt;$I23),0,IF(SUMPRODUCT(((BULK_ENABLED="Y")*((BULK_TIER="ALL")+(BULK_TIER=$F23))*((BULK_SKU="ALL")+(BULK_SKU=$G23))*(BULK_START&lt;=4)*(BULK_END&gt;=4)))&gt;0,IFERROR(SUMPRODUCT(((BULK_ENABLED="Y")*((BULK_TIER="ALL")+(BULK_TIER=$F23))*((BULK_SKU="ALL")+(BULK_SKU=$G23))*(BULK_START&lt;=4)*(BULK_END&gt;=4))*IFERROR(BULK_VALUE,0))/MAX(1,SUMPRODUCT(((BULK_ENABLED="Y")*((BULK_TIER="ALL")+(BULK_TIER=$F23))*((BULK_SKU="ALL")+(BULK_SKU=$G23))*(BULK_START&lt;=4)*(BULK_END&gt;=4)))),0),ROUND((INDEX(VELOCITY_TABLE,MATCH($F23,TIER_LIST,0),1))*(IF((4-$I23+1)&lt;=0,0,IF((4-$I23+1)=1,RAMP_W1,IF((4-$I23+1)=2,RAMP_W2,IF((4-$I23+1)=3,RAMP_W3,RAMP_W4PLUS)))))*(INDEX(ACTIVE_MULT_TABLE,1,1))*(1+SUMPRODUCT(SIGN(((ACT_DOOR_SCOPE="ALL")+(ACT_DOOR_SCOPE="TIER_"&amp;$F23)+(ACT_DOOR_SCOPE=$B23)))*SIGN(((ACT_SKU_SCOPE="ALL")+(ACT_SKU_SCOPE=$G23)))*(ACT_START&lt;=4)*(ACT_END&gt;=4)*IFERROR(ACT_UPLIFT-1,0)))*(1+SUMPRODUCT(SIGN(((ACT_DOOR_SCOPE="ALL")+(ACT_DOOR_SCOPE="TIER_"&amp;$F23)+(ACT_DOOR_SCOPE=$B23)))*SIGN(((ACT_SKU_SCOPE="ALL")+(ACT_SKU_SCOPE=$G23)))*(4&gt;ACT_END)*(ACT_END&gt;0)*IFERROR(ACT_POSTLIFT,0))),0)))</f>
        <v/>
      </c>
      <c r="N23" s="10">
        <f>IF(OR($H23&lt;&gt;"Y",5&lt;$I23),0,IF(SUMPRODUCT(((BULK_ENABLED="Y")*((BULK_TIER="ALL")+(BULK_TIER=$F23))*((BULK_SKU="ALL")+(BULK_SKU=$G23))*(BULK_START&lt;=5)*(BULK_END&gt;=5)))&gt;0,IFERROR(SUMPRODUCT(((BULK_ENABLED="Y")*((BULK_TIER="ALL")+(BULK_TIER=$F23))*((BULK_SKU="ALL")+(BULK_SKU=$G23))*(BULK_START&lt;=5)*(BULK_END&gt;=5))*IFERROR(BULK_VALUE,0))/MAX(1,SUMPRODUCT(((BULK_ENABLED="Y")*((BULK_TIER="ALL")+(BULK_TIER=$F23))*((BULK_SKU="ALL")+(BULK_SKU=$G23))*(BULK_START&lt;=5)*(BULK_END&gt;=5)))),0),ROUND((INDEX(VELOCITY_TABLE,MATCH($F23,TIER_LIST,0),1))*(IF((5-$I23+1)&lt;=0,0,IF((5-$I23+1)=1,RAMP_W1,IF((5-$I23+1)=2,RAMP_W2,IF((5-$I23+1)=3,RAMP_W3,RAMP_W4PLUS)))))*(INDEX(ACTIVE_MULT_TABLE,1,1))*(1+SUMPRODUCT(SIGN(((ACT_DOOR_SCOPE="ALL")+(ACT_DOOR_SCOPE="TIER_"&amp;$F23)+(ACT_DOOR_SCOPE=$B23)))*SIGN(((ACT_SKU_SCOPE="ALL")+(ACT_SKU_SCOPE=$G23)))*(ACT_START&lt;=5)*(ACT_END&gt;=5)*IFERROR(ACT_UPLIFT-1,0)))*(1+SUMPRODUCT(SIGN(((ACT_DOOR_SCOPE="ALL")+(ACT_DOOR_SCOPE="TIER_"&amp;$F23)+(ACT_DOOR_SCOPE=$B23)))*SIGN(((ACT_SKU_SCOPE="ALL")+(ACT_SKU_SCOPE=$G23)))*(5&gt;ACT_END)*(ACT_END&gt;0)*IFERROR(ACT_POSTLIFT,0))),0)))</f>
        <v/>
      </c>
      <c r="O23" s="10">
        <f>IF(OR($H23&lt;&gt;"Y",6&lt;$I23),0,IF(SUMPRODUCT(((BULK_ENABLED="Y")*((BULK_TIER="ALL")+(BULK_TIER=$F23))*((BULK_SKU="ALL")+(BULK_SKU=$G23))*(BULK_START&lt;=6)*(BULK_END&gt;=6)))&gt;0,IFERROR(SUMPRODUCT(((BULK_ENABLED="Y")*((BULK_TIER="ALL")+(BULK_TIER=$F23))*((BULK_SKU="ALL")+(BULK_SKU=$G23))*(BULK_START&lt;=6)*(BULK_END&gt;=6))*IFERROR(BULK_VALUE,0))/MAX(1,SUMPRODUCT(((BULK_ENABLED="Y")*((BULK_TIER="ALL")+(BULK_TIER=$F23))*((BULK_SKU="ALL")+(BULK_SKU=$G23))*(BULK_START&lt;=6)*(BULK_END&gt;=6)))),0),ROUND((INDEX(VELOCITY_TABLE,MATCH($F23,TIER_LIST,0),1))*(IF((6-$I23+1)&lt;=0,0,IF((6-$I23+1)=1,RAMP_W1,IF((6-$I23+1)=2,RAMP_W2,IF((6-$I23+1)=3,RAMP_W3,RAMP_W4PLUS)))))*(INDEX(ACTIVE_MULT_TABLE,1,1))*(1+SUMPRODUCT(SIGN(((ACT_DOOR_SCOPE="ALL")+(ACT_DOOR_SCOPE="TIER_"&amp;$F23)+(ACT_DOOR_SCOPE=$B23)))*SIGN(((ACT_SKU_SCOPE="ALL")+(ACT_SKU_SCOPE=$G23)))*(ACT_START&lt;=6)*(ACT_END&gt;=6)*IFERROR(ACT_UPLIFT-1,0)))*(1+SUMPRODUCT(SIGN(((ACT_DOOR_SCOPE="ALL")+(ACT_DOOR_SCOPE="TIER_"&amp;$F23)+(ACT_DOOR_SCOPE=$B23)))*SIGN(((ACT_SKU_SCOPE="ALL")+(ACT_SKU_SCOPE=$G23)))*(6&gt;ACT_END)*(ACT_END&gt;0)*IFERROR(ACT_POSTLIFT,0))),0)))</f>
        <v/>
      </c>
      <c r="P23" s="10">
        <f>IF(OR($H23&lt;&gt;"Y",7&lt;$I23),0,IF(SUMPRODUCT(((BULK_ENABLED="Y")*((BULK_TIER="ALL")+(BULK_TIER=$F23))*((BULK_SKU="ALL")+(BULK_SKU=$G23))*(BULK_START&lt;=7)*(BULK_END&gt;=7)))&gt;0,IFERROR(SUMPRODUCT(((BULK_ENABLED="Y")*((BULK_TIER="ALL")+(BULK_TIER=$F23))*((BULK_SKU="ALL")+(BULK_SKU=$G23))*(BULK_START&lt;=7)*(BULK_END&gt;=7))*IFERROR(BULK_VALUE,0))/MAX(1,SUMPRODUCT(((BULK_ENABLED="Y")*((BULK_TIER="ALL")+(BULK_TIER=$F23))*((BULK_SKU="ALL")+(BULK_SKU=$G23))*(BULK_START&lt;=7)*(BULK_END&gt;=7)))),0),ROUND((INDEX(VELOCITY_TABLE,MATCH($F23,TIER_LIST,0),1))*(IF((7-$I23+1)&lt;=0,0,IF((7-$I23+1)=1,RAMP_W1,IF((7-$I23+1)=2,RAMP_W2,IF((7-$I23+1)=3,RAMP_W3,RAMP_W4PLUS)))))*(INDEX(ACTIVE_MULT_TABLE,1,1))*(1+SUMPRODUCT(SIGN(((ACT_DOOR_SCOPE="ALL")+(ACT_DOOR_SCOPE="TIER_"&amp;$F23)+(ACT_DOOR_SCOPE=$B23)))*SIGN(((ACT_SKU_SCOPE="ALL")+(ACT_SKU_SCOPE=$G23)))*(ACT_START&lt;=7)*(ACT_END&gt;=7)*IFERROR(ACT_UPLIFT-1,0)))*(1+SUMPRODUCT(SIGN(((ACT_DOOR_SCOPE="ALL")+(ACT_DOOR_SCOPE="TIER_"&amp;$F23)+(ACT_DOOR_SCOPE=$B23)))*SIGN(((ACT_SKU_SCOPE="ALL")+(ACT_SKU_SCOPE=$G23)))*(7&gt;ACT_END)*(ACT_END&gt;0)*IFERROR(ACT_POSTLIFT,0))),0)))</f>
        <v/>
      </c>
      <c r="Q23" s="10">
        <f>IF(OR($H23&lt;&gt;"Y",8&lt;$I23),0,IF(SUMPRODUCT(((BULK_ENABLED="Y")*((BULK_TIER="ALL")+(BULK_TIER=$F23))*((BULK_SKU="ALL")+(BULK_SKU=$G23))*(BULK_START&lt;=8)*(BULK_END&gt;=8)))&gt;0,IFERROR(SUMPRODUCT(((BULK_ENABLED="Y")*((BULK_TIER="ALL")+(BULK_TIER=$F23))*((BULK_SKU="ALL")+(BULK_SKU=$G23))*(BULK_START&lt;=8)*(BULK_END&gt;=8))*IFERROR(BULK_VALUE,0))/MAX(1,SUMPRODUCT(((BULK_ENABLED="Y")*((BULK_TIER="ALL")+(BULK_TIER=$F23))*((BULK_SKU="ALL")+(BULK_SKU=$G23))*(BULK_START&lt;=8)*(BULK_END&gt;=8)))),0),ROUND((INDEX(VELOCITY_TABLE,MATCH($F23,TIER_LIST,0),1))*(IF((8-$I23+1)&lt;=0,0,IF((8-$I23+1)=1,RAMP_W1,IF((8-$I23+1)=2,RAMP_W2,IF((8-$I23+1)=3,RAMP_W3,RAMP_W4PLUS)))))*(INDEX(ACTIVE_MULT_TABLE,1,1))*(1+SUMPRODUCT(SIGN(((ACT_DOOR_SCOPE="ALL")+(ACT_DOOR_SCOPE="TIER_"&amp;$F23)+(ACT_DOOR_SCOPE=$B23)))*SIGN(((ACT_SKU_SCOPE="ALL")+(ACT_SKU_SCOPE=$G23)))*(ACT_START&lt;=8)*(ACT_END&gt;=8)*IFERROR(ACT_UPLIFT-1,0)))*(1+SUMPRODUCT(SIGN(((ACT_DOOR_SCOPE="ALL")+(ACT_DOOR_SCOPE="TIER_"&amp;$F23)+(ACT_DOOR_SCOPE=$B23)))*SIGN(((ACT_SKU_SCOPE="ALL")+(ACT_SKU_SCOPE=$G23)))*(8&gt;ACT_END)*(ACT_END&gt;0)*IFERROR(ACT_POSTLIFT,0))),0)))</f>
        <v/>
      </c>
      <c r="R23" s="10">
        <f>IF(OR($H23&lt;&gt;"Y",9&lt;$I23),0,IF(SUMPRODUCT(((BULK_ENABLED="Y")*((BULK_TIER="ALL")+(BULK_TIER=$F23))*((BULK_SKU="ALL")+(BULK_SKU=$G23))*(BULK_START&lt;=9)*(BULK_END&gt;=9)))&gt;0,IFERROR(SUMPRODUCT(((BULK_ENABLED="Y")*((BULK_TIER="ALL")+(BULK_TIER=$F23))*((BULK_SKU="ALL")+(BULK_SKU=$G23))*(BULK_START&lt;=9)*(BULK_END&gt;=9))*IFERROR(BULK_VALUE,0))/MAX(1,SUMPRODUCT(((BULK_ENABLED="Y")*((BULK_TIER="ALL")+(BULK_TIER=$F23))*((BULK_SKU="ALL")+(BULK_SKU=$G23))*(BULK_START&lt;=9)*(BULK_END&gt;=9)))),0),ROUND((INDEX(VELOCITY_TABLE,MATCH($F23,TIER_LIST,0),1))*(IF((9-$I23+1)&lt;=0,0,IF((9-$I23+1)=1,RAMP_W1,IF((9-$I23+1)=2,RAMP_W2,IF((9-$I23+1)=3,RAMP_W3,RAMP_W4PLUS)))))*(INDEX(ACTIVE_MULT_TABLE,1,1))*(1+SUMPRODUCT(SIGN(((ACT_DOOR_SCOPE="ALL")+(ACT_DOOR_SCOPE="TIER_"&amp;$F23)+(ACT_DOOR_SCOPE=$B23)))*SIGN(((ACT_SKU_SCOPE="ALL")+(ACT_SKU_SCOPE=$G23)))*(ACT_START&lt;=9)*(ACT_END&gt;=9)*IFERROR(ACT_UPLIFT-1,0)))*(1+SUMPRODUCT(SIGN(((ACT_DOOR_SCOPE="ALL")+(ACT_DOOR_SCOPE="TIER_"&amp;$F23)+(ACT_DOOR_SCOPE=$B23)))*SIGN(((ACT_SKU_SCOPE="ALL")+(ACT_SKU_SCOPE=$G23)))*(9&gt;ACT_END)*(ACT_END&gt;0)*IFERROR(ACT_POSTLIFT,0))),0)))</f>
        <v/>
      </c>
      <c r="S23" s="10">
        <f>IF(OR($H23&lt;&gt;"Y",10&lt;$I23),0,IF(SUMPRODUCT(((BULK_ENABLED="Y")*((BULK_TIER="ALL")+(BULK_TIER=$F23))*((BULK_SKU="ALL")+(BULK_SKU=$G23))*(BULK_START&lt;=10)*(BULK_END&gt;=10)))&gt;0,IFERROR(SUMPRODUCT(((BULK_ENABLED="Y")*((BULK_TIER="ALL")+(BULK_TIER=$F23))*((BULK_SKU="ALL")+(BULK_SKU=$G23))*(BULK_START&lt;=10)*(BULK_END&gt;=10))*IFERROR(BULK_VALUE,0))/MAX(1,SUMPRODUCT(((BULK_ENABLED="Y")*((BULK_TIER="ALL")+(BULK_TIER=$F23))*((BULK_SKU="ALL")+(BULK_SKU=$G23))*(BULK_START&lt;=10)*(BULK_END&gt;=10)))),0),ROUND((INDEX(VELOCITY_TABLE,MATCH($F23,TIER_LIST,0),1))*(IF((10-$I23+1)&lt;=0,0,IF((10-$I23+1)=1,RAMP_W1,IF((10-$I23+1)=2,RAMP_W2,IF((10-$I23+1)=3,RAMP_W3,RAMP_W4PLUS)))))*(INDEX(ACTIVE_MULT_TABLE,1,1))*(1+SUMPRODUCT(SIGN(((ACT_DOOR_SCOPE="ALL")+(ACT_DOOR_SCOPE="TIER_"&amp;$F23)+(ACT_DOOR_SCOPE=$B23)))*SIGN(((ACT_SKU_SCOPE="ALL")+(ACT_SKU_SCOPE=$G23)))*(ACT_START&lt;=10)*(ACT_END&gt;=10)*IFERROR(ACT_UPLIFT-1,0)))*(1+SUMPRODUCT(SIGN(((ACT_DOOR_SCOPE="ALL")+(ACT_DOOR_SCOPE="TIER_"&amp;$F23)+(ACT_DOOR_SCOPE=$B23)))*SIGN(((ACT_SKU_SCOPE="ALL")+(ACT_SKU_SCOPE=$G23)))*(10&gt;ACT_END)*(ACT_END&gt;0)*IFERROR(ACT_POSTLIFT,0))),0)))</f>
        <v/>
      </c>
      <c r="T23" s="10">
        <f>IF(OR($H23&lt;&gt;"Y",11&lt;$I23),0,IF(SUMPRODUCT(((BULK_ENABLED="Y")*((BULK_TIER="ALL")+(BULK_TIER=$F23))*((BULK_SKU="ALL")+(BULK_SKU=$G23))*(BULK_START&lt;=11)*(BULK_END&gt;=11)))&gt;0,IFERROR(SUMPRODUCT(((BULK_ENABLED="Y")*((BULK_TIER="ALL")+(BULK_TIER=$F23))*((BULK_SKU="ALL")+(BULK_SKU=$G23))*(BULK_START&lt;=11)*(BULK_END&gt;=11))*IFERROR(BULK_VALUE,0))/MAX(1,SUMPRODUCT(((BULK_ENABLED="Y")*((BULK_TIER="ALL")+(BULK_TIER=$F23))*((BULK_SKU="ALL")+(BULK_SKU=$G23))*(BULK_START&lt;=11)*(BULK_END&gt;=11)))),0),ROUND((INDEX(VELOCITY_TABLE,MATCH($F23,TIER_LIST,0),1))*(IF((11-$I23+1)&lt;=0,0,IF((11-$I23+1)=1,RAMP_W1,IF((11-$I23+1)=2,RAMP_W2,IF((11-$I23+1)=3,RAMP_W3,RAMP_W4PLUS)))))*(INDEX(ACTIVE_MULT_TABLE,1,1))*(1+SUMPRODUCT(SIGN(((ACT_DOOR_SCOPE="ALL")+(ACT_DOOR_SCOPE="TIER_"&amp;$F23)+(ACT_DOOR_SCOPE=$B23)))*SIGN(((ACT_SKU_SCOPE="ALL")+(ACT_SKU_SCOPE=$G23)))*(ACT_START&lt;=11)*(ACT_END&gt;=11)*IFERROR(ACT_UPLIFT-1,0)))*(1+SUMPRODUCT(SIGN(((ACT_DOOR_SCOPE="ALL")+(ACT_DOOR_SCOPE="TIER_"&amp;$F23)+(ACT_DOOR_SCOPE=$B23)))*SIGN(((ACT_SKU_SCOPE="ALL")+(ACT_SKU_SCOPE=$G23)))*(11&gt;ACT_END)*(ACT_END&gt;0)*IFERROR(ACT_POSTLIFT,0))),0)))</f>
        <v/>
      </c>
      <c r="U23" s="10">
        <f>IF(OR($H23&lt;&gt;"Y",12&lt;$I23),0,IF(SUMPRODUCT(((BULK_ENABLED="Y")*((BULK_TIER="ALL")+(BULK_TIER=$F23))*((BULK_SKU="ALL")+(BULK_SKU=$G23))*(BULK_START&lt;=12)*(BULK_END&gt;=12)))&gt;0,IFERROR(SUMPRODUCT(((BULK_ENABLED="Y")*((BULK_TIER="ALL")+(BULK_TIER=$F23))*((BULK_SKU="ALL")+(BULK_SKU=$G23))*(BULK_START&lt;=12)*(BULK_END&gt;=12))*IFERROR(BULK_VALUE,0))/MAX(1,SUMPRODUCT(((BULK_ENABLED="Y")*((BULK_TIER="ALL")+(BULK_TIER=$F23))*((BULK_SKU="ALL")+(BULK_SKU=$G23))*(BULK_START&lt;=12)*(BULK_END&gt;=12)))),0),ROUND((INDEX(VELOCITY_TABLE,MATCH($F23,TIER_LIST,0),1))*(IF((12-$I23+1)&lt;=0,0,IF((12-$I23+1)=1,RAMP_W1,IF((12-$I23+1)=2,RAMP_W2,IF((12-$I23+1)=3,RAMP_W3,RAMP_W4PLUS)))))*(INDEX(ACTIVE_MULT_TABLE,1,1))*(1+SUMPRODUCT(SIGN(((ACT_DOOR_SCOPE="ALL")+(ACT_DOOR_SCOPE="TIER_"&amp;$F23)+(ACT_DOOR_SCOPE=$B23)))*SIGN(((ACT_SKU_SCOPE="ALL")+(ACT_SKU_SCOPE=$G23)))*(ACT_START&lt;=12)*(ACT_END&gt;=12)*IFERROR(ACT_UPLIFT-1,0)))*(1+SUMPRODUCT(SIGN(((ACT_DOOR_SCOPE="ALL")+(ACT_DOOR_SCOPE="TIER_"&amp;$F23)+(ACT_DOOR_SCOPE=$B23)))*SIGN(((ACT_SKU_SCOPE="ALL")+(ACT_SKU_SCOPE=$G23)))*(12&gt;ACT_END)*(ACT_END&gt;0)*IFERROR(ACT_POSTLIFT,0))),0)))</f>
        <v/>
      </c>
      <c r="V23" s="10">
        <f>IF(OR($H23&lt;&gt;"Y",13&lt;$I23),0,IF(SUMPRODUCT(((BULK_ENABLED="Y")*((BULK_TIER="ALL")+(BULK_TIER=$F23))*((BULK_SKU="ALL")+(BULK_SKU=$G23))*(BULK_START&lt;=13)*(BULK_END&gt;=13)))&gt;0,IFERROR(SUMPRODUCT(((BULK_ENABLED="Y")*((BULK_TIER="ALL")+(BULK_TIER=$F23))*((BULK_SKU="ALL")+(BULK_SKU=$G23))*(BULK_START&lt;=13)*(BULK_END&gt;=13))*IFERROR(BULK_VALUE,0))/MAX(1,SUMPRODUCT(((BULK_ENABLED="Y")*((BULK_TIER="ALL")+(BULK_TIER=$F23))*((BULK_SKU="ALL")+(BULK_SKU=$G23))*(BULK_START&lt;=13)*(BULK_END&gt;=13)))),0),ROUND((INDEX(VELOCITY_TABLE,MATCH($F23,TIER_LIST,0),1))*(IF((13-$I23+1)&lt;=0,0,IF((13-$I23+1)=1,RAMP_W1,IF((13-$I23+1)=2,RAMP_W2,IF((13-$I23+1)=3,RAMP_W3,RAMP_W4PLUS)))))*(INDEX(ACTIVE_MULT_TABLE,1,1))*(1+SUMPRODUCT(SIGN(((ACT_DOOR_SCOPE="ALL")+(ACT_DOOR_SCOPE="TIER_"&amp;$F23)+(ACT_DOOR_SCOPE=$B23)))*SIGN(((ACT_SKU_SCOPE="ALL")+(ACT_SKU_SCOPE=$G23)))*(ACT_START&lt;=13)*(ACT_END&gt;=13)*IFERROR(ACT_UPLIFT-1,0)))*(1+SUMPRODUCT(SIGN(((ACT_DOOR_SCOPE="ALL")+(ACT_DOOR_SCOPE="TIER_"&amp;$F23)+(ACT_DOOR_SCOPE=$B23)))*SIGN(((ACT_SKU_SCOPE="ALL")+(ACT_SKU_SCOPE=$G23)))*(13&gt;ACT_END)*(ACT_END&gt;0)*IFERROR(ACT_POSTLIFT,0))),0)))</f>
        <v/>
      </c>
    </row>
    <row r="24">
      <c r="A24" t="inlineStr">
        <is>
          <t>R0020</t>
        </is>
      </c>
      <c r="B24">
        <f>Doors!$A$11</f>
        <v/>
      </c>
      <c r="C24">
        <f>Doors!$C$11</f>
        <v/>
      </c>
      <c r="D24">
        <f>Doors!$B$11</f>
        <v/>
      </c>
      <c r="E24">
        <f>Doors!$E$11</f>
        <v/>
      </c>
      <c r="F24">
        <f>Doors!$F$11</f>
        <v/>
      </c>
      <c r="G24" t="inlineStr">
        <is>
          <t>Pineapple Passion Fruit</t>
        </is>
      </c>
      <c r="H24">
        <f>Doors!$H$11</f>
        <v/>
      </c>
      <c r="I24">
        <f>Doors!$J$11</f>
        <v/>
      </c>
      <c r="J24" s="10">
        <f>IF(OR($H24&lt;&gt;"Y",1&lt;$I24),0,IF(SUMPRODUCT(((BULK_ENABLED="Y")*((BULK_TIER="ALL")+(BULK_TIER=$F24))*((BULK_SKU="ALL")+(BULK_SKU=$G24))*(BULK_START&lt;=1)*(BULK_END&gt;=1)))&gt;0,IFERROR(SUMPRODUCT(((BULK_ENABLED="Y")*((BULK_TIER="ALL")+(BULK_TIER=$F24))*((BULK_SKU="ALL")+(BULK_SKU=$G24))*(BULK_START&lt;=1)*(BULK_END&gt;=1))*IFERROR(BULK_VALUE,0))/MAX(1,SUMPRODUCT(((BULK_ENABLED="Y")*((BULK_TIER="ALL")+(BULK_TIER=$F24))*((BULK_SKU="ALL")+(BULK_SKU=$G24))*(BULK_START&lt;=1)*(BULK_END&gt;=1)))),0),ROUND((INDEX(VELOCITY_TABLE,MATCH($F24,TIER_LIST,0),2))*(IF((1-$I24+1)&lt;=0,0,IF((1-$I24+1)=1,RAMP_W1,IF((1-$I24+1)=2,RAMP_W2,IF((1-$I24+1)=3,RAMP_W3,RAMP_W4PLUS)))))*(INDEX(ACTIVE_MULT_TABLE,2,1))*(1+SUMPRODUCT(SIGN(((ACT_DOOR_SCOPE="ALL")+(ACT_DOOR_SCOPE="TIER_"&amp;$F24)+(ACT_DOOR_SCOPE=$B24)))*SIGN(((ACT_SKU_SCOPE="ALL")+(ACT_SKU_SCOPE=$G24)))*(ACT_START&lt;=1)*(ACT_END&gt;=1)*IFERROR(ACT_UPLIFT-1,0)))*(1+SUMPRODUCT(SIGN(((ACT_DOOR_SCOPE="ALL")+(ACT_DOOR_SCOPE="TIER_"&amp;$F24)+(ACT_DOOR_SCOPE=$B24)))*SIGN(((ACT_SKU_SCOPE="ALL")+(ACT_SKU_SCOPE=$G24)))*(1&gt;ACT_END)*(ACT_END&gt;0)*IFERROR(ACT_POSTLIFT,0))),0)))</f>
        <v/>
      </c>
      <c r="K24" s="10">
        <f>IF(OR($H24&lt;&gt;"Y",2&lt;$I24),0,IF(SUMPRODUCT(((BULK_ENABLED="Y")*((BULK_TIER="ALL")+(BULK_TIER=$F24))*((BULK_SKU="ALL")+(BULK_SKU=$G24))*(BULK_START&lt;=2)*(BULK_END&gt;=2)))&gt;0,IFERROR(SUMPRODUCT(((BULK_ENABLED="Y")*((BULK_TIER="ALL")+(BULK_TIER=$F24))*((BULK_SKU="ALL")+(BULK_SKU=$G24))*(BULK_START&lt;=2)*(BULK_END&gt;=2))*IFERROR(BULK_VALUE,0))/MAX(1,SUMPRODUCT(((BULK_ENABLED="Y")*((BULK_TIER="ALL")+(BULK_TIER=$F24))*((BULK_SKU="ALL")+(BULK_SKU=$G24))*(BULK_START&lt;=2)*(BULK_END&gt;=2)))),0),ROUND((INDEX(VELOCITY_TABLE,MATCH($F24,TIER_LIST,0),2))*(IF((2-$I24+1)&lt;=0,0,IF((2-$I24+1)=1,RAMP_W1,IF((2-$I24+1)=2,RAMP_W2,IF((2-$I24+1)=3,RAMP_W3,RAMP_W4PLUS)))))*(INDEX(ACTIVE_MULT_TABLE,2,1))*(1+SUMPRODUCT(SIGN(((ACT_DOOR_SCOPE="ALL")+(ACT_DOOR_SCOPE="TIER_"&amp;$F24)+(ACT_DOOR_SCOPE=$B24)))*SIGN(((ACT_SKU_SCOPE="ALL")+(ACT_SKU_SCOPE=$G24)))*(ACT_START&lt;=2)*(ACT_END&gt;=2)*IFERROR(ACT_UPLIFT-1,0)))*(1+SUMPRODUCT(SIGN(((ACT_DOOR_SCOPE="ALL")+(ACT_DOOR_SCOPE="TIER_"&amp;$F24)+(ACT_DOOR_SCOPE=$B24)))*SIGN(((ACT_SKU_SCOPE="ALL")+(ACT_SKU_SCOPE=$G24)))*(2&gt;ACT_END)*(ACT_END&gt;0)*IFERROR(ACT_POSTLIFT,0))),0)))</f>
        <v/>
      </c>
      <c r="L24" s="10">
        <f>IF(OR($H24&lt;&gt;"Y",3&lt;$I24),0,IF(SUMPRODUCT(((BULK_ENABLED="Y")*((BULK_TIER="ALL")+(BULK_TIER=$F24))*((BULK_SKU="ALL")+(BULK_SKU=$G24))*(BULK_START&lt;=3)*(BULK_END&gt;=3)))&gt;0,IFERROR(SUMPRODUCT(((BULK_ENABLED="Y")*((BULK_TIER="ALL")+(BULK_TIER=$F24))*((BULK_SKU="ALL")+(BULK_SKU=$G24))*(BULK_START&lt;=3)*(BULK_END&gt;=3))*IFERROR(BULK_VALUE,0))/MAX(1,SUMPRODUCT(((BULK_ENABLED="Y")*((BULK_TIER="ALL")+(BULK_TIER=$F24))*((BULK_SKU="ALL")+(BULK_SKU=$G24))*(BULK_START&lt;=3)*(BULK_END&gt;=3)))),0),ROUND((INDEX(VELOCITY_TABLE,MATCH($F24,TIER_LIST,0),2))*(IF((3-$I24+1)&lt;=0,0,IF((3-$I24+1)=1,RAMP_W1,IF((3-$I24+1)=2,RAMP_W2,IF((3-$I24+1)=3,RAMP_W3,RAMP_W4PLUS)))))*(INDEX(ACTIVE_MULT_TABLE,2,1))*(1+SUMPRODUCT(SIGN(((ACT_DOOR_SCOPE="ALL")+(ACT_DOOR_SCOPE="TIER_"&amp;$F24)+(ACT_DOOR_SCOPE=$B24)))*SIGN(((ACT_SKU_SCOPE="ALL")+(ACT_SKU_SCOPE=$G24)))*(ACT_START&lt;=3)*(ACT_END&gt;=3)*IFERROR(ACT_UPLIFT-1,0)))*(1+SUMPRODUCT(SIGN(((ACT_DOOR_SCOPE="ALL")+(ACT_DOOR_SCOPE="TIER_"&amp;$F24)+(ACT_DOOR_SCOPE=$B24)))*SIGN(((ACT_SKU_SCOPE="ALL")+(ACT_SKU_SCOPE=$G24)))*(3&gt;ACT_END)*(ACT_END&gt;0)*IFERROR(ACT_POSTLIFT,0))),0)))</f>
        <v/>
      </c>
      <c r="M24" s="10">
        <f>IF(OR($H24&lt;&gt;"Y",4&lt;$I24),0,IF(SUMPRODUCT(((BULK_ENABLED="Y")*((BULK_TIER="ALL")+(BULK_TIER=$F24))*((BULK_SKU="ALL")+(BULK_SKU=$G24))*(BULK_START&lt;=4)*(BULK_END&gt;=4)))&gt;0,IFERROR(SUMPRODUCT(((BULK_ENABLED="Y")*((BULK_TIER="ALL")+(BULK_TIER=$F24))*((BULK_SKU="ALL")+(BULK_SKU=$G24))*(BULK_START&lt;=4)*(BULK_END&gt;=4))*IFERROR(BULK_VALUE,0))/MAX(1,SUMPRODUCT(((BULK_ENABLED="Y")*((BULK_TIER="ALL")+(BULK_TIER=$F24))*((BULK_SKU="ALL")+(BULK_SKU=$G24))*(BULK_START&lt;=4)*(BULK_END&gt;=4)))),0),ROUND((INDEX(VELOCITY_TABLE,MATCH($F24,TIER_LIST,0),2))*(IF((4-$I24+1)&lt;=0,0,IF((4-$I24+1)=1,RAMP_W1,IF((4-$I24+1)=2,RAMP_W2,IF((4-$I24+1)=3,RAMP_W3,RAMP_W4PLUS)))))*(INDEX(ACTIVE_MULT_TABLE,2,1))*(1+SUMPRODUCT(SIGN(((ACT_DOOR_SCOPE="ALL")+(ACT_DOOR_SCOPE="TIER_"&amp;$F24)+(ACT_DOOR_SCOPE=$B24)))*SIGN(((ACT_SKU_SCOPE="ALL")+(ACT_SKU_SCOPE=$G24)))*(ACT_START&lt;=4)*(ACT_END&gt;=4)*IFERROR(ACT_UPLIFT-1,0)))*(1+SUMPRODUCT(SIGN(((ACT_DOOR_SCOPE="ALL")+(ACT_DOOR_SCOPE="TIER_"&amp;$F24)+(ACT_DOOR_SCOPE=$B24)))*SIGN(((ACT_SKU_SCOPE="ALL")+(ACT_SKU_SCOPE=$G24)))*(4&gt;ACT_END)*(ACT_END&gt;0)*IFERROR(ACT_POSTLIFT,0))),0)))</f>
        <v/>
      </c>
      <c r="N24" s="10">
        <f>IF(OR($H24&lt;&gt;"Y",5&lt;$I24),0,IF(SUMPRODUCT(((BULK_ENABLED="Y")*((BULK_TIER="ALL")+(BULK_TIER=$F24))*((BULK_SKU="ALL")+(BULK_SKU=$G24))*(BULK_START&lt;=5)*(BULK_END&gt;=5)))&gt;0,IFERROR(SUMPRODUCT(((BULK_ENABLED="Y")*((BULK_TIER="ALL")+(BULK_TIER=$F24))*((BULK_SKU="ALL")+(BULK_SKU=$G24))*(BULK_START&lt;=5)*(BULK_END&gt;=5))*IFERROR(BULK_VALUE,0))/MAX(1,SUMPRODUCT(((BULK_ENABLED="Y")*((BULK_TIER="ALL")+(BULK_TIER=$F24))*((BULK_SKU="ALL")+(BULK_SKU=$G24))*(BULK_START&lt;=5)*(BULK_END&gt;=5)))),0),ROUND((INDEX(VELOCITY_TABLE,MATCH($F24,TIER_LIST,0),2))*(IF((5-$I24+1)&lt;=0,0,IF((5-$I24+1)=1,RAMP_W1,IF((5-$I24+1)=2,RAMP_W2,IF((5-$I24+1)=3,RAMP_W3,RAMP_W4PLUS)))))*(INDEX(ACTIVE_MULT_TABLE,2,1))*(1+SUMPRODUCT(SIGN(((ACT_DOOR_SCOPE="ALL")+(ACT_DOOR_SCOPE="TIER_"&amp;$F24)+(ACT_DOOR_SCOPE=$B24)))*SIGN(((ACT_SKU_SCOPE="ALL")+(ACT_SKU_SCOPE=$G24)))*(ACT_START&lt;=5)*(ACT_END&gt;=5)*IFERROR(ACT_UPLIFT-1,0)))*(1+SUMPRODUCT(SIGN(((ACT_DOOR_SCOPE="ALL")+(ACT_DOOR_SCOPE="TIER_"&amp;$F24)+(ACT_DOOR_SCOPE=$B24)))*SIGN(((ACT_SKU_SCOPE="ALL")+(ACT_SKU_SCOPE=$G24)))*(5&gt;ACT_END)*(ACT_END&gt;0)*IFERROR(ACT_POSTLIFT,0))),0)))</f>
        <v/>
      </c>
      <c r="O24" s="10">
        <f>IF(OR($H24&lt;&gt;"Y",6&lt;$I24),0,IF(SUMPRODUCT(((BULK_ENABLED="Y")*((BULK_TIER="ALL")+(BULK_TIER=$F24))*((BULK_SKU="ALL")+(BULK_SKU=$G24))*(BULK_START&lt;=6)*(BULK_END&gt;=6)))&gt;0,IFERROR(SUMPRODUCT(((BULK_ENABLED="Y")*((BULK_TIER="ALL")+(BULK_TIER=$F24))*((BULK_SKU="ALL")+(BULK_SKU=$G24))*(BULK_START&lt;=6)*(BULK_END&gt;=6))*IFERROR(BULK_VALUE,0))/MAX(1,SUMPRODUCT(((BULK_ENABLED="Y")*((BULK_TIER="ALL")+(BULK_TIER=$F24))*((BULK_SKU="ALL")+(BULK_SKU=$G24))*(BULK_START&lt;=6)*(BULK_END&gt;=6)))),0),ROUND((INDEX(VELOCITY_TABLE,MATCH($F24,TIER_LIST,0),2))*(IF((6-$I24+1)&lt;=0,0,IF((6-$I24+1)=1,RAMP_W1,IF((6-$I24+1)=2,RAMP_W2,IF((6-$I24+1)=3,RAMP_W3,RAMP_W4PLUS)))))*(INDEX(ACTIVE_MULT_TABLE,2,1))*(1+SUMPRODUCT(SIGN(((ACT_DOOR_SCOPE="ALL")+(ACT_DOOR_SCOPE="TIER_"&amp;$F24)+(ACT_DOOR_SCOPE=$B24)))*SIGN(((ACT_SKU_SCOPE="ALL")+(ACT_SKU_SCOPE=$G24)))*(ACT_START&lt;=6)*(ACT_END&gt;=6)*IFERROR(ACT_UPLIFT-1,0)))*(1+SUMPRODUCT(SIGN(((ACT_DOOR_SCOPE="ALL")+(ACT_DOOR_SCOPE="TIER_"&amp;$F24)+(ACT_DOOR_SCOPE=$B24)))*SIGN(((ACT_SKU_SCOPE="ALL")+(ACT_SKU_SCOPE=$G24)))*(6&gt;ACT_END)*(ACT_END&gt;0)*IFERROR(ACT_POSTLIFT,0))),0)))</f>
        <v/>
      </c>
      <c r="P24" s="10">
        <f>IF(OR($H24&lt;&gt;"Y",7&lt;$I24),0,IF(SUMPRODUCT(((BULK_ENABLED="Y")*((BULK_TIER="ALL")+(BULK_TIER=$F24))*((BULK_SKU="ALL")+(BULK_SKU=$G24))*(BULK_START&lt;=7)*(BULK_END&gt;=7)))&gt;0,IFERROR(SUMPRODUCT(((BULK_ENABLED="Y")*((BULK_TIER="ALL")+(BULK_TIER=$F24))*((BULK_SKU="ALL")+(BULK_SKU=$G24))*(BULK_START&lt;=7)*(BULK_END&gt;=7))*IFERROR(BULK_VALUE,0))/MAX(1,SUMPRODUCT(((BULK_ENABLED="Y")*((BULK_TIER="ALL")+(BULK_TIER=$F24))*((BULK_SKU="ALL")+(BULK_SKU=$G24))*(BULK_START&lt;=7)*(BULK_END&gt;=7)))),0),ROUND((INDEX(VELOCITY_TABLE,MATCH($F24,TIER_LIST,0),2))*(IF((7-$I24+1)&lt;=0,0,IF((7-$I24+1)=1,RAMP_W1,IF((7-$I24+1)=2,RAMP_W2,IF((7-$I24+1)=3,RAMP_W3,RAMP_W4PLUS)))))*(INDEX(ACTIVE_MULT_TABLE,2,1))*(1+SUMPRODUCT(SIGN(((ACT_DOOR_SCOPE="ALL")+(ACT_DOOR_SCOPE="TIER_"&amp;$F24)+(ACT_DOOR_SCOPE=$B24)))*SIGN(((ACT_SKU_SCOPE="ALL")+(ACT_SKU_SCOPE=$G24)))*(ACT_START&lt;=7)*(ACT_END&gt;=7)*IFERROR(ACT_UPLIFT-1,0)))*(1+SUMPRODUCT(SIGN(((ACT_DOOR_SCOPE="ALL")+(ACT_DOOR_SCOPE="TIER_"&amp;$F24)+(ACT_DOOR_SCOPE=$B24)))*SIGN(((ACT_SKU_SCOPE="ALL")+(ACT_SKU_SCOPE=$G24)))*(7&gt;ACT_END)*(ACT_END&gt;0)*IFERROR(ACT_POSTLIFT,0))),0)))</f>
        <v/>
      </c>
      <c r="Q24" s="10">
        <f>IF(OR($H24&lt;&gt;"Y",8&lt;$I24),0,IF(SUMPRODUCT(((BULK_ENABLED="Y")*((BULK_TIER="ALL")+(BULK_TIER=$F24))*((BULK_SKU="ALL")+(BULK_SKU=$G24))*(BULK_START&lt;=8)*(BULK_END&gt;=8)))&gt;0,IFERROR(SUMPRODUCT(((BULK_ENABLED="Y")*((BULK_TIER="ALL")+(BULK_TIER=$F24))*((BULK_SKU="ALL")+(BULK_SKU=$G24))*(BULK_START&lt;=8)*(BULK_END&gt;=8))*IFERROR(BULK_VALUE,0))/MAX(1,SUMPRODUCT(((BULK_ENABLED="Y")*((BULK_TIER="ALL")+(BULK_TIER=$F24))*((BULK_SKU="ALL")+(BULK_SKU=$G24))*(BULK_START&lt;=8)*(BULK_END&gt;=8)))),0),ROUND((INDEX(VELOCITY_TABLE,MATCH($F24,TIER_LIST,0),2))*(IF((8-$I24+1)&lt;=0,0,IF((8-$I24+1)=1,RAMP_W1,IF((8-$I24+1)=2,RAMP_W2,IF((8-$I24+1)=3,RAMP_W3,RAMP_W4PLUS)))))*(INDEX(ACTIVE_MULT_TABLE,2,1))*(1+SUMPRODUCT(SIGN(((ACT_DOOR_SCOPE="ALL")+(ACT_DOOR_SCOPE="TIER_"&amp;$F24)+(ACT_DOOR_SCOPE=$B24)))*SIGN(((ACT_SKU_SCOPE="ALL")+(ACT_SKU_SCOPE=$G24)))*(ACT_START&lt;=8)*(ACT_END&gt;=8)*IFERROR(ACT_UPLIFT-1,0)))*(1+SUMPRODUCT(SIGN(((ACT_DOOR_SCOPE="ALL")+(ACT_DOOR_SCOPE="TIER_"&amp;$F24)+(ACT_DOOR_SCOPE=$B24)))*SIGN(((ACT_SKU_SCOPE="ALL")+(ACT_SKU_SCOPE=$G24)))*(8&gt;ACT_END)*(ACT_END&gt;0)*IFERROR(ACT_POSTLIFT,0))),0)))</f>
        <v/>
      </c>
      <c r="R24" s="10">
        <f>IF(OR($H24&lt;&gt;"Y",9&lt;$I24),0,IF(SUMPRODUCT(((BULK_ENABLED="Y")*((BULK_TIER="ALL")+(BULK_TIER=$F24))*((BULK_SKU="ALL")+(BULK_SKU=$G24))*(BULK_START&lt;=9)*(BULK_END&gt;=9)))&gt;0,IFERROR(SUMPRODUCT(((BULK_ENABLED="Y")*((BULK_TIER="ALL")+(BULK_TIER=$F24))*((BULK_SKU="ALL")+(BULK_SKU=$G24))*(BULK_START&lt;=9)*(BULK_END&gt;=9))*IFERROR(BULK_VALUE,0))/MAX(1,SUMPRODUCT(((BULK_ENABLED="Y")*((BULK_TIER="ALL")+(BULK_TIER=$F24))*((BULK_SKU="ALL")+(BULK_SKU=$G24))*(BULK_START&lt;=9)*(BULK_END&gt;=9)))),0),ROUND((INDEX(VELOCITY_TABLE,MATCH($F24,TIER_LIST,0),2))*(IF((9-$I24+1)&lt;=0,0,IF((9-$I24+1)=1,RAMP_W1,IF((9-$I24+1)=2,RAMP_W2,IF((9-$I24+1)=3,RAMP_W3,RAMP_W4PLUS)))))*(INDEX(ACTIVE_MULT_TABLE,2,1))*(1+SUMPRODUCT(SIGN(((ACT_DOOR_SCOPE="ALL")+(ACT_DOOR_SCOPE="TIER_"&amp;$F24)+(ACT_DOOR_SCOPE=$B24)))*SIGN(((ACT_SKU_SCOPE="ALL")+(ACT_SKU_SCOPE=$G24)))*(ACT_START&lt;=9)*(ACT_END&gt;=9)*IFERROR(ACT_UPLIFT-1,0)))*(1+SUMPRODUCT(SIGN(((ACT_DOOR_SCOPE="ALL")+(ACT_DOOR_SCOPE="TIER_"&amp;$F24)+(ACT_DOOR_SCOPE=$B24)))*SIGN(((ACT_SKU_SCOPE="ALL")+(ACT_SKU_SCOPE=$G24)))*(9&gt;ACT_END)*(ACT_END&gt;0)*IFERROR(ACT_POSTLIFT,0))),0)))</f>
        <v/>
      </c>
      <c r="S24" s="10">
        <f>IF(OR($H24&lt;&gt;"Y",10&lt;$I24),0,IF(SUMPRODUCT(((BULK_ENABLED="Y")*((BULK_TIER="ALL")+(BULK_TIER=$F24))*((BULK_SKU="ALL")+(BULK_SKU=$G24))*(BULK_START&lt;=10)*(BULK_END&gt;=10)))&gt;0,IFERROR(SUMPRODUCT(((BULK_ENABLED="Y")*((BULK_TIER="ALL")+(BULK_TIER=$F24))*((BULK_SKU="ALL")+(BULK_SKU=$G24))*(BULK_START&lt;=10)*(BULK_END&gt;=10))*IFERROR(BULK_VALUE,0))/MAX(1,SUMPRODUCT(((BULK_ENABLED="Y")*((BULK_TIER="ALL")+(BULK_TIER=$F24))*((BULK_SKU="ALL")+(BULK_SKU=$G24))*(BULK_START&lt;=10)*(BULK_END&gt;=10)))),0),ROUND((INDEX(VELOCITY_TABLE,MATCH($F24,TIER_LIST,0),2))*(IF((10-$I24+1)&lt;=0,0,IF((10-$I24+1)=1,RAMP_W1,IF((10-$I24+1)=2,RAMP_W2,IF((10-$I24+1)=3,RAMP_W3,RAMP_W4PLUS)))))*(INDEX(ACTIVE_MULT_TABLE,2,1))*(1+SUMPRODUCT(SIGN(((ACT_DOOR_SCOPE="ALL")+(ACT_DOOR_SCOPE="TIER_"&amp;$F24)+(ACT_DOOR_SCOPE=$B24)))*SIGN(((ACT_SKU_SCOPE="ALL")+(ACT_SKU_SCOPE=$G24)))*(ACT_START&lt;=10)*(ACT_END&gt;=10)*IFERROR(ACT_UPLIFT-1,0)))*(1+SUMPRODUCT(SIGN(((ACT_DOOR_SCOPE="ALL")+(ACT_DOOR_SCOPE="TIER_"&amp;$F24)+(ACT_DOOR_SCOPE=$B24)))*SIGN(((ACT_SKU_SCOPE="ALL")+(ACT_SKU_SCOPE=$G24)))*(10&gt;ACT_END)*(ACT_END&gt;0)*IFERROR(ACT_POSTLIFT,0))),0)))</f>
        <v/>
      </c>
      <c r="T24" s="10">
        <f>IF(OR($H24&lt;&gt;"Y",11&lt;$I24),0,IF(SUMPRODUCT(((BULK_ENABLED="Y")*((BULK_TIER="ALL")+(BULK_TIER=$F24))*((BULK_SKU="ALL")+(BULK_SKU=$G24))*(BULK_START&lt;=11)*(BULK_END&gt;=11)))&gt;0,IFERROR(SUMPRODUCT(((BULK_ENABLED="Y")*((BULK_TIER="ALL")+(BULK_TIER=$F24))*((BULK_SKU="ALL")+(BULK_SKU=$G24))*(BULK_START&lt;=11)*(BULK_END&gt;=11))*IFERROR(BULK_VALUE,0))/MAX(1,SUMPRODUCT(((BULK_ENABLED="Y")*((BULK_TIER="ALL")+(BULK_TIER=$F24))*((BULK_SKU="ALL")+(BULK_SKU=$G24))*(BULK_START&lt;=11)*(BULK_END&gt;=11)))),0),ROUND((INDEX(VELOCITY_TABLE,MATCH($F24,TIER_LIST,0),2))*(IF((11-$I24+1)&lt;=0,0,IF((11-$I24+1)=1,RAMP_W1,IF((11-$I24+1)=2,RAMP_W2,IF((11-$I24+1)=3,RAMP_W3,RAMP_W4PLUS)))))*(INDEX(ACTIVE_MULT_TABLE,2,1))*(1+SUMPRODUCT(SIGN(((ACT_DOOR_SCOPE="ALL")+(ACT_DOOR_SCOPE="TIER_"&amp;$F24)+(ACT_DOOR_SCOPE=$B24)))*SIGN(((ACT_SKU_SCOPE="ALL")+(ACT_SKU_SCOPE=$G24)))*(ACT_START&lt;=11)*(ACT_END&gt;=11)*IFERROR(ACT_UPLIFT-1,0)))*(1+SUMPRODUCT(SIGN(((ACT_DOOR_SCOPE="ALL")+(ACT_DOOR_SCOPE="TIER_"&amp;$F24)+(ACT_DOOR_SCOPE=$B24)))*SIGN(((ACT_SKU_SCOPE="ALL")+(ACT_SKU_SCOPE=$G24)))*(11&gt;ACT_END)*(ACT_END&gt;0)*IFERROR(ACT_POSTLIFT,0))),0)))</f>
        <v/>
      </c>
      <c r="U24" s="10">
        <f>IF(OR($H24&lt;&gt;"Y",12&lt;$I24),0,IF(SUMPRODUCT(((BULK_ENABLED="Y")*((BULK_TIER="ALL")+(BULK_TIER=$F24))*((BULK_SKU="ALL")+(BULK_SKU=$G24))*(BULK_START&lt;=12)*(BULK_END&gt;=12)))&gt;0,IFERROR(SUMPRODUCT(((BULK_ENABLED="Y")*((BULK_TIER="ALL")+(BULK_TIER=$F24))*((BULK_SKU="ALL")+(BULK_SKU=$G24))*(BULK_START&lt;=12)*(BULK_END&gt;=12))*IFERROR(BULK_VALUE,0))/MAX(1,SUMPRODUCT(((BULK_ENABLED="Y")*((BULK_TIER="ALL")+(BULK_TIER=$F24))*((BULK_SKU="ALL")+(BULK_SKU=$G24))*(BULK_START&lt;=12)*(BULK_END&gt;=12)))),0),ROUND((INDEX(VELOCITY_TABLE,MATCH($F24,TIER_LIST,0),2))*(IF((12-$I24+1)&lt;=0,0,IF((12-$I24+1)=1,RAMP_W1,IF((12-$I24+1)=2,RAMP_W2,IF((12-$I24+1)=3,RAMP_W3,RAMP_W4PLUS)))))*(INDEX(ACTIVE_MULT_TABLE,2,1))*(1+SUMPRODUCT(SIGN(((ACT_DOOR_SCOPE="ALL")+(ACT_DOOR_SCOPE="TIER_"&amp;$F24)+(ACT_DOOR_SCOPE=$B24)))*SIGN(((ACT_SKU_SCOPE="ALL")+(ACT_SKU_SCOPE=$G24)))*(ACT_START&lt;=12)*(ACT_END&gt;=12)*IFERROR(ACT_UPLIFT-1,0)))*(1+SUMPRODUCT(SIGN(((ACT_DOOR_SCOPE="ALL")+(ACT_DOOR_SCOPE="TIER_"&amp;$F24)+(ACT_DOOR_SCOPE=$B24)))*SIGN(((ACT_SKU_SCOPE="ALL")+(ACT_SKU_SCOPE=$G24)))*(12&gt;ACT_END)*(ACT_END&gt;0)*IFERROR(ACT_POSTLIFT,0))),0)))</f>
        <v/>
      </c>
      <c r="V24" s="10">
        <f>IF(OR($H24&lt;&gt;"Y",13&lt;$I24),0,IF(SUMPRODUCT(((BULK_ENABLED="Y")*((BULK_TIER="ALL")+(BULK_TIER=$F24))*((BULK_SKU="ALL")+(BULK_SKU=$G24))*(BULK_START&lt;=13)*(BULK_END&gt;=13)))&gt;0,IFERROR(SUMPRODUCT(((BULK_ENABLED="Y")*((BULK_TIER="ALL")+(BULK_TIER=$F24))*((BULK_SKU="ALL")+(BULK_SKU=$G24))*(BULK_START&lt;=13)*(BULK_END&gt;=13))*IFERROR(BULK_VALUE,0))/MAX(1,SUMPRODUCT(((BULK_ENABLED="Y")*((BULK_TIER="ALL")+(BULK_TIER=$F24))*((BULK_SKU="ALL")+(BULK_SKU=$G24))*(BULK_START&lt;=13)*(BULK_END&gt;=13)))),0),ROUND((INDEX(VELOCITY_TABLE,MATCH($F24,TIER_LIST,0),2))*(IF((13-$I24+1)&lt;=0,0,IF((13-$I24+1)=1,RAMP_W1,IF((13-$I24+1)=2,RAMP_W2,IF((13-$I24+1)=3,RAMP_W3,RAMP_W4PLUS)))))*(INDEX(ACTIVE_MULT_TABLE,2,1))*(1+SUMPRODUCT(SIGN(((ACT_DOOR_SCOPE="ALL")+(ACT_DOOR_SCOPE="TIER_"&amp;$F24)+(ACT_DOOR_SCOPE=$B24)))*SIGN(((ACT_SKU_SCOPE="ALL")+(ACT_SKU_SCOPE=$G24)))*(ACT_START&lt;=13)*(ACT_END&gt;=13)*IFERROR(ACT_UPLIFT-1,0)))*(1+SUMPRODUCT(SIGN(((ACT_DOOR_SCOPE="ALL")+(ACT_DOOR_SCOPE="TIER_"&amp;$F24)+(ACT_DOOR_SCOPE=$B24)))*SIGN(((ACT_SKU_SCOPE="ALL")+(ACT_SKU_SCOPE=$G24)))*(13&gt;ACT_END)*(ACT_END&gt;0)*IFERROR(ACT_POSTLIFT,0))),0)))</f>
        <v/>
      </c>
    </row>
    <row r="25">
      <c r="A25" t="inlineStr">
        <is>
          <t>R0021</t>
        </is>
      </c>
      <c r="B25">
        <f>Doors!$A$11</f>
        <v/>
      </c>
      <c r="C25">
        <f>Doors!$C$11</f>
        <v/>
      </c>
      <c r="D25">
        <f>Doors!$B$11</f>
        <v/>
      </c>
      <c r="E25">
        <f>Doors!$E$11</f>
        <v/>
      </c>
      <c r="F25">
        <f>Doors!$F$11</f>
        <v/>
      </c>
      <c r="G25" t="inlineStr">
        <is>
          <t>Raspberry</t>
        </is>
      </c>
      <c r="H25">
        <f>Doors!$I$11</f>
        <v/>
      </c>
      <c r="I25">
        <f>Doors!$J$11</f>
        <v/>
      </c>
      <c r="J25" s="10">
        <f>IF(OR($H25&lt;&gt;"Y",1&lt;$I25),0,IF(SUMPRODUCT(((BULK_ENABLED="Y")*((BULK_TIER="ALL")+(BULK_TIER=$F25))*((BULK_SKU="ALL")+(BULK_SKU=$G25))*(BULK_START&lt;=1)*(BULK_END&gt;=1)))&gt;0,IFERROR(SUMPRODUCT(((BULK_ENABLED="Y")*((BULK_TIER="ALL")+(BULK_TIER=$F25))*((BULK_SKU="ALL")+(BULK_SKU=$G25))*(BULK_START&lt;=1)*(BULK_END&gt;=1))*IFERROR(BULK_VALUE,0))/MAX(1,SUMPRODUCT(((BULK_ENABLED="Y")*((BULK_TIER="ALL")+(BULK_TIER=$F25))*((BULK_SKU="ALL")+(BULK_SKU=$G25))*(BULK_START&lt;=1)*(BULK_END&gt;=1)))),0),ROUND((INDEX(VELOCITY_TABLE,MATCH($F25,TIER_LIST,0),3))*(IF((1-$I25+1)&lt;=0,0,IF((1-$I25+1)=1,RAMP_W1,IF((1-$I25+1)=2,RAMP_W2,IF((1-$I25+1)=3,RAMP_W3,RAMP_W4PLUS)))))*(INDEX(ACTIVE_MULT_TABLE,3,1))*(1+SUMPRODUCT(SIGN(((ACT_DOOR_SCOPE="ALL")+(ACT_DOOR_SCOPE="TIER_"&amp;$F25)+(ACT_DOOR_SCOPE=$B25)))*SIGN(((ACT_SKU_SCOPE="ALL")+(ACT_SKU_SCOPE=$G25)))*(ACT_START&lt;=1)*(ACT_END&gt;=1)*IFERROR(ACT_UPLIFT-1,0)))*(1+SUMPRODUCT(SIGN(((ACT_DOOR_SCOPE="ALL")+(ACT_DOOR_SCOPE="TIER_"&amp;$F25)+(ACT_DOOR_SCOPE=$B25)))*SIGN(((ACT_SKU_SCOPE="ALL")+(ACT_SKU_SCOPE=$G25)))*(1&gt;ACT_END)*(ACT_END&gt;0)*IFERROR(ACT_POSTLIFT,0))),0)))</f>
        <v/>
      </c>
      <c r="K25" s="10">
        <f>IF(OR($H25&lt;&gt;"Y",2&lt;$I25),0,IF(SUMPRODUCT(((BULK_ENABLED="Y")*((BULK_TIER="ALL")+(BULK_TIER=$F25))*((BULK_SKU="ALL")+(BULK_SKU=$G25))*(BULK_START&lt;=2)*(BULK_END&gt;=2)))&gt;0,IFERROR(SUMPRODUCT(((BULK_ENABLED="Y")*((BULK_TIER="ALL")+(BULK_TIER=$F25))*((BULK_SKU="ALL")+(BULK_SKU=$G25))*(BULK_START&lt;=2)*(BULK_END&gt;=2))*IFERROR(BULK_VALUE,0))/MAX(1,SUMPRODUCT(((BULK_ENABLED="Y")*((BULK_TIER="ALL")+(BULK_TIER=$F25))*((BULK_SKU="ALL")+(BULK_SKU=$G25))*(BULK_START&lt;=2)*(BULK_END&gt;=2)))),0),ROUND((INDEX(VELOCITY_TABLE,MATCH($F25,TIER_LIST,0),3))*(IF((2-$I25+1)&lt;=0,0,IF((2-$I25+1)=1,RAMP_W1,IF((2-$I25+1)=2,RAMP_W2,IF((2-$I25+1)=3,RAMP_W3,RAMP_W4PLUS)))))*(INDEX(ACTIVE_MULT_TABLE,3,1))*(1+SUMPRODUCT(SIGN(((ACT_DOOR_SCOPE="ALL")+(ACT_DOOR_SCOPE="TIER_"&amp;$F25)+(ACT_DOOR_SCOPE=$B25)))*SIGN(((ACT_SKU_SCOPE="ALL")+(ACT_SKU_SCOPE=$G25)))*(ACT_START&lt;=2)*(ACT_END&gt;=2)*IFERROR(ACT_UPLIFT-1,0)))*(1+SUMPRODUCT(SIGN(((ACT_DOOR_SCOPE="ALL")+(ACT_DOOR_SCOPE="TIER_"&amp;$F25)+(ACT_DOOR_SCOPE=$B25)))*SIGN(((ACT_SKU_SCOPE="ALL")+(ACT_SKU_SCOPE=$G25)))*(2&gt;ACT_END)*(ACT_END&gt;0)*IFERROR(ACT_POSTLIFT,0))),0)))</f>
        <v/>
      </c>
      <c r="L25" s="10">
        <f>IF(OR($H25&lt;&gt;"Y",3&lt;$I25),0,IF(SUMPRODUCT(((BULK_ENABLED="Y")*((BULK_TIER="ALL")+(BULK_TIER=$F25))*((BULK_SKU="ALL")+(BULK_SKU=$G25))*(BULK_START&lt;=3)*(BULK_END&gt;=3)))&gt;0,IFERROR(SUMPRODUCT(((BULK_ENABLED="Y")*((BULK_TIER="ALL")+(BULK_TIER=$F25))*((BULK_SKU="ALL")+(BULK_SKU=$G25))*(BULK_START&lt;=3)*(BULK_END&gt;=3))*IFERROR(BULK_VALUE,0))/MAX(1,SUMPRODUCT(((BULK_ENABLED="Y")*((BULK_TIER="ALL")+(BULK_TIER=$F25))*((BULK_SKU="ALL")+(BULK_SKU=$G25))*(BULK_START&lt;=3)*(BULK_END&gt;=3)))),0),ROUND((INDEX(VELOCITY_TABLE,MATCH($F25,TIER_LIST,0),3))*(IF((3-$I25+1)&lt;=0,0,IF((3-$I25+1)=1,RAMP_W1,IF((3-$I25+1)=2,RAMP_W2,IF((3-$I25+1)=3,RAMP_W3,RAMP_W4PLUS)))))*(INDEX(ACTIVE_MULT_TABLE,3,1))*(1+SUMPRODUCT(SIGN(((ACT_DOOR_SCOPE="ALL")+(ACT_DOOR_SCOPE="TIER_"&amp;$F25)+(ACT_DOOR_SCOPE=$B25)))*SIGN(((ACT_SKU_SCOPE="ALL")+(ACT_SKU_SCOPE=$G25)))*(ACT_START&lt;=3)*(ACT_END&gt;=3)*IFERROR(ACT_UPLIFT-1,0)))*(1+SUMPRODUCT(SIGN(((ACT_DOOR_SCOPE="ALL")+(ACT_DOOR_SCOPE="TIER_"&amp;$F25)+(ACT_DOOR_SCOPE=$B25)))*SIGN(((ACT_SKU_SCOPE="ALL")+(ACT_SKU_SCOPE=$G25)))*(3&gt;ACT_END)*(ACT_END&gt;0)*IFERROR(ACT_POSTLIFT,0))),0)))</f>
        <v/>
      </c>
      <c r="M25" s="10">
        <f>IF(OR($H25&lt;&gt;"Y",4&lt;$I25),0,IF(SUMPRODUCT(((BULK_ENABLED="Y")*((BULK_TIER="ALL")+(BULK_TIER=$F25))*((BULK_SKU="ALL")+(BULK_SKU=$G25))*(BULK_START&lt;=4)*(BULK_END&gt;=4)))&gt;0,IFERROR(SUMPRODUCT(((BULK_ENABLED="Y")*((BULK_TIER="ALL")+(BULK_TIER=$F25))*((BULK_SKU="ALL")+(BULK_SKU=$G25))*(BULK_START&lt;=4)*(BULK_END&gt;=4))*IFERROR(BULK_VALUE,0))/MAX(1,SUMPRODUCT(((BULK_ENABLED="Y")*((BULK_TIER="ALL")+(BULK_TIER=$F25))*((BULK_SKU="ALL")+(BULK_SKU=$G25))*(BULK_START&lt;=4)*(BULK_END&gt;=4)))),0),ROUND((INDEX(VELOCITY_TABLE,MATCH($F25,TIER_LIST,0),3))*(IF((4-$I25+1)&lt;=0,0,IF((4-$I25+1)=1,RAMP_W1,IF((4-$I25+1)=2,RAMP_W2,IF((4-$I25+1)=3,RAMP_W3,RAMP_W4PLUS)))))*(INDEX(ACTIVE_MULT_TABLE,3,1))*(1+SUMPRODUCT(SIGN(((ACT_DOOR_SCOPE="ALL")+(ACT_DOOR_SCOPE="TIER_"&amp;$F25)+(ACT_DOOR_SCOPE=$B25)))*SIGN(((ACT_SKU_SCOPE="ALL")+(ACT_SKU_SCOPE=$G25)))*(ACT_START&lt;=4)*(ACT_END&gt;=4)*IFERROR(ACT_UPLIFT-1,0)))*(1+SUMPRODUCT(SIGN(((ACT_DOOR_SCOPE="ALL")+(ACT_DOOR_SCOPE="TIER_"&amp;$F25)+(ACT_DOOR_SCOPE=$B25)))*SIGN(((ACT_SKU_SCOPE="ALL")+(ACT_SKU_SCOPE=$G25)))*(4&gt;ACT_END)*(ACT_END&gt;0)*IFERROR(ACT_POSTLIFT,0))),0)))</f>
        <v/>
      </c>
      <c r="N25" s="10">
        <f>IF(OR($H25&lt;&gt;"Y",5&lt;$I25),0,IF(SUMPRODUCT(((BULK_ENABLED="Y")*((BULK_TIER="ALL")+(BULK_TIER=$F25))*((BULK_SKU="ALL")+(BULK_SKU=$G25))*(BULK_START&lt;=5)*(BULK_END&gt;=5)))&gt;0,IFERROR(SUMPRODUCT(((BULK_ENABLED="Y")*((BULK_TIER="ALL")+(BULK_TIER=$F25))*((BULK_SKU="ALL")+(BULK_SKU=$G25))*(BULK_START&lt;=5)*(BULK_END&gt;=5))*IFERROR(BULK_VALUE,0))/MAX(1,SUMPRODUCT(((BULK_ENABLED="Y")*((BULK_TIER="ALL")+(BULK_TIER=$F25))*((BULK_SKU="ALL")+(BULK_SKU=$G25))*(BULK_START&lt;=5)*(BULK_END&gt;=5)))),0),ROUND((INDEX(VELOCITY_TABLE,MATCH($F25,TIER_LIST,0),3))*(IF((5-$I25+1)&lt;=0,0,IF((5-$I25+1)=1,RAMP_W1,IF((5-$I25+1)=2,RAMP_W2,IF((5-$I25+1)=3,RAMP_W3,RAMP_W4PLUS)))))*(INDEX(ACTIVE_MULT_TABLE,3,1))*(1+SUMPRODUCT(SIGN(((ACT_DOOR_SCOPE="ALL")+(ACT_DOOR_SCOPE="TIER_"&amp;$F25)+(ACT_DOOR_SCOPE=$B25)))*SIGN(((ACT_SKU_SCOPE="ALL")+(ACT_SKU_SCOPE=$G25)))*(ACT_START&lt;=5)*(ACT_END&gt;=5)*IFERROR(ACT_UPLIFT-1,0)))*(1+SUMPRODUCT(SIGN(((ACT_DOOR_SCOPE="ALL")+(ACT_DOOR_SCOPE="TIER_"&amp;$F25)+(ACT_DOOR_SCOPE=$B25)))*SIGN(((ACT_SKU_SCOPE="ALL")+(ACT_SKU_SCOPE=$G25)))*(5&gt;ACT_END)*(ACT_END&gt;0)*IFERROR(ACT_POSTLIFT,0))),0)))</f>
        <v/>
      </c>
      <c r="O25" s="10">
        <f>IF(OR($H25&lt;&gt;"Y",6&lt;$I25),0,IF(SUMPRODUCT(((BULK_ENABLED="Y")*((BULK_TIER="ALL")+(BULK_TIER=$F25))*((BULK_SKU="ALL")+(BULK_SKU=$G25))*(BULK_START&lt;=6)*(BULK_END&gt;=6)))&gt;0,IFERROR(SUMPRODUCT(((BULK_ENABLED="Y")*((BULK_TIER="ALL")+(BULK_TIER=$F25))*((BULK_SKU="ALL")+(BULK_SKU=$G25))*(BULK_START&lt;=6)*(BULK_END&gt;=6))*IFERROR(BULK_VALUE,0))/MAX(1,SUMPRODUCT(((BULK_ENABLED="Y")*((BULK_TIER="ALL")+(BULK_TIER=$F25))*((BULK_SKU="ALL")+(BULK_SKU=$G25))*(BULK_START&lt;=6)*(BULK_END&gt;=6)))),0),ROUND((INDEX(VELOCITY_TABLE,MATCH($F25,TIER_LIST,0),3))*(IF((6-$I25+1)&lt;=0,0,IF((6-$I25+1)=1,RAMP_W1,IF((6-$I25+1)=2,RAMP_W2,IF((6-$I25+1)=3,RAMP_W3,RAMP_W4PLUS)))))*(INDEX(ACTIVE_MULT_TABLE,3,1))*(1+SUMPRODUCT(SIGN(((ACT_DOOR_SCOPE="ALL")+(ACT_DOOR_SCOPE="TIER_"&amp;$F25)+(ACT_DOOR_SCOPE=$B25)))*SIGN(((ACT_SKU_SCOPE="ALL")+(ACT_SKU_SCOPE=$G25)))*(ACT_START&lt;=6)*(ACT_END&gt;=6)*IFERROR(ACT_UPLIFT-1,0)))*(1+SUMPRODUCT(SIGN(((ACT_DOOR_SCOPE="ALL")+(ACT_DOOR_SCOPE="TIER_"&amp;$F25)+(ACT_DOOR_SCOPE=$B25)))*SIGN(((ACT_SKU_SCOPE="ALL")+(ACT_SKU_SCOPE=$G25)))*(6&gt;ACT_END)*(ACT_END&gt;0)*IFERROR(ACT_POSTLIFT,0))),0)))</f>
        <v/>
      </c>
      <c r="P25" s="10">
        <f>IF(OR($H25&lt;&gt;"Y",7&lt;$I25),0,IF(SUMPRODUCT(((BULK_ENABLED="Y")*((BULK_TIER="ALL")+(BULK_TIER=$F25))*((BULK_SKU="ALL")+(BULK_SKU=$G25))*(BULK_START&lt;=7)*(BULK_END&gt;=7)))&gt;0,IFERROR(SUMPRODUCT(((BULK_ENABLED="Y")*((BULK_TIER="ALL")+(BULK_TIER=$F25))*((BULK_SKU="ALL")+(BULK_SKU=$G25))*(BULK_START&lt;=7)*(BULK_END&gt;=7))*IFERROR(BULK_VALUE,0))/MAX(1,SUMPRODUCT(((BULK_ENABLED="Y")*((BULK_TIER="ALL")+(BULK_TIER=$F25))*((BULK_SKU="ALL")+(BULK_SKU=$G25))*(BULK_START&lt;=7)*(BULK_END&gt;=7)))),0),ROUND((INDEX(VELOCITY_TABLE,MATCH($F25,TIER_LIST,0),3))*(IF((7-$I25+1)&lt;=0,0,IF((7-$I25+1)=1,RAMP_W1,IF((7-$I25+1)=2,RAMP_W2,IF((7-$I25+1)=3,RAMP_W3,RAMP_W4PLUS)))))*(INDEX(ACTIVE_MULT_TABLE,3,1))*(1+SUMPRODUCT(SIGN(((ACT_DOOR_SCOPE="ALL")+(ACT_DOOR_SCOPE="TIER_"&amp;$F25)+(ACT_DOOR_SCOPE=$B25)))*SIGN(((ACT_SKU_SCOPE="ALL")+(ACT_SKU_SCOPE=$G25)))*(ACT_START&lt;=7)*(ACT_END&gt;=7)*IFERROR(ACT_UPLIFT-1,0)))*(1+SUMPRODUCT(SIGN(((ACT_DOOR_SCOPE="ALL")+(ACT_DOOR_SCOPE="TIER_"&amp;$F25)+(ACT_DOOR_SCOPE=$B25)))*SIGN(((ACT_SKU_SCOPE="ALL")+(ACT_SKU_SCOPE=$G25)))*(7&gt;ACT_END)*(ACT_END&gt;0)*IFERROR(ACT_POSTLIFT,0))),0)))</f>
        <v/>
      </c>
      <c r="Q25" s="10">
        <f>IF(OR($H25&lt;&gt;"Y",8&lt;$I25),0,IF(SUMPRODUCT(((BULK_ENABLED="Y")*((BULK_TIER="ALL")+(BULK_TIER=$F25))*((BULK_SKU="ALL")+(BULK_SKU=$G25))*(BULK_START&lt;=8)*(BULK_END&gt;=8)))&gt;0,IFERROR(SUMPRODUCT(((BULK_ENABLED="Y")*((BULK_TIER="ALL")+(BULK_TIER=$F25))*((BULK_SKU="ALL")+(BULK_SKU=$G25))*(BULK_START&lt;=8)*(BULK_END&gt;=8))*IFERROR(BULK_VALUE,0))/MAX(1,SUMPRODUCT(((BULK_ENABLED="Y")*((BULK_TIER="ALL")+(BULK_TIER=$F25))*((BULK_SKU="ALL")+(BULK_SKU=$G25))*(BULK_START&lt;=8)*(BULK_END&gt;=8)))),0),ROUND((INDEX(VELOCITY_TABLE,MATCH($F25,TIER_LIST,0),3))*(IF((8-$I25+1)&lt;=0,0,IF((8-$I25+1)=1,RAMP_W1,IF((8-$I25+1)=2,RAMP_W2,IF((8-$I25+1)=3,RAMP_W3,RAMP_W4PLUS)))))*(INDEX(ACTIVE_MULT_TABLE,3,1))*(1+SUMPRODUCT(SIGN(((ACT_DOOR_SCOPE="ALL")+(ACT_DOOR_SCOPE="TIER_"&amp;$F25)+(ACT_DOOR_SCOPE=$B25)))*SIGN(((ACT_SKU_SCOPE="ALL")+(ACT_SKU_SCOPE=$G25)))*(ACT_START&lt;=8)*(ACT_END&gt;=8)*IFERROR(ACT_UPLIFT-1,0)))*(1+SUMPRODUCT(SIGN(((ACT_DOOR_SCOPE="ALL")+(ACT_DOOR_SCOPE="TIER_"&amp;$F25)+(ACT_DOOR_SCOPE=$B25)))*SIGN(((ACT_SKU_SCOPE="ALL")+(ACT_SKU_SCOPE=$G25)))*(8&gt;ACT_END)*(ACT_END&gt;0)*IFERROR(ACT_POSTLIFT,0))),0)))</f>
        <v/>
      </c>
      <c r="R25" s="10">
        <f>IF(OR($H25&lt;&gt;"Y",9&lt;$I25),0,IF(SUMPRODUCT(((BULK_ENABLED="Y")*((BULK_TIER="ALL")+(BULK_TIER=$F25))*((BULK_SKU="ALL")+(BULK_SKU=$G25))*(BULK_START&lt;=9)*(BULK_END&gt;=9)))&gt;0,IFERROR(SUMPRODUCT(((BULK_ENABLED="Y")*((BULK_TIER="ALL")+(BULK_TIER=$F25))*((BULK_SKU="ALL")+(BULK_SKU=$G25))*(BULK_START&lt;=9)*(BULK_END&gt;=9))*IFERROR(BULK_VALUE,0))/MAX(1,SUMPRODUCT(((BULK_ENABLED="Y")*((BULK_TIER="ALL")+(BULK_TIER=$F25))*((BULK_SKU="ALL")+(BULK_SKU=$G25))*(BULK_START&lt;=9)*(BULK_END&gt;=9)))),0),ROUND((INDEX(VELOCITY_TABLE,MATCH($F25,TIER_LIST,0),3))*(IF((9-$I25+1)&lt;=0,0,IF((9-$I25+1)=1,RAMP_W1,IF((9-$I25+1)=2,RAMP_W2,IF((9-$I25+1)=3,RAMP_W3,RAMP_W4PLUS)))))*(INDEX(ACTIVE_MULT_TABLE,3,1))*(1+SUMPRODUCT(SIGN(((ACT_DOOR_SCOPE="ALL")+(ACT_DOOR_SCOPE="TIER_"&amp;$F25)+(ACT_DOOR_SCOPE=$B25)))*SIGN(((ACT_SKU_SCOPE="ALL")+(ACT_SKU_SCOPE=$G25)))*(ACT_START&lt;=9)*(ACT_END&gt;=9)*IFERROR(ACT_UPLIFT-1,0)))*(1+SUMPRODUCT(SIGN(((ACT_DOOR_SCOPE="ALL")+(ACT_DOOR_SCOPE="TIER_"&amp;$F25)+(ACT_DOOR_SCOPE=$B25)))*SIGN(((ACT_SKU_SCOPE="ALL")+(ACT_SKU_SCOPE=$G25)))*(9&gt;ACT_END)*(ACT_END&gt;0)*IFERROR(ACT_POSTLIFT,0))),0)))</f>
        <v/>
      </c>
      <c r="S25" s="10">
        <f>IF(OR($H25&lt;&gt;"Y",10&lt;$I25),0,IF(SUMPRODUCT(((BULK_ENABLED="Y")*((BULK_TIER="ALL")+(BULK_TIER=$F25))*((BULK_SKU="ALL")+(BULK_SKU=$G25))*(BULK_START&lt;=10)*(BULK_END&gt;=10)))&gt;0,IFERROR(SUMPRODUCT(((BULK_ENABLED="Y")*((BULK_TIER="ALL")+(BULK_TIER=$F25))*((BULK_SKU="ALL")+(BULK_SKU=$G25))*(BULK_START&lt;=10)*(BULK_END&gt;=10))*IFERROR(BULK_VALUE,0))/MAX(1,SUMPRODUCT(((BULK_ENABLED="Y")*((BULK_TIER="ALL")+(BULK_TIER=$F25))*((BULK_SKU="ALL")+(BULK_SKU=$G25))*(BULK_START&lt;=10)*(BULK_END&gt;=10)))),0),ROUND((INDEX(VELOCITY_TABLE,MATCH($F25,TIER_LIST,0),3))*(IF((10-$I25+1)&lt;=0,0,IF((10-$I25+1)=1,RAMP_W1,IF((10-$I25+1)=2,RAMP_W2,IF((10-$I25+1)=3,RAMP_W3,RAMP_W4PLUS)))))*(INDEX(ACTIVE_MULT_TABLE,3,1))*(1+SUMPRODUCT(SIGN(((ACT_DOOR_SCOPE="ALL")+(ACT_DOOR_SCOPE="TIER_"&amp;$F25)+(ACT_DOOR_SCOPE=$B25)))*SIGN(((ACT_SKU_SCOPE="ALL")+(ACT_SKU_SCOPE=$G25)))*(ACT_START&lt;=10)*(ACT_END&gt;=10)*IFERROR(ACT_UPLIFT-1,0)))*(1+SUMPRODUCT(SIGN(((ACT_DOOR_SCOPE="ALL")+(ACT_DOOR_SCOPE="TIER_"&amp;$F25)+(ACT_DOOR_SCOPE=$B25)))*SIGN(((ACT_SKU_SCOPE="ALL")+(ACT_SKU_SCOPE=$G25)))*(10&gt;ACT_END)*(ACT_END&gt;0)*IFERROR(ACT_POSTLIFT,0))),0)))</f>
        <v/>
      </c>
      <c r="T25" s="10">
        <f>IF(OR($H25&lt;&gt;"Y",11&lt;$I25),0,IF(SUMPRODUCT(((BULK_ENABLED="Y")*((BULK_TIER="ALL")+(BULK_TIER=$F25))*((BULK_SKU="ALL")+(BULK_SKU=$G25))*(BULK_START&lt;=11)*(BULK_END&gt;=11)))&gt;0,IFERROR(SUMPRODUCT(((BULK_ENABLED="Y")*((BULK_TIER="ALL")+(BULK_TIER=$F25))*((BULK_SKU="ALL")+(BULK_SKU=$G25))*(BULK_START&lt;=11)*(BULK_END&gt;=11))*IFERROR(BULK_VALUE,0))/MAX(1,SUMPRODUCT(((BULK_ENABLED="Y")*((BULK_TIER="ALL")+(BULK_TIER=$F25))*((BULK_SKU="ALL")+(BULK_SKU=$G25))*(BULK_START&lt;=11)*(BULK_END&gt;=11)))),0),ROUND((INDEX(VELOCITY_TABLE,MATCH($F25,TIER_LIST,0),3))*(IF((11-$I25+1)&lt;=0,0,IF((11-$I25+1)=1,RAMP_W1,IF((11-$I25+1)=2,RAMP_W2,IF((11-$I25+1)=3,RAMP_W3,RAMP_W4PLUS)))))*(INDEX(ACTIVE_MULT_TABLE,3,1))*(1+SUMPRODUCT(SIGN(((ACT_DOOR_SCOPE="ALL")+(ACT_DOOR_SCOPE="TIER_"&amp;$F25)+(ACT_DOOR_SCOPE=$B25)))*SIGN(((ACT_SKU_SCOPE="ALL")+(ACT_SKU_SCOPE=$G25)))*(ACT_START&lt;=11)*(ACT_END&gt;=11)*IFERROR(ACT_UPLIFT-1,0)))*(1+SUMPRODUCT(SIGN(((ACT_DOOR_SCOPE="ALL")+(ACT_DOOR_SCOPE="TIER_"&amp;$F25)+(ACT_DOOR_SCOPE=$B25)))*SIGN(((ACT_SKU_SCOPE="ALL")+(ACT_SKU_SCOPE=$G25)))*(11&gt;ACT_END)*(ACT_END&gt;0)*IFERROR(ACT_POSTLIFT,0))),0)))</f>
        <v/>
      </c>
      <c r="U25" s="10">
        <f>IF(OR($H25&lt;&gt;"Y",12&lt;$I25),0,IF(SUMPRODUCT(((BULK_ENABLED="Y")*((BULK_TIER="ALL")+(BULK_TIER=$F25))*((BULK_SKU="ALL")+(BULK_SKU=$G25))*(BULK_START&lt;=12)*(BULK_END&gt;=12)))&gt;0,IFERROR(SUMPRODUCT(((BULK_ENABLED="Y")*((BULK_TIER="ALL")+(BULK_TIER=$F25))*((BULK_SKU="ALL")+(BULK_SKU=$G25))*(BULK_START&lt;=12)*(BULK_END&gt;=12))*IFERROR(BULK_VALUE,0))/MAX(1,SUMPRODUCT(((BULK_ENABLED="Y")*((BULK_TIER="ALL")+(BULK_TIER=$F25))*((BULK_SKU="ALL")+(BULK_SKU=$G25))*(BULK_START&lt;=12)*(BULK_END&gt;=12)))),0),ROUND((INDEX(VELOCITY_TABLE,MATCH($F25,TIER_LIST,0),3))*(IF((12-$I25+1)&lt;=0,0,IF((12-$I25+1)=1,RAMP_W1,IF((12-$I25+1)=2,RAMP_W2,IF((12-$I25+1)=3,RAMP_W3,RAMP_W4PLUS)))))*(INDEX(ACTIVE_MULT_TABLE,3,1))*(1+SUMPRODUCT(SIGN(((ACT_DOOR_SCOPE="ALL")+(ACT_DOOR_SCOPE="TIER_"&amp;$F25)+(ACT_DOOR_SCOPE=$B25)))*SIGN(((ACT_SKU_SCOPE="ALL")+(ACT_SKU_SCOPE=$G25)))*(ACT_START&lt;=12)*(ACT_END&gt;=12)*IFERROR(ACT_UPLIFT-1,0)))*(1+SUMPRODUCT(SIGN(((ACT_DOOR_SCOPE="ALL")+(ACT_DOOR_SCOPE="TIER_"&amp;$F25)+(ACT_DOOR_SCOPE=$B25)))*SIGN(((ACT_SKU_SCOPE="ALL")+(ACT_SKU_SCOPE=$G25)))*(12&gt;ACT_END)*(ACT_END&gt;0)*IFERROR(ACT_POSTLIFT,0))),0)))</f>
        <v/>
      </c>
      <c r="V25" s="10">
        <f>IF(OR($H25&lt;&gt;"Y",13&lt;$I25),0,IF(SUMPRODUCT(((BULK_ENABLED="Y")*((BULK_TIER="ALL")+(BULK_TIER=$F25))*((BULK_SKU="ALL")+(BULK_SKU=$G25))*(BULK_START&lt;=13)*(BULK_END&gt;=13)))&gt;0,IFERROR(SUMPRODUCT(((BULK_ENABLED="Y")*((BULK_TIER="ALL")+(BULK_TIER=$F25))*((BULK_SKU="ALL")+(BULK_SKU=$G25))*(BULK_START&lt;=13)*(BULK_END&gt;=13))*IFERROR(BULK_VALUE,0))/MAX(1,SUMPRODUCT(((BULK_ENABLED="Y")*((BULK_TIER="ALL")+(BULK_TIER=$F25))*((BULK_SKU="ALL")+(BULK_SKU=$G25))*(BULK_START&lt;=13)*(BULK_END&gt;=13)))),0),ROUND((INDEX(VELOCITY_TABLE,MATCH($F25,TIER_LIST,0),3))*(IF((13-$I25+1)&lt;=0,0,IF((13-$I25+1)=1,RAMP_W1,IF((13-$I25+1)=2,RAMP_W2,IF((13-$I25+1)=3,RAMP_W3,RAMP_W4PLUS)))))*(INDEX(ACTIVE_MULT_TABLE,3,1))*(1+SUMPRODUCT(SIGN(((ACT_DOOR_SCOPE="ALL")+(ACT_DOOR_SCOPE="TIER_"&amp;$F25)+(ACT_DOOR_SCOPE=$B25)))*SIGN(((ACT_SKU_SCOPE="ALL")+(ACT_SKU_SCOPE=$G25)))*(ACT_START&lt;=13)*(ACT_END&gt;=13)*IFERROR(ACT_UPLIFT-1,0)))*(1+SUMPRODUCT(SIGN(((ACT_DOOR_SCOPE="ALL")+(ACT_DOOR_SCOPE="TIER_"&amp;$F25)+(ACT_DOOR_SCOPE=$B25)))*SIGN(((ACT_SKU_SCOPE="ALL")+(ACT_SKU_SCOPE=$G25)))*(13&gt;ACT_END)*(ACT_END&gt;0)*IFERROR(ACT_POSTLIFT,0))),0)))</f>
        <v/>
      </c>
    </row>
    <row r="26">
      <c r="A26" t="inlineStr">
        <is>
          <t>R0022</t>
        </is>
      </c>
      <c r="B26">
        <f>Doors!$A$12</f>
        <v/>
      </c>
      <c r="C26">
        <f>Doors!$C$12</f>
        <v/>
      </c>
      <c r="D26">
        <f>Doors!$B$12</f>
        <v/>
      </c>
      <c r="E26">
        <f>Doors!$E$12</f>
        <v/>
      </c>
      <c r="F26">
        <f>Doors!$F$12</f>
        <v/>
      </c>
      <c r="G26" t="inlineStr">
        <is>
          <t>Lime Lemon</t>
        </is>
      </c>
      <c r="H26">
        <f>Doors!$G$12</f>
        <v/>
      </c>
      <c r="I26">
        <f>Doors!$J$12</f>
        <v/>
      </c>
      <c r="J26" s="10">
        <f>IF(OR($H26&lt;&gt;"Y",1&lt;$I26),0,IF(SUMPRODUCT(((BULK_ENABLED="Y")*((BULK_TIER="ALL")+(BULK_TIER=$F26))*((BULK_SKU="ALL")+(BULK_SKU=$G26))*(BULK_START&lt;=1)*(BULK_END&gt;=1)))&gt;0,IFERROR(SUMPRODUCT(((BULK_ENABLED="Y")*((BULK_TIER="ALL")+(BULK_TIER=$F26))*((BULK_SKU="ALL")+(BULK_SKU=$G26))*(BULK_START&lt;=1)*(BULK_END&gt;=1))*IFERROR(BULK_VALUE,0))/MAX(1,SUMPRODUCT(((BULK_ENABLED="Y")*((BULK_TIER="ALL")+(BULK_TIER=$F26))*((BULK_SKU="ALL")+(BULK_SKU=$G26))*(BULK_START&lt;=1)*(BULK_END&gt;=1)))),0),ROUND((INDEX(VELOCITY_TABLE,MATCH($F26,TIER_LIST,0),1))*(IF((1-$I26+1)&lt;=0,0,IF((1-$I26+1)=1,RAMP_W1,IF((1-$I26+1)=2,RAMP_W2,IF((1-$I26+1)=3,RAMP_W3,RAMP_W4PLUS)))))*(INDEX(ACTIVE_MULT_TABLE,1,1))*(1+SUMPRODUCT(SIGN(((ACT_DOOR_SCOPE="ALL")+(ACT_DOOR_SCOPE="TIER_"&amp;$F26)+(ACT_DOOR_SCOPE=$B26)))*SIGN(((ACT_SKU_SCOPE="ALL")+(ACT_SKU_SCOPE=$G26)))*(ACT_START&lt;=1)*(ACT_END&gt;=1)*IFERROR(ACT_UPLIFT-1,0)))*(1+SUMPRODUCT(SIGN(((ACT_DOOR_SCOPE="ALL")+(ACT_DOOR_SCOPE="TIER_"&amp;$F26)+(ACT_DOOR_SCOPE=$B26)))*SIGN(((ACT_SKU_SCOPE="ALL")+(ACT_SKU_SCOPE=$G26)))*(1&gt;ACT_END)*(ACT_END&gt;0)*IFERROR(ACT_POSTLIFT,0))),0)))</f>
        <v/>
      </c>
      <c r="K26" s="10">
        <f>IF(OR($H26&lt;&gt;"Y",2&lt;$I26),0,IF(SUMPRODUCT(((BULK_ENABLED="Y")*((BULK_TIER="ALL")+(BULK_TIER=$F26))*((BULK_SKU="ALL")+(BULK_SKU=$G26))*(BULK_START&lt;=2)*(BULK_END&gt;=2)))&gt;0,IFERROR(SUMPRODUCT(((BULK_ENABLED="Y")*((BULK_TIER="ALL")+(BULK_TIER=$F26))*((BULK_SKU="ALL")+(BULK_SKU=$G26))*(BULK_START&lt;=2)*(BULK_END&gt;=2))*IFERROR(BULK_VALUE,0))/MAX(1,SUMPRODUCT(((BULK_ENABLED="Y")*((BULK_TIER="ALL")+(BULK_TIER=$F26))*((BULK_SKU="ALL")+(BULK_SKU=$G26))*(BULK_START&lt;=2)*(BULK_END&gt;=2)))),0),ROUND((INDEX(VELOCITY_TABLE,MATCH($F26,TIER_LIST,0),1))*(IF((2-$I26+1)&lt;=0,0,IF((2-$I26+1)=1,RAMP_W1,IF((2-$I26+1)=2,RAMP_W2,IF((2-$I26+1)=3,RAMP_W3,RAMP_W4PLUS)))))*(INDEX(ACTIVE_MULT_TABLE,1,1))*(1+SUMPRODUCT(SIGN(((ACT_DOOR_SCOPE="ALL")+(ACT_DOOR_SCOPE="TIER_"&amp;$F26)+(ACT_DOOR_SCOPE=$B26)))*SIGN(((ACT_SKU_SCOPE="ALL")+(ACT_SKU_SCOPE=$G26)))*(ACT_START&lt;=2)*(ACT_END&gt;=2)*IFERROR(ACT_UPLIFT-1,0)))*(1+SUMPRODUCT(SIGN(((ACT_DOOR_SCOPE="ALL")+(ACT_DOOR_SCOPE="TIER_"&amp;$F26)+(ACT_DOOR_SCOPE=$B26)))*SIGN(((ACT_SKU_SCOPE="ALL")+(ACT_SKU_SCOPE=$G26)))*(2&gt;ACT_END)*(ACT_END&gt;0)*IFERROR(ACT_POSTLIFT,0))),0)))</f>
        <v/>
      </c>
      <c r="L26" s="10">
        <f>IF(OR($H26&lt;&gt;"Y",3&lt;$I26),0,IF(SUMPRODUCT(((BULK_ENABLED="Y")*((BULK_TIER="ALL")+(BULK_TIER=$F26))*((BULK_SKU="ALL")+(BULK_SKU=$G26))*(BULK_START&lt;=3)*(BULK_END&gt;=3)))&gt;0,IFERROR(SUMPRODUCT(((BULK_ENABLED="Y")*((BULK_TIER="ALL")+(BULK_TIER=$F26))*((BULK_SKU="ALL")+(BULK_SKU=$G26))*(BULK_START&lt;=3)*(BULK_END&gt;=3))*IFERROR(BULK_VALUE,0))/MAX(1,SUMPRODUCT(((BULK_ENABLED="Y")*((BULK_TIER="ALL")+(BULK_TIER=$F26))*((BULK_SKU="ALL")+(BULK_SKU=$G26))*(BULK_START&lt;=3)*(BULK_END&gt;=3)))),0),ROUND((INDEX(VELOCITY_TABLE,MATCH($F26,TIER_LIST,0),1))*(IF((3-$I26+1)&lt;=0,0,IF((3-$I26+1)=1,RAMP_W1,IF((3-$I26+1)=2,RAMP_W2,IF((3-$I26+1)=3,RAMP_W3,RAMP_W4PLUS)))))*(INDEX(ACTIVE_MULT_TABLE,1,1))*(1+SUMPRODUCT(SIGN(((ACT_DOOR_SCOPE="ALL")+(ACT_DOOR_SCOPE="TIER_"&amp;$F26)+(ACT_DOOR_SCOPE=$B26)))*SIGN(((ACT_SKU_SCOPE="ALL")+(ACT_SKU_SCOPE=$G26)))*(ACT_START&lt;=3)*(ACT_END&gt;=3)*IFERROR(ACT_UPLIFT-1,0)))*(1+SUMPRODUCT(SIGN(((ACT_DOOR_SCOPE="ALL")+(ACT_DOOR_SCOPE="TIER_"&amp;$F26)+(ACT_DOOR_SCOPE=$B26)))*SIGN(((ACT_SKU_SCOPE="ALL")+(ACT_SKU_SCOPE=$G26)))*(3&gt;ACT_END)*(ACT_END&gt;0)*IFERROR(ACT_POSTLIFT,0))),0)))</f>
        <v/>
      </c>
      <c r="M26" s="10">
        <f>IF(OR($H26&lt;&gt;"Y",4&lt;$I26),0,IF(SUMPRODUCT(((BULK_ENABLED="Y")*((BULK_TIER="ALL")+(BULK_TIER=$F26))*((BULK_SKU="ALL")+(BULK_SKU=$G26))*(BULK_START&lt;=4)*(BULK_END&gt;=4)))&gt;0,IFERROR(SUMPRODUCT(((BULK_ENABLED="Y")*((BULK_TIER="ALL")+(BULK_TIER=$F26))*((BULK_SKU="ALL")+(BULK_SKU=$G26))*(BULK_START&lt;=4)*(BULK_END&gt;=4))*IFERROR(BULK_VALUE,0))/MAX(1,SUMPRODUCT(((BULK_ENABLED="Y")*((BULK_TIER="ALL")+(BULK_TIER=$F26))*((BULK_SKU="ALL")+(BULK_SKU=$G26))*(BULK_START&lt;=4)*(BULK_END&gt;=4)))),0),ROUND((INDEX(VELOCITY_TABLE,MATCH($F26,TIER_LIST,0),1))*(IF((4-$I26+1)&lt;=0,0,IF((4-$I26+1)=1,RAMP_W1,IF((4-$I26+1)=2,RAMP_W2,IF((4-$I26+1)=3,RAMP_W3,RAMP_W4PLUS)))))*(INDEX(ACTIVE_MULT_TABLE,1,1))*(1+SUMPRODUCT(SIGN(((ACT_DOOR_SCOPE="ALL")+(ACT_DOOR_SCOPE="TIER_"&amp;$F26)+(ACT_DOOR_SCOPE=$B26)))*SIGN(((ACT_SKU_SCOPE="ALL")+(ACT_SKU_SCOPE=$G26)))*(ACT_START&lt;=4)*(ACT_END&gt;=4)*IFERROR(ACT_UPLIFT-1,0)))*(1+SUMPRODUCT(SIGN(((ACT_DOOR_SCOPE="ALL")+(ACT_DOOR_SCOPE="TIER_"&amp;$F26)+(ACT_DOOR_SCOPE=$B26)))*SIGN(((ACT_SKU_SCOPE="ALL")+(ACT_SKU_SCOPE=$G26)))*(4&gt;ACT_END)*(ACT_END&gt;0)*IFERROR(ACT_POSTLIFT,0))),0)))</f>
        <v/>
      </c>
      <c r="N26" s="10">
        <f>IF(OR($H26&lt;&gt;"Y",5&lt;$I26),0,IF(SUMPRODUCT(((BULK_ENABLED="Y")*((BULK_TIER="ALL")+(BULK_TIER=$F26))*((BULK_SKU="ALL")+(BULK_SKU=$G26))*(BULK_START&lt;=5)*(BULK_END&gt;=5)))&gt;0,IFERROR(SUMPRODUCT(((BULK_ENABLED="Y")*((BULK_TIER="ALL")+(BULK_TIER=$F26))*((BULK_SKU="ALL")+(BULK_SKU=$G26))*(BULK_START&lt;=5)*(BULK_END&gt;=5))*IFERROR(BULK_VALUE,0))/MAX(1,SUMPRODUCT(((BULK_ENABLED="Y")*((BULK_TIER="ALL")+(BULK_TIER=$F26))*((BULK_SKU="ALL")+(BULK_SKU=$G26))*(BULK_START&lt;=5)*(BULK_END&gt;=5)))),0),ROUND((INDEX(VELOCITY_TABLE,MATCH($F26,TIER_LIST,0),1))*(IF((5-$I26+1)&lt;=0,0,IF((5-$I26+1)=1,RAMP_W1,IF((5-$I26+1)=2,RAMP_W2,IF((5-$I26+1)=3,RAMP_W3,RAMP_W4PLUS)))))*(INDEX(ACTIVE_MULT_TABLE,1,1))*(1+SUMPRODUCT(SIGN(((ACT_DOOR_SCOPE="ALL")+(ACT_DOOR_SCOPE="TIER_"&amp;$F26)+(ACT_DOOR_SCOPE=$B26)))*SIGN(((ACT_SKU_SCOPE="ALL")+(ACT_SKU_SCOPE=$G26)))*(ACT_START&lt;=5)*(ACT_END&gt;=5)*IFERROR(ACT_UPLIFT-1,0)))*(1+SUMPRODUCT(SIGN(((ACT_DOOR_SCOPE="ALL")+(ACT_DOOR_SCOPE="TIER_"&amp;$F26)+(ACT_DOOR_SCOPE=$B26)))*SIGN(((ACT_SKU_SCOPE="ALL")+(ACT_SKU_SCOPE=$G26)))*(5&gt;ACT_END)*(ACT_END&gt;0)*IFERROR(ACT_POSTLIFT,0))),0)))</f>
        <v/>
      </c>
      <c r="O26" s="10">
        <f>IF(OR($H26&lt;&gt;"Y",6&lt;$I26),0,IF(SUMPRODUCT(((BULK_ENABLED="Y")*((BULK_TIER="ALL")+(BULK_TIER=$F26))*((BULK_SKU="ALL")+(BULK_SKU=$G26))*(BULK_START&lt;=6)*(BULK_END&gt;=6)))&gt;0,IFERROR(SUMPRODUCT(((BULK_ENABLED="Y")*((BULK_TIER="ALL")+(BULK_TIER=$F26))*((BULK_SKU="ALL")+(BULK_SKU=$G26))*(BULK_START&lt;=6)*(BULK_END&gt;=6))*IFERROR(BULK_VALUE,0))/MAX(1,SUMPRODUCT(((BULK_ENABLED="Y")*((BULK_TIER="ALL")+(BULK_TIER=$F26))*((BULK_SKU="ALL")+(BULK_SKU=$G26))*(BULK_START&lt;=6)*(BULK_END&gt;=6)))),0),ROUND((INDEX(VELOCITY_TABLE,MATCH($F26,TIER_LIST,0),1))*(IF((6-$I26+1)&lt;=0,0,IF((6-$I26+1)=1,RAMP_W1,IF((6-$I26+1)=2,RAMP_W2,IF((6-$I26+1)=3,RAMP_W3,RAMP_W4PLUS)))))*(INDEX(ACTIVE_MULT_TABLE,1,1))*(1+SUMPRODUCT(SIGN(((ACT_DOOR_SCOPE="ALL")+(ACT_DOOR_SCOPE="TIER_"&amp;$F26)+(ACT_DOOR_SCOPE=$B26)))*SIGN(((ACT_SKU_SCOPE="ALL")+(ACT_SKU_SCOPE=$G26)))*(ACT_START&lt;=6)*(ACT_END&gt;=6)*IFERROR(ACT_UPLIFT-1,0)))*(1+SUMPRODUCT(SIGN(((ACT_DOOR_SCOPE="ALL")+(ACT_DOOR_SCOPE="TIER_"&amp;$F26)+(ACT_DOOR_SCOPE=$B26)))*SIGN(((ACT_SKU_SCOPE="ALL")+(ACT_SKU_SCOPE=$G26)))*(6&gt;ACT_END)*(ACT_END&gt;0)*IFERROR(ACT_POSTLIFT,0))),0)))</f>
        <v/>
      </c>
      <c r="P26" s="10">
        <f>IF(OR($H26&lt;&gt;"Y",7&lt;$I26),0,IF(SUMPRODUCT(((BULK_ENABLED="Y")*((BULK_TIER="ALL")+(BULK_TIER=$F26))*((BULK_SKU="ALL")+(BULK_SKU=$G26))*(BULK_START&lt;=7)*(BULK_END&gt;=7)))&gt;0,IFERROR(SUMPRODUCT(((BULK_ENABLED="Y")*((BULK_TIER="ALL")+(BULK_TIER=$F26))*((BULK_SKU="ALL")+(BULK_SKU=$G26))*(BULK_START&lt;=7)*(BULK_END&gt;=7))*IFERROR(BULK_VALUE,0))/MAX(1,SUMPRODUCT(((BULK_ENABLED="Y")*((BULK_TIER="ALL")+(BULK_TIER=$F26))*((BULK_SKU="ALL")+(BULK_SKU=$G26))*(BULK_START&lt;=7)*(BULK_END&gt;=7)))),0),ROUND((INDEX(VELOCITY_TABLE,MATCH($F26,TIER_LIST,0),1))*(IF((7-$I26+1)&lt;=0,0,IF((7-$I26+1)=1,RAMP_W1,IF((7-$I26+1)=2,RAMP_W2,IF((7-$I26+1)=3,RAMP_W3,RAMP_W4PLUS)))))*(INDEX(ACTIVE_MULT_TABLE,1,1))*(1+SUMPRODUCT(SIGN(((ACT_DOOR_SCOPE="ALL")+(ACT_DOOR_SCOPE="TIER_"&amp;$F26)+(ACT_DOOR_SCOPE=$B26)))*SIGN(((ACT_SKU_SCOPE="ALL")+(ACT_SKU_SCOPE=$G26)))*(ACT_START&lt;=7)*(ACT_END&gt;=7)*IFERROR(ACT_UPLIFT-1,0)))*(1+SUMPRODUCT(SIGN(((ACT_DOOR_SCOPE="ALL")+(ACT_DOOR_SCOPE="TIER_"&amp;$F26)+(ACT_DOOR_SCOPE=$B26)))*SIGN(((ACT_SKU_SCOPE="ALL")+(ACT_SKU_SCOPE=$G26)))*(7&gt;ACT_END)*(ACT_END&gt;0)*IFERROR(ACT_POSTLIFT,0))),0)))</f>
        <v/>
      </c>
      <c r="Q26" s="10">
        <f>IF(OR($H26&lt;&gt;"Y",8&lt;$I26),0,IF(SUMPRODUCT(((BULK_ENABLED="Y")*((BULK_TIER="ALL")+(BULK_TIER=$F26))*((BULK_SKU="ALL")+(BULK_SKU=$G26))*(BULK_START&lt;=8)*(BULK_END&gt;=8)))&gt;0,IFERROR(SUMPRODUCT(((BULK_ENABLED="Y")*((BULK_TIER="ALL")+(BULK_TIER=$F26))*((BULK_SKU="ALL")+(BULK_SKU=$G26))*(BULK_START&lt;=8)*(BULK_END&gt;=8))*IFERROR(BULK_VALUE,0))/MAX(1,SUMPRODUCT(((BULK_ENABLED="Y")*((BULK_TIER="ALL")+(BULK_TIER=$F26))*((BULK_SKU="ALL")+(BULK_SKU=$G26))*(BULK_START&lt;=8)*(BULK_END&gt;=8)))),0),ROUND((INDEX(VELOCITY_TABLE,MATCH($F26,TIER_LIST,0),1))*(IF((8-$I26+1)&lt;=0,0,IF((8-$I26+1)=1,RAMP_W1,IF((8-$I26+1)=2,RAMP_W2,IF((8-$I26+1)=3,RAMP_W3,RAMP_W4PLUS)))))*(INDEX(ACTIVE_MULT_TABLE,1,1))*(1+SUMPRODUCT(SIGN(((ACT_DOOR_SCOPE="ALL")+(ACT_DOOR_SCOPE="TIER_"&amp;$F26)+(ACT_DOOR_SCOPE=$B26)))*SIGN(((ACT_SKU_SCOPE="ALL")+(ACT_SKU_SCOPE=$G26)))*(ACT_START&lt;=8)*(ACT_END&gt;=8)*IFERROR(ACT_UPLIFT-1,0)))*(1+SUMPRODUCT(SIGN(((ACT_DOOR_SCOPE="ALL")+(ACT_DOOR_SCOPE="TIER_"&amp;$F26)+(ACT_DOOR_SCOPE=$B26)))*SIGN(((ACT_SKU_SCOPE="ALL")+(ACT_SKU_SCOPE=$G26)))*(8&gt;ACT_END)*(ACT_END&gt;0)*IFERROR(ACT_POSTLIFT,0))),0)))</f>
        <v/>
      </c>
      <c r="R26" s="10">
        <f>IF(OR($H26&lt;&gt;"Y",9&lt;$I26),0,IF(SUMPRODUCT(((BULK_ENABLED="Y")*((BULK_TIER="ALL")+(BULK_TIER=$F26))*((BULK_SKU="ALL")+(BULK_SKU=$G26))*(BULK_START&lt;=9)*(BULK_END&gt;=9)))&gt;0,IFERROR(SUMPRODUCT(((BULK_ENABLED="Y")*((BULK_TIER="ALL")+(BULK_TIER=$F26))*((BULK_SKU="ALL")+(BULK_SKU=$G26))*(BULK_START&lt;=9)*(BULK_END&gt;=9))*IFERROR(BULK_VALUE,0))/MAX(1,SUMPRODUCT(((BULK_ENABLED="Y")*((BULK_TIER="ALL")+(BULK_TIER=$F26))*((BULK_SKU="ALL")+(BULK_SKU=$G26))*(BULK_START&lt;=9)*(BULK_END&gt;=9)))),0),ROUND((INDEX(VELOCITY_TABLE,MATCH($F26,TIER_LIST,0),1))*(IF((9-$I26+1)&lt;=0,0,IF((9-$I26+1)=1,RAMP_W1,IF((9-$I26+1)=2,RAMP_W2,IF((9-$I26+1)=3,RAMP_W3,RAMP_W4PLUS)))))*(INDEX(ACTIVE_MULT_TABLE,1,1))*(1+SUMPRODUCT(SIGN(((ACT_DOOR_SCOPE="ALL")+(ACT_DOOR_SCOPE="TIER_"&amp;$F26)+(ACT_DOOR_SCOPE=$B26)))*SIGN(((ACT_SKU_SCOPE="ALL")+(ACT_SKU_SCOPE=$G26)))*(ACT_START&lt;=9)*(ACT_END&gt;=9)*IFERROR(ACT_UPLIFT-1,0)))*(1+SUMPRODUCT(SIGN(((ACT_DOOR_SCOPE="ALL")+(ACT_DOOR_SCOPE="TIER_"&amp;$F26)+(ACT_DOOR_SCOPE=$B26)))*SIGN(((ACT_SKU_SCOPE="ALL")+(ACT_SKU_SCOPE=$G26)))*(9&gt;ACT_END)*(ACT_END&gt;0)*IFERROR(ACT_POSTLIFT,0))),0)))</f>
        <v/>
      </c>
      <c r="S26" s="10">
        <f>IF(OR($H26&lt;&gt;"Y",10&lt;$I26),0,IF(SUMPRODUCT(((BULK_ENABLED="Y")*((BULK_TIER="ALL")+(BULK_TIER=$F26))*((BULK_SKU="ALL")+(BULK_SKU=$G26))*(BULK_START&lt;=10)*(BULK_END&gt;=10)))&gt;0,IFERROR(SUMPRODUCT(((BULK_ENABLED="Y")*((BULK_TIER="ALL")+(BULK_TIER=$F26))*((BULK_SKU="ALL")+(BULK_SKU=$G26))*(BULK_START&lt;=10)*(BULK_END&gt;=10))*IFERROR(BULK_VALUE,0))/MAX(1,SUMPRODUCT(((BULK_ENABLED="Y")*((BULK_TIER="ALL")+(BULK_TIER=$F26))*((BULK_SKU="ALL")+(BULK_SKU=$G26))*(BULK_START&lt;=10)*(BULK_END&gt;=10)))),0),ROUND((INDEX(VELOCITY_TABLE,MATCH($F26,TIER_LIST,0),1))*(IF((10-$I26+1)&lt;=0,0,IF((10-$I26+1)=1,RAMP_W1,IF((10-$I26+1)=2,RAMP_W2,IF((10-$I26+1)=3,RAMP_W3,RAMP_W4PLUS)))))*(INDEX(ACTIVE_MULT_TABLE,1,1))*(1+SUMPRODUCT(SIGN(((ACT_DOOR_SCOPE="ALL")+(ACT_DOOR_SCOPE="TIER_"&amp;$F26)+(ACT_DOOR_SCOPE=$B26)))*SIGN(((ACT_SKU_SCOPE="ALL")+(ACT_SKU_SCOPE=$G26)))*(ACT_START&lt;=10)*(ACT_END&gt;=10)*IFERROR(ACT_UPLIFT-1,0)))*(1+SUMPRODUCT(SIGN(((ACT_DOOR_SCOPE="ALL")+(ACT_DOOR_SCOPE="TIER_"&amp;$F26)+(ACT_DOOR_SCOPE=$B26)))*SIGN(((ACT_SKU_SCOPE="ALL")+(ACT_SKU_SCOPE=$G26)))*(10&gt;ACT_END)*(ACT_END&gt;0)*IFERROR(ACT_POSTLIFT,0))),0)))</f>
        <v/>
      </c>
      <c r="T26" s="10">
        <f>IF(OR($H26&lt;&gt;"Y",11&lt;$I26),0,IF(SUMPRODUCT(((BULK_ENABLED="Y")*((BULK_TIER="ALL")+(BULK_TIER=$F26))*((BULK_SKU="ALL")+(BULK_SKU=$G26))*(BULK_START&lt;=11)*(BULK_END&gt;=11)))&gt;0,IFERROR(SUMPRODUCT(((BULK_ENABLED="Y")*((BULK_TIER="ALL")+(BULK_TIER=$F26))*((BULK_SKU="ALL")+(BULK_SKU=$G26))*(BULK_START&lt;=11)*(BULK_END&gt;=11))*IFERROR(BULK_VALUE,0))/MAX(1,SUMPRODUCT(((BULK_ENABLED="Y")*((BULK_TIER="ALL")+(BULK_TIER=$F26))*((BULK_SKU="ALL")+(BULK_SKU=$G26))*(BULK_START&lt;=11)*(BULK_END&gt;=11)))),0),ROUND((INDEX(VELOCITY_TABLE,MATCH($F26,TIER_LIST,0),1))*(IF((11-$I26+1)&lt;=0,0,IF((11-$I26+1)=1,RAMP_W1,IF((11-$I26+1)=2,RAMP_W2,IF((11-$I26+1)=3,RAMP_W3,RAMP_W4PLUS)))))*(INDEX(ACTIVE_MULT_TABLE,1,1))*(1+SUMPRODUCT(SIGN(((ACT_DOOR_SCOPE="ALL")+(ACT_DOOR_SCOPE="TIER_"&amp;$F26)+(ACT_DOOR_SCOPE=$B26)))*SIGN(((ACT_SKU_SCOPE="ALL")+(ACT_SKU_SCOPE=$G26)))*(ACT_START&lt;=11)*(ACT_END&gt;=11)*IFERROR(ACT_UPLIFT-1,0)))*(1+SUMPRODUCT(SIGN(((ACT_DOOR_SCOPE="ALL")+(ACT_DOOR_SCOPE="TIER_"&amp;$F26)+(ACT_DOOR_SCOPE=$B26)))*SIGN(((ACT_SKU_SCOPE="ALL")+(ACT_SKU_SCOPE=$G26)))*(11&gt;ACT_END)*(ACT_END&gt;0)*IFERROR(ACT_POSTLIFT,0))),0)))</f>
        <v/>
      </c>
      <c r="U26" s="10">
        <f>IF(OR($H26&lt;&gt;"Y",12&lt;$I26),0,IF(SUMPRODUCT(((BULK_ENABLED="Y")*((BULK_TIER="ALL")+(BULK_TIER=$F26))*((BULK_SKU="ALL")+(BULK_SKU=$G26))*(BULK_START&lt;=12)*(BULK_END&gt;=12)))&gt;0,IFERROR(SUMPRODUCT(((BULK_ENABLED="Y")*((BULK_TIER="ALL")+(BULK_TIER=$F26))*((BULK_SKU="ALL")+(BULK_SKU=$G26))*(BULK_START&lt;=12)*(BULK_END&gt;=12))*IFERROR(BULK_VALUE,0))/MAX(1,SUMPRODUCT(((BULK_ENABLED="Y")*((BULK_TIER="ALL")+(BULK_TIER=$F26))*((BULK_SKU="ALL")+(BULK_SKU=$G26))*(BULK_START&lt;=12)*(BULK_END&gt;=12)))),0),ROUND((INDEX(VELOCITY_TABLE,MATCH($F26,TIER_LIST,0),1))*(IF((12-$I26+1)&lt;=0,0,IF((12-$I26+1)=1,RAMP_W1,IF((12-$I26+1)=2,RAMP_W2,IF((12-$I26+1)=3,RAMP_W3,RAMP_W4PLUS)))))*(INDEX(ACTIVE_MULT_TABLE,1,1))*(1+SUMPRODUCT(SIGN(((ACT_DOOR_SCOPE="ALL")+(ACT_DOOR_SCOPE="TIER_"&amp;$F26)+(ACT_DOOR_SCOPE=$B26)))*SIGN(((ACT_SKU_SCOPE="ALL")+(ACT_SKU_SCOPE=$G26)))*(ACT_START&lt;=12)*(ACT_END&gt;=12)*IFERROR(ACT_UPLIFT-1,0)))*(1+SUMPRODUCT(SIGN(((ACT_DOOR_SCOPE="ALL")+(ACT_DOOR_SCOPE="TIER_"&amp;$F26)+(ACT_DOOR_SCOPE=$B26)))*SIGN(((ACT_SKU_SCOPE="ALL")+(ACT_SKU_SCOPE=$G26)))*(12&gt;ACT_END)*(ACT_END&gt;0)*IFERROR(ACT_POSTLIFT,0))),0)))</f>
        <v/>
      </c>
      <c r="V26" s="10">
        <f>IF(OR($H26&lt;&gt;"Y",13&lt;$I26),0,IF(SUMPRODUCT(((BULK_ENABLED="Y")*((BULK_TIER="ALL")+(BULK_TIER=$F26))*((BULK_SKU="ALL")+(BULK_SKU=$G26))*(BULK_START&lt;=13)*(BULK_END&gt;=13)))&gt;0,IFERROR(SUMPRODUCT(((BULK_ENABLED="Y")*((BULK_TIER="ALL")+(BULK_TIER=$F26))*((BULK_SKU="ALL")+(BULK_SKU=$G26))*(BULK_START&lt;=13)*(BULK_END&gt;=13))*IFERROR(BULK_VALUE,0))/MAX(1,SUMPRODUCT(((BULK_ENABLED="Y")*((BULK_TIER="ALL")+(BULK_TIER=$F26))*((BULK_SKU="ALL")+(BULK_SKU=$G26))*(BULK_START&lt;=13)*(BULK_END&gt;=13)))),0),ROUND((INDEX(VELOCITY_TABLE,MATCH($F26,TIER_LIST,0),1))*(IF((13-$I26+1)&lt;=0,0,IF((13-$I26+1)=1,RAMP_W1,IF((13-$I26+1)=2,RAMP_W2,IF((13-$I26+1)=3,RAMP_W3,RAMP_W4PLUS)))))*(INDEX(ACTIVE_MULT_TABLE,1,1))*(1+SUMPRODUCT(SIGN(((ACT_DOOR_SCOPE="ALL")+(ACT_DOOR_SCOPE="TIER_"&amp;$F26)+(ACT_DOOR_SCOPE=$B26)))*SIGN(((ACT_SKU_SCOPE="ALL")+(ACT_SKU_SCOPE=$G26)))*(ACT_START&lt;=13)*(ACT_END&gt;=13)*IFERROR(ACT_UPLIFT-1,0)))*(1+SUMPRODUCT(SIGN(((ACT_DOOR_SCOPE="ALL")+(ACT_DOOR_SCOPE="TIER_"&amp;$F26)+(ACT_DOOR_SCOPE=$B26)))*SIGN(((ACT_SKU_SCOPE="ALL")+(ACT_SKU_SCOPE=$G26)))*(13&gt;ACT_END)*(ACT_END&gt;0)*IFERROR(ACT_POSTLIFT,0))),0)))</f>
        <v/>
      </c>
    </row>
    <row r="27">
      <c r="A27" t="inlineStr">
        <is>
          <t>R0023</t>
        </is>
      </c>
      <c r="B27">
        <f>Doors!$A$12</f>
        <v/>
      </c>
      <c r="C27">
        <f>Doors!$C$12</f>
        <v/>
      </c>
      <c r="D27">
        <f>Doors!$B$12</f>
        <v/>
      </c>
      <c r="E27">
        <f>Doors!$E$12</f>
        <v/>
      </c>
      <c r="F27">
        <f>Doors!$F$12</f>
        <v/>
      </c>
      <c r="G27" t="inlineStr">
        <is>
          <t>Pineapple Passion Fruit</t>
        </is>
      </c>
      <c r="H27">
        <f>Doors!$H$12</f>
        <v/>
      </c>
      <c r="I27">
        <f>Doors!$J$12</f>
        <v/>
      </c>
      <c r="J27" s="10">
        <f>IF(OR($H27&lt;&gt;"Y",1&lt;$I27),0,IF(SUMPRODUCT(((BULK_ENABLED="Y")*((BULK_TIER="ALL")+(BULK_TIER=$F27))*((BULK_SKU="ALL")+(BULK_SKU=$G27))*(BULK_START&lt;=1)*(BULK_END&gt;=1)))&gt;0,IFERROR(SUMPRODUCT(((BULK_ENABLED="Y")*((BULK_TIER="ALL")+(BULK_TIER=$F27))*((BULK_SKU="ALL")+(BULK_SKU=$G27))*(BULK_START&lt;=1)*(BULK_END&gt;=1))*IFERROR(BULK_VALUE,0))/MAX(1,SUMPRODUCT(((BULK_ENABLED="Y")*((BULK_TIER="ALL")+(BULK_TIER=$F27))*((BULK_SKU="ALL")+(BULK_SKU=$G27))*(BULK_START&lt;=1)*(BULK_END&gt;=1)))),0),ROUND((INDEX(VELOCITY_TABLE,MATCH($F27,TIER_LIST,0),2))*(IF((1-$I27+1)&lt;=0,0,IF((1-$I27+1)=1,RAMP_W1,IF((1-$I27+1)=2,RAMP_W2,IF((1-$I27+1)=3,RAMP_W3,RAMP_W4PLUS)))))*(INDEX(ACTIVE_MULT_TABLE,2,1))*(1+SUMPRODUCT(SIGN(((ACT_DOOR_SCOPE="ALL")+(ACT_DOOR_SCOPE="TIER_"&amp;$F27)+(ACT_DOOR_SCOPE=$B27)))*SIGN(((ACT_SKU_SCOPE="ALL")+(ACT_SKU_SCOPE=$G27)))*(ACT_START&lt;=1)*(ACT_END&gt;=1)*IFERROR(ACT_UPLIFT-1,0)))*(1+SUMPRODUCT(SIGN(((ACT_DOOR_SCOPE="ALL")+(ACT_DOOR_SCOPE="TIER_"&amp;$F27)+(ACT_DOOR_SCOPE=$B27)))*SIGN(((ACT_SKU_SCOPE="ALL")+(ACT_SKU_SCOPE=$G27)))*(1&gt;ACT_END)*(ACT_END&gt;0)*IFERROR(ACT_POSTLIFT,0))),0)))</f>
        <v/>
      </c>
      <c r="K27" s="10">
        <f>IF(OR($H27&lt;&gt;"Y",2&lt;$I27),0,IF(SUMPRODUCT(((BULK_ENABLED="Y")*((BULK_TIER="ALL")+(BULK_TIER=$F27))*((BULK_SKU="ALL")+(BULK_SKU=$G27))*(BULK_START&lt;=2)*(BULK_END&gt;=2)))&gt;0,IFERROR(SUMPRODUCT(((BULK_ENABLED="Y")*((BULK_TIER="ALL")+(BULK_TIER=$F27))*((BULK_SKU="ALL")+(BULK_SKU=$G27))*(BULK_START&lt;=2)*(BULK_END&gt;=2))*IFERROR(BULK_VALUE,0))/MAX(1,SUMPRODUCT(((BULK_ENABLED="Y")*((BULK_TIER="ALL")+(BULK_TIER=$F27))*((BULK_SKU="ALL")+(BULK_SKU=$G27))*(BULK_START&lt;=2)*(BULK_END&gt;=2)))),0),ROUND((INDEX(VELOCITY_TABLE,MATCH($F27,TIER_LIST,0),2))*(IF((2-$I27+1)&lt;=0,0,IF((2-$I27+1)=1,RAMP_W1,IF((2-$I27+1)=2,RAMP_W2,IF((2-$I27+1)=3,RAMP_W3,RAMP_W4PLUS)))))*(INDEX(ACTIVE_MULT_TABLE,2,1))*(1+SUMPRODUCT(SIGN(((ACT_DOOR_SCOPE="ALL")+(ACT_DOOR_SCOPE="TIER_"&amp;$F27)+(ACT_DOOR_SCOPE=$B27)))*SIGN(((ACT_SKU_SCOPE="ALL")+(ACT_SKU_SCOPE=$G27)))*(ACT_START&lt;=2)*(ACT_END&gt;=2)*IFERROR(ACT_UPLIFT-1,0)))*(1+SUMPRODUCT(SIGN(((ACT_DOOR_SCOPE="ALL")+(ACT_DOOR_SCOPE="TIER_"&amp;$F27)+(ACT_DOOR_SCOPE=$B27)))*SIGN(((ACT_SKU_SCOPE="ALL")+(ACT_SKU_SCOPE=$G27)))*(2&gt;ACT_END)*(ACT_END&gt;0)*IFERROR(ACT_POSTLIFT,0))),0)))</f>
        <v/>
      </c>
      <c r="L27" s="10">
        <f>IF(OR($H27&lt;&gt;"Y",3&lt;$I27),0,IF(SUMPRODUCT(((BULK_ENABLED="Y")*((BULK_TIER="ALL")+(BULK_TIER=$F27))*((BULK_SKU="ALL")+(BULK_SKU=$G27))*(BULK_START&lt;=3)*(BULK_END&gt;=3)))&gt;0,IFERROR(SUMPRODUCT(((BULK_ENABLED="Y")*((BULK_TIER="ALL")+(BULK_TIER=$F27))*((BULK_SKU="ALL")+(BULK_SKU=$G27))*(BULK_START&lt;=3)*(BULK_END&gt;=3))*IFERROR(BULK_VALUE,0))/MAX(1,SUMPRODUCT(((BULK_ENABLED="Y")*((BULK_TIER="ALL")+(BULK_TIER=$F27))*((BULK_SKU="ALL")+(BULK_SKU=$G27))*(BULK_START&lt;=3)*(BULK_END&gt;=3)))),0),ROUND((INDEX(VELOCITY_TABLE,MATCH($F27,TIER_LIST,0),2))*(IF((3-$I27+1)&lt;=0,0,IF((3-$I27+1)=1,RAMP_W1,IF((3-$I27+1)=2,RAMP_W2,IF((3-$I27+1)=3,RAMP_W3,RAMP_W4PLUS)))))*(INDEX(ACTIVE_MULT_TABLE,2,1))*(1+SUMPRODUCT(SIGN(((ACT_DOOR_SCOPE="ALL")+(ACT_DOOR_SCOPE="TIER_"&amp;$F27)+(ACT_DOOR_SCOPE=$B27)))*SIGN(((ACT_SKU_SCOPE="ALL")+(ACT_SKU_SCOPE=$G27)))*(ACT_START&lt;=3)*(ACT_END&gt;=3)*IFERROR(ACT_UPLIFT-1,0)))*(1+SUMPRODUCT(SIGN(((ACT_DOOR_SCOPE="ALL")+(ACT_DOOR_SCOPE="TIER_"&amp;$F27)+(ACT_DOOR_SCOPE=$B27)))*SIGN(((ACT_SKU_SCOPE="ALL")+(ACT_SKU_SCOPE=$G27)))*(3&gt;ACT_END)*(ACT_END&gt;0)*IFERROR(ACT_POSTLIFT,0))),0)))</f>
        <v/>
      </c>
      <c r="M27" s="10">
        <f>IF(OR($H27&lt;&gt;"Y",4&lt;$I27),0,IF(SUMPRODUCT(((BULK_ENABLED="Y")*((BULK_TIER="ALL")+(BULK_TIER=$F27))*((BULK_SKU="ALL")+(BULK_SKU=$G27))*(BULK_START&lt;=4)*(BULK_END&gt;=4)))&gt;0,IFERROR(SUMPRODUCT(((BULK_ENABLED="Y")*((BULK_TIER="ALL")+(BULK_TIER=$F27))*((BULK_SKU="ALL")+(BULK_SKU=$G27))*(BULK_START&lt;=4)*(BULK_END&gt;=4))*IFERROR(BULK_VALUE,0))/MAX(1,SUMPRODUCT(((BULK_ENABLED="Y")*((BULK_TIER="ALL")+(BULK_TIER=$F27))*((BULK_SKU="ALL")+(BULK_SKU=$G27))*(BULK_START&lt;=4)*(BULK_END&gt;=4)))),0),ROUND((INDEX(VELOCITY_TABLE,MATCH($F27,TIER_LIST,0),2))*(IF((4-$I27+1)&lt;=0,0,IF((4-$I27+1)=1,RAMP_W1,IF((4-$I27+1)=2,RAMP_W2,IF((4-$I27+1)=3,RAMP_W3,RAMP_W4PLUS)))))*(INDEX(ACTIVE_MULT_TABLE,2,1))*(1+SUMPRODUCT(SIGN(((ACT_DOOR_SCOPE="ALL")+(ACT_DOOR_SCOPE="TIER_"&amp;$F27)+(ACT_DOOR_SCOPE=$B27)))*SIGN(((ACT_SKU_SCOPE="ALL")+(ACT_SKU_SCOPE=$G27)))*(ACT_START&lt;=4)*(ACT_END&gt;=4)*IFERROR(ACT_UPLIFT-1,0)))*(1+SUMPRODUCT(SIGN(((ACT_DOOR_SCOPE="ALL")+(ACT_DOOR_SCOPE="TIER_"&amp;$F27)+(ACT_DOOR_SCOPE=$B27)))*SIGN(((ACT_SKU_SCOPE="ALL")+(ACT_SKU_SCOPE=$G27)))*(4&gt;ACT_END)*(ACT_END&gt;0)*IFERROR(ACT_POSTLIFT,0))),0)))</f>
        <v/>
      </c>
      <c r="N27" s="10">
        <f>IF(OR($H27&lt;&gt;"Y",5&lt;$I27),0,IF(SUMPRODUCT(((BULK_ENABLED="Y")*((BULK_TIER="ALL")+(BULK_TIER=$F27))*((BULK_SKU="ALL")+(BULK_SKU=$G27))*(BULK_START&lt;=5)*(BULK_END&gt;=5)))&gt;0,IFERROR(SUMPRODUCT(((BULK_ENABLED="Y")*((BULK_TIER="ALL")+(BULK_TIER=$F27))*((BULK_SKU="ALL")+(BULK_SKU=$G27))*(BULK_START&lt;=5)*(BULK_END&gt;=5))*IFERROR(BULK_VALUE,0))/MAX(1,SUMPRODUCT(((BULK_ENABLED="Y")*((BULK_TIER="ALL")+(BULK_TIER=$F27))*((BULK_SKU="ALL")+(BULK_SKU=$G27))*(BULK_START&lt;=5)*(BULK_END&gt;=5)))),0),ROUND((INDEX(VELOCITY_TABLE,MATCH($F27,TIER_LIST,0),2))*(IF((5-$I27+1)&lt;=0,0,IF((5-$I27+1)=1,RAMP_W1,IF((5-$I27+1)=2,RAMP_W2,IF((5-$I27+1)=3,RAMP_W3,RAMP_W4PLUS)))))*(INDEX(ACTIVE_MULT_TABLE,2,1))*(1+SUMPRODUCT(SIGN(((ACT_DOOR_SCOPE="ALL")+(ACT_DOOR_SCOPE="TIER_"&amp;$F27)+(ACT_DOOR_SCOPE=$B27)))*SIGN(((ACT_SKU_SCOPE="ALL")+(ACT_SKU_SCOPE=$G27)))*(ACT_START&lt;=5)*(ACT_END&gt;=5)*IFERROR(ACT_UPLIFT-1,0)))*(1+SUMPRODUCT(SIGN(((ACT_DOOR_SCOPE="ALL")+(ACT_DOOR_SCOPE="TIER_"&amp;$F27)+(ACT_DOOR_SCOPE=$B27)))*SIGN(((ACT_SKU_SCOPE="ALL")+(ACT_SKU_SCOPE=$G27)))*(5&gt;ACT_END)*(ACT_END&gt;0)*IFERROR(ACT_POSTLIFT,0))),0)))</f>
        <v/>
      </c>
      <c r="O27" s="10">
        <f>IF(OR($H27&lt;&gt;"Y",6&lt;$I27),0,IF(SUMPRODUCT(((BULK_ENABLED="Y")*((BULK_TIER="ALL")+(BULK_TIER=$F27))*((BULK_SKU="ALL")+(BULK_SKU=$G27))*(BULK_START&lt;=6)*(BULK_END&gt;=6)))&gt;0,IFERROR(SUMPRODUCT(((BULK_ENABLED="Y")*((BULK_TIER="ALL")+(BULK_TIER=$F27))*((BULK_SKU="ALL")+(BULK_SKU=$G27))*(BULK_START&lt;=6)*(BULK_END&gt;=6))*IFERROR(BULK_VALUE,0))/MAX(1,SUMPRODUCT(((BULK_ENABLED="Y")*((BULK_TIER="ALL")+(BULK_TIER=$F27))*((BULK_SKU="ALL")+(BULK_SKU=$G27))*(BULK_START&lt;=6)*(BULK_END&gt;=6)))),0),ROUND((INDEX(VELOCITY_TABLE,MATCH($F27,TIER_LIST,0),2))*(IF((6-$I27+1)&lt;=0,0,IF((6-$I27+1)=1,RAMP_W1,IF((6-$I27+1)=2,RAMP_W2,IF((6-$I27+1)=3,RAMP_W3,RAMP_W4PLUS)))))*(INDEX(ACTIVE_MULT_TABLE,2,1))*(1+SUMPRODUCT(SIGN(((ACT_DOOR_SCOPE="ALL")+(ACT_DOOR_SCOPE="TIER_"&amp;$F27)+(ACT_DOOR_SCOPE=$B27)))*SIGN(((ACT_SKU_SCOPE="ALL")+(ACT_SKU_SCOPE=$G27)))*(ACT_START&lt;=6)*(ACT_END&gt;=6)*IFERROR(ACT_UPLIFT-1,0)))*(1+SUMPRODUCT(SIGN(((ACT_DOOR_SCOPE="ALL")+(ACT_DOOR_SCOPE="TIER_"&amp;$F27)+(ACT_DOOR_SCOPE=$B27)))*SIGN(((ACT_SKU_SCOPE="ALL")+(ACT_SKU_SCOPE=$G27)))*(6&gt;ACT_END)*(ACT_END&gt;0)*IFERROR(ACT_POSTLIFT,0))),0)))</f>
        <v/>
      </c>
      <c r="P27" s="10">
        <f>IF(OR($H27&lt;&gt;"Y",7&lt;$I27),0,IF(SUMPRODUCT(((BULK_ENABLED="Y")*((BULK_TIER="ALL")+(BULK_TIER=$F27))*((BULK_SKU="ALL")+(BULK_SKU=$G27))*(BULK_START&lt;=7)*(BULK_END&gt;=7)))&gt;0,IFERROR(SUMPRODUCT(((BULK_ENABLED="Y")*((BULK_TIER="ALL")+(BULK_TIER=$F27))*((BULK_SKU="ALL")+(BULK_SKU=$G27))*(BULK_START&lt;=7)*(BULK_END&gt;=7))*IFERROR(BULK_VALUE,0))/MAX(1,SUMPRODUCT(((BULK_ENABLED="Y")*((BULK_TIER="ALL")+(BULK_TIER=$F27))*((BULK_SKU="ALL")+(BULK_SKU=$G27))*(BULK_START&lt;=7)*(BULK_END&gt;=7)))),0),ROUND((INDEX(VELOCITY_TABLE,MATCH($F27,TIER_LIST,0),2))*(IF((7-$I27+1)&lt;=0,0,IF((7-$I27+1)=1,RAMP_W1,IF((7-$I27+1)=2,RAMP_W2,IF((7-$I27+1)=3,RAMP_W3,RAMP_W4PLUS)))))*(INDEX(ACTIVE_MULT_TABLE,2,1))*(1+SUMPRODUCT(SIGN(((ACT_DOOR_SCOPE="ALL")+(ACT_DOOR_SCOPE="TIER_"&amp;$F27)+(ACT_DOOR_SCOPE=$B27)))*SIGN(((ACT_SKU_SCOPE="ALL")+(ACT_SKU_SCOPE=$G27)))*(ACT_START&lt;=7)*(ACT_END&gt;=7)*IFERROR(ACT_UPLIFT-1,0)))*(1+SUMPRODUCT(SIGN(((ACT_DOOR_SCOPE="ALL")+(ACT_DOOR_SCOPE="TIER_"&amp;$F27)+(ACT_DOOR_SCOPE=$B27)))*SIGN(((ACT_SKU_SCOPE="ALL")+(ACT_SKU_SCOPE=$G27)))*(7&gt;ACT_END)*(ACT_END&gt;0)*IFERROR(ACT_POSTLIFT,0))),0)))</f>
        <v/>
      </c>
      <c r="Q27" s="10">
        <f>IF(OR($H27&lt;&gt;"Y",8&lt;$I27),0,IF(SUMPRODUCT(((BULK_ENABLED="Y")*((BULK_TIER="ALL")+(BULK_TIER=$F27))*((BULK_SKU="ALL")+(BULK_SKU=$G27))*(BULK_START&lt;=8)*(BULK_END&gt;=8)))&gt;0,IFERROR(SUMPRODUCT(((BULK_ENABLED="Y")*((BULK_TIER="ALL")+(BULK_TIER=$F27))*((BULK_SKU="ALL")+(BULK_SKU=$G27))*(BULK_START&lt;=8)*(BULK_END&gt;=8))*IFERROR(BULK_VALUE,0))/MAX(1,SUMPRODUCT(((BULK_ENABLED="Y")*((BULK_TIER="ALL")+(BULK_TIER=$F27))*((BULK_SKU="ALL")+(BULK_SKU=$G27))*(BULK_START&lt;=8)*(BULK_END&gt;=8)))),0),ROUND((INDEX(VELOCITY_TABLE,MATCH($F27,TIER_LIST,0),2))*(IF((8-$I27+1)&lt;=0,0,IF((8-$I27+1)=1,RAMP_W1,IF((8-$I27+1)=2,RAMP_W2,IF((8-$I27+1)=3,RAMP_W3,RAMP_W4PLUS)))))*(INDEX(ACTIVE_MULT_TABLE,2,1))*(1+SUMPRODUCT(SIGN(((ACT_DOOR_SCOPE="ALL")+(ACT_DOOR_SCOPE="TIER_"&amp;$F27)+(ACT_DOOR_SCOPE=$B27)))*SIGN(((ACT_SKU_SCOPE="ALL")+(ACT_SKU_SCOPE=$G27)))*(ACT_START&lt;=8)*(ACT_END&gt;=8)*IFERROR(ACT_UPLIFT-1,0)))*(1+SUMPRODUCT(SIGN(((ACT_DOOR_SCOPE="ALL")+(ACT_DOOR_SCOPE="TIER_"&amp;$F27)+(ACT_DOOR_SCOPE=$B27)))*SIGN(((ACT_SKU_SCOPE="ALL")+(ACT_SKU_SCOPE=$G27)))*(8&gt;ACT_END)*(ACT_END&gt;0)*IFERROR(ACT_POSTLIFT,0))),0)))</f>
        <v/>
      </c>
      <c r="R27" s="10">
        <f>IF(OR($H27&lt;&gt;"Y",9&lt;$I27),0,IF(SUMPRODUCT(((BULK_ENABLED="Y")*((BULK_TIER="ALL")+(BULK_TIER=$F27))*((BULK_SKU="ALL")+(BULK_SKU=$G27))*(BULK_START&lt;=9)*(BULK_END&gt;=9)))&gt;0,IFERROR(SUMPRODUCT(((BULK_ENABLED="Y")*((BULK_TIER="ALL")+(BULK_TIER=$F27))*((BULK_SKU="ALL")+(BULK_SKU=$G27))*(BULK_START&lt;=9)*(BULK_END&gt;=9))*IFERROR(BULK_VALUE,0))/MAX(1,SUMPRODUCT(((BULK_ENABLED="Y")*((BULK_TIER="ALL")+(BULK_TIER=$F27))*((BULK_SKU="ALL")+(BULK_SKU=$G27))*(BULK_START&lt;=9)*(BULK_END&gt;=9)))),0),ROUND((INDEX(VELOCITY_TABLE,MATCH($F27,TIER_LIST,0),2))*(IF((9-$I27+1)&lt;=0,0,IF((9-$I27+1)=1,RAMP_W1,IF((9-$I27+1)=2,RAMP_W2,IF((9-$I27+1)=3,RAMP_W3,RAMP_W4PLUS)))))*(INDEX(ACTIVE_MULT_TABLE,2,1))*(1+SUMPRODUCT(SIGN(((ACT_DOOR_SCOPE="ALL")+(ACT_DOOR_SCOPE="TIER_"&amp;$F27)+(ACT_DOOR_SCOPE=$B27)))*SIGN(((ACT_SKU_SCOPE="ALL")+(ACT_SKU_SCOPE=$G27)))*(ACT_START&lt;=9)*(ACT_END&gt;=9)*IFERROR(ACT_UPLIFT-1,0)))*(1+SUMPRODUCT(SIGN(((ACT_DOOR_SCOPE="ALL")+(ACT_DOOR_SCOPE="TIER_"&amp;$F27)+(ACT_DOOR_SCOPE=$B27)))*SIGN(((ACT_SKU_SCOPE="ALL")+(ACT_SKU_SCOPE=$G27)))*(9&gt;ACT_END)*(ACT_END&gt;0)*IFERROR(ACT_POSTLIFT,0))),0)))</f>
        <v/>
      </c>
      <c r="S27" s="10">
        <f>IF(OR($H27&lt;&gt;"Y",10&lt;$I27),0,IF(SUMPRODUCT(((BULK_ENABLED="Y")*((BULK_TIER="ALL")+(BULK_TIER=$F27))*((BULK_SKU="ALL")+(BULK_SKU=$G27))*(BULK_START&lt;=10)*(BULK_END&gt;=10)))&gt;0,IFERROR(SUMPRODUCT(((BULK_ENABLED="Y")*((BULK_TIER="ALL")+(BULK_TIER=$F27))*((BULK_SKU="ALL")+(BULK_SKU=$G27))*(BULK_START&lt;=10)*(BULK_END&gt;=10))*IFERROR(BULK_VALUE,0))/MAX(1,SUMPRODUCT(((BULK_ENABLED="Y")*((BULK_TIER="ALL")+(BULK_TIER=$F27))*((BULK_SKU="ALL")+(BULK_SKU=$G27))*(BULK_START&lt;=10)*(BULK_END&gt;=10)))),0),ROUND((INDEX(VELOCITY_TABLE,MATCH($F27,TIER_LIST,0),2))*(IF((10-$I27+1)&lt;=0,0,IF((10-$I27+1)=1,RAMP_W1,IF((10-$I27+1)=2,RAMP_W2,IF((10-$I27+1)=3,RAMP_W3,RAMP_W4PLUS)))))*(INDEX(ACTIVE_MULT_TABLE,2,1))*(1+SUMPRODUCT(SIGN(((ACT_DOOR_SCOPE="ALL")+(ACT_DOOR_SCOPE="TIER_"&amp;$F27)+(ACT_DOOR_SCOPE=$B27)))*SIGN(((ACT_SKU_SCOPE="ALL")+(ACT_SKU_SCOPE=$G27)))*(ACT_START&lt;=10)*(ACT_END&gt;=10)*IFERROR(ACT_UPLIFT-1,0)))*(1+SUMPRODUCT(SIGN(((ACT_DOOR_SCOPE="ALL")+(ACT_DOOR_SCOPE="TIER_"&amp;$F27)+(ACT_DOOR_SCOPE=$B27)))*SIGN(((ACT_SKU_SCOPE="ALL")+(ACT_SKU_SCOPE=$G27)))*(10&gt;ACT_END)*(ACT_END&gt;0)*IFERROR(ACT_POSTLIFT,0))),0)))</f>
        <v/>
      </c>
      <c r="T27" s="10">
        <f>IF(OR($H27&lt;&gt;"Y",11&lt;$I27),0,IF(SUMPRODUCT(((BULK_ENABLED="Y")*((BULK_TIER="ALL")+(BULK_TIER=$F27))*((BULK_SKU="ALL")+(BULK_SKU=$G27))*(BULK_START&lt;=11)*(BULK_END&gt;=11)))&gt;0,IFERROR(SUMPRODUCT(((BULK_ENABLED="Y")*((BULK_TIER="ALL")+(BULK_TIER=$F27))*((BULK_SKU="ALL")+(BULK_SKU=$G27))*(BULK_START&lt;=11)*(BULK_END&gt;=11))*IFERROR(BULK_VALUE,0))/MAX(1,SUMPRODUCT(((BULK_ENABLED="Y")*((BULK_TIER="ALL")+(BULK_TIER=$F27))*((BULK_SKU="ALL")+(BULK_SKU=$G27))*(BULK_START&lt;=11)*(BULK_END&gt;=11)))),0),ROUND((INDEX(VELOCITY_TABLE,MATCH($F27,TIER_LIST,0),2))*(IF((11-$I27+1)&lt;=0,0,IF((11-$I27+1)=1,RAMP_W1,IF((11-$I27+1)=2,RAMP_W2,IF((11-$I27+1)=3,RAMP_W3,RAMP_W4PLUS)))))*(INDEX(ACTIVE_MULT_TABLE,2,1))*(1+SUMPRODUCT(SIGN(((ACT_DOOR_SCOPE="ALL")+(ACT_DOOR_SCOPE="TIER_"&amp;$F27)+(ACT_DOOR_SCOPE=$B27)))*SIGN(((ACT_SKU_SCOPE="ALL")+(ACT_SKU_SCOPE=$G27)))*(ACT_START&lt;=11)*(ACT_END&gt;=11)*IFERROR(ACT_UPLIFT-1,0)))*(1+SUMPRODUCT(SIGN(((ACT_DOOR_SCOPE="ALL")+(ACT_DOOR_SCOPE="TIER_"&amp;$F27)+(ACT_DOOR_SCOPE=$B27)))*SIGN(((ACT_SKU_SCOPE="ALL")+(ACT_SKU_SCOPE=$G27)))*(11&gt;ACT_END)*(ACT_END&gt;0)*IFERROR(ACT_POSTLIFT,0))),0)))</f>
        <v/>
      </c>
      <c r="U27" s="10">
        <f>IF(OR($H27&lt;&gt;"Y",12&lt;$I27),0,IF(SUMPRODUCT(((BULK_ENABLED="Y")*((BULK_TIER="ALL")+(BULK_TIER=$F27))*((BULK_SKU="ALL")+(BULK_SKU=$G27))*(BULK_START&lt;=12)*(BULK_END&gt;=12)))&gt;0,IFERROR(SUMPRODUCT(((BULK_ENABLED="Y")*((BULK_TIER="ALL")+(BULK_TIER=$F27))*((BULK_SKU="ALL")+(BULK_SKU=$G27))*(BULK_START&lt;=12)*(BULK_END&gt;=12))*IFERROR(BULK_VALUE,0))/MAX(1,SUMPRODUCT(((BULK_ENABLED="Y")*((BULK_TIER="ALL")+(BULK_TIER=$F27))*((BULK_SKU="ALL")+(BULK_SKU=$G27))*(BULK_START&lt;=12)*(BULK_END&gt;=12)))),0),ROUND((INDEX(VELOCITY_TABLE,MATCH($F27,TIER_LIST,0),2))*(IF((12-$I27+1)&lt;=0,0,IF((12-$I27+1)=1,RAMP_W1,IF((12-$I27+1)=2,RAMP_W2,IF((12-$I27+1)=3,RAMP_W3,RAMP_W4PLUS)))))*(INDEX(ACTIVE_MULT_TABLE,2,1))*(1+SUMPRODUCT(SIGN(((ACT_DOOR_SCOPE="ALL")+(ACT_DOOR_SCOPE="TIER_"&amp;$F27)+(ACT_DOOR_SCOPE=$B27)))*SIGN(((ACT_SKU_SCOPE="ALL")+(ACT_SKU_SCOPE=$G27)))*(ACT_START&lt;=12)*(ACT_END&gt;=12)*IFERROR(ACT_UPLIFT-1,0)))*(1+SUMPRODUCT(SIGN(((ACT_DOOR_SCOPE="ALL")+(ACT_DOOR_SCOPE="TIER_"&amp;$F27)+(ACT_DOOR_SCOPE=$B27)))*SIGN(((ACT_SKU_SCOPE="ALL")+(ACT_SKU_SCOPE=$G27)))*(12&gt;ACT_END)*(ACT_END&gt;0)*IFERROR(ACT_POSTLIFT,0))),0)))</f>
        <v/>
      </c>
      <c r="V27" s="10">
        <f>IF(OR($H27&lt;&gt;"Y",13&lt;$I27),0,IF(SUMPRODUCT(((BULK_ENABLED="Y")*((BULK_TIER="ALL")+(BULK_TIER=$F27))*((BULK_SKU="ALL")+(BULK_SKU=$G27))*(BULK_START&lt;=13)*(BULK_END&gt;=13)))&gt;0,IFERROR(SUMPRODUCT(((BULK_ENABLED="Y")*((BULK_TIER="ALL")+(BULK_TIER=$F27))*((BULK_SKU="ALL")+(BULK_SKU=$G27))*(BULK_START&lt;=13)*(BULK_END&gt;=13))*IFERROR(BULK_VALUE,0))/MAX(1,SUMPRODUCT(((BULK_ENABLED="Y")*((BULK_TIER="ALL")+(BULK_TIER=$F27))*((BULK_SKU="ALL")+(BULK_SKU=$G27))*(BULK_START&lt;=13)*(BULK_END&gt;=13)))),0),ROUND((INDEX(VELOCITY_TABLE,MATCH($F27,TIER_LIST,0),2))*(IF((13-$I27+1)&lt;=0,0,IF((13-$I27+1)=1,RAMP_W1,IF((13-$I27+1)=2,RAMP_W2,IF((13-$I27+1)=3,RAMP_W3,RAMP_W4PLUS)))))*(INDEX(ACTIVE_MULT_TABLE,2,1))*(1+SUMPRODUCT(SIGN(((ACT_DOOR_SCOPE="ALL")+(ACT_DOOR_SCOPE="TIER_"&amp;$F27)+(ACT_DOOR_SCOPE=$B27)))*SIGN(((ACT_SKU_SCOPE="ALL")+(ACT_SKU_SCOPE=$G27)))*(ACT_START&lt;=13)*(ACT_END&gt;=13)*IFERROR(ACT_UPLIFT-1,0)))*(1+SUMPRODUCT(SIGN(((ACT_DOOR_SCOPE="ALL")+(ACT_DOOR_SCOPE="TIER_"&amp;$F27)+(ACT_DOOR_SCOPE=$B27)))*SIGN(((ACT_SKU_SCOPE="ALL")+(ACT_SKU_SCOPE=$G27)))*(13&gt;ACT_END)*(ACT_END&gt;0)*IFERROR(ACT_POSTLIFT,0))),0)))</f>
        <v/>
      </c>
    </row>
    <row r="28">
      <c r="A28" t="inlineStr">
        <is>
          <t>R0024</t>
        </is>
      </c>
      <c r="B28">
        <f>Doors!$A$12</f>
        <v/>
      </c>
      <c r="C28">
        <f>Doors!$C$12</f>
        <v/>
      </c>
      <c r="D28">
        <f>Doors!$B$12</f>
        <v/>
      </c>
      <c r="E28">
        <f>Doors!$E$12</f>
        <v/>
      </c>
      <c r="F28">
        <f>Doors!$F$12</f>
        <v/>
      </c>
      <c r="G28" t="inlineStr">
        <is>
          <t>Raspberry</t>
        </is>
      </c>
      <c r="H28">
        <f>Doors!$I$12</f>
        <v/>
      </c>
      <c r="I28">
        <f>Doors!$J$12</f>
        <v/>
      </c>
      <c r="J28" s="10">
        <f>IF(OR($H28&lt;&gt;"Y",1&lt;$I28),0,IF(SUMPRODUCT(((BULK_ENABLED="Y")*((BULK_TIER="ALL")+(BULK_TIER=$F28))*((BULK_SKU="ALL")+(BULK_SKU=$G28))*(BULK_START&lt;=1)*(BULK_END&gt;=1)))&gt;0,IFERROR(SUMPRODUCT(((BULK_ENABLED="Y")*((BULK_TIER="ALL")+(BULK_TIER=$F28))*((BULK_SKU="ALL")+(BULK_SKU=$G28))*(BULK_START&lt;=1)*(BULK_END&gt;=1))*IFERROR(BULK_VALUE,0))/MAX(1,SUMPRODUCT(((BULK_ENABLED="Y")*((BULK_TIER="ALL")+(BULK_TIER=$F28))*((BULK_SKU="ALL")+(BULK_SKU=$G28))*(BULK_START&lt;=1)*(BULK_END&gt;=1)))),0),ROUND((INDEX(VELOCITY_TABLE,MATCH($F28,TIER_LIST,0),3))*(IF((1-$I28+1)&lt;=0,0,IF((1-$I28+1)=1,RAMP_W1,IF((1-$I28+1)=2,RAMP_W2,IF((1-$I28+1)=3,RAMP_W3,RAMP_W4PLUS)))))*(INDEX(ACTIVE_MULT_TABLE,3,1))*(1+SUMPRODUCT(SIGN(((ACT_DOOR_SCOPE="ALL")+(ACT_DOOR_SCOPE="TIER_"&amp;$F28)+(ACT_DOOR_SCOPE=$B28)))*SIGN(((ACT_SKU_SCOPE="ALL")+(ACT_SKU_SCOPE=$G28)))*(ACT_START&lt;=1)*(ACT_END&gt;=1)*IFERROR(ACT_UPLIFT-1,0)))*(1+SUMPRODUCT(SIGN(((ACT_DOOR_SCOPE="ALL")+(ACT_DOOR_SCOPE="TIER_"&amp;$F28)+(ACT_DOOR_SCOPE=$B28)))*SIGN(((ACT_SKU_SCOPE="ALL")+(ACT_SKU_SCOPE=$G28)))*(1&gt;ACT_END)*(ACT_END&gt;0)*IFERROR(ACT_POSTLIFT,0))),0)))</f>
        <v/>
      </c>
      <c r="K28" s="10">
        <f>IF(OR($H28&lt;&gt;"Y",2&lt;$I28),0,IF(SUMPRODUCT(((BULK_ENABLED="Y")*((BULK_TIER="ALL")+(BULK_TIER=$F28))*((BULK_SKU="ALL")+(BULK_SKU=$G28))*(BULK_START&lt;=2)*(BULK_END&gt;=2)))&gt;0,IFERROR(SUMPRODUCT(((BULK_ENABLED="Y")*((BULK_TIER="ALL")+(BULK_TIER=$F28))*((BULK_SKU="ALL")+(BULK_SKU=$G28))*(BULK_START&lt;=2)*(BULK_END&gt;=2))*IFERROR(BULK_VALUE,0))/MAX(1,SUMPRODUCT(((BULK_ENABLED="Y")*((BULK_TIER="ALL")+(BULK_TIER=$F28))*((BULK_SKU="ALL")+(BULK_SKU=$G28))*(BULK_START&lt;=2)*(BULK_END&gt;=2)))),0),ROUND((INDEX(VELOCITY_TABLE,MATCH($F28,TIER_LIST,0),3))*(IF((2-$I28+1)&lt;=0,0,IF((2-$I28+1)=1,RAMP_W1,IF((2-$I28+1)=2,RAMP_W2,IF((2-$I28+1)=3,RAMP_W3,RAMP_W4PLUS)))))*(INDEX(ACTIVE_MULT_TABLE,3,1))*(1+SUMPRODUCT(SIGN(((ACT_DOOR_SCOPE="ALL")+(ACT_DOOR_SCOPE="TIER_"&amp;$F28)+(ACT_DOOR_SCOPE=$B28)))*SIGN(((ACT_SKU_SCOPE="ALL")+(ACT_SKU_SCOPE=$G28)))*(ACT_START&lt;=2)*(ACT_END&gt;=2)*IFERROR(ACT_UPLIFT-1,0)))*(1+SUMPRODUCT(SIGN(((ACT_DOOR_SCOPE="ALL")+(ACT_DOOR_SCOPE="TIER_"&amp;$F28)+(ACT_DOOR_SCOPE=$B28)))*SIGN(((ACT_SKU_SCOPE="ALL")+(ACT_SKU_SCOPE=$G28)))*(2&gt;ACT_END)*(ACT_END&gt;0)*IFERROR(ACT_POSTLIFT,0))),0)))</f>
        <v/>
      </c>
      <c r="L28" s="10">
        <f>IF(OR($H28&lt;&gt;"Y",3&lt;$I28),0,IF(SUMPRODUCT(((BULK_ENABLED="Y")*((BULK_TIER="ALL")+(BULK_TIER=$F28))*((BULK_SKU="ALL")+(BULK_SKU=$G28))*(BULK_START&lt;=3)*(BULK_END&gt;=3)))&gt;0,IFERROR(SUMPRODUCT(((BULK_ENABLED="Y")*((BULK_TIER="ALL")+(BULK_TIER=$F28))*((BULK_SKU="ALL")+(BULK_SKU=$G28))*(BULK_START&lt;=3)*(BULK_END&gt;=3))*IFERROR(BULK_VALUE,0))/MAX(1,SUMPRODUCT(((BULK_ENABLED="Y")*((BULK_TIER="ALL")+(BULK_TIER=$F28))*((BULK_SKU="ALL")+(BULK_SKU=$G28))*(BULK_START&lt;=3)*(BULK_END&gt;=3)))),0),ROUND((INDEX(VELOCITY_TABLE,MATCH($F28,TIER_LIST,0),3))*(IF((3-$I28+1)&lt;=0,0,IF((3-$I28+1)=1,RAMP_W1,IF((3-$I28+1)=2,RAMP_W2,IF((3-$I28+1)=3,RAMP_W3,RAMP_W4PLUS)))))*(INDEX(ACTIVE_MULT_TABLE,3,1))*(1+SUMPRODUCT(SIGN(((ACT_DOOR_SCOPE="ALL")+(ACT_DOOR_SCOPE="TIER_"&amp;$F28)+(ACT_DOOR_SCOPE=$B28)))*SIGN(((ACT_SKU_SCOPE="ALL")+(ACT_SKU_SCOPE=$G28)))*(ACT_START&lt;=3)*(ACT_END&gt;=3)*IFERROR(ACT_UPLIFT-1,0)))*(1+SUMPRODUCT(SIGN(((ACT_DOOR_SCOPE="ALL")+(ACT_DOOR_SCOPE="TIER_"&amp;$F28)+(ACT_DOOR_SCOPE=$B28)))*SIGN(((ACT_SKU_SCOPE="ALL")+(ACT_SKU_SCOPE=$G28)))*(3&gt;ACT_END)*(ACT_END&gt;0)*IFERROR(ACT_POSTLIFT,0))),0)))</f>
        <v/>
      </c>
      <c r="M28" s="10">
        <f>IF(OR($H28&lt;&gt;"Y",4&lt;$I28),0,IF(SUMPRODUCT(((BULK_ENABLED="Y")*((BULK_TIER="ALL")+(BULK_TIER=$F28))*((BULK_SKU="ALL")+(BULK_SKU=$G28))*(BULK_START&lt;=4)*(BULK_END&gt;=4)))&gt;0,IFERROR(SUMPRODUCT(((BULK_ENABLED="Y")*((BULK_TIER="ALL")+(BULK_TIER=$F28))*((BULK_SKU="ALL")+(BULK_SKU=$G28))*(BULK_START&lt;=4)*(BULK_END&gt;=4))*IFERROR(BULK_VALUE,0))/MAX(1,SUMPRODUCT(((BULK_ENABLED="Y")*((BULK_TIER="ALL")+(BULK_TIER=$F28))*((BULK_SKU="ALL")+(BULK_SKU=$G28))*(BULK_START&lt;=4)*(BULK_END&gt;=4)))),0),ROUND((INDEX(VELOCITY_TABLE,MATCH($F28,TIER_LIST,0),3))*(IF((4-$I28+1)&lt;=0,0,IF((4-$I28+1)=1,RAMP_W1,IF((4-$I28+1)=2,RAMP_W2,IF((4-$I28+1)=3,RAMP_W3,RAMP_W4PLUS)))))*(INDEX(ACTIVE_MULT_TABLE,3,1))*(1+SUMPRODUCT(SIGN(((ACT_DOOR_SCOPE="ALL")+(ACT_DOOR_SCOPE="TIER_"&amp;$F28)+(ACT_DOOR_SCOPE=$B28)))*SIGN(((ACT_SKU_SCOPE="ALL")+(ACT_SKU_SCOPE=$G28)))*(ACT_START&lt;=4)*(ACT_END&gt;=4)*IFERROR(ACT_UPLIFT-1,0)))*(1+SUMPRODUCT(SIGN(((ACT_DOOR_SCOPE="ALL")+(ACT_DOOR_SCOPE="TIER_"&amp;$F28)+(ACT_DOOR_SCOPE=$B28)))*SIGN(((ACT_SKU_SCOPE="ALL")+(ACT_SKU_SCOPE=$G28)))*(4&gt;ACT_END)*(ACT_END&gt;0)*IFERROR(ACT_POSTLIFT,0))),0)))</f>
        <v/>
      </c>
      <c r="N28" s="10">
        <f>IF(OR($H28&lt;&gt;"Y",5&lt;$I28),0,IF(SUMPRODUCT(((BULK_ENABLED="Y")*((BULK_TIER="ALL")+(BULK_TIER=$F28))*((BULK_SKU="ALL")+(BULK_SKU=$G28))*(BULK_START&lt;=5)*(BULK_END&gt;=5)))&gt;0,IFERROR(SUMPRODUCT(((BULK_ENABLED="Y")*((BULK_TIER="ALL")+(BULK_TIER=$F28))*((BULK_SKU="ALL")+(BULK_SKU=$G28))*(BULK_START&lt;=5)*(BULK_END&gt;=5))*IFERROR(BULK_VALUE,0))/MAX(1,SUMPRODUCT(((BULK_ENABLED="Y")*((BULK_TIER="ALL")+(BULK_TIER=$F28))*((BULK_SKU="ALL")+(BULK_SKU=$G28))*(BULK_START&lt;=5)*(BULK_END&gt;=5)))),0),ROUND((INDEX(VELOCITY_TABLE,MATCH($F28,TIER_LIST,0),3))*(IF((5-$I28+1)&lt;=0,0,IF((5-$I28+1)=1,RAMP_W1,IF((5-$I28+1)=2,RAMP_W2,IF((5-$I28+1)=3,RAMP_W3,RAMP_W4PLUS)))))*(INDEX(ACTIVE_MULT_TABLE,3,1))*(1+SUMPRODUCT(SIGN(((ACT_DOOR_SCOPE="ALL")+(ACT_DOOR_SCOPE="TIER_"&amp;$F28)+(ACT_DOOR_SCOPE=$B28)))*SIGN(((ACT_SKU_SCOPE="ALL")+(ACT_SKU_SCOPE=$G28)))*(ACT_START&lt;=5)*(ACT_END&gt;=5)*IFERROR(ACT_UPLIFT-1,0)))*(1+SUMPRODUCT(SIGN(((ACT_DOOR_SCOPE="ALL")+(ACT_DOOR_SCOPE="TIER_"&amp;$F28)+(ACT_DOOR_SCOPE=$B28)))*SIGN(((ACT_SKU_SCOPE="ALL")+(ACT_SKU_SCOPE=$G28)))*(5&gt;ACT_END)*(ACT_END&gt;0)*IFERROR(ACT_POSTLIFT,0))),0)))</f>
        <v/>
      </c>
      <c r="O28" s="10">
        <f>IF(OR($H28&lt;&gt;"Y",6&lt;$I28),0,IF(SUMPRODUCT(((BULK_ENABLED="Y")*((BULK_TIER="ALL")+(BULK_TIER=$F28))*((BULK_SKU="ALL")+(BULK_SKU=$G28))*(BULK_START&lt;=6)*(BULK_END&gt;=6)))&gt;0,IFERROR(SUMPRODUCT(((BULK_ENABLED="Y")*((BULK_TIER="ALL")+(BULK_TIER=$F28))*((BULK_SKU="ALL")+(BULK_SKU=$G28))*(BULK_START&lt;=6)*(BULK_END&gt;=6))*IFERROR(BULK_VALUE,0))/MAX(1,SUMPRODUCT(((BULK_ENABLED="Y")*((BULK_TIER="ALL")+(BULK_TIER=$F28))*((BULK_SKU="ALL")+(BULK_SKU=$G28))*(BULK_START&lt;=6)*(BULK_END&gt;=6)))),0),ROUND((INDEX(VELOCITY_TABLE,MATCH($F28,TIER_LIST,0),3))*(IF((6-$I28+1)&lt;=0,0,IF((6-$I28+1)=1,RAMP_W1,IF((6-$I28+1)=2,RAMP_W2,IF((6-$I28+1)=3,RAMP_W3,RAMP_W4PLUS)))))*(INDEX(ACTIVE_MULT_TABLE,3,1))*(1+SUMPRODUCT(SIGN(((ACT_DOOR_SCOPE="ALL")+(ACT_DOOR_SCOPE="TIER_"&amp;$F28)+(ACT_DOOR_SCOPE=$B28)))*SIGN(((ACT_SKU_SCOPE="ALL")+(ACT_SKU_SCOPE=$G28)))*(ACT_START&lt;=6)*(ACT_END&gt;=6)*IFERROR(ACT_UPLIFT-1,0)))*(1+SUMPRODUCT(SIGN(((ACT_DOOR_SCOPE="ALL")+(ACT_DOOR_SCOPE="TIER_"&amp;$F28)+(ACT_DOOR_SCOPE=$B28)))*SIGN(((ACT_SKU_SCOPE="ALL")+(ACT_SKU_SCOPE=$G28)))*(6&gt;ACT_END)*(ACT_END&gt;0)*IFERROR(ACT_POSTLIFT,0))),0)))</f>
        <v/>
      </c>
      <c r="P28" s="10">
        <f>IF(OR($H28&lt;&gt;"Y",7&lt;$I28),0,IF(SUMPRODUCT(((BULK_ENABLED="Y")*((BULK_TIER="ALL")+(BULK_TIER=$F28))*((BULK_SKU="ALL")+(BULK_SKU=$G28))*(BULK_START&lt;=7)*(BULK_END&gt;=7)))&gt;0,IFERROR(SUMPRODUCT(((BULK_ENABLED="Y")*((BULK_TIER="ALL")+(BULK_TIER=$F28))*((BULK_SKU="ALL")+(BULK_SKU=$G28))*(BULK_START&lt;=7)*(BULK_END&gt;=7))*IFERROR(BULK_VALUE,0))/MAX(1,SUMPRODUCT(((BULK_ENABLED="Y")*((BULK_TIER="ALL")+(BULK_TIER=$F28))*((BULK_SKU="ALL")+(BULK_SKU=$G28))*(BULK_START&lt;=7)*(BULK_END&gt;=7)))),0),ROUND((INDEX(VELOCITY_TABLE,MATCH($F28,TIER_LIST,0),3))*(IF((7-$I28+1)&lt;=0,0,IF((7-$I28+1)=1,RAMP_W1,IF((7-$I28+1)=2,RAMP_W2,IF((7-$I28+1)=3,RAMP_W3,RAMP_W4PLUS)))))*(INDEX(ACTIVE_MULT_TABLE,3,1))*(1+SUMPRODUCT(SIGN(((ACT_DOOR_SCOPE="ALL")+(ACT_DOOR_SCOPE="TIER_"&amp;$F28)+(ACT_DOOR_SCOPE=$B28)))*SIGN(((ACT_SKU_SCOPE="ALL")+(ACT_SKU_SCOPE=$G28)))*(ACT_START&lt;=7)*(ACT_END&gt;=7)*IFERROR(ACT_UPLIFT-1,0)))*(1+SUMPRODUCT(SIGN(((ACT_DOOR_SCOPE="ALL")+(ACT_DOOR_SCOPE="TIER_"&amp;$F28)+(ACT_DOOR_SCOPE=$B28)))*SIGN(((ACT_SKU_SCOPE="ALL")+(ACT_SKU_SCOPE=$G28)))*(7&gt;ACT_END)*(ACT_END&gt;0)*IFERROR(ACT_POSTLIFT,0))),0)))</f>
        <v/>
      </c>
      <c r="Q28" s="10">
        <f>IF(OR($H28&lt;&gt;"Y",8&lt;$I28),0,IF(SUMPRODUCT(((BULK_ENABLED="Y")*((BULK_TIER="ALL")+(BULK_TIER=$F28))*((BULK_SKU="ALL")+(BULK_SKU=$G28))*(BULK_START&lt;=8)*(BULK_END&gt;=8)))&gt;0,IFERROR(SUMPRODUCT(((BULK_ENABLED="Y")*((BULK_TIER="ALL")+(BULK_TIER=$F28))*((BULK_SKU="ALL")+(BULK_SKU=$G28))*(BULK_START&lt;=8)*(BULK_END&gt;=8))*IFERROR(BULK_VALUE,0))/MAX(1,SUMPRODUCT(((BULK_ENABLED="Y")*((BULK_TIER="ALL")+(BULK_TIER=$F28))*((BULK_SKU="ALL")+(BULK_SKU=$G28))*(BULK_START&lt;=8)*(BULK_END&gt;=8)))),0),ROUND((INDEX(VELOCITY_TABLE,MATCH($F28,TIER_LIST,0),3))*(IF((8-$I28+1)&lt;=0,0,IF((8-$I28+1)=1,RAMP_W1,IF((8-$I28+1)=2,RAMP_W2,IF((8-$I28+1)=3,RAMP_W3,RAMP_W4PLUS)))))*(INDEX(ACTIVE_MULT_TABLE,3,1))*(1+SUMPRODUCT(SIGN(((ACT_DOOR_SCOPE="ALL")+(ACT_DOOR_SCOPE="TIER_"&amp;$F28)+(ACT_DOOR_SCOPE=$B28)))*SIGN(((ACT_SKU_SCOPE="ALL")+(ACT_SKU_SCOPE=$G28)))*(ACT_START&lt;=8)*(ACT_END&gt;=8)*IFERROR(ACT_UPLIFT-1,0)))*(1+SUMPRODUCT(SIGN(((ACT_DOOR_SCOPE="ALL")+(ACT_DOOR_SCOPE="TIER_"&amp;$F28)+(ACT_DOOR_SCOPE=$B28)))*SIGN(((ACT_SKU_SCOPE="ALL")+(ACT_SKU_SCOPE=$G28)))*(8&gt;ACT_END)*(ACT_END&gt;0)*IFERROR(ACT_POSTLIFT,0))),0)))</f>
        <v/>
      </c>
      <c r="R28" s="10">
        <f>IF(OR($H28&lt;&gt;"Y",9&lt;$I28),0,IF(SUMPRODUCT(((BULK_ENABLED="Y")*((BULK_TIER="ALL")+(BULK_TIER=$F28))*((BULK_SKU="ALL")+(BULK_SKU=$G28))*(BULK_START&lt;=9)*(BULK_END&gt;=9)))&gt;0,IFERROR(SUMPRODUCT(((BULK_ENABLED="Y")*((BULK_TIER="ALL")+(BULK_TIER=$F28))*((BULK_SKU="ALL")+(BULK_SKU=$G28))*(BULK_START&lt;=9)*(BULK_END&gt;=9))*IFERROR(BULK_VALUE,0))/MAX(1,SUMPRODUCT(((BULK_ENABLED="Y")*((BULK_TIER="ALL")+(BULK_TIER=$F28))*((BULK_SKU="ALL")+(BULK_SKU=$G28))*(BULK_START&lt;=9)*(BULK_END&gt;=9)))),0),ROUND((INDEX(VELOCITY_TABLE,MATCH($F28,TIER_LIST,0),3))*(IF((9-$I28+1)&lt;=0,0,IF((9-$I28+1)=1,RAMP_W1,IF((9-$I28+1)=2,RAMP_W2,IF((9-$I28+1)=3,RAMP_W3,RAMP_W4PLUS)))))*(INDEX(ACTIVE_MULT_TABLE,3,1))*(1+SUMPRODUCT(SIGN(((ACT_DOOR_SCOPE="ALL")+(ACT_DOOR_SCOPE="TIER_"&amp;$F28)+(ACT_DOOR_SCOPE=$B28)))*SIGN(((ACT_SKU_SCOPE="ALL")+(ACT_SKU_SCOPE=$G28)))*(ACT_START&lt;=9)*(ACT_END&gt;=9)*IFERROR(ACT_UPLIFT-1,0)))*(1+SUMPRODUCT(SIGN(((ACT_DOOR_SCOPE="ALL")+(ACT_DOOR_SCOPE="TIER_"&amp;$F28)+(ACT_DOOR_SCOPE=$B28)))*SIGN(((ACT_SKU_SCOPE="ALL")+(ACT_SKU_SCOPE=$G28)))*(9&gt;ACT_END)*(ACT_END&gt;0)*IFERROR(ACT_POSTLIFT,0))),0)))</f>
        <v/>
      </c>
      <c r="S28" s="10">
        <f>IF(OR($H28&lt;&gt;"Y",10&lt;$I28),0,IF(SUMPRODUCT(((BULK_ENABLED="Y")*((BULK_TIER="ALL")+(BULK_TIER=$F28))*((BULK_SKU="ALL")+(BULK_SKU=$G28))*(BULK_START&lt;=10)*(BULK_END&gt;=10)))&gt;0,IFERROR(SUMPRODUCT(((BULK_ENABLED="Y")*((BULK_TIER="ALL")+(BULK_TIER=$F28))*((BULK_SKU="ALL")+(BULK_SKU=$G28))*(BULK_START&lt;=10)*(BULK_END&gt;=10))*IFERROR(BULK_VALUE,0))/MAX(1,SUMPRODUCT(((BULK_ENABLED="Y")*((BULK_TIER="ALL")+(BULK_TIER=$F28))*((BULK_SKU="ALL")+(BULK_SKU=$G28))*(BULK_START&lt;=10)*(BULK_END&gt;=10)))),0),ROUND((INDEX(VELOCITY_TABLE,MATCH($F28,TIER_LIST,0),3))*(IF((10-$I28+1)&lt;=0,0,IF((10-$I28+1)=1,RAMP_W1,IF((10-$I28+1)=2,RAMP_W2,IF((10-$I28+1)=3,RAMP_W3,RAMP_W4PLUS)))))*(INDEX(ACTIVE_MULT_TABLE,3,1))*(1+SUMPRODUCT(SIGN(((ACT_DOOR_SCOPE="ALL")+(ACT_DOOR_SCOPE="TIER_"&amp;$F28)+(ACT_DOOR_SCOPE=$B28)))*SIGN(((ACT_SKU_SCOPE="ALL")+(ACT_SKU_SCOPE=$G28)))*(ACT_START&lt;=10)*(ACT_END&gt;=10)*IFERROR(ACT_UPLIFT-1,0)))*(1+SUMPRODUCT(SIGN(((ACT_DOOR_SCOPE="ALL")+(ACT_DOOR_SCOPE="TIER_"&amp;$F28)+(ACT_DOOR_SCOPE=$B28)))*SIGN(((ACT_SKU_SCOPE="ALL")+(ACT_SKU_SCOPE=$G28)))*(10&gt;ACT_END)*(ACT_END&gt;0)*IFERROR(ACT_POSTLIFT,0))),0)))</f>
        <v/>
      </c>
      <c r="T28" s="10">
        <f>IF(OR($H28&lt;&gt;"Y",11&lt;$I28),0,IF(SUMPRODUCT(((BULK_ENABLED="Y")*((BULK_TIER="ALL")+(BULK_TIER=$F28))*((BULK_SKU="ALL")+(BULK_SKU=$G28))*(BULK_START&lt;=11)*(BULK_END&gt;=11)))&gt;0,IFERROR(SUMPRODUCT(((BULK_ENABLED="Y")*((BULK_TIER="ALL")+(BULK_TIER=$F28))*((BULK_SKU="ALL")+(BULK_SKU=$G28))*(BULK_START&lt;=11)*(BULK_END&gt;=11))*IFERROR(BULK_VALUE,0))/MAX(1,SUMPRODUCT(((BULK_ENABLED="Y")*((BULK_TIER="ALL")+(BULK_TIER=$F28))*((BULK_SKU="ALL")+(BULK_SKU=$G28))*(BULK_START&lt;=11)*(BULK_END&gt;=11)))),0),ROUND((INDEX(VELOCITY_TABLE,MATCH($F28,TIER_LIST,0),3))*(IF((11-$I28+1)&lt;=0,0,IF((11-$I28+1)=1,RAMP_W1,IF((11-$I28+1)=2,RAMP_W2,IF((11-$I28+1)=3,RAMP_W3,RAMP_W4PLUS)))))*(INDEX(ACTIVE_MULT_TABLE,3,1))*(1+SUMPRODUCT(SIGN(((ACT_DOOR_SCOPE="ALL")+(ACT_DOOR_SCOPE="TIER_"&amp;$F28)+(ACT_DOOR_SCOPE=$B28)))*SIGN(((ACT_SKU_SCOPE="ALL")+(ACT_SKU_SCOPE=$G28)))*(ACT_START&lt;=11)*(ACT_END&gt;=11)*IFERROR(ACT_UPLIFT-1,0)))*(1+SUMPRODUCT(SIGN(((ACT_DOOR_SCOPE="ALL")+(ACT_DOOR_SCOPE="TIER_"&amp;$F28)+(ACT_DOOR_SCOPE=$B28)))*SIGN(((ACT_SKU_SCOPE="ALL")+(ACT_SKU_SCOPE=$G28)))*(11&gt;ACT_END)*(ACT_END&gt;0)*IFERROR(ACT_POSTLIFT,0))),0)))</f>
        <v/>
      </c>
      <c r="U28" s="10">
        <f>IF(OR($H28&lt;&gt;"Y",12&lt;$I28),0,IF(SUMPRODUCT(((BULK_ENABLED="Y")*((BULK_TIER="ALL")+(BULK_TIER=$F28))*((BULK_SKU="ALL")+(BULK_SKU=$G28))*(BULK_START&lt;=12)*(BULK_END&gt;=12)))&gt;0,IFERROR(SUMPRODUCT(((BULK_ENABLED="Y")*((BULK_TIER="ALL")+(BULK_TIER=$F28))*((BULK_SKU="ALL")+(BULK_SKU=$G28))*(BULK_START&lt;=12)*(BULK_END&gt;=12))*IFERROR(BULK_VALUE,0))/MAX(1,SUMPRODUCT(((BULK_ENABLED="Y")*((BULK_TIER="ALL")+(BULK_TIER=$F28))*((BULK_SKU="ALL")+(BULK_SKU=$G28))*(BULK_START&lt;=12)*(BULK_END&gt;=12)))),0),ROUND((INDEX(VELOCITY_TABLE,MATCH($F28,TIER_LIST,0),3))*(IF((12-$I28+1)&lt;=0,0,IF((12-$I28+1)=1,RAMP_W1,IF((12-$I28+1)=2,RAMP_W2,IF((12-$I28+1)=3,RAMP_W3,RAMP_W4PLUS)))))*(INDEX(ACTIVE_MULT_TABLE,3,1))*(1+SUMPRODUCT(SIGN(((ACT_DOOR_SCOPE="ALL")+(ACT_DOOR_SCOPE="TIER_"&amp;$F28)+(ACT_DOOR_SCOPE=$B28)))*SIGN(((ACT_SKU_SCOPE="ALL")+(ACT_SKU_SCOPE=$G28)))*(ACT_START&lt;=12)*(ACT_END&gt;=12)*IFERROR(ACT_UPLIFT-1,0)))*(1+SUMPRODUCT(SIGN(((ACT_DOOR_SCOPE="ALL")+(ACT_DOOR_SCOPE="TIER_"&amp;$F28)+(ACT_DOOR_SCOPE=$B28)))*SIGN(((ACT_SKU_SCOPE="ALL")+(ACT_SKU_SCOPE=$G28)))*(12&gt;ACT_END)*(ACT_END&gt;0)*IFERROR(ACT_POSTLIFT,0))),0)))</f>
        <v/>
      </c>
      <c r="V28" s="10">
        <f>IF(OR($H28&lt;&gt;"Y",13&lt;$I28),0,IF(SUMPRODUCT(((BULK_ENABLED="Y")*((BULK_TIER="ALL")+(BULK_TIER=$F28))*((BULK_SKU="ALL")+(BULK_SKU=$G28))*(BULK_START&lt;=13)*(BULK_END&gt;=13)))&gt;0,IFERROR(SUMPRODUCT(((BULK_ENABLED="Y")*((BULK_TIER="ALL")+(BULK_TIER=$F28))*((BULK_SKU="ALL")+(BULK_SKU=$G28))*(BULK_START&lt;=13)*(BULK_END&gt;=13))*IFERROR(BULK_VALUE,0))/MAX(1,SUMPRODUCT(((BULK_ENABLED="Y")*((BULK_TIER="ALL")+(BULK_TIER=$F28))*((BULK_SKU="ALL")+(BULK_SKU=$G28))*(BULK_START&lt;=13)*(BULK_END&gt;=13)))),0),ROUND((INDEX(VELOCITY_TABLE,MATCH($F28,TIER_LIST,0),3))*(IF((13-$I28+1)&lt;=0,0,IF((13-$I28+1)=1,RAMP_W1,IF((13-$I28+1)=2,RAMP_W2,IF((13-$I28+1)=3,RAMP_W3,RAMP_W4PLUS)))))*(INDEX(ACTIVE_MULT_TABLE,3,1))*(1+SUMPRODUCT(SIGN(((ACT_DOOR_SCOPE="ALL")+(ACT_DOOR_SCOPE="TIER_"&amp;$F28)+(ACT_DOOR_SCOPE=$B28)))*SIGN(((ACT_SKU_SCOPE="ALL")+(ACT_SKU_SCOPE=$G28)))*(ACT_START&lt;=13)*(ACT_END&gt;=13)*IFERROR(ACT_UPLIFT-1,0)))*(1+SUMPRODUCT(SIGN(((ACT_DOOR_SCOPE="ALL")+(ACT_DOOR_SCOPE="TIER_"&amp;$F28)+(ACT_DOOR_SCOPE=$B28)))*SIGN(((ACT_SKU_SCOPE="ALL")+(ACT_SKU_SCOPE=$G28)))*(13&gt;ACT_END)*(ACT_END&gt;0)*IFERROR(ACT_POSTLIFT,0))),0)))</f>
        <v/>
      </c>
    </row>
    <row r="29">
      <c r="A29" t="inlineStr">
        <is>
          <t>R0025</t>
        </is>
      </c>
      <c r="B29">
        <f>Doors!$A$13</f>
        <v/>
      </c>
      <c r="C29">
        <f>Doors!$C$13</f>
        <v/>
      </c>
      <c r="D29">
        <f>Doors!$B$13</f>
        <v/>
      </c>
      <c r="E29">
        <f>Doors!$E$13</f>
        <v/>
      </c>
      <c r="F29">
        <f>Doors!$F$13</f>
        <v/>
      </c>
      <c r="G29" t="inlineStr">
        <is>
          <t>Lime Lemon</t>
        </is>
      </c>
      <c r="H29">
        <f>Doors!$G$13</f>
        <v/>
      </c>
      <c r="I29">
        <f>Doors!$J$13</f>
        <v/>
      </c>
      <c r="J29" s="10">
        <f>IF(OR($H29&lt;&gt;"Y",1&lt;$I29),0,IF(SUMPRODUCT(((BULK_ENABLED="Y")*((BULK_TIER="ALL")+(BULK_TIER=$F29))*((BULK_SKU="ALL")+(BULK_SKU=$G29))*(BULK_START&lt;=1)*(BULK_END&gt;=1)))&gt;0,IFERROR(SUMPRODUCT(((BULK_ENABLED="Y")*((BULK_TIER="ALL")+(BULK_TIER=$F29))*((BULK_SKU="ALL")+(BULK_SKU=$G29))*(BULK_START&lt;=1)*(BULK_END&gt;=1))*IFERROR(BULK_VALUE,0))/MAX(1,SUMPRODUCT(((BULK_ENABLED="Y")*((BULK_TIER="ALL")+(BULK_TIER=$F29))*((BULK_SKU="ALL")+(BULK_SKU=$G29))*(BULK_START&lt;=1)*(BULK_END&gt;=1)))),0),ROUND((INDEX(VELOCITY_TABLE,MATCH($F29,TIER_LIST,0),1))*(IF((1-$I29+1)&lt;=0,0,IF((1-$I29+1)=1,RAMP_W1,IF((1-$I29+1)=2,RAMP_W2,IF((1-$I29+1)=3,RAMP_W3,RAMP_W4PLUS)))))*(INDEX(ACTIVE_MULT_TABLE,1,1))*(1+SUMPRODUCT(SIGN(((ACT_DOOR_SCOPE="ALL")+(ACT_DOOR_SCOPE="TIER_"&amp;$F29)+(ACT_DOOR_SCOPE=$B29)))*SIGN(((ACT_SKU_SCOPE="ALL")+(ACT_SKU_SCOPE=$G29)))*(ACT_START&lt;=1)*(ACT_END&gt;=1)*IFERROR(ACT_UPLIFT-1,0)))*(1+SUMPRODUCT(SIGN(((ACT_DOOR_SCOPE="ALL")+(ACT_DOOR_SCOPE="TIER_"&amp;$F29)+(ACT_DOOR_SCOPE=$B29)))*SIGN(((ACT_SKU_SCOPE="ALL")+(ACT_SKU_SCOPE=$G29)))*(1&gt;ACT_END)*(ACT_END&gt;0)*IFERROR(ACT_POSTLIFT,0))),0)))</f>
        <v/>
      </c>
      <c r="K29" s="10">
        <f>IF(OR($H29&lt;&gt;"Y",2&lt;$I29),0,IF(SUMPRODUCT(((BULK_ENABLED="Y")*((BULK_TIER="ALL")+(BULK_TIER=$F29))*((BULK_SKU="ALL")+(BULK_SKU=$G29))*(BULK_START&lt;=2)*(BULK_END&gt;=2)))&gt;0,IFERROR(SUMPRODUCT(((BULK_ENABLED="Y")*((BULK_TIER="ALL")+(BULK_TIER=$F29))*((BULK_SKU="ALL")+(BULK_SKU=$G29))*(BULK_START&lt;=2)*(BULK_END&gt;=2))*IFERROR(BULK_VALUE,0))/MAX(1,SUMPRODUCT(((BULK_ENABLED="Y")*((BULK_TIER="ALL")+(BULK_TIER=$F29))*((BULK_SKU="ALL")+(BULK_SKU=$G29))*(BULK_START&lt;=2)*(BULK_END&gt;=2)))),0),ROUND((INDEX(VELOCITY_TABLE,MATCH($F29,TIER_LIST,0),1))*(IF((2-$I29+1)&lt;=0,0,IF((2-$I29+1)=1,RAMP_W1,IF((2-$I29+1)=2,RAMP_W2,IF((2-$I29+1)=3,RAMP_W3,RAMP_W4PLUS)))))*(INDEX(ACTIVE_MULT_TABLE,1,1))*(1+SUMPRODUCT(SIGN(((ACT_DOOR_SCOPE="ALL")+(ACT_DOOR_SCOPE="TIER_"&amp;$F29)+(ACT_DOOR_SCOPE=$B29)))*SIGN(((ACT_SKU_SCOPE="ALL")+(ACT_SKU_SCOPE=$G29)))*(ACT_START&lt;=2)*(ACT_END&gt;=2)*IFERROR(ACT_UPLIFT-1,0)))*(1+SUMPRODUCT(SIGN(((ACT_DOOR_SCOPE="ALL")+(ACT_DOOR_SCOPE="TIER_"&amp;$F29)+(ACT_DOOR_SCOPE=$B29)))*SIGN(((ACT_SKU_SCOPE="ALL")+(ACT_SKU_SCOPE=$G29)))*(2&gt;ACT_END)*(ACT_END&gt;0)*IFERROR(ACT_POSTLIFT,0))),0)))</f>
        <v/>
      </c>
      <c r="L29" s="10">
        <f>IF(OR($H29&lt;&gt;"Y",3&lt;$I29),0,IF(SUMPRODUCT(((BULK_ENABLED="Y")*((BULK_TIER="ALL")+(BULK_TIER=$F29))*((BULK_SKU="ALL")+(BULK_SKU=$G29))*(BULK_START&lt;=3)*(BULK_END&gt;=3)))&gt;0,IFERROR(SUMPRODUCT(((BULK_ENABLED="Y")*((BULK_TIER="ALL")+(BULK_TIER=$F29))*((BULK_SKU="ALL")+(BULK_SKU=$G29))*(BULK_START&lt;=3)*(BULK_END&gt;=3))*IFERROR(BULK_VALUE,0))/MAX(1,SUMPRODUCT(((BULK_ENABLED="Y")*((BULK_TIER="ALL")+(BULK_TIER=$F29))*((BULK_SKU="ALL")+(BULK_SKU=$G29))*(BULK_START&lt;=3)*(BULK_END&gt;=3)))),0),ROUND((INDEX(VELOCITY_TABLE,MATCH($F29,TIER_LIST,0),1))*(IF((3-$I29+1)&lt;=0,0,IF((3-$I29+1)=1,RAMP_W1,IF((3-$I29+1)=2,RAMP_W2,IF((3-$I29+1)=3,RAMP_W3,RAMP_W4PLUS)))))*(INDEX(ACTIVE_MULT_TABLE,1,1))*(1+SUMPRODUCT(SIGN(((ACT_DOOR_SCOPE="ALL")+(ACT_DOOR_SCOPE="TIER_"&amp;$F29)+(ACT_DOOR_SCOPE=$B29)))*SIGN(((ACT_SKU_SCOPE="ALL")+(ACT_SKU_SCOPE=$G29)))*(ACT_START&lt;=3)*(ACT_END&gt;=3)*IFERROR(ACT_UPLIFT-1,0)))*(1+SUMPRODUCT(SIGN(((ACT_DOOR_SCOPE="ALL")+(ACT_DOOR_SCOPE="TIER_"&amp;$F29)+(ACT_DOOR_SCOPE=$B29)))*SIGN(((ACT_SKU_SCOPE="ALL")+(ACT_SKU_SCOPE=$G29)))*(3&gt;ACT_END)*(ACT_END&gt;0)*IFERROR(ACT_POSTLIFT,0))),0)))</f>
        <v/>
      </c>
      <c r="M29" s="10">
        <f>IF(OR($H29&lt;&gt;"Y",4&lt;$I29),0,IF(SUMPRODUCT(((BULK_ENABLED="Y")*((BULK_TIER="ALL")+(BULK_TIER=$F29))*((BULK_SKU="ALL")+(BULK_SKU=$G29))*(BULK_START&lt;=4)*(BULK_END&gt;=4)))&gt;0,IFERROR(SUMPRODUCT(((BULK_ENABLED="Y")*((BULK_TIER="ALL")+(BULK_TIER=$F29))*((BULK_SKU="ALL")+(BULK_SKU=$G29))*(BULK_START&lt;=4)*(BULK_END&gt;=4))*IFERROR(BULK_VALUE,0))/MAX(1,SUMPRODUCT(((BULK_ENABLED="Y")*((BULK_TIER="ALL")+(BULK_TIER=$F29))*((BULK_SKU="ALL")+(BULK_SKU=$G29))*(BULK_START&lt;=4)*(BULK_END&gt;=4)))),0),ROUND((INDEX(VELOCITY_TABLE,MATCH($F29,TIER_LIST,0),1))*(IF((4-$I29+1)&lt;=0,0,IF((4-$I29+1)=1,RAMP_W1,IF((4-$I29+1)=2,RAMP_W2,IF((4-$I29+1)=3,RAMP_W3,RAMP_W4PLUS)))))*(INDEX(ACTIVE_MULT_TABLE,1,1))*(1+SUMPRODUCT(SIGN(((ACT_DOOR_SCOPE="ALL")+(ACT_DOOR_SCOPE="TIER_"&amp;$F29)+(ACT_DOOR_SCOPE=$B29)))*SIGN(((ACT_SKU_SCOPE="ALL")+(ACT_SKU_SCOPE=$G29)))*(ACT_START&lt;=4)*(ACT_END&gt;=4)*IFERROR(ACT_UPLIFT-1,0)))*(1+SUMPRODUCT(SIGN(((ACT_DOOR_SCOPE="ALL")+(ACT_DOOR_SCOPE="TIER_"&amp;$F29)+(ACT_DOOR_SCOPE=$B29)))*SIGN(((ACT_SKU_SCOPE="ALL")+(ACT_SKU_SCOPE=$G29)))*(4&gt;ACT_END)*(ACT_END&gt;0)*IFERROR(ACT_POSTLIFT,0))),0)))</f>
        <v/>
      </c>
      <c r="N29" s="10">
        <f>IF(OR($H29&lt;&gt;"Y",5&lt;$I29),0,IF(SUMPRODUCT(((BULK_ENABLED="Y")*((BULK_TIER="ALL")+(BULK_TIER=$F29))*((BULK_SKU="ALL")+(BULK_SKU=$G29))*(BULK_START&lt;=5)*(BULK_END&gt;=5)))&gt;0,IFERROR(SUMPRODUCT(((BULK_ENABLED="Y")*((BULK_TIER="ALL")+(BULK_TIER=$F29))*((BULK_SKU="ALL")+(BULK_SKU=$G29))*(BULK_START&lt;=5)*(BULK_END&gt;=5))*IFERROR(BULK_VALUE,0))/MAX(1,SUMPRODUCT(((BULK_ENABLED="Y")*((BULK_TIER="ALL")+(BULK_TIER=$F29))*((BULK_SKU="ALL")+(BULK_SKU=$G29))*(BULK_START&lt;=5)*(BULK_END&gt;=5)))),0),ROUND((INDEX(VELOCITY_TABLE,MATCH($F29,TIER_LIST,0),1))*(IF((5-$I29+1)&lt;=0,0,IF((5-$I29+1)=1,RAMP_W1,IF((5-$I29+1)=2,RAMP_W2,IF((5-$I29+1)=3,RAMP_W3,RAMP_W4PLUS)))))*(INDEX(ACTIVE_MULT_TABLE,1,1))*(1+SUMPRODUCT(SIGN(((ACT_DOOR_SCOPE="ALL")+(ACT_DOOR_SCOPE="TIER_"&amp;$F29)+(ACT_DOOR_SCOPE=$B29)))*SIGN(((ACT_SKU_SCOPE="ALL")+(ACT_SKU_SCOPE=$G29)))*(ACT_START&lt;=5)*(ACT_END&gt;=5)*IFERROR(ACT_UPLIFT-1,0)))*(1+SUMPRODUCT(SIGN(((ACT_DOOR_SCOPE="ALL")+(ACT_DOOR_SCOPE="TIER_"&amp;$F29)+(ACT_DOOR_SCOPE=$B29)))*SIGN(((ACT_SKU_SCOPE="ALL")+(ACT_SKU_SCOPE=$G29)))*(5&gt;ACT_END)*(ACT_END&gt;0)*IFERROR(ACT_POSTLIFT,0))),0)))</f>
        <v/>
      </c>
      <c r="O29" s="10">
        <f>IF(OR($H29&lt;&gt;"Y",6&lt;$I29),0,IF(SUMPRODUCT(((BULK_ENABLED="Y")*((BULK_TIER="ALL")+(BULK_TIER=$F29))*((BULK_SKU="ALL")+(BULK_SKU=$G29))*(BULK_START&lt;=6)*(BULK_END&gt;=6)))&gt;0,IFERROR(SUMPRODUCT(((BULK_ENABLED="Y")*((BULK_TIER="ALL")+(BULK_TIER=$F29))*((BULK_SKU="ALL")+(BULK_SKU=$G29))*(BULK_START&lt;=6)*(BULK_END&gt;=6))*IFERROR(BULK_VALUE,0))/MAX(1,SUMPRODUCT(((BULK_ENABLED="Y")*((BULK_TIER="ALL")+(BULK_TIER=$F29))*((BULK_SKU="ALL")+(BULK_SKU=$G29))*(BULK_START&lt;=6)*(BULK_END&gt;=6)))),0),ROUND((INDEX(VELOCITY_TABLE,MATCH($F29,TIER_LIST,0),1))*(IF((6-$I29+1)&lt;=0,0,IF((6-$I29+1)=1,RAMP_W1,IF((6-$I29+1)=2,RAMP_W2,IF((6-$I29+1)=3,RAMP_W3,RAMP_W4PLUS)))))*(INDEX(ACTIVE_MULT_TABLE,1,1))*(1+SUMPRODUCT(SIGN(((ACT_DOOR_SCOPE="ALL")+(ACT_DOOR_SCOPE="TIER_"&amp;$F29)+(ACT_DOOR_SCOPE=$B29)))*SIGN(((ACT_SKU_SCOPE="ALL")+(ACT_SKU_SCOPE=$G29)))*(ACT_START&lt;=6)*(ACT_END&gt;=6)*IFERROR(ACT_UPLIFT-1,0)))*(1+SUMPRODUCT(SIGN(((ACT_DOOR_SCOPE="ALL")+(ACT_DOOR_SCOPE="TIER_"&amp;$F29)+(ACT_DOOR_SCOPE=$B29)))*SIGN(((ACT_SKU_SCOPE="ALL")+(ACT_SKU_SCOPE=$G29)))*(6&gt;ACT_END)*(ACT_END&gt;0)*IFERROR(ACT_POSTLIFT,0))),0)))</f>
        <v/>
      </c>
      <c r="P29" s="10">
        <f>IF(OR($H29&lt;&gt;"Y",7&lt;$I29),0,IF(SUMPRODUCT(((BULK_ENABLED="Y")*((BULK_TIER="ALL")+(BULK_TIER=$F29))*((BULK_SKU="ALL")+(BULK_SKU=$G29))*(BULK_START&lt;=7)*(BULK_END&gt;=7)))&gt;0,IFERROR(SUMPRODUCT(((BULK_ENABLED="Y")*((BULK_TIER="ALL")+(BULK_TIER=$F29))*((BULK_SKU="ALL")+(BULK_SKU=$G29))*(BULK_START&lt;=7)*(BULK_END&gt;=7))*IFERROR(BULK_VALUE,0))/MAX(1,SUMPRODUCT(((BULK_ENABLED="Y")*((BULK_TIER="ALL")+(BULK_TIER=$F29))*((BULK_SKU="ALL")+(BULK_SKU=$G29))*(BULK_START&lt;=7)*(BULK_END&gt;=7)))),0),ROUND((INDEX(VELOCITY_TABLE,MATCH($F29,TIER_LIST,0),1))*(IF((7-$I29+1)&lt;=0,0,IF((7-$I29+1)=1,RAMP_W1,IF((7-$I29+1)=2,RAMP_W2,IF((7-$I29+1)=3,RAMP_W3,RAMP_W4PLUS)))))*(INDEX(ACTIVE_MULT_TABLE,1,1))*(1+SUMPRODUCT(SIGN(((ACT_DOOR_SCOPE="ALL")+(ACT_DOOR_SCOPE="TIER_"&amp;$F29)+(ACT_DOOR_SCOPE=$B29)))*SIGN(((ACT_SKU_SCOPE="ALL")+(ACT_SKU_SCOPE=$G29)))*(ACT_START&lt;=7)*(ACT_END&gt;=7)*IFERROR(ACT_UPLIFT-1,0)))*(1+SUMPRODUCT(SIGN(((ACT_DOOR_SCOPE="ALL")+(ACT_DOOR_SCOPE="TIER_"&amp;$F29)+(ACT_DOOR_SCOPE=$B29)))*SIGN(((ACT_SKU_SCOPE="ALL")+(ACT_SKU_SCOPE=$G29)))*(7&gt;ACT_END)*(ACT_END&gt;0)*IFERROR(ACT_POSTLIFT,0))),0)))</f>
        <v/>
      </c>
      <c r="Q29" s="10">
        <f>IF(OR($H29&lt;&gt;"Y",8&lt;$I29),0,IF(SUMPRODUCT(((BULK_ENABLED="Y")*((BULK_TIER="ALL")+(BULK_TIER=$F29))*((BULK_SKU="ALL")+(BULK_SKU=$G29))*(BULK_START&lt;=8)*(BULK_END&gt;=8)))&gt;0,IFERROR(SUMPRODUCT(((BULK_ENABLED="Y")*((BULK_TIER="ALL")+(BULK_TIER=$F29))*((BULK_SKU="ALL")+(BULK_SKU=$G29))*(BULK_START&lt;=8)*(BULK_END&gt;=8))*IFERROR(BULK_VALUE,0))/MAX(1,SUMPRODUCT(((BULK_ENABLED="Y")*((BULK_TIER="ALL")+(BULK_TIER=$F29))*((BULK_SKU="ALL")+(BULK_SKU=$G29))*(BULK_START&lt;=8)*(BULK_END&gt;=8)))),0),ROUND((INDEX(VELOCITY_TABLE,MATCH($F29,TIER_LIST,0),1))*(IF((8-$I29+1)&lt;=0,0,IF((8-$I29+1)=1,RAMP_W1,IF((8-$I29+1)=2,RAMP_W2,IF((8-$I29+1)=3,RAMP_W3,RAMP_W4PLUS)))))*(INDEX(ACTIVE_MULT_TABLE,1,1))*(1+SUMPRODUCT(SIGN(((ACT_DOOR_SCOPE="ALL")+(ACT_DOOR_SCOPE="TIER_"&amp;$F29)+(ACT_DOOR_SCOPE=$B29)))*SIGN(((ACT_SKU_SCOPE="ALL")+(ACT_SKU_SCOPE=$G29)))*(ACT_START&lt;=8)*(ACT_END&gt;=8)*IFERROR(ACT_UPLIFT-1,0)))*(1+SUMPRODUCT(SIGN(((ACT_DOOR_SCOPE="ALL")+(ACT_DOOR_SCOPE="TIER_"&amp;$F29)+(ACT_DOOR_SCOPE=$B29)))*SIGN(((ACT_SKU_SCOPE="ALL")+(ACT_SKU_SCOPE=$G29)))*(8&gt;ACT_END)*(ACT_END&gt;0)*IFERROR(ACT_POSTLIFT,0))),0)))</f>
        <v/>
      </c>
      <c r="R29" s="10">
        <f>IF(OR($H29&lt;&gt;"Y",9&lt;$I29),0,IF(SUMPRODUCT(((BULK_ENABLED="Y")*((BULK_TIER="ALL")+(BULK_TIER=$F29))*((BULK_SKU="ALL")+(BULK_SKU=$G29))*(BULK_START&lt;=9)*(BULK_END&gt;=9)))&gt;0,IFERROR(SUMPRODUCT(((BULK_ENABLED="Y")*((BULK_TIER="ALL")+(BULK_TIER=$F29))*((BULK_SKU="ALL")+(BULK_SKU=$G29))*(BULK_START&lt;=9)*(BULK_END&gt;=9))*IFERROR(BULK_VALUE,0))/MAX(1,SUMPRODUCT(((BULK_ENABLED="Y")*((BULK_TIER="ALL")+(BULK_TIER=$F29))*((BULK_SKU="ALL")+(BULK_SKU=$G29))*(BULK_START&lt;=9)*(BULK_END&gt;=9)))),0),ROUND((INDEX(VELOCITY_TABLE,MATCH($F29,TIER_LIST,0),1))*(IF((9-$I29+1)&lt;=0,0,IF((9-$I29+1)=1,RAMP_W1,IF((9-$I29+1)=2,RAMP_W2,IF((9-$I29+1)=3,RAMP_W3,RAMP_W4PLUS)))))*(INDEX(ACTIVE_MULT_TABLE,1,1))*(1+SUMPRODUCT(SIGN(((ACT_DOOR_SCOPE="ALL")+(ACT_DOOR_SCOPE="TIER_"&amp;$F29)+(ACT_DOOR_SCOPE=$B29)))*SIGN(((ACT_SKU_SCOPE="ALL")+(ACT_SKU_SCOPE=$G29)))*(ACT_START&lt;=9)*(ACT_END&gt;=9)*IFERROR(ACT_UPLIFT-1,0)))*(1+SUMPRODUCT(SIGN(((ACT_DOOR_SCOPE="ALL")+(ACT_DOOR_SCOPE="TIER_"&amp;$F29)+(ACT_DOOR_SCOPE=$B29)))*SIGN(((ACT_SKU_SCOPE="ALL")+(ACT_SKU_SCOPE=$G29)))*(9&gt;ACT_END)*(ACT_END&gt;0)*IFERROR(ACT_POSTLIFT,0))),0)))</f>
        <v/>
      </c>
      <c r="S29" s="10">
        <f>IF(OR($H29&lt;&gt;"Y",10&lt;$I29),0,IF(SUMPRODUCT(((BULK_ENABLED="Y")*((BULK_TIER="ALL")+(BULK_TIER=$F29))*((BULK_SKU="ALL")+(BULK_SKU=$G29))*(BULK_START&lt;=10)*(BULK_END&gt;=10)))&gt;0,IFERROR(SUMPRODUCT(((BULK_ENABLED="Y")*((BULK_TIER="ALL")+(BULK_TIER=$F29))*((BULK_SKU="ALL")+(BULK_SKU=$G29))*(BULK_START&lt;=10)*(BULK_END&gt;=10))*IFERROR(BULK_VALUE,0))/MAX(1,SUMPRODUCT(((BULK_ENABLED="Y")*((BULK_TIER="ALL")+(BULK_TIER=$F29))*((BULK_SKU="ALL")+(BULK_SKU=$G29))*(BULK_START&lt;=10)*(BULK_END&gt;=10)))),0),ROUND((INDEX(VELOCITY_TABLE,MATCH($F29,TIER_LIST,0),1))*(IF((10-$I29+1)&lt;=0,0,IF((10-$I29+1)=1,RAMP_W1,IF((10-$I29+1)=2,RAMP_W2,IF((10-$I29+1)=3,RAMP_W3,RAMP_W4PLUS)))))*(INDEX(ACTIVE_MULT_TABLE,1,1))*(1+SUMPRODUCT(SIGN(((ACT_DOOR_SCOPE="ALL")+(ACT_DOOR_SCOPE="TIER_"&amp;$F29)+(ACT_DOOR_SCOPE=$B29)))*SIGN(((ACT_SKU_SCOPE="ALL")+(ACT_SKU_SCOPE=$G29)))*(ACT_START&lt;=10)*(ACT_END&gt;=10)*IFERROR(ACT_UPLIFT-1,0)))*(1+SUMPRODUCT(SIGN(((ACT_DOOR_SCOPE="ALL")+(ACT_DOOR_SCOPE="TIER_"&amp;$F29)+(ACT_DOOR_SCOPE=$B29)))*SIGN(((ACT_SKU_SCOPE="ALL")+(ACT_SKU_SCOPE=$G29)))*(10&gt;ACT_END)*(ACT_END&gt;0)*IFERROR(ACT_POSTLIFT,0))),0)))</f>
        <v/>
      </c>
      <c r="T29" s="10">
        <f>IF(OR($H29&lt;&gt;"Y",11&lt;$I29),0,IF(SUMPRODUCT(((BULK_ENABLED="Y")*((BULK_TIER="ALL")+(BULK_TIER=$F29))*((BULK_SKU="ALL")+(BULK_SKU=$G29))*(BULK_START&lt;=11)*(BULK_END&gt;=11)))&gt;0,IFERROR(SUMPRODUCT(((BULK_ENABLED="Y")*((BULK_TIER="ALL")+(BULK_TIER=$F29))*((BULK_SKU="ALL")+(BULK_SKU=$G29))*(BULK_START&lt;=11)*(BULK_END&gt;=11))*IFERROR(BULK_VALUE,0))/MAX(1,SUMPRODUCT(((BULK_ENABLED="Y")*((BULK_TIER="ALL")+(BULK_TIER=$F29))*((BULK_SKU="ALL")+(BULK_SKU=$G29))*(BULK_START&lt;=11)*(BULK_END&gt;=11)))),0),ROUND((INDEX(VELOCITY_TABLE,MATCH($F29,TIER_LIST,0),1))*(IF((11-$I29+1)&lt;=0,0,IF((11-$I29+1)=1,RAMP_W1,IF((11-$I29+1)=2,RAMP_W2,IF((11-$I29+1)=3,RAMP_W3,RAMP_W4PLUS)))))*(INDEX(ACTIVE_MULT_TABLE,1,1))*(1+SUMPRODUCT(SIGN(((ACT_DOOR_SCOPE="ALL")+(ACT_DOOR_SCOPE="TIER_"&amp;$F29)+(ACT_DOOR_SCOPE=$B29)))*SIGN(((ACT_SKU_SCOPE="ALL")+(ACT_SKU_SCOPE=$G29)))*(ACT_START&lt;=11)*(ACT_END&gt;=11)*IFERROR(ACT_UPLIFT-1,0)))*(1+SUMPRODUCT(SIGN(((ACT_DOOR_SCOPE="ALL")+(ACT_DOOR_SCOPE="TIER_"&amp;$F29)+(ACT_DOOR_SCOPE=$B29)))*SIGN(((ACT_SKU_SCOPE="ALL")+(ACT_SKU_SCOPE=$G29)))*(11&gt;ACT_END)*(ACT_END&gt;0)*IFERROR(ACT_POSTLIFT,0))),0)))</f>
        <v/>
      </c>
      <c r="U29" s="10">
        <f>IF(OR($H29&lt;&gt;"Y",12&lt;$I29),0,IF(SUMPRODUCT(((BULK_ENABLED="Y")*((BULK_TIER="ALL")+(BULK_TIER=$F29))*((BULK_SKU="ALL")+(BULK_SKU=$G29))*(BULK_START&lt;=12)*(BULK_END&gt;=12)))&gt;0,IFERROR(SUMPRODUCT(((BULK_ENABLED="Y")*((BULK_TIER="ALL")+(BULK_TIER=$F29))*((BULK_SKU="ALL")+(BULK_SKU=$G29))*(BULK_START&lt;=12)*(BULK_END&gt;=12))*IFERROR(BULK_VALUE,0))/MAX(1,SUMPRODUCT(((BULK_ENABLED="Y")*((BULK_TIER="ALL")+(BULK_TIER=$F29))*((BULK_SKU="ALL")+(BULK_SKU=$G29))*(BULK_START&lt;=12)*(BULK_END&gt;=12)))),0),ROUND((INDEX(VELOCITY_TABLE,MATCH($F29,TIER_LIST,0),1))*(IF((12-$I29+1)&lt;=0,0,IF((12-$I29+1)=1,RAMP_W1,IF((12-$I29+1)=2,RAMP_W2,IF((12-$I29+1)=3,RAMP_W3,RAMP_W4PLUS)))))*(INDEX(ACTIVE_MULT_TABLE,1,1))*(1+SUMPRODUCT(SIGN(((ACT_DOOR_SCOPE="ALL")+(ACT_DOOR_SCOPE="TIER_"&amp;$F29)+(ACT_DOOR_SCOPE=$B29)))*SIGN(((ACT_SKU_SCOPE="ALL")+(ACT_SKU_SCOPE=$G29)))*(ACT_START&lt;=12)*(ACT_END&gt;=12)*IFERROR(ACT_UPLIFT-1,0)))*(1+SUMPRODUCT(SIGN(((ACT_DOOR_SCOPE="ALL")+(ACT_DOOR_SCOPE="TIER_"&amp;$F29)+(ACT_DOOR_SCOPE=$B29)))*SIGN(((ACT_SKU_SCOPE="ALL")+(ACT_SKU_SCOPE=$G29)))*(12&gt;ACT_END)*(ACT_END&gt;0)*IFERROR(ACT_POSTLIFT,0))),0)))</f>
        <v/>
      </c>
      <c r="V29" s="10">
        <f>IF(OR($H29&lt;&gt;"Y",13&lt;$I29),0,IF(SUMPRODUCT(((BULK_ENABLED="Y")*((BULK_TIER="ALL")+(BULK_TIER=$F29))*((BULK_SKU="ALL")+(BULK_SKU=$G29))*(BULK_START&lt;=13)*(BULK_END&gt;=13)))&gt;0,IFERROR(SUMPRODUCT(((BULK_ENABLED="Y")*((BULK_TIER="ALL")+(BULK_TIER=$F29))*((BULK_SKU="ALL")+(BULK_SKU=$G29))*(BULK_START&lt;=13)*(BULK_END&gt;=13))*IFERROR(BULK_VALUE,0))/MAX(1,SUMPRODUCT(((BULK_ENABLED="Y")*((BULK_TIER="ALL")+(BULK_TIER=$F29))*((BULK_SKU="ALL")+(BULK_SKU=$G29))*(BULK_START&lt;=13)*(BULK_END&gt;=13)))),0),ROUND((INDEX(VELOCITY_TABLE,MATCH($F29,TIER_LIST,0),1))*(IF((13-$I29+1)&lt;=0,0,IF((13-$I29+1)=1,RAMP_W1,IF((13-$I29+1)=2,RAMP_W2,IF((13-$I29+1)=3,RAMP_W3,RAMP_W4PLUS)))))*(INDEX(ACTIVE_MULT_TABLE,1,1))*(1+SUMPRODUCT(SIGN(((ACT_DOOR_SCOPE="ALL")+(ACT_DOOR_SCOPE="TIER_"&amp;$F29)+(ACT_DOOR_SCOPE=$B29)))*SIGN(((ACT_SKU_SCOPE="ALL")+(ACT_SKU_SCOPE=$G29)))*(ACT_START&lt;=13)*(ACT_END&gt;=13)*IFERROR(ACT_UPLIFT-1,0)))*(1+SUMPRODUCT(SIGN(((ACT_DOOR_SCOPE="ALL")+(ACT_DOOR_SCOPE="TIER_"&amp;$F29)+(ACT_DOOR_SCOPE=$B29)))*SIGN(((ACT_SKU_SCOPE="ALL")+(ACT_SKU_SCOPE=$G29)))*(13&gt;ACT_END)*(ACT_END&gt;0)*IFERROR(ACT_POSTLIFT,0))),0)))</f>
        <v/>
      </c>
    </row>
    <row r="30">
      <c r="A30" t="inlineStr">
        <is>
          <t>R0026</t>
        </is>
      </c>
      <c r="B30">
        <f>Doors!$A$13</f>
        <v/>
      </c>
      <c r="C30">
        <f>Doors!$C$13</f>
        <v/>
      </c>
      <c r="D30">
        <f>Doors!$B$13</f>
        <v/>
      </c>
      <c r="E30">
        <f>Doors!$E$13</f>
        <v/>
      </c>
      <c r="F30">
        <f>Doors!$F$13</f>
        <v/>
      </c>
      <c r="G30" t="inlineStr">
        <is>
          <t>Pineapple Passion Fruit</t>
        </is>
      </c>
      <c r="H30">
        <f>Doors!$H$13</f>
        <v/>
      </c>
      <c r="I30">
        <f>Doors!$J$13</f>
        <v/>
      </c>
      <c r="J30" s="10">
        <f>IF(OR($H30&lt;&gt;"Y",1&lt;$I30),0,IF(SUMPRODUCT(((BULK_ENABLED="Y")*((BULK_TIER="ALL")+(BULK_TIER=$F30))*((BULK_SKU="ALL")+(BULK_SKU=$G30))*(BULK_START&lt;=1)*(BULK_END&gt;=1)))&gt;0,IFERROR(SUMPRODUCT(((BULK_ENABLED="Y")*((BULK_TIER="ALL")+(BULK_TIER=$F30))*((BULK_SKU="ALL")+(BULK_SKU=$G30))*(BULK_START&lt;=1)*(BULK_END&gt;=1))*IFERROR(BULK_VALUE,0))/MAX(1,SUMPRODUCT(((BULK_ENABLED="Y")*((BULK_TIER="ALL")+(BULK_TIER=$F30))*((BULK_SKU="ALL")+(BULK_SKU=$G30))*(BULK_START&lt;=1)*(BULK_END&gt;=1)))),0),ROUND((INDEX(VELOCITY_TABLE,MATCH($F30,TIER_LIST,0),2))*(IF((1-$I30+1)&lt;=0,0,IF((1-$I30+1)=1,RAMP_W1,IF((1-$I30+1)=2,RAMP_W2,IF((1-$I30+1)=3,RAMP_W3,RAMP_W4PLUS)))))*(INDEX(ACTIVE_MULT_TABLE,2,1))*(1+SUMPRODUCT(SIGN(((ACT_DOOR_SCOPE="ALL")+(ACT_DOOR_SCOPE="TIER_"&amp;$F30)+(ACT_DOOR_SCOPE=$B30)))*SIGN(((ACT_SKU_SCOPE="ALL")+(ACT_SKU_SCOPE=$G30)))*(ACT_START&lt;=1)*(ACT_END&gt;=1)*IFERROR(ACT_UPLIFT-1,0)))*(1+SUMPRODUCT(SIGN(((ACT_DOOR_SCOPE="ALL")+(ACT_DOOR_SCOPE="TIER_"&amp;$F30)+(ACT_DOOR_SCOPE=$B30)))*SIGN(((ACT_SKU_SCOPE="ALL")+(ACT_SKU_SCOPE=$G30)))*(1&gt;ACT_END)*(ACT_END&gt;0)*IFERROR(ACT_POSTLIFT,0))),0)))</f>
        <v/>
      </c>
      <c r="K30" s="10">
        <f>IF(OR($H30&lt;&gt;"Y",2&lt;$I30),0,IF(SUMPRODUCT(((BULK_ENABLED="Y")*((BULK_TIER="ALL")+(BULK_TIER=$F30))*((BULK_SKU="ALL")+(BULK_SKU=$G30))*(BULK_START&lt;=2)*(BULK_END&gt;=2)))&gt;0,IFERROR(SUMPRODUCT(((BULK_ENABLED="Y")*((BULK_TIER="ALL")+(BULK_TIER=$F30))*((BULK_SKU="ALL")+(BULK_SKU=$G30))*(BULK_START&lt;=2)*(BULK_END&gt;=2))*IFERROR(BULK_VALUE,0))/MAX(1,SUMPRODUCT(((BULK_ENABLED="Y")*((BULK_TIER="ALL")+(BULK_TIER=$F30))*((BULK_SKU="ALL")+(BULK_SKU=$G30))*(BULK_START&lt;=2)*(BULK_END&gt;=2)))),0),ROUND((INDEX(VELOCITY_TABLE,MATCH($F30,TIER_LIST,0),2))*(IF((2-$I30+1)&lt;=0,0,IF((2-$I30+1)=1,RAMP_W1,IF((2-$I30+1)=2,RAMP_W2,IF((2-$I30+1)=3,RAMP_W3,RAMP_W4PLUS)))))*(INDEX(ACTIVE_MULT_TABLE,2,1))*(1+SUMPRODUCT(SIGN(((ACT_DOOR_SCOPE="ALL")+(ACT_DOOR_SCOPE="TIER_"&amp;$F30)+(ACT_DOOR_SCOPE=$B30)))*SIGN(((ACT_SKU_SCOPE="ALL")+(ACT_SKU_SCOPE=$G30)))*(ACT_START&lt;=2)*(ACT_END&gt;=2)*IFERROR(ACT_UPLIFT-1,0)))*(1+SUMPRODUCT(SIGN(((ACT_DOOR_SCOPE="ALL")+(ACT_DOOR_SCOPE="TIER_"&amp;$F30)+(ACT_DOOR_SCOPE=$B30)))*SIGN(((ACT_SKU_SCOPE="ALL")+(ACT_SKU_SCOPE=$G30)))*(2&gt;ACT_END)*(ACT_END&gt;0)*IFERROR(ACT_POSTLIFT,0))),0)))</f>
        <v/>
      </c>
      <c r="L30" s="10">
        <f>IF(OR($H30&lt;&gt;"Y",3&lt;$I30),0,IF(SUMPRODUCT(((BULK_ENABLED="Y")*((BULK_TIER="ALL")+(BULK_TIER=$F30))*((BULK_SKU="ALL")+(BULK_SKU=$G30))*(BULK_START&lt;=3)*(BULK_END&gt;=3)))&gt;0,IFERROR(SUMPRODUCT(((BULK_ENABLED="Y")*((BULK_TIER="ALL")+(BULK_TIER=$F30))*((BULK_SKU="ALL")+(BULK_SKU=$G30))*(BULK_START&lt;=3)*(BULK_END&gt;=3))*IFERROR(BULK_VALUE,0))/MAX(1,SUMPRODUCT(((BULK_ENABLED="Y")*((BULK_TIER="ALL")+(BULK_TIER=$F30))*((BULK_SKU="ALL")+(BULK_SKU=$G30))*(BULK_START&lt;=3)*(BULK_END&gt;=3)))),0),ROUND((INDEX(VELOCITY_TABLE,MATCH($F30,TIER_LIST,0),2))*(IF((3-$I30+1)&lt;=0,0,IF((3-$I30+1)=1,RAMP_W1,IF((3-$I30+1)=2,RAMP_W2,IF((3-$I30+1)=3,RAMP_W3,RAMP_W4PLUS)))))*(INDEX(ACTIVE_MULT_TABLE,2,1))*(1+SUMPRODUCT(SIGN(((ACT_DOOR_SCOPE="ALL")+(ACT_DOOR_SCOPE="TIER_"&amp;$F30)+(ACT_DOOR_SCOPE=$B30)))*SIGN(((ACT_SKU_SCOPE="ALL")+(ACT_SKU_SCOPE=$G30)))*(ACT_START&lt;=3)*(ACT_END&gt;=3)*IFERROR(ACT_UPLIFT-1,0)))*(1+SUMPRODUCT(SIGN(((ACT_DOOR_SCOPE="ALL")+(ACT_DOOR_SCOPE="TIER_"&amp;$F30)+(ACT_DOOR_SCOPE=$B30)))*SIGN(((ACT_SKU_SCOPE="ALL")+(ACT_SKU_SCOPE=$G30)))*(3&gt;ACT_END)*(ACT_END&gt;0)*IFERROR(ACT_POSTLIFT,0))),0)))</f>
        <v/>
      </c>
      <c r="M30" s="10">
        <f>IF(OR($H30&lt;&gt;"Y",4&lt;$I30),0,IF(SUMPRODUCT(((BULK_ENABLED="Y")*((BULK_TIER="ALL")+(BULK_TIER=$F30))*((BULK_SKU="ALL")+(BULK_SKU=$G30))*(BULK_START&lt;=4)*(BULK_END&gt;=4)))&gt;0,IFERROR(SUMPRODUCT(((BULK_ENABLED="Y")*((BULK_TIER="ALL")+(BULK_TIER=$F30))*((BULK_SKU="ALL")+(BULK_SKU=$G30))*(BULK_START&lt;=4)*(BULK_END&gt;=4))*IFERROR(BULK_VALUE,0))/MAX(1,SUMPRODUCT(((BULK_ENABLED="Y")*((BULK_TIER="ALL")+(BULK_TIER=$F30))*((BULK_SKU="ALL")+(BULK_SKU=$G30))*(BULK_START&lt;=4)*(BULK_END&gt;=4)))),0),ROUND((INDEX(VELOCITY_TABLE,MATCH($F30,TIER_LIST,0),2))*(IF((4-$I30+1)&lt;=0,0,IF((4-$I30+1)=1,RAMP_W1,IF((4-$I30+1)=2,RAMP_W2,IF((4-$I30+1)=3,RAMP_W3,RAMP_W4PLUS)))))*(INDEX(ACTIVE_MULT_TABLE,2,1))*(1+SUMPRODUCT(SIGN(((ACT_DOOR_SCOPE="ALL")+(ACT_DOOR_SCOPE="TIER_"&amp;$F30)+(ACT_DOOR_SCOPE=$B30)))*SIGN(((ACT_SKU_SCOPE="ALL")+(ACT_SKU_SCOPE=$G30)))*(ACT_START&lt;=4)*(ACT_END&gt;=4)*IFERROR(ACT_UPLIFT-1,0)))*(1+SUMPRODUCT(SIGN(((ACT_DOOR_SCOPE="ALL")+(ACT_DOOR_SCOPE="TIER_"&amp;$F30)+(ACT_DOOR_SCOPE=$B30)))*SIGN(((ACT_SKU_SCOPE="ALL")+(ACT_SKU_SCOPE=$G30)))*(4&gt;ACT_END)*(ACT_END&gt;0)*IFERROR(ACT_POSTLIFT,0))),0)))</f>
        <v/>
      </c>
      <c r="N30" s="10">
        <f>IF(OR($H30&lt;&gt;"Y",5&lt;$I30),0,IF(SUMPRODUCT(((BULK_ENABLED="Y")*((BULK_TIER="ALL")+(BULK_TIER=$F30))*((BULK_SKU="ALL")+(BULK_SKU=$G30))*(BULK_START&lt;=5)*(BULK_END&gt;=5)))&gt;0,IFERROR(SUMPRODUCT(((BULK_ENABLED="Y")*((BULK_TIER="ALL")+(BULK_TIER=$F30))*((BULK_SKU="ALL")+(BULK_SKU=$G30))*(BULK_START&lt;=5)*(BULK_END&gt;=5))*IFERROR(BULK_VALUE,0))/MAX(1,SUMPRODUCT(((BULK_ENABLED="Y")*((BULK_TIER="ALL")+(BULK_TIER=$F30))*((BULK_SKU="ALL")+(BULK_SKU=$G30))*(BULK_START&lt;=5)*(BULK_END&gt;=5)))),0),ROUND((INDEX(VELOCITY_TABLE,MATCH($F30,TIER_LIST,0),2))*(IF((5-$I30+1)&lt;=0,0,IF((5-$I30+1)=1,RAMP_W1,IF((5-$I30+1)=2,RAMP_W2,IF((5-$I30+1)=3,RAMP_W3,RAMP_W4PLUS)))))*(INDEX(ACTIVE_MULT_TABLE,2,1))*(1+SUMPRODUCT(SIGN(((ACT_DOOR_SCOPE="ALL")+(ACT_DOOR_SCOPE="TIER_"&amp;$F30)+(ACT_DOOR_SCOPE=$B30)))*SIGN(((ACT_SKU_SCOPE="ALL")+(ACT_SKU_SCOPE=$G30)))*(ACT_START&lt;=5)*(ACT_END&gt;=5)*IFERROR(ACT_UPLIFT-1,0)))*(1+SUMPRODUCT(SIGN(((ACT_DOOR_SCOPE="ALL")+(ACT_DOOR_SCOPE="TIER_"&amp;$F30)+(ACT_DOOR_SCOPE=$B30)))*SIGN(((ACT_SKU_SCOPE="ALL")+(ACT_SKU_SCOPE=$G30)))*(5&gt;ACT_END)*(ACT_END&gt;0)*IFERROR(ACT_POSTLIFT,0))),0)))</f>
        <v/>
      </c>
      <c r="O30" s="10">
        <f>IF(OR($H30&lt;&gt;"Y",6&lt;$I30),0,IF(SUMPRODUCT(((BULK_ENABLED="Y")*((BULK_TIER="ALL")+(BULK_TIER=$F30))*((BULK_SKU="ALL")+(BULK_SKU=$G30))*(BULK_START&lt;=6)*(BULK_END&gt;=6)))&gt;0,IFERROR(SUMPRODUCT(((BULK_ENABLED="Y")*((BULK_TIER="ALL")+(BULK_TIER=$F30))*((BULK_SKU="ALL")+(BULK_SKU=$G30))*(BULK_START&lt;=6)*(BULK_END&gt;=6))*IFERROR(BULK_VALUE,0))/MAX(1,SUMPRODUCT(((BULK_ENABLED="Y")*((BULK_TIER="ALL")+(BULK_TIER=$F30))*((BULK_SKU="ALL")+(BULK_SKU=$G30))*(BULK_START&lt;=6)*(BULK_END&gt;=6)))),0),ROUND((INDEX(VELOCITY_TABLE,MATCH($F30,TIER_LIST,0),2))*(IF((6-$I30+1)&lt;=0,0,IF((6-$I30+1)=1,RAMP_W1,IF((6-$I30+1)=2,RAMP_W2,IF((6-$I30+1)=3,RAMP_W3,RAMP_W4PLUS)))))*(INDEX(ACTIVE_MULT_TABLE,2,1))*(1+SUMPRODUCT(SIGN(((ACT_DOOR_SCOPE="ALL")+(ACT_DOOR_SCOPE="TIER_"&amp;$F30)+(ACT_DOOR_SCOPE=$B30)))*SIGN(((ACT_SKU_SCOPE="ALL")+(ACT_SKU_SCOPE=$G30)))*(ACT_START&lt;=6)*(ACT_END&gt;=6)*IFERROR(ACT_UPLIFT-1,0)))*(1+SUMPRODUCT(SIGN(((ACT_DOOR_SCOPE="ALL")+(ACT_DOOR_SCOPE="TIER_"&amp;$F30)+(ACT_DOOR_SCOPE=$B30)))*SIGN(((ACT_SKU_SCOPE="ALL")+(ACT_SKU_SCOPE=$G30)))*(6&gt;ACT_END)*(ACT_END&gt;0)*IFERROR(ACT_POSTLIFT,0))),0)))</f>
        <v/>
      </c>
      <c r="P30" s="10">
        <f>IF(OR($H30&lt;&gt;"Y",7&lt;$I30),0,IF(SUMPRODUCT(((BULK_ENABLED="Y")*((BULK_TIER="ALL")+(BULK_TIER=$F30))*((BULK_SKU="ALL")+(BULK_SKU=$G30))*(BULK_START&lt;=7)*(BULK_END&gt;=7)))&gt;0,IFERROR(SUMPRODUCT(((BULK_ENABLED="Y")*((BULK_TIER="ALL")+(BULK_TIER=$F30))*((BULK_SKU="ALL")+(BULK_SKU=$G30))*(BULK_START&lt;=7)*(BULK_END&gt;=7))*IFERROR(BULK_VALUE,0))/MAX(1,SUMPRODUCT(((BULK_ENABLED="Y")*((BULK_TIER="ALL")+(BULK_TIER=$F30))*((BULK_SKU="ALL")+(BULK_SKU=$G30))*(BULK_START&lt;=7)*(BULK_END&gt;=7)))),0),ROUND((INDEX(VELOCITY_TABLE,MATCH($F30,TIER_LIST,0),2))*(IF((7-$I30+1)&lt;=0,0,IF((7-$I30+1)=1,RAMP_W1,IF((7-$I30+1)=2,RAMP_W2,IF((7-$I30+1)=3,RAMP_W3,RAMP_W4PLUS)))))*(INDEX(ACTIVE_MULT_TABLE,2,1))*(1+SUMPRODUCT(SIGN(((ACT_DOOR_SCOPE="ALL")+(ACT_DOOR_SCOPE="TIER_"&amp;$F30)+(ACT_DOOR_SCOPE=$B30)))*SIGN(((ACT_SKU_SCOPE="ALL")+(ACT_SKU_SCOPE=$G30)))*(ACT_START&lt;=7)*(ACT_END&gt;=7)*IFERROR(ACT_UPLIFT-1,0)))*(1+SUMPRODUCT(SIGN(((ACT_DOOR_SCOPE="ALL")+(ACT_DOOR_SCOPE="TIER_"&amp;$F30)+(ACT_DOOR_SCOPE=$B30)))*SIGN(((ACT_SKU_SCOPE="ALL")+(ACT_SKU_SCOPE=$G30)))*(7&gt;ACT_END)*(ACT_END&gt;0)*IFERROR(ACT_POSTLIFT,0))),0)))</f>
        <v/>
      </c>
      <c r="Q30" s="10">
        <f>IF(OR($H30&lt;&gt;"Y",8&lt;$I30),0,IF(SUMPRODUCT(((BULK_ENABLED="Y")*((BULK_TIER="ALL")+(BULK_TIER=$F30))*((BULK_SKU="ALL")+(BULK_SKU=$G30))*(BULK_START&lt;=8)*(BULK_END&gt;=8)))&gt;0,IFERROR(SUMPRODUCT(((BULK_ENABLED="Y")*((BULK_TIER="ALL")+(BULK_TIER=$F30))*((BULK_SKU="ALL")+(BULK_SKU=$G30))*(BULK_START&lt;=8)*(BULK_END&gt;=8))*IFERROR(BULK_VALUE,0))/MAX(1,SUMPRODUCT(((BULK_ENABLED="Y")*((BULK_TIER="ALL")+(BULK_TIER=$F30))*((BULK_SKU="ALL")+(BULK_SKU=$G30))*(BULK_START&lt;=8)*(BULK_END&gt;=8)))),0),ROUND((INDEX(VELOCITY_TABLE,MATCH($F30,TIER_LIST,0),2))*(IF((8-$I30+1)&lt;=0,0,IF((8-$I30+1)=1,RAMP_W1,IF((8-$I30+1)=2,RAMP_W2,IF((8-$I30+1)=3,RAMP_W3,RAMP_W4PLUS)))))*(INDEX(ACTIVE_MULT_TABLE,2,1))*(1+SUMPRODUCT(SIGN(((ACT_DOOR_SCOPE="ALL")+(ACT_DOOR_SCOPE="TIER_"&amp;$F30)+(ACT_DOOR_SCOPE=$B30)))*SIGN(((ACT_SKU_SCOPE="ALL")+(ACT_SKU_SCOPE=$G30)))*(ACT_START&lt;=8)*(ACT_END&gt;=8)*IFERROR(ACT_UPLIFT-1,0)))*(1+SUMPRODUCT(SIGN(((ACT_DOOR_SCOPE="ALL")+(ACT_DOOR_SCOPE="TIER_"&amp;$F30)+(ACT_DOOR_SCOPE=$B30)))*SIGN(((ACT_SKU_SCOPE="ALL")+(ACT_SKU_SCOPE=$G30)))*(8&gt;ACT_END)*(ACT_END&gt;0)*IFERROR(ACT_POSTLIFT,0))),0)))</f>
        <v/>
      </c>
      <c r="R30" s="10">
        <f>IF(OR($H30&lt;&gt;"Y",9&lt;$I30),0,IF(SUMPRODUCT(((BULK_ENABLED="Y")*((BULK_TIER="ALL")+(BULK_TIER=$F30))*((BULK_SKU="ALL")+(BULK_SKU=$G30))*(BULK_START&lt;=9)*(BULK_END&gt;=9)))&gt;0,IFERROR(SUMPRODUCT(((BULK_ENABLED="Y")*((BULK_TIER="ALL")+(BULK_TIER=$F30))*((BULK_SKU="ALL")+(BULK_SKU=$G30))*(BULK_START&lt;=9)*(BULK_END&gt;=9))*IFERROR(BULK_VALUE,0))/MAX(1,SUMPRODUCT(((BULK_ENABLED="Y")*((BULK_TIER="ALL")+(BULK_TIER=$F30))*((BULK_SKU="ALL")+(BULK_SKU=$G30))*(BULK_START&lt;=9)*(BULK_END&gt;=9)))),0),ROUND((INDEX(VELOCITY_TABLE,MATCH($F30,TIER_LIST,0),2))*(IF((9-$I30+1)&lt;=0,0,IF((9-$I30+1)=1,RAMP_W1,IF((9-$I30+1)=2,RAMP_W2,IF((9-$I30+1)=3,RAMP_W3,RAMP_W4PLUS)))))*(INDEX(ACTIVE_MULT_TABLE,2,1))*(1+SUMPRODUCT(SIGN(((ACT_DOOR_SCOPE="ALL")+(ACT_DOOR_SCOPE="TIER_"&amp;$F30)+(ACT_DOOR_SCOPE=$B30)))*SIGN(((ACT_SKU_SCOPE="ALL")+(ACT_SKU_SCOPE=$G30)))*(ACT_START&lt;=9)*(ACT_END&gt;=9)*IFERROR(ACT_UPLIFT-1,0)))*(1+SUMPRODUCT(SIGN(((ACT_DOOR_SCOPE="ALL")+(ACT_DOOR_SCOPE="TIER_"&amp;$F30)+(ACT_DOOR_SCOPE=$B30)))*SIGN(((ACT_SKU_SCOPE="ALL")+(ACT_SKU_SCOPE=$G30)))*(9&gt;ACT_END)*(ACT_END&gt;0)*IFERROR(ACT_POSTLIFT,0))),0)))</f>
        <v/>
      </c>
      <c r="S30" s="10">
        <f>IF(OR($H30&lt;&gt;"Y",10&lt;$I30),0,IF(SUMPRODUCT(((BULK_ENABLED="Y")*((BULK_TIER="ALL")+(BULK_TIER=$F30))*((BULK_SKU="ALL")+(BULK_SKU=$G30))*(BULK_START&lt;=10)*(BULK_END&gt;=10)))&gt;0,IFERROR(SUMPRODUCT(((BULK_ENABLED="Y")*((BULK_TIER="ALL")+(BULK_TIER=$F30))*((BULK_SKU="ALL")+(BULK_SKU=$G30))*(BULK_START&lt;=10)*(BULK_END&gt;=10))*IFERROR(BULK_VALUE,0))/MAX(1,SUMPRODUCT(((BULK_ENABLED="Y")*((BULK_TIER="ALL")+(BULK_TIER=$F30))*((BULK_SKU="ALL")+(BULK_SKU=$G30))*(BULK_START&lt;=10)*(BULK_END&gt;=10)))),0),ROUND((INDEX(VELOCITY_TABLE,MATCH($F30,TIER_LIST,0),2))*(IF((10-$I30+1)&lt;=0,0,IF((10-$I30+1)=1,RAMP_W1,IF((10-$I30+1)=2,RAMP_W2,IF((10-$I30+1)=3,RAMP_W3,RAMP_W4PLUS)))))*(INDEX(ACTIVE_MULT_TABLE,2,1))*(1+SUMPRODUCT(SIGN(((ACT_DOOR_SCOPE="ALL")+(ACT_DOOR_SCOPE="TIER_"&amp;$F30)+(ACT_DOOR_SCOPE=$B30)))*SIGN(((ACT_SKU_SCOPE="ALL")+(ACT_SKU_SCOPE=$G30)))*(ACT_START&lt;=10)*(ACT_END&gt;=10)*IFERROR(ACT_UPLIFT-1,0)))*(1+SUMPRODUCT(SIGN(((ACT_DOOR_SCOPE="ALL")+(ACT_DOOR_SCOPE="TIER_"&amp;$F30)+(ACT_DOOR_SCOPE=$B30)))*SIGN(((ACT_SKU_SCOPE="ALL")+(ACT_SKU_SCOPE=$G30)))*(10&gt;ACT_END)*(ACT_END&gt;0)*IFERROR(ACT_POSTLIFT,0))),0)))</f>
        <v/>
      </c>
      <c r="T30" s="10">
        <f>IF(OR($H30&lt;&gt;"Y",11&lt;$I30),0,IF(SUMPRODUCT(((BULK_ENABLED="Y")*((BULK_TIER="ALL")+(BULK_TIER=$F30))*((BULK_SKU="ALL")+(BULK_SKU=$G30))*(BULK_START&lt;=11)*(BULK_END&gt;=11)))&gt;0,IFERROR(SUMPRODUCT(((BULK_ENABLED="Y")*((BULK_TIER="ALL")+(BULK_TIER=$F30))*((BULK_SKU="ALL")+(BULK_SKU=$G30))*(BULK_START&lt;=11)*(BULK_END&gt;=11))*IFERROR(BULK_VALUE,0))/MAX(1,SUMPRODUCT(((BULK_ENABLED="Y")*((BULK_TIER="ALL")+(BULK_TIER=$F30))*((BULK_SKU="ALL")+(BULK_SKU=$G30))*(BULK_START&lt;=11)*(BULK_END&gt;=11)))),0),ROUND((INDEX(VELOCITY_TABLE,MATCH($F30,TIER_LIST,0),2))*(IF((11-$I30+1)&lt;=0,0,IF((11-$I30+1)=1,RAMP_W1,IF((11-$I30+1)=2,RAMP_W2,IF((11-$I30+1)=3,RAMP_W3,RAMP_W4PLUS)))))*(INDEX(ACTIVE_MULT_TABLE,2,1))*(1+SUMPRODUCT(SIGN(((ACT_DOOR_SCOPE="ALL")+(ACT_DOOR_SCOPE="TIER_"&amp;$F30)+(ACT_DOOR_SCOPE=$B30)))*SIGN(((ACT_SKU_SCOPE="ALL")+(ACT_SKU_SCOPE=$G30)))*(ACT_START&lt;=11)*(ACT_END&gt;=11)*IFERROR(ACT_UPLIFT-1,0)))*(1+SUMPRODUCT(SIGN(((ACT_DOOR_SCOPE="ALL")+(ACT_DOOR_SCOPE="TIER_"&amp;$F30)+(ACT_DOOR_SCOPE=$B30)))*SIGN(((ACT_SKU_SCOPE="ALL")+(ACT_SKU_SCOPE=$G30)))*(11&gt;ACT_END)*(ACT_END&gt;0)*IFERROR(ACT_POSTLIFT,0))),0)))</f>
        <v/>
      </c>
      <c r="U30" s="10">
        <f>IF(OR($H30&lt;&gt;"Y",12&lt;$I30),0,IF(SUMPRODUCT(((BULK_ENABLED="Y")*((BULK_TIER="ALL")+(BULK_TIER=$F30))*((BULK_SKU="ALL")+(BULK_SKU=$G30))*(BULK_START&lt;=12)*(BULK_END&gt;=12)))&gt;0,IFERROR(SUMPRODUCT(((BULK_ENABLED="Y")*((BULK_TIER="ALL")+(BULK_TIER=$F30))*((BULK_SKU="ALL")+(BULK_SKU=$G30))*(BULK_START&lt;=12)*(BULK_END&gt;=12))*IFERROR(BULK_VALUE,0))/MAX(1,SUMPRODUCT(((BULK_ENABLED="Y")*((BULK_TIER="ALL")+(BULK_TIER=$F30))*((BULK_SKU="ALL")+(BULK_SKU=$G30))*(BULK_START&lt;=12)*(BULK_END&gt;=12)))),0),ROUND((INDEX(VELOCITY_TABLE,MATCH($F30,TIER_LIST,0),2))*(IF((12-$I30+1)&lt;=0,0,IF((12-$I30+1)=1,RAMP_W1,IF((12-$I30+1)=2,RAMP_W2,IF((12-$I30+1)=3,RAMP_W3,RAMP_W4PLUS)))))*(INDEX(ACTIVE_MULT_TABLE,2,1))*(1+SUMPRODUCT(SIGN(((ACT_DOOR_SCOPE="ALL")+(ACT_DOOR_SCOPE="TIER_"&amp;$F30)+(ACT_DOOR_SCOPE=$B30)))*SIGN(((ACT_SKU_SCOPE="ALL")+(ACT_SKU_SCOPE=$G30)))*(ACT_START&lt;=12)*(ACT_END&gt;=12)*IFERROR(ACT_UPLIFT-1,0)))*(1+SUMPRODUCT(SIGN(((ACT_DOOR_SCOPE="ALL")+(ACT_DOOR_SCOPE="TIER_"&amp;$F30)+(ACT_DOOR_SCOPE=$B30)))*SIGN(((ACT_SKU_SCOPE="ALL")+(ACT_SKU_SCOPE=$G30)))*(12&gt;ACT_END)*(ACT_END&gt;0)*IFERROR(ACT_POSTLIFT,0))),0)))</f>
        <v/>
      </c>
      <c r="V30" s="10">
        <f>IF(OR($H30&lt;&gt;"Y",13&lt;$I30),0,IF(SUMPRODUCT(((BULK_ENABLED="Y")*((BULK_TIER="ALL")+(BULK_TIER=$F30))*((BULK_SKU="ALL")+(BULK_SKU=$G30))*(BULK_START&lt;=13)*(BULK_END&gt;=13)))&gt;0,IFERROR(SUMPRODUCT(((BULK_ENABLED="Y")*((BULK_TIER="ALL")+(BULK_TIER=$F30))*((BULK_SKU="ALL")+(BULK_SKU=$G30))*(BULK_START&lt;=13)*(BULK_END&gt;=13))*IFERROR(BULK_VALUE,0))/MAX(1,SUMPRODUCT(((BULK_ENABLED="Y")*((BULK_TIER="ALL")+(BULK_TIER=$F30))*((BULK_SKU="ALL")+(BULK_SKU=$G30))*(BULK_START&lt;=13)*(BULK_END&gt;=13)))),0),ROUND((INDEX(VELOCITY_TABLE,MATCH($F30,TIER_LIST,0),2))*(IF((13-$I30+1)&lt;=0,0,IF((13-$I30+1)=1,RAMP_W1,IF((13-$I30+1)=2,RAMP_W2,IF((13-$I30+1)=3,RAMP_W3,RAMP_W4PLUS)))))*(INDEX(ACTIVE_MULT_TABLE,2,1))*(1+SUMPRODUCT(SIGN(((ACT_DOOR_SCOPE="ALL")+(ACT_DOOR_SCOPE="TIER_"&amp;$F30)+(ACT_DOOR_SCOPE=$B30)))*SIGN(((ACT_SKU_SCOPE="ALL")+(ACT_SKU_SCOPE=$G30)))*(ACT_START&lt;=13)*(ACT_END&gt;=13)*IFERROR(ACT_UPLIFT-1,0)))*(1+SUMPRODUCT(SIGN(((ACT_DOOR_SCOPE="ALL")+(ACT_DOOR_SCOPE="TIER_"&amp;$F30)+(ACT_DOOR_SCOPE=$B30)))*SIGN(((ACT_SKU_SCOPE="ALL")+(ACT_SKU_SCOPE=$G30)))*(13&gt;ACT_END)*(ACT_END&gt;0)*IFERROR(ACT_POSTLIFT,0))),0)))</f>
        <v/>
      </c>
    </row>
    <row r="31">
      <c r="A31" t="inlineStr">
        <is>
          <t>R0027</t>
        </is>
      </c>
      <c r="B31">
        <f>Doors!$A$13</f>
        <v/>
      </c>
      <c r="C31">
        <f>Doors!$C$13</f>
        <v/>
      </c>
      <c r="D31">
        <f>Doors!$B$13</f>
        <v/>
      </c>
      <c r="E31">
        <f>Doors!$E$13</f>
        <v/>
      </c>
      <c r="F31">
        <f>Doors!$F$13</f>
        <v/>
      </c>
      <c r="G31" t="inlineStr">
        <is>
          <t>Raspberry</t>
        </is>
      </c>
      <c r="H31">
        <f>Doors!$I$13</f>
        <v/>
      </c>
      <c r="I31">
        <f>Doors!$J$13</f>
        <v/>
      </c>
      <c r="J31" s="10">
        <f>IF(OR($H31&lt;&gt;"Y",1&lt;$I31),0,IF(SUMPRODUCT(((BULK_ENABLED="Y")*((BULK_TIER="ALL")+(BULK_TIER=$F31))*((BULK_SKU="ALL")+(BULK_SKU=$G31))*(BULK_START&lt;=1)*(BULK_END&gt;=1)))&gt;0,IFERROR(SUMPRODUCT(((BULK_ENABLED="Y")*((BULK_TIER="ALL")+(BULK_TIER=$F31))*((BULK_SKU="ALL")+(BULK_SKU=$G31))*(BULK_START&lt;=1)*(BULK_END&gt;=1))*IFERROR(BULK_VALUE,0))/MAX(1,SUMPRODUCT(((BULK_ENABLED="Y")*((BULK_TIER="ALL")+(BULK_TIER=$F31))*((BULK_SKU="ALL")+(BULK_SKU=$G31))*(BULK_START&lt;=1)*(BULK_END&gt;=1)))),0),ROUND((INDEX(VELOCITY_TABLE,MATCH($F31,TIER_LIST,0),3))*(IF((1-$I31+1)&lt;=0,0,IF((1-$I31+1)=1,RAMP_W1,IF((1-$I31+1)=2,RAMP_W2,IF((1-$I31+1)=3,RAMP_W3,RAMP_W4PLUS)))))*(INDEX(ACTIVE_MULT_TABLE,3,1))*(1+SUMPRODUCT(SIGN(((ACT_DOOR_SCOPE="ALL")+(ACT_DOOR_SCOPE="TIER_"&amp;$F31)+(ACT_DOOR_SCOPE=$B31)))*SIGN(((ACT_SKU_SCOPE="ALL")+(ACT_SKU_SCOPE=$G31)))*(ACT_START&lt;=1)*(ACT_END&gt;=1)*IFERROR(ACT_UPLIFT-1,0)))*(1+SUMPRODUCT(SIGN(((ACT_DOOR_SCOPE="ALL")+(ACT_DOOR_SCOPE="TIER_"&amp;$F31)+(ACT_DOOR_SCOPE=$B31)))*SIGN(((ACT_SKU_SCOPE="ALL")+(ACT_SKU_SCOPE=$G31)))*(1&gt;ACT_END)*(ACT_END&gt;0)*IFERROR(ACT_POSTLIFT,0))),0)))</f>
        <v/>
      </c>
      <c r="K31" s="10">
        <f>IF(OR($H31&lt;&gt;"Y",2&lt;$I31),0,IF(SUMPRODUCT(((BULK_ENABLED="Y")*((BULK_TIER="ALL")+(BULK_TIER=$F31))*((BULK_SKU="ALL")+(BULK_SKU=$G31))*(BULK_START&lt;=2)*(BULK_END&gt;=2)))&gt;0,IFERROR(SUMPRODUCT(((BULK_ENABLED="Y")*((BULK_TIER="ALL")+(BULK_TIER=$F31))*((BULK_SKU="ALL")+(BULK_SKU=$G31))*(BULK_START&lt;=2)*(BULK_END&gt;=2))*IFERROR(BULK_VALUE,0))/MAX(1,SUMPRODUCT(((BULK_ENABLED="Y")*((BULK_TIER="ALL")+(BULK_TIER=$F31))*((BULK_SKU="ALL")+(BULK_SKU=$G31))*(BULK_START&lt;=2)*(BULK_END&gt;=2)))),0),ROUND((INDEX(VELOCITY_TABLE,MATCH($F31,TIER_LIST,0),3))*(IF((2-$I31+1)&lt;=0,0,IF((2-$I31+1)=1,RAMP_W1,IF((2-$I31+1)=2,RAMP_W2,IF((2-$I31+1)=3,RAMP_W3,RAMP_W4PLUS)))))*(INDEX(ACTIVE_MULT_TABLE,3,1))*(1+SUMPRODUCT(SIGN(((ACT_DOOR_SCOPE="ALL")+(ACT_DOOR_SCOPE="TIER_"&amp;$F31)+(ACT_DOOR_SCOPE=$B31)))*SIGN(((ACT_SKU_SCOPE="ALL")+(ACT_SKU_SCOPE=$G31)))*(ACT_START&lt;=2)*(ACT_END&gt;=2)*IFERROR(ACT_UPLIFT-1,0)))*(1+SUMPRODUCT(SIGN(((ACT_DOOR_SCOPE="ALL")+(ACT_DOOR_SCOPE="TIER_"&amp;$F31)+(ACT_DOOR_SCOPE=$B31)))*SIGN(((ACT_SKU_SCOPE="ALL")+(ACT_SKU_SCOPE=$G31)))*(2&gt;ACT_END)*(ACT_END&gt;0)*IFERROR(ACT_POSTLIFT,0))),0)))</f>
        <v/>
      </c>
      <c r="L31" s="10">
        <f>IF(OR($H31&lt;&gt;"Y",3&lt;$I31),0,IF(SUMPRODUCT(((BULK_ENABLED="Y")*((BULK_TIER="ALL")+(BULK_TIER=$F31))*((BULK_SKU="ALL")+(BULK_SKU=$G31))*(BULK_START&lt;=3)*(BULK_END&gt;=3)))&gt;0,IFERROR(SUMPRODUCT(((BULK_ENABLED="Y")*((BULK_TIER="ALL")+(BULK_TIER=$F31))*((BULK_SKU="ALL")+(BULK_SKU=$G31))*(BULK_START&lt;=3)*(BULK_END&gt;=3))*IFERROR(BULK_VALUE,0))/MAX(1,SUMPRODUCT(((BULK_ENABLED="Y")*((BULK_TIER="ALL")+(BULK_TIER=$F31))*((BULK_SKU="ALL")+(BULK_SKU=$G31))*(BULK_START&lt;=3)*(BULK_END&gt;=3)))),0),ROUND((INDEX(VELOCITY_TABLE,MATCH($F31,TIER_LIST,0),3))*(IF((3-$I31+1)&lt;=0,0,IF((3-$I31+1)=1,RAMP_W1,IF((3-$I31+1)=2,RAMP_W2,IF((3-$I31+1)=3,RAMP_W3,RAMP_W4PLUS)))))*(INDEX(ACTIVE_MULT_TABLE,3,1))*(1+SUMPRODUCT(SIGN(((ACT_DOOR_SCOPE="ALL")+(ACT_DOOR_SCOPE="TIER_"&amp;$F31)+(ACT_DOOR_SCOPE=$B31)))*SIGN(((ACT_SKU_SCOPE="ALL")+(ACT_SKU_SCOPE=$G31)))*(ACT_START&lt;=3)*(ACT_END&gt;=3)*IFERROR(ACT_UPLIFT-1,0)))*(1+SUMPRODUCT(SIGN(((ACT_DOOR_SCOPE="ALL")+(ACT_DOOR_SCOPE="TIER_"&amp;$F31)+(ACT_DOOR_SCOPE=$B31)))*SIGN(((ACT_SKU_SCOPE="ALL")+(ACT_SKU_SCOPE=$G31)))*(3&gt;ACT_END)*(ACT_END&gt;0)*IFERROR(ACT_POSTLIFT,0))),0)))</f>
        <v/>
      </c>
      <c r="M31" s="10">
        <f>IF(OR($H31&lt;&gt;"Y",4&lt;$I31),0,IF(SUMPRODUCT(((BULK_ENABLED="Y")*((BULK_TIER="ALL")+(BULK_TIER=$F31))*((BULK_SKU="ALL")+(BULK_SKU=$G31))*(BULK_START&lt;=4)*(BULK_END&gt;=4)))&gt;0,IFERROR(SUMPRODUCT(((BULK_ENABLED="Y")*((BULK_TIER="ALL")+(BULK_TIER=$F31))*((BULK_SKU="ALL")+(BULK_SKU=$G31))*(BULK_START&lt;=4)*(BULK_END&gt;=4))*IFERROR(BULK_VALUE,0))/MAX(1,SUMPRODUCT(((BULK_ENABLED="Y")*((BULK_TIER="ALL")+(BULK_TIER=$F31))*((BULK_SKU="ALL")+(BULK_SKU=$G31))*(BULK_START&lt;=4)*(BULK_END&gt;=4)))),0),ROUND((INDEX(VELOCITY_TABLE,MATCH($F31,TIER_LIST,0),3))*(IF((4-$I31+1)&lt;=0,0,IF((4-$I31+1)=1,RAMP_W1,IF((4-$I31+1)=2,RAMP_W2,IF((4-$I31+1)=3,RAMP_W3,RAMP_W4PLUS)))))*(INDEX(ACTIVE_MULT_TABLE,3,1))*(1+SUMPRODUCT(SIGN(((ACT_DOOR_SCOPE="ALL")+(ACT_DOOR_SCOPE="TIER_"&amp;$F31)+(ACT_DOOR_SCOPE=$B31)))*SIGN(((ACT_SKU_SCOPE="ALL")+(ACT_SKU_SCOPE=$G31)))*(ACT_START&lt;=4)*(ACT_END&gt;=4)*IFERROR(ACT_UPLIFT-1,0)))*(1+SUMPRODUCT(SIGN(((ACT_DOOR_SCOPE="ALL")+(ACT_DOOR_SCOPE="TIER_"&amp;$F31)+(ACT_DOOR_SCOPE=$B31)))*SIGN(((ACT_SKU_SCOPE="ALL")+(ACT_SKU_SCOPE=$G31)))*(4&gt;ACT_END)*(ACT_END&gt;0)*IFERROR(ACT_POSTLIFT,0))),0)))</f>
        <v/>
      </c>
      <c r="N31" s="10">
        <f>IF(OR($H31&lt;&gt;"Y",5&lt;$I31),0,IF(SUMPRODUCT(((BULK_ENABLED="Y")*((BULK_TIER="ALL")+(BULK_TIER=$F31))*((BULK_SKU="ALL")+(BULK_SKU=$G31))*(BULK_START&lt;=5)*(BULK_END&gt;=5)))&gt;0,IFERROR(SUMPRODUCT(((BULK_ENABLED="Y")*((BULK_TIER="ALL")+(BULK_TIER=$F31))*((BULK_SKU="ALL")+(BULK_SKU=$G31))*(BULK_START&lt;=5)*(BULK_END&gt;=5))*IFERROR(BULK_VALUE,0))/MAX(1,SUMPRODUCT(((BULK_ENABLED="Y")*((BULK_TIER="ALL")+(BULK_TIER=$F31))*((BULK_SKU="ALL")+(BULK_SKU=$G31))*(BULK_START&lt;=5)*(BULK_END&gt;=5)))),0),ROUND((INDEX(VELOCITY_TABLE,MATCH($F31,TIER_LIST,0),3))*(IF((5-$I31+1)&lt;=0,0,IF((5-$I31+1)=1,RAMP_W1,IF((5-$I31+1)=2,RAMP_W2,IF((5-$I31+1)=3,RAMP_W3,RAMP_W4PLUS)))))*(INDEX(ACTIVE_MULT_TABLE,3,1))*(1+SUMPRODUCT(SIGN(((ACT_DOOR_SCOPE="ALL")+(ACT_DOOR_SCOPE="TIER_"&amp;$F31)+(ACT_DOOR_SCOPE=$B31)))*SIGN(((ACT_SKU_SCOPE="ALL")+(ACT_SKU_SCOPE=$G31)))*(ACT_START&lt;=5)*(ACT_END&gt;=5)*IFERROR(ACT_UPLIFT-1,0)))*(1+SUMPRODUCT(SIGN(((ACT_DOOR_SCOPE="ALL")+(ACT_DOOR_SCOPE="TIER_"&amp;$F31)+(ACT_DOOR_SCOPE=$B31)))*SIGN(((ACT_SKU_SCOPE="ALL")+(ACT_SKU_SCOPE=$G31)))*(5&gt;ACT_END)*(ACT_END&gt;0)*IFERROR(ACT_POSTLIFT,0))),0)))</f>
        <v/>
      </c>
      <c r="O31" s="10">
        <f>IF(OR($H31&lt;&gt;"Y",6&lt;$I31),0,IF(SUMPRODUCT(((BULK_ENABLED="Y")*((BULK_TIER="ALL")+(BULK_TIER=$F31))*((BULK_SKU="ALL")+(BULK_SKU=$G31))*(BULK_START&lt;=6)*(BULK_END&gt;=6)))&gt;0,IFERROR(SUMPRODUCT(((BULK_ENABLED="Y")*((BULK_TIER="ALL")+(BULK_TIER=$F31))*((BULK_SKU="ALL")+(BULK_SKU=$G31))*(BULK_START&lt;=6)*(BULK_END&gt;=6))*IFERROR(BULK_VALUE,0))/MAX(1,SUMPRODUCT(((BULK_ENABLED="Y")*((BULK_TIER="ALL")+(BULK_TIER=$F31))*((BULK_SKU="ALL")+(BULK_SKU=$G31))*(BULK_START&lt;=6)*(BULK_END&gt;=6)))),0),ROUND((INDEX(VELOCITY_TABLE,MATCH($F31,TIER_LIST,0),3))*(IF((6-$I31+1)&lt;=0,0,IF((6-$I31+1)=1,RAMP_W1,IF((6-$I31+1)=2,RAMP_W2,IF((6-$I31+1)=3,RAMP_W3,RAMP_W4PLUS)))))*(INDEX(ACTIVE_MULT_TABLE,3,1))*(1+SUMPRODUCT(SIGN(((ACT_DOOR_SCOPE="ALL")+(ACT_DOOR_SCOPE="TIER_"&amp;$F31)+(ACT_DOOR_SCOPE=$B31)))*SIGN(((ACT_SKU_SCOPE="ALL")+(ACT_SKU_SCOPE=$G31)))*(ACT_START&lt;=6)*(ACT_END&gt;=6)*IFERROR(ACT_UPLIFT-1,0)))*(1+SUMPRODUCT(SIGN(((ACT_DOOR_SCOPE="ALL")+(ACT_DOOR_SCOPE="TIER_"&amp;$F31)+(ACT_DOOR_SCOPE=$B31)))*SIGN(((ACT_SKU_SCOPE="ALL")+(ACT_SKU_SCOPE=$G31)))*(6&gt;ACT_END)*(ACT_END&gt;0)*IFERROR(ACT_POSTLIFT,0))),0)))</f>
        <v/>
      </c>
      <c r="P31" s="10">
        <f>IF(OR($H31&lt;&gt;"Y",7&lt;$I31),0,IF(SUMPRODUCT(((BULK_ENABLED="Y")*((BULK_TIER="ALL")+(BULK_TIER=$F31))*((BULK_SKU="ALL")+(BULK_SKU=$G31))*(BULK_START&lt;=7)*(BULK_END&gt;=7)))&gt;0,IFERROR(SUMPRODUCT(((BULK_ENABLED="Y")*((BULK_TIER="ALL")+(BULK_TIER=$F31))*((BULK_SKU="ALL")+(BULK_SKU=$G31))*(BULK_START&lt;=7)*(BULK_END&gt;=7))*IFERROR(BULK_VALUE,0))/MAX(1,SUMPRODUCT(((BULK_ENABLED="Y")*((BULK_TIER="ALL")+(BULK_TIER=$F31))*((BULK_SKU="ALL")+(BULK_SKU=$G31))*(BULK_START&lt;=7)*(BULK_END&gt;=7)))),0),ROUND((INDEX(VELOCITY_TABLE,MATCH($F31,TIER_LIST,0),3))*(IF((7-$I31+1)&lt;=0,0,IF((7-$I31+1)=1,RAMP_W1,IF((7-$I31+1)=2,RAMP_W2,IF((7-$I31+1)=3,RAMP_W3,RAMP_W4PLUS)))))*(INDEX(ACTIVE_MULT_TABLE,3,1))*(1+SUMPRODUCT(SIGN(((ACT_DOOR_SCOPE="ALL")+(ACT_DOOR_SCOPE="TIER_"&amp;$F31)+(ACT_DOOR_SCOPE=$B31)))*SIGN(((ACT_SKU_SCOPE="ALL")+(ACT_SKU_SCOPE=$G31)))*(ACT_START&lt;=7)*(ACT_END&gt;=7)*IFERROR(ACT_UPLIFT-1,0)))*(1+SUMPRODUCT(SIGN(((ACT_DOOR_SCOPE="ALL")+(ACT_DOOR_SCOPE="TIER_"&amp;$F31)+(ACT_DOOR_SCOPE=$B31)))*SIGN(((ACT_SKU_SCOPE="ALL")+(ACT_SKU_SCOPE=$G31)))*(7&gt;ACT_END)*(ACT_END&gt;0)*IFERROR(ACT_POSTLIFT,0))),0)))</f>
        <v/>
      </c>
      <c r="Q31" s="10">
        <f>IF(OR($H31&lt;&gt;"Y",8&lt;$I31),0,IF(SUMPRODUCT(((BULK_ENABLED="Y")*((BULK_TIER="ALL")+(BULK_TIER=$F31))*((BULK_SKU="ALL")+(BULK_SKU=$G31))*(BULK_START&lt;=8)*(BULK_END&gt;=8)))&gt;0,IFERROR(SUMPRODUCT(((BULK_ENABLED="Y")*((BULK_TIER="ALL")+(BULK_TIER=$F31))*((BULK_SKU="ALL")+(BULK_SKU=$G31))*(BULK_START&lt;=8)*(BULK_END&gt;=8))*IFERROR(BULK_VALUE,0))/MAX(1,SUMPRODUCT(((BULK_ENABLED="Y")*((BULK_TIER="ALL")+(BULK_TIER=$F31))*((BULK_SKU="ALL")+(BULK_SKU=$G31))*(BULK_START&lt;=8)*(BULK_END&gt;=8)))),0),ROUND((INDEX(VELOCITY_TABLE,MATCH($F31,TIER_LIST,0),3))*(IF((8-$I31+1)&lt;=0,0,IF((8-$I31+1)=1,RAMP_W1,IF((8-$I31+1)=2,RAMP_W2,IF((8-$I31+1)=3,RAMP_W3,RAMP_W4PLUS)))))*(INDEX(ACTIVE_MULT_TABLE,3,1))*(1+SUMPRODUCT(SIGN(((ACT_DOOR_SCOPE="ALL")+(ACT_DOOR_SCOPE="TIER_"&amp;$F31)+(ACT_DOOR_SCOPE=$B31)))*SIGN(((ACT_SKU_SCOPE="ALL")+(ACT_SKU_SCOPE=$G31)))*(ACT_START&lt;=8)*(ACT_END&gt;=8)*IFERROR(ACT_UPLIFT-1,0)))*(1+SUMPRODUCT(SIGN(((ACT_DOOR_SCOPE="ALL")+(ACT_DOOR_SCOPE="TIER_"&amp;$F31)+(ACT_DOOR_SCOPE=$B31)))*SIGN(((ACT_SKU_SCOPE="ALL")+(ACT_SKU_SCOPE=$G31)))*(8&gt;ACT_END)*(ACT_END&gt;0)*IFERROR(ACT_POSTLIFT,0))),0)))</f>
        <v/>
      </c>
      <c r="R31" s="10">
        <f>IF(OR($H31&lt;&gt;"Y",9&lt;$I31),0,IF(SUMPRODUCT(((BULK_ENABLED="Y")*((BULK_TIER="ALL")+(BULK_TIER=$F31))*((BULK_SKU="ALL")+(BULK_SKU=$G31))*(BULK_START&lt;=9)*(BULK_END&gt;=9)))&gt;0,IFERROR(SUMPRODUCT(((BULK_ENABLED="Y")*((BULK_TIER="ALL")+(BULK_TIER=$F31))*((BULK_SKU="ALL")+(BULK_SKU=$G31))*(BULK_START&lt;=9)*(BULK_END&gt;=9))*IFERROR(BULK_VALUE,0))/MAX(1,SUMPRODUCT(((BULK_ENABLED="Y")*((BULK_TIER="ALL")+(BULK_TIER=$F31))*((BULK_SKU="ALL")+(BULK_SKU=$G31))*(BULK_START&lt;=9)*(BULK_END&gt;=9)))),0),ROUND((INDEX(VELOCITY_TABLE,MATCH($F31,TIER_LIST,0),3))*(IF((9-$I31+1)&lt;=0,0,IF((9-$I31+1)=1,RAMP_W1,IF((9-$I31+1)=2,RAMP_W2,IF((9-$I31+1)=3,RAMP_W3,RAMP_W4PLUS)))))*(INDEX(ACTIVE_MULT_TABLE,3,1))*(1+SUMPRODUCT(SIGN(((ACT_DOOR_SCOPE="ALL")+(ACT_DOOR_SCOPE="TIER_"&amp;$F31)+(ACT_DOOR_SCOPE=$B31)))*SIGN(((ACT_SKU_SCOPE="ALL")+(ACT_SKU_SCOPE=$G31)))*(ACT_START&lt;=9)*(ACT_END&gt;=9)*IFERROR(ACT_UPLIFT-1,0)))*(1+SUMPRODUCT(SIGN(((ACT_DOOR_SCOPE="ALL")+(ACT_DOOR_SCOPE="TIER_"&amp;$F31)+(ACT_DOOR_SCOPE=$B31)))*SIGN(((ACT_SKU_SCOPE="ALL")+(ACT_SKU_SCOPE=$G31)))*(9&gt;ACT_END)*(ACT_END&gt;0)*IFERROR(ACT_POSTLIFT,0))),0)))</f>
        <v/>
      </c>
      <c r="S31" s="10">
        <f>IF(OR($H31&lt;&gt;"Y",10&lt;$I31),0,IF(SUMPRODUCT(((BULK_ENABLED="Y")*((BULK_TIER="ALL")+(BULK_TIER=$F31))*((BULK_SKU="ALL")+(BULK_SKU=$G31))*(BULK_START&lt;=10)*(BULK_END&gt;=10)))&gt;0,IFERROR(SUMPRODUCT(((BULK_ENABLED="Y")*((BULK_TIER="ALL")+(BULK_TIER=$F31))*((BULK_SKU="ALL")+(BULK_SKU=$G31))*(BULK_START&lt;=10)*(BULK_END&gt;=10))*IFERROR(BULK_VALUE,0))/MAX(1,SUMPRODUCT(((BULK_ENABLED="Y")*((BULK_TIER="ALL")+(BULK_TIER=$F31))*((BULK_SKU="ALL")+(BULK_SKU=$G31))*(BULK_START&lt;=10)*(BULK_END&gt;=10)))),0),ROUND((INDEX(VELOCITY_TABLE,MATCH($F31,TIER_LIST,0),3))*(IF((10-$I31+1)&lt;=0,0,IF((10-$I31+1)=1,RAMP_W1,IF((10-$I31+1)=2,RAMP_W2,IF((10-$I31+1)=3,RAMP_W3,RAMP_W4PLUS)))))*(INDEX(ACTIVE_MULT_TABLE,3,1))*(1+SUMPRODUCT(SIGN(((ACT_DOOR_SCOPE="ALL")+(ACT_DOOR_SCOPE="TIER_"&amp;$F31)+(ACT_DOOR_SCOPE=$B31)))*SIGN(((ACT_SKU_SCOPE="ALL")+(ACT_SKU_SCOPE=$G31)))*(ACT_START&lt;=10)*(ACT_END&gt;=10)*IFERROR(ACT_UPLIFT-1,0)))*(1+SUMPRODUCT(SIGN(((ACT_DOOR_SCOPE="ALL")+(ACT_DOOR_SCOPE="TIER_"&amp;$F31)+(ACT_DOOR_SCOPE=$B31)))*SIGN(((ACT_SKU_SCOPE="ALL")+(ACT_SKU_SCOPE=$G31)))*(10&gt;ACT_END)*(ACT_END&gt;0)*IFERROR(ACT_POSTLIFT,0))),0)))</f>
        <v/>
      </c>
      <c r="T31" s="10">
        <f>IF(OR($H31&lt;&gt;"Y",11&lt;$I31),0,IF(SUMPRODUCT(((BULK_ENABLED="Y")*((BULK_TIER="ALL")+(BULK_TIER=$F31))*((BULK_SKU="ALL")+(BULK_SKU=$G31))*(BULK_START&lt;=11)*(BULK_END&gt;=11)))&gt;0,IFERROR(SUMPRODUCT(((BULK_ENABLED="Y")*((BULK_TIER="ALL")+(BULK_TIER=$F31))*((BULK_SKU="ALL")+(BULK_SKU=$G31))*(BULK_START&lt;=11)*(BULK_END&gt;=11))*IFERROR(BULK_VALUE,0))/MAX(1,SUMPRODUCT(((BULK_ENABLED="Y")*((BULK_TIER="ALL")+(BULK_TIER=$F31))*((BULK_SKU="ALL")+(BULK_SKU=$G31))*(BULK_START&lt;=11)*(BULK_END&gt;=11)))),0),ROUND((INDEX(VELOCITY_TABLE,MATCH($F31,TIER_LIST,0),3))*(IF((11-$I31+1)&lt;=0,0,IF((11-$I31+1)=1,RAMP_W1,IF((11-$I31+1)=2,RAMP_W2,IF((11-$I31+1)=3,RAMP_W3,RAMP_W4PLUS)))))*(INDEX(ACTIVE_MULT_TABLE,3,1))*(1+SUMPRODUCT(SIGN(((ACT_DOOR_SCOPE="ALL")+(ACT_DOOR_SCOPE="TIER_"&amp;$F31)+(ACT_DOOR_SCOPE=$B31)))*SIGN(((ACT_SKU_SCOPE="ALL")+(ACT_SKU_SCOPE=$G31)))*(ACT_START&lt;=11)*(ACT_END&gt;=11)*IFERROR(ACT_UPLIFT-1,0)))*(1+SUMPRODUCT(SIGN(((ACT_DOOR_SCOPE="ALL")+(ACT_DOOR_SCOPE="TIER_"&amp;$F31)+(ACT_DOOR_SCOPE=$B31)))*SIGN(((ACT_SKU_SCOPE="ALL")+(ACT_SKU_SCOPE=$G31)))*(11&gt;ACT_END)*(ACT_END&gt;0)*IFERROR(ACT_POSTLIFT,0))),0)))</f>
        <v/>
      </c>
      <c r="U31" s="10">
        <f>IF(OR($H31&lt;&gt;"Y",12&lt;$I31),0,IF(SUMPRODUCT(((BULK_ENABLED="Y")*((BULK_TIER="ALL")+(BULK_TIER=$F31))*((BULK_SKU="ALL")+(BULK_SKU=$G31))*(BULK_START&lt;=12)*(BULK_END&gt;=12)))&gt;0,IFERROR(SUMPRODUCT(((BULK_ENABLED="Y")*((BULK_TIER="ALL")+(BULK_TIER=$F31))*((BULK_SKU="ALL")+(BULK_SKU=$G31))*(BULK_START&lt;=12)*(BULK_END&gt;=12))*IFERROR(BULK_VALUE,0))/MAX(1,SUMPRODUCT(((BULK_ENABLED="Y")*((BULK_TIER="ALL")+(BULK_TIER=$F31))*((BULK_SKU="ALL")+(BULK_SKU=$G31))*(BULK_START&lt;=12)*(BULK_END&gt;=12)))),0),ROUND((INDEX(VELOCITY_TABLE,MATCH($F31,TIER_LIST,0),3))*(IF((12-$I31+1)&lt;=0,0,IF((12-$I31+1)=1,RAMP_W1,IF((12-$I31+1)=2,RAMP_W2,IF((12-$I31+1)=3,RAMP_W3,RAMP_W4PLUS)))))*(INDEX(ACTIVE_MULT_TABLE,3,1))*(1+SUMPRODUCT(SIGN(((ACT_DOOR_SCOPE="ALL")+(ACT_DOOR_SCOPE="TIER_"&amp;$F31)+(ACT_DOOR_SCOPE=$B31)))*SIGN(((ACT_SKU_SCOPE="ALL")+(ACT_SKU_SCOPE=$G31)))*(ACT_START&lt;=12)*(ACT_END&gt;=12)*IFERROR(ACT_UPLIFT-1,0)))*(1+SUMPRODUCT(SIGN(((ACT_DOOR_SCOPE="ALL")+(ACT_DOOR_SCOPE="TIER_"&amp;$F31)+(ACT_DOOR_SCOPE=$B31)))*SIGN(((ACT_SKU_SCOPE="ALL")+(ACT_SKU_SCOPE=$G31)))*(12&gt;ACT_END)*(ACT_END&gt;0)*IFERROR(ACT_POSTLIFT,0))),0)))</f>
        <v/>
      </c>
      <c r="V31" s="10">
        <f>IF(OR($H31&lt;&gt;"Y",13&lt;$I31),0,IF(SUMPRODUCT(((BULK_ENABLED="Y")*((BULK_TIER="ALL")+(BULK_TIER=$F31))*((BULK_SKU="ALL")+(BULK_SKU=$G31))*(BULK_START&lt;=13)*(BULK_END&gt;=13)))&gt;0,IFERROR(SUMPRODUCT(((BULK_ENABLED="Y")*((BULK_TIER="ALL")+(BULK_TIER=$F31))*((BULK_SKU="ALL")+(BULK_SKU=$G31))*(BULK_START&lt;=13)*(BULK_END&gt;=13))*IFERROR(BULK_VALUE,0))/MAX(1,SUMPRODUCT(((BULK_ENABLED="Y")*((BULK_TIER="ALL")+(BULK_TIER=$F31))*((BULK_SKU="ALL")+(BULK_SKU=$G31))*(BULK_START&lt;=13)*(BULK_END&gt;=13)))),0),ROUND((INDEX(VELOCITY_TABLE,MATCH($F31,TIER_LIST,0),3))*(IF((13-$I31+1)&lt;=0,0,IF((13-$I31+1)=1,RAMP_W1,IF((13-$I31+1)=2,RAMP_W2,IF((13-$I31+1)=3,RAMP_W3,RAMP_W4PLUS)))))*(INDEX(ACTIVE_MULT_TABLE,3,1))*(1+SUMPRODUCT(SIGN(((ACT_DOOR_SCOPE="ALL")+(ACT_DOOR_SCOPE="TIER_"&amp;$F31)+(ACT_DOOR_SCOPE=$B31)))*SIGN(((ACT_SKU_SCOPE="ALL")+(ACT_SKU_SCOPE=$G31)))*(ACT_START&lt;=13)*(ACT_END&gt;=13)*IFERROR(ACT_UPLIFT-1,0)))*(1+SUMPRODUCT(SIGN(((ACT_DOOR_SCOPE="ALL")+(ACT_DOOR_SCOPE="TIER_"&amp;$F31)+(ACT_DOOR_SCOPE=$B31)))*SIGN(((ACT_SKU_SCOPE="ALL")+(ACT_SKU_SCOPE=$G31)))*(13&gt;ACT_END)*(ACT_END&gt;0)*IFERROR(ACT_POSTLIFT,0))),0)))</f>
        <v/>
      </c>
    </row>
    <row r="32">
      <c r="A32" t="inlineStr">
        <is>
          <t>R0028</t>
        </is>
      </c>
      <c r="B32">
        <f>Doors!$A$14</f>
        <v/>
      </c>
      <c r="C32">
        <f>Doors!$C$14</f>
        <v/>
      </c>
      <c r="D32">
        <f>Doors!$B$14</f>
        <v/>
      </c>
      <c r="E32">
        <f>Doors!$E$14</f>
        <v/>
      </c>
      <c r="F32">
        <f>Doors!$F$14</f>
        <v/>
      </c>
      <c r="G32" t="inlineStr">
        <is>
          <t>Lime Lemon</t>
        </is>
      </c>
      <c r="H32">
        <f>Doors!$G$14</f>
        <v/>
      </c>
      <c r="I32">
        <f>Doors!$J$14</f>
        <v/>
      </c>
      <c r="J32" s="10">
        <f>IF(OR($H32&lt;&gt;"Y",1&lt;$I32),0,IF(SUMPRODUCT(((BULK_ENABLED="Y")*((BULK_TIER="ALL")+(BULK_TIER=$F32))*((BULK_SKU="ALL")+(BULK_SKU=$G32))*(BULK_START&lt;=1)*(BULK_END&gt;=1)))&gt;0,IFERROR(SUMPRODUCT(((BULK_ENABLED="Y")*((BULK_TIER="ALL")+(BULK_TIER=$F32))*((BULK_SKU="ALL")+(BULK_SKU=$G32))*(BULK_START&lt;=1)*(BULK_END&gt;=1))*IFERROR(BULK_VALUE,0))/MAX(1,SUMPRODUCT(((BULK_ENABLED="Y")*((BULK_TIER="ALL")+(BULK_TIER=$F32))*((BULK_SKU="ALL")+(BULK_SKU=$G32))*(BULK_START&lt;=1)*(BULK_END&gt;=1)))),0),ROUND((INDEX(VELOCITY_TABLE,MATCH($F32,TIER_LIST,0),1))*(IF((1-$I32+1)&lt;=0,0,IF((1-$I32+1)=1,RAMP_W1,IF((1-$I32+1)=2,RAMP_W2,IF((1-$I32+1)=3,RAMP_W3,RAMP_W4PLUS)))))*(INDEX(ACTIVE_MULT_TABLE,1,1))*(1+SUMPRODUCT(SIGN(((ACT_DOOR_SCOPE="ALL")+(ACT_DOOR_SCOPE="TIER_"&amp;$F32)+(ACT_DOOR_SCOPE=$B32)))*SIGN(((ACT_SKU_SCOPE="ALL")+(ACT_SKU_SCOPE=$G32)))*(ACT_START&lt;=1)*(ACT_END&gt;=1)*IFERROR(ACT_UPLIFT-1,0)))*(1+SUMPRODUCT(SIGN(((ACT_DOOR_SCOPE="ALL")+(ACT_DOOR_SCOPE="TIER_"&amp;$F32)+(ACT_DOOR_SCOPE=$B32)))*SIGN(((ACT_SKU_SCOPE="ALL")+(ACT_SKU_SCOPE=$G32)))*(1&gt;ACT_END)*(ACT_END&gt;0)*IFERROR(ACT_POSTLIFT,0))),0)))</f>
        <v/>
      </c>
      <c r="K32" s="10">
        <f>IF(OR($H32&lt;&gt;"Y",2&lt;$I32),0,IF(SUMPRODUCT(((BULK_ENABLED="Y")*((BULK_TIER="ALL")+(BULK_TIER=$F32))*((BULK_SKU="ALL")+(BULK_SKU=$G32))*(BULK_START&lt;=2)*(BULK_END&gt;=2)))&gt;0,IFERROR(SUMPRODUCT(((BULK_ENABLED="Y")*((BULK_TIER="ALL")+(BULK_TIER=$F32))*((BULK_SKU="ALL")+(BULK_SKU=$G32))*(BULK_START&lt;=2)*(BULK_END&gt;=2))*IFERROR(BULK_VALUE,0))/MAX(1,SUMPRODUCT(((BULK_ENABLED="Y")*((BULK_TIER="ALL")+(BULK_TIER=$F32))*((BULK_SKU="ALL")+(BULK_SKU=$G32))*(BULK_START&lt;=2)*(BULK_END&gt;=2)))),0),ROUND((INDEX(VELOCITY_TABLE,MATCH($F32,TIER_LIST,0),1))*(IF((2-$I32+1)&lt;=0,0,IF((2-$I32+1)=1,RAMP_W1,IF((2-$I32+1)=2,RAMP_W2,IF((2-$I32+1)=3,RAMP_W3,RAMP_W4PLUS)))))*(INDEX(ACTIVE_MULT_TABLE,1,1))*(1+SUMPRODUCT(SIGN(((ACT_DOOR_SCOPE="ALL")+(ACT_DOOR_SCOPE="TIER_"&amp;$F32)+(ACT_DOOR_SCOPE=$B32)))*SIGN(((ACT_SKU_SCOPE="ALL")+(ACT_SKU_SCOPE=$G32)))*(ACT_START&lt;=2)*(ACT_END&gt;=2)*IFERROR(ACT_UPLIFT-1,0)))*(1+SUMPRODUCT(SIGN(((ACT_DOOR_SCOPE="ALL")+(ACT_DOOR_SCOPE="TIER_"&amp;$F32)+(ACT_DOOR_SCOPE=$B32)))*SIGN(((ACT_SKU_SCOPE="ALL")+(ACT_SKU_SCOPE=$G32)))*(2&gt;ACT_END)*(ACT_END&gt;0)*IFERROR(ACT_POSTLIFT,0))),0)))</f>
        <v/>
      </c>
      <c r="L32" s="10">
        <f>IF(OR($H32&lt;&gt;"Y",3&lt;$I32),0,IF(SUMPRODUCT(((BULK_ENABLED="Y")*((BULK_TIER="ALL")+(BULK_TIER=$F32))*((BULK_SKU="ALL")+(BULK_SKU=$G32))*(BULK_START&lt;=3)*(BULK_END&gt;=3)))&gt;0,IFERROR(SUMPRODUCT(((BULK_ENABLED="Y")*((BULK_TIER="ALL")+(BULK_TIER=$F32))*((BULK_SKU="ALL")+(BULK_SKU=$G32))*(BULK_START&lt;=3)*(BULK_END&gt;=3))*IFERROR(BULK_VALUE,0))/MAX(1,SUMPRODUCT(((BULK_ENABLED="Y")*((BULK_TIER="ALL")+(BULK_TIER=$F32))*((BULK_SKU="ALL")+(BULK_SKU=$G32))*(BULK_START&lt;=3)*(BULK_END&gt;=3)))),0),ROUND((INDEX(VELOCITY_TABLE,MATCH($F32,TIER_LIST,0),1))*(IF((3-$I32+1)&lt;=0,0,IF((3-$I32+1)=1,RAMP_W1,IF((3-$I32+1)=2,RAMP_W2,IF((3-$I32+1)=3,RAMP_W3,RAMP_W4PLUS)))))*(INDEX(ACTIVE_MULT_TABLE,1,1))*(1+SUMPRODUCT(SIGN(((ACT_DOOR_SCOPE="ALL")+(ACT_DOOR_SCOPE="TIER_"&amp;$F32)+(ACT_DOOR_SCOPE=$B32)))*SIGN(((ACT_SKU_SCOPE="ALL")+(ACT_SKU_SCOPE=$G32)))*(ACT_START&lt;=3)*(ACT_END&gt;=3)*IFERROR(ACT_UPLIFT-1,0)))*(1+SUMPRODUCT(SIGN(((ACT_DOOR_SCOPE="ALL")+(ACT_DOOR_SCOPE="TIER_"&amp;$F32)+(ACT_DOOR_SCOPE=$B32)))*SIGN(((ACT_SKU_SCOPE="ALL")+(ACT_SKU_SCOPE=$G32)))*(3&gt;ACT_END)*(ACT_END&gt;0)*IFERROR(ACT_POSTLIFT,0))),0)))</f>
        <v/>
      </c>
      <c r="M32" s="10">
        <f>IF(OR($H32&lt;&gt;"Y",4&lt;$I32),0,IF(SUMPRODUCT(((BULK_ENABLED="Y")*((BULK_TIER="ALL")+(BULK_TIER=$F32))*((BULK_SKU="ALL")+(BULK_SKU=$G32))*(BULK_START&lt;=4)*(BULK_END&gt;=4)))&gt;0,IFERROR(SUMPRODUCT(((BULK_ENABLED="Y")*((BULK_TIER="ALL")+(BULK_TIER=$F32))*((BULK_SKU="ALL")+(BULK_SKU=$G32))*(BULK_START&lt;=4)*(BULK_END&gt;=4))*IFERROR(BULK_VALUE,0))/MAX(1,SUMPRODUCT(((BULK_ENABLED="Y")*((BULK_TIER="ALL")+(BULK_TIER=$F32))*((BULK_SKU="ALL")+(BULK_SKU=$G32))*(BULK_START&lt;=4)*(BULK_END&gt;=4)))),0),ROUND((INDEX(VELOCITY_TABLE,MATCH($F32,TIER_LIST,0),1))*(IF((4-$I32+1)&lt;=0,0,IF((4-$I32+1)=1,RAMP_W1,IF((4-$I32+1)=2,RAMP_W2,IF((4-$I32+1)=3,RAMP_W3,RAMP_W4PLUS)))))*(INDEX(ACTIVE_MULT_TABLE,1,1))*(1+SUMPRODUCT(SIGN(((ACT_DOOR_SCOPE="ALL")+(ACT_DOOR_SCOPE="TIER_"&amp;$F32)+(ACT_DOOR_SCOPE=$B32)))*SIGN(((ACT_SKU_SCOPE="ALL")+(ACT_SKU_SCOPE=$G32)))*(ACT_START&lt;=4)*(ACT_END&gt;=4)*IFERROR(ACT_UPLIFT-1,0)))*(1+SUMPRODUCT(SIGN(((ACT_DOOR_SCOPE="ALL")+(ACT_DOOR_SCOPE="TIER_"&amp;$F32)+(ACT_DOOR_SCOPE=$B32)))*SIGN(((ACT_SKU_SCOPE="ALL")+(ACT_SKU_SCOPE=$G32)))*(4&gt;ACT_END)*(ACT_END&gt;0)*IFERROR(ACT_POSTLIFT,0))),0)))</f>
        <v/>
      </c>
      <c r="N32" s="10">
        <f>IF(OR($H32&lt;&gt;"Y",5&lt;$I32),0,IF(SUMPRODUCT(((BULK_ENABLED="Y")*((BULK_TIER="ALL")+(BULK_TIER=$F32))*((BULK_SKU="ALL")+(BULK_SKU=$G32))*(BULK_START&lt;=5)*(BULK_END&gt;=5)))&gt;0,IFERROR(SUMPRODUCT(((BULK_ENABLED="Y")*((BULK_TIER="ALL")+(BULK_TIER=$F32))*((BULK_SKU="ALL")+(BULK_SKU=$G32))*(BULK_START&lt;=5)*(BULK_END&gt;=5))*IFERROR(BULK_VALUE,0))/MAX(1,SUMPRODUCT(((BULK_ENABLED="Y")*((BULK_TIER="ALL")+(BULK_TIER=$F32))*((BULK_SKU="ALL")+(BULK_SKU=$G32))*(BULK_START&lt;=5)*(BULK_END&gt;=5)))),0),ROUND((INDEX(VELOCITY_TABLE,MATCH($F32,TIER_LIST,0),1))*(IF((5-$I32+1)&lt;=0,0,IF((5-$I32+1)=1,RAMP_W1,IF((5-$I32+1)=2,RAMP_W2,IF((5-$I32+1)=3,RAMP_W3,RAMP_W4PLUS)))))*(INDEX(ACTIVE_MULT_TABLE,1,1))*(1+SUMPRODUCT(SIGN(((ACT_DOOR_SCOPE="ALL")+(ACT_DOOR_SCOPE="TIER_"&amp;$F32)+(ACT_DOOR_SCOPE=$B32)))*SIGN(((ACT_SKU_SCOPE="ALL")+(ACT_SKU_SCOPE=$G32)))*(ACT_START&lt;=5)*(ACT_END&gt;=5)*IFERROR(ACT_UPLIFT-1,0)))*(1+SUMPRODUCT(SIGN(((ACT_DOOR_SCOPE="ALL")+(ACT_DOOR_SCOPE="TIER_"&amp;$F32)+(ACT_DOOR_SCOPE=$B32)))*SIGN(((ACT_SKU_SCOPE="ALL")+(ACT_SKU_SCOPE=$G32)))*(5&gt;ACT_END)*(ACT_END&gt;0)*IFERROR(ACT_POSTLIFT,0))),0)))</f>
        <v/>
      </c>
      <c r="O32" s="10">
        <f>IF(OR($H32&lt;&gt;"Y",6&lt;$I32),0,IF(SUMPRODUCT(((BULK_ENABLED="Y")*((BULK_TIER="ALL")+(BULK_TIER=$F32))*((BULK_SKU="ALL")+(BULK_SKU=$G32))*(BULK_START&lt;=6)*(BULK_END&gt;=6)))&gt;0,IFERROR(SUMPRODUCT(((BULK_ENABLED="Y")*((BULK_TIER="ALL")+(BULK_TIER=$F32))*((BULK_SKU="ALL")+(BULK_SKU=$G32))*(BULK_START&lt;=6)*(BULK_END&gt;=6))*IFERROR(BULK_VALUE,0))/MAX(1,SUMPRODUCT(((BULK_ENABLED="Y")*((BULK_TIER="ALL")+(BULK_TIER=$F32))*((BULK_SKU="ALL")+(BULK_SKU=$G32))*(BULK_START&lt;=6)*(BULK_END&gt;=6)))),0),ROUND((INDEX(VELOCITY_TABLE,MATCH($F32,TIER_LIST,0),1))*(IF((6-$I32+1)&lt;=0,0,IF((6-$I32+1)=1,RAMP_W1,IF((6-$I32+1)=2,RAMP_W2,IF((6-$I32+1)=3,RAMP_W3,RAMP_W4PLUS)))))*(INDEX(ACTIVE_MULT_TABLE,1,1))*(1+SUMPRODUCT(SIGN(((ACT_DOOR_SCOPE="ALL")+(ACT_DOOR_SCOPE="TIER_"&amp;$F32)+(ACT_DOOR_SCOPE=$B32)))*SIGN(((ACT_SKU_SCOPE="ALL")+(ACT_SKU_SCOPE=$G32)))*(ACT_START&lt;=6)*(ACT_END&gt;=6)*IFERROR(ACT_UPLIFT-1,0)))*(1+SUMPRODUCT(SIGN(((ACT_DOOR_SCOPE="ALL")+(ACT_DOOR_SCOPE="TIER_"&amp;$F32)+(ACT_DOOR_SCOPE=$B32)))*SIGN(((ACT_SKU_SCOPE="ALL")+(ACT_SKU_SCOPE=$G32)))*(6&gt;ACT_END)*(ACT_END&gt;0)*IFERROR(ACT_POSTLIFT,0))),0)))</f>
        <v/>
      </c>
      <c r="P32" s="10">
        <f>IF(OR($H32&lt;&gt;"Y",7&lt;$I32),0,IF(SUMPRODUCT(((BULK_ENABLED="Y")*((BULK_TIER="ALL")+(BULK_TIER=$F32))*((BULK_SKU="ALL")+(BULK_SKU=$G32))*(BULK_START&lt;=7)*(BULK_END&gt;=7)))&gt;0,IFERROR(SUMPRODUCT(((BULK_ENABLED="Y")*((BULK_TIER="ALL")+(BULK_TIER=$F32))*((BULK_SKU="ALL")+(BULK_SKU=$G32))*(BULK_START&lt;=7)*(BULK_END&gt;=7))*IFERROR(BULK_VALUE,0))/MAX(1,SUMPRODUCT(((BULK_ENABLED="Y")*((BULK_TIER="ALL")+(BULK_TIER=$F32))*((BULK_SKU="ALL")+(BULK_SKU=$G32))*(BULK_START&lt;=7)*(BULK_END&gt;=7)))),0),ROUND((INDEX(VELOCITY_TABLE,MATCH($F32,TIER_LIST,0),1))*(IF((7-$I32+1)&lt;=0,0,IF((7-$I32+1)=1,RAMP_W1,IF((7-$I32+1)=2,RAMP_W2,IF((7-$I32+1)=3,RAMP_W3,RAMP_W4PLUS)))))*(INDEX(ACTIVE_MULT_TABLE,1,1))*(1+SUMPRODUCT(SIGN(((ACT_DOOR_SCOPE="ALL")+(ACT_DOOR_SCOPE="TIER_"&amp;$F32)+(ACT_DOOR_SCOPE=$B32)))*SIGN(((ACT_SKU_SCOPE="ALL")+(ACT_SKU_SCOPE=$G32)))*(ACT_START&lt;=7)*(ACT_END&gt;=7)*IFERROR(ACT_UPLIFT-1,0)))*(1+SUMPRODUCT(SIGN(((ACT_DOOR_SCOPE="ALL")+(ACT_DOOR_SCOPE="TIER_"&amp;$F32)+(ACT_DOOR_SCOPE=$B32)))*SIGN(((ACT_SKU_SCOPE="ALL")+(ACT_SKU_SCOPE=$G32)))*(7&gt;ACT_END)*(ACT_END&gt;0)*IFERROR(ACT_POSTLIFT,0))),0)))</f>
        <v/>
      </c>
      <c r="Q32" s="10">
        <f>IF(OR($H32&lt;&gt;"Y",8&lt;$I32),0,IF(SUMPRODUCT(((BULK_ENABLED="Y")*((BULK_TIER="ALL")+(BULK_TIER=$F32))*((BULK_SKU="ALL")+(BULK_SKU=$G32))*(BULK_START&lt;=8)*(BULK_END&gt;=8)))&gt;0,IFERROR(SUMPRODUCT(((BULK_ENABLED="Y")*((BULK_TIER="ALL")+(BULK_TIER=$F32))*((BULK_SKU="ALL")+(BULK_SKU=$G32))*(BULK_START&lt;=8)*(BULK_END&gt;=8))*IFERROR(BULK_VALUE,0))/MAX(1,SUMPRODUCT(((BULK_ENABLED="Y")*((BULK_TIER="ALL")+(BULK_TIER=$F32))*((BULK_SKU="ALL")+(BULK_SKU=$G32))*(BULK_START&lt;=8)*(BULK_END&gt;=8)))),0),ROUND((INDEX(VELOCITY_TABLE,MATCH($F32,TIER_LIST,0),1))*(IF((8-$I32+1)&lt;=0,0,IF((8-$I32+1)=1,RAMP_W1,IF((8-$I32+1)=2,RAMP_W2,IF((8-$I32+1)=3,RAMP_W3,RAMP_W4PLUS)))))*(INDEX(ACTIVE_MULT_TABLE,1,1))*(1+SUMPRODUCT(SIGN(((ACT_DOOR_SCOPE="ALL")+(ACT_DOOR_SCOPE="TIER_"&amp;$F32)+(ACT_DOOR_SCOPE=$B32)))*SIGN(((ACT_SKU_SCOPE="ALL")+(ACT_SKU_SCOPE=$G32)))*(ACT_START&lt;=8)*(ACT_END&gt;=8)*IFERROR(ACT_UPLIFT-1,0)))*(1+SUMPRODUCT(SIGN(((ACT_DOOR_SCOPE="ALL")+(ACT_DOOR_SCOPE="TIER_"&amp;$F32)+(ACT_DOOR_SCOPE=$B32)))*SIGN(((ACT_SKU_SCOPE="ALL")+(ACT_SKU_SCOPE=$G32)))*(8&gt;ACT_END)*(ACT_END&gt;0)*IFERROR(ACT_POSTLIFT,0))),0)))</f>
        <v/>
      </c>
      <c r="R32" s="10">
        <f>IF(OR($H32&lt;&gt;"Y",9&lt;$I32),0,IF(SUMPRODUCT(((BULK_ENABLED="Y")*((BULK_TIER="ALL")+(BULK_TIER=$F32))*((BULK_SKU="ALL")+(BULK_SKU=$G32))*(BULK_START&lt;=9)*(BULK_END&gt;=9)))&gt;0,IFERROR(SUMPRODUCT(((BULK_ENABLED="Y")*((BULK_TIER="ALL")+(BULK_TIER=$F32))*((BULK_SKU="ALL")+(BULK_SKU=$G32))*(BULK_START&lt;=9)*(BULK_END&gt;=9))*IFERROR(BULK_VALUE,0))/MAX(1,SUMPRODUCT(((BULK_ENABLED="Y")*((BULK_TIER="ALL")+(BULK_TIER=$F32))*((BULK_SKU="ALL")+(BULK_SKU=$G32))*(BULK_START&lt;=9)*(BULK_END&gt;=9)))),0),ROUND((INDEX(VELOCITY_TABLE,MATCH($F32,TIER_LIST,0),1))*(IF((9-$I32+1)&lt;=0,0,IF((9-$I32+1)=1,RAMP_W1,IF((9-$I32+1)=2,RAMP_W2,IF((9-$I32+1)=3,RAMP_W3,RAMP_W4PLUS)))))*(INDEX(ACTIVE_MULT_TABLE,1,1))*(1+SUMPRODUCT(SIGN(((ACT_DOOR_SCOPE="ALL")+(ACT_DOOR_SCOPE="TIER_"&amp;$F32)+(ACT_DOOR_SCOPE=$B32)))*SIGN(((ACT_SKU_SCOPE="ALL")+(ACT_SKU_SCOPE=$G32)))*(ACT_START&lt;=9)*(ACT_END&gt;=9)*IFERROR(ACT_UPLIFT-1,0)))*(1+SUMPRODUCT(SIGN(((ACT_DOOR_SCOPE="ALL")+(ACT_DOOR_SCOPE="TIER_"&amp;$F32)+(ACT_DOOR_SCOPE=$B32)))*SIGN(((ACT_SKU_SCOPE="ALL")+(ACT_SKU_SCOPE=$G32)))*(9&gt;ACT_END)*(ACT_END&gt;0)*IFERROR(ACT_POSTLIFT,0))),0)))</f>
        <v/>
      </c>
      <c r="S32" s="10">
        <f>IF(OR($H32&lt;&gt;"Y",10&lt;$I32),0,IF(SUMPRODUCT(((BULK_ENABLED="Y")*((BULK_TIER="ALL")+(BULK_TIER=$F32))*((BULK_SKU="ALL")+(BULK_SKU=$G32))*(BULK_START&lt;=10)*(BULK_END&gt;=10)))&gt;0,IFERROR(SUMPRODUCT(((BULK_ENABLED="Y")*((BULK_TIER="ALL")+(BULK_TIER=$F32))*((BULK_SKU="ALL")+(BULK_SKU=$G32))*(BULK_START&lt;=10)*(BULK_END&gt;=10))*IFERROR(BULK_VALUE,0))/MAX(1,SUMPRODUCT(((BULK_ENABLED="Y")*((BULK_TIER="ALL")+(BULK_TIER=$F32))*((BULK_SKU="ALL")+(BULK_SKU=$G32))*(BULK_START&lt;=10)*(BULK_END&gt;=10)))),0),ROUND((INDEX(VELOCITY_TABLE,MATCH($F32,TIER_LIST,0),1))*(IF((10-$I32+1)&lt;=0,0,IF((10-$I32+1)=1,RAMP_W1,IF((10-$I32+1)=2,RAMP_W2,IF((10-$I32+1)=3,RAMP_W3,RAMP_W4PLUS)))))*(INDEX(ACTIVE_MULT_TABLE,1,1))*(1+SUMPRODUCT(SIGN(((ACT_DOOR_SCOPE="ALL")+(ACT_DOOR_SCOPE="TIER_"&amp;$F32)+(ACT_DOOR_SCOPE=$B32)))*SIGN(((ACT_SKU_SCOPE="ALL")+(ACT_SKU_SCOPE=$G32)))*(ACT_START&lt;=10)*(ACT_END&gt;=10)*IFERROR(ACT_UPLIFT-1,0)))*(1+SUMPRODUCT(SIGN(((ACT_DOOR_SCOPE="ALL")+(ACT_DOOR_SCOPE="TIER_"&amp;$F32)+(ACT_DOOR_SCOPE=$B32)))*SIGN(((ACT_SKU_SCOPE="ALL")+(ACT_SKU_SCOPE=$G32)))*(10&gt;ACT_END)*(ACT_END&gt;0)*IFERROR(ACT_POSTLIFT,0))),0)))</f>
        <v/>
      </c>
      <c r="T32" s="10">
        <f>IF(OR($H32&lt;&gt;"Y",11&lt;$I32),0,IF(SUMPRODUCT(((BULK_ENABLED="Y")*((BULK_TIER="ALL")+(BULK_TIER=$F32))*((BULK_SKU="ALL")+(BULK_SKU=$G32))*(BULK_START&lt;=11)*(BULK_END&gt;=11)))&gt;0,IFERROR(SUMPRODUCT(((BULK_ENABLED="Y")*((BULK_TIER="ALL")+(BULK_TIER=$F32))*((BULK_SKU="ALL")+(BULK_SKU=$G32))*(BULK_START&lt;=11)*(BULK_END&gt;=11))*IFERROR(BULK_VALUE,0))/MAX(1,SUMPRODUCT(((BULK_ENABLED="Y")*((BULK_TIER="ALL")+(BULK_TIER=$F32))*((BULK_SKU="ALL")+(BULK_SKU=$G32))*(BULK_START&lt;=11)*(BULK_END&gt;=11)))),0),ROUND((INDEX(VELOCITY_TABLE,MATCH($F32,TIER_LIST,0),1))*(IF((11-$I32+1)&lt;=0,0,IF((11-$I32+1)=1,RAMP_W1,IF((11-$I32+1)=2,RAMP_W2,IF((11-$I32+1)=3,RAMP_W3,RAMP_W4PLUS)))))*(INDEX(ACTIVE_MULT_TABLE,1,1))*(1+SUMPRODUCT(SIGN(((ACT_DOOR_SCOPE="ALL")+(ACT_DOOR_SCOPE="TIER_"&amp;$F32)+(ACT_DOOR_SCOPE=$B32)))*SIGN(((ACT_SKU_SCOPE="ALL")+(ACT_SKU_SCOPE=$G32)))*(ACT_START&lt;=11)*(ACT_END&gt;=11)*IFERROR(ACT_UPLIFT-1,0)))*(1+SUMPRODUCT(SIGN(((ACT_DOOR_SCOPE="ALL")+(ACT_DOOR_SCOPE="TIER_"&amp;$F32)+(ACT_DOOR_SCOPE=$B32)))*SIGN(((ACT_SKU_SCOPE="ALL")+(ACT_SKU_SCOPE=$G32)))*(11&gt;ACT_END)*(ACT_END&gt;0)*IFERROR(ACT_POSTLIFT,0))),0)))</f>
        <v/>
      </c>
      <c r="U32" s="10">
        <f>IF(OR($H32&lt;&gt;"Y",12&lt;$I32),0,IF(SUMPRODUCT(((BULK_ENABLED="Y")*((BULK_TIER="ALL")+(BULK_TIER=$F32))*((BULK_SKU="ALL")+(BULK_SKU=$G32))*(BULK_START&lt;=12)*(BULK_END&gt;=12)))&gt;0,IFERROR(SUMPRODUCT(((BULK_ENABLED="Y")*((BULK_TIER="ALL")+(BULK_TIER=$F32))*((BULK_SKU="ALL")+(BULK_SKU=$G32))*(BULK_START&lt;=12)*(BULK_END&gt;=12))*IFERROR(BULK_VALUE,0))/MAX(1,SUMPRODUCT(((BULK_ENABLED="Y")*((BULK_TIER="ALL")+(BULK_TIER=$F32))*((BULK_SKU="ALL")+(BULK_SKU=$G32))*(BULK_START&lt;=12)*(BULK_END&gt;=12)))),0),ROUND((INDEX(VELOCITY_TABLE,MATCH($F32,TIER_LIST,0),1))*(IF((12-$I32+1)&lt;=0,0,IF((12-$I32+1)=1,RAMP_W1,IF((12-$I32+1)=2,RAMP_W2,IF((12-$I32+1)=3,RAMP_W3,RAMP_W4PLUS)))))*(INDEX(ACTIVE_MULT_TABLE,1,1))*(1+SUMPRODUCT(SIGN(((ACT_DOOR_SCOPE="ALL")+(ACT_DOOR_SCOPE="TIER_"&amp;$F32)+(ACT_DOOR_SCOPE=$B32)))*SIGN(((ACT_SKU_SCOPE="ALL")+(ACT_SKU_SCOPE=$G32)))*(ACT_START&lt;=12)*(ACT_END&gt;=12)*IFERROR(ACT_UPLIFT-1,0)))*(1+SUMPRODUCT(SIGN(((ACT_DOOR_SCOPE="ALL")+(ACT_DOOR_SCOPE="TIER_"&amp;$F32)+(ACT_DOOR_SCOPE=$B32)))*SIGN(((ACT_SKU_SCOPE="ALL")+(ACT_SKU_SCOPE=$G32)))*(12&gt;ACT_END)*(ACT_END&gt;0)*IFERROR(ACT_POSTLIFT,0))),0)))</f>
        <v/>
      </c>
      <c r="V32" s="10">
        <f>IF(OR($H32&lt;&gt;"Y",13&lt;$I32),0,IF(SUMPRODUCT(((BULK_ENABLED="Y")*((BULK_TIER="ALL")+(BULK_TIER=$F32))*((BULK_SKU="ALL")+(BULK_SKU=$G32))*(BULK_START&lt;=13)*(BULK_END&gt;=13)))&gt;0,IFERROR(SUMPRODUCT(((BULK_ENABLED="Y")*((BULK_TIER="ALL")+(BULK_TIER=$F32))*((BULK_SKU="ALL")+(BULK_SKU=$G32))*(BULK_START&lt;=13)*(BULK_END&gt;=13))*IFERROR(BULK_VALUE,0))/MAX(1,SUMPRODUCT(((BULK_ENABLED="Y")*((BULK_TIER="ALL")+(BULK_TIER=$F32))*((BULK_SKU="ALL")+(BULK_SKU=$G32))*(BULK_START&lt;=13)*(BULK_END&gt;=13)))),0),ROUND((INDEX(VELOCITY_TABLE,MATCH($F32,TIER_LIST,0),1))*(IF((13-$I32+1)&lt;=0,0,IF((13-$I32+1)=1,RAMP_W1,IF((13-$I32+1)=2,RAMP_W2,IF((13-$I32+1)=3,RAMP_W3,RAMP_W4PLUS)))))*(INDEX(ACTIVE_MULT_TABLE,1,1))*(1+SUMPRODUCT(SIGN(((ACT_DOOR_SCOPE="ALL")+(ACT_DOOR_SCOPE="TIER_"&amp;$F32)+(ACT_DOOR_SCOPE=$B32)))*SIGN(((ACT_SKU_SCOPE="ALL")+(ACT_SKU_SCOPE=$G32)))*(ACT_START&lt;=13)*(ACT_END&gt;=13)*IFERROR(ACT_UPLIFT-1,0)))*(1+SUMPRODUCT(SIGN(((ACT_DOOR_SCOPE="ALL")+(ACT_DOOR_SCOPE="TIER_"&amp;$F32)+(ACT_DOOR_SCOPE=$B32)))*SIGN(((ACT_SKU_SCOPE="ALL")+(ACT_SKU_SCOPE=$G32)))*(13&gt;ACT_END)*(ACT_END&gt;0)*IFERROR(ACT_POSTLIFT,0))),0)))</f>
        <v/>
      </c>
    </row>
    <row r="33">
      <c r="A33" t="inlineStr">
        <is>
          <t>R0029</t>
        </is>
      </c>
      <c r="B33">
        <f>Doors!$A$14</f>
        <v/>
      </c>
      <c r="C33">
        <f>Doors!$C$14</f>
        <v/>
      </c>
      <c r="D33">
        <f>Doors!$B$14</f>
        <v/>
      </c>
      <c r="E33">
        <f>Doors!$E$14</f>
        <v/>
      </c>
      <c r="F33">
        <f>Doors!$F$14</f>
        <v/>
      </c>
      <c r="G33" t="inlineStr">
        <is>
          <t>Pineapple Passion Fruit</t>
        </is>
      </c>
      <c r="H33">
        <f>Doors!$H$14</f>
        <v/>
      </c>
      <c r="I33">
        <f>Doors!$J$14</f>
        <v/>
      </c>
      <c r="J33" s="10">
        <f>IF(OR($H33&lt;&gt;"Y",1&lt;$I33),0,IF(SUMPRODUCT(((BULK_ENABLED="Y")*((BULK_TIER="ALL")+(BULK_TIER=$F33))*((BULK_SKU="ALL")+(BULK_SKU=$G33))*(BULK_START&lt;=1)*(BULK_END&gt;=1)))&gt;0,IFERROR(SUMPRODUCT(((BULK_ENABLED="Y")*((BULK_TIER="ALL")+(BULK_TIER=$F33))*((BULK_SKU="ALL")+(BULK_SKU=$G33))*(BULK_START&lt;=1)*(BULK_END&gt;=1))*IFERROR(BULK_VALUE,0))/MAX(1,SUMPRODUCT(((BULK_ENABLED="Y")*((BULK_TIER="ALL")+(BULK_TIER=$F33))*((BULK_SKU="ALL")+(BULK_SKU=$G33))*(BULK_START&lt;=1)*(BULK_END&gt;=1)))),0),ROUND((INDEX(VELOCITY_TABLE,MATCH($F33,TIER_LIST,0),2))*(IF((1-$I33+1)&lt;=0,0,IF((1-$I33+1)=1,RAMP_W1,IF((1-$I33+1)=2,RAMP_W2,IF((1-$I33+1)=3,RAMP_W3,RAMP_W4PLUS)))))*(INDEX(ACTIVE_MULT_TABLE,2,1))*(1+SUMPRODUCT(SIGN(((ACT_DOOR_SCOPE="ALL")+(ACT_DOOR_SCOPE="TIER_"&amp;$F33)+(ACT_DOOR_SCOPE=$B33)))*SIGN(((ACT_SKU_SCOPE="ALL")+(ACT_SKU_SCOPE=$G33)))*(ACT_START&lt;=1)*(ACT_END&gt;=1)*IFERROR(ACT_UPLIFT-1,0)))*(1+SUMPRODUCT(SIGN(((ACT_DOOR_SCOPE="ALL")+(ACT_DOOR_SCOPE="TIER_"&amp;$F33)+(ACT_DOOR_SCOPE=$B33)))*SIGN(((ACT_SKU_SCOPE="ALL")+(ACT_SKU_SCOPE=$G33)))*(1&gt;ACT_END)*(ACT_END&gt;0)*IFERROR(ACT_POSTLIFT,0))),0)))</f>
        <v/>
      </c>
      <c r="K33" s="10">
        <f>IF(OR($H33&lt;&gt;"Y",2&lt;$I33),0,IF(SUMPRODUCT(((BULK_ENABLED="Y")*((BULK_TIER="ALL")+(BULK_TIER=$F33))*((BULK_SKU="ALL")+(BULK_SKU=$G33))*(BULK_START&lt;=2)*(BULK_END&gt;=2)))&gt;0,IFERROR(SUMPRODUCT(((BULK_ENABLED="Y")*((BULK_TIER="ALL")+(BULK_TIER=$F33))*((BULK_SKU="ALL")+(BULK_SKU=$G33))*(BULK_START&lt;=2)*(BULK_END&gt;=2))*IFERROR(BULK_VALUE,0))/MAX(1,SUMPRODUCT(((BULK_ENABLED="Y")*((BULK_TIER="ALL")+(BULK_TIER=$F33))*((BULK_SKU="ALL")+(BULK_SKU=$G33))*(BULK_START&lt;=2)*(BULK_END&gt;=2)))),0),ROUND((INDEX(VELOCITY_TABLE,MATCH($F33,TIER_LIST,0),2))*(IF((2-$I33+1)&lt;=0,0,IF((2-$I33+1)=1,RAMP_W1,IF((2-$I33+1)=2,RAMP_W2,IF((2-$I33+1)=3,RAMP_W3,RAMP_W4PLUS)))))*(INDEX(ACTIVE_MULT_TABLE,2,1))*(1+SUMPRODUCT(SIGN(((ACT_DOOR_SCOPE="ALL")+(ACT_DOOR_SCOPE="TIER_"&amp;$F33)+(ACT_DOOR_SCOPE=$B33)))*SIGN(((ACT_SKU_SCOPE="ALL")+(ACT_SKU_SCOPE=$G33)))*(ACT_START&lt;=2)*(ACT_END&gt;=2)*IFERROR(ACT_UPLIFT-1,0)))*(1+SUMPRODUCT(SIGN(((ACT_DOOR_SCOPE="ALL")+(ACT_DOOR_SCOPE="TIER_"&amp;$F33)+(ACT_DOOR_SCOPE=$B33)))*SIGN(((ACT_SKU_SCOPE="ALL")+(ACT_SKU_SCOPE=$G33)))*(2&gt;ACT_END)*(ACT_END&gt;0)*IFERROR(ACT_POSTLIFT,0))),0)))</f>
        <v/>
      </c>
      <c r="L33" s="10">
        <f>IF(OR($H33&lt;&gt;"Y",3&lt;$I33),0,IF(SUMPRODUCT(((BULK_ENABLED="Y")*((BULK_TIER="ALL")+(BULK_TIER=$F33))*((BULK_SKU="ALL")+(BULK_SKU=$G33))*(BULK_START&lt;=3)*(BULK_END&gt;=3)))&gt;0,IFERROR(SUMPRODUCT(((BULK_ENABLED="Y")*((BULK_TIER="ALL")+(BULK_TIER=$F33))*((BULK_SKU="ALL")+(BULK_SKU=$G33))*(BULK_START&lt;=3)*(BULK_END&gt;=3))*IFERROR(BULK_VALUE,0))/MAX(1,SUMPRODUCT(((BULK_ENABLED="Y")*((BULK_TIER="ALL")+(BULK_TIER=$F33))*((BULK_SKU="ALL")+(BULK_SKU=$G33))*(BULK_START&lt;=3)*(BULK_END&gt;=3)))),0),ROUND((INDEX(VELOCITY_TABLE,MATCH($F33,TIER_LIST,0),2))*(IF((3-$I33+1)&lt;=0,0,IF((3-$I33+1)=1,RAMP_W1,IF((3-$I33+1)=2,RAMP_W2,IF((3-$I33+1)=3,RAMP_W3,RAMP_W4PLUS)))))*(INDEX(ACTIVE_MULT_TABLE,2,1))*(1+SUMPRODUCT(SIGN(((ACT_DOOR_SCOPE="ALL")+(ACT_DOOR_SCOPE="TIER_"&amp;$F33)+(ACT_DOOR_SCOPE=$B33)))*SIGN(((ACT_SKU_SCOPE="ALL")+(ACT_SKU_SCOPE=$G33)))*(ACT_START&lt;=3)*(ACT_END&gt;=3)*IFERROR(ACT_UPLIFT-1,0)))*(1+SUMPRODUCT(SIGN(((ACT_DOOR_SCOPE="ALL")+(ACT_DOOR_SCOPE="TIER_"&amp;$F33)+(ACT_DOOR_SCOPE=$B33)))*SIGN(((ACT_SKU_SCOPE="ALL")+(ACT_SKU_SCOPE=$G33)))*(3&gt;ACT_END)*(ACT_END&gt;0)*IFERROR(ACT_POSTLIFT,0))),0)))</f>
        <v/>
      </c>
      <c r="M33" s="10">
        <f>IF(OR($H33&lt;&gt;"Y",4&lt;$I33),0,IF(SUMPRODUCT(((BULK_ENABLED="Y")*((BULK_TIER="ALL")+(BULK_TIER=$F33))*((BULK_SKU="ALL")+(BULK_SKU=$G33))*(BULK_START&lt;=4)*(BULK_END&gt;=4)))&gt;0,IFERROR(SUMPRODUCT(((BULK_ENABLED="Y")*((BULK_TIER="ALL")+(BULK_TIER=$F33))*((BULK_SKU="ALL")+(BULK_SKU=$G33))*(BULK_START&lt;=4)*(BULK_END&gt;=4))*IFERROR(BULK_VALUE,0))/MAX(1,SUMPRODUCT(((BULK_ENABLED="Y")*((BULK_TIER="ALL")+(BULK_TIER=$F33))*((BULK_SKU="ALL")+(BULK_SKU=$G33))*(BULK_START&lt;=4)*(BULK_END&gt;=4)))),0),ROUND((INDEX(VELOCITY_TABLE,MATCH($F33,TIER_LIST,0),2))*(IF((4-$I33+1)&lt;=0,0,IF((4-$I33+1)=1,RAMP_W1,IF((4-$I33+1)=2,RAMP_W2,IF((4-$I33+1)=3,RAMP_W3,RAMP_W4PLUS)))))*(INDEX(ACTIVE_MULT_TABLE,2,1))*(1+SUMPRODUCT(SIGN(((ACT_DOOR_SCOPE="ALL")+(ACT_DOOR_SCOPE="TIER_"&amp;$F33)+(ACT_DOOR_SCOPE=$B33)))*SIGN(((ACT_SKU_SCOPE="ALL")+(ACT_SKU_SCOPE=$G33)))*(ACT_START&lt;=4)*(ACT_END&gt;=4)*IFERROR(ACT_UPLIFT-1,0)))*(1+SUMPRODUCT(SIGN(((ACT_DOOR_SCOPE="ALL")+(ACT_DOOR_SCOPE="TIER_"&amp;$F33)+(ACT_DOOR_SCOPE=$B33)))*SIGN(((ACT_SKU_SCOPE="ALL")+(ACT_SKU_SCOPE=$G33)))*(4&gt;ACT_END)*(ACT_END&gt;0)*IFERROR(ACT_POSTLIFT,0))),0)))</f>
        <v/>
      </c>
      <c r="N33" s="10">
        <f>IF(OR($H33&lt;&gt;"Y",5&lt;$I33),0,IF(SUMPRODUCT(((BULK_ENABLED="Y")*((BULK_TIER="ALL")+(BULK_TIER=$F33))*((BULK_SKU="ALL")+(BULK_SKU=$G33))*(BULK_START&lt;=5)*(BULK_END&gt;=5)))&gt;0,IFERROR(SUMPRODUCT(((BULK_ENABLED="Y")*((BULK_TIER="ALL")+(BULK_TIER=$F33))*((BULK_SKU="ALL")+(BULK_SKU=$G33))*(BULK_START&lt;=5)*(BULK_END&gt;=5))*IFERROR(BULK_VALUE,0))/MAX(1,SUMPRODUCT(((BULK_ENABLED="Y")*((BULK_TIER="ALL")+(BULK_TIER=$F33))*((BULK_SKU="ALL")+(BULK_SKU=$G33))*(BULK_START&lt;=5)*(BULK_END&gt;=5)))),0),ROUND((INDEX(VELOCITY_TABLE,MATCH($F33,TIER_LIST,0),2))*(IF((5-$I33+1)&lt;=0,0,IF((5-$I33+1)=1,RAMP_W1,IF((5-$I33+1)=2,RAMP_W2,IF((5-$I33+1)=3,RAMP_W3,RAMP_W4PLUS)))))*(INDEX(ACTIVE_MULT_TABLE,2,1))*(1+SUMPRODUCT(SIGN(((ACT_DOOR_SCOPE="ALL")+(ACT_DOOR_SCOPE="TIER_"&amp;$F33)+(ACT_DOOR_SCOPE=$B33)))*SIGN(((ACT_SKU_SCOPE="ALL")+(ACT_SKU_SCOPE=$G33)))*(ACT_START&lt;=5)*(ACT_END&gt;=5)*IFERROR(ACT_UPLIFT-1,0)))*(1+SUMPRODUCT(SIGN(((ACT_DOOR_SCOPE="ALL")+(ACT_DOOR_SCOPE="TIER_"&amp;$F33)+(ACT_DOOR_SCOPE=$B33)))*SIGN(((ACT_SKU_SCOPE="ALL")+(ACT_SKU_SCOPE=$G33)))*(5&gt;ACT_END)*(ACT_END&gt;0)*IFERROR(ACT_POSTLIFT,0))),0)))</f>
        <v/>
      </c>
      <c r="O33" s="10">
        <f>IF(OR($H33&lt;&gt;"Y",6&lt;$I33),0,IF(SUMPRODUCT(((BULK_ENABLED="Y")*((BULK_TIER="ALL")+(BULK_TIER=$F33))*((BULK_SKU="ALL")+(BULK_SKU=$G33))*(BULK_START&lt;=6)*(BULK_END&gt;=6)))&gt;0,IFERROR(SUMPRODUCT(((BULK_ENABLED="Y")*((BULK_TIER="ALL")+(BULK_TIER=$F33))*((BULK_SKU="ALL")+(BULK_SKU=$G33))*(BULK_START&lt;=6)*(BULK_END&gt;=6))*IFERROR(BULK_VALUE,0))/MAX(1,SUMPRODUCT(((BULK_ENABLED="Y")*((BULK_TIER="ALL")+(BULK_TIER=$F33))*((BULK_SKU="ALL")+(BULK_SKU=$G33))*(BULK_START&lt;=6)*(BULK_END&gt;=6)))),0),ROUND((INDEX(VELOCITY_TABLE,MATCH($F33,TIER_LIST,0),2))*(IF((6-$I33+1)&lt;=0,0,IF((6-$I33+1)=1,RAMP_W1,IF((6-$I33+1)=2,RAMP_W2,IF((6-$I33+1)=3,RAMP_W3,RAMP_W4PLUS)))))*(INDEX(ACTIVE_MULT_TABLE,2,1))*(1+SUMPRODUCT(SIGN(((ACT_DOOR_SCOPE="ALL")+(ACT_DOOR_SCOPE="TIER_"&amp;$F33)+(ACT_DOOR_SCOPE=$B33)))*SIGN(((ACT_SKU_SCOPE="ALL")+(ACT_SKU_SCOPE=$G33)))*(ACT_START&lt;=6)*(ACT_END&gt;=6)*IFERROR(ACT_UPLIFT-1,0)))*(1+SUMPRODUCT(SIGN(((ACT_DOOR_SCOPE="ALL")+(ACT_DOOR_SCOPE="TIER_"&amp;$F33)+(ACT_DOOR_SCOPE=$B33)))*SIGN(((ACT_SKU_SCOPE="ALL")+(ACT_SKU_SCOPE=$G33)))*(6&gt;ACT_END)*(ACT_END&gt;0)*IFERROR(ACT_POSTLIFT,0))),0)))</f>
        <v/>
      </c>
      <c r="P33" s="10">
        <f>IF(OR($H33&lt;&gt;"Y",7&lt;$I33),0,IF(SUMPRODUCT(((BULK_ENABLED="Y")*((BULK_TIER="ALL")+(BULK_TIER=$F33))*((BULK_SKU="ALL")+(BULK_SKU=$G33))*(BULK_START&lt;=7)*(BULK_END&gt;=7)))&gt;0,IFERROR(SUMPRODUCT(((BULK_ENABLED="Y")*((BULK_TIER="ALL")+(BULK_TIER=$F33))*((BULK_SKU="ALL")+(BULK_SKU=$G33))*(BULK_START&lt;=7)*(BULK_END&gt;=7))*IFERROR(BULK_VALUE,0))/MAX(1,SUMPRODUCT(((BULK_ENABLED="Y")*((BULK_TIER="ALL")+(BULK_TIER=$F33))*((BULK_SKU="ALL")+(BULK_SKU=$G33))*(BULK_START&lt;=7)*(BULK_END&gt;=7)))),0),ROUND((INDEX(VELOCITY_TABLE,MATCH($F33,TIER_LIST,0),2))*(IF((7-$I33+1)&lt;=0,0,IF((7-$I33+1)=1,RAMP_W1,IF((7-$I33+1)=2,RAMP_W2,IF((7-$I33+1)=3,RAMP_W3,RAMP_W4PLUS)))))*(INDEX(ACTIVE_MULT_TABLE,2,1))*(1+SUMPRODUCT(SIGN(((ACT_DOOR_SCOPE="ALL")+(ACT_DOOR_SCOPE="TIER_"&amp;$F33)+(ACT_DOOR_SCOPE=$B33)))*SIGN(((ACT_SKU_SCOPE="ALL")+(ACT_SKU_SCOPE=$G33)))*(ACT_START&lt;=7)*(ACT_END&gt;=7)*IFERROR(ACT_UPLIFT-1,0)))*(1+SUMPRODUCT(SIGN(((ACT_DOOR_SCOPE="ALL")+(ACT_DOOR_SCOPE="TIER_"&amp;$F33)+(ACT_DOOR_SCOPE=$B33)))*SIGN(((ACT_SKU_SCOPE="ALL")+(ACT_SKU_SCOPE=$G33)))*(7&gt;ACT_END)*(ACT_END&gt;0)*IFERROR(ACT_POSTLIFT,0))),0)))</f>
        <v/>
      </c>
      <c r="Q33" s="10">
        <f>IF(OR($H33&lt;&gt;"Y",8&lt;$I33),0,IF(SUMPRODUCT(((BULK_ENABLED="Y")*((BULK_TIER="ALL")+(BULK_TIER=$F33))*((BULK_SKU="ALL")+(BULK_SKU=$G33))*(BULK_START&lt;=8)*(BULK_END&gt;=8)))&gt;0,IFERROR(SUMPRODUCT(((BULK_ENABLED="Y")*((BULK_TIER="ALL")+(BULK_TIER=$F33))*((BULK_SKU="ALL")+(BULK_SKU=$G33))*(BULK_START&lt;=8)*(BULK_END&gt;=8))*IFERROR(BULK_VALUE,0))/MAX(1,SUMPRODUCT(((BULK_ENABLED="Y")*((BULK_TIER="ALL")+(BULK_TIER=$F33))*((BULK_SKU="ALL")+(BULK_SKU=$G33))*(BULK_START&lt;=8)*(BULK_END&gt;=8)))),0),ROUND((INDEX(VELOCITY_TABLE,MATCH($F33,TIER_LIST,0),2))*(IF((8-$I33+1)&lt;=0,0,IF((8-$I33+1)=1,RAMP_W1,IF((8-$I33+1)=2,RAMP_W2,IF((8-$I33+1)=3,RAMP_W3,RAMP_W4PLUS)))))*(INDEX(ACTIVE_MULT_TABLE,2,1))*(1+SUMPRODUCT(SIGN(((ACT_DOOR_SCOPE="ALL")+(ACT_DOOR_SCOPE="TIER_"&amp;$F33)+(ACT_DOOR_SCOPE=$B33)))*SIGN(((ACT_SKU_SCOPE="ALL")+(ACT_SKU_SCOPE=$G33)))*(ACT_START&lt;=8)*(ACT_END&gt;=8)*IFERROR(ACT_UPLIFT-1,0)))*(1+SUMPRODUCT(SIGN(((ACT_DOOR_SCOPE="ALL")+(ACT_DOOR_SCOPE="TIER_"&amp;$F33)+(ACT_DOOR_SCOPE=$B33)))*SIGN(((ACT_SKU_SCOPE="ALL")+(ACT_SKU_SCOPE=$G33)))*(8&gt;ACT_END)*(ACT_END&gt;0)*IFERROR(ACT_POSTLIFT,0))),0)))</f>
        <v/>
      </c>
      <c r="R33" s="10">
        <f>IF(OR($H33&lt;&gt;"Y",9&lt;$I33),0,IF(SUMPRODUCT(((BULK_ENABLED="Y")*((BULK_TIER="ALL")+(BULK_TIER=$F33))*((BULK_SKU="ALL")+(BULK_SKU=$G33))*(BULK_START&lt;=9)*(BULK_END&gt;=9)))&gt;0,IFERROR(SUMPRODUCT(((BULK_ENABLED="Y")*((BULK_TIER="ALL")+(BULK_TIER=$F33))*((BULK_SKU="ALL")+(BULK_SKU=$G33))*(BULK_START&lt;=9)*(BULK_END&gt;=9))*IFERROR(BULK_VALUE,0))/MAX(1,SUMPRODUCT(((BULK_ENABLED="Y")*((BULK_TIER="ALL")+(BULK_TIER=$F33))*((BULK_SKU="ALL")+(BULK_SKU=$G33))*(BULK_START&lt;=9)*(BULK_END&gt;=9)))),0),ROUND((INDEX(VELOCITY_TABLE,MATCH($F33,TIER_LIST,0),2))*(IF((9-$I33+1)&lt;=0,0,IF((9-$I33+1)=1,RAMP_W1,IF((9-$I33+1)=2,RAMP_W2,IF((9-$I33+1)=3,RAMP_W3,RAMP_W4PLUS)))))*(INDEX(ACTIVE_MULT_TABLE,2,1))*(1+SUMPRODUCT(SIGN(((ACT_DOOR_SCOPE="ALL")+(ACT_DOOR_SCOPE="TIER_"&amp;$F33)+(ACT_DOOR_SCOPE=$B33)))*SIGN(((ACT_SKU_SCOPE="ALL")+(ACT_SKU_SCOPE=$G33)))*(ACT_START&lt;=9)*(ACT_END&gt;=9)*IFERROR(ACT_UPLIFT-1,0)))*(1+SUMPRODUCT(SIGN(((ACT_DOOR_SCOPE="ALL")+(ACT_DOOR_SCOPE="TIER_"&amp;$F33)+(ACT_DOOR_SCOPE=$B33)))*SIGN(((ACT_SKU_SCOPE="ALL")+(ACT_SKU_SCOPE=$G33)))*(9&gt;ACT_END)*(ACT_END&gt;0)*IFERROR(ACT_POSTLIFT,0))),0)))</f>
        <v/>
      </c>
      <c r="S33" s="10">
        <f>IF(OR($H33&lt;&gt;"Y",10&lt;$I33),0,IF(SUMPRODUCT(((BULK_ENABLED="Y")*((BULK_TIER="ALL")+(BULK_TIER=$F33))*((BULK_SKU="ALL")+(BULK_SKU=$G33))*(BULK_START&lt;=10)*(BULK_END&gt;=10)))&gt;0,IFERROR(SUMPRODUCT(((BULK_ENABLED="Y")*((BULK_TIER="ALL")+(BULK_TIER=$F33))*((BULK_SKU="ALL")+(BULK_SKU=$G33))*(BULK_START&lt;=10)*(BULK_END&gt;=10))*IFERROR(BULK_VALUE,0))/MAX(1,SUMPRODUCT(((BULK_ENABLED="Y")*((BULK_TIER="ALL")+(BULK_TIER=$F33))*((BULK_SKU="ALL")+(BULK_SKU=$G33))*(BULK_START&lt;=10)*(BULK_END&gt;=10)))),0),ROUND((INDEX(VELOCITY_TABLE,MATCH($F33,TIER_LIST,0),2))*(IF((10-$I33+1)&lt;=0,0,IF((10-$I33+1)=1,RAMP_W1,IF((10-$I33+1)=2,RAMP_W2,IF((10-$I33+1)=3,RAMP_W3,RAMP_W4PLUS)))))*(INDEX(ACTIVE_MULT_TABLE,2,1))*(1+SUMPRODUCT(SIGN(((ACT_DOOR_SCOPE="ALL")+(ACT_DOOR_SCOPE="TIER_"&amp;$F33)+(ACT_DOOR_SCOPE=$B33)))*SIGN(((ACT_SKU_SCOPE="ALL")+(ACT_SKU_SCOPE=$G33)))*(ACT_START&lt;=10)*(ACT_END&gt;=10)*IFERROR(ACT_UPLIFT-1,0)))*(1+SUMPRODUCT(SIGN(((ACT_DOOR_SCOPE="ALL")+(ACT_DOOR_SCOPE="TIER_"&amp;$F33)+(ACT_DOOR_SCOPE=$B33)))*SIGN(((ACT_SKU_SCOPE="ALL")+(ACT_SKU_SCOPE=$G33)))*(10&gt;ACT_END)*(ACT_END&gt;0)*IFERROR(ACT_POSTLIFT,0))),0)))</f>
        <v/>
      </c>
      <c r="T33" s="10">
        <f>IF(OR($H33&lt;&gt;"Y",11&lt;$I33),0,IF(SUMPRODUCT(((BULK_ENABLED="Y")*((BULK_TIER="ALL")+(BULK_TIER=$F33))*((BULK_SKU="ALL")+(BULK_SKU=$G33))*(BULK_START&lt;=11)*(BULK_END&gt;=11)))&gt;0,IFERROR(SUMPRODUCT(((BULK_ENABLED="Y")*((BULK_TIER="ALL")+(BULK_TIER=$F33))*((BULK_SKU="ALL")+(BULK_SKU=$G33))*(BULK_START&lt;=11)*(BULK_END&gt;=11))*IFERROR(BULK_VALUE,0))/MAX(1,SUMPRODUCT(((BULK_ENABLED="Y")*((BULK_TIER="ALL")+(BULK_TIER=$F33))*((BULK_SKU="ALL")+(BULK_SKU=$G33))*(BULK_START&lt;=11)*(BULK_END&gt;=11)))),0),ROUND((INDEX(VELOCITY_TABLE,MATCH($F33,TIER_LIST,0),2))*(IF((11-$I33+1)&lt;=0,0,IF((11-$I33+1)=1,RAMP_W1,IF((11-$I33+1)=2,RAMP_W2,IF((11-$I33+1)=3,RAMP_W3,RAMP_W4PLUS)))))*(INDEX(ACTIVE_MULT_TABLE,2,1))*(1+SUMPRODUCT(SIGN(((ACT_DOOR_SCOPE="ALL")+(ACT_DOOR_SCOPE="TIER_"&amp;$F33)+(ACT_DOOR_SCOPE=$B33)))*SIGN(((ACT_SKU_SCOPE="ALL")+(ACT_SKU_SCOPE=$G33)))*(ACT_START&lt;=11)*(ACT_END&gt;=11)*IFERROR(ACT_UPLIFT-1,0)))*(1+SUMPRODUCT(SIGN(((ACT_DOOR_SCOPE="ALL")+(ACT_DOOR_SCOPE="TIER_"&amp;$F33)+(ACT_DOOR_SCOPE=$B33)))*SIGN(((ACT_SKU_SCOPE="ALL")+(ACT_SKU_SCOPE=$G33)))*(11&gt;ACT_END)*(ACT_END&gt;0)*IFERROR(ACT_POSTLIFT,0))),0)))</f>
        <v/>
      </c>
      <c r="U33" s="10">
        <f>IF(OR($H33&lt;&gt;"Y",12&lt;$I33),0,IF(SUMPRODUCT(((BULK_ENABLED="Y")*((BULK_TIER="ALL")+(BULK_TIER=$F33))*((BULK_SKU="ALL")+(BULK_SKU=$G33))*(BULK_START&lt;=12)*(BULK_END&gt;=12)))&gt;0,IFERROR(SUMPRODUCT(((BULK_ENABLED="Y")*((BULK_TIER="ALL")+(BULK_TIER=$F33))*((BULK_SKU="ALL")+(BULK_SKU=$G33))*(BULK_START&lt;=12)*(BULK_END&gt;=12))*IFERROR(BULK_VALUE,0))/MAX(1,SUMPRODUCT(((BULK_ENABLED="Y")*((BULK_TIER="ALL")+(BULK_TIER=$F33))*((BULK_SKU="ALL")+(BULK_SKU=$G33))*(BULK_START&lt;=12)*(BULK_END&gt;=12)))),0),ROUND((INDEX(VELOCITY_TABLE,MATCH($F33,TIER_LIST,0),2))*(IF((12-$I33+1)&lt;=0,0,IF((12-$I33+1)=1,RAMP_W1,IF((12-$I33+1)=2,RAMP_W2,IF((12-$I33+1)=3,RAMP_W3,RAMP_W4PLUS)))))*(INDEX(ACTIVE_MULT_TABLE,2,1))*(1+SUMPRODUCT(SIGN(((ACT_DOOR_SCOPE="ALL")+(ACT_DOOR_SCOPE="TIER_"&amp;$F33)+(ACT_DOOR_SCOPE=$B33)))*SIGN(((ACT_SKU_SCOPE="ALL")+(ACT_SKU_SCOPE=$G33)))*(ACT_START&lt;=12)*(ACT_END&gt;=12)*IFERROR(ACT_UPLIFT-1,0)))*(1+SUMPRODUCT(SIGN(((ACT_DOOR_SCOPE="ALL")+(ACT_DOOR_SCOPE="TIER_"&amp;$F33)+(ACT_DOOR_SCOPE=$B33)))*SIGN(((ACT_SKU_SCOPE="ALL")+(ACT_SKU_SCOPE=$G33)))*(12&gt;ACT_END)*(ACT_END&gt;0)*IFERROR(ACT_POSTLIFT,0))),0)))</f>
        <v/>
      </c>
      <c r="V33" s="10">
        <f>IF(OR($H33&lt;&gt;"Y",13&lt;$I33),0,IF(SUMPRODUCT(((BULK_ENABLED="Y")*((BULK_TIER="ALL")+(BULK_TIER=$F33))*((BULK_SKU="ALL")+(BULK_SKU=$G33))*(BULK_START&lt;=13)*(BULK_END&gt;=13)))&gt;0,IFERROR(SUMPRODUCT(((BULK_ENABLED="Y")*((BULK_TIER="ALL")+(BULK_TIER=$F33))*((BULK_SKU="ALL")+(BULK_SKU=$G33))*(BULK_START&lt;=13)*(BULK_END&gt;=13))*IFERROR(BULK_VALUE,0))/MAX(1,SUMPRODUCT(((BULK_ENABLED="Y")*((BULK_TIER="ALL")+(BULK_TIER=$F33))*((BULK_SKU="ALL")+(BULK_SKU=$G33))*(BULK_START&lt;=13)*(BULK_END&gt;=13)))),0),ROUND((INDEX(VELOCITY_TABLE,MATCH($F33,TIER_LIST,0),2))*(IF((13-$I33+1)&lt;=0,0,IF((13-$I33+1)=1,RAMP_W1,IF((13-$I33+1)=2,RAMP_W2,IF((13-$I33+1)=3,RAMP_W3,RAMP_W4PLUS)))))*(INDEX(ACTIVE_MULT_TABLE,2,1))*(1+SUMPRODUCT(SIGN(((ACT_DOOR_SCOPE="ALL")+(ACT_DOOR_SCOPE="TIER_"&amp;$F33)+(ACT_DOOR_SCOPE=$B33)))*SIGN(((ACT_SKU_SCOPE="ALL")+(ACT_SKU_SCOPE=$G33)))*(ACT_START&lt;=13)*(ACT_END&gt;=13)*IFERROR(ACT_UPLIFT-1,0)))*(1+SUMPRODUCT(SIGN(((ACT_DOOR_SCOPE="ALL")+(ACT_DOOR_SCOPE="TIER_"&amp;$F33)+(ACT_DOOR_SCOPE=$B33)))*SIGN(((ACT_SKU_SCOPE="ALL")+(ACT_SKU_SCOPE=$G33)))*(13&gt;ACT_END)*(ACT_END&gt;0)*IFERROR(ACT_POSTLIFT,0))),0)))</f>
        <v/>
      </c>
    </row>
    <row r="34">
      <c r="A34" t="inlineStr">
        <is>
          <t>R0030</t>
        </is>
      </c>
      <c r="B34">
        <f>Doors!$A$14</f>
        <v/>
      </c>
      <c r="C34">
        <f>Doors!$C$14</f>
        <v/>
      </c>
      <c r="D34">
        <f>Doors!$B$14</f>
        <v/>
      </c>
      <c r="E34">
        <f>Doors!$E$14</f>
        <v/>
      </c>
      <c r="F34">
        <f>Doors!$F$14</f>
        <v/>
      </c>
      <c r="G34" t="inlineStr">
        <is>
          <t>Raspberry</t>
        </is>
      </c>
      <c r="H34">
        <f>Doors!$I$14</f>
        <v/>
      </c>
      <c r="I34">
        <f>Doors!$J$14</f>
        <v/>
      </c>
      <c r="J34" s="10">
        <f>IF(OR($H34&lt;&gt;"Y",1&lt;$I34),0,IF(SUMPRODUCT(((BULK_ENABLED="Y")*((BULK_TIER="ALL")+(BULK_TIER=$F34))*((BULK_SKU="ALL")+(BULK_SKU=$G34))*(BULK_START&lt;=1)*(BULK_END&gt;=1)))&gt;0,IFERROR(SUMPRODUCT(((BULK_ENABLED="Y")*((BULK_TIER="ALL")+(BULK_TIER=$F34))*((BULK_SKU="ALL")+(BULK_SKU=$G34))*(BULK_START&lt;=1)*(BULK_END&gt;=1))*IFERROR(BULK_VALUE,0))/MAX(1,SUMPRODUCT(((BULK_ENABLED="Y")*((BULK_TIER="ALL")+(BULK_TIER=$F34))*((BULK_SKU="ALL")+(BULK_SKU=$G34))*(BULK_START&lt;=1)*(BULK_END&gt;=1)))),0),ROUND((INDEX(VELOCITY_TABLE,MATCH($F34,TIER_LIST,0),3))*(IF((1-$I34+1)&lt;=0,0,IF((1-$I34+1)=1,RAMP_W1,IF((1-$I34+1)=2,RAMP_W2,IF((1-$I34+1)=3,RAMP_W3,RAMP_W4PLUS)))))*(INDEX(ACTIVE_MULT_TABLE,3,1))*(1+SUMPRODUCT(SIGN(((ACT_DOOR_SCOPE="ALL")+(ACT_DOOR_SCOPE="TIER_"&amp;$F34)+(ACT_DOOR_SCOPE=$B34)))*SIGN(((ACT_SKU_SCOPE="ALL")+(ACT_SKU_SCOPE=$G34)))*(ACT_START&lt;=1)*(ACT_END&gt;=1)*IFERROR(ACT_UPLIFT-1,0)))*(1+SUMPRODUCT(SIGN(((ACT_DOOR_SCOPE="ALL")+(ACT_DOOR_SCOPE="TIER_"&amp;$F34)+(ACT_DOOR_SCOPE=$B34)))*SIGN(((ACT_SKU_SCOPE="ALL")+(ACT_SKU_SCOPE=$G34)))*(1&gt;ACT_END)*(ACT_END&gt;0)*IFERROR(ACT_POSTLIFT,0))),0)))</f>
        <v/>
      </c>
      <c r="K34" s="10">
        <f>IF(OR($H34&lt;&gt;"Y",2&lt;$I34),0,IF(SUMPRODUCT(((BULK_ENABLED="Y")*((BULK_TIER="ALL")+(BULK_TIER=$F34))*((BULK_SKU="ALL")+(BULK_SKU=$G34))*(BULK_START&lt;=2)*(BULK_END&gt;=2)))&gt;0,IFERROR(SUMPRODUCT(((BULK_ENABLED="Y")*((BULK_TIER="ALL")+(BULK_TIER=$F34))*((BULK_SKU="ALL")+(BULK_SKU=$G34))*(BULK_START&lt;=2)*(BULK_END&gt;=2))*IFERROR(BULK_VALUE,0))/MAX(1,SUMPRODUCT(((BULK_ENABLED="Y")*((BULK_TIER="ALL")+(BULK_TIER=$F34))*((BULK_SKU="ALL")+(BULK_SKU=$G34))*(BULK_START&lt;=2)*(BULK_END&gt;=2)))),0),ROUND((INDEX(VELOCITY_TABLE,MATCH($F34,TIER_LIST,0),3))*(IF((2-$I34+1)&lt;=0,0,IF((2-$I34+1)=1,RAMP_W1,IF((2-$I34+1)=2,RAMP_W2,IF((2-$I34+1)=3,RAMP_W3,RAMP_W4PLUS)))))*(INDEX(ACTIVE_MULT_TABLE,3,1))*(1+SUMPRODUCT(SIGN(((ACT_DOOR_SCOPE="ALL")+(ACT_DOOR_SCOPE="TIER_"&amp;$F34)+(ACT_DOOR_SCOPE=$B34)))*SIGN(((ACT_SKU_SCOPE="ALL")+(ACT_SKU_SCOPE=$G34)))*(ACT_START&lt;=2)*(ACT_END&gt;=2)*IFERROR(ACT_UPLIFT-1,0)))*(1+SUMPRODUCT(SIGN(((ACT_DOOR_SCOPE="ALL")+(ACT_DOOR_SCOPE="TIER_"&amp;$F34)+(ACT_DOOR_SCOPE=$B34)))*SIGN(((ACT_SKU_SCOPE="ALL")+(ACT_SKU_SCOPE=$G34)))*(2&gt;ACT_END)*(ACT_END&gt;0)*IFERROR(ACT_POSTLIFT,0))),0)))</f>
        <v/>
      </c>
      <c r="L34" s="10">
        <f>IF(OR($H34&lt;&gt;"Y",3&lt;$I34),0,IF(SUMPRODUCT(((BULK_ENABLED="Y")*((BULK_TIER="ALL")+(BULK_TIER=$F34))*((BULK_SKU="ALL")+(BULK_SKU=$G34))*(BULK_START&lt;=3)*(BULK_END&gt;=3)))&gt;0,IFERROR(SUMPRODUCT(((BULK_ENABLED="Y")*((BULK_TIER="ALL")+(BULK_TIER=$F34))*((BULK_SKU="ALL")+(BULK_SKU=$G34))*(BULK_START&lt;=3)*(BULK_END&gt;=3))*IFERROR(BULK_VALUE,0))/MAX(1,SUMPRODUCT(((BULK_ENABLED="Y")*((BULK_TIER="ALL")+(BULK_TIER=$F34))*((BULK_SKU="ALL")+(BULK_SKU=$G34))*(BULK_START&lt;=3)*(BULK_END&gt;=3)))),0),ROUND((INDEX(VELOCITY_TABLE,MATCH($F34,TIER_LIST,0),3))*(IF((3-$I34+1)&lt;=0,0,IF((3-$I34+1)=1,RAMP_W1,IF((3-$I34+1)=2,RAMP_W2,IF((3-$I34+1)=3,RAMP_W3,RAMP_W4PLUS)))))*(INDEX(ACTIVE_MULT_TABLE,3,1))*(1+SUMPRODUCT(SIGN(((ACT_DOOR_SCOPE="ALL")+(ACT_DOOR_SCOPE="TIER_"&amp;$F34)+(ACT_DOOR_SCOPE=$B34)))*SIGN(((ACT_SKU_SCOPE="ALL")+(ACT_SKU_SCOPE=$G34)))*(ACT_START&lt;=3)*(ACT_END&gt;=3)*IFERROR(ACT_UPLIFT-1,0)))*(1+SUMPRODUCT(SIGN(((ACT_DOOR_SCOPE="ALL")+(ACT_DOOR_SCOPE="TIER_"&amp;$F34)+(ACT_DOOR_SCOPE=$B34)))*SIGN(((ACT_SKU_SCOPE="ALL")+(ACT_SKU_SCOPE=$G34)))*(3&gt;ACT_END)*(ACT_END&gt;0)*IFERROR(ACT_POSTLIFT,0))),0)))</f>
        <v/>
      </c>
      <c r="M34" s="10">
        <f>IF(OR($H34&lt;&gt;"Y",4&lt;$I34),0,IF(SUMPRODUCT(((BULK_ENABLED="Y")*((BULK_TIER="ALL")+(BULK_TIER=$F34))*((BULK_SKU="ALL")+(BULK_SKU=$G34))*(BULK_START&lt;=4)*(BULK_END&gt;=4)))&gt;0,IFERROR(SUMPRODUCT(((BULK_ENABLED="Y")*((BULK_TIER="ALL")+(BULK_TIER=$F34))*((BULK_SKU="ALL")+(BULK_SKU=$G34))*(BULK_START&lt;=4)*(BULK_END&gt;=4))*IFERROR(BULK_VALUE,0))/MAX(1,SUMPRODUCT(((BULK_ENABLED="Y")*((BULK_TIER="ALL")+(BULK_TIER=$F34))*((BULK_SKU="ALL")+(BULK_SKU=$G34))*(BULK_START&lt;=4)*(BULK_END&gt;=4)))),0),ROUND((INDEX(VELOCITY_TABLE,MATCH($F34,TIER_LIST,0),3))*(IF((4-$I34+1)&lt;=0,0,IF((4-$I34+1)=1,RAMP_W1,IF((4-$I34+1)=2,RAMP_W2,IF((4-$I34+1)=3,RAMP_W3,RAMP_W4PLUS)))))*(INDEX(ACTIVE_MULT_TABLE,3,1))*(1+SUMPRODUCT(SIGN(((ACT_DOOR_SCOPE="ALL")+(ACT_DOOR_SCOPE="TIER_"&amp;$F34)+(ACT_DOOR_SCOPE=$B34)))*SIGN(((ACT_SKU_SCOPE="ALL")+(ACT_SKU_SCOPE=$G34)))*(ACT_START&lt;=4)*(ACT_END&gt;=4)*IFERROR(ACT_UPLIFT-1,0)))*(1+SUMPRODUCT(SIGN(((ACT_DOOR_SCOPE="ALL")+(ACT_DOOR_SCOPE="TIER_"&amp;$F34)+(ACT_DOOR_SCOPE=$B34)))*SIGN(((ACT_SKU_SCOPE="ALL")+(ACT_SKU_SCOPE=$G34)))*(4&gt;ACT_END)*(ACT_END&gt;0)*IFERROR(ACT_POSTLIFT,0))),0)))</f>
        <v/>
      </c>
      <c r="N34" s="10">
        <f>IF(OR($H34&lt;&gt;"Y",5&lt;$I34),0,IF(SUMPRODUCT(((BULK_ENABLED="Y")*((BULK_TIER="ALL")+(BULK_TIER=$F34))*((BULK_SKU="ALL")+(BULK_SKU=$G34))*(BULK_START&lt;=5)*(BULK_END&gt;=5)))&gt;0,IFERROR(SUMPRODUCT(((BULK_ENABLED="Y")*((BULK_TIER="ALL")+(BULK_TIER=$F34))*((BULK_SKU="ALL")+(BULK_SKU=$G34))*(BULK_START&lt;=5)*(BULK_END&gt;=5))*IFERROR(BULK_VALUE,0))/MAX(1,SUMPRODUCT(((BULK_ENABLED="Y")*((BULK_TIER="ALL")+(BULK_TIER=$F34))*((BULK_SKU="ALL")+(BULK_SKU=$G34))*(BULK_START&lt;=5)*(BULK_END&gt;=5)))),0),ROUND((INDEX(VELOCITY_TABLE,MATCH($F34,TIER_LIST,0),3))*(IF((5-$I34+1)&lt;=0,0,IF((5-$I34+1)=1,RAMP_W1,IF((5-$I34+1)=2,RAMP_W2,IF((5-$I34+1)=3,RAMP_W3,RAMP_W4PLUS)))))*(INDEX(ACTIVE_MULT_TABLE,3,1))*(1+SUMPRODUCT(SIGN(((ACT_DOOR_SCOPE="ALL")+(ACT_DOOR_SCOPE="TIER_"&amp;$F34)+(ACT_DOOR_SCOPE=$B34)))*SIGN(((ACT_SKU_SCOPE="ALL")+(ACT_SKU_SCOPE=$G34)))*(ACT_START&lt;=5)*(ACT_END&gt;=5)*IFERROR(ACT_UPLIFT-1,0)))*(1+SUMPRODUCT(SIGN(((ACT_DOOR_SCOPE="ALL")+(ACT_DOOR_SCOPE="TIER_"&amp;$F34)+(ACT_DOOR_SCOPE=$B34)))*SIGN(((ACT_SKU_SCOPE="ALL")+(ACT_SKU_SCOPE=$G34)))*(5&gt;ACT_END)*(ACT_END&gt;0)*IFERROR(ACT_POSTLIFT,0))),0)))</f>
        <v/>
      </c>
      <c r="O34" s="10">
        <f>IF(OR($H34&lt;&gt;"Y",6&lt;$I34),0,IF(SUMPRODUCT(((BULK_ENABLED="Y")*((BULK_TIER="ALL")+(BULK_TIER=$F34))*((BULK_SKU="ALL")+(BULK_SKU=$G34))*(BULK_START&lt;=6)*(BULK_END&gt;=6)))&gt;0,IFERROR(SUMPRODUCT(((BULK_ENABLED="Y")*((BULK_TIER="ALL")+(BULK_TIER=$F34))*((BULK_SKU="ALL")+(BULK_SKU=$G34))*(BULK_START&lt;=6)*(BULK_END&gt;=6))*IFERROR(BULK_VALUE,0))/MAX(1,SUMPRODUCT(((BULK_ENABLED="Y")*((BULK_TIER="ALL")+(BULK_TIER=$F34))*((BULK_SKU="ALL")+(BULK_SKU=$G34))*(BULK_START&lt;=6)*(BULK_END&gt;=6)))),0),ROUND((INDEX(VELOCITY_TABLE,MATCH($F34,TIER_LIST,0),3))*(IF((6-$I34+1)&lt;=0,0,IF((6-$I34+1)=1,RAMP_W1,IF((6-$I34+1)=2,RAMP_W2,IF((6-$I34+1)=3,RAMP_W3,RAMP_W4PLUS)))))*(INDEX(ACTIVE_MULT_TABLE,3,1))*(1+SUMPRODUCT(SIGN(((ACT_DOOR_SCOPE="ALL")+(ACT_DOOR_SCOPE="TIER_"&amp;$F34)+(ACT_DOOR_SCOPE=$B34)))*SIGN(((ACT_SKU_SCOPE="ALL")+(ACT_SKU_SCOPE=$G34)))*(ACT_START&lt;=6)*(ACT_END&gt;=6)*IFERROR(ACT_UPLIFT-1,0)))*(1+SUMPRODUCT(SIGN(((ACT_DOOR_SCOPE="ALL")+(ACT_DOOR_SCOPE="TIER_"&amp;$F34)+(ACT_DOOR_SCOPE=$B34)))*SIGN(((ACT_SKU_SCOPE="ALL")+(ACT_SKU_SCOPE=$G34)))*(6&gt;ACT_END)*(ACT_END&gt;0)*IFERROR(ACT_POSTLIFT,0))),0)))</f>
        <v/>
      </c>
      <c r="P34" s="10">
        <f>IF(OR($H34&lt;&gt;"Y",7&lt;$I34),0,IF(SUMPRODUCT(((BULK_ENABLED="Y")*((BULK_TIER="ALL")+(BULK_TIER=$F34))*((BULK_SKU="ALL")+(BULK_SKU=$G34))*(BULK_START&lt;=7)*(BULK_END&gt;=7)))&gt;0,IFERROR(SUMPRODUCT(((BULK_ENABLED="Y")*((BULK_TIER="ALL")+(BULK_TIER=$F34))*((BULK_SKU="ALL")+(BULK_SKU=$G34))*(BULK_START&lt;=7)*(BULK_END&gt;=7))*IFERROR(BULK_VALUE,0))/MAX(1,SUMPRODUCT(((BULK_ENABLED="Y")*((BULK_TIER="ALL")+(BULK_TIER=$F34))*((BULK_SKU="ALL")+(BULK_SKU=$G34))*(BULK_START&lt;=7)*(BULK_END&gt;=7)))),0),ROUND((INDEX(VELOCITY_TABLE,MATCH($F34,TIER_LIST,0),3))*(IF((7-$I34+1)&lt;=0,0,IF((7-$I34+1)=1,RAMP_W1,IF((7-$I34+1)=2,RAMP_W2,IF((7-$I34+1)=3,RAMP_W3,RAMP_W4PLUS)))))*(INDEX(ACTIVE_MULT_TABLE,3,1))*(1+SUMPRODUCT(SIGN(((ACT_DOOR_SCOPE="ALL")+(ACT_DOOR_SCOPE="TIER_"&amp;$F34)+(ACT_DOOR_SCOPE=$B34)))*SIGN(((ACT_SKU_SCOPE="ALL")+(ACT_SKU_SCOPE=$G34)))*(ACT_START&lt;=7)*(ACT_END&gt;=7)*IFERROR(ACT_UPLIFT-1,0)))*(1+SUMPRODUCT(SIGN(((ACT_DOOR_SCOPE="ALL")+(ACT_DOOR_SCOPE="TIER_"&amp;$F34)+(ACT_DOOR_SCOPE=$B34)))*SIGN(((ACT_SKU_SCOPE="ALL")+(ACT_SKU_SCOPE=$G34)))*(7&gt;ACT_END)*(ACT_END&gt;0)*IFERROR(ACT_POSTLIFT,0))),0)))</f>
        <v/>
      </c>
      <c r="Q34" s="10">
        <f>IF(OR($H34&lt;&gt;"Y",8&lt;$I34),0,IF(SUMPRODUCT(((BULK_ENABLED="Y")*((BULK_TIER="ALL")+(BULK_TIER=$F34))*((BULK_SKU="ALL")+(BULK_SKU=$G34))*(BULK_START&lt;=8)*(BULK_END&gt;=8)))&gt;0,IFERROR(SUMPRODUCT(((BULK_ENABLED="Y")*((BULK_TIER="ALL")+(BULK_TIER=$F34))*((BULK_SKU="ALL")+(BULK_SKU=$G34))*(BULK_START&lt;=8)*(BULK_END&gt;=8))*IFERROR(BULK_VALUE,0))/MAX(1,SUMPRODUCT(((BULK_ENABLED="Y")*((BULK_TIER="ALL")+(BULK_TIER=$F34))*((BULK_SKU="ALL")+(BULK_SKU=$G34))*(BULK_START&lt;=8)*(BULK_END&gt;=8)))),0),ROUND((INDEX(VELOCITY_TABLE,MATCH($F34,TIER_LIST,0),3))*(IF((8-$I34+1)&lt;=0,0,IF((8-$I34+1)=1,RAMP_W1,IF((8-$I34+1)=2,RAMP_W2,IF((8-$I34+1)=3,RAMP_W3,RAMP_W4PLUS)))))*(INDEX(ACTIVE_MULT_TABLE,3,1))*(1+SUMPRODUCT(SIGN(((ACT_DOOR_SCOPE="ALL")+(ACT_DOOR_SCOPE="TIER_"&amp;$F34)+(ACT_DOOR_SCOPE=$B34)))*SIGN(((ACT_SKU_SCOPE="ALL")+(ACT_SKU_SCOPE=$G34)))*(ACT_START&lt;=8)*(ACT_END&gt;=8)*IFERROR(ACT_UPLIFT-1,0)))*(1+SUMPRODUCT(SIGN(((ACT_DOOR_SCOPE="ALL")+(ACT_DOOR_SCOPE="TIER_"&amp;$F34)+(ACT_DOOR_SCOPE=$B34)))*SIGN(((ACT_SKU_SCOPE="ALL")+(ACT_SKU_SCOPE=$G34)))*(8&gt;ACT_END)*(ACT_END&gt;0)*IFERROR(ACT_POSTLIFT,0))),0)))</f>
        <v/>
      </c>
      <c r="R34" s="10">
        <f>IF(OR($H34&lt;&gt;"Y",9&lt;$I34),0,IF(SUMPRODUCT(((BULK_ENABLED="Y")*((BULK_TIER="ALL")+(BULK_TIER=$F34))*((BULK_SKU="ALL")+(BULK_SKU=$G34))*(BULK_START&lt;=9)*(BULK_END&gt;=9)))&gt;0,IFERROR(SUMPRODUCT(((BULK_ENABLED="Y")*((BULK_TIER="ALL")+(BULK_TIER=$F34))*((BULK_SKU="ALL")+(BULK_SKU=$G34))*(BULK_START&lt;=9)*(BULK_END&gt;=9))*IFERROR(BULK_VALUE,0))/MAX(1,SUMPRODUCT(((BULK_ENABLED="Y")*((BULK_TIER="ALL")+(BULK_TIER=$F34))*((BULK_SKU="ALL")+(BULK_SKU=$G34))*(BULK_START&lt;=9)*(BULK_END&gt;=9)))),0),ROUND((INDEX(VELOCITY_TABLE,MATCH($F34,TIER_LIST,0),3))*(IF((9-$I34+1)&lt;=0,0,IF((9-$I34+1)=1,RAMP_W1,IF((9-$I34+1)=2,RAMP_W2,IF((9-$I34+1)=3,RAMP_W3,RAMP_W4PLUS)))))*(INDEX(ACTIVE_MULT_TABLE,3,1))*(1+SUMPRODUCT(SIGN(((ACT_DOOR_SCOPE="ALL")+(ACT_DOOR_SCOPE="TIER_"&amp;$F34)+(ACT_DOOR_SCOPE=$B34)))*SIGN(((ACT_SKU_SCOPE="ALL")+(ACT_SKU_SCOPE=$G34)))*(ACT_START&lt;=9)*(ACT_END&gt;=9)*IFERROR(ACT_UPLIFT-1,0)))*(1+SUMPRODUCT(SIGN(((ACT_DOOR_SCOPE="ALL")+(ACT_DOOR_SCOPE="TIER_"&amp;$F34)+(ACT_DOOR_SCOPE=$B34)))*SIGN(((ACT_SKU_SCOPE="ALL")+(ACT_SKU_SCOPE=$G34)))*(9&gt;ACT_END)*(ACT_END&gt;0)*IFERROR(ACT_POSTLIFT,0))),0)))</f>
        <v/>
      </c>
      <c r="S34" s="10">
        <f>IF(OR($H34&lt;&gt;"Y",10&lt;$I34),0,IF(SUMPRODUCT(((BULK_ENABLED="Y")*((BULK_TIER="ALL")+(BULK_TIER=$F34))*((BULK_SKU="ALL")+(BULK_SKU=$G34))*(BULK_START&lt;=10)*(BULK_END&gt;=10)))&gt;0,IFERROR(SUMPRODUCT(((BULK_ENABLED="Y")*((BULK_TIER="ALL")+(BULK_TIER=$F34))*((BULK_SKU="ALL")+(BULK_SKU=$G34))*(BULK_START&lt;=10)*(BULK_END&gt;=10))*IFERROR(BULK_VALUE,0))/MAX(1,SUMPRODUCT(((BULK_ENABLED="Y")*((BULK_TIER="ALL")+(BULK_TIER=$F34))*((BULK_SKU="ALL")+(BULK_SKU=$G34))*(BULK_START&lt;=10)*(BULK_END&gt;=10)))),0),ROUND((INDEX(VELOCITY_TABLE,MATCH($F34,TIER_LIST,0),3))*(IF((10-$I34+1)&lt;=0,0,IF((10-$I34+1)=1,RAMP_W1,IF((10-$I34+1)=2,RAMP_W2,IF((10-$I34+1)=3,RAMP_W3,RAMP_W4PLUS)))))*(INDEX(ACTIVE_MULT_TABLE,3,1))*(1+SUMPRODUCT(SIGN(((ACT_DOOR_SCOPE="ALL")+(ACT_DOOR_SCOPE="TIER_"&amp;$F34)+(ACT_DOOR_SCOPE=$B34)))*SIGN(((ACT_SKU_SCOPE="ALL")+(ACT_SKU_SCOPE=$G34)))*(ACT_START&lt;=10)*(ACT_END&gt;=10)*IFERROR(ACT_UPLIFT-1,0)))*(1+SUMPRODUCT(SIGN(((ACT_DOOR_SCOPE="ALL")+(ACT_DOOR_SCOPE="TIER_"&amp;$F34)+(ACT_DOOR_SCOPE=$B34)))*SIGN(((ACT_SKU_SCOPE="ALL")+(ACT_SKU_SCOPE=$G34)))*(10&gt;ACT_END)*(ACT_END&gt;0)*IFERROR(ACT_POSTLIFT,0))),0)))</f>
        <v/>
      </c>
      <c r="T34" s="10">
        <f>IF(OR($H34&lt;&gt;"Y",11&lt;$I34),0,IF(SUMPRODUCT(((BULK_ENABLED="Y")*((BULK_TIER="ALL")+(BULK_TIER=$F34))*((BULK_SKU="ALL")+(BULK_SKU=$G34))*(BULK_START&lt;=11)*(BULK_END&gt;=11)))&gt;0,IFERROR(SUMPRODUCT(((BULK_ENABLED="Y")*((BULK_TIER="ALL")+(BULK_TIER=$F34))*((BULK_SKU="ALL")+(BULK_SKU=$G34))*(BULK_START&lt;=11)*(BULK_END&gt;=11))*IFERROR(BULK_VALUE,0))/MAX(1,SUMPRODUCT(((BULK_ENABLED="Y")*((BULK_TIER="ALL")+(BULK_TIER=$F34))*((BULK_SKU="ALL")+(BULK_SKU=$G34))*(BULK_START&lt;=11)*(BULK_END&gt;=11)))),0),ROUND((INDEX(VELOCITY_TABLE,MATCH($F34,TIER_LIST,0),3))*(IF((11-$I34+1)&lt;=0,0,IF((11-$I34+1)=1,RAMP_W1,IF((11-$I34+1)=2,RAMP_W2,IF((11-$I34+1)=3,RAMP_W3,RAMP_W4PLUS)))))*(INDEX(ACTIVE_MULT_TABLE,3,1))*(1+SUMPRODUCT(SIGN(((ACT_DOOR_SCOPE="ALL")+(ACT_DOOR_SCOPE="TIER_"&amp;$F34)+(ACT_DOOR_SCOPE=$B34)))*SIGN(((ACT_SKU_SCOPE="ALL")+(ACT_SKU_SCOPE=$G34)))*(ACT_START&lt;=11)*(ACT_END&gt;=11)*IFERROR(ACT_UPLIFT-1,0)))*(1+SUMPRODUCT(SIGN(((ACT_DOOR_SCOPE="ALL")+(ACT_DOOR_SCOPE="TIER_"&amp;$F34)+(ACT_DOOR_SCOPE=$B34)))*SIGN(((ACT_SKU_SCOPE="ALL")+(ACT_SKU_SCOPE=$G34)))*(11&gt;ACT_END)*(ACT_END&gt;0)*IFERROR(ACT_POSTLIFT,0))),0)))</f>
        <v/>
      </c>
      <c r="U34" s="10">
        <f>IF(OR($H34&lt;&gt;"Y",12&lt;$I34),0,IF(SUMPRODUCT(((BULK_ENABLED="Y")*((BULK_TIER="ALL")+(BULK_TIER=$F34))*((BULK_SKU="ALL")+(BULK_SKU=$G34))*(BULK_START&lt;=12)*(BULK_END&gt;=12)))&gt;0,IFERROR(SUMPRODUCT(((BULK_ENABLED="Y")*((BULK_TIER="ALL")+(BULK_TIER=$F34))*((BULK_SKU="ALL")+(BULK_SKU=$G34))*(BULK_START&lt;=12)*(BULK_END&gt;=12))*IFERROR(BULK_VALUE,0))/MAX(1,SUMPRODUCT(((BULK_ENABLED="Y")*((BULK_TIER="ALL")+(BULK_TIER=$F34))*((BULK_SKU="ALL")+(BULK_SKU=$G34))*(BULK_START&lt;=12)*(BULK_END&gt;=12)))),0),ROUND((INDEX(VELOCITY_TABLE,MATCH($F34,TIER_LIST,0),3))*(IF((12-$I34+1)&lt;=0,0,IF((12-$I34+1)=1,RAMP_W1,IF((12-$I34+1)=2,RAMP_W2,IF((12-$I34+1)=3,RAMP_W3,RAMP_W4PLUS)))))*(INDEX(ACTIVE_MULT_TABLE,3,1))*(1+SUMPRODUCT(SIGN(((ACT_DOOR_SCOPE="ALL")+(ACT_DOOR_SCOPE="TIER_"&amp;$F34)+(ACT_DOOR_SCOPE=$B34)))*SIGN(((ACT_SKU_SCOPE="ALL")+(ACT_SKU_SCOPE=$G34)))*(ACT_START&lt;=12)*(ACT_END&gt;=12)*IFERROR(ACT_UPLIFT-1,0)))*(1+SUMPRODUCT(SIGN(((ACT_DOOR_SCOPE="ALL")+(ACT_DOOR_SCOPE="TIER_"&amp;$F34)+(ACT_DOOR_SCOPE=$B34)))*SIGN(((ACT_SKU_SCOPE="ALL")+(ACT_SKU_SCOPE=$G34)))*(12&gt;ACT_END)*(ACT_END&gt;0)*IFERROR(ACT_POSTLIFT,0))),0)))</f>
        <v/>
      </c>
      <c r="V34" s="10">
        <f>IF(OR($H34&lt;&gt;"Y",13&lt;$I34),0,IF(SUMPRODUCT(((BULK_ENABLED="Y")*((BULK_TIER="ALL")+(BULK_TIER=$F34))*((BULK_SKU="ALL")+(BULK_SKU=$G34))*(BULK_START&lt;=13)*(BULK_END&gt;=13)))&gt;0,IFERROR(SUMPRODUCT(((BULK_ENABLED="Y")*((BULK_TIER="ALL")+(BULK_TIER=$F34))*((BULK_SKU="ALL")+(BULK_SKU=$G34))*(BULK_START&lt;=13)*(BULK_END&gt;=13))*IFERROR(BULK_VALUE,0))/MAX(1,SUMPRODUCT(((BULK_ENABLED="Y")*((BULK_TIER="ALL")+(BULK_TIER=$F34))*((BULK_SKU="ALL")+(BULK_SKU=$G34))*(BULK_START&lt;=13)*(BULK_END&gt;=13)))),0),ROUND((INDEX(VELOCITY_TABLE,MATCH($F34,TIER_LIST,0),3))*(IF((13-$I34+1)&lt;=0,0,IF((13-$I34+1)=1,RAMP_W1,IF((13-$I34+1)=2,RAMP_W2,IF((13-$I34+1)=3,RAMP_W3,RAMP_W4PLUS)))))*(INDEX(ACTIVE_MULT_TABLE,3,1))*(1+SUMPRODUCT(SIGN(((ACT_DOOR_SCOPE="ALL")+(ACT_DOOR_SCOPE="TIER_"&amp;$F34)+(ACT_DOOR_SCOPE=$B34)))*SIGN(((ACT_SKU_SCOPE="ALL")+(ACT_SKU_SCOPE=$G34)))*(ACT_START&lt;=13)*(ACT_END&gt;=13)*IFERROR(ACT_UPLIFT-1,0)))*(1+SUMPRODUCT(SIGN(((ACT_DOOR_SCOPE="ALL")+(ACT_DOOR_SCOPE="TIER_"&amp;$F34)+(ACT_DOOR_SCOPE=$B34)))*SIGN(((ACT_SKU_SCOPE="ALL")+(ACT_SKU_SCOPE=$G34)))*(13&gt;ACT_END)*(ACT_END&gt;0)*IFERROR(ACT_POSTLIFT,0))),0)))</f>
        <v/>
      </c>
    </row>
    <row r="35">
      <c r="A35" t="inlineStr">
        <is>
          <t>R0031</t>
        </is>
      </c>
      <c r="B35">
        <f>Doors!$A$15</f>
        <v/>
      </c>
      <c r="C35">
        <f>Doors!$C$15</f>
        <v/>
      </c>
      <c r="D35">
        <f>Doors!$B$15</f>
        <v/>
      </c>
      <c r="E35">
        <f>Doors!$E$15</f>
        <v/>
      </c>
      <c r="F35">
        <f>Doors!$F$15</f>
        <v/>
      </c>
      <c r="G35" t="inlineStr">
        <is>
          <t>Lime Lemon</t>
        </is>
      </c>
      <c r="H35">
        <f>Doors!$G$15</f>
        <v/>
      </c>
      <c r="I35">
        <f>Doors!$J$15</f>
        <v/>
      </c>
      <c r="J35" s="10">
        <f>IF(OR($H35&lt;&gt;"Y",1&lt;$I35),0,IF(SUMPRODUCT(((BULK_ENABLED="Y")*((BULK_TIER="ALL")+(BULK_TIER=$F35))*((BULK_SKU="ALL")+(BULK_SKU=$G35))*(BULK_START&lt;=1)*(BULK_END&gt;=1)))&gt;0,IFERROR(SUMPRODUCT(((BULK_ENABLED="Y")*((BULK_TIER="ALL")+(BULK_TIER=$F35))*((BULK_SKU="ALL")+(BULK_SKU=$G35))*(BULK_START&lt;=1)*(BULK_END&gt;=1))*IFERROR(BULK_VALUE,0))/MAX(1,SUMPRODUCT(((BULK_ENABLED="Y")*((BULK_TIER="ALL")+(BULK_TIER=$F35))*((BULK_SKU="ALL")+(BULK_SKU=$G35))*(BULK_START&lt;=1)*(BULK_END&gt;=1)))),0),ROUND((INDEX(VELOCITY_TABLE,MATCH($F35,TIER_LIST,0),1))*(IF((1-$I35+1)&lt;=0,0,IF((1-$I35+1)=1,RAMP_W1,IF((1-$I35+1)=2,RAMP_W2,IF((1-$I35+1)=3,RAMP_W3,RAMP_W4PLUS)))))*(INDEX(ACTIVE_MULT_TABLE,1,1))*(1+SUMPRODUCT(SIGN(((ACT_DOOR_SCOPE="ALL")+(ACT_DOOR_SCOPE="TIER_"&amp;$F35)+(ACT_DOOR_SCOPE=$B35)))*SIGN(((ACT_SKU_SCOPE="ALL")+(ACT_SKU_SCOPE=$G35)))*(ACT_START&lt;=1)*(ACT_END&gt;=1)*IFERROR(ACT_UPLIFT-1,0)))*(1+SUMPRODUCT(SIGN(((ACT_DOOR_SCOPE="ALL")+(ACT_DOOR_SCOPE="TIER_"&amp;$F35)+(ACT_DOOR_SCOPE=$B35)))*SIGN(((ACT_SKU_SCOPE="ALL")+(ACT_SKU_SCOPE=$G35)))*(1&gt;ACT_END)*(ACT_END&gt;0)*IFERROR(ACT_POSTLIFT,0))),0)))</f>
        <v/>
      </c>
      <c r="K35" s="10">
        <f>IF(OR($H35&lt;&gt;"Y",2&lt;$I35),0,IF(SUMPRODUCT(((BULK_ENABLED="Y")*((BULK_TIER="ALL")+(BULK_TIER=$F35))*((BULK_SKU="ALL")+(BULK_SKU=$G35))*(BULK_START&lt;=2)*(BULK_END&gt;=2)))&gt;0,IFERROR(SUMPRODUCT(((BULK_ENABLED="Y")*((BULK_TIER="ALL")+(BULK_TIER=$F35))*((BULK_SKU="ALL")+(BULK_SKU=$G35))*(BULK_START&lt;=2)*(BULK_END&gt;=2))*IFERROR(BULK_VALUE,0))/MAX(1,SUMPRODUCT(((BULK_ENABLED="Y")*((BULK_TIER="ALL")+(BULK_TIER=$F35))*((BULK_SKU="ALL")+(BULK_SKU=$G35))*(BULK_START&lt;=2)*(BULK_END&gt;=2)))),0),ROUND((INDEX(VELOCITY_TABLE,MATCH($F35,TIER_LIST,0),1))*(IF((2-$I35+1)&lt;=0,0,IF((2-$I35+1)=1,RAMP_W1,IF((2-$I35+1)=2,RAMP_W2,IF((2-$I35+1)=3,RAMP_W3,RAMP_W4PLUS)))))*(INDEX(ACTIVE_MULT_TABLE,1,1))*(1+SUMPRODUCT(SIGN(((ACT_DOOR_SCOPE="ALL")+(ACT_DOOR_SCOPE="TIER_"&amp;$F35)+(ACT_DOOR_SCOPE=$B35)))*SIGN(((ACT_SKU_SCOPE="ALL")+(ACT_SKU_SCOPE=$G35)))*(ACT_START&lt;=2)*(ACT_END&gt;=2)*IFERROR(ACT_UPLIFT-1,0)))*(1+SUMPRODUCT(SIGN(((ACT_DOOR_SCOPE="ALL")+(ACT_DOOR_SCOPE="TIER_"&amp;$F35)+(ACT_DOOR_SCOPE=$B35)))*SIGN(((ACT_SKU_SCOPE="ALL")+(ACT_SKU_SCOPE=$G35)))*(2&gt;ACT_END)*(ACT_END&gt;0)*IFERROR(ACT_POSTLIFT,0))),0)))</f>
        <v/>
      </c>
      <c r="L35" s="10">
        <f>IF(OR($H35&lt;&gt;"Y",3&lt;$I35),0,IF(SUMPRODUCT(((BULK_ENABLED="Y")*((BULK_TIER="ALL")+(BULK_TIER=$F35))*((BULK_SKU="ALL")+(BULK_SKU=$G35))*(BULK_START&lt;=3)*(BULK_END&gt;=3)))&gt;0,IFERROR(SUMPRODUCT(((BULK_ENABLED="Y")*((BULK_TIER="ALL")+(BULK_TIER=$F35))*((BULK_SKU="ALL")+(BULK_SKU=$G35))*(BULK_START&lt;=3)*(BULK_END&gt;=3))*IFERROR(BULK_VALUE,0))/MAX(1,SUMPRODUCT(((BULK_ENABLED="Y")*((BULK_TIER="ALL")+(BULK_TIER=$F35))*((BULK_SKU="ALL")+(BULK_SKU=$G35))*(BULK_START&lt;=3)*(BULK_END&gt;=3)))),0),ROUND((INDEX(VELOCITY_TABLE,MATCH($F35,TIER_LIST,0),1))*(IF((3-$I35+1)&lt;=0,0,IF((3-$I35+1)=1,RAMP_W1,IF((3-$I35+1)=2,RAMP_W2,IF((3-$I35+1)=3,RAMP_W3,RAMP_W4PLUS)))))*(INDEX(ACTIVE_MULT_TABLE,1,1))*(1+SUMPRODUCT(SIGN(((ACT_DOOR_SCOPE="ALL")+(ACT_DOOR_SCOPE="TIER_"&amp;$F35)+(ACT_DOOR_SCOPE=$B35)))*SIGN(((ACT_SKU_SCOPE="ALL")+(ACT_SKU_SCOPE=$G35)))*(ACT_START&lt;=3)*(ACT_END&gt;=3)*IFERROR(ACT_UPLIFT-1,0)))*(1+SUMPRODUCT(SIGN(((ACT_DOOR_SCOPE="ALL")+(ACT_DOOR_SCOPE="TIER_"&amp;$F35)+(ACT_DOOR_SCOPE=$B35)))*SIGN(((ACT_SKU_SCOPE="ALL")+(ACT_SKU_SCOPE=$G35)))*(3&gt;ACT_END)*(ACT_END&gt;0)*IFERROR(ACT_POSTLIFT,0))),0)))</f>
        <v/>
      </c>
      <c r="M35" s="10">
        <f>IF(OR($H35&lt;&gt;"Y",4&lt;$I35),0,IF(SUMPRODUCT(((BULK_ENABLED="Y")*((BULK_TIER="ALL")+(BULK_TIER=$F35))*((BULK_SKU="ALL")+(BULK_SKU=$G35))*(BULK_START&lt;=4)*(BULK_END&gt;=4)))&gt;0,IFERROR(SUMPRODUCT(((BULK_ENABLED="Y")*((BULK_TIER="ALL")+(BULK_TIER=$F35))*((BULK_SKU="ALL")+(BULK_SKU=$G35))*(BULK_START&lt;=4)*(BULK_END&gt;=4))*IFERROR(BULK_VALUE,0))/MAX(1,SUMPRODUCT(((BULK_ENABLED="Y")*((BULK_TIER="ALL")+(BULK_TIER=$F35))*((BULK_SKU="ALL")+(BULK_SKU=$G35))*(BULK_START&lt;=4)*(BULK_END&gt;=4)))),0),ROUND((INDEX(VELOCITY_TABLE,MATCH($F35,TIER_LIST,0),1))*(IF((4-$I35+1)&lt;=0,0,IF((4-$I35+1)=1,RAMP_W1,IF((4-$I35+1)=2,RAMP_W2,IF((4-$I35+1)=3,RAMP_W3,RAMP_W4PLUS)))))*(INDEX(ACTIVE_MULT_TABLE,1,1))*(1+SUMPRODUCT(SIGN(((ACT_DOOR_SCOPE="ALL")+(ACT_DOOR_SCOPE="TIER_"&amp;$F35)+(ACT_DOOR_SCOPE=$B35)))*SIGN(((ACT_SKU_SCOPE="ALL")+(ACT_SKU_SCOPE=$G35)))*(ACT_START&lt;=4)*(ACT_END&gt;=4)*IFERROR(ACT_UPLIFT-1,0)))*(1+SUMPRODUCT(SIGN(((ACT_DOOR_SCOPE="ALL")+(ACT_DOOR_SCOPE="TIER_"&amp;$F35)+(ACT_DOOR_SCOPE=$B35)))*SIGN(((ACT_SKU_SCOPE="ALL")+(ACT_SKU_SCOPE=$G35)))*(4&gt;ACT_END)*(ACT_END&gt;0)*IFERROR(ACT_POSTLIFT,0))),0)))</f>
        <v/>
      </c>
      <c r="N35" s="10">
        <f>IF(OR($H35&lt;&gt;"Y",5&lt;$I35),0,IF(SUMPRODUCT(((BULK_ENABLED="Y")*((BULK_TIER="ALL")+(BULK_TIER=$F35))*((BULK_SKU="ALL")+(BULK_SKU=$G35))*(BULK_START&lt;=5)*(BULK_END&gt;=5)))&gt;0,IFERROR(SUMPRODUCT(((BULK_ENABLED="Y")*((BULK_TIER="ALL")+(BULK_TIER=$F35))*((BULK_SKU="ALL")+(BULK_SKU=$G35))*(BULK_START&lt;=5)*(BULK_END&gt;=5))*IFERROR(BULK_VALUE,0))/MAX(1,SUMPRODUCT(((BULK_ENABLED="Y")*((BULK_TIER="ALL")+(BULK_TIER=$F35))*((BULK_SKU="ALL")+(BULK_SKU=$G35))*(BULK_START&lt;=5)*(BULK_END&gt;=5)))),0),ROUND((INDEX(VELOCITY_TABLE,MATCH($F35,TIER_LIST,0),1))*(IF((5-$I35+1)&lt;=0,0,IF((5-$I35+1)=1,RAMP_W1,IF((5-$I35+1)=2,RAMP_W2,IF((5-$I35+1)=3,RAMP_W3,RAMP_W4PLUS)))))*(INDEX(ACTIVE_MULT_TABLE,1,1))*(1+SUMPRODUCT(SIGN(((ACT_DOOR_SCOPE="ALL")+(ACT_DOOR_SCOPE="TIER_"&amp;$F35)+(ACT_DOOR_SCOPE=$B35)))*SIGN(((ACT_SKU_SCOPE="ALL")+(ACT_SKU_SCOPE=$G35)))*(ACT_START&lt;=5)*(ACT_END&gt;=5)*IFERROR(ACT_UPLIFT-1,0)))*(1+SUMPRODUCT(SIGN(((ACT_DOOR_SCOPE="ALL")+(ACT_DOOR_SCOPE="TIER_"&amp;$F35)+(ACT_DOOR_SCOPE=$B35)))*SIGN(((ACT_SKU_SCOPE="ALL")+(ACT_SKU_SCOPE=$G35)))*(5&gt;ACT_END)*(ACT_END&gt;0)*IFERROR(ACT_POSTLIFT,0))),0)))</f>
        <v/>
      </c>
      <c r="O35" s="10">
        <f>IF(OR($H35&lt;&gt;"Y",6&lt;$I35),0,IF(SUMPRODUCT(((BULK_ENABLED="Y")*((BULK_TIER="ALL")+(BULK_TIER=$F35))*((BULK_SKU="ALL")+(BULK_SKU=$G35))*(BULK_START&lt;=6)*(BULK_END&gt;=6)))&gt;0,IFERROR(SUMPRODUCT(((BULK_ENABLED="Y")*((BULK_TIER="ALL")+(BULK_TIER=$F35))*((BULK_SKU="ALL")+(BULK_SKU=$G35))*(BULK_START&lt;=6)*(BULK_END&gt;=6))*IFERROR(BULK_VALUE,0))/MAX(1,SUMPRODUCT(((BULK_ENABLED="Y")*((BULK_TIER="ALL")+(BULK_TIER=$F35))*((BULK_SKU="ALL")+(BULK_SKU=$G35))*(BULK_START&lt;=6)*(BULK_END&gt;=6)))),0),ROUND((INDEX(VELOCITY_TABLE,MATCH($F35,TIER_LIST,0),1))*(IF((6-$I35+1)&lt;=0,0,IF((6-$I35+1)=1,RAMP_W1,IF((6-$I35+1)=2,RAMP_W2,IF((6-$I35+1)=3,RAMP_W3,RAMP_W4PLUS)))))*(INDEX(ACTIVE_MULT_TABLE,1,1))*(1+SUMPRODUCT(SIGN(((ACT_DOOR_SCOPE="ALL")+(ACT_DOOR_SCOPE="TIER_"&amp;$F35)+(ACT_DOOR_SCOPE=$B35)))*SIGN(((ACT_SKU_SCOPE="ALL")+(ACT_SKU_SCOPE=$G35)))*(ACT_START&lt;=6)*(ACT_END&gt;=6)*IFERROR(ACT_UPLIFT-1,0)))*(1+SUMPRODUCT(SIGN(((ACT_DOOR_SCOPE="ALL")+(ACT_DOOR_SCOPE="TIER_"&amp;$F35)+(ACT_DOOR_SCOPE=$B35)))*SIGN(((ACT_SKU_SCOPE="ALL")+(ACT_SKU_SCOPE=$G35)))*(6&gt;ACT_END)*(ACT_END&gt;0)*IFERROR(ACT_POSTLIFT,0))),0)))</f>
        <v/>
      </c>
      <c r="P35" s="10">
        <f>IF(OR($H35&lt;&gt;"Y",7&lt;$I35),0,IF(SUMPRODUCT(((BULK_ENABLED="Y")*((BULK_TIER="ALL")+(BULK_TIER=$F35))*((BULK_SKU="ALL")+(BULK_SKU=$G35))*(BULK_START&lt;=7)*(BULK_END&gt;=7)))&gt;0,IFERROR(SUMPRODUCT(((BULK_ENABLED="Y")*((BULK_TIER="ALL")+(BULK_TIER=$F35))*((BULK_SKU="ALL")+(BULK_SKU=$G35))*(BULK_START&lt;=7)*(BULK_END&gt;=7))*IFERROR(BULK_VALUE,0))/MAX(1,SUMPRODUCT(((BULK_ENABLED="Y")*((BULK_TIER="ALL")+(BULK_TIER=$F35))*((BULK_SKU="ALL")+(BULK_SKU=$G35))*(BULK_START&lt;=7)*(BULK_END&gt;=7)))),0),ROUND((INDEX(VELOCITY_TABLE,MATCH($F35,TIER_LIST,0),1))*(IF((7-$I35+1)&lt;=0,0,IF((7-$I35+1)=1,RAMP_W1,IF((7-$I35+1)=2,RAMP_W2,IF((7-$I35+1)=3,RAMP_W3,RAMP_W4PLUS)))))*(INDEX(ACTIVE_MULT_TABLE,1,1))*(1+SUMPRODUCT(SIGN(((ACT_DOOR_SCOPE="ALL")+(ACT_DOOR_SCOPE="TIER_"&amp;$F35)+(ACT_DOOR_SCOPE=$B35)))*SIGN(((ACT_SKU_SCOPE="ALL")+(ACT_SKU_SCOPE=$G35)))*(ACT_START&lt;=7)*(ACT_END&gt;=7)*IFERROR(ACT_UPLIFT-1,0)))*(1+SUMPRODUCT(SIGN(((ACT_DOOR_SCOPE="ALL")+(ACT_DOOR_SCOPE="TIER_"&amp;$F35)+(ACT_DOOR_SCOPE=$B35)))*SIGN(((ACT_SKU_SCOPE="ALL")+(ACT_SKU_SCOPE=$G35)))*(7&gt;ACT_END)*(ACT_END&gt;0)*IFERROR(ACT_POSTLIFT,0))),0)))</f>
        <v/>
      </c>
      <c r="Q35" s="10">
        <f>IF(OR($H35&lt;&gt;"Y",8&lt;$I35),0,IF(SUMPRODUCT(((BULK_ENABLED="Y")*((BULK_TIER="ALL")+(BULK_TIER=$F35))*((BULK_SKU="ALL")+(BULK_SKU=$G35))*(BULK_START&lt;=8)*(BULK_END&gt;=8)))&gt;0,IFERROR(SUMPRODUCT(((BULK_ENABLED="Y")*((BULK_TIER="ALL")+(BULK_TIER=$F35))*((BULK_SKU="ALL")+(BULK_SKU=$G35))*(BULK_START&lt;=8)*(BULK_END&gt;=8))*IFERROR(BULK_VALUE,0))/MAX(1,SUMPRODUCT(((BULK_ENABLED="Y")*((BULK_TIER="ALL")+(BULK_TIER=$F35))*((BULK_SKU="ALL")+(BULK_SKU=$G35))*(BULK_START&lt;=8)*(BULK_END&gt;=8)))),0),ROUND((INDEX(VELOCITY_TABLE,MATCH($F35,TIER_LIST,0),1))*(IF((8-$I35+1)&lt;=0,0,IF((8-$I35+1)=1,RAMP_W1,IF((8-$I35+1)=2,RAMP_W2,IF((8-$I35+1)=3,RAMP_W3,RAMP_W4PLUS)))))*(INDEX(ACTIVE_MULT_TABLE,1,1))*(1+SUMPRODUCT(SIGN(((ACT_DOOR_SCOPE="ALL")+(ACT_DOOR_SCOPE="TIER_"&amp;$F35)+(ACT_DOOR_SCOPE=$B35)))*SIGN(((ACT_SKU_SCOPE="ALL")+(ACT_SKU_SCOPE=$G35)))*(ACT_START&lt;=8)*(ACT_END&gt;=8)*IFERROR(ACT_UPLIFT-1,0)))*(1+SUMPRODUCT(SIGN(((ACT_DOOR_SCOPE="ALL")+(ACT_DOOR_SCOPE="TIER_"&amp;$F35)+(ACT_DOOR_SCOPE=$B35)))*SIGN(((ACT_SKU_SCOPE="ALL")+(ACT_SKU_SCOPE=$G35)))*(8&gt;ACT_END)*(ACT_END&gt;0)*IFERROR(ACT_POSTLIFT,0))),0)))</f>
        <v/>
      </c>
      <c r="R35" s="10">
        <f>IF(OR($H35&lt;&gt;"Y",9&lt;$I35),0,IF(SUMPRODUCT(((BULK_ENABLED="Y")*((BULK_TIER="ALL")+(BULK_TIER=$F35))*((BULK_SKU="ALL")+(BULK_SKU=$G35))*(BULK_START&lt;=9)*(BULK_END&gt;=9)))&gt;0,IFERROR(SUMPRODUCT(((BULK_ENABLED="Y")*((BULK_TIER="ALL")+(BULK_TIER=$F35))*((BULK_SKU="ALL")+(BULK_SKU=$G35))*(BULK_START&lt;=9)*(BULK_END&gt;=9))*IFERROR(BULK_VALUE,0))/MAX(1,SUMPRODUCT(((BULK_ENABLED="Y")*((BULK_TIER="ALL")+(BULK_TIER=$F35))*((BULK_SKU="ALL")+(BULK_SKU=$G35))*(BULK_START&lt;=9)*(BULK_END&gt;=9)))),0),ROUND((INDEX(VELOCITY_TABLE,MATCH($F35,TIER_LIST,0),1))*(IF((9-$I35+1)&lt;=0,0,IF((9-$I35+1)=1,RAMP_W1,IF((9-$I35+1)=2,RAMP_W2,IF((9-$I35+1)=3,RAMP_W3,RAMP_W4PLUS)))))*(INDEX(ACTIVE_MULT_TABLE,1,1))*(1+SUMPRODUCT(SIGN(((ACT_DOOR_SCOPE="ALL")+(ACT_DOOR_SCOPE="TIER_"&amp;$F35)+(ACT_DOOR_SCOPE=$B35)))*SIGN(((ACT_SKU_SCOPE="ALL")+(ACT_SKU_SCOPE=$G35)))*(ACT_START&lt;=9)*(ACT_END&gt;=9)*IFERROR(ACT_UPLIFT-1,0)))*(1+SUMPRODUCT(SIGN(((ACT_DOOR_SCOPE="ALL")+(ACT_DOOR_SCOPE="TIER_"&amp;$F35)+(ACT_DOOR_SCOPE=$B35)))*SIGN(((ACT_SKU_SCOPE="ALL")+(ACT_SKU_SCOPE=$G35)))*(9&gt;ACT_END)*(ACT_END&gt;0)*IFERROR(ACT_POSTLIFT,0))),0)))</f>
        <v/>
      </c>
      <c r="S35" s="10">
        <f>IF(OR($H35&lt;&gt;"Y",10&lt;$I35),0,IF(SUMPRODUCT(((BULK_ENABLED="Y")*((BULK_TIER="ALL")+(BULK_TIER=$F35))*((BULK_SKU="ALL")+(BULK_SKU=$G35))*(BULK_START&lt;=10)*(BULK_END&gt;=10)))&gt;0,IFERROR(SUMPRODUCT(((BULK_ENABLED="Y")*((BULK_TIER="ALL")+(BULK_TIER=$F35))*((BULK_SKU="ALL")+(BULK_SKU=$G35))*(BULK_START&lt;=10)*(BULK_END&gt;=10))*IFERROR(BULK_VALUE,0))/MAX(1,SUMPRODUCT(((BULK_ENABLED="Y")*((BULK_TIER="ALL")+(BULK_TIER=$F35))*((BULK_SKU="ALL")+(BULK_SKU=$G35))*(BULK_START&lt;=10)*(BULK_END&gt;=10)))),0),ROUND((INDEX(VELOCITY_TABLE,MATCH($F35,TIER_LIST,0),1))*(IF((10-$I35+1)&lt;=0,0,IF((10-$I35+1)=1,RAMP_W1,IF((10-$I35+1)=2,RAMP_W2,IF((10-$I35+1)=3,RAMP_W3,RAMP_W4PLUS)))))*(INDEX(ACTIVE_MULT_TABLE,1,1))*(1+SUMPRODUCT(SIGN(((ACT_DOOR_SCOPE="ALL")+(ACT_DOOR_SCOPE="TIER_"&amp;$F35)+(ACT_DOOR_SCOPE=$B35)))*SIGN(((ACT_SKU_SCOPE="ALL")+(ACT_SKU_SCOPE=$G35)))*(ACT_START&lt;=10)*(ACT_END&gt;=10)*IFERROR(ACT_UPLIFT-1,0)))*(1+SUMPRODUCT(SIGN(((ACT_DOOR_SCOPE="ALL")+(ACT_DOOR_SCOPE="TIER_"&amp;$F35)+(ACT_DOOR_SCOPE=$B35)))*SIGN(((ACT_SKU_SCOPE="ALL")+(ACT_SKU_SCOPE=$G35)))*(10&gt;ACT_END)*(ACT_END&gt;0)*IFERROR(ACT_POSTLIFT,0))),0)))</f>
        <v/>
      </c>
      <c r="T35" s="10">
        <f>IF(OR($H35&lt;&gt;"Y",11&lt;$I35),0,IF(SUMPRODUCT(((BULK_ENABLED="Y")*((BULK_TIER="ALL")+(BULK_TIER=$F35))*((BULK_SKU="ALL")+(BULK_SKU=$G35))*(BULK_START&lt;=11)*(BULK_END&gt;=11)))&gt;0,IFERROR(SUMPRODUCT(((BULK_ENABLED="Y")*((BULK_TIER="ALL")+(BULK_TIER=$F35))*((BULK_SKU="ALL")+(BULK_SKU=$G35))*(BULK_START&lt;=11)*(BULK_END&gt;=11))*IFERROR(BULK_VALUE,0))/MAX(1,SUMPRODUCT(((BULK_ENABLED="Y")*((BULK_TIER="ALL")+(BULK_TIER=$F35))*((BULK_SKU="ALL")+(BULK_SKU=$G35))*(BULK_START&lt;=11)*(BULK_END&gt;=11)))),0),ROUND((INDEX(VELOCITY_TABLE,MATCH($F35,TIER_LIST,0),1))*(IF((11-$I35+1)&lt;=0,0,IF((11-$I35+1)=1,RAMP_W1,IF((11-$I35+1)=2,RAMP_W2,IF((11-$I35+1)=3,RAMP_W3,RAMP_W4PLUS)))))*(INDEX(ACTIVE_MULT_TABLE,1,1))*(1+SUMPRODUCT(SIGN(((ACT_DOOR_SCOPE="ALL")+(ACT_DOOR_SCOPE="TIER_"&amp;$F35)+(ACT_DOOR_SCOPE=$B35)))*SIGN(((ACT_SKU_SCOPE="ALL")+(ACT_SKU_SCOPE=$G35)))*(ACT_START&lt;=11)*(ACT_END&gt;=11)*IFERROR(ACT_UPLIFT-1,0)))*(1+SUMPRODUCT(SIGN(((ACT_DOOR_SCOPE="ALL")+(ACT_DOOR_SCOPE="TIER_"&amp;$F35)+(ACT_DOOR_SCOPE=$B35)))*SIGN(((ACT_SKU_SCOPE="ALL")+(ACT_SKU_SCOPE=$G35)))*(11&gt;ACT_END)*(ACT_END&gt;0)*IFERROR(ACT_POSTLIFT,0))),0)))</f>
        <v/>
      </c>
      <c r="U35" s="10">
        <f>IF(OR($H35&lt;&gt;"Y",12&lt;$I35),0,IF(SUMPRODUCT(((BULK_ENABLED="Y")*((BULK_TIER="ALL")+(BULK_TIER=$F35))*((BULK_SKU="ALL")+(BULK_SKU=$G35))*(BULK_START&lt;=12)*(BULK_END&gt;=12)))&gt;0,IFERROR(SUMPRODUCT(((BULK_ENABLED="Y")*((BULK_TIER="ALL")+(BULK_TIER=$F35))*((BULK_SKU="ALL")+(BULK_SKU=$G35))*(BULK_START&lt;=12)*(BULK_END&gt;=12))*IFERROR(BULK_VALUE,0))/MAX(1,SUMPRODUCT(((BULK_ENABLED="Y")*((BULK_TIER="ALL")+(BULK_TIER=$F35))*((BULK_SKU="ALL")+(BULK_SKU=$G35))*(BULK_START&lt;=12)*(BULK_END&gt;=12)))),0),ROUND((INDEX(VELOCITY_TABLE,MATCH($F35,TIER_LIST,0),1))*(IF((12-$I35+1)&lt;=0,0,IF((12-$I35+1)=1,RAMP_W1,IF((12-$I35+1)=2,RAMP_W2,IF((12-$I35+1)=3,RAMP_W3,RAMP_W4PLUS)))))*(INDEX(ACTIVE_MULT_TABLE,1,1))*(1+SUMPRODUCT(SIGN(((ACT_DOOR_SCOPE="ALL")+(ACT_DOOR_SCOPE="TIER_"&amp;$F35)+(ACT_DOOR_SCOPE=$B35)))*SIGN(((ACT_SKU_SCOPE="ALL")+(ACT_SKU_SCOPE=$G35)))*(ACT_START&lt;=12)*(ACT_END&gt;=12)*IFERROR(ACT_UPLIFT-1,0)))*(1+SUMPRODUCT(SIGN(((ACT_DOOR_SCOPE="ALL")+(ACT_DOOR_SCOPE="TIER_"&amp;$F35)+(ACT_DOOR_SCOPE=$B35)))*SIGN(((ACT_SKU_SCOPE="ALL")+(ACT_SKU_SCOPE=$G35)))*(12&gt;ACT_END)*(ACT_END&gt;0)*IFERROR(ACT_POSTLIFT,0))),0)))</f>
        <v/>
      </c>
      <c r="V35" s="10">
        <f>IF(OR($H35&lt;&gt;"Y",13&lt;$I35),0,IF(SUMPRODUCT(((BULK_ENABLED="Y")*((BULK_TIER="ALL")+(BULK_TIER=$F35))*((BULK_SKU="ALL")+(BULK_SKU=$G35))*(BULK_START&lt;=13)*(BULK_END&gt;=13)))&gt;0,IFERROR(SUMPRODUCT(((BULK_ENABLED="Y")*((BULK_TIER="ALL")+(BULK_TIER=$F35))*((BULK_SKU="ALL")+(BULK_SKU=$G35))*(BULK_START&lt;=13)*(BULK_END&gt;=13))*IFERROR(BULK_VALUE,0))/MAX(1,SUMPRODUCT(((BULK_ENABLED="Y")*((BULK_TIER="ALL")+(BULK_TIER=$F35))*((BULK_SKU="ALL")+(BULK_SKU=$G35))*(BULK_START&lt;=13)*(BULK_END&gt;=13)))),0),ROUND((INDEX(VELOCITY_TABLE,MATCH($F35,TIER_LIST,0),1))*(IF((13-$I35+1)&lt;=0,0,IF((13-$I35+1)=1,RAMP_W1,IF((13-$I35+1)=2,RAMP_W2,IF((13-$I35+1)=3,RAMP_W3,RAMP_W4PLUS)))))*(INDEX(ACTIVE_MULT_TABLE,1,1))*(1+SUMPRODUCT(SIGN(((ACT_DOOR_SCOPE="ALL")+(ACT_DOOR_SCOPE="TIER_"&amp;$F35)+(ACT_DOOR_SCOPE=$B35)))*SIGN(((ACT_SKU_SCOPE="ALL")+(ACT_SKU_SCOPE=$G35)))*(ACT_START&lt;=13)*(ACT_END&gt;=13)*IFERROR(ACT_UPLIFT-1,0)))*(1+SUMPRODUCT(SIGN(((ACT_DOOR_SCOPE="ALL")+(ACT_DOOR_SCOPE="TIER_"&amp;$F35)+(ACT_DOOR_SCOPE=$B35)))*SIGN(((ACT_SKU_SCOPE="ALL")+(ACT_SKU_SCOPE=$G35)))*(13&gt;ACT_END)*(ACT_END&gt;0)*IFERROR(ACT_POSTLIFT,0))),0)))</f>
        <v/>
      </c>
    </row>
    <row r="36">
      <c r="A36" t="inlineStr">
        <is>
          <t>R0032</t>
        </is>
      </c>
      <c r="B36">
        <f>Doors!$A$15</f>
        <v/>
      </c>
      <c r="C36">
        <f>Doors!$C$15</f>
        <v/>
      </c>
      <c r="D36">
        <f>Doors!$B$15</f>
        <v/>
      </c>
      <c r="E36">
        <f>Doors!$E$15</f>
        <v/>
      </c>
      <c r="F36">
        <f>Doors!$F$15</f>
        <v/>
      </c>
      <c r="G36" t="inlineStr">
        <is>
          <t>Pineapple Passion Fruit</t>
        </is>
      </c>
      <c r="H36">
        <f>Doors!$H$15</f>
        <v/>
      </c>
      <c r="I36">
        <f>Doors!$J$15</f>
        <v/>
      </c>
      <c r="J36" s="10">
        <f>IF(OR($H36&lt;&gt;"Y",1&lt;$I36),0,IF(SUMPRODUCT(((BULK_ENABLED="Y")*((BULK_TIER="ALL")+(BULK_TIER=$F36))*((BULK_SKU="ALL")+(BULK_SKU=$G36))*(BULK_START&lt;=1)*(BULK_END&gt;=1)))&gt;0,IFERROR(SUMPRODUCT(((BULK_ENABLED="Y")*((BULK_TIER="ALL")+(BULK_TIER=$F36))*((BULK_SKU="ALL")+(BULK_SKU=$G36))*(BULK_START&lt;=1)*(BULK_END&gt;=1))*IFERROR(BULK_VALUE,0))/MAX(1,SUMPRODUCT(((BULK_ENABLED="Y")*((BULK_TIER="ALL")+(BULK_TIER=$F36))*((BULK_SKU="ALL")+(BULK_SKU=$G36))*(BULK_START&lt;=1)*(BULK_END&gt;=1)))),0),ROUND((INDEX(VELOCITY_TABLE,MATCH($F36,TIER_LIST,0),2))*(IF((1-$I36+1)&lt;=0,0,IF((1-$I36+1)=1,RAMP_W1,IF((1-$I36+1)=2,RAMP_W2,IF((1-$I36+1)=3,RAMP_W3,RAMP_W4PLUS)))))*(INDEX(ACTIVE_MULT_TABLE,2,1))*(1+SUMPRODUCT(SIGN(((ACT_DOOR_SCOPE="ALL")+(ACT_DOOR_SCOPE="TIER_"&amp;$F36)+(ACT_DOOR_SCOPE=$B36)))*SIGN(((ACT_SKU_SCOPE="ALL")+(ACT_SKU_SCOPE=$G36)))*(ACT_START&lt;=1)*(ACT_END&gt;=1)*IFERROR(ACT_UPLIFT-1,0)))*(1+SUMPRODUCT(SIGN(((ACT_DOOR_SCOPE="ALL")+(ACT_DOOR_SCOPE="TIER_"&amp;$F36)+(ACT_DOOR_SCOPE=$B36)))*SIGN(((ACT_SKU_SCOPE="ALL")+(ACT_SKU_SCOPE=$G36)))*(1&gt;ACT_END)*(ACT_END&gt;0)*IFERROR(ACT_POSTLIFT,0))),0)))</f>
        <v/>
      </c>
      <c r="K36" s="10">
        <f>IF(OR($H36&lt;&gt;"Y",2&lt;$I36),0,IF(SUMPRODUCT(((BULK_ENABLED="Y")*((BULK_TIER="ALL")+(BULK_TIER=$F36))*((BULK_SKU="ALL")+(BULK_SKU=$G36))*(BULK_START&lt;=2)*(BULK_END&gt;=2)))&gt;0,IFERROR(SUMPRODUCT(((BULK_ENABLED="Y")*((BULK_TIER="ALL")+(BULK_TIER=$F36))*((BULK_SKU="ALL")+(BULK_SKU=$G36))*(BULK_START&lt;=2)*(BULK_END&gt;=2))*IFERROR(BULK_VALUE,0))/MAX(1,SUMPRODUCT(((BULK_ENABLED="Y")*((BULK_TIER="ALL")+(BULK_TIER=$F36))*((BULK_SKU="ALL")+(BULK_SKU=$G36))*(BULK_START&lt;=2)*(BULK_END&gt;=2)))),0),ROUND((INDEX(VELOCITY_TABLE,MATCH($F36,TIER_LIST,0),2))*(IF((2-$I36+1)&lt;=0,0,IF((2-$I36+1)=1,RAMP_W1,IF((2-$I36+1)=2,RAMP_W2,IF((2-$I36+1)=3,RAMP_W3,RAMP_W4PLUS)))))*(INDEX(ACTIVE_MULT_TABLE,2,1))*(1+SUMPRODUCT(SIGN(((ACT_DOOR_SCOPE="ALL")+(ACT_DOOR_SCOPE="TIER_"&amp;$F36)+(ACT_DOOR_SCOPE=$B36)))*SIGN(((ACT_SKU_SCOPE="ALL")+(ACT_SKU_SCOPE=$G36)))*(ACT_START&lt;=2)*(ACT_END&gt;=2)*IFERROR(ACT_UPLIFT-1,0)))*(1+SUMPRODUCT(SIGN(((ACT_DOOR_SCOPE="ALL")+(ACT_DOOR_SCOPE="TIER_"&amp;$F36)+(ACT_DOOR_SCOPE=$B36)))*SIGN(((ACT_SKU_SCOPE="ALL")+(ACT_SKU_SCOPE=$G36)))*(2&gt;ACT_END)*(ACT_END&gt;0)*IFERROR(ACT_POSTLIFT,0))),0)))</f>
        <v/>
      </c>
      <c r="L36" s="10">
        <f>IF(OR($H36&lt;&gt;"Y",3&lt;$I36),0,IF(SUMPRODUCT(((BULK_ENABLED="Y")*((BULK_TIER="ALL")+(BULK_TIER=$F36))*((BULK_SKU="ALL")+(BULK_SKU=$G36))*(BULK_START&lt;=3)*(BULK_END&gt;=3)))&gt;0,IFERROR(SUMPRODUCT(((BULK_ENABLED="Y")*((BULK_TIER="ALL")+(BULK_TIER=$F36))*((BULK_SKU="ALL")+(BULK_SKU=$G36))*(BULK_START&lt;=3)*(BULK_END&gt;=3))*IFERROR(BULK_VALUE,0))/MAX(1,SUMPRODUCT(((BULK_ENABLED="Y")*((BULK_TIER="ALL")+(BULK_TIER=$F36))*((BULK_SKU="ALL")+(BULK_SKU=$G36))*(BULK_START&lt;=3)*(BULK_END&gt;=3)))),0),ROUND((INDEX(VELOCITY_TABLE,MATCH($F36,TIER_LIST,0),2))*(IF((3-$I36+1)&lt;=0,0,IF((3-$I36+1)=1,RAMP_W1,IF((3-$I36+1)=2,RAMP_W2,IF((3-$I36+1)=3,RAMP_W3,RAMP_W4PLUS)))))*(INDEX(ACTIVE_MULT_TABLE,2,1))*(1+SUMPRODUCT(SIGN(((ACT_DOOR_SCOPE="ALL")+(ACT_DOOR_SCOPE="TIER_"&amp;$F36)+(ACT_DOOR_SCOPE=$B36)))*SIGN(((ACT_SKU_SCOPE="ALL")+(ACT_SKU_SCOPE=$G36)))*(ACT_START&lt;=3)*(ACT_END&gt;=3)*IFERROR(ACT_UPLIFT-1,0)))*(1+SUMPRODUCT(SIGN(((ACT_DOOR_SCOPE="ALL")+(ACT_DOOR_SCOPE="TIER_"&amp;$F36)+(ACT_DOOR_SCOPE=$B36)))*SIGN(((ACT_SKU_SCOPE="ALL")+(ACT_SKU_SCOPE=$G36)))*(3&gt;ACT_END)*(ACT_END&gt;0)*IFERROR(ACT_POSTLIFT,0))),0)))</f>
        <v/>
      </c>
      <c r="M36" s="10">
        <f>IF(OR($H36&lt;&gt;"Y",4&lt;$I36),0,IF(SUMPRODUCT(((BULK_ENABLED="Y")*((BULK_TIER="ALL")+(BULK_TIER=$F36))*((BULK_SKU="ALL")+(BULK_SKU=$G36))*(BULK_START&lt;=4)*(BULK_END&gt;=4)))&gt;0,IFERROR(SUMPRODUCT(((BULK_ENABLED="Y")*((BULK_TIER="ALL")+(BULK_TIER=$F36))*((BULK_SKU="ALL")+(BULK_SKU=$G36))*(BULK_START&lt;=4)*(BULK_END&gt;=4))*IFERROR(BULK_VALUE,0))/MAX(1,SUMPRODUCT(((BULK_ENABLED="Y")*((BULK_TIER="ALL")+(BULK_TIER=$F36))*((BULK_SKU="ALL")+(BULK_SKU=$G36))*(BULK_START&lt;=4)*(BULK_END&gt;=4)))),0),ROUND((INDEX(VELOCITY_TABLE,MATCH($F36,TIER_LIST,0),2))*(IF((4-$I36+1)&lt;=0,0,IF((4-$I36+1)=1,RAMP_W1,IF((4-$I36+1)=2,RAMP_W2,IF((4-$I36+1)=3,RAMP_W3,RAMP_W4PLUS)))))*(INDEX(ACTIVE_MULT_TABLE,2,1))*(1+SUMPRODUCT(SIGN(((ACT_DOOR_SCOPE="ALL")+(ACT_DOOR_SCOPE="TIER_"&amp;$F36)+(ACT_DOOR_SCOPE=$B36)))*SIGN(((ACT_SKU_SCOPE="ALL")+(ACT_SKU_SCOPE=$G36)))*(ACT_START&lt;=4)*(ACT_END&gt;=4)*IFERROR(ACT_UPLIFT-1,0)))*(1+SUMPRODUCT(SIGN(((ACT_DOOR_SCOPE="ALL")+(ACT_DOOR_SCOPE="TIER_"&amp;$F36)+(ACT_DOOR_SCOPE=$B36)))*SIGN(((ACT_SKU_SCOPE="ALL")+(ACT_SKU_SCOPE=$G36)))*(4&gt;ACT_END)*(ACT_END&gt;0)*IFERROR(ACT_POSTLIFT,0))),0)))</f>
        <v/>
      </c>
      <c r="N36" s="10">
        <f>IF(OR($H36&lt;&gt;"Y",5&lt;$I36),0,IF(SUMPRODUCT(((BULK_ENABLED="Y")*((BULK_TIER="ALL")+(BULK_TIER=$F36))*((BULK_SKU="ALL")+(BULK_SKU=$G36))*(BULK_START&lt;=5)*(BULK_END&gt;=5)))&gt;0,IFERROR(SUMPRODUCT(((BULK_ENABLED="Y")*((BULK_TIER="ALL")+(BULK_TIER=$F36))*((BULK_SKU="ALL")+(BULK_SKU=$G36))*(BULK_START&lt;=5)*(BULK_END&gt;=5))*IFERROR(BULK_VALUE,0))/MAX(1,SUMPRODUCT(((BULK_ENABLED="Y")*((BULK_TIER="ALL")+(BULK_TIER=$F36))*((BULK_SKU="ALL")+(BULK_SKU=$G36))*(BULK_START&lt;=5)*(BULK_END&gt;=5)))),0),ROUND((INDEX(VELOCITY_TABLE,MATCH($F36,TIER_LIST,0),2))*(IF((5-$I36+1)&lt;=0,0,IF((5-$I36+1)=1,RAMP_W1,IF((5-$I36+1)=2,RAMP_W2,IF((5-$I36+1)=3,RAMP_W3,RAMP_W4PLUS)))))*(INDEX(ACTIVE_MULT_TABLE,2,1))*(1+SUMPRODUCT(SIGN(((ACT_DOOR_SCOPE="ALL")+(ACT_DOOR_SCOPE="TIER_"&amp;$F36)+(ACT_DOOR_SCOPE=$B36)))*SIGN(((ACT_SKU_SCOPE="ALL")+(ACT_SKU_SCOPE=$G36)))*(ACT_START&lt;=5)*(ACT_END&gt;=5)*IFERROR(ACT_UPLIFT-1,0)))*(1+SUMPRODUCT(SIGN(((ACT_DOOR_SCOPE="ALL")+(ACT_DOOR_SCOPE="TIER_"&amp;$F36)+(ACT_DOOR_SCOPE=$B36)))*SIGN(((ACT_SKU_SCOPE="ALL")+(ACT_SKU_SCOPE=$G36)))*(5&gt;ACT_END)*(ACT_END&gt;0)*IFERROR(ACT_POSTLIFT,0))),0)))</f>
        <v/>
      </c>
      <c r="O36" s="10">
        <f>IF(OR($H36&lt;&gt;"Y",6&lt;$I36),0,IF(SUMPRODUCT(((BULK_ENABLED="Y")*((BULK_TIER="ALL")+(BULK_TIER=$F36))*((BULK_SKU="ALL")+(BULK_SKU=$G36))*(BULK_START&lt;=6)*(BULK_END&gt;=6)))&gt;0,IFERROR(SUMPRODUCT(((BULK_ENABLED="Y")*((BULK_TIER="ALL")+(BULK_TIER=$F36))*((BULK_SKU="ALL")+(BULK_SKU=$G36))*(BULK_START&lt;=6)*(BULK_END&gt;=6))*IFERROR(BULK_VALUE,0))/MAX(1,SUMPRODUCT(((BULK_ENABLED="Y")*((BULK_TIER="ALL")+(BULK_TIER=$F36))*((BULK_SKU="ALL")+(BULK_SKU=$G36))*(BULK_START&lt;=6)*(BULK_END&gt;=6)))),0),ROUND((INDEX(VELOCITY_TABLE,MATCH($F36,TIER_LIST,0),2))*(IF((6-$I36+1)&lt;=0,0,IF((6-$I36+1)=1,RAMP_W1,IF((6-$I36+1)=2,RAMP_W2,IF((6-$I36+1)=3,RAMP_W3,RAMP_W4PLUS)))))*(INDEX(ACTIVE_MULT_TABLE,2,1))*(1+SUMPRODUCT(SIGN(((ACT_DOOR_SCOPE="ALL")+(ACT_DOOR_SCOPE="TIER_"&amp;$F36)+(ACT_DOOR_SCOPE=$B36)))*SIGN(((ACT_SKU_SCOPE="ALL")+(ACT_SKU_SCOPE=$G36)))*(ACT_START&lt;=6)*(ACT_END&gt;=6)*IFERROR(ACT_UPLIFT-1,0)))*(1+SUMPRODUCT(SIGN(((ACT_DOOR_SCOPE="ALL")+(ACT_DOOR_SCOPE="TIER_"&amp;$F36)+(ACT_DOOR_SCOPE=$B36)))*SIGN(((ACT_SKU_SCOPE="ALL")+(ACT_SKU_SCOPE=$G36)))*(6&gt;ACT_END)*(ACT_END&gt;0)*IFERROR(ACT_POSTLIFT,0))),0)))</f>
        <v/>
      </c>
      <c r="P36" s="10">
        <f>IF(OR($H36&lt;&gt;"Y",7&lt;$I36),0,IF(SUMPRODUCT(((BULK_ENABLED="Y")*((BULK_TIER="ALL")+(BULK_TIER=$F36))*((BULK_SKU="ALL")+(BULK_SKU=$G36))*(BULK_START&lt;=7)*(BULK_END&gt;=7)))&gt;0,IFERROR(SUMPRODUCT(((BULK_ENABLED="Y")*((BULK_TIER="ALL")+(BULK_TIER=$F36))*((BULK_SKU="ALL")+(BULK_SKU=$G36))*(BULK_START&lt;=7)*(BULK_END&gt;=7))*IFERROR(BULK_VALUE,0))/MAX(1,SUMPRODUCT(((BULK_ENABLED="Y")*((BULK_TIER="ALL")+(BULK_TIER=$F36))*((BULK_SKU="ALL")+(BULK_SKU=$G36))*(BULK_START&lt;=7)*(BULK_END&gt;=7)))),0),ROUND((INDEX(VELOCITY_TABLE,MATCH($F36,TIER_LIST,0),2))*(IF((7-$I36+1)&lt;=0,0,IF((7-$I36+1)=1,RAMP_W1,IF((7-$I36+1)=2,RAMP_W2,IF((7-$I36+1)=3,RAMP_W3,RAMP_W4PLUS)))))*(INDEX(ACTIVE_MULT_TABLE,2,1))*(1+SUMPRODUCT(SIGN(((ACT_DOOR_SCOPE="ALL")+(ACT_DOOR_SCOPE="TIER_"&amp;$F36)+(ACT_DOOR_SCOPE=$B36)))*SIGN(((ACT_SKU_SCOPE="ALL")+(ACT_SKU_SCOPE=$G36)))*(ACT_START&lt;=7)*(ACT_END&gt;=7)*IFERROR(ACT_UPLIFT-1,0)))*(1+SUMPRODUCT(SIGN(((ACT_DOOR_SCOPE="ALL")+(ACT_DOOR_SCOPE="TIER_"&amp;$F36)+(ACT_DOOR_SCOPE=$B36)))*SIGN(((ACT_SKU_SCOPE="ALL")+(ACT_SKU_SCOPE=$G36)))*(7&gt;ACT_END)*(ACT_END&gt;0)*IFERROR(ACT_POSTLIFT,0))),0)))</f>
        <v/>
      </c>
      <c r="Q36" s="10">
        <f>IF(OR($H36&lt;&gt;"Y",8&lt;$I36),0,IF(SUMPRODUCT(((BULK_ENABLED="Y")*((BULK_TIER="ALL")+(BULK_TIER=$F36))*((BULK_SKU="ALL")+(BULK_SKU=$G36))*(BULK_START&lt;=8)*(BULK_END&gt;=8)))&gt;0,IFERROR(SUMPRODUCT(((BULK_ENABLED="Y")*((BULK_TIER="ALL")+(BULK_TIER=$F36))*((BULK_SKU="ALL")+(BULK_SKU=$G36))*(BULK_START&lt;=8)*(BULK_END&gt;=8))*IFERROR(BULK_VALUE,0))/MAX(1,SUMPRODUCT(((BULK_ENABLED="Y")*((BULK_TIER="ALL")+(BULK_TIER=$F36))*((BULK_SKU="ALL")+(BULK_SKU=$G36))*(BULK_START&lt;=8)*(BULK_END&gt;=8)))),0),ROUND((INDEX(VELOCITY_TABLE,MATCH($F36,TIER_LIST,0),2))*(IF((8-$I36+1)&lt;=0,0,IF((8-$I36+1)=1,RAMP_W1,IF((8-$I36+1)=2,RAMP_W2,IF((8-$I36+1)=3,RAMP_W3,RAMP_W4PLUS)))))*(INDEX(ACTIVE_MULT_TABLE,2,1))*(1+SUMPRODUCT(SIGN(((ACT_DOOR_SCOPE="ALL")+(ACT_DOOR_SCOPE="TIER_"&amp;$F36)+(ACT_DOOR_SCOPE=$B36)))*SIGN(((ACT_SKU_SCOPE="ALL")+(ACT_SKU_SCOPE=$G36)))*(ACT_START&lt;=8)*(ACT_END&gt;=8)*IFERROR(ACT_UPLIFT-1,0)))*(1+SUMPRODUCT(SIGN(((ACT_DOOR_SCOPE="ALL")+(ACT_DOOR_SCOPE="TIER_"&amp;$F36)+(ACT_DOOR_SCOPE=$B36)))*SIGN(((ACT_SKU_SCOPE="ALL")+(ACT_SKU_SCOPE=$G36)))*(8&gt;ACT_END)*(ACT_END&gt;0)*IFERROR(ACT_POSTLIFT,0))),0)))</f>
        <v/>
      </c>
      <c r="R36" s="10">
        <f>IF(OR($H36&lt;&gt;"Y",9&lt;$I36),0,IF(SUMPRODUCT(((BULK_ENABLED="Y")*((BULK_TIER="ALL")+(BULK_TIER=$F36))*((BULK_SKU="ALL")+(BULK_SKU=$G36))*(BULK_START&lt;=9)*(BULK_END&gt;=9)))&gt;0,IFERROR(SUMPRODUCT(((BULK_ENABLED="Y")*((BULK_TIER="ALL")+(BULK_TIER=$F36))*((BULK_SKU="ALL")+(BULK_SKU=$G36))*(BULK_START&lt;=9)*(BULK_END&gt;=9))*IFERROR(BULK_VALUE,0))/MAX(1,SUMPRODUCT(((BULK_ENABLED="Y")*((BULK_TIER="ALL")+(BULK_TIER=$F36))*((BULK_SKU="ALL")+(BULK_SKU=$G36))*(BULK_START&lt;=9)*(BULK_END&gt;=9)))),0),ROUND((INDEX(VELOCITY_TABLE,MATCH($F36,TIER_LIST,0),2))*(IF((9-$I36+1)&lt;=0,0,IF((9-$I36+1)=1,RAMP_W1,IF((9-$I36+1)=2,RAMP_W2,IF((9-$I36+1)=3,RAMP_W3,RAMP_W4PLUS)))))*(INDEX(ACTIVE_MULT_TABLE,2,1))*(1+SUMPRODUCT(SIGN(((ACT_DOOR_SCOPE="ALL")+(ACT_DOOR_SCOPE="TIER_"&amp;$F36)+(ACT_DOOR_SCOPE=$B36)))*SIGN(((ACT_SKU_SCOPE="ALL")+(ACT_SKU_SCOPE=$G36)))*(ACT_START&lt;=9)*(ACT_END&gt;=9)*IFERROR(ACT_UPLIFT-1,0)))*(1+SUMPRODUCT(SIGN(((ACT_DOOR_SCOPE="ALL")+(ACT_DOOR_SCOPE="TIER_"&amp;$F36)+(ACT_DOOR_SCOPE=$B36)))*SIGN(((ACT_SKU_SCOPE="ALL")+(ACT_SKU_SCOPE=$G36)))*(9&gt;ACT_END)*(ACT_END&gt;0)*IFERROR(ACT_POSTLIFT,0))),0)))</f>
        <v/>
      </c>
      <c r="S36" s="10">
        <f>IF(OR($H36&lt;&gt;"Y",10&lt;$I36),0,IF(SUMPRODUCT(((BULK_ENABLED="Y")*((BULK_TIER="ALL")+(BULK_TIER=$F36))*((BULK_SKU="ALL")+(BULK_SKU=$G36))*(BULK_START&lt;=10)*(BULK_END&gt;=10)))&gt;0,IFERROR(SUMPRODUCT(((BULK_ENABLED="Y")*((BULK_TIER="ALL")+(BULK_TIER=$F36))*((BULK_SKU="ALL")+(BULK_SKU=$G36))*(BULK_START&lt;=10)*(BULK_END&gt;=10))*IFERROR(BULK_VALUE,0))/MAX(1,SUMPRODUCT(((BULK_ENABLED="Y")*((BULK_TIER="ALL")+(BULK_TIER=$F36))*((BULK_SKU="ALL")+(BULK_SKU=$G36))*(BULK_START&lt;=10)*(BULK_END&gt;=10)))),0),ROUND((INDEX(VELOCITY_TABLE,MATCH($F36,TIER_LIST,0),2))*(IF((10-$I36+1)&lt;=0,0,IF((10-$I36+1)=1,RAMP_W1,IF((10-$I36+1)=2,RAMP_W2,IF((10-$I36+1)=3,RAMP_W3,RAMP_W4PLUS)))))*(INDEX(ACTIVE_MULT_TABLE,2,1))*(1+SUMPRODUCT(SIGN(((ACT_DOOR_SCOPE="ALL")+(ACT_DOOR_SCOPE="TIER_"&amp;$F36)+(ACT_DOOR_SCOPE=$B36)))*SIGN(((ACT_SKU_SCOPE="ALL")+(ACT_SKU_SCOPE=$G36)))*(ACT_START&lt;=10)*(ACT_END&gt;=10)*IFERROR(ACT_UPLIFT-1,0)))*(1+SUMPRODUCT(SIGN(((ACT_DOOR_SCOPE="ALL")+(ACT_DOOR_SCOPE="TIER_"&amp;$F36)+(ACT_DOOR_SCOPE=$B36)))*SIGN(((ACT_SKU_SCOPE="ALL")+(ACT_SKU_SCOPE=$G36)))*(10&gt;ACT_END)*(ACT_END&gt;0)*IFERROR(ACT_POSTLIFT,0))),0)))</f>
        <v/>
      </c>
      <c r="T36" s="10">
        <f>IF(OR($H36&lt;&gt;"Y",11&lt;$I36),0,IF(SUMPRODUCT(((BULK_ENABLED="Y")*((BULK_TIER="ALL")+(BULK_TIER=$F36))*((BULK_SKU="ALL")+(BULK_SKU=$G36))*(BULK_START&lt;=11)*(BULK_END&gt;=11)))&gt;0,IFERROR(SUMPRODUCT(((BULK_ENABLED="Y")*((BULK_TIER="ALL")+(BULK_TIER=$F36))*((BULK_SKU="ALL")+(BULK_SKU=$G36))*(BULK_START&lt;=11)*(BULK_END&gt;=11))*IFERROR(BULK_VALUE,0))/MAX(1,SUMPRODUCT(((BULK_ENABLED="Y")*((BULK_TIER="ALL")+(BULK_TIER=$F36))*((BULK_SKU="ALL")+(BULK_SKU=$G36))*(BULK_START&lt;=11)*(BULK_END&gt;=11)))),0),ROUND((INDEX(VELOCITY_TABLE,MATCH($F36,TIER_LIST,0),2))*(IF((11-$I36+1)&lt;=0,0,IF((11-$I36+1)=1,RAMP_W1,IF((11-$I36+1)=2,RAMP_W2,IF((11-$I36+1)=3,RAMP_W3,RAMP_W4PLUS)))))*(INDEX(ACTIVE_MULT_TABLE,2,1))*(1+SUMPRODUCT(SIGN(((ACT_DOOR_SCOPE="ALL")+(ACT_DOOR_SCOPE="TIER_"&amp;$F36)+(ACT_DOOR_SCOPE=$B36)))*SIGN(((ACT_SKU_SCOPE="ALL")+(ACT_SKU_SCOPE=$G36)))*(ACT_START&lt;=11)*(ACT_END&gt;=11)*IFERROR(ACT_UPLIFT-1,0)))*(1+SUMPRODUCT(SIGN(((ACT_DOOR_SCOPE="ALL")+(ACT_DOOR_SCOPE="TIER_"&amp;$F36)+(ACT_DOOR_SCOPE=$B36)))*SIGN(((ACT_SKU_SCOPE="ALL")+(ACT_SKU_SCOPE=$G36)))*(11&gt;ACT_END)*(ACT_END&gt;0)*IFERROR(ACT_POSTLIFT,0))),0)))</f>
        <v/>
      </c>
      <c r="U36" s="10">
        <f>IF(OR($H36&lt;&gt;"Y",12&lt;$I36),0,IF(SUMPRODUCT(((BULK_ENABLED="Y")*((BULK_TIER="ALL")+(BULK_TIER=$F36))*((BULK_SKU="ALL")+(BULK_SKU=$G36))*(BULK_START&lt;=12)*(BULK_END&gt;=12)))&gt;0,IFERROR(SUMPRODUCT(((BULK_ENABLED="Y")*((BULK_TIER="ALL")+(BULK_TIER=$F36))*((BULK_SKU="ALL")+(BULK_SKU=$G36))*(BULK_START&lt;=12)*(BULK_END&gt;=12))*IFERROR(BULK_VALUE,0))/MAX(1,SUMPRODUCT(((BULK_ENABLED="Y")*((BULK_TIER="ALL")+(BULK_TIER=$F36))*((BULK_SKU="ALL")+(BULK_SKU=$G36))*(BULK_START&lt;=12)*(BULK_END&gt;=12)))),0),ROUND((INDEX(VELOCITY_TABLE,MATCH($F36,TIER_LIST,0),2))*(IF((12-$I36+1)&lt;=0,0,IF((12-$I36+1)=1,RAMP_W1,IF((12-$I36+1)=2,RAMP_W2,IF((12-$I36+1)=3,RAMP_W3,RAMP_W4PLUS)))))*(INDEX(ACTIVE_MULT_TABLE,2,1))*(1+SUMPRODUCT(SIGN(((ACT_DOOR_SCOPE="ALL")+(ACT_DOOR_SCOPE="TIER_"&amp;$F36)+(ACT_DOOR_SCOPE=$B36)))*SIGN(((ACT_SKU_SCOPE="ALL")+(ACT_SKU_SCOPE=$G36)))*(ACT_START&lt;=12)*(ACT_END&gt;=12)*IFERROR(ACT_UPLIFT-1,0)))*(1+SUMPRODUCT(SIGN(((ACT_DOOR_SCOPE="ALL")+(ACT_DOOR_SCOPE="TIER_"&amp;$F36)+(ACT_DOOR_SCOPE=$B36)))*SIGN(((ACT_SKU_SCOPE="ALL")+(ACT_SKU_SCOPE=$G36)))*(12&gt;ACT_END)*(ACT_END&gt;0)*IFERROR(ACT_POSTLIFT,0))),0)))</f>
        <v/>
      </c>
      <c r="V36" s="10">
        <f>IF(OR($H36&lt;&gt;"Y",13&lt;$I36),0,IF(SUMPRODUCT(((BULK_ENABLED="Y")*((BULK_TIER="ALL")+(BULK_TIER=$F36))*((BULK_SKU="ALL")+(BULK_SKU=$G36))*(BULK_START&lt;=13)*(BULK_END&gt;=13)))&gt;0,IFERROR(SUMPRODUCT(((BULK_ENABLED="Y")*((BULK_TIER="ALL")+(BULK_TIER=$F36))*((BULK_SKU="ALL")+(BULK_SKU=$G36))*(BULK_START&lt;=13)*(BULK_END&gt;=13))*IFERROR(BULK_VALUE,0))/MAX(1,SUMPRODUCT(((BULK_ENABLED="Y")*((BULK_TIER="ALL")+(BULK_TIER=$F36))*((BULK_SKU="ALL")+(BULK_SKU=$G36))*(BULK_START&lt;=13)*(BULK_END&gt;=13)))),0),ROUND((INDEX(VELOCITY_TABLE,MATCH($F36,TIER_LIST,0),2))*(IF((13-$I36+1)&lt;=0,0,IF((13-$I36+1)=1,RAMP_W1,IF((13-$I36+1)=2,RAMP_W2,IF((13-$I36+1)=3,RAMP_W3,RAMP_W4PLUS)))))*(INDEX(ACTIVE_MULT_TABLE,2,1))*(1+SUMPRODUCT(SIGN(((ACT_DOOR_SCOPE="ALL")+(ACT_DOOR_SCOPE="TIER_"&amp;$F36)+(ACT_DOOR_SCOPE=$B36)))*SIGN(((ACT_SKU_SCOPE="ALL")+(ACT_SKU_SCOPE=$G36)))*(ACT_START&lt;=13)*(ACT_END&gt;=13)*IFERROR(ACT_UPLIFT-1,0)))*(1+SUMPRODUCT(SIGN(((ACT_DOOR_SCOPE="ALL")+(ACT_DOOR_SCOPE="TIER_"&amp;$F36)+(ACT_DOOR_SCOPE=$B36)))*SIGN(((ACT_SKU_SCOPE="ALL")+(ACT_SKU_SCOPE=$G36)))*(13&gt;ACT_END)*(ACT_END&gt;0)*IFERROR(ACT_POSTLIFT,0))),0)))</f>
        <v/>
      </c>
    </row>
    <row r="37">
      <c r="A37" t="inlineStr">
        <is>
          <t>R0033</t>
        </is>
      </c>
      <c r="B37">
        <f>Doors!$A$15</f>
        <v/>
      </c>
      <c r="C37">
        <f>Doors!$C$15</f>
        <v/>
      </c>
      <c r="D37">
        <f>Doors!$B$15</f>
        <v/>
      </c>
      <c r="E37">
        <f>Doors!$E$15</f>
        <v/>
      </c>
      <c r="F37">
        <f>Doors!$F$15</f>
        <v/>
      </c>
      <c r="G37" t="inlineStr">
        <is>
          <t>Raspberry</t>
        </is>
      </c>
      <c r="H37">
        <f>Doors!$I$15</f>
        <v/>
      </c>
      <c r="I37">
        <f>Doors!$J$15</f>
        <v/>
      </c>
      <c r="J37" s="10">
        <f>IF(OR($H37&lt;&gt;"Y",1&lt;$I37),0,IF(SUMPRODUCT(((BULK_ENABLED="Y")*((BULK_TIER="ALL")+(BULK_TIER=$F37))*((BULK_SKU="ALL")+(BULK_SKU=$G37))*(BULK_START&lt;=1)*(BULK_END&gt;=1)))&gt;0,IFERROR(SUMPRODUCT(((BULK_ENABLED="Y")*((BULK_TIER="ALL")+(BULK_TIER=$F37))*((BULK_SKU="ALL")+(BULK_SKU=$G37))*(BULK_START&lt;=1)*(BULK_END&gt;=1))*IFERROR(BULK_VALUE,0))/MAX(1,SUMPRODUCT(((BULK_ENABLED="Y")*((BULK_TIER="ALL")+(BULK_TIER=$F37))*((BULK_SKU="ALL")+(BULK_SKU=$G37))*(BULK_START&lt;=1)*(BULK_END&gt;=1)))),0),ROUND((INDEX(VELOCITY_TABLE,MATCH($F37,TIER_LIST,0),3))*(IF((1-$I37+1)&lt;=0,0,IF((1-$I37+1)=1,RAMP_W1,IF((1-$I37+1)=2,RAMP_W2,IF((1-$I37+1)=3,RAMP_W3,RAMP_W4PLUS)))))*(INDEX(ACTIVE_MULT_TABLE,3,1))*(1+SUMPRODUCT(SIGN(((ACT_DOOR_SCOPE="ALL")+(ACT_DOOR_SCOPE="TIER_"&amp;$F37)+(ACT_DOOR_SCOPE=$B37)))*SIGN(((ACT_SKU_SCOPE="ALL")+(ACT_SKU_SCOPE=$G37)))*(ACT_START&lt;=1)*(ACT_END&gt;=1)*IFERROR(ACT_UPLIFT-1,0)))*(1+SUMPRODUCT(SIGN(((ACT_DOOR_SCOPE="ALL")+(ACT_DOOR_SCOPE="TIER_"&amp;$F37)+(ACT_DOOR_SCOPE=$B37)))*SIGN(((ACT_SKU_SCOPE="ALL")+(ACT_SKU_SCOPE=$G37)))*(1&gt;ACT_END)*(ACT_END&gt;0)*IFERROR(ACT_POSTLIFT,0))),0)))</f>
        <v/>
      </c>
      <c r="K37" s="10">
        <f>IF(OR($H37&lt;&gt;"Y",2&lt;$I37),0,IF(SUMPRODUCT(((BULK_ENABLED="Y")*((BULK_TIER="ALL")+(BULK_TIER=$F37))*((BULK_SKU="ALL")+(BULK_SKU=$G37))*(BULK_START&lt;=2)*(BULK_END&gt;=2)))&gt;0,IFERROR(SUMPRODUCT(((BULK_ENABLED="Y")*((BULK_TIER="ALL")+(BULK_TIER=$F37))*((BULK_SKU="ALL")+(BULK_SKU=$G37))*(BULK_START&lt;=2)*(BULK_END&gt;=2))*IFERROR(BULK_VALUE,0))/MAX(1,SUMPRODUCT(((BULK_ENABLED="Y")*((BULK_TIER="ALL")+(BULK_TIER=$F37))*((BULK_SKU="ALL")+(BULK_SKU=$G37))*(BULK_START&lt;=2)*(BULK_END&gt;=2)))),0),ROUND((INDEX(VELOCITY_TABLE,MATCH($F37,TIER_LIST,0),3))*(IF((2-$I37+1)&lt;=0,0,IF((2-$I37+1)=1,RAMP_W1,IF((2-$I37+1)=2,RAMP_W2,IF((2-$I37+1)=3,RAMP_W3,RAMP_W4PLUS)))))*(INDEX(ACTIVE_MULT_TABLE,3,1))*(1+SUMPRODUCT(SIGN(((ACT_DOOR_SCOPE="ALL")+(ACT_DOOR_SCOPE="TIER_"&amp;$F37)+(ACT_DOOR_SCOPE=$B37)))*SIGN(((ACT_SKU_SCOPE="ALL")+(ACT_SKU_SCOPE=$G37)))*(ACT_START&lt;=2)*(ACT_END&gt;=2)*IFERROR(ACT_UPLIFT-1,0)))*(1+SUMPRODUCT(SIGN(((ACT_DOOR_SCOPE="ALL")+(ACT_DOOR_SCOPE="TIER_"&amp;$F37)+(ACT_DOOR_SCOPE=$B37)))*SIGN(((ACT_SKU_SCOPE="ALL")+(ACT_SKU_SCOPE=$G37)))*(2&gt;ACT_END)*(ACT_END&gt;0)*IFERROR(ACT_POSTLIFT,0))),0)))</f>
        <v/>
      </c>
      <c r="L37" s="10">
        <f>IF(OR($H37&lt;&gt;"Y",3&lt;$I37),0,IF(SUMPRODUCT(((BULK_ENABLED="Y")*((BULK_TIER="ALL")+(BULK_TIER=$F37))*((BULK_SKU="ALL")+(BULK_SKU=$G37))*(BULK_START&lt;=3)*(BULK_END&gt;=3)))&gt;0,IFERROR(SUMPRODUCT(((BULK_ENABLED="Y")*((BULK_TIER="ALL")+(BULK_TIER=$F37))*((BULK_SKU="ALL")+(BULK_SKU=$G37))*(BULK_START&lt;=3)*(BULK_END&gt;=3))*IFERROR(BULK_VALUE,0))/MAX(1,SUMPRODUCT(((BULK_ENABLED="Y")*((BULK_TIER="ALL")+(BULK_TIER=$F37))*((BULK_SKU="ALL")+(BULK_SKU=$G37))*(BULK_START&lt;=3)*(BULK_END&gt;=3)))),0),ROUND((INDEX(VELOCITY_TABLE,MATCH($F37,TIER_LIST,0),3))*(IF((3-$I37+1)&lt;=0,0,IF((3-$I37+1)=1,RAMP_W1,IF((3-$I37+1)=2,RAMP_W2,IF((3-$I37+1)=3,RAMP_W3,RAMP_W4PLUS)))))*(INDEX(ACTIVE_MULT_TABLE,3,1))*(1+SUMPRODUCT(SIGN(((ACT_DOOR_SCOPE="ALL")+(ACT_DOOR_SCOPE="TIER_"&amp;$F37)+(ACT_DOOR_SCOPE=$B37)))*SIGN(((ACT_SKU_SCOPE="ALL")+(ACT_SKU_SCOPE=$G37)))*(ACT_START&lt;=3)*(ACT_END&gt;=3)*IFERROR(ACT_UPLIFT-1,0)))*(1+SUMPRODUCT(SIGN(((ACT_DOOR_SCOPE="ALL")+(ACT_DOOR_SCOPE="TIER_"&amp;$F37)+(ACT_DOOR_SCOPE=$B37)))*SIGN(((ACT_SKU_SCOPE="ALL")+(ACT_SKU_SCOPE=$G37)))*(3&gt;ACT_END)*(ACT_END&gt;0)*IFERROR(ACT_POSTLIFT,0))),0)))</f>
        <v/>
      </c>
      <c r="M37" s="10">
        <f>IF(OR($H37&lt;&gt;"Y",4&lt;$I37),0,IF(SUMPRODUCT(((BULK_ENABLED="Y")*((BULK_TIER="ALL")+(BULK_TIER=$F37))*((BULK_SKU="ALL")+(BULK_SKU=$G37))*(BULK_START&lt;=4)*(BULK_END&gt;=4)))&gt;0,IFERROR(SUMPRODUCT(((BULK_ENABLED="Y")*((BULK_TIER="ALL")+(BULK_TIER=$F37))*((BULK_SKU="ALL")+(BULK_SKU=$G37))*(BULK_START&lt;=4)*(BULK_END&gt;=4))*IFERROR(BULK_VALUE,0))/MAX(1,SUMPRODUCT(((BULK_ENABLED="Y")*((BULK_TIER="ALL")+(BULK_TIER=$F37))*((BULK_SKU="ALL")+(BULK_SKU=$G37))*(BULK_START&lt;=4)*(BULK_END&gt;=4)))),0),ROUND((INDEX(VELOCITY_TABLE,MATCH($F37,TIER_LIST,0),3))*(IF((4-$I37+1)&lt;=0,0,IF((4-$I37+1)=1,RAMP_W1,IF((4-$I37+1)=2,RAMP_W2,IF((4-$I37+1)=3,RAMP_W3,RAMP_W4PLUS)))))*(INDEX(ACTIVE_MULT_TABLE,3,1))*(1+SUMPRODUCT(SIGN(((ACT_DOOR_SCOPE="ALL")+(ACT_DOOR_SCOPE="TIER_"&amp;$F37)+(ACT_DOOR_SCOPE=$B37)))*SIGN(((ACT_SKU_SCOPE="ALL")+(ACT_SKU_SCOPE=$G37)))*(ACT_START&lt;=4)*(ACT_END&gt;=4)*IFERROR(ACT_UPLIFT-1,0)))*(1+SUMPRODUCT(SIGN(((ACT_DOOR_SCOPE="ALL")+(ACT_DOOR_SCOPE="TIER_"&amp;$F37)+(ACT_DOOR_SCOPE=$B37)))*SIGN(((ACT_SKU_SCOPE="ALL")+(ACT_SKU_SCOPE=$G37)))*(4&gt;ACT_END)*(ACT_END&gt;0)*IFERROR(ACT_POSTLIFT,0))),0)))</f>
        <v/>
      </c>
      <c r="N37" s="10">
        <f>IF(OR($H37&lt;&gt;"Y",5&lt;$I37),0,IF(SUMPRODUCT(((BULK_ENABLED="Y")*((BULK_TIER="ALL")+(BULK_TIER=$F37))*((BULK_SKU="ALL")+(BULK_SKU=$G37))*(BULK_START&lt;=5)*(BULK_END&gt;=5)))&gt;0,IFERROR(SUMPRODUCT(((BULK_ENABLED="Y")*((BULK_TIER="ALL")+(BULK_TIER=$F37))*((BULK_SKU="ALL")+(BULK_SKU=$G37))*(BULK_START&lt;=5)*(BULK_END&gt;=5))*IFERROR(BULK_VALUE,0))/MAX(1,SUMPRODUCT(((BULK_ENABLED="Y")*((BULK_TIER="ALL")+(BULK_TIER=$F37))*((BULK_SKU="ALL")+(BULK_SKU=$G37))*(BULK_START&lt;=5)*(BULK_END&gt;=5)))),0),ROUND((INDEX(VELOCITY_TABLE,MATCH($F37,TIER_LIST,0),3))*(IF((5-$I37+1)&lt;=0,0,IF((5-$I37+1)=1,RAMP_W1,IF((5-$I37+1)=2,RAMP_W2,IF((5-$I37+1)=3,RAMP_W3,RAMP_W4PLUS)))))*(INDEX(ACTIVE_MULT_TABLE,3,1))*(1+SUMPRODUCT(SIGN(((ACT_DOOR_SCOPE="ALL")+(ACT_DOOR_SCOPE="TIER_"&amp;$F37)+(ACT_DOOR_SCOPE=$B37)))*SIGN(((ACT_SKU_SCOPE="ALL")+(ACT_SKU_SCOPE=$G37)))*(ACT_START&lt;=5)*(ACT_END&gt;=5)*IFERROR(ACT_UPLIFT-1,0)))*(1+SUMPRODUCT(SIGN(((ACT_DOOR_SCOPE="ALL")+(ACT_DOOR_SCOPE="TIER_"&amp;$F37)+(ACT_DOOR_SCOPE=$B37)))*SIGN(((ACT_SKU_SCOPE="ALL")+(ACT_SKU_SCOPE=$G37)))*(5&gt;ACT_END)*(ACT_END&gt;0)*IFERROR(ACT_POSTLIFT,0))),0)))</f>
        <v/>
      </c>
      <c r="O37" s="10">
        <f>IF(OR($H37&lt;&gt;"Y",6&lt;$I37),0,IF(SUMPRODUCT(((BULK_ENABLED="Y")*((BULK_TIER="ALL")+(BULK_TIER=$F37))*((BULK_SKU="ALL")+(BULK_SKU=$G37))*(BULK_START&lt;=6)*(BULK_END&gt;=6)))&gt;0,IFERROR(SUMPRODUCT(((BULK_ENABLED="Y")*((BULK_TIER="ALL")+(BULK_TIER=$F37))*((BULK_SKU="ALL")+(BULK_SKU=$G37))*(BULK_START&lt;=6)*(BULK_END&gt;=6))*IFERROR(BULK_VALUE,0))/MAX(1,SUMPRODUCT(((BULK_ENABLED="Y")*((BULK_TIER="ALL")+(BULK_TIER=$F37))*((BULK_SKU="ALL")+(BULK_SKU=$G37))*(BULK_START&lt;=6)*(BULK_END&gt;=6)))),0),ROUND((INDEX(VELOCITY_TABLE,MATCH($F37,TIER_LIST,0),3))*(IF((6-$I37+1)&lt;=0,0,IF((6-$I37+1)=1,RAMP_W1,IF((6-$I37+1)=2,RAMP_W2,IF((6-$I37+1)=3,RAMP_W3,RAMP_W4PLUS)))))*(INDEX(ACTIVE_MULT_TABLE,3,1))*(1+SUMPRODUCT(SIGN(((ACT_DOOR_SCOPE="ALL")+(ACT_DOOR_SCOPE="TIER_"&amp;$F37)+(ACT_DOOR_SCOPE=$B37)))*SIGN(((ACT_SKU_SCOPE="ALL")+(ACT_SKU_SCOPE=$G37)))*(ACT_START&lt;=6)*(ACT_END&gt;=6)*IFERROR(ACT_UPLIFT-1,0)))*(1+SUMPRODUCT(SIGN(((ACT_DOOR_SCOPE="ALL")+(ACT_DOOR_SCOPE="TIER_"&amp;$F37)+(ACT_DOOR_SCOPE=$B37)))*SIGN(((ACT_SKU_SCOPE="ALL")+(ACT_SKU_SCOPE=$G37)))*(6&gt;ACT_END)*(ACT_END&gt;0)*IFERROR(ACT_POSTLIFT,0))),0)))</f>
        <v/>
      </c>
      <c r="P37" s="10">
        <f>IF(OR($H37&lt;&gt;"Y",7&lt;$I37),0,IF(SUMPRODUCT(((BULK_ENABLED="Y")*((BULK_TIER="ALL")+(BULK_TIER=$F37))*((BULK_SKU="ALL")+(BULK_SKU=$G37))*(BULK_START&lt;=7)*(BULK_END&gt;=7)))&gt;0,IFERROR(SUMPRODUCT(((BULK_ENABLED="Y")*((BULK_TIER="ALL")+(BULK_TIER=$F37))*((BULK_SKU="ALL")+(BULK_SKU=$G37))*(BULK_START&lt;=7)*(BULK_END&gt;=7))*IFERROR(BULK_VALUE,0))/MAX(1,SUMPRODUCT(((BULK_ENABLED="Y")*((BULK_TIER="ALL")+(BULK_TIER=$F37))*((BULK_SKU="ALL")+(BULK_SKU=$G37))*(BULK_START&lt;=7)*(BULK_END&gt;=7)))),0),ROUND((INDEX(VELOCITY_TABLE,MATCH($F37,TIER_LIST,0),3))*(IF((7-$I37+1)&lt;=0,0,IF((7-$I37+1)=1,RAMP_W1,IF((7-$I37+1)=2,RAMP_W2,IF((7-$I37+1)=3,RAMP_W3,RAMP_W4PLUS)))))*(INDEX(ACTIVE_MULT_TABLE,3,1))*(1+SUMPRODUCT(SIGN(((ACT_DOOR_SCOPE="ALL")+(ACT_DOOR_SCOPE="TIER_"&amp;$F37)+(ACT_DOOR_SCOPE=$B37)))*SIGN(((ACT_SKU_SCOPE="ALL")+(ACT_SKU_SCOPE=$G37)))*(ACT_START&lt;=7)*(ACT_END&gt;=7)*IFERROR(ACT_UPLIFT-1,0)))*(1+SUMPRODUCT(SIGN(((ACT_DOOR_SCOPE="ALL")+(ACT_DOOR_SCOPE="TIER_"&amp;$F37)+(ACT_DOOR_SCOPE=$B37)))*SIGN(((ACT_SKU_SCOPE="ALL")+(ACT_SKU_SCOPE=$G37)))*(7&gt;ACT_END)*(ACT_END&gt;0)*IFERROR(ACT_POSTLIFT,0))),0)))</f>
        <v/>
      </c>
      <c r="Q37" s="10">
        <f>IF(OR($H37&lt;&gt;"Y",8&lt;$I37),0,IF(SUMPRODUCT(((BULK_ENABLED="Y")*((BULK_TIER="ALL")+(BULK_TIER=$F37))*((BULK_SKU="ALL")+(BULK_SKU=$G37))*(BULK_START&lt;=8)*(BULK_END&gt;=8)))&gt;0,IFERROR(SUMPRODUCT(((BULK_ENABLED="Y")*((BULK_TIER="ALL")+(BULK_TIER=$F37))*((BULK_SKU="ALL")+(BULK_SKU=$G37))*(BULK_START&lt;=8)*(BULK_END&gt;=8))*IFERROR(BULK_VALUE,0))/MAX(1,SUMPRODUCT(((BULK_ENABLED="Y")*((BULK_TIER="ALL")+(BULK_TIER=$F37))*((BULK_SKU="ALL")+(BULK_SKU=$G37))*(BULK_START&lt;=8)*(BULK_END&gt;=8)))),0),ROUND((INDEX(VELOCITY_TABLE,MATCH($F37,TIER_LIST,0),3))*(IF((8-$I37+1)&lt;=0,0,IF((8-$I37+1)=1,RAMP_W1,IF((8-$I37+1)=2,RAMP_W2,IF((8-$I37+1)=3,RAMP_W3,RAMP_W4PLUS)))))*(INDEX(ACTIVE_MULT_TABLE,3,1))*(1+SUMPRODUCT(SIGN(((ACT_DOOR_SCOPE="ALL")+(ACT_DOOR_SCOPE="TIER_"&amp;$F37)+(ACT_DOOR_SCOPE=$B37)))*SIGN(((ACT_SKU_SCOPE="ALL")+(ACT_SKU_SCOPE=$G37)))*(ACT_START&lt;=8)*(ACT_END&gt;=8)*IFERROR(ACT_UPLIFT-1,0)))*(1+SUMPRODUCT(SIGN(((ACT_DOOR_SCOPE="ALL")+(ACT_DOOR_SCOPE="TIER_"&amp;$F37)+(ACT_DOOR_SCOPE=$B37)))*SIGN(((ACT_SKU_SCOPE="ALL")+(ACT_SKU_SCOPE=$G37)))*(8&gt;ACT_END)*(ACT_END&gt;0)*IFERROR(ACT_POSTLIFT,0))),0)))</f>
        <v/>
      </c>
      <c r="R37" s="10">
        <f>IF(OR($H37&lt;&gt;"Y",9&lt;$I37),0,IF(SUMPRODUCT(((BULK_ENABLED="Y")*((BULK_TIER="ALL")+(BULK_TIER=$F37))*((BULK_SKU="ALL")+(BULK_SKU=$G37))*(BULK_START&lt;=9)*(BULK_END&gt;=9)))&gt;0,IFERROR(SUMPRODUCT(((BULK_ENABLED="Y")*((BULK_TIER="ALL")+(BULK_TIER=$F37))*((BULK_SKU="ALL")+(BULK_SKU=$G37))*(BULK_START&lt;=9)*(BULK_END&gt;=9))*IFERROR(BULK_VALUE,0))/MAX(1,SUMPRODUCT(((BULK_ENABLED="Y")*((BULK_TIER="ALL")+(BULK_TIER=$F37))*((BULK_SKU="ALL")+(BULK_SKU=$G37))*(BULK_START&lt;=9)*(BULK_END&gt;=9)))),0),ROUND((INDEX(VELOCITY_TABLE,MATCH($F37,TIER_LIST,0),3))*(IF((9-$I37+1)&lt;=0,0,IF((9-$I37+1)=1,RAMP_W1,IF((9-$I37+1)=2,RAMP_W2,IF((9-$I37+1)=3,RAMP_W3,RAMP_W4PLUS)))))*(INDEX(ACTIVE_MULT_TABLE,3,1))*(1+SUMPRODUCT(SIGN(((ACT_DOOR_SCOPE="ALL")+(ACT_DOOR_SCOPE="TIER_"&amp;$F37)+(ACT_DOOR_SCOPE=$B37)))*SIGN(((ACT_SKU_SCOPE="ALL")+(ACT_SKU_SCOPE=$G37)))*(ACT_START&lt;=9)*(ACT_END&gt;=9)*IFERROR(ACT_UPLIFT-1,0)))*(1+SUMPRODUCT(SIGN(((ACT_DOOR_SCOPE="ALL")+(ACT_DOOR_SCOPE="TIER_"&amp;$F37)+(ACT_DOOR_SCOPE=$B37)))*SIGN(((ACT_SKU_SCOPE="ALL")+(ACT_SKU_SCOPE=$G37)))*(9&gt;ACT_END)*(ACT_END&gt;0)*IFERROR(ACT_POSTLIFT,0))),0)))</f>
        <v/>
      </c>
      <c r="S37" s="10">
        <f>IF(OR($H37&lt;&gt;"Y",10&lt;$I37),0,IF(SUMPRODUCT(((BULK_ENABLED="Y")*((BULK_TIER="ALL")+(BULK_TIER=$F37))*((BULK_SKU="ALL")+(BULK_SKU=$G37))*(BULK_START&lt;=10)*(BULK_END&gt;=10)))&gt;0,IFERROR(SUMPRODUCT(((BULK_ENABLED="Y")*((BULK_TIER="ALL")+(BULK_TIER=$F37))*((BULK_SKU="ALL")+(BULK_SKU=$G37))*(BULK_START&lt;=10)*(BULK_END&gt;=10))*IFERROR(BULK_VALUE,0))/MAX(1,SUMPRODUCT(((BULK_ENABLED="Y")*((BULK_TIER="ALL")+(BULK_TIER=$F37))*((BULK_SKU="ALL")+(BULK_SKU=$G37))*(BULK_START&lt;=10)*(BULK_END&gt;=10)))),0),ROUND((INDEX(VELOCITY_TABLE,MATCH($F37,TIER_LIST,0),3))*(IF((10-$I37+1)&lt;=0,0,IF((10-$I37+1)=1,RAMP_W1,IF((10-$I37+1)=2,RAMP_W2,IF((10-$I37+1)=3,RAMP_W3,RAMP_W4PLUS)))))*(INDEX(ACTIVE_MULT_TABLE,3,1))*(1+SUMPRODUCT(SIGN(((ACT_DOOR_SCOPE="ALL")+(ACT_DOOR_SCOPE="TIER_"&amp;$F37)+(ACT_DOOR_SCOPE=$B37)))*SIGN(((ACT_SKU_SCOPE="ALL")+(ACT_SKU_SCOPE=$G37)))*(ACT_START&lt;=10)*(ACT_END&gt;=10)*IFERROR(ACT_UPLIFT-1,0)))*(1+SUMPRODUCT(SIGN(((ACT_DOOR_SCOPE="ALL")+(ACT_DOOR_SCOPE="TIER_"&amp;$F37)+(ACT_DOOR_SCOPE=$B37)))*SIGN(((ACT_SKU_SCOPE="ALL")+(ACT_SKU_SCOPE=$G37)))*(10&gt;ACT_END)*(ACT_END&gt;0)*IFERROR(ACT_POSTLIFT,0))),0)))</f>
        <v/>
      </c>
      <c r="T37" s="10">
        <f>IF(OR($H37&lt;&gt;"Y",11&lt;$I37),0,IF(SUMPRODUCT(((BULK_ENABLED="Y")*((BULK_TIER="ALL")+(BULK_TIER=$F37))*((BULK_SKU="ALL")+(BULK_SKU=$G37))*(BULK_START&lt;=11)*(BULK_END&gt;=11)))&gt;0,IFERROR(SUMPRODUCT(((BULK_ENABLED="Y")*((BULK_TIER="ALL")+(BULK_TIER=$F37))*((BULK_SKU="ALL")+(BULK_SKU=$G37))*(BULK_START&lt;=11)*(BULK_END&gt;=11))*IFERROR(BULK_VALUE,0))/MAX(1,SUMPRODUCT(((BULK_ENABLED="Y")*((BULK_TIER="ALL")+(BULK_TIER=$F37))*((BULK_SKU="ALL")+(BULK_SKU=$G37))*(BULK_START&lt;=11)*(BULK_END&gt;=11)))),0),ROUND((INDEX(VELOCITY_TABLE,MATCH($F37,TIER_LIST,0),3))*(IF((11-$I37+1)&lt;=0,0,IF((11-$I37+1)=1,RAMP_W1,IF((11-$I37+1)=2,RAMP_W2,IF((11-$I37+1)=3,RAMP_W3,RAMP_W4PLUS)))))*(INDEX(ACTIVE_MULT_TABLE,3,1))*(1+SUMPRODUCT(SIGN(((ACT_DOOR_SCOPE="ALL")+(ACT_DOOR_SCOPE="TIER_"&amp;$F37)+(ACT_DOOR_SCOPE=$B37)))*SIGN(((ACT_SKU_SCOPE="ALL")+(ACT_SKU_SCOPE=$G37)))*(ACT_START&lt;=11)*(ACT_END&gt;=11)*IFERROR(ACT_UPLIFT-1,0)))*(1+SUMPRODUCT(SIGN(((ACT_DOOR_SCOPE="ALL")+(ACT_DOOR_SCOPE="TIER_"&amp;$F37)+(ACT_DOOR_SCOPE=$B37)))*SIGN(((ACT_SKU_SCOPE="ALL")+(ACT_SKU_SCOPE=$G37)))*(11&gt;ACT_END)*(ACT_END&gt;0)*IFERROR(ACT_POSTLIFT,0))),0)))</f>
        <v/>
      </c>
      <c r="U37" s="10">
        <f>IF(OR($H37&lt;&gt;"Y",12&lt;$I37),0,IF(SUMPRODUCT(((BULK_ENABLED="Y")*((BULK_TIER="ALL")+(BULK_TIER=$F37))*((BULK_SKU="ALL")+(BULK_SKU=$G37))*(BULK_START&lt;=12)*(BULK_END&gt;=12)))&gt;0,IFERROR(SUMPRODUCT(((BULK_ENABLED="Y")*((BULK_TIER="ALL")+(BULK_TIER=$F37))*((BULK_SKU="ALL")+(BULK_SKU=$G37))*(BULK_START&lt;=12)*(BULK_END&gt;=12))*IFERROR(BULK_VALUE,0))/MAX(1,SUMPRODUCT(((BULK_ENABLED="Y")*((BULK_TIER="ALL")+(BULK_TIER=$F37))*((BULK_SKU="ALL")+(BULK_SKU=$G37))*(BULK_START&lt;=12)*(BULK_END&gt;=12)))),0),ROUND((INDEX(VELOCITY_TABLE,MATCH($F37,TIER_LIST,0),3))*(IF((12-$I37+1)&lt;=0,0,IF((12-$I37+1)=1,RAMP_W1,IF((12-$I37+1)=2,RAMP_W2,IF((12-$I37+1)=3,RAMP_W3,RAMP_W4PLUS)))))*(INDEX(ACTIVE_MULT_TABLE,3,1))*(1+SUMPRODUCT(SIGN(((ACT_DOOR_SCOPE="ALL")+(ACT_DOOR_SCOPE="TIER_"&amp;$F37)+(ACT_DOOR_SCOPE=$B37)))*SIGN(((ACT_SKU_SCOPE="ALL")+(ACT_SKU_SCOPE=$G37)))*(ACT_START&lt;=12)*(ACT_END&gt;=12)*IFERROR(ACT_UPLIFT-1,0)))*(1+SUMPRODUCT(SIGN(((ACT_DOOR_SCOPE="ALL")+(ACT_DOOR_SCOPE="TIER_"&amp;$F37)+(ACT_DOOR_SCOPE=$B37)))*SIGN(((ACT_SKU_SCOPE="ALL")+(ACT_SKU_SCOPE=$G37)))*(12&gt;ACT_END)*(ACT_END&gt;0)*IFERROR(ACT_POSTLIFT,0))),0)))</f>
        <v/>
      </c>
      <c r="V37" s="10">
        <f>IF(OR($H37&lt;&gt;"Y",13&lt;$I37),0,IF(SUMPRODUCT(((BULK_ENABLED="Y")*((BULK_TIER="ALL")+(BULK_TIER=$F37))*((BULK_SKU="ALL")+(BULK_SKU=$G37))*(BULK_START&lt;=13)*(BULK_END&gt;=13)))&gt;0,IFERROR(SUMPRODUCT(((BULK_ENABLED="Y")*((BULK_TIER="ALL")+(BULK_TIER=$F37))*((BULK_SKU="ALL")+(BULK_SKU=$G37))*(BULK_START&lt;=13)*(BULK_END&gt;=13))*IFERROR(BULK_VALUE,0))/MAX(1,SUMPRODUCT(((BULK_ENABLED="Y")*((BULK_TIER="ALL")+(BULK_TIER=$F37))*((BULK_SKU="ALL")+(BULK_SKU=$G37))*(BULK_START&lt;=13)*(BULK_END&gt;=13)))),0),ROUND((INDEX(VELOCITY_TABLE,MATCH($F37,TIER_LIST,0),3))*(IF((13-$I37+1)&lt;=0,0,IF((13-$I37+1)=1,RAMP_W1,IF((13-$I37+1)=2,RAMP_W2,IF((13-$I37+1)=3,RAMP_W3,RAMP_W4PLUS)))))*(INDEX(ACTIVE_MULT_TABLE,3,1))*(1+SUMPRODUCT(SIGN(((ACT_DOOR_SCOPE="ALL")+(ACT_DOOR_SCOPE="TIER_"&amp;$F37)+(ACT_DOOR_SCOPE=$B37)))*SIGN(((ACT_SKU_SCOPE="ALL")+(ACT_SKU_SCOPE=$G37)))*(ACT_START&lt;=13)*(ACT_END&gt;=13)*IFERROR(ACT_UPLIFT-1,0)))*(1+SUMPRODUCT(SIGN(((ACT_DOOR_SCOPE="ALL")+(ACT_DOOR_SCOPE="TIER_"&amp;$F37)+(ACT_DOOR_SCOPE=$B37)))*SIGN(((ACT_SKU_SCOPE="ALL")+(ACT_SKU_SCOPE=$G37)))*(13&gt;ACT_END)*(ACT_END&gt;0)*IFERROR(ACT_POSTLIFT,0))),0)))</f>
        <v/>
      </c>
    </row>
    <row r="38">
      <c r="A38" t="inlineStr">
        <is>
          <t>R0034</t>
        </is>
      </c>
      <c r="B38">
        <f>Doors!$A$16</f>
        <v/>
      </c>
      <c r="C38">
        <f>Doors!$C$16</f>
        <v/>
      </c>
      <c r="D38">
        <f>Doors!$B$16</f>
        <v/>
      </c>
      <c r="E38">
        <f>Doors!$E$16</f>
        <v/>
      </c>
      <c r="F38">
        <f>Doors!$F$16</f>
        <v/>
      </c>
      <c r="G38" t="inlineStr">
        <is>
          <t>Lime Lemon</t>
        </is>
      </c>
      <c r="H38">
        <f>Doors!$G$16</f>
        <v/>
      </c>
      <c r="I38">
        <f>Doors!$J$16</f>
        <v/>
      </c>
      <c r="J38" s="10">
        <f>IF(OR($H38&lt;&gt;"Y",1&lt;$I38),0,IF(SUMPRODUCT(((BULK_ENABLED="Y")*((BULK_TIER="ALL")+(BULK_TIER=$F38))*((BULK_SKU="ALL")+(BULK_SKU=$G38))*(BULK_START&lt;=1)*(BULK_END&gt;=1)))&gt;0,IFERROR(SUMPRODUCT(((BULK_ENABLED="Y")*((BULK_TIER="ALL")+(BULK_TIER=$F38))*((BULK_SKU="ALL")+(BULK_SKU=$G38))*(BULK_START&lt;=1)*(BULK_END&gt;=1))*IFERROR(BULK_VALUE,0))/MAX(1,SUMPRODUCT(((BULK_ENABLED="Y")*((BULK_TIER="ALL")+(BULK_TIER=$F38))*((BULK_SKU="ALL")+(BULK_SKU=$G38))*(BULK_START&lt;=1)*(BULK_END&gt;=1)))),0),ROUND((INDEX(VELOCITY_TABLE,MATCH($F38,TIER_LIST,0),1))*(IF((1-$I38+1)&lt;=0,0,IF((1-$I38+1)=1,RAMP_W1,IF((1-$I38+1)=2,RAMP_W2,IF((1-$I38+1)=3,RAMP_W3,RAMP_W4PLUS)))))*(INDEX(ACTIVE_MULT_TABLE,1,1))*(1+SUMPRODUCT(SIGN(((ACT_DOOR_SCOPE="ALL")+(ACT_DOOR_SCOPE="TIER_"&amp;$F38)+(ACT_DOOR_SCOPE=$B38)))*SIGN(((ACT_SKU_SCOPE="ALL")+(ACT_SKU_SCOPE=$G38)))*(ACT_START&lt;=1)*(ACT_END&gt;=1)*IFERROR(ACT_UPLIFT-1,0)))*(1+SUMPRODUCT(SIGN(((ACT_DOOR_SCOPE="ALL")+(ACT_DOOR_SCOPE="TIER_"&amp;$F38)+(ACT_DOOR_SCOPE=$B38)))*SIGN(((ACT_SKU_SCOPE="ALL")+(ACT_SKU_SCOPE=$G38)))*(1&gt;ACT_END)*(ACT_END&gt;0)*IFERROR(ACT_POSTLIFT,0))),0)))</f>
        <v/>
      </c>
      <c r="K38" s="10">
        <f>IF(OR($H38&lt;&gt;"Y",2&lt;$I38),0,IF(SUMPRODUCT(((BULK_ENABLED="Y")*((BULK_TIER="ALL")+(BULK_TIER=$F38))*((BULK_SKU="ALL")+(BULK_SKU=$G38))*(BULK_START&lt;=2)*(BULK_END&gt;=2)))&gt;0,IFERROR(SUMPRODUCT(((BULK_ENABLED="Y")*((BULK_TIER="ALL")+(BULK_TIER=$F38))*((BULK_SKU="ALL")+(BULK_SKU=$G38))*(BULK_START&lt;=2)*(BULK_END&gt;=2))*IFERROR(BULK_VALUE,0))/MAX(1,SUMPRODUCT(((BULK_ENABLED="Y")*((BULK_TIER="ALL")+(BULK_TIER=$F38))*((BULK_SKU="ALL")+(BULK_SKU=$G38))*(BULK_START&lt;=2)*(BULK_END&gt;=2)))),0),ROUND((INDEX(VELOCITY_TABLE,MATCH($F38,TIER_LIST,0),1))*(IF((2-$I38+1)&lt;=0,0,IF((2-$I38+1)=1,RAMP_W1,IF((2-$I38+1)=2,RAMP_W2,IF((2-$I38+1)=3,RAMP_W3,RAMP_W4PLUS)))))*(INDEX(ACTIVE_MULT_TABLE,1,1))*(1+SUMPRODUCT(SIGN(((ACT_DOOR_SCOPE="ALL")+(ACT_DOOR_SCOPE="TIER_"&amp;$F38)+(ACT_DOOR_SCOPE=$B38)))*SIGN(((ACT_SKU_SCOPE="ALL")+(ACT_SKU_SCOPE=$G38)))*(ACT_START&lt;=2)*(ACT_END&gt;=2)*IFERROR(ACT_UPLIFT-1,0)))*(1+SUMPRODUCT(SIGN(((ACT_DOOR_SCOPE="ALL")+(ACT_DOOR_SCOPE="TIER_"&amp;$F38)+(ACT_DOOR_SCOPE=$B38)))*SIGN(((ACT_SKU_SCOPE="ALL")+(ACT_SKU_SCOPE=$G38)))*(2&gt;ACT_END)*(ACT_END&gt;0)*IFERROR(ACT_POSTLIFT,0))),0)))</f>
        <v/>
      </c>
      <c r="L38" s="10">
        <f>IF(OR($H38&lt;&gt;"Y",3&lt;$I38),0,IF(SUMPRODUCT(((BULK_ENABLED="Y")*((BULK_TIER="ALL")+(BULK_TIER=$F38))*((BULK_SKU="ALL")+(BULK_SKU=$G38))*(BULK_START&lt;=3)*(BULK_END&gt;=3)))&gt;0,IFERROR(SUMPRODUCT(((BULK_ENABLED="Y")*((BULK_TIER="ALL")+(BULK_TIER=$F38))*((BULK_SKU="ALL")+(BULK_SKU=$G38))*(BULK_START&lt;=3)*(BULK_END&gt;=3))*IFERROR(BULK_VALUE,0))/MAX(1,SUMPRODUCT(((BULK_ENABLED="Y")*((BULK_TIER="ALL")+(BULK_TIER=$F38))*((BULK_SKU="ALL")+(BULK_SKU=$G38))*(BULK_START&lt;=3)*(BULK_END&gt;=3)))),0),ROUND((INDEX(VELOCITY_TABLE,MATCH($F38,TIER_LIST,0),1))*(IF((3-$I38+1)&lt;=0,0,IF((3-$I38+1)=1,RAMP_W1,IF((3-$I38+1)=2,RAMP_W2,IF((3-$I38+1)=3,RAMP_W3,RAMP_W4PLUS)))))*(INDEX(ACTIVE_MULT_TABLE,1,1))*(1+SUMPRODUCT(SIGN(((ACT_DOOR_SCOPE="ALL")+(ACT_DOOR_SCOPE="TIER_"&amp;$F38)+(ACT_DOOR_SCOPE=$B38)))*SIGN(((ACT_SKU_SCOPE="ALL")+(ACT_SKU_SCOPE=$G38)))*(ACT_START&lt;=3)*(ACT_END&gt;=3)*IFERROR(ACT_UPLIFT-1,0)))*(1+SUMPRODUCT(SIGN(((ACT_DOOR_SCOPE="ALL")+(ACT_DOOR_SCOPE="TIER_"&amp;$F38)+(ACT_DOOR_SCOPE=$B38)))*SIGN(((ACT_SKU_SCOPE="ALL")+(ACT_SKU_SCOPE=$G38)))*(3&gt;ACT_END)*(ACT_END&gt;0)*IFERROR(ACT_POSTLIFT,0))),0)))</f>
        <v/>
      </c>
      <c r="M38" s="10">
        <f>IF(OR($H38&lt;&gt;"Y",4&lt;$I38),0,IF(SUMPRODUCT(((BULK_ENABLED="Y")*((BULK_TIER="ALL")+(BULK_TIER=$F38))*((BULK_SKU="ALL")+(BULK_SKU=$G38))*(BULK_START&lt;=4)*(BULK_END&gt;=4)))&gt;0,IFERROR(SUMPRODUCT(((BULK_ENABLED="Y")*((BULK_TIER="ALL")+(BULK_TIER=$F38))*((BULK_SKU="ALL")+(BULK_SKU=$G38))*(BULK_START&lt;=4)*(BULK_END&gt;=4))*IFERROR(BULK_VALUE,0))/MAX(1,SUMPRODUCT(((BULK_ENABLED="Y")*((BULK_TIER="ALL")+(BULK_TIER=$F38))*((BULK_SKU="ALL")+(BULK_SKU=$G38))*(BULK_START&lt;=4)*(BULK_END&gt;=4)))),0),ROUND((INDEX(VELOCITY_TABLE,MATCH($F38,TIER_LIST,0),1))*(IF((4-$I38+1)&lt;=0,0,IF((4-$I38+1)=1,RAMP_W1,IF((4-$I38+1)=2,RAMP_W2,IF((4-$I38+1)=3,RAMP_W3,RAMP_W4PLUS)))))*(INDEX(ACTIVE_MULT_TABLE,1,1))*(1+SUMPRODUCT(SIGN(((ACT_DOOR_SCOPE="ALL")+(ACT_DOOR_SCOPE="TIER_"&amp;$F38)+(ACT_DOOR_SCOPE=$B38)))*SIGN(((ACT_SKU_SCOPE="ALL")+(ACT_SKU_SCOPE=$G38)))*(ACT_START&lt;=4)*(ACT_END&gt;=4)*IFERROR(ACT_UPLIFT-1,0)))*(1+SUMPRODUCT(SIGN(((ACT_DOOR_SCOPE="ALL")+(ACT_DOOR_SCOPE="TIER_"&amp;$F38)+(ACT_DOOR_SCOPE=$B38)))*SIGN(((ACT_SKU_SCOPE="ALL")+(ACT_SKU_SCOPE=$G38)))*(4&gt;ACT_END)*(ACT_END&gt;0)*IFERROR(ACT_POSTLIFT,0))),0)))</f>
        <v/>
      </c>
      <c r="N38" s="10">
        <f>IF(OR($H38&lt;&gt;"Y",5&lt;$I38),0,IF(SUMPRODUCT(((BULK_ENABLED="Y")*((BULK_TIER="ALL")+(BULK_TIER=$F38))*((BULK_SKU="ALL")+(BULK_SKU=$G38))*(BULK_START&lt;=5)*(BULK_END&gt;=5)))&gt;0,IFERROR(SUMPRODUCT(((BULK_ENABLED="Y")*((BULK_TIER="ALL")+(BULK_TIER=$F38))*((BULK_SKU="ALL")+(BULK_SKU=$G38))*(BULK_START&lt;=5)*(BULK_END&gt;=5))*IFERROR(BULK_VALUE,0))/MAX(1,SUMPRODUCT(((BULK_ENABLED="Y")*((BULK_TIER="ALL")+(BULK_TIER=$F38))*((BULK_SKU="ALL")+(BULK_SKU=$G38))*(BULK_START&lt;=5)*(BULK_END&gt;=5)))),0),ROUND((INDEX(VELOCITY_TABLE,MATCH($F38,TIER_LIST,0),1))*(IF((5-$I38+1)&lt;=0,0,IF((5-$I38+1)=1,RAMP_W1,IF((5-$I38+1)=2,RAMP_W2,IF((5-$I38+1)=3,RAMP_W3,RAMP_W4PLUS)))))*(INDEX(ACTIVE_MULT_TABLE,1,1))*(1+SUMPRODUCT(SIGN(((ACT_DOOR_SCOPE="ALL")+(ACT_DOOR_SCOPE="TIER_"&amp;$F38)+(ACT_DOOR_SCOPE=$B38)))*SIGN(((ACT_SKU_SCOPE="ALL")+(ACT_SKU_SCOPE=$G38)))*(ACT_START&lt;=5)*(ACT_END&gt;=5)*IFERROR(ACT_UPLIFT-1,0)))*(1+SUMPRODUCT(SIGN(((ACT_DOOR_SCOPE="ALL")+(ACT_DOOR_SCOPE="TIER_"&amp;$F38)+(ACT_DOOR_SCOPE=$B38)))*SIGN(((ACT_SKU_SCOPE="ALL")+(ACT_SKU_SCOPE=$G38)))*(5&gt;ACT_END)*(ACT_END&gt;0)*IFERROR(ACT_POSTLIFT,0))),0)))</f>
        <v/>
      </c>
      <c r="O38" s="10">
        <f>IF(OR($H38&lt;&gt;"Y",6&lt;$I38),0,IF(SUMPRODUCT(((BULK_ENABLED="Y")*((BULK_TIER="ALL")+(BULK_TIER=$F38))*((BULK_SKU="ALL")+(BULK_SKU=$G38))*(BULK_START&lt;=6)*(BULK_END&gt;=6)))&gt;0,IFERROR(SUMPRODUCT(((BULK_ENABLED="Y")*((BULK_TIER="ALL")+(BULK_TIER=$F38))*((BULK_SKU="ALL")+(BULK_SKU=$G38))*(BULK_START&lt;=6)*(BULK_END&gt;=6))*IFERROR(BULK_VALUE,0))/MAX(1,SUMPRODUCT(((BULK_ENABLED="Y")*((BULK_TIER="ALL")+(BULK_TIER=$F38))*((BULK_SKU="ALL")+(BULK_SKU=$G38))*(BULK_START&lt;=6)*(BULK_END&gt;=6)))),0),ROUND((INDEX(VELOCITY_TABLE,MATCH($F38,TIER_LIST,0),1))*(IF((6-$I38+1)&lt;=0,0,IF((6-$I38+1)=1,RAMP_W1,IF((6-$I38+1)=2,RAMP_W2,IF((6-$I38+1)=3,RAMP_W3,RAMP_W4PLUS)))))*(INDEX(ACTIVE_MULT_TABLE,1,1))*(1+SUMPRODUCT(SIGN(((ACT_DOOR_SCOPE="ALL")+(ACT_DOOR_SCOPE="TIER_"&amp;$F38)+(ACT_DOOR_SCOPE=$B38)))*SIGN(((ACT_SKU_SCOPE="ALL")+(ACT_SKU_SCOPE=$G38)))*(ACT_START&lt;=6)*(ACT_END&gt;=6)*IFERROR(ACT_UPLIFT-1,0)))*(1+SUMPRODUCT(SIGN(((ACT_DOOR_SCOPE="ALL")+(ACT_DOOR_SCOPE="TIER_"&amp;$F38)+(ACT_DOOR_SCOPE=$B38)))*SIGN(((ACT_SKU_SCOPE="ALL")+(ACT_SKU_SCOPE=$G38)))*(6&gt;ACT_END)*(ACT_END&gt;0)*IFERROR(ACT_POSTLIFT,0))),0)))</f>
        <v/>
      </c>
      <c r="P38" s="10">
        <f>IF(OR($H38&lt;&gt;"Y",7&lt;$I38),0,IF(SUMPRODUCT(((BULK_ENABLED="Y")*((BULK_TIER="ALL")+(BULK_TIER=$F38))*((BULK_SKU="ALL")+(BULK_SKU=$G38))*(BULK_START&lt;=7)*(BULK_END&gt;=7)))&gt;0,IFERROR(SUMPRODUCT(((BULK_ENABLED="Y")*((BULK_TIER="ALL")+(BULK_TIER=$F38))*((BULK_SKU="ALL")+(BULK_SKU=$G38))*(BULK_START&lt;=7)*(BULK_END&gt;=7))*IFERROR(BULK_VALUE,0))/MAX(1,SUMPRODUCT(((BULK_ENABLED="Y")*((BULK_TIER="ALL")+(BULK_TIER=$F38))*((BULK_SKU="ALL")+(BULK_SKU=$G38))*(BULK_START&lt;=7)*(BULK_END&gt;=7)))),0),ROUND((INDEX(VELOCITY_TABLE,MATCH($F38,TIER_LIST,0),1))*(IF((7-$I38+1)&lt;=0,0,IF((7-$I38+1)=1,RAMP_W1,IF((7-$I38+1)=2,RAMP_W2,IF((7-$I38+1)=3,RAMP_W3,RAMP_W4PLUS)))))*(INDEX(ACTIVE_MULT_TABLE,1,1))*(1+SUMPRODUCT(SIGN(((ACT_DOOR_SCOPE="ALL")+(ACT_DOOR_SCOPE="TIER_"&amp;$F38)+(ACT_DOOR_SCOPE=$B38)))*SIGN(((ACT_SKU_SCOPE="ALL")+(ACT_SKU_SCOPE=$G38)))*(ACT_START&lt;=7)*(ACT_END&gt;=7)*IFERROR(ACT_UPLIFT-1,0)))*(1+SUMPRODUCT(SIGN(((ACT_DOOR_SCOPE="ALL")+(ACT_DOOR_SCOPE="TIER_"&amp;$F38)+(ACT_DOOR_SCOPE=$B38)))*SIGN(((ACT_SKU_SCOPE="ALL")+(ACT_SKU_SCOPE=$G38)))*(7&gt;ACT_END)*(ACT_END&gt;0)*IFERROR(ACT_POSTLIFT,0))),0)))</f>
        <v/>
      </c>
      <c r="Q38" s="10">
        <f>IF(OR($H38&lt;&gt;"Y",8&lt;$I38),0,IF(SUMPRODUCT(((BULK_ENABLED="Y")*((BULK_TIER="ALL")+(BULK_TIER=$F38))*((BULK_SKU="ALL")+(BULK_SKU=$G38))*(BULK_START&lt;=8)*(BULK_END&gt;=8)))&gt;0,IFERROR(SUMPRODUCT(((BULK_ENABLED="Y")*((BULK_TIER="ALL")+(BULK_TIER=$F38))*((BULK_SKU="ALL")+(BULK_SKU=$G38))*(BULK_START&lt;=8)*(BULK_END&gt;=8))*IFERROR(BULK_VALUE,0))/MAX(1,SUMPRODUCT(((BULK_ENABLED="Y")*((BULK_TIER="ALL")+(BULK_TIER=$F38))*((BULK_SKU="ALL")+(BULK_SKU=$G38))*(BULK_START&lt;=8)*(BULK_END&gt;=8)))),0),ROUND((INDEX(VELOCITY_TABLE,MATCH($F38,TIER_LIST,0),1))*(IF((8-$I38+1)&lt;=0,0,IF((8-$I38+1)=1,RAMP_W1,IF((8-$I38+1)=2,RAMP_W2,IF((8-$I38+1)=3,RAMP_W3,RAMP_W4PLUS)))))*(INDEX(ACTIVE_MULT_TABLE,1,1))*(1+SUMPRODUCT(SIGN(((ACT_DOOR_SCOPE="ALL")+(ACT_DOOR_SCOPE="TIER_"&amp;$F38)+(ACT_DOOR_SCOPE=$B38)))*SIGN(((ACT_SKU_SCOPE="ALL")+(ACT_SKU_SCOPE=$G38)))*(ACT_START&lt;=8)*(ACT_END&gt;=8)*IFERROR(ACT_UPLIFT-1,0)))*(1+SUMPRODUCT(SIGN(((ACT_DOOR_SCOPE="ALL")+(ACT_DOOR_SCOPE="TIER_"&amp;$F38)+(ACT_DOOR_SCOPE=$B38)))*SIGN(((ACT_SKU_SCOPE="ALL")+(ACT_SKU_SCOPE=$G38)))*(8&gt;ACT_END)*(ACT_END&gt;0)*IFERROR(ACT_POSTLIFT,0))),0)))</f>
        <v/>
      </c>
      <c r="R38" s="10">
        <f>IF(OR($H38&lt;&gt;"Y",9&lt;$I38),0,IF(SUMPRODUCT(((BULK_ENABLED="Y")*((BULK_TIER="ALL")+(BULK_TIER=$F38))*((BULK_SKU="ALL")+(BULK_SKU=$G38))*(BULK_START&lt;=9)*(BULK_END&gt;=9)))&gt;0,IFERROR(SUMPRODUCT(((BULK_ENABLED="Y")*((BULK_TIER="ALL")+(BULK_TIER=$F38))*((BULK_SKU="ALL")+(BULK_SKU=$G38))*(BULK_START&lt;=9)*(BULK_END&gt;=9))*IFERROR(BULK_VALUE,0))/MAX(1,SUMPRODUCT(((BULK_ENABLED="Y")*((BULK_TIER="ALL")+(BULK_TIER=$F38))*((BULK_SKU="ALL")+(BULK_SKU=$G38))*(BULK_START&lt;=9)*(BULK_END&gt;=9)))),0),ROUND((INDEX(VELOCITY_TABLE,MATCH($F38,TIER_LIST,0),1))*(IF((9-$I38+1)&lt;=0,0,IF((9-$I38+1)=1,RAMP_W1,IF((9-$I38+1)=2,RAMP_W2,IF((9-$I38+1)=3,RAMP_W3,RAMP_W4PLUS)))))*(INDEX(ACTIVE_MULT_TABLE,1,1))*(1+SUMPRODUCT(SIGN(((ACT_DOOR_SCOPE="ALL")+(ACT_DOOR_SCOPE="TIER_"&amp;$F38)+(ACT_DOOR_SCOPE=$B38)))*SIGN(((ACT_SKU_SCOPE="ALL")+(ACT_SKU_SCOPE=$G38)))*(ACT_START&lt;=9)*(ACT_END&gt;=9)*IFERROR(ACT_UPLIFT-1,0)))*(1+SUMPRODUCT(SIGN(((ACT_DOOR_SCOPE="ALL")+(ACT_DOOR_SCOPE="TIER_"&amp;$F38)+(ACT_DOOR_SCOPE=$B38)))*SIGN(((ACT_SKU_SCOPE="ALL")+(ACT_SKU_SCOPE=$G38)))*(9&gt;ACT_END)*(ACT_END&gt;0)*IFERROR(ACT_POSTLIFT,0))),0)))</f>
        <v/>
      </c>
      <c r="S38" s="10">
        <f>IF(OR($H38&lt;&gt;"Y",10&lt;$I38),0,IF(SUMPRODUCT(((BULK_ENABLED="Y")*((BULK_TIER="ALL")+(BULK_TIER=$F38))*((BULK_SKU="ALL")+(BULK_SKU=$G38))*(BULK_START&lt;=10)*(BULK_END&gt;=10)))&gt;0,IFERROR(SUMPRODUCT(((BULK_ENABLED="Y")*((BULK_TIER="ALL")+(BULK_TIER=$F38))*((BULK_SKU="ALL")+(BULK_SKU=$G38))*(BULK_START&lt;=10)*(BULK_END&gt;=10))*IFERROR(BULK_VALUE,0))/MAX(1,SUMPRODUCT(((BULK_ENABLED="Y")*((BULK_TIER="ALL")+(BULK_TIER=$F38))*((BULK_SKU="ALL")+(BULK_SKU=$G38))*(BULK_START&lt;=10)*(BULK_END&gt;=10)))),0),ROUND((INDEX(VELOCITY_TABLE,MATCH($F38,TIER_LIST,0),1))*(IF((10-$I38+1)&lt;=0,0,IF((10-$I38+1)=1,RAMP_W1,IF((10-$I38+1)=2,RAMP_W2,IF((10-$I38+1)=3,RAMP_W3,RAMP_W4PLUS)))))*(INDEX(ACTIVE_MULT_TABLE,1,1))*(1+SUMPRODUCT(SIGN(((ACT_DOOR_SCOPE="ALL")+(ACT_DOOR_SCOPE="TIER_"&amp;$F38)+(ACT_DOOR_SCOPE=$B38)))*SIGN(((ACT_SKU_SCOPE="ALL")+(ACT_SKU_SCOPE=$G38)))*(ACT_START&lt;=10)*(ACT_END&gt;=10)*IFERROR(ACT_UPLIFT-1,0)))*(1+SUMPRODUCT(SIGN(((ACT_DOOR_SCOPE="ALL")+(ACT_DOOR_SCOPE="TIER_"&amp;$F38)+(ACT_DOOR_SCOPE=$B38)))*SIGN(((ACT_SKU_SCOPE="ALL")+(ACT_SKU_SCOPE=$G38)))*(10&gt;ACT_END)*(ACT_END&gt;0)*IFERROR(ACT_POSTLIFT,0))),0)))</f>
        <v/>
      </c>
      <c r="T38" s="10">
        <f>IF(OR($H38&lt;&gt;"Y",11&lt;$I38),0,IF(SUMPRODUCT(((BULK_ENABLED="Y")*((BULK_TIER="ALL")+(BULK_TIER=$F38))*((BULK_SKU="ALL")+(BULK_SKU=$G38))*(BULK_START&lt;=11)*(BULK_END&gt;=11)))&gt;0,IFERROR(SUMPRODUCT(((BULK_ENABLED="Y")*((BULK_TIER="ALL")+(BULK_TIER=$F38))*((BULK_SKU="ALL")+(BULK_SKU=$G38))*(BULK_START&lt;=11)*(BULK_END&gt;=11))*IFERROR(BULK_VALUE,0))/MAX(1,SUMPRODUCT(((BULK_ENABLED="Y")*((BULK_TIER="ALL")+(BULK_TIER=$F38))*((BULK_SKU="ALL")+(BULK_SKU=$G38))*(BULK_START&lt;=11)*(BULK_END&gt;=11)))),0),ROUND((INDEX(VELOCITY_TABLE,MATCH($F38,TIER_LIST,0),1))*(IF((11-$I38+1)&lt;=0,0,IF((11-$I38+1)=1,RAMP_W1,IF((11-$I38+1)=2,RAMP_W2,IF((11-$I38+1)=3,RAMP_W3,RAMP_W4PLUS)))))*(INDEX(ACTIVE_MULT_TABLE,1,1))*(1+SUMPRODUCT(SIGN(((ACT_DOOR_SCOPE="ALL")+(ACT_DOOR_SCOPE="TIER_"&amp;$F38)+(ACT_DOOR_SCOPE=$B38)))*SIGN(((ACT_SKU_SCOPE="ALL")+(ACT_SKU_SCOPE=$G38)))*(ACT_START&lt;=11)*(ACT_END&gt;=11)*IFERROR(ACT_UPLIFT-1,0)))*(1+SUMPRODUCT(SIGN(((ACT_DOOR_SCOPE="ALL")+(ACT_DOOR_SCOPE="TIER_"&amp;$F38)+(ACT_DOOR_SCOPE=$B38)))*SIGN(((ACT_SKU_SCOPE="ALL")+(ACT_SKU_SCOPE=$G38)))*(11&gt;ACT_END)*(ACT_END&gt;0)*IFERROR(ACT_POSTLIFT,0))),0)))</f>
        <v/>
      </c>
      <c r="U38" s="10">
        <f>IF(OR($H38&lt;&gt;"Y",12&lt;$I38),0,IF(SUMPRODUCT(((BULK_ENABLED="Y")*((BULK_TIER="ALL")+(BULK_TIER=$F38))*((BULK_SKU="ALL")+(BULK_SKU=$G38))*(BULK_START&lt;=12)*(BULK_END&gt;=12)))&gt;0,IFERROR(SUMPRODUCT(((BULK_ENABLED="Y")*((BULK_TIER="ALL")+(BULK_TIER=$F38))*((BULK_SKU="ALL")+(BULK_SKU=$G38))*(BULK_START&lt;=12)*(BULK_END&gt;=12))*IFERROR(BULK_VALUE,0))/MAX(1,SUMPRODUCT(((BULK_ENABLED="Y")*((BULK_TIER="ALL")+(BULK_TIER=$F38))*((BULK_SKU="ALL")+(BULK_SKU=$G38))*(BULK_START&lt;=12)*(BULK_END&gt;=12)))),0),ROUND((INDEX(VELOCITY_TABLE,MATCH($F38,TIER_LIST,0),1))*(IF((12-$I38+1)&lt;=0,0,IF((12-$I38+1)=1,RAMP_W1,IF((12-$I38+1)=2,RAMP_W2,IF((12-$I38+1)=3,RAMP_W3,RAMP_W4PLUS)))))*(INDEX(ACTIVE_MULT_TABLE,1,1))*(1+SUMPRODUCT(SIGN(((ACT_DOOR_SCOPE="ALL")+(ACT_DOOR_SCOPE="TIER_"&amp;$F38)+(ACT_DOOR_SCOPE=$B38)))*SIGN(((ACT_SKU_SCOPE="ALL")+(ACT_SKU_SCOPE=$G38)))*(ACT_START&lt;=12)*(ACT_END&gt;=12)*IFERROR(ACT_UPLIFT-1,0)))*(1+SUMPRODUCT(SIGN(((ACT_DOOR_SCOPE="ALL")+(ACT_DOOR_SCOPE="TIER_"&amp;$F38)+(ACT_DOOR_SCOPE=$B38)))*SIGN(((ACT_SKU_SCOPE="ALL")+(ACT_SKU_SCOPE=$G38)))*(12&gt;ACT_END)*(ACT_END&gt;0)*IFERROR(ACT_POSTLIFT,0))),0)))</f>
        <v/>
      </c>
      <c r="V38" s="10">
        <f>IF(OR($H38&lt;&gt;"Y",13&lt;$I38),0,IF(SUMPRODUCT(((BULK_ENABLED="Y")*((BULK_TIER="ALL")+(BULK_TIER=$F38))*((BULK_SKU="ALL")+(BULK_SKU=$G38))*(BULK_START&lt;=13)*(BULK_END&gt;=13)))&gt;0,IFERROR(SUMPRODUCT(((BULK_ENABLED="Y")*((BULK_TIER="ALL")+(BULK_TIER=$F38))*((BULK_SKU="ALL")+(BULK_SKU=$G38))*(BULK_START&lt;=13)*(BULK_END&gt;=13))*IFERROR(BULK_VALUE,0))/MAX(1,SUMPRODUCT(((BULK_ENABLED="Y")*((BULK_TIER="ALL")+(BULK_TIER=$F38))*((BULK_SKU="ALL")+(BULK_SKU=$G38))*(BULK_START&lt;=13)*(BULK_END&gt;=13)))),0),ROUND((INDEX(VELOCITY_TABLE,MATCH($F38,TIER_LIST,0),1))*(IF((13-$I38+1)&lt;=0,0,IF((13-$I38+1)=1,RAMP_W1,IF((13-$I38+1)=2,RAMP_W2,IF((13-$I38+1)=3,RAMP_W3,RAMP_W4PLUS)))))*(INDEX(ACTIVE_MULT_TABLE,1,1))*(1+SUMPRODUCT(SIGN(((ACT_DOOR_SCOPE="ALL")+(ACT_DOOR_SCOPE="TIER_"&amp;$F38)+(ACT_DOOR_SCOPE=$B38)))*SIGN(((ACT_SKU_SCOPE="ALL")+(ACT_SKU_SCOPE=$G38)))*(ACT_START&lt;=13)*(ACT_END&gt;=13)*IFERROR(ACT_UPLIFT-1,0)))*(1+SUMPRODUCT(SIGN(((ACT_DOOR_SCOPE="ALL")+(ACT_DOOR_SCOPE="TIER_"&amp;$F38)+(ACT_DOOR_SCOPE=$B38)))*SIGN(((ACT_SKU_SCOPE="ALL")+(ACT_SKU_SCOPE=$G38)))*(13&gt;ACT_END)*(ACT_END&gt;0)*IFERROR(ACT_POSTLIFT,0))),0)))</f>
        <v/>
      </c>
    </row>
    <row r="39">
      <c r="A39" t="inlineStr">
        <is>
          <t>R0035</t>
        </is>
      </c>
      <c r="B39">
        <f>Doors!$A$16</f>
        <v/>
      </c>
      <c r="C39">
        <f>Doors!$C$16</f>
        <v/>
      </c>
      <c r="D39">
        <f>Doors!$B$16</f>
        <v/>
      </c>
      <c r="E39">
        <f>Doors!$E$16</f>
        <v/>
      </c>
      <c r="F39">
        <f>Doors!$F$16</f>
        <v/>
      </c>
      <c r="G39" t="inlineStr">
        <is>
          <t>Pineapple Passion Fruit</t>
        </is>
      </c>
      <c r="H39">
        <f>Doors!$H$16</f>
        <v/>
      </c>
      <c r="I39">
        <f>Doors!$J$16</f>
        <v/>
      </c>
      <c r="J39" s="10">
        <f>IF(OR($H39&lt;&gt;"Y",1&lt;$I39),0,IF(SUMPRODUCT(((BULK_ENABLED="Y")*((BULK_TIER="ALL")+(BULK_TIER=$F39))*((BULK_SKU="ALL")+(BULK_SKU=$G39))*(BULK_START&lt;=1)*(BULK_END&gt;=1)))&gt;0,IFERROR(SUMPRODUCT(((BULK_ENABLED="Y")*((BULK_TIER="ALL")+(BULK_TIER=$F39))*((BULK_SKU="ALL")+(BULK_SKU=$G39))*(BULK_START&lt;=1)*(BULK_END&gt;=1))*IFERROR(BULK_VALUE,0))/MAX(1,SUMPRODUCT(((BULK_ENABLED="Y")*((BULK_TIER="ALL")+(BULK_TIER=$F39))*((BULK_SKU="ALL")+(BULK_SKU=$G39))*(BULK_START&lt;=1)*(BULK_END&gt;=1)))),0),ROUND((INDEX(VELOCITY_TABLE,MATCH($F39,TIER_LIST,0),2))*(IF((1-$I39+1)&lt;=0,0,IF((1-$I39+1)=1,RAMP_W1,IF((1-$I39+1)=2,RAMP_W2,IF((1-$I39+1)=3,RAMP_W3,RAMP_W4PLUS)))))*(INDEX(ACTIVE_MULT_TABLE,2,1))*(1+SUMPRODUCT(SIGN(((ACT_DOOR_SCOPE="ALL")+(ACT_DOOR_SCOPE="TIER_"&amp;$F39)+(ACT_DOOR_SCOPE=$B39)))*SIGN(((ACT_SKU_SCOPE="ALL")+(ACT_SKU_SCOPE=$G39)))*(ACT_START&lt;=1)*(ACT_END&gt;=1)*IFERROR(ACT_UPLIFT-1,0)))*(1+SUMPRODUCT(SIGN(((ACT_DOOR_SCOPE="ALL")+(ACT_DOOR_SCOPE="TIER_"&amp;$F39)+(ACT_DOOR_SCOPE=$B39)))*SIGN(((ACT_SKU_SCOPE="ALL")+(ACT_SKU_SCOPE=$G39)))*(1&gt;ACT_END)*(ACT_END&gt;0)*IFERROR(ACT_POSTLIFT,0))),0)))</f>
        <v/>
      </c>
      <c r="K39" s="10">
        <f>IF(OR($H39&lt;&gt;"Y",2&lt;$I39),0,IF(SUMPRODUCT(((BULK_ENABLED="Y")*((BULK_TIER="ALL")+(BULK_TIER=$F39))*((BULK_SKU="ALL")+(BULK_SKU=$G39))*(BULK_START&lt;=2)*(BULK_END&gt;=2)))&gt;0,IFERROR(SUMPRODUCT(((BULK_ENABLED="Y")*((BULK_TIER="ALL")+(BULK_TIER=$F39))*((BULK_SKU="ALL")+(BULK_SKU=$G39))*(BULK_START&lt;=2)*(BULK_END&gt;=2))*IFERROR(BULK_VALUE,0))/MAX(1,SUMPRODUCT(((BULK_ENABLED="Y")*((BULK_TIER="ALL")+(BULK_TIER=$F39))*((BULK_SKU="ALL")+(BULK_SKU=$G39))*(BULK_START&lt;=2)*(BULK_END&gt;=2)))),0),ROUND((INDEX(VELOCITY_TABLE,MATCH($F39,TIER_LIST,0),2))*(IF((2-$I39+1)&lt;=0,0,IF((2-$I39+1)=1,RAMP_W1,IF((2-$I39+1)=2,RAMP_W2,IF((2-$I39+1)=3,RAMP_W3,RAMP_W4PLUS)))))*(INDEX(ACTIVE_MULT_TABLE,2,1))*(1+SUMPRODUCT(SIGN(((ACT_DOOR_SCOPE="ALL")+(ACT_DOOR_SCOPE="TIER_"&amp;$F39)+(ACT_DOOR_SCOPE=$B39)))*SIGN(((ACT_SKU_SCOPE="ALL")+(ACT_SKU_SCOPE=$G39)))*(ACT_START&lt;=2)*(ACT_END&gt;=2)*IFERROR(ACT_UPLIFT-1,0)))*(1+SUMPRODUCT(SIGN(((ACT_DOOR_SCOPE="ALL")+(ACT_DOOR_SCOPE="TIER_"&amp;$F39)+(ACT_DOOR_SCOPE=$B39)))*SIGN(((ACT_SKU_SCOPE="ALL")+(ACT_SKU_SCOPE=$G39)))*(2&gt;ACT_END)*(ACT_END&gt;0)*IFERROR(ACT_POSTLIFT,0))),0)))</f>
        <v/>
      </c>
      <c r="L39" s="10">
        <f>IF(OR($H39&lt;&gt;"Y",3&lt;$I39),0,IF(SUMPRODUCT(((BULK_ENABLED="Y")*((BULK_TIER="ALL")+(BULK_TIER=$F39))*((BULK_SKU="ALL")+(BULK_SKU=$G39))*(BULK_START&lt;=3)*(BULK_END&gt;=3)))&gt;0,IFERROR(SUMPRODUCT(((BULK_ENABLED="Y")*((BULK_TIER="ALL")+(BULK_TIER=$F39))*((BULK_SKU="ALL")+(BULK_SKU=$G39))*(BULK_START&lt;=3)*(BULK_END&gt;=3))*IFERROR(BULK_VALUE,0))/MAX(1,SUMPRODUCT(((BULK_ENABLED="Y")*((BULK_TIER="ALL")+(BULK_TIER=$F39))*((BULK_SKU="ALL")+(BULK_SKU=$G39))*(BULK_START&lt;=3)*(BULK_END&gt;=3)))),0),ROUND((INDEX(VELOCITY_TABLE,MATCH($F39,TIER_LIST,0),2))*(IF((3-$I39+1)&lt;=0,0,IF((3-$I39+1)=1,RAMP_W1,IF((3-$I39+1)=2,RAMP_W2,IF((3-$I39+1)=3,RAMP_W3,RAMP_W4PLUS)))))*(INDEX(ACTIVE_MULT_TABLE,2,1))*(1+SUMPRODUCT(SIGN(((ACT_DOOR_SCOPE="ALL")+(ACT_DOOR_SCOPE="TIER_"&amp;$F39)+(ACT_DOOR_SCOPE=$B39)))*SIGN(((ACT_SKU_SCOPE="ALL")+(ACT_SKU_SCOPE=$G39)))*(ACT_START&lt;=3)*(ACT_END&gt;=3)*IFERROR(ACT_UPLIFT-1,0)))*(1+SUMPRODUCT(SIGN(((ACT_DOOR_SCOPE="ALL")+(ACT_DOOR_SCOPE="TIER_"&amp;$F39)+(ACT_DOOR_SCOPE=$B39)))*SIGN(((ACT_SKU_SCOPE="ALL")+(ACT_SKU_SCOPE=$G39)))*(3&gt;ACT_END)*(ACT_END&gt;0)*IFERROR(ACT_POSTLIFT,0))),0)))</f>
        <v/>
      </c>
      <c r="M39" s="10">
        <f>IF(OR($H39&lt;&gt;"Y",4&lt;$I39),0,IF(SUMPRODUCT(((BULK_ENABLED="Y")*((BULK_TIER="ALL")+(BULK_TIER=$F39))*((BULK_SKU="ALL")+(BULK_SKU=$G39))*(BULK_START&lt;=4)*(BULK_END&gt;=4)))&gt;0,IFERROR(SUMPRODUCT(((BULK_ENABLED="Y")*((BULK_TIER="ALL")+(BULK_TIER=$F39))*((BULK_SKU="ALL")+(BULK_SKU=$G39))*(BULK_START&lt;=4)*(BULK_END&gt;=4))*IFERROR(BULK_VALUE,0))/MAX(1,SUMPRODUCT(((BULK_ENABLED="Y")*((BULK_TIER="ALL")+(BULK_TIER=$F39))*((BULK_SKU="ALL")+(BULK_SKU=$G39))*(BULK_START&lt;=4)*(BULK_END&gt;=4)))),0),ROUND((INDEX(VELOCITY_TABLE,MATCH($F39,TIER_LIST,0),2))*(IF((4-$I39+1)&lt;=0,0,IF((4-$I39+1)=1,RAMP_W1,IF((4-$I39+1)=2,RAMP_W2,IF((4-$I39+1)=3,RAMP_W3,RAMP_W4PLUS)))))*(INDEX(ACTIVE_MULT_TABLE,2,1))*(1+SUMPRODUCT(SIGN(((ACT_DOOR_SCOPE="ALL")+(ACT_DOOR_SCOPE="TIER_"&amp;$F39)+(ACT_DOOR_SCOPE=$B39)))*SIGN(((ACT_SKU_SCOPE="ALL")+(ACT_SKU_SCOPE=$G39)))*(ACT_START&lt;=4)*(ACT_END&gt;=4)*IFERROR(ACT_UPLIFT-1,0)))*(1+SUMPRODUCT(SIGN(((ACT_DOOR_SCOPE="ALL")+(ACT_DOOR_SCOPE="TIER_"&amp;$F39)+(ACT_DOOR_SCOPE=$B39)))*SIGN(((ACT_SKU_SCOPE="ALL")+(ACT_SKU_SCOPE=$G39)))*(4&gt;ACT_END)*(ACT_END&gt;0)*IFERROR(ACT_POSTLIFT,0))),0)))</f>
        <v/>
      </c>
      <c r="N39" s="10">
        <f>IF(OR($H39&lt;&gt;"Y",5&lt;$I39),0,IF(SUMPRODUCT(((BULK_ENABLED="Y")*((BULK_TIER="ALL")+(BULK_TIER=$F39))*((BULK_SKU="ALL")+(BULK_SKU=$G39))*(BULK_START&lt;=5)*(BULK_END&gt;=5)))&gt;0,IFERROR(SUMPRODUCT(((BULK_ENABLED="Y")*((BULK_TIER="ALL")+(BULK_TIER=$F39))*((BULK_SKU="ALL")+(BULK_SKU=$G39))*(BULK_START&lt;=5)*(BULK_END&gt;=5))*IFERROR(BULK_VALUE,0))/MAX(1,SUMPRODUCT(((BULK_ENABLED="Y")*((BULK_TIER="ALL")+(BULK_TIER=$F39))*((BULK_SKU="ALL")+(BULK_SKU=$G39))*(BULK_START&lt;=5)*(BULK_END&gt;=5)))),0),ROUND((INDEX(VELOCITY_TABLE,MATCH($F39,TIER_LIST,0),2))*(IF((5-$I39+1)&lt;=0,0,IF((5-$I39+1)=1,RAMP_W1,IF((5-$I39+1)=2,RAMP_W2,IF((5-$I39+1)=3,RAMP_W3,RAMP_W4PLUS)))))*(INDEX(ACTIVE_MULT_TABLE,2,1))*(1+SUMPRODUCT(SIGN(((ACT_DOOR_SCOPE="ALL")+(ACT_DOOR_SCOPE="TIER_"&amp;$F39)+(ACT_DOOR_SCOPE=$B39)))*SIGN(((ACT_SKU_SCOPE="ALL")+(ACT_SKU_SCOPE=$G39)))*(ACT_START&lt;=5)*(ACT_END&gt;=5)*IFERROR(ACT_UPLIFT-1,0)))*(1+SUMPRODUCT(SIGN(((ACT_DOOR_SCOPE="ALL")+(ACT_DOOR_SCOPE="TIER_"&amp;$F39)+(ACT_DOOR_SCOPE=$B39)))*SIGN(((ACT_SKU_SCOPE="ALL")+(ACT_SKU_SCOPE=$G39)))*(5&gt;ACT_END)*(ACT_END&gt;0)*IFERROR(ACT_POSTLIFT,0))),0)))</f>
        <v/>
      </c>
      <c r="O39" s="10">
        <f>IF(OR($H39&lt;&gt;"Y",6&lt;$I39),0,IF(SUMPRODUCT(((BULK_ENABLED="Y")*((BULK_TIER="ALL")+(BULK_TIER=$F39))*((BULK_SKU="ALL")+(BULK_SKU=$G39))*(BULK_START&lt;=6)*(BULK_END&gt;=6)))&gt;0,IFERROR(SUMPRODUCT(((BULK_ENABLED="Y")*((BULK_TIER="ALL")+(BULK_TIER=$F39))*((BULK_SKU="ALL")+(BULK_SKU=$G39))*(BULK_START&lt;=6)*(BULK_END&gt;=6))*IFERROR(BULK_VALUE,0))/MAX(1,SUMPRODUCT(((BULK_ENABLED="Y")*((BULK_TIER="ALL")+(BULK_TIER=$F39))*((BULK_SKU="ALL")+(BULK_SKU=$G39))*(BULK_START&lt;=6)*(BULK_END&gt;=6)))),0),ROUND((INDEX(VELOCITY_TABLE,MATCH($F39,TIER_LIST,0),2))*(IF((6-$I39+1)&lt;=0,0,IF((6-$I39+1)=1,RAMP_W1,IF((6-$I39+1)=2,RAMP_W2,IF((6-$I39+1)=3,RAMP_W3,RAMP_W4PLUS)))))*(INDEX(ACTIVE_MULT_TABLE,2,1))*(1+SUMPRODUCT(SIGN(((ACT_DOOR_SCOPE="ALL")+(ACT_DOOR_SCOPE="TIER_"&amp;$F39)+(ACT_DOOR_SCOPE=$B39)))*SIGN(((ACT_SKU_SCOPE="ALL")+(ACT_SKU_SCOPE=$G39)))*(ACT_START&lt;=6)*(ACT_END&gt;=6)*IFERROR(ACT_UPLIFT-1,0)))*(1+SUMPRODUCT(SIGN(((ACT_DOOR_SCOPE="ALL")+(ACT_DOOR_SCOPE="TIER_"&amp;$F39)+(ACT_DOOR_SCOPE=$B39)))*SIGN(((ACT_SKU_SCOPE="ALL")+(ACT_SKU_SCOPE=$G39)))*(6&gt;ACT_END)*(ACT_END&gt;0)*IFERROR(ACT_POSTLIFT,0))),0)))</f>
        <v/>
      </c>
      <c r="P39" s="10">
        <f>IF(OR($H39&lt;&gt;"Y",7&lt;$I39),0,IF(SUMPRODUCT(((BULK_ENABLED="Y")*((BULK_TIER="ALL")+(BULK_TIER=$F39))*((BULK_SKU="ALL")+(BULK_SKU=$G39))*(BULK_START&lt;=7)*(BULK_END&gt;=7)))&gt;0,IFERROR(SUMPRODUCT(((BULK_ENABLED="Y")*((BULK_TIER="ALL")+(BULK_TIER=$F39))*((BULK_SKU="ALL")+(BULK_SKU=$G39))*(BULK_START&lt;=7)*(BULK_END&gt;=7))*IFERROR(BULK_VALUE,0))/MAX(1,SUMPRODUCT(((BULK_ENABLED="Y")*((BULK_TIER="ALL")+(BULK_TIER=$F39))*((BULK_SKU="ALL")+(BULK_SKU=$G39))*(BULK_START&lt;=7)*(BULK_END&gt;=7)))),0),ROUND((INDEX(VELOCITY_TABLE,MATCH($F39,TIER_LIST,0),2))*(IF((7-$I39+1)&lt;=0,0,IF((7-$I39+1)=1,RAMP_W1,IF((7-$I39+1)=2,RAMP_W2,IF((7-$I39+1)=3,RAMP_W3,RAMP_W4PLUS)))))*(INDEX(ACTIVE_MULT_TABLE,2,1))*(1+SUMPRODUCT(SIGN(((ACT_DOOR_SCOPE="ALL")+(ACT_DOOR_SCOPE="TIER_"&amp;$F39)+(ACT_DOOR_SCOPE=$B39)))*SIGN(((ACT_SKU_SCOPE="ALL")+(ACT_SKU_SCOPE=$G39)))*(ACT_START&lt;=7)*(ACT_END&gt;=7)*IFERROR(ACT_UPLIFT-1,0)))*(1+SUMPRODUCT(SIGN(((ACT_DOOR_SCOPE="ALL")+(ACT_DOOR_SCOPE="TIER_"&amp;$F39)+(ACT_DOOR_SCOPE=$B39)))*SIGN(((ACT_SKU_SCOPE="ALL")+(ACT_SKU_SCOPE=$G39)))*(7&gt;ACT_END)*(ACT_END&gt;0)*IFERROR(ACT_POSTLIFT,0))),0)))</f>
        <v/>
      </c>
      <c r="Q39" s="10">
        <f>IF(OR($H39&lt;&gt;"Y",8&lt;$I39),0,IF(SUMPRODUCT(((BULK_ENABLED="Y")*((BULK_TIER="ALL")+(BULK_TIER=$F39))*((BULK_SKU="ALL")+(BULK_SKU=$G39))*(BULK_START&lt;=8)*(BULK_END&gt;=8)))&gt;0,IFERROR(SUMPRODUCT(((BULK_ENABLED="Y")*((BULK_TIER="ALL")+(BULK_TIER=$F39))*((BULK_SKU="ALL")+(BULK_SKU=$G39))*(BULK_START&lt;=8)*(BULK_END&gt;=8))*IFERROR(BULK_VALUE,0))/MAX(1,SUMPRODUCT(((BULK_ENABLED="Y")*((BULK_TIER="ALL")+(BULK_TIER=$F39))*((BULK_SKU="ALL")+(BULK_SKU=$G39))*(BULK_START&lt;=8)*(BULK_END&gt;=8)))),0),ROUND((INDEX(VELOCITY_TABLE,MATCH($F39,TIER_LIST,0),2))*(IF((8-$I39+1)&lt;=0,0,IF((8-$I39+1)=1,RAMP_W1,IF((8-$I39+1)=2,RAMP_W2,IF((8-$I39+1)=3,RAMP_W3,RAMP_W4PLUS)))))*(INDEX(ACTIVE_MULT_TABLE,2,1))*(1+SUMPRODUCT(SIGN(((ACT_DOOR_SCOPE="ALL")+(ACT_DOOR_SCOPE="TIER_"&amp;$F39)+(ACT_DOOR_SCOPE=$B39)))*SIGN(((ACT_SKU_SCOPE="ALL")+(ACT_SKU_SCOPE=$G39)))*(ACT_START&lt;=8)*(ACT_END&gt;=8)*IFERROR(ACT_UPLIFT-1,0)))*(1+SUMPRODUCT(SIGN(((ACT_DOOR_SCOPE="ALL")+(ACT_DOOR_SCOPE="TIER_"&amp;$F39)+(ACT_DOOR_SCOPE=$B39)))*SIGN(((ACT_SKU_SCOPE="ALL")+(ACT_SKU_SCOPE=$G39)))*(8&gt;ACT_END)*(ACT_END&gt;0)*IFERROR(ACT_POSTLIFT,0))),0)))</f>
        <v/>
      </c>
      <c r="R39" s="10">
        <f>IF(OR($H39&lt;&gt;"Y",9&lt;$I39),0,IF(SUMPRODUCT(((BULK_ENABLED="Y")*((BULK_TIER="ALL")+(BULK_TIER=$F39))*((BULK_SKU="ALL")+(BULK_SKU=$G39))*(BULK_START&lt;=9)*(BULK_END&gt;=9)))&gt;0,IFERROR(SUMPRODUCT(((BULK_ENABLED="Y")*((BULK_TIER="ALL")+(BULK_TIER=$F39))*((BULK_SKU="ALL")+(BULK_SKU=$G39))*(BULK_START&lt;=9)*(BULK_END&gt;=9))*IFERROR(BULK_VALUE,0))/MAX(1,SUMPRODUCT(((BULK_ENABLED="Y")*((BULK_TIER="ALL")+(BULK_TIER=$F39))*((BULK_SKU="ALL")+(BULK_SKU=$G39))*(BULK_START&lt;=9)*(BULK_END&gt;=9)))),0),ROUND((INDEX(VELOCITY_TABLE,MATCH($F39,TIER_LIST,0),2))*(IF((9-$I39+1)&lt;=0,0,IF((9-$I39+1)=1,RAMP_W1,IF((9-$I39+1)=2,RAMP_W2,IF((9-$I39+1)=3,RAMP_W3,RAMP_W4PLUS)))))*(INDEX(ACTIVE_MULT_TABLE,2,1))*(1+SUMPRODUCT(SIGN(((ACT_DOOR_SCOPE="ALL")+(ACT_DOOR_SCOPE="TIER_"&amp;$F39)+(ACT_DOOR_SCOPE=$B39)))*SIGN(((ACT_SKU_SCOPE="ALL")+(ACT_SKU_SCOPE=$G39)))*(ACT_START&lt;=9)*(ACT_END&gt;=9)*IFERROR(ACT_UPLIFT-1,0)))*(1+SUMPRODUCT(SIGN(((ACT_DOOR_SCOPE="ALL")+(ACT_DOOR_SCOPE="TIER_"&amp;$F39)+(ACT_DOOR_SCOPE=$B39)))*SIGN(((ACT_SKU_SCOPE="ALL")+(ACT_SKU_SCOPE=$G39)))*(9&gt;ACT_END)*(ACT_END&gt;0)*IFERROR(ACT_POSTLIFT,0))),0)))</f>
        <v/>
      </c>
      <c r="S39" s="10">
        <f>IF(OR($H39&lt;&gt;"Y",10&lt;$I39),0,IF(SUMPRODUCT(((BULK_ENABLED="Y")*((BULK_TIER="ALL")+(BULK_TIER=$F39))*((BULK_SKU="ALL")+(BULK_SKU=$G39))*(BULK_START&lt;=10)*(BULK_END&gt;=10)))&gt;0,IFERROR(SUMPRODUCT(((BULK_ENABLED="Y")*((BULK_TIER="ALL")+(BULK_TIER=$F39))*((BULK_SKU="ALL")+(BULK_SKU=$G39))*(BULK_START&lt;=10)*(BULK_END&gt;=10))*IFERROR(BULK_VALUE,0))/MAX(1,SUMPRODUCT(((BULK_ENABLED="Y")*((BULK_TIER="ALL")+(BULK_TIER=$F39))*((BULK_SKU="ALL")+(BULK_SKU=$G39))*(BULK_START&lt;=10)*(BULK_END&gt;=10)))),0),ROUND((INDEX(VELOCITY_TABLE,MATCH($F39,TIER_LIST,0),2))*(IF((10-$I39+1)&lt;=0,0,IF((10-$I39+1)=1,RAMP_W1,IF((10-$I39+1)=2,RAMP_W2,IF((10-$I39+1)=3,RAMP_W3,RAMP_W4PLUS)))))*(INDEX(ACTIVE_MULT_TABLE,2,1))*(1+SUMPRODUCT(SIGN(((ACT_DOOR_SCOPE="ALL")+(ACT_DOOR_SCOPE="TIER_"&amp;$F39)+(ACT_DOOR_SCOPE=$B39)))*SIGN(((ACT_SKU_SCOPE="ALL")+(ACT_SKU_SCOPE=$G39)))*(ACT_START&lt;=10)*(ACT_END&gt;=10)*IFERROR(ACT_UPLIFT-1,0)))*(1+SUMPRODUCT(SIGN(((ACT_DOOR_SCOPE="ALL")+(ACT_DOOR_SCOPE="TIER_"&amp;$F39)+(ACT_DOOR_SCOPE=$B39)))*SIGN(((ACT_SKU_SCOPE="ALL")+(ACT_SKU_SCOPE=$G39)))*(10&gt;ACT_END)*(ACT_END&gt;0)*IFERROR(ACT_POSTLIFT,0))),0)))</f>
        <v/>
      </c>
      <c r="T39" s="10">
        <f>IF(OR($H39&lt;&gt;"Y",11&lt;$I39),0,IF(SUMPRODUCT(((BULK_ENABLED="Y")*((BULK_TIER="ALL")+(BULK_TIER=$F39))*((BULK_SKU="ALL")+(BULK_SKU=$G39))*(BULK_START&lt;=11)*(BULK_END&gt;=11)))&gt;0,IFERROR(SUMPRODUCT(((BULK_ENABLED="Y")*((BULK_TIER="ALL")+(BULK_TIER=$F39))*((BULK_SKU="ALL")+(BULK_SKU=$G39))*(BULK_START&lt;=11)*(BULK_END&gt;=11))*IFERROR(BULK_VALUE,0))/MAX(1,SUMPRODUCT(((BULK_ENABLED="Y")*((BULK_TIER="ALL")+(BULK_TIER=$F39))*((BULK_SKU="ALL")+(BULK_SKU=$G39))*(BULK_START&lt;=11)*(BULK_END&gt;=11)))),0),ROUND((INDEX(VELOCITY_TABLE,MATCH($F39,TIER_LIST,0),2))*(IF((11-$I39+1)&lt;=0,0,IF((11-$I39+1)=1,RAMP_W1,IF((11-$I39+1)=2,RAMP_W2,IF((11-$I39+1)=3,RAMP_W3,RAMP_W4PLUS)))))*(INDEX(ACTIVE_MULT_TABLE,2,1))*(1+SUMPRODUCT(SIGN(((ACT_DOOR_SCOPE="ALL")+(ACT_DOOR_SCOPE="TIER_"&amp;$F39)+(ACT_DOOR_SCOPE=$B39)))*SIGN(((ACT_SKU_SCOPE="ALL")+(ACT_SKU_SCOPE=$G39)))*(ACT_START&lt;=11)*(ACT_END&gt;=11)*IFERROR(ACT_UPLIFT-1,0)))*(1+SUMPRODUCT(SIGN(((ACT_DOOR_SCOPE="ALL")+(ACT_DOOR_SCOPE="TIER_"&amp;$F39)+(ACT_DOOR_SCOPE=$B39)))*SIGN(((ACT_SKU_SCOPE="ALL")+(ACT_SKU_SCOPE=$G39)))*(11&gt;ACT_END)*(ACT_END&gt;0)*IFERROR(ACT_POSTLIFT,0))),0)))</f>
        <v/>
      </c>
      <c r="U39" s="10">
        <f>IF(OR($H39&lt;&gt;"Y",12&lt;$I39),0,IF(SUMPRODUCT(((BULK_ENABLED="Y")*((BULK_TIER="ALL")+(BULK_TIER=$F39))*((BULK_SKU="ALL")+(BULK_SKU=$G39))*(BULK_START&lt;=12)*(BULK_END&gt;=12)))&gt;0,IFERROR(SUMPRODUCT(((BULK_ENABLED="Y")*((BULK_TIER="ALL")+(BULK_TIER=$F39))*((BULK_SKU="ALL")+(BULK_SKU=$G39))*(BULK_START&lt;=12)*(BULK_END&gt;=12))*IFERROR(BULK_VALUE,0))/MAX(1,SUMPRODUCT(((BULK_ENABLED="Y")*((BULK_TIER="ALL")+(BULK_TIER=$F39))*((BULK_SKU="ALL")+(BULK_SKU=$G39))*(BULK_START&lt;=12)*(BULK_END&gt;=12)))),0),ROUND((INDEX(VELOCITY_TABLE,MATCH($F39,TIER_LIST,0),2))*(IF((12-$I39+1)&lt;=0,0,IF((12-$I39+1)=1,RAMP_W1,IF((12-$I39+1)=2,RAMP_W2,IF((12-$I39+1)=3,RAMP_W3,RAMP_W4PLUS)))))*(INDEX(ACTIVE_MULT_TABLE,2,1))*(1+SUMPRODUCT(SIGN(((ACT_DOOR_SCOPE="ALL")+(ACT_DOOR_SCOPE="TIER_"&amp;$F39)+(ACT_DOOR_SCOPE=$B39)))*SIGN(((ACT_SKU_SCOPE="ALL")+(ACT_SKU_SCOPE=$G39)))*(ACT_START&lt;=12)*(ACT_END&gt;=12)*IFERROR(ACT_UPLIFT-1,0)))*(1+SUMPRODUCT(SIGN(((ACT_DOOR_SCOPE="ALL")+(ACT_DOOR_SCOPE="TIER_"&amp;$F39)+(ACT_DOOR_SCOPE=$B39)))*SIGN(((ACT_SKU_SCOPE="ALL")+(ACT_SKU_SCOPE=$G39)))*(12&gt;ACT_END)*(ACT_END&gt;0)*IFERROR(ACT_POSTLIFT,0))),0)))</f>
        <v/>
      </c>
      <c r="V39" s="10">
        <f>IF(OR($H39&lt;&gt;"Y",13&lt;$I39),0,IF(SUMPRODUCT(((BULK_ENABLED="Y")*((BULK_TIER="ALL")+(BULK_TIER=$F39))*((BULK_SKU="ALL")+(BULK_SKU=$G39))*(BULK_START&lt;=13)*(BULK_END&gt;=13)))&gt;0,IFERROR(SUMPRODUCT(((BULK_ENABLED="Y")*((BULK_TIER="ALL")+(BULK_TIER=$F39))*((BULK_SKU="ALL")+(BULK_SKU=$G39))*(BULK_START&lt;=13)*(BULK_END&gt;=13))*IFERROR(BULK_VALUE,0))/MAX(1,SUMPRODUCT(((BULK_ENABLED="Y")*((BULK_TIER="ALL")+(BULK_TIER=$F39))*((BULK_SKU="ALL")+(BULK_SKU=$G39))*(BULK_START&lt;=13)*(BULK_END&gt;=13)))),0),ROUND((INDEX(VELOCITY_TABLE,MATCH($F39,TIER_LIST,0),2))*(IF((13-$I39+1)&lt;=0,0,IF((13-$I39+1)=1,RAMP_W1,IF((13-$I39+1)=2,RAMP_W2,IF((13-$I39+1)=3,RAMP_W3,RAMP_W4PLUS)))))*(INDEX(ACTIVE_MULT_TABLE,2,1))*(1+SUMPRODUCT(SIGN(((ACT_DOOR_SCOPE="ALL")+(ACT_DOOR_SCOPE="TIER_"&amp;$F39)+(ACT_DOOR_SCOPE=$B39)))*SIGN(((ACT_SKU_SCOPE="ALL")+(ACT_SKU_SCOPE=$G39)))*(ACT_START&lt;=13)*(ACT_END&gt;=13)*IFERROR(ACT_UPLIFT-1,0)))*(1+SUMPRODUCT(SIGN(((ACT_DOOR_SCOPE="ALL")+(ACT_DOOR_SCOPE="TIER_"&amp;$F39)+(ACT_DOOR_SCOPE=$B39)))*SIGN(((ACT_SKU_SCOPE="ALL")+(ACT_SKU_SCOPE=$G39)))*(13&gt;ACT_END)*(ACT_END&gt;0)*IFERROR(ACT_POSTLIFT,0))),0)))</f>
        <v/>
      </c>
    </row>
    <row r="40">
      <c r="A40" t="inlineStr">
        <is>
          <t>R0036</t>
        </is>
      </c>
      <c r="B40">
        <f>Doors!$A$16</f>
        <v/>
      </c>
      <c r="C40">
        <f>Doors!$C$16</f>
        <v/>
      </c>
      <c r="D40">
        <f>Doors!$B$16</f>
        <v/>
      </c>
      <c r="E40">
        <f>Doors!$E$16</f>
        <v/>
      </c>
      <c r="F40">
        <f>Doors!$F$16</f>
        <v/>
      </c>
      <c r="G40" t="inlineStr">
        <is>
          <t>Raspberry</t>
        </is>
      </c>
      <c r="H40">
        <f>Doors!$I$16</f>
        <v/>
      </c>
      <c r="I40">
        <f>Doors!$J$16</f>
        <v/>
      </c>
      <c r="J40" s="10">
        <f>IF(OR($H40&lt;&gt;"Y",1&lt;$I40),0,IF(SUMPRODUCT(((BULK_ENABLED="Y")*((BULK_TIER="ALL")+(BULK_TIER=$F40))*((BULK_SKU="ALL")+(BULK_SKU=$G40))*(BULK_START&lt;=1)*(BULK_END&gt;=1)))&gt;0,IFERROR(SUMPRODUCT(((BULK_ENABLED="Y")*((BULK_TIER="ALL")+(BULK_TIER=$F40))*((BULK_SKU="ALL")+(BULK_SKU=$G40))*(BULK_START&lt;=1)*(BULK_END&gt;=1))*IFERROR(BULK_VALUE,0))/MAX(1,SUMPRODUCT(((BULK_ENABLED="Y")*((BULK_TIER="ALL")+(BULK_TIER=$F40))*((BULK_SKU="ALL")+(BULK_SKU=$G40))*(BULK_START&lt;=1)*(BULK_END&gt;=1)))),0),ROUND((INDEX(VELOCITY_TABLE,MATCH($F40,TIER_LIST,0),3))*(IF((1-$I40+1)&lt;=0,0,IF((1-$I40+1)=1,RAMP_W1,IF((1-$I40+1)=2,RAMP_W2,IF((1-$I40+1)=3,RAMP_W3,RAMP_W4PLUS)))))*(INDEX(ACTIVE_MULT_TABLE,3,1))*(1+SUMPRODUCT(SIGN(((ACT_DOOR_SCOPE="ALL")+(ACT_DOOR_SCOPE="TIER_"&amp;$F40)+(ACT_DOOR_SCOPE=$B40)))*SIGN(((ACT_SKU_SCOPE="ALL")+(ACT_SKU_SCOPE=$G40)))*(ACT_START&lt;=1)*(ACT_END&gt;=1)*IFERROR(ACT_UPLIFT-1,0)))*(1+SUMPRODUCT(SIGN(((ACT_DOOR_SCOPE="ALL")+(ACT_DOOR_SCOPE="TIER_"&amp;$F40)+(ACT_DOOR_SCOPE=$B40)))*SIGN(((ACT_SKU_SCOPE="ALL")+(ACT_SKU_SCOPE=$G40)))*(1&gt;ACT_END)*(ACT_END&gt;0)*IFERROR(ACT_POSTLIFT,0))),0)))</f>
        <v/>
      </c>
      <c r="K40" s="10">
        <f>IF(OR($H40&lt;&gt;"Y",2&lt;$I40),0,IF(SUMPRODUCT(((BULK_ENABLED="Y")*((BULK_TIER="ALL")+(BULK_TIER=$F40))*((BULK_SKU="ALL")+(BULK_SKU=$G40))*(BULK_START&lt;=2)*(BULK_END&gt;=2)))&gt;0,IFERROR(SUMPRODUCT(((BULK_ENABLED="Y")*((BULK_TIER="ALL")+(BULK_TIER=$F40))*((BULK_SKU="ALL")+(BULK_SKU=$G40))*(BULK_START&lt;=2)*(BULK_END&gt;=2))*IFERROR(BULK_VALUE,0))/MAX(1,SUMPRODUCT(((BULK_ENABLED="Y")*((BULK_TIER="ALL")+(BULK_TIER=$F40))*((BULK_SKU="ALL")+(BULK_SKU=$G40))*(BULK_START&lt;=2)*(BULK_END&gt;=2)))),0),ROUND((INDEX(VELOCITY_TABLE,MATCH($F40,TIER_LIST,0),3))*(IF((2-$I40+1)&lt;=0,0,IF((2-$I40+1)=1,RAMP_W1,IF((2-$I40+1)=2,RAMP_W2,IF((2-$I40+1)=3,RAMP_W3,RAMP_W4PLUS)))))*(INDEX(ACTIVE_MULT_TABLE,3,1))*(1+SUMPRODUCT(SIGN(((ACT_DOOR_SCOPE="ALL")+(ACT_DOOR_SCOPE="TIER_"&amp;$F40)+(ACT_DOOR_SCOPE=$B40)))*SIGN(((ACT_SKU_SCOPE="ALL")+(ACT_SKU_SCOPE=$G40)))*(ACT_START&lt;=2)*(ACT_END&gt;=2)*IFERROR(ACT_UPLIFT-1,0)))*(1+SUMPRODUCT(SIGN(((ACT_DOOR_SCOPE="ALL")+(ACT_DOOR_SCOPE="TIER_"&amp;$F40)+(ACT_DOOR_SCOPE=$B40)))*SIGN(((ACT_SKU_SCOPE="ALL")+(ACT_SKU_SCOPE=$G40)))*(2&gt;ACT_END)*(ACT_END&gt;0)*IFERROR(ACT_POSTLIFT,0))),0)))</f>
        <v/>
      </c>
      <c r="L40" s="10">
        <f>IF(OR($H40&lt;&gt;"Y",3&lt;$I40),0,IF(SUMPRODUCT(((BULK_ENABLED="Y")*((BULK_TIER="ALL")+(BULK_TIER=$F40))*((BULK_SKU="ALL")+(BULK_SKU=$G40))*(BULK_START&lt;=3)*(BULK_END&gt;=3)))&gt;0,IFERROR(SUMPRODUCT(((BULK_ENABLED="Y")*((BULK_TIER="ALL")+(BULK_TIER=$F40))*((BULK_SKU="ALL")+(BULK_SKU=$G40))*(BULK_START&lt;=3)*(BULK_END&gt;=3))*IFERROR(BULK_VALUE,0))/MAX(1,SUMPRODUCT(((BULK_ENABLED="Y")*((BULK_TIER="ALL")+(BULK_TIER=$F40))*((BULK_SKU="ALL")+(BULK_SKU=$G40))*(BULK_START&lt;=3)*(BULK_END&gt;=3)))),0),ROUND((INDEX(VELOCITY_TABLE,MATCH($F40,TIER_LIST,0),3))*(IF((3-$I40+1)&lt;=0,0,IF((3-$I40+1)=1,RAMP_W1,IF((3-$I40+1)=2,RAMP_W2,IF((3-$I40+1)=3,RAMP_W3,RAMP_W4PLUS)))))*(INDEX(ACTIVE_MULT_TABLE,3,1))*(1+SUMPRODUCT(SIGN(((ACT_DOOR_SCOPE="ALL")+(ACT_DOOR_SCOPE="TIER_"&amp;$F40)+(ACT_DOOR_SCOPE=$B40)))*SIGN(((ACT_SKU_SCOPE="ALL")+(ACT_SKU_SCOPE=$G40)))*(ACT_START&lt;=3)*(ACT_END&gt;=3)*IFERROR(ACT_UPLIFT-1,0)))*(1+SUMPRODUCT(SIGN(((ACT_DOOR_SCOPE="ALL")+(ACT_DOOR_SCOPE="TIER_"&amp;$F40)+(ACT_DOOR_SCOPE=$B40)))*SIGN(((ACT_SKU_SCOPE="ALL")+(ACT_SKU_SCOPE=$G40)))*(3&gt;ACT_END)*(ACT_END&gt;0)*IFERROR(ACT_POSTLIFT,0))),0)))</f>
        <v/>
      </c>
      <c r="M40" s="10">
        <f>IF(OR($H40&lt;&gt;"Y",4&lt;$I40),0,IF(SUMPRODUCT(((BULK_ENABLED="Y")*((BULK_TIER="ALL")+(BULK_TIER=$F40))*((BULK_SKU="ALL")+(BULK_SKU=$G40))*(BULK_START&lt;=4)*(BULK_END&gt;=4)))&gt;0,IFERROR(SUMPRODUCT(((BULK_ENABLED="Y")*((BULK_TIER="ALL")+(BULK_TIER=$F40))*((BULK_SKU="ALL")+(BULK_SKU=$G40))*(BULK_START&lt;=4)*(BULK_END&gt;=4))*IFERROR(BULK_VALUE,0))/MAX(1,SUMPRODUCT(((BULK_ENABLED="Y")*((BULK_TIER="ALL")+(BULK_TIER=$F40))*((BULK_SKU="ALL")+(BULK_SKU=$G40))*(BULK_START&lt;=4)*(BULK_END&gt;=4)))),0),ROUND((INDEX(VELOCITY_TABLE,MATCH($F40,TIER_LIST,0),3))*(IF((4-$I40+1)&lt;=0,0,IF((4-$I40+1)=1,RAMP_W1,IF((4-$I40+1)=2,RAMP_W2,IF((4-$I40+1)=3,RAMP_W3,RAMP_W4PLUS)))))*(INDEX(ACTIVE_MULT_TABLE,3,1))*(1+SUMPRODUCT(SIGN(((ACT_DOOR_SCOPE="ALL")+(ACT_DOOR_SCOPE="TIER_"&amp;$F40)+(ACT_DOOR_SCOPE=$B40)))*SIGN(((ACT_SKU_SCOPE="ALL")+(ACT_SKU_SCOPE=$G40)))*(ACT_START&lt;=4)*(ACT_END&gt;=4)*IFERROR(ACT_UPLIFT-1,0)))*(1+SUMPRODUCT(SIGN(((ACT_DOOR_SCOPE="ALL")+(ACT_DOOR_SCOPE="TIER_"&amp;$F40)+(ACT_DOOR_SCOPE=$B40)))*SIGN(((ACT_SKU_SCOPE="ALL")+(ACT_SKU_SCOPE=$G40)))*(4&gt;ACT_END)*(ACT_END&gt;0)*IFERROR(ACT_POSTLIFT,0))),0)))</f>
        <v/>
      </c>
      <c r="N40" s="10">
        <f>IF(OR($H40&lt;&gt;"Y",5&lt;$I40),0,IF(SUMPRODUCT(((BULK_ENABLED="Y")*((BULK_TIER="ALL")+(BULK_TIER=$F40))*((BULK_SKU="ALL")+(BULK_SKU=$G40))*(BULK_START&lt;=5)*(BULK_END&gt;=5)))&gt;0,IFERROR(SUMPRODUCT(((BULK_ENABLED="Y")*((BULK_TIER="ALL")+(BULK_TIER=$F40))*((BULK_SKU="ALL")+(BULK_SKU=$G40))*(BULK_START&lt;=5)*(BULK_END&gt;=5))*IFERROR(BULK_VALUE,0))/MAX(1,SUMPRODUCT(((BULK_ENABLED="Y")*((BULK_TIER="ALL")+(BULK_TIER=$F40))*((BULK_SKU="ALL")+(BULK_SKU=$G40))*(BULK_START&lt;=5)*(BULK_END&gt;=5)))),0),ROUND((INDEX(VELOCITY_TABLE,MATCH($F40,TIER_LIST,0),3))*(IF((5-$I40+1)&lt;=0,0,IF((5-$I40+1)=1,RAMP_W1,IF((5-$I40+1)=2,RAMP_W2,IF((5-$I40+1)=3,RAMP_W3,RAMP_W4PLUS)))))*(INDEX(ACTIVE_MULT_TABLE,3,1))*(1+SUMPRODUCT(SIGN(((ACT_DOOR_SCOPE="ALL")+(ACT_DOOR_SCOPE="TIER_"&amp;$F40)+(ACT_DOOR_SCOPE=$B40)))*SIGN(((ACT_SKU_SCOPE="ALL")+(ACT_SKU_SCOPE=$G40)))*(ACT_START&lt;=5)*(ACT_END&gt;=5)*IFERROR(ACT_UPLIFT-1,0)))*(1+SUMPRODUCT(SIGN(((ACT_DOOR_SCOPE="ALL")+(ACT_DOOR_SCOPE="TIER_"&amp;$F40)+(ACT_DOOR_SCOPE=$B40)))*SIGN(((ACT_SKU_SCOPE="ALL")+(ACT_SKU_SCOPE=$G40)))*(5&gt;ACT_END)*(ACT_END&gt;0)*IFERROR(ACT_POSTLIFT,0))),0)))</f>
        <v/>
      </c>
      <c r="O40" s="10">
        <f>IF(OR($H40&lt;&gt;"Y",6&lt;$I40),0,IF(SUMPRODUCT(((BULK_ENABLED="Y")*((BULK_TIER="ALL")+(BULK_TIER=$F40))*((BULK_SKU="ALL")+(BULK_SKU=$G40))*(BULK_START&lt;=6)*(BULK_END&gt;=6)))&gt;0,IFERROR(SUMPRODUCT(((BULK_ENABLED="Y")*((BULK_TIER="ALL")+(BULK_TIER=$F40))*((BULK_SKU="ALL")+(BULK_SKU=$G40))*(BULK_START&lt;=6)*(BULK_END&gt;=6))*IFERROR(BULK_VALUE,0))/MAX(1,SUMPRODUCT(((BULK_ENABLED="Y")*((BULK_TIER="ALL")+(BULK_TIER=$F40))*((BULK_SKU="ALL")+(BULK_SKU=$G40))*(BULK_START&lt;=6)*(BULK_END&gt;=6)))),0),ROUND((INDEX(VELOCITY_TABLE,MATCH($F40,TIER_LIST,0),3))*(IF((6-$I40+1)&lt;=0,0,IF((6-$I40+1)=1,RAMP_W1,IF((6-$I40+1)=2,RAMP_W2,IF((6-$I40+1)=3,RAMP_W3,RAMP_W4PLUS)))))*(INDEX(ACTIVE_MULT_TABLE,3,1))*(1+SUMPRODUCT(SIGN(((ACT_DOOR_SCOPE="ALL")+(ACT_DOOR_SCOPE="TIER_"&amp;$F40)+(ACT_DOOR_SCOPE=$B40)))*SIGN(((ACT_SKU_SCOPE="ALL")+(ACT_SKU_SCOPE=$G40)))*(ACT_START&lt;=6)*(ACT_END&gt;=6)*IFERROR(ACT_UPLIFT-1,0)))*(1+SUMPRODUCT(SIGN(((ACT_DOOR_SCOPE="ALL")+(ACT_DOOR_SCOPE="TIER_"&amp;$F40)+(ACT_DOOR_SCOPE=$B40)))*SIGN(((ACT_SKU_SCOPE="ALL")+(ACT_SKU_SCOPE=$G40)))*(6&gt;ACT_END)*(ACT_END&gt;0)*IFERROR(ACT_POSTLIFT,0))),0)))</f>
        <v/>
      </c>
      <c r="P40" s="10">
        <f>IF(OR($H40&lt;&gt;"Y",7&lt;$I40),0,IF(SUMPRODUCT(((BULK_ENABLED="Y")*((BULK_TIER="ALL")+(BULK_TIER=$F40))*((BULK_SKU="ALL")+(BULK_SKU=$G40))*(BULK_START&lt;=7)*(BULK_END&gt;=7)))&gt;0,IFERROR(SUMPRODUCT(((BULK_ENABLED="Y")*((BULK_TIER="ALL")+(BULK_TIER=$F40))*((BULK_SKU="ALL")+(BULK_SKU=$G40))*(BULK_START&lt;=7)*(BULK_END&gt;=7))*IFERROR(BULK_VALUE,0))/MAX(1,SUMPRODUCT(((BULK_ENABLED="Y")*((BULK_TIER="ALL")+(BULK_TIER=$F40))*((BULK_SKU="ALL")+(BULK_SKU=$G40))*(BULK_START&lt;=7)*(BULK_END&gt;=7)))),0),ROUND((INDEX(VELOCITY_TABLE,MATCH($F40,TIER_LIST,0),3))*(IF((7-$I40+1)&lt;=0,0,IF((7-$I40+1)=1,RAMP_W1,IF((7-$I40+1)=2,RAMP_W2,IF((7-$I40+1)=3,RAMP_W3,RAMP_W4PLUS)))))*(INDEX(ACTIVE_MULT_TABLE,3,1))*(1+SUMPRODUCT(SIGN(((ACT_DOOR_SCOPE="ALL")+(ACT_DOOR_SCOPE="TIER_"&amp;$F40)+(ACT_DOOR_SCOPE=$B40)))*SIGN(((ACT_SKU_SCOPE="ALL")+(ACT_SKU_SCOPE=$G40)))*(ACT_START&lt;=7)*(ACT_END&gt;=7)*IFERROR(ACT_UPLIFT-1,0)))*(1+SUMPRODUCT(SIGN(((ACT_DOOR_SCOPE="ALL")+(ACT_DOOR_SCOPE="TIER_"&amp;$F40)+(ACT_DOOR_SCOPE=$B40)))*SIGN(((ACT_SKU_SCOPE="ALL")+(ACT_SKU_SCOPE=$G40)))*(7&gt;ACT_END)*(ACT_END&gt;0)*IFERROR(ACT_POSTLIFT,0))),0)))</f>
        <v/>
      </c>
      <c r="Q40" s="10">
        <f>IF(OR($H40&lt;&gt;"Y",8&lt;$I40),0,IF(SUMPRODUCT(((BULK_ENABLED="Y")*((BULK_TIER="ALL")+(BULK_TIER=$F40))*((BULK_SKU="ALL")+(BULK_SKU=$G40))*(BULK_START&lt;=8)*(BULK_END&gt;=8)))&gt;0,IFERROR(SUMPRODUCT(((BULK_ENABLED="Y")*((BULK_TIER="ALL")+(BULK_TIER=$F40))*((BULK_SKU="ALL")+(BULK_SKU=$G40))*(BULK_START&lt;=8)*(BULK_END&gt;=8))*IFERROR(BULK_VALUE,0))/MAX(1,SUMPRODUCT(((BULK_ENABLED="Y")*((BULK_TIER="ALL")+(BULK_TIER=$F40))*((BULK_SKU="ALL")+(BULK_SKU=$G40))*(BULK_START&lt;=8)*(BULK_END&gt;=8)))),0),ROUND((INDEX(VELOCITY_TABLE,MATCH($F40,TIER_LIST,0),3))*(IF((8-$I40+1)&lt;=0,0,IF((8-$I40+1)=1,RAMP_W1,IF((8-$I40+1)=2,RAMP_W2,IF((8-$I40+1)=3,RAMP_W3,RAMP_W4PLUS)))))*(INDEX(ACTIVE_MULT_TABLE,3,1))*(1+SUMPRODUCT(SIGN(((ACT_DOOR_SCOPE="ALL")+(ACT_DOOR_SCOPE="TIER_"&amp;$F40)+(ACT_DOOR_SCOPE=$B40)))*SIGN(((ACT_SKU_SCOPE="ALL")+(ACT_SKU_SCOPE=$G40)))*(ACT_START&lt;=8)*(ACT_END&gt;=8)*IFERROR(ACT_UPLIFT-1,0)))*(1+SUMPRODUCT(SIGN(((ACT_DOOR_SCOPE="ALL")+(ACT_DOOR_SCOPE="TIER_"&amp;$F40)+(ACT_DOOR_SCOPE=$B40)))*SIGN(((ACT_SKU_SCOPE="ALL")+(ACT_SKU_SCOPE=$G40)))*(8&gt;ACT_END)*(ACT_END&gt;0)*IFERROR(ACT_POSTLIFT,0))),0)))</f>
        <v/>
      </c>
      <c r="R40" s="10">
        <f>IF(OR($H40&lt;&gt;"Y",9&lt;$I40),0,IF(SUMPRODUCT(((BULK_ENABLED="Y")*((BULK_TIER="ALL")+(BULK_TIER=$F40))*((BULK_SKU="ALL")+(BULK_SKU=$G40))*(BULK_START&lt;=9)*(BULK_END&gt;=9)))&gt;0,IFERROR(SUMPRODUCT(((BULK_ENABLED="Y")*((BULK_TIER="ALL")+(BULK_TIER=$F40))*((BULK_SKU="ALL")+(BULK_SKU=$G40))*(BULK_START&lt;=9)*(BULK_END&gt;=9))*IFERROR(BULK_VALUE,0))/MAX(1,SUMPRODUCT(((BULK_ENABLED="Y")*((BULK_TIER="ALL")+(BULK_TIER=$F40))*((BULK_SKU="ALL")+(BULK_SKU=$G40))*(BULK_START&lt;=9)*(BULK_END&gt;=9)))),0),ROUND((INDEX(VELOCITY_TABLE,MATCH($F40,TIER_LIST,0),3))*(IF((9-$I40+1)&lt;=0,0,IF((9-$I40+1)=1,RAMP_W1,IF((9-$I40+1)=2,RAMP_W2,IF((9-$I40+1)=3,RAMP_W3,RAMP_W4PLUS)))))*(INDEX(ACTIVE_MULT_TABLE,3,1))*(1+SUMPRODUCT(SIGN(((ACT_DOOR_SCOPE="ALL")+(ACT_DOOR_SCOPE="TIER_"&amp;$F40)+(ACT_DOOR_SCOPE=$B40)))*SIGN(((ACT_SKU_SCOPE="ALL")+(ACT_SKU_SCOPE=$G40)))*(ACT_START&lt;=9)*(ACT_END&gt;=9)*IFERROR(ACT_UPLIFT-1,0)))*(1+SUMPRODUCT(SIGN(((ACT_DOOR_SCOPE="ALL")+(ACT_DOOR_SCOPE="TIER_"&amp;$F40)+(ACT_DOOR_SCOPE=$B40)))*SIGN(((ACT_SKU_SCOPE="ALL")+(ACT_SKU_SCOPE=$G40)))*(9&gt;ACT_END)*(ACT_END&gt;0)*IFERROR(ACT_POSTLIFT,0))),0)))</f>
        <v/>
      </c>
      <c r="S40" s="10">
        <f>IF(OR($H40&lt;&gt;"Y",10&lt;$I40),0,IF(SUMPRODUCT(((BULK_ENABLED="Y")*((BULK_TIER="ALL")+(BULK_TIER=$F40))*((BULK_SKU="ALL")+(BULK_SKU=$G40))*(BULK_START&lt;=10)*(BULK_END&gt;=10)))&gt;0,IFERROR(SUMPRODUCT(((BULK_ENABLED="Y")*((BULK_TIER="ALL")+(BULK_TIER=$F40))*((BULK_SKU="ALL")+(BULK_SKU=$G40))*(BULK_START&lt;=10)*(BULK_END&gt;=10))*IFERROR(BULK_VALUE,0))/MAX(1,SUMPRODUCT(((BULK_ENABLED="Y")*((BULK_TIER="ALL")+(BULK_TIER=$F40))*((BULK_SKU="ALL")+(BULK_SKU=$G40))*(BULK_START&lt;=10)*(BULK_END&gt;=10)))),0),ROUND((INDEX(VELOCITY_TABLE,MATCH($F40,TIER_LIST,0),3))*(IF((10-$I40+1)&lt;=0,0,IF((10-$I40+1)=1,RAMP_W1,IF((10-$I40+1)=2,RAMP_W2,IF((10-$I40+1)=3,RAMP_W3,RAMP_W4PLUS)))))*(INDEX(ACTIVE_MULT_TABLE,3,1))*(1+SUMPRODUCT(SIGN(((ACT_DOOR_SCOPE="ALL")+(ACT_DOOR_SCOPE="TIER_"&amp;$F40)+(ACT_DOOR_SCOPE=$B40)))*SIGN(((ACT_SKU_SCOPE="ALL")+(ACT_SKU_SCOPE=$G40)))*(ACT_START&lt;=10)*(ACT_END&gt;=10)*IFERROR(ACT_UPLIFT-1,0)))*(1+SUMPRODUCT(SIGN(((ACT_DOOR_SCOPE="ALL")+(ACT_DOOR_SCOPE="TIER_"&amp;$F40)+(ACT_DOOR_SCOPE=$B40)))*SIGN(((ACT_SKU_SCOPE="ALL")+(ACT_SKU_SCOPE=$G40)))*(10&gt;ACT_END)*(ACT_END&gt;0)*IFERROR(ACT_POSTLIFT,0))),0)))</f>
        <v/>
      </c>
      <c r="T40" s="10">
        <f>IF(OR($H40&lt;&gt;"Y",11&lt;$I40),0,IF(SUMPRODUCT(((BULK_ENABLED="Y")*((BULK_TIER="ALL")+(BULK_TIER=$F40))*((BULK_SKU="ALL")+(BULK_SKU=$G40))*(BULK_START&lt;=11)*(BULK_END&gt;=11)))&gt;0,IFERROR(SUMPRODUCT(((BULK_ENABLED="Y")*((BULK_TIER="ALL")+(BULK_TIER=$F40))*((BULK_SKU="ALL")+(BULK_SKU=$G40))*(BULK_START&lt;=11)*(BULK_END&gt;=11))*IFERROR(BULK_VALUE,0))/MAX(1,SUMPRODUCT(((BULK_ENABLED="Y")*((BULK_TIER="ALL")+(BULK_TIER=$F40))*((BULK_SKU="ALL")+(BULK_SKU=$G40))*(BULK_START&lt;=11)*(BULK_END&gt;=11)))),0),ROUND((INDEX(VELOCITY_TABLE,MATCH($F40,TIER_LIST,0),3))*(IF((11-$I40+1)&lt;=0,0,IF((11-$I40+1)=1,RAMP_W1,IF((11-$I40+1)=2,RAMP_W2,IF((11-$I40+1)=3,RAMP_W3,RAMP_W4PLUS)))))*(INDEX(ACTIVE_MULT_TABLE,3,1))*(1+SUMPRODUCT(SIGN(((ACT_DOOR_SCOPE="ALL")+(ACT_DOOR_SCOPE="TIER_"&amp;$F40)+(ACT_DOOR_SCOPE=$B40)))*SIGN(((ACT_SKU_SCOPE="ALL")+(ACT_SKU_SCOPE=$G40)))*(ACT_START&lt;=11)*(ACT_END&gt;=11)*IFERROR(ACT_UPLIFT-1,0)))*(1+SUMPRODUCT(SIGN(((ACT_DOOR_SCOPE="ALL")+(ACT_DOOR_SCOPE="TIER_"&amp;$F40)+(ACT_DOOR_SCOPE=$B40)))*SIGN(((ACT_SKU_SCOPE="ALL")+(ACT_SKU_SCOPE=$G40)))*(11&gt;ACT_END)*(ACT_END&gt;0)*IFERROR(ACT_POSTLIFT,0))),0)))</f>
        <v/>
      </c>
      <c r="U40" s="10">
        <f>IF(OR($H40&lt;&gt;"Y",12&lt;$I40),0,IF(SUMPRODUCT(((BULK_ENABLED="Y")*((BULK_TIER="ALL")+(BULK_TIER=$F40))*((BULK_SKU="ALL")+(BULK_SKU=$G40))*(BULK_START&lt;=12)*(BULK_END&gt;=12)))&gt;0,IFERROR(SUMPRODUCT(((BULK_ENABLED="Y")*((BULK_TIER="ALL")+(BULK_TIER=$F40))*((BULK_SKU="ALL")+(BULK_SKU=$G40))*(BULK_START&lt;=12)*(BULK_END&gt;=12))*IFERROR(BULK_VALUE,0))/MAX(1,SUMPRODUCT(((BULK_ENABLED="Y")*((BULK_TIER="ALL")+(BULK_TIER=$F40))*((BULK_SKU="ALL")+(BULK_SKU=$G40))*(BULK_START&lt;=12)*(BULK_END&gt;=12)))),0),ROUND((INDEX(VELOCITY_TABLE,MATCH($F40,TIER_LIST,0),3))*(IF((12-$I40+1)&lt;=0,0,IF((12-$I40+1)=1,RAMP_W1,IF((12-$I40+1)=2,RAMP_W2,IF((12-$I40+1)=3,RAMP_W3,RAMP_W4PLUS)))))*(INDEX(ACTIVE_MULT_TABLE,3,1))*(1+SUMPRODUCT(SIGN(((ACT_DOOR_SCOPE="ALL")+(ACT_DOOR_SCOPE="TIER_"&amp;$F40)+(ACT_DOOR_SCOPE=$B40)))*SIGN(((ACT_SKU_SCOPE="ALL")+(ACT_SKU_SCOPE=$G40)))*(ACT_START&lt;=12)*(ACT_END&gt;=12)*IFERROR(ACT_UPLIFT-1,0)))*(1+SUMPRODUCT(SIGN(((ACT_DOOR_SCOPE="ALL")+(ACT_DOOR_SCOPE="TIER_"&amp;$F40)+(ACT_DOOR_SCOPE=$B40)))*SIGN(((ACT_SKU_SCOPE="ALL")+(ACT_SKU_SCOPE=$G40)))*(12&gt;ACT_END)*(ACT_END&gt;0)*IFERROR(ACT_POSTLIFT,0))),0)))</f>
        <v/>
      </c>
      <c r="V40" s="10">
        <f>IF(OR($H40&lt;&gt;"Y",13&lt;$I40),0,IF(SUMPRODUCT(((BULK_ENABLED="Y")*((BULK_TIER="ALL")+(BULK_TIER=$F40))*((BULK_SKU="ALL")+(BULK_SKU=$G40))*(BULK_START&lt;=13)*(BULK_END&gt;=13)))&gt;0,IFERROR(SUMPRODUCT(((BULK_ENABLED="Y")*((BULK_TIER="ALL")+(BULK_TIER=$F40))*((BULK_SKU="ALL")+(BULK_SKU=$G40))*(BULK_START&lt;=13)*(BULK_END&gt;=13))*IFERROR(BULK_VALUE,0))/MAX(1,SUMPRODUCT(((BULK_ENABLED="Y")*((BULK_TIER="ALL")+(BULK_TIER=$F40))*((BULK_SKU="ALL")+(BULK_SKU=$G40))*(BULK_START&lt;=13)*(BULK_END&gt;=13)))),0),ROUND((INDEX(VELOCITY_TABLE,MATCH($F40,TIER_LIST,0),3))*(IF((13-$I40+1)&lt;=0,0,IF((13-$I40+1)=1,RAMP_W1,IF((13-$I40+1)=2,RAMP_W2,IF((13-$I40+1)=3,RAMP_W3,RAMP_W4PLUS)))))*(INDEX(ACTIVE_MULT_TABLE,3,1))*(1+SUMPRODUCT(SIGN(((ACT_DOOR_SCOPE="ALL")+(ACT_DOOR_SCOPE="TIER_"&amp;$F40)+(ACT_DOOR_SCOPE=$B40)))*SIGN(((ACT_SKU_SCOPE="ALL")+(ACT_SKU_SCOPE=$G40)))*(ACT_START&lt;=13)*(ACT_END&gt;=13)*IFERROR(ACT_UPLIFT-1,0)))*(1+SUMPRODUCT(SIGN(((ACT_DOOR_SCOPE="ALL")+(ACT_DOOR_SCOPE="TIER_"&amp;$F40)+(ACT_DOOR_SCOPE=$B40)))*SIGN(((ACT_SKU_SCOPE="ALL")+(ACT_SKU_SCOPE=$G40)))*(13&gt;ACT_END)*(ACT_END&gt;0)*IFERROR(ACT_POSTLIFT,0))),0)))</f>
        <v/>
      </c>
    </row>
    <row r="41">
      <c r="A41" t="inlineStr">
        <is>
          <t>R0037</t>
        </is>
      </c>
      <c r="B41">
        <f>Doors!$A$17</f>
        <v/>
      </c>
      <c r="C41">
        <f>Doors!$C$17</f>
        <v/>
      </c>
      <c r="D41">
        <f>Doors!$B$17</f>
        <v/>
      </c>
      <c r="E41">
        <f>Doors!$E$17</f>
        <v/>
      </c>
      <c r="F41">
        <f>Doors!$F$17</f>
        <v/>
      </c>
      <c r="G41" t="inlineStr">
        <is>
          <t>Lime Lemon</t>
        </is>
      </c>
      <c r="H41">
        <f>Doors!$G$17</f>
        <v/>
      </c>
      <c r="I41">
        <f>Doors!$J$17</f>
        <v/>
      </c>
      <c r="J41" s="10">
        <f>IF(OR($H41&lt;&gt;"Y",1&lt;$I41),0,IF(SUMPRODUCT(((BULK_ENABLED="Y")*((BULK_TIER="ALL")+(BULK_TIER=$F41))*((BULK_SKU="ALL")+(BULK_SKU=$G41))*(BULK_START&lt;=1)*(BULK_END&gt;=1)))&gt;0,IFERROR(SUMPRODUCT(((BULK_ENABLED="Y")*((BULK_TIER="ALL")+(BULK_TIER=$F41))*((BULK_SKU="ALL")+(BULK_SKU=$G41))*(BULK_START&lt;=1)*(BULK_END&gt;=1))*IFERROR(BULK_VALUE,0))/MAX(1,SUMPRODUCT(((BULK_ENABLED="Y")*((BULK_TIER="ALL")+(BULK_TIER=$F41))*((BULK_SKU="ALL")+(BULK_SKU=$G41))*(BULK_START&lt;=1)*(BULK_END&gt;=1)))),0),ROUND((INDEX(VELOCITY_TABLE,MATCH($F41,TIER_LIST,0),1))*(IF((1-$I41+1)&lt;=0,0,IF((1-$I41+1)=1,RAMP_W1,IF((1-$I41+1)=2,RAMP_W2,IF((1-$I41+1)=3,RAMP_W3,RAMP_W4PLUS)))))*(INDEX(ACTIVE_MULT_TABLE,1,1))*(1+SUMPRODUCT(SIGN(((ACT_DOOR_SCOPE="ALL")+(ACT_DOOR_SCOPE="TIER_"&amp;$F41)+(ACT_DOOR_SCOPE=$B41)))*SIGN(((ACT_SKU_SCOPE="ALL")+(ACT_SKU_SCOPE=$G41)))*(ACT_START&lt;=1)*(ACT_END&gt;=1)*IFERROR(ACT_UPLIFT-1,0)))*(1+SUMPRODUCT(SIGN(((ACT_DOOR_SCOPE="ALL")+(ACT_DOOR_SCOPE="TIER_"&amp;$F41)+(ACT_DOOR_SCOPE=$B41)))*SIGN(((ACT_SKU_SCOPE="ALL")+(ACT_SKU_SCOPE=$G41)))*(1&gt;ACT_END)*(ACT_END&gt;0)*IFERROR(ACT_POSTLIFT,0))),0)))</f>
        <v/>
      </c>
      <c r="K41" s="10">
        <f>IF(OR($H41&lt;&gt;"Y",2&lt;$I41),0,IF(SUMPRODUCT(((BULK_ENABLED="Y")*((BULK_TIER="ALL")+(BULK_TIER=$F41))*((BULK_SKU="ALL")+(BULK_SKU=$G41))*(BULK_START&lt;=2)*(BULK_END&gt;=2)))&gt;0,IFERROR(SUMPRODUCT(((BULK_ENABLED="Y")*((BULK_TIER="ALL")+(BULK_TIER=$F41))*((BULK_SKU="ALL")+(BULK_SKU=$G41))*(BULK_START&lt;=2)*(BULK_END&gt;=2))*IFERROR(BULK_VALUE,0))/MAX(1,SUMPRODUCT(((BULK_ENABLED="Y")*((BULK_TIER="ALL")+(BULK_TIER=$F41))*((BULK_SKU="ALL")+(BULK_SKU=$G41))*(BULK_START&lt;=2)*(BULK_END&gt;=2)))),0),ROUND((INDEX(VELOCITY_TABLE,MATCH($F41,TIER_LIST,0),1))*(IF((2-$I41+1)&lt;=0,0,IF((2-$I41+1)=1,RAMP_W1,IF((2-$I41+1)=2,RAMP_W2,IF((2-$I41+1)=3,RAMP_W3,RAMP_W4PLUS)))))*(INDEX(ACTIVE_MULT_TABLE,1,1))*(1+SUMPRODUCT(SIGN(((ACT_DOOR_SCOPE="ALL")+(ACT_DOOR_SCOPE="TIER_"&amp;$F41)+(ACT_DOOR_SCOPE=$B41)))*SIGN(((ACT_SKU_SCOPE="ALL")+(ACT_SKU_SCOPE=$G41)))*(ACT_START&lt;=2)*(ACT_END&gt;=2)*IFERROR(ACT_UPLIFT-1,0)))*(1+SUMPRODUCT(SIGN(((ACT_DOOR_SCOPE="ALL")+(ACT_DOOR_SCOPE="TIER_"&amp;$F41)+(ACT_DOOR_SCOPE=$B41)))*SIGN(((ACT_SKU_SCOPE="ALL")+(ACT_SKU_SCOPE=$G41)))*(2&gt;ACT_END)*(ACT_END&gt;0)*IFERROR(ACT_POSTLIFT,0))),0)))</f>
        <v/>
      </c>
      <c r="L41" s="10">
        <f>IF(OR($H41&lt;&gt;"Y",3&lt;$I41),0,IF(SUMPRODUCT(((BULK_ENABLED="Y")*((BULK_TIER="ALL")+(BULK_TIER=$F41))*((BULK_SKU="ALL")+(BULK_SKU=$G41))*(BULK_START&lt;=3)*(BULK_END&gt;=3)))&gt;0,IFERROR(SUMPRODUCT(((BULK_ENABLED="Y")*((BULK_TIER="ALL")+(BULK_TIER=$F41))*((BULK_SKU="ALL")+(BULK_SKU=$G41))*(BULK_START&lt;=3)*(BULK_END&gt;=3))*IFERROR(BULK_VALUE,0))/MAX(1,SUMPRODUCT(((BULK_ENABLED="Y")*((BULK_TIER="ALL")+(BULK_TIER=$F41))*((BULK_SKU="ALL")+(BULK_SKU=$G41))*(BULK_START&lt;=3)*(BULK_END&gt;=3)))),0),ROUND((INDEX(VELOCITY_TABLE,MATCH($F41,TIER_LIST,0),1))*(IF((3-$I41+1)&lt;=0,0,IF((3-$I41+1)=1,RAMP_W1,IF((3-$I41+1)=2,RAMP_W2,IF((3-$I41+1)=3,RAMP_W3,RAMP_W4PLUS)))))*(INDEX(ACTIVE_MULT_TABLE,1,1))*(1+SUMPRODUCT(SIGN(((ACT_DOOR_SCOPE="ALL")+(ACT_DOOR_SCOPE="TIER_"&amp;$F41)+(ACT_DOOR_SCOPE=$B41)))*SIGN(((ACT_SKU_SCOPE="ALL")+(ACT_SKU_SCOPE=$G41)))*(ACT_START&lt;=3)*(ACT_END&gt;=3)*IFERROR(ACT_UPLIFT-1,0)))*(1+SUMPRODUCT(SIGN(((ACT_DOOR_SCOPE="ALL")+(ACT_DOOR_SCOPE="TIER_"&amp;$F41)+(ACT_DOOR_SCOPE=$B41)))*SIGN(((ACT_SKU_SCOPE="ALL")+(ACT_SKU_SCOPE=$G41)))*(3&gt;ACT_END)*(ACT_END&gt;0)*IFERROR(ACT_POSTLIFT,0))),0)))</f>
        <v/>
      </c>
      <c r="M41" s="10">
        <f>IF(OR($H41&lt;&gt;"Y",4&lt;$I41),0,IF(SUMPRODUCT(((BULK_ENABLED="Y")*((BULK_TIER="ALL")+(BULK_TIER=$F41))*((BULK_SKU="ALL")+(BULK_SKU=$G41))*(BULK_START&lt;=4)*(BULK_END&gt;=4)))&gt;0,IFERROR(SUMPRODUCT(((BULK_ENABLED="Y")*((BULK_TIER="ALL")+(BULK_TIER=$F41))*((BULK_SKU="ALL")+(BULK_SKU=$G41))*(BULK_START&lt;=4)*(BULK_END&gt;=4))*IFERROR(BULK_VALUE,0))/MAX(1,SUMPRODUCT(((BULK_ENABLED="Y")*((BULK_TIER="ALL")+(BULK_TIER=$F41))*((BULK_SKU="ALL")+(BULK_SKU=$G41))*(BULK_START&lt;=4)*(BULK_END&gt;=4)))),0),ROUND((INDEX(VELOCITY_TABLE,MATCH($F41,TIER_LIST,0),1))*(IF((4-$I41+1)&lt;=0,0,IF((4-$I41+1)=1,RAMP_W1,IF((4-$I41+1)=2,RAMP_W2,IF((4-$I41+1)=3,RAMP_W3,RAMP_W4PLUS)))))*(INDEX(ACTIVE_MULT_TABLE,1,1))*(1+SUMPRODUCT(SIGN(((ACT_DOOR_SCOPE="ALL")+(ACT_DOOR_SCOPE="TIER_"&amp;$F41)+(ACT_DOOR_SCOPE=$B41)))*SIGN(((ACT_SKU_SCOPE="ALL")+(ACT_SKU_SCOPE=$G41)))*(ACT_START&lt;=4)*(ACT_END&gt;=4)*IFERROR(ACT_UPLIFT-1,0)))*(1+SUMPRODUCT(SIGN(((ACT_DOOR_SCOPE="ALL")+(ACT_DOOR_SCOPE="TIER_"&amp;$F41)+(ACT_DOOR_SCOPE=$B41)))*SIGN(((ACT_SKU_SCOPE="ALL")+(ACT_SKU_SCOPE=$G41)))*(4&gt;ACT_END)*(ACT_END&gt;0)*IFERROR(ACT_POSTLIFT,0))),0)))</f>
        <v/>
      </c>
      <c r="N41" s="10">
        <f>IF(OR($H41&lt;&gt;"Y",5&lt;$I41),0,IF(SUMPRODUCT(((BULK_ENABLED="Y")*((BULK_TIER="ALL")+(BULK_TIER=$F41))*((BULK_SKU="ALL")+(BULK_SKU=$G41))*(BULK_START&lt;=5)*(BULK_END&gt;=5)))&gt;0,IFERROR(SUMPRODUCT(((BULK_ENABLED="Y")*((BULK_TIER="ALL")+(BULK_TIER=$F41))*((BULK_SKU="ALL")+(BULK_SKU=$G41))*(BULK_START&lt;=5)*(BULK_END&gt;=5))*IFERROR(BULK_VALUE,0))/MAX(1,SUMPRODUCT(((BULK_ENABLED="Y")*((BULK_TIER="ALL")+(BULK_TIER=$F41))*((BULK_SKU="ALL")+(BULK_SKU=$G41))*(BULK_START&lt;=5)*(BULK_END&gt;=5)))),0),ROUND((INDEX(VELOCITY_TABLE,MATCH($F41,TIER_LIST,0),1))*(IF((5-$I41+1)&lt;=0,0,IF((5-$I41+1)=1,RAMP_W1,IF((5-$I41+1)=2,RAMP_W2,IF((5-$I41+1)=3,RAMP_W3,RAMP_W4PLUS)))))*(INDEX(ACTIVE_MULT_TABLE,1,1))*(1+SUMPRODUCT(SIGN(((ACT_DOOR_SCOPE="ALL")+(ACT_DOOR_SCOPE="TIER_"&amp;$F41)+(ACT_DOOR_SCOPE=$B41)))*SIGN(((ACT_SKU_SCOPE="ALL")+(ACT_SKU_SCOPE=$G41)))*(ACT_START&lt;=5)*(ACT_END&gt;=5)*IFERROR(ACT_UPLIFT-1,0)))*(1+SUMPRODUCT(SIGN(((ACT_DOOR_SCOPE="ALL")+(ACT_DOOR_SCOPE="TIER_"&amp;$F41)+(ACT_DOOR_SCOPE=$B41)))*SIGN(((ACT_SKU_SCOPE="ALL")+(ACT_SKU_SCOPE=$G41)))*(5&gt;ACT_END)*(ACT_END&gt;0)*IFERROR(ACT_POSTLIFT,0))),0)))</f>
        <v/>
      </c>
      <c r="O41" s="10">
        <f>IF(OR($H41&lt;&gt;"Y",6&lt;$I41),0,IF(SUMPRODUCT(((BULK_ENABLED="Y")*((BULK_TIER="ALL")+(BULK_TIER=$F41))*((BULK_SKU="ALL")+(BULK_SKU=$G41))*(BULK_START&lt;=6)*(BULK_END&gt;=6)))&gt;0,IFERROR(SUMPRODUCT(((BULK_ENABLED="Y")*((BULK_TIER="ALL")+(BULK_TIER=$F41))*((BULK_SKU="ALL")+(BULK_SKU=$G41))*(BULK_START&lt;=6)*(BULK_END&gt;=6))*IFERROR(BULK_VALUE,0))/MAX(1,SUMPRODUCT(((BULK_ENABLED="Y")*((BULK_TIER="ALL")+(BULK_TIER=$F41))*((BULK_SKU="ALL")+(BULK_SKU=$G41))*(BULK_START&lt;=6)*(BULK_END&gt;=6)))),0),ROUND((INDEX(VELOCITY_TABLE,MATCH($F41,TIER_LIST,0),1))*(IF((6-$I41+1)&lt;=0,0,IF((6-$I41+1)=1,RAMP_W1,IF((6-$I41+1)=2,RAMP_W2,IF((6-$I41+1)=3,RAMP_W3,RAMP_W4PLUS)))))*(INDEX(ACTIVE_MULT_TABLE,1,1))*(1+SUMPRODUCT(SIGN(((ACT_DOOR_SCOPE="ALL")+(ACT_DOOR_SCOPE="TIER_"&amp;$F41)+(ACT_DOOR_SCOPE=$B41)))*SIGN(((ACT_SKU_SCOPE="ALL")+(ACT_SKU_SCOPE=$G41)))*(ACT_START&lt;=6)*(ACT_END&gt;=6)*IFERROR(ACT_UPLIFT-1,0)))*(1+SUMPRODUCT(SIGN(((ACT_DOOR_SCOPE="ALL")+(ACT_DOOR_SCOPE="TIER_"&amp;$F41)+(ACT_DOOR_SCOPE=$B41)))*SIGN(((ACT_SKU_SCOPE="ALL")+(ACT_SKU_SCOPE=$G41)))*(6&gt;ACT_END)*(ACT_END&gt;0)*IFERROR(ACT_POSTLIFT,0))),0)))</f>
        <v/>
      </c>
      <c r="P41" s="10">
        <f>IF(OR($H41&lt;&gt;"Y",7&lt;$I41),0,IF(SUMPRODUCT(((BULK_ENABLED="Y")*((BULK_TIER="ALL")+(BULK_TIER=$F41))*((BULK_SKU="ALL")+(BULK_SKU=$G41))*(BULK_START&lt;=7)*(BULK_END&gt;=7)))&gt;0,IFERROR(SUMPRODUCT(((BULK_ENABLED="Y")*((BULK_TIER="ALL")+(BULK_TIER=$F41))*((BULK_SKU="ALL")+(BULK_SKU=$G41))*(BULK_START&lt;=7)*(BULK_END&gt;=7))*IFERROR(BULK_VALUE,0))/MAX(1,SUMPRODUCT(((BULK_ENABLED="Y")*((BULK_TIER="ALL")+(BULK_TIER=$F41))*((BULK_SKU="ALL")+(BULK_SKU=$G41))*(BULK_START&lt;=7)*(BULK_END&gt;=7)))),0),ROUND((INDEX(VELOCITY_TABLE,MATCH($F41,TIER_LIST,0),1))*(IF((7-$I41+1)&lt;=0,0,IF((7-$I41+1)=1,RAMP_W1,IF((7-$I41+1)=2,RAMP_W2,IF((7-$I41+1)=3,RAMP_W3,RAMP_W4PLUS)))))*(INDEX(ACTIVE_MULT_TABLE,1,1))*(1+SUMPRODUCT(SIGN(((ACT_DOOR_SCOPE="ALL")+(ACT_DOOR_SCOPE="TIER_"&amp;$F41)+(ACT_DOOR_SCOPE=$B41)))*SIGN(((ACT_SKU_SCOPE="ALL")+(ACT_SKU_SCOPE=$G41)))*(ACT_START&lt;=7)*(ACT_END&gt;=7)*IFERROR(ACT_UPLIFT-1,0)))*(1+SUMPRODUCT(SIGN(((ACT_DOOR_SCOPE="ALL")+(ACT_DOOR_SCOPE="TIER_"&amp;$F41)+(ACT_DOOR_SCOPE=$B41)))*SIGN(((ACT_SKU_SCOPE="ALL")+(ACT_SKU_SCOPE=$G41)))*(7&gt;ACT_END)*(ACT_END&gt;0)*IFERROR(ACT_POSTLIFT,0))),0)))</f>
        <v/>
      </c>
      <c r="Q41" s="10">
        <f>IF(OR($H41&lt;&gt;"Y",8&lt;$I41),0,IF(SUMPRODUCT(((BULK_ENABLED="Y")*((BULK_TIER="ALL")+(BULK_TIER=$F41))*((BULK_SKU="ALL")+(BULK_SKU=$G41))*(BULK_START&lt;=8)*(BULK_END&gt;=8)))&gt;0,IFERROR(SUMPRODUCT(((BULK_ENABLED="Y")*((BULK_TIER="ALL")+(BULK_TIER=$F41))*((BULK_SKU="ALL")+(BULK_SKU=$G41))*(BULK_START&lt;=8)*(BULK_END&gt;=8))*IFERROR(BULK_VALUE,0))/MAX(1,SUMPRODUCT(((BULK_ENABLED="Y")*((BULK_TIER="ALL")+(BULK_TIER=$F41))*((BULK_SKU="ALL")+(BULK_SKU=$G41))*(BULK_START&lt;=8)*(BULK_END&gt;=8)))),0),ROUND((INDEX(VELOCITY_TABLE,MATCH($F41,TIER_LIST,0),1))*(IF((8-$I41+1)&lt;=0,0,IF((8-$I41+1)=1,RAMP_W1,IF((8-$I41+1)=2,RAMP_W2,IF((8-$I41+1)=3,RAMP_W3,RAMP_W4PLUS)))))*(INDEX(ACTIVE_MULT_TABLE,1,1))*(1+SUMPRODUCT(SIGN(((ACT_DOOR_SCOPE="ALL")+(ACT_DOOR_SCOPE="TIER_"&amp;$F41)+(ACT_DOOR_SCOPE=$B41)))*SIGN(((ACT_SKU_SCOPE="ALL")+(ACT_SKU_SCOPE=$G41)))*(ACT_START&lt;=8)*(ACT_END&gt;=8)*IFERROR(ACT_UPLIFT-1,0)))*(1+SUMPRODUCT(SIGN(((ACT_DOOR_SCOPE="ALL")+(ACT_DOOR_SCOPE="TIER_"&amp;$F41)+(ACT_DOOR_SCOPE=$B41)))*SIGN(((ACT_SKU_SCOPE="ALL")+(ACT_SKU_SCOPE=$G41)))*(8&gt;ACT_END)*(ACT_END&gt;0)*IFERROR(ACT_POSTLIFT,0))),0)))</f>
        <v/>
      </c>
      <c r="R41" s="10">
        <f>IF(OR($H41&lt;&gt;"Y",9&lt;$I41),0,IF(SUMPRODUCT(((BULK_ENABLED="Y")*((BULK_TIER="ALL")+(BULK_TIER=$F41))*((BULK_SKU="ALL")+(BULK_SKU=$G41))*(BULK_START&lt;=9)*(BULK_END&gt;=9)))&gt;0,IFERROR(SUMPRODUCT(((BULK_ENABLED="Y")*((BULK_TIER="ALL")+(BULK_TIER=$F41))*((BULK_SKU="ALL")+(BULK_SKU=$G41))*(BULK_START&lt;=9)*(BULK_END&gt;=9))*IFERROR(BULK_VALUE,0))/MAX(1,SUMPRODUCT(((BULK_ENABLED="Y")*((BULK_TIER="ALL")+(BULK_TIER=$F41))*((BULK_SKU="ALL")+(BULK_SKU=$G41))*(BULK_START&lt;=9)*(BULK_END&gt;=9)))),0),ROUND((INDEX(VELOCITY_TABLE,MATCH($F41,TIER_LIST,0),1))*(IF((9-$I41+1)&lt;=0,0,IF((9-$I41+1)=1,RAMP_W1,IF((9-$I41+1)=2,RAMP_W2,IF((9-$I41+1)=3,RAMP_W3,RAMP_W4PLUS)))))*(INDEX(ACTIVE_MULT_TABLE,1,1))*(1+SUMPRODUCT(SIGN(((ACT_DOOR_SCOPE="ALL")+(ACT_DOOR_SCOPE="TIER_"&amp;$F41)+(ACT_DOOR_SCOPE=$B41)))*SIGN(((ACT_SKU_SCOPE="ALL")+(ACT_SKU_SCOPE=$G41)))*(ACT_START&lt;=9)*(ACT_END&gt;=9)*IFERROR(ACT_UPLIFT-1,0)))*(1+SUMPRODUCT(SIGN(((ACT_DOOR_SCOPE="ALL")+(ACT_DOOR_SCOPE="TIER_"&amp;$F41)+(ACT_DOOR_SCOPE=$B41)))*SIGN(((ACT_SKU_SCOPE="ALL")+(ACT_SKU_SCOPE=$G41)))*(9&gt;ACT_END)*(ACT_END&gt;0)*IFERROR(ACT_POSTLIFT,0))),0)))</f>
        <v/>
      </c>
      <c r="S41" s="10">
        <f>IF(OR($H41&lt;&gt;"Y",10&lt;$I41),0,IF(SUMPRODUCT(((BULK_ENABLED="Y")*((BULK_TIER="ALL")+(BULK_TIER=$F41))*((BULK_SKU="ALL")+(BULK_SKU=$G41))*(BULK_START&lt;=10)*(BULK_END&gt;=10)))&gt;0,IFERROR(SUMPRODUCT(((BULK_ENABLED="Y")*((BULK_TIER="ALL")+(BULK_TIER=$F41))*((BULK_SKU="ALL")+(BULK_SKU=$G41))*(BULK_START&lt;=10)*(BULK_END&gt;=10))*IFERROR(BULK_VALUE,0))/MAX(1,SUMPRODUCT(((BULK_ENABLED="Y")*((BULK_TIER="ALL")+(BULK_TIER=$F41))*((BULK_SKU="ALL")+(BULK_SKU=$G41))*(BULK_START&lt;=10)*(BULK_END&gt;=10)))),0),ROUND((INDEX(VELOCITY_TABLE,MATCH($F41,TIER_LIST,0),1))*(IF((10-$I41+1)&lt;=0,0,IF((10-$I41+1)=1,RAMP_W1,IF((10-$I41+1)=2,RAMP_W2,IF((10-$I41+1)=3,RAMP_W3,RAMP_W4PLUS)))))*(INDEX(ACTIVE_MULT_TABLE,1,1))*(1+SUMPRODUCT(SIGN(((ACT_DOOR_SCOPE="ALL")+(ACT_DOOR_SCOPE="TIER_"&amp;$F41)+(ACT_DOOR_SCOPE=$B41)))*SIGN(((ACT_SKU_SCOPE="ALL")+(ACT_SKU_SCOPE=$G41)))*(ACT_START&lt;=10)*(ACT_END&gt;=10)*IFERROR(ACT_UPLIFT-1,0)))*(1+SUMPRODUCT(SIGN(((ACT_DOOR_SCOPE="ALL")+(ACT_DOOR_SCOPE="TIER_"&amp;$F41)+(ACT_DOOR_SCOPE=$B41)))*SIGN(((ACT_SKU_SCOPE="ALL")+(ACT_SKU_SCOPE=$G41)))*(10&gt;ACT_END)*(ACT_END&gt;0)*IFERROR(ACT_POSTLIFT,0))),0)))</f>
        <v/>
      </c>
      <c r="T41" s="10">
        <f>IF(OR($H41&lt;&gt;"Y",11&lt;$I41),0,IF(SUMPRODUCT(((BULK_ENABLED="Y")*((BULK_TIER="ALL")+(BULK_TIER=$F41))*((BULK_SKU="ALL")+(BULK_SKU=$G41))*(BULK_START&lt;=11)*(BULK_END&gt;=11)))&gt;0,IFERROR(SUMPRODUCT(((BULK_ENABLED="Y")*((BULK_TIER="ALL")+(BULK_TIER=$F41))*((BULK_SKU="ALL")+(BULK_SKU=$G41))*(BULK_START&lt;=11)*(BULK_END&gt;=11))*IFERROR(BULK_VALUE,0))/MAX(1,SUMPRODUCT(((BULK_ENABLED="Y")*((BULK_TIER="ALL")+(BULK_TIER=$F41))*((BULK_SKU="ALL")+(BULK_SKU=$G41))*(BULK_START&lt;=11)*(BULK_END&gt;=11)))),0),ROUND((INDEX(VELOCITY_TABLE,MATCH($F41,TIER_LIST,0),1))*(IF((11-$I41+1)&lt;=0,0,IF((11-$I41+1)=1,RAMP_W1,IF((11-$I41+1)=2,RAMP_W2,IF((11-$I41+1)=3,RAMP_W3,RAMP_W4PLUS)))))*(INDEX(ACTIVE_MULT_TABLE,1,1))*(1+SUMPRODUCT(SIGN(((ACT_DOOR_SCOPE="ALL")+(ACT_DOOR_SCOPE="TIER_"&amp;$F41)+(ACT_DOOR_SCOPE=$B41)))*SIGN(((ACT_SKU_SCOPE="ALL")+(ACT_SKU_SCOPE=$G41)))*(ACT_START&lt;=11)*(ACT_END&gt;=11)*IFERROR(ACT_UPLIFT-1,0)))*(1+SUMPRODUCT(SIGN(((ACT_DOOR_SCOPE="ALL")+(ACT_DOOR_SCOPE="TIER_"&amp;$F41)+(ACT_DOOR_SCOPE=$B41)))*SIGN(((ACT_SKU_SCOPE="ALL")+(ACT_SKU_SCOPE=$G41)))*(11&gt;ACT_END)*(ACT_END&gt;0)*IFERROR(ACT_POSTLIFT,0))),0)))</f>
        <v/>
      </c>
      <c r="U41" s="10">
        <f>IF(OR($H41&lt;&gt;"Y",12&lt;$I41),0,IF(SUMPRODUCT(((BULK_ENABLED="Y")*((BULK_TIER="ALL")+(BULK_TIER=$F41))*((BULK_SKU="ALL")+(BULK_SKU=$G41))*(BULK_START&lt;=12)*(BULK_END&gt;=12)))&gt;0,IFERROR(SUMPRODUCT(((BULK_ENABLED="Y")*((BULK_TIER="ALL")+(BULK_TIER=$F41))*((BULK_SKU="ALL")+(BULK_SKU=$G41))*(BULK_START&lt;=12)*(BULK_END&gt;=12))*IFERROR(BULK_VALUE,0))/MAX(1,SUMPRODUCT(((BULK_ENABLED="Y")*((BULK_TIER="ALL")+(BULK_TIER=$F41))*((BULK_SKU="ALL")+(BULK_SKU=$G41))*(BULK_START&lt;=12)*(BULK_END&gt;=12)))),0),ROUND((INDEX(VELOCITY_TABLE,MATCH($F41,TIER_LIST,0),1))*(IF((12-$I41+1)&lt;=0,0,IF((12-$I41+1)=1,RAMP_W1,IF((12-$I41+1)=2,RAMP_W2,IF((12-$I41+1)=3,RAMP_W3,RAMP_W4PLUS)))))*(INDEX(ACTIVE_MULT_TABLE,1,1))*(1+SUMPRODUCT(SIGN(((ACT_DOOR_SCOPE="ALL")+(ACT_DOOR_SCOPE="TIER_"&amp;$F41)+(ACT_DOOR_SCOPE=$B41)))*SIGN(((ACT_SKU_SCOPE="ALL")+(ACT_SKU_SCOPE=$G41)))*(ACT_START&lt;=12)*(ACT_END&gt;=12)*IFERROR(ACT_UPLIFT-1,0)))*(1+SUMPRODUCT(SIGN(((ACT_DOOR_SCOPE="ALL")+(ACT_DOOR_SCOPE="TIER_"&amp;$F41)+(ACT_DOOR_SCOPE=$B41)))*SIGN(((ACT_SKU_SCOPE="ALL")+(ACT_SKU_SCOPE=$G41)))*(12&gt;ACT_END)*(ACT_END&gt;0)*IFERROR(ACT_POSTLIFT,0))),0)))</f>
        <v/>
      </c>
      <c r="V41" s="10">
        <f>IF(OR($H41&lt;&gt;"Y",13&lt;$I41),0,IF(SUMPRODUCT(((BULK_ENABLED="Y")*((BULK_TIER="ALL")+(BULK_TIER=$F41))*((BULK_SKU="ALL")+(BULK_SKU=$G41))*(BULK_START&lt;=13)*(BULK_END&gt;=13)))&gt;0,IFERROR(SUMPRODUCT(((BULK_ENABLED="Y")*((BULK_TIER="ALL")+(BULK_TIER=$F41))*((BULK_SKU="ALL")+(BULK_SKU=$G41))*(BULK_START&lt;=13)*(BULK_END&gt;=13))*IFERROR(BULK_VALUE,0))/MAX(1,SUMPRODUCT(((BULK_ENABLED="Y")*((BULK_TIER="ALL")+(BULK_TIER=$F41))*((BULK_SKU="ALL")+(BULK_SKU=$G41))*(BULK_START&lt;=13)*(BULK_END&gt;=13)))),0),ROUND((INDEX(VELOCITY_TABLE,MATCH($F41,TIER_LIST,0),1))*(IF((13-$I41+1)&lt;=0,0,IF((13-$I41+1)=1,RAMP_W1,IF((13-$I41+1)=2,RAMP_W2,IF((13-$I41+1)=3,RAMP_W3,RAMP_W4PLUS)))))*(INDEX(ACTIVE_MULT_TABLE,1,1))*(1+SUMPRODUCT(SIGN(((ACT_DOOR_SCOPE="ALL")+(ACT_DOOR_SCOPE="TIER_"&amp;$F41)+(ACT_DOOR_SCOPE=$B41)))*SIGN(((ACT_SKU_SCOPE="ALL")+(ACT_SKU_SCOPE=$G41)))*(ACT_START&lt;=13)*(ACT_END&gt;=13)*IFERROR(ACT_UPLIFT-1,0)))*(1+SUMPRODUCT(SIGN(((ACT_DOOR_SCOPE="ALL")+(ACT_DOOR_SCOPE="TIER_"&amp;$F41)+(ACT_DOOR_SCOPE=$B41)))*SIGN(((ACT_SKU_SCOPE="ALL")+(ACT_SKU_SCOPE=$G41)))*(13&gt;ACT_END)*(ACT_END&gt;0)*IFERROR(ACT_POSTLIFT,0))),0)))</f>
        <v/>
      </c>
    </row>
    <row r="42">
      <c r="A42" t="inlineStr">
        <is>
          <t>R0038</t>
        </is>
      </c>
      <c r="B42">
        <f>Doors!$A$17</f>
        <v/>
      </c>
      <c r="C42">
        <f>Doors!$C$17</f>
        <v/>
      </c>
      <c r="D42">
        <f>Doors!$B$17</f>
        <v/>
      </c>
      <c r="E42">
        <f>Doors!$E$17</f>
        <v/>
      </c>
      <c r="F42">
        <f>Doors!$F$17</f>
        <v/>
      </c>
      <c r="G42" t="inlineStr">
        <is>
          <t>Pineapple Passion Fruit</t>
        </is>
      </c>
      <c r="H42">
        <f>Doors!$H$17</f>
        <v/>
      </c>
      <c r="I42">
        <f>Doors!$J$17</f>
        <v/>
      </c>
      <c r="J42" s="10">
        <f>IF(OR($H42&lt;&gt;"Y",1&lt;$I42),0,IF(SUMPRODUCT(((BULK_ENABLED="Y")*((BULK_TIER="ALL")+(BULK_TIER=$F42))*((BULK_SKU="ALL")+(BULK_SKU=$G42))*(BULK_START&lt;=1)*(BULK_END&gt;=1)))&gt;0,IFERROR(SUMPRODUCT(((BULK_ENABLED="Y")*((BULK_TIER="ALL")+(BULK_TIER=$F42))*((BULK_SKU="ALL")+(BULK_SKU=$G42))*(BULK_START&lt;=1)*(BULK_END&gt;=1))*IFERROR(BULK_VALUE,0))/MAX(1,SUMPRODUCT(((BULK_ENABLED="Y")*((BULK_TIER="ALL")+(BULK_TIER=$F42))*((BULK_SKU="ALL")+(BULK_SKU=$G42))*(BULK_START&lt;=1)*(BULK_END&gt;=1)))),0),ROUND((INDEX(VELOCITY_TABLE,MATCH($F42,TIER_LIST,0),2))*(IF((1-$I42+1)&lt;=0,0,IF((1-$I42+1)=1,RAMP_W1,IF((1-$I42+1)=2,RAMP_W2,IF((1-$I42+1)=3,RAMP_W3,RAMP_W4PLUS)))))*(INDEX(ACTIVE_MULT_TABLE,2,1))*(1+SUMPRODUCT(SIGN(((ACT_DOOR_SCOPE="ALL")+(ACT_DOOR_SCOPE="TIER_"&amp;$F42)+(ACT_DOOR_SCOPE=$B42)))*SIGN(((ACT_SKU_SCOPE="ALL")+(ACT_SKU_SCOPE=$G42)))*(ACT_START&lt;=1)*(ACT_END&gt;=1)*IFERROR(ACT_UPLIFT-1,0)))*(1+SUMPRODUCT(SIGN(((ACT_DOOR_SCOPE="ALL")+(ACT_DOOR_SCOPE="TIER_"&amp;$F42)+(ACT_DOOR_SCOPE=$B42)))*SIGN(((ACT_SKU_SCOPE="ALL")+(ACT_SKU_SCOPE=$G42)))*(1&gt;ACT_END)*(ACT_END&gt;0)*IFERROR(ACT_POSTLIFT,0))),0)))</f>
        <v/>
      </c>
      <c r="K42" s="10">
        <f>IF(OR($H42&lt;&gt;"Y",2&lt;$I42),0,IF(SUMPRODUCT(((BULK_ENABLED="Y")*((BULK_TIER="ALL")+(BULK_TIER=$F42))*((BULK_SKU="ALL")+(BULK_SKU=$G42))*(BULK_START&lt;=2)*(BULK_END&gt;=2)))&gt;0,IFERROR(SUMPRODUCT(((BULK_ENABLED="Y")*((BULK_TIER="ALL")+(BULK_TIER=$F42))*((BULK_SKU="ALL")+(BULK_SKU=$G42))*(BULK_START&lt;=2)*(BULK_END&gt;=2))*IFERROR(BULK_VALUE,0))/MAX(1,SUMPRODUCT(((BULK_ENABLED="Y")*((BULK_TIER="ALL")+(BULK_TIER=$F42))*((BULK_SKU="ALL")+(BULK_SKU=$G42))*(BULK_START&lt;=2)*(BULK_END&gt;=2)))),0),ROUND((INDEX(VELOCITY_TABLE,MATCH($F42,TIER_LIST,0),2))*(IF((2-$I42+1)&lt;=0,0,IF((2-$I42+1)=1,RAMP_W1,IF((2-$I42+1)=2,RAMP_W2,IF((2-$I42+1)=3,RAMP_W3,RAMP_W4PLUS)))))*(INDEX(ACTIVE_MULT_TABLE,2,1))*(1+SUMPRODUCT(SIGN(((ACT_DOOR_SCOPE="ALL")+(ACT_DOOR_SCOPE="TIER_"&amp;$F42)+(ACT_DOOR_SCOPE=$B42)))*SIGN(((ACT_SKU_SCOPE="ALL")+(ACT_SKU_SCOPE=$G42)))*(ACT_START&lt;=2)*(ACT_END&gt;=2)*IFERROR(ACT_UPLIFT-1,0)))*(1+SUMPRODUCT(SIGN(((ACT_DOOR_SCOPE="ALL")+(ACT_DOOR_SCOPE="TIER_"&amp;$F42)+(ACT_DOOR_SCOPE=$B42)))*SIGN(((ACT_SKU_SCOPE="ALL")+(ACT_SKU_SCOPE=$G42)))*(2&gt;ACT_END)*(ACT_END&gt;0)*IFERROR(ACT_POSTLIFT,0))),0)))</f>
        <v/>
      </c>
      <c r="L42" s="10">
        <f>IF(OR($H42&lt;&gt;"Y",3&lt;$I42),0,IF(SUMPRODUCT(((BULK_ENABLED="Y")*((BULK_TIER="ALL")+(BULK_TIER=$F42))*((BULK_SKU="ALL")+(BULK_SKU=$G42))*(BULK_START&lt;=3)*(BULK_END&gt;=3)))&gt;0,IFERROR(SUMPRODUCT(((BULK_ENABLED="Y")*((BULK_TIER="ALL")+(BULK_TIER=$F42))*((BULK_SKU="ALL")+(BULK_SKU=$G42))*(BULK_START&lt;=3)*(BULK_END&gt;=3))*IFERROR(BULK_VALUE,0))/MAX(1,SUMPRODUCT(((BULK_ENABLED="Y")*((BULK_TIER="ALL")+(BULK_TIER=$F42))*((BULK_SKU="ALL")+(BULK_SKU=$G42))*(BULK_START&lt;=3)*(BULK_END&gt;=3)))),0),ROUND((INDEX(VELOCITY_TABLE,MATCH($F42,TIER_LIST,0),2))*(IF((3-$I42+1)&lt;=0,0,IF((3-$I42+1)=1,RAMP_W1,IF((3-$I42+1)=2,RAMP_W2,IF((3-$I42+1)=3,RAMP_W3,RAMP_W4PLUS)))))*(INDEX(ACTIVE_MULT_TABLE,2,1))*(1+SUMPRODUCT(SIGN(((ACT_DOOR_SCOPE="ALL")+(ACT_DOOR_SCOPE="TIER_"&amp;$F42)+(ACT_DOOR_SCOPE=$B42)))*SIGN(((ACT_SKU_SCOPE="ALL")+(ACT_SKU_SCOPE=$G42)))*(ACT_START&lt;=3)*(ACT_END&gt;=3)*IFERROR(ACT_UPLIFT-1,0)))*(1+SUMPRODUCT(SIGN(((ACT_DOOR_SCOPE="ALL")+(ACT_DOOR_SCOPE="TIER_"&amp;$F42)+(ACT_DOOR_SCOPE=$B42)))*SIGN(((ACT_SKU_SCOPE="ALL")+(ACT_SKU_SCOPE=$G42)))*(3&gt;ACT_END)*(ACT_END&gt;0)*IFERROR(ACT_POSTLIFT,0))),0)))</f>
        <v/>
      </c>
      <c r="M42" s="10">
        <f>IF(OR($H42&lt;&gt;"Y",4&lt;$I42),0,IF(SUMPRODUCT(((BULK_ENABLED="Y")*((BULK_TIER="ALL")+(BULK_TIER=$F42))*((BULK_SKU="ALL")+(BULK_SKU=$G42))*(BULK_START&lt;=4)*(BULK_END&gt;=4)))&gt;0,IFERROR(SUMPRODUCT(((BULK_ENABLED="Y")*((BULK_TIER="ALL")+(BULK_TIER=$F42))*((BULK_SKU="ALL")+(BULK_SKU=$G42))*(BULK_START&lt;=4)*(BULK_END&gt;=4))*IFERROR(BULK_VALUE,0))/MAX(1,SUMPRODUCT(((BULK_ENABLED="Y")*((BULK_TIER="ALL")+(BULK_TIER=$F42))*((BULK_SKU="ALL")+(BULK_SKU=$G42))*(BULK_START&lt;=4)*(BULK_END&gt;=4)))),0),ROUND((INDEX(VELOCITY_TABLE,MATCH($F42,TIER_LIST,0),2))*(IF((4-$I42+1)&lt;=0,0,IF((4-$I42+1)=1,RAMP_W1,IF((4-$I42+1)=2,RAMP_W2,IF((4-$I42+1)=3,RAMP_W3,RAMP_W4PLUS)))))*(INDEX(ACTIVE_MULT_TABLE,2,1))*(1+SUMPRODUCT(SIGN(((ACT_DOOR_SCOPE="ALL")+(ACT_DOOR_SCOPE="TIER_"&amp;$F42)+(ACT_DOOR_SCOPE=$B42)))*SIGN(((ACT_SKU_SCOPE="ALL")+(ACT_SKU_SCOPE=$G42)))*(ACT_START&lt;=4)*(ACT_END&gt;=4)*IFERROR(ACT_UPLIFT-1,0)))*(1+SUMPRODUCT(SIGN(((ACT_DOOR_SCOPE="ALL")+(ACT_DOOR_SCOPE="TIER_"&amp;$F42)+(ACT_DOOR_SCOPE=$B42)))*SIGN(((ACT_SKU_SCOPE="ALL")+(ACT_SKU_SCOPE=$G42)))*(4&gt;ACT_END)*(ACT_END&gt;0)*IFERROR(ACT_POSTLIFT,0))),0)))</f>
        <v/>
      </c>
      <c r="N42" s="10">
        <f>IF(OR($H42&lt;&gt;"Y",5&lt;$I42),0,IF(SUMPRODUCT(((BULK_ENABLED="Y")*((BULK_TIER="ALL")+(BULK_TIER=$F42))*((BULK_SKU="ALL")+(BULK_SKU=$G42))*(BULK_START&lt;=5)*(BULK_END&gt;=5)))&gt;0,IFERROR(SUMPRODUCT(((BULK_ENABLED="Y")*((BULK_TIER="ALL")+(BULK_TIER=$F42))*((BULK_SKU="ALL")+(BULK_SKU=$G42))*(BULK_START&lt;=5)*(BULK_END&gt;=5))*IFERROR(BULK_VALUE,0))/MAX(1,SUMPRODUCT(((BULK_ENABLED="Y")*((BULK_TIER="ALL")+(BULK_TIER=$F42))*((BULK_SKU="ALL")+(BULK_SKU=$G42))*(BULK_START&lt;=5)*(BULK_END&gt;=5)))),0),ROUND((INDEX(VELOCITY_TABLE,MATCH($F42,TIER_LIST,0),2))*(IF((5-$I42+1)&lt;=0,0,IF((5-$I42+1)=1,RAMP_W1,IF((5-$I42+1)=2,RAMP_W2,IF((5-$I42+1)=3,RAMP_W3,RAMP_W4PLUS)))))*(INDEX(ACTIVE_MULT_TABLE,2,1))*(1+SUMPRODUCT(SIGN(((ACT_DOOR_SCOPE="ALL")+(ACT_DOOR_SCOPE="TIER_"&amp;$F42)+(ACT_DOOR_SCOPE=$B42)))*SIGN(((ACT_SKU_SCOPE="ALL")+(ACT_SKU_SCOPE=$G42)))*(ACT_START&lt;=5)*(ACT_END&gt;=5)*IFERROR(ACT_UPLIFT-1,0)))*(1+SUMPRODUCT(SIGN(((ACT_DOOR_SCOPE="ALL")+(ACT_DOOR_SCOPE="TIER_"&amp;$F42)+(ACT_DOOR_SCOPE=$B42)))*SIGN(((ACT_SKU_SCOPE="ALL")+(ACT_SKU_SCOPE=$G42)))*(5&gt;ACT_END)*(ACT_END&gt;0)*IFERROR(ACT_POSTLIFT,0))),0)))</f>
        <v/>
      </c>
      <c r="O42" s="10">
        <f>IF(OR($H42&lt;&gt;"Y",6&lt;$I42),0,IF(SUMPRODUCT(((BULK_ENABLED="Y")*((BULK_TIER="ALL")+(BULK_TIER=$F42))*((BULK_SKU="ALL")+(BULK_SKU=$G42))*(BULK_START&lt;=6)*(BULK_END&gt;=6)))&gt;0,IFERROR(SUMPRODUCT(((BULK_ENABLED="Y")*((BULK_TIER="ALL")+(BULK_TIER=$F42))*((BULK_SKU="ALL")+(BULK_SKU=$G42))*(BULK_START&lt;=6)*(BULK_END&gt;=6))*IFERROR(BULK_VALUE,0))/MAX(1,SUMPRODUCT(((BULK_ENABLED="Y")*((BULK_TIER="ALL")+(BULK_TIER=$F42))*((BULK_SKU="ALL")+(BULK_SKU=$G42))*(BULK_START&lt;=6)*(BULK_END&gt;=6)))),0),ROUND((INDEX(VELOCITY_TABLE,MATCH($F42,TIER_LIST,0),2))*(IF((6-$I42+1)&lt;=0,0,IF((6-$I42+1)=1,RAMP_W1,IF((6-$I42+1)=2,RAMP_W2,IF((6-$I42+1)=3,RAMP_W3,RAMP_W4PLUS)))))*(INDEX(ACTIVE_MULT_TABLE,2,1))*(1+SUMPRODUCT(SIGN(((ACT_DOOR_SCOPE="ALL")+(ACT_DOOR_SCOPE="TIER_"&amp;$F42)+(ACT_DOOR_SCOPE=$B42)))*SIGN(((ACT_SKU_SCOPE="ALL")+(ACT_SKU_SCOPE=$G42)))*(ACT_START&lt;=6)*(ACT_END&gt;=6)*IFERROR(ACT_UPLIFT-1,0)))*(1+SUMPRODUCT(SIGN(((ACT_DOOR_SCOPE="ALL")+(ACT_DOOR_SCOPE="TIER_"&amp;$F42)+(ACT_DOOR_SCOPE=$B42)))*SIGN(((ACT_SKU_SCOPE="ALL")+(ACT_SKU_SCOPE=$G42)))*(6&gt;ACT_END)*(ACT_END&gt;0)*IFERROR(ACT_POSTLIFT,0))),0)))</f>
        <v/>
      </c>
      <c r="P42" s="10">
        <f>IF(OR($H42&lt;&gt;"Y",7&lt;$I42),0,IF(SUMPRODUCT(((BULK_ENABLED="Y")*((BULK_TIER="ALL")+(BULK_TIER=$F42))*((BULK_SKU="ALL")+(BULK_SKU=$G42))*(BULK_START&lt;=7)*(BULK_END&gt;=7)))&gt;0,IFERROR(SUMPRODUCT(((BULK_ENABLED="Y")*((BULK_TIER="ALL")+(BULK_TIER=$F42))*((BULK_SKU="ALL")+(BULK_SKU=$G42))*(BULK_START&lt;=7)*(BULK_END&gt;=7))*IFERROR(BULK_VALUE,0))/MAX(1,SUMPRODUCT(((BULK_ENABLED="Y")*((BULK_TIER="ALL")+(BULK_TIER=$F42))*((BULK_SKU="ALL")+(BULK_SKU=$G42))*(BULK_START&lt;=7)*(BULK_END&gt;=7)))),0),ROUND((INDEX(VELOCITY_TABLE,MATCH($F42,TIER_LIST,0),2))*(IF((7-$I42+1)&lt;=0,0,IF((7-$I42+1)=1,RAMP_W1,IF((7-$I42+1)=2,RAMP_W2,IF((7-$I42+1)=3,RAMP_W3,RAMP_W4PLUS)))))*(INDEX(ACTIVE_MULT_TABLE,2,1))*(1+SUMPRODUCT(SIGN(((ACT_DOOR_SCOPE="ALL")+(ACT_DOOR_SCOPE="TIER_"&amp;$F42)+(ACT_DOOR_SCOPE=$B42)))*SIGN(((ACT_SKU_SCOPE="ALL")+(ACT_SKU_SCOPE=$G42)))*(ACT_START&lt;=7)*(ACT_END&gt;=7)*IFERROR(ACT_UPLIFT-1,0)))*(1+SUMPRODUCT(SIGN(((ACT_DOOR_SCOPE="ALL")+(ACT_DOOR_SCOPE="TIER_"&amp;$F42)+(ACT_DOOR_SCOPE=$B42)))*SIGN(((ACT_SKU_SCOPE="ALL")+(ACT_SKU_SCOPE=$G42)))*(7&gt;ACT_END)*(ACT_END&gt;0)*IFERROR(ACT_POSTLIFT,0))),0)))</f>
        <v/>
      </c>
      <c r="Q42" s="10">
        <f>IF(OR($H42&lt;&gt;"Y",8&lt;$I42),0,IF(SUMPRODUCT(((BULK_ENABLED="Y")*((BULK_TIER="ALL")+(BULK_TIER=$F42))*((BULK_SKU="ALL")+(BULK_SKU=$G42))*(BULK_START&lt;=8)*(BULK_END&gt;=8)))&gt;0,IFERROR(SUMPRODUCT(((BULK_ENABLED="Y")*((BULK_TIER="ALL")+(BULK_TIER=$F42))*((BULK_SKU="ALL")+(BULK_SKU=$G42))*(BULK_START&lt;=8)*(BULK_END&gt;=8))*IFERROR(BULK_VALUE,0))/MAX(1,SUMPRODUCT(((BULK_ENABLED="Y")*((BULK_TIER="ALL")+(BULK_TIER=$F42))*((BULK_SKU="ALL")+(BULK_SKU=$G42))*(BULK_START&lt;=8)*(BULK_END&gt;=8)))),0),ROUND((INDEX(VELOCITY_TABLE,MATCH($F42,TIER_LIST,0),2))*(IF((8-$I42+1)&lt;=0,0,IF((8-$I42+1)=1,RAMP_W1,IF((8-$I42+1)=2,RAMP_W2,IF((8-$I42+1)=3,RAMP_W3,RAMP_W4PLUS)))))*(INDEX(ACTIVE_MULT_TABLE,2,1))*(1+SUMPRODUCT(SIGN(((ACT_DOOR_SCOPE="ALL")+(ACT_DOOR_SCOPE="TIER_"&amp;$F42)+(ACT_DOOR_SCOPE=$B42)))*SIGN(((ACT_SKU_SCOPE="ALL")+(ACT_SKU_SCOPE=$G42)))*(ACT_START&lt;=8)*(ACT_END&gt;=8)*IFERROR(ACT_UPLIFT-1,0)))*(1+SUMPRODUCT(SIGN(((ACT_DOOR_SCOPE="ALL")+(ACT_DOOR_SCOPE="TIER_"&amp;$F42)+(ACT_DOOR_SCOPE=$B42)))*SIGN(((ACT_SKU_SCOPE="ALL")+(ACT_SKU_SCOPE=$G42)))*(8&gt;ACT_END)*(ACT_END&gt;0)*IFERROR(ACT_POSTLIFT,0))),0)))</f>
        <v/>
      </c>
      <c r="R42" s="10">
        <f>IF(OR($H42&lt;&gt;"Y",9&lt;$I42),0,IF(SUMPRODUCT(((BULK_ENABLED="Y")*((BULK_TIER="ALL")+(BULK_TIER=$F42))*((BULK_SKU="ALL")+(BULK_SKU=$G42))*(BULK_START&lt;=9)*(BULK_END&gt;=9)))&gt;0,IFERROR(SUMPRODUCT(((BULK_ENABLED="Y")*((BULK_TIER="ALL")+(BULK_TIER=$F42))*((BULK_SKU="ALL")+(BULK_SKU=$G42))*(BULK_START&lt;=9)*(BULK_END&gt;=9))*IFERROR(BULK_VALUE,0))/MAX(1,SUMPRODUCT(((BULK_ENABLED="Y")*((BULK_TIER="ALL")+(BULK_TIER=$F42))*((BULK_SKU="ALL")+(BULK_SKU=$G42))*(BULK_START&lt;=9)*(BULK_END&gt;=9)))),0),ROUND((INDEX(VELOCITY_TABLE,MATCH($F42,TIER_LIST,0),2))*(IF((9-$I42+1)&lt;=0,0,IF((9-$I42+1)=1,RAMP_W1,IF((9-$I42+1)=2,RAMP_W2,IF((9-$I42+1)=3,RAMP_W3,RAMP_W4PLUS)))))*(INDEX(ACTIVE_MULT_TABLE,2,1))*(1+SUMPRODUCT(SIGN(((ACT_DOOR_SCOPE="ALL")+(ACT_DOOR_SCOPE="TIER_"&amp;$F42)+(ACT_DOOR_SCOPE=$B42)))*SIGN(((ACT_SKU_SCOPE="ALL")+(ACT_SKU_SCOPE=$G42)))*(ACT_START&lt;=9)*(ACT_END&gt;=9)*IFERROR(ACT_UPLIFT-1,0)))*(1+SUMPRODUCT(SIGN(((ACT_DOOR_SCOPE="ALL")+(ACT_DOOR_SCOPE="TIER_"&amp;$F42)+(ACT_DOOR_SCOPE=$B42)))*SIGN(((ACT_SKU_SCOPE="ALL")+(ACT_SKU_SCOPE=$G42)))*(9&gt;ACT_END)*(ACT_END&gt;0)*IFERROR(ACT_POSTLIFT,0))),0)))</f>
        <v/>
      </c>
      <c r="S42" s="10">
        <f>IF(OR($H42&lt;&gt;"Y",10&lt;$I42),0,IF(SUMPRODUCT(((BULK_ENABLED="Y")*((BULK_TIER="ALL")+(BULK_TIER=$F42))*((BULK_SKU="ALL")+(BULK_SKU=$G42))*(BULK_START&lt;=10)*(BULK_END&gt;=10)))&gt;0,IFERROR(SUMPRODUCT(((BULK_ENABLED="Y")*((BULK_TIER="ALL")+(BULK_TIER=$F42))*((BULK_SKU="ALL")+(BULK_SKU=$G42))*(BULK_START&lt;=10)*(BULK_END&gt;=10))*IFERROR(BULK_VALUE,0))/MAX(1,SUMPRODUCT(((BULK_ENABLED="Y")*((BULK_TIER="ALL")+(BULK_TIER=$F42))*((BULK_SKU="ALL")+(BULK_SKU=$G42))*(BULK_START&lt;=10)*(BULK_END&gt;=10)))),0),ROUND((INDEX(VELOCITY_TABLE,MATCH($F42,TIER_LIST,0),2))*(IF((10-$I42+1)&lt;=0,0,IF((10-$I42+1)=1,RAMP_W1,IF((10-$I42+1)=2,RAMP_W2,IF((10-$I42+1)=3,RAMP_W3,RAMP_W4PLUS)))))*(INDEX(ACTIVE_MULT_TABLE,2,1))*(1+SUMPRODUCT(SIGN(((ACT_DOOR_SCOPE="ALL")+(ACT_DOOR_SCOPE="TIER_"&amp;$F42)+(ACT_DOOR_SCOPE=$B42)))*SIGN(((ACT_SKU_SCOPE="ALL")+(ACT_SKU_SCOPE=$G42)))*(ACT_START&lt;=10)*(ACT_END&gt;=10)*IFERROR(ACT_UPLIFT-1,0)))*(1+SUMPRODUCT(SIGN(((ACT_DOOR_SCOPE="ALL")+(ACT_DOOR_SCOPE="TIER_"&amp;$F42)+(ACT_DOOR_SCOPE=$B42)))*SIGN(((ACT_SKU_SCOPE="ALL")+(ACT_SKU_SCOPE=$G42)))*(10&gt;ACT_END)*(ACT_END&gt;0)*IFERROR(ACT_POSTLIFT,0))),0)))</f>
        <v/>
      </c>
      <c r="T42" s="10">
        <f>IF(OR($H42&lt;&gt;"Y",11&lt;$I42),0,IF(SUMPRODUCT(((BULK_ENABLED="Y")*((BULK_TIER="ALL")+(BULK_TIER=$F42))*((BULK_SKU="ALL")+(BULK_SKU=$G42))*(BULK_START&lt;=11)*(BULK_END&gt;=11)))&gt;0,IFERROR(SUMPRODUCT(((BULK_ENABLED="Y")*((BULK_TIER="ALL")+(BULK_TIER=$F42))*((BULK_SKU="ALL")+(BULK_SKU=$G42))*(BULK_START&lt;=11)*(BULK_END&gt;=11))*IFERROR(BULK_VALUE,0))/MAX(1,SUMPRODUCT(((BULK_ENABLED="Y")*((BULK_TIER="ALL")+(BULK_TIER=$F42))*((BULK_SKU="ALL")+(BULK_SKU=$G42))*(BULK_START&lt;=11)*(BULK_END&gt;=11)))),0),ROUND((INDEX(VELOCITY_TABLE,MATCH($F42,TIER_LIST,0),2))*(IF((11-$I42+1)&lt;=0,0,IF((11-$I42+1)=1,RAMP_W1,IF((11-$I42+1)=2,RAMP_W2,IF((11-$I42+1)=3,RAMP_W3,RAMP_W4PLUS)))))*(INDEX(ACTIVE_MULT_TABLE,2,1))*(1+SUMPRODUCT(SIGN(((ACT_DOOR_SCOPE="ALL")+(ACT_DOOR_SCOPE="TIER_"&amp;$F42)+(ACT_DOOR_SCOPE=$B42)))*SIGN(((ACT_SKU_SCOPE="ALL")+(ACT_SKU_SCOPE=$G42)))*(ACT_START&lt;=11)*(ACT_END&gt;=11)*IFERROR(ACT_UPLIFT-1,0)))*(1+SUMPRODUCT(SIGN(((ACT_DOOR_SCOPE="ALL")+(ACT_DOOR_SCOPE="TIER_"&amp;$F42)+(ACT_DOOR_SCOPE=$B42)))*SIGN(((ACT_SKU_SCOPE="ALL")+(ACT_SKU_SCOPE=$G42)))*(11&gt;ACT_END)*(ACT_END&gt;0)*IFERROR(ACT_POSTLIFT,0))),0)))</f>
        <v/>
      </c>
      <c r="U42" s="10">
        <f>IF(OR($H42&lt;&gt;"Y",12&lt;$I42),0,IF(SUMPRODUCT(((BULK_ENABLED="Y")*((BULK_TIER="ALL")+(BULK_TIER=$F42))*((BULK_SKU="ALL")+(BULK_SKU=$G42))*(BULK_START&lt;=12)*(BULK_END&gt;=12)))&gt;0,IFERROR(SUMPRODUCT(((BULK_ENABLED="Y")*((BULK_TIER="ALL")+(BULK_TIER=$F42))*((BULK_SKU="ALL")+(BULK_SKU=$G42))*(BULK_START&lt;=12)*(BULK_END&gt;=12))*IFERROR(BULK_VALUE,0))/MAX(1,SUMPRODUCT(((BULK_ENABLED="Y")*((BULK_TIER="ALL")+(BULK_TIER=$F42))*((BULK_SKU="ALL")+(BULK_SKU=$G42))*(BULK_START&lt;=12)*(BULK_END&gt;=12)))),0),ROUND((INDEX(VELOCITY_TABLE,MATCH($F42,TIER_LIST,0),2))*(IF((12-$I42+1)&lt;=0,0,IF((12-$I42+1)=1,RAMP_W1,IF((12-$I42+1)=2,RAMP_W2,IF((12-$I42+1)=3,RAMP_W3,RAMP_W4PLUS)))))*(INDEX(ACTIVE_MULT_TABLE,2,1))*(1+SUMPRODUCT(SIGN(((ACT_DOOR_SCOPE="ALL")+(ACT_DOOR_SCOPE="TIER_"&amp;$F42)+(ACT_DOOR_SCOPE=$B42)))*SIGN(((ACT_SKU_SCOPE="ALL")+(ACT_SKU_SCOPE=$G42)))*(ACT_START&lt;=12)*(ACT_END&gt;=12)*IFERROR(ACT_UPLIFT-1,0)))*(1+SUMPRODUCT(SIGN(((ACT_DOOR_SCOPE="ALL")+(ACT_DOOR_SCOPE="TIER_"&amp;$F42)+(ACT_DOOR_SCOPE=$B42)))*SIGN(((ACT_SKU_SCOPE="ALL")+(ACT_SKU_SCOPE=$G42)))*(12&gt;ACT_END)*(ACT_END&gt;0)*IFERROR(ACT_POSTLIFT,0))),0)))</f>
        <v/>
      </c>
      <c r="V42" s="10">
        <f>IF(OR($H42&lt;&gt;"Y",13&lt;$I42),0,IF(SUMPRODUCT(((BULK_ENABLED="Y")*((BULK_TIER="ALL")+(BULK_TIER=$F42))*((BULK_SKU="ALL")+(BULK_SKU=$G42))*(BULK_START&lt;=13)*(BULK_END&gt;=13)))&gt;0,IFERROR(SUMPRODUCT(((BULK_ENABLED="Y")*((BULK_TIER="ALL")+(BULK_TIER=$F42))*((BULK_SKU="ALL")+(BULK_SKU=$G42))*(BULK_START&lt;=13)*(BULK_END&gt;=13))*IFERROR(BULK_VALUE,0))/MAX(1,SUMPRODUCT(((BULK_ENABLED="Y")*((BULK_TIER="ALL")+(BULK_TIER=$F42))*((BULK_SKU="ALL")+(BULK_SKU=$G42))*(BULK_START&lt;=13)*(BULK_END&gt;=13)))),0),ROUND((INDEX(VELOCITY_TABLE,MATCH($F42,TIER_LIST,0),2))*(IF((13-$I42+1)&lt;=0,0,IF((13-$I42+1)=1,RAMP_W1,IF((13-$I42+1)=2,RAMP_W2,IF((13-$I42+1)=3,RAMP_W3,RAMP_W4PLUS)))))*(INDEX(ACTIVE_MULT_TABLE,2,1))*(1+SUMPRODUCT(SIGN(((ACT_DOOR_SCOPE="ALL")+(ACT_DOOR_SCOPE="TIER_"&amp;$F42)+(ACT_DOOR_SCOPE=$B42)))*SIGN(((ACT_SKU_SCOPE="ALL")+(ACT_SKU_SCOPE=$G42)))*(ACT_START&lt;=13)*(ACT_END&gt;=13)*IFERROR(ACT_UPLIFT-1,0)))*(1+SUMPRODUCT(SIGN(((ACT_DOOR_SCOPE="ALL")+(ACT_DOOR_SCOPE="TIER_"&amp;$F42)+(ACT_DOOR_SCOPE=$B42)))*SIGN(((ACT_SKU_SCOPE="ALL")+(ACT_SKU_SCOPE=$G42)))*(13&gt;ACT_END)*(ACT_END&gt;0)*IFERROR(ACT_POSTLIFT,0))),0)))</f>
        <v/>
      </c>
    </row>
    <row r="43">
      <c r="A43" t="inlineStr">
        <is>
          <t>R0039</t>
        </is>
      </c>
      <c r="B43">
        <f>Doors!$A$17</f>
        <v/>
      </c>
      <c r="C43">
        <f>Doors!$C$17</f>
        <v/>
      </c>
      <c r="D43">
        <f>Doors!$B$17</f>
        <v/>
      </c>
      <c r="E43">
        <f>Doors!$E$17</f>
        <v/>
      </c>
      <c r="F43">
        <f>Doors!$F$17</f>
        <v/>
      </c>
      <c r="G43" t="inlineStr">
        <is>
          <t>Raspberry</t>
        </is>
      </c>
      <c r="H43">
        <f>Doors!$I$17</f>
        <v/>
      </c>
      <c r="I43">
        <f>Doors!$J$17</f>
        <v/>
      </c>
      <c r="J43" s="10">
        <f>IF(OR($H43&lt;&gt;"Y",1&lt;$I43),0,IF(SUMPRODUCT(((BULK_ENABLED="Y")*((BULK_TIER="ALL")+(BULK_TIER=$F43))*((BULK_SKU="ALL")+(BULK_SKU=$G43))*(BULK_START&lt;=1)*(BULK_END&gt;=1)))&gt;0,IFERROR(SUMPRODUCT(((BULK_ENABLED="Y")*((BULK_TIER="ALL")+(BULK_TIER=$F43))*((BULK_SKU="ALL")+(BULK_SKU=$G43))*(BULK_START&lt;=1)*(BULK_END&gt;=1))*IFERROR(BULK_VALUE,0))/MAX(1,SUMPRODUCT(((BULK_ENABLED="Y")*((BULK_TIER="ALL")+(BULK_TIER=$F43))*((BULK_SKU="ALL")+(BULK_SKU=$G43))*(BULK_START&lt;=1)*(BULK_END&gt;=1)))),0),ROUND((INDEX(VELOCITY_TABLE,MATCH($F43,TIER_LIST,0),3))*(IF((1-$I43+1)&lt;=0,0,IF((1-$I43+1)=1,RAMP_W1,IF((1-$I43+1)=2,RAMP_W2,IF((1-$I43+1)=3,RAMP_W3,RAMP_W4PLUS)))))*(INDEX(ACTIVE_MULT_TABLE,3,1))*(1+SUMPRODUCT(SIGN(((ACT_DOOR_SCOPE="ALL")+(ACT_DOOR_SCOPE="TIER_"&amp;$F43)+(ACT_DOOR_SCOPE=$B43)))*SIGN(((ACT_SKU_SCOPE="ALL")+(ACT_SKU_SCOPE=$G43)))*(ACT_START&lt;=1)*(ACT_END&gt;=1)*IFERROR(ACT_UPLIFT-1,0)))*(1+SUMPRODUCT(SIGN(((ACT_DOOR_SCOPE="ALL")+(ACT_DOOR_SCOPE="TIER_"&amp;$F43)+(ACT_DOOR_SCOPE=$B43)))*SIGN(((ACT_SKU_SCOPE="ALL")+(ACT_SKU_SCOPE=$G43)))*(1&gt;ACT_END)*(ACT_END&gt;0)*IFERROR(ACT_POSTLIFT,0))),0)))</f>
        <v/>
      </c>
      <c r="K43" s="10">
        <f>IF(OR($H43&lt;&gt;"Y",2&lt;$I43),0,IF(SUMPRODUCT(((BULK_ENABLED="Y")*((BULK_TIER="ALL")+(BULK_TIER=$F43))*((BULK_SKU="ALL")+(BULK_SKU=$G43))*(BULK_START&lt;=2)*(BULK_END&gt;=2)))&gt;0,IFERROR(SUMPRODUCT(((BULK_ENABLED="Y")*((BULK_TIER="ALL")+(BULK_TIER=$F43))*((BULK_SKU="ALL")+(BULK_SKU=$G43))*(BULK_START&lt;=2)*(BULK_END&gt;=2))*IFERROR(BULK_VALUE,0))/MAX(1,SUMPRODUCT(((BULK_ENABLED="Y")*((BULK_TIER="ALL")+(BULK_TIER=$F43))*((BULK_SKU="ALL")+(BULK_SKU=$G43))*(BULK_START&lt;=2)*(BULK_END&gt;=2)))),0),ROUND((INDEX(VELOCITY_TABLE,MATCH($F43,TIER_LIST,0),3))*(IF((2-$I43+1)&lt;=0,0,IF((2-$I43+1)=1,RAMP_W1,IF((2-$I43+1)=2,RAMP_W2,IF((2-$I43+1)=3,RAMP_W3,RAMP_W4PLUS)))))*(INDEX(ACTIVE_MULT_TABLE,3,1))*(1+SUMPRODUCT(SIGN(((ACT_DOOR_SCOPE="ALL")+(ACT_DOOR_SCOPE="TIER_"&amp;$F43)+(ACT_DOOR_SCOPE=$B43)))*SIGN(((ACT_SKU_SCOPE="ALL")+(ACT_SKU_SCOPE=$G43)))*(ACT_START&lt;=2)*(ACT_END&gt;=2)*IFERROR(ACT_UPLIFT-1,0)))*(1+SUMPRODUCT(SIGN(((ACT_DOOR_SCOPE="ALL")+(ACT_DOOR_SCOPE="TIER_"&amp;$F43)+(ACT_DOOR_SCOPE=$B43)))*SIGN(((ACT_SKU_SCOPE="ALL")+(ACT_SKU_SCOPE=$G43)))*(2&gt;ACT_END)*(ACT_END&gt;0)*IFERROR(ACT_POSTLIFT,0))),0)))</f>
        <v/>
      </c>
      <c r="L43" s="10">
        <f>IF(OR($H43&lt;&gt;"Y",3&lt;$I43),0,IF(SUMPRODUCT(((BULK_ENABLED="Y")*((BULK_TIER="ALL")+(BULK_TIER=$F43))*((BULK_SKU="ALL")+(BULK_SKU=$G43))*(BULK_START&lt;=3)*(BULK_END&gt;=3)))&gt;0,IFERROR(SUMPRODUCT(((BULK_ENABLED="Y")*((BULK_TIER="ALL")+(BULK_TIER=$F43))*((BULK_SKU="ALL")+(BULK_SKU=$G43))*(BULK_START&lt;=3)*(BULK_END&gt;=3))*IFERROR(BULK_VALUE,0))/MAX(1,SUMPRODUCT(((BULK_ENABLED="Y")*((BULK_TIER="ALL")+(BULK_TIER=$F43))*((BULK_SKU="ALL")+(BULK_SKU=$G43))*(BULK_START&lt;=3)*(BULK_END&gt;=3)))),0),ROUND((INDEX(VELOCITY_TABLE,MATCH($F43,TIER_LIST,0),3))*(IF((3-$I43+1)&lt;=0,0,IF((3-$I43+1)=1,RAMP_W1,IF((3-$I43+1)=2,RAMP_W2,IF((3-$I43+1)=3,RAMP_W3,RAMP_W4PLUS)))))*(INDEX(ACTIVE_MULT_TABLE,3,1))*(1+SUMPRODUCT(SIGN(((ACT_DOOR_SCOPE="ALL")+(ACT_DOOR_SCOPE="TIER_"&amp;$F43)+(ACT_DOOR_SCOPE=$B43)))*SIGN(((ACT_SKU_SCOPE="ALL")+(ACT_SKU_SCOPE=$G43)))*(ACT_START&lt;=3)*(ACT_END&gt;=3)*IFERROR(ACT_UPLIFT-1,0)))*(1+SUMPRODUCT(SIGN(((ACT_DOOR_SCOPE="ALL")+(ACT_DOOR_SCOPE="TIER_"&amp;$F43)+(ACT_DOOR_SCOPE=$B43)))*SIGN(((ACT_SKU_SCOPE="ALL")+(ACT_SKU_SCOPE=$G43)))*(3&gt;ACT_END)*(ACT_END&gt;0)*IFERROR(ACT_POSTLIFT,0))),0)))</f>
        <v/>
      </c>
      <c r="M43" s="10">
        <f>IF(OR($H43&lt;&gt;"Y",4&lt;$I43),0,IF(SUMPRODUCT(((BULK_ENABLED="Y")*((BULK_TIER="ALL")+(BULK_TIER=$F43))*((BULK_SKU="ALL")+(BULK_SKU=$G43))*(BULK_START&lt;=4)*(BULK_END&gt;=4)))&gt;0,IFERROR(SUMPRODUCT(((BULK_ENABLED="Y")*((BULK_TIER="ALL")+(BULK_TIER=$F43))*((BULK_SKU="ALL")+(BULK_SKU=$G43))*(BULK_START&lt;=4)*(BULK_END&gt;=4))*IFERROR(BULK_VALUE,0))/MAX(1,SUMPRODUCT(((BULK_ENABLED="Y")*((BULK_TIER="ALL")+(BULK_TIER=$F43))*((BULK_SKU="ALL")+(BULK_SKU=$G43))*(BULK_START&lt;=4)*(BULK_END&gt;=4)))),0),ROUND((INDEX(VELOCITY_TABLE,MATCH($F43,TIER_LIST,0),3))*(IF((4-$I43+1)&lt;=0,0,IF((4-$I43+1)=1,RAMP_W1,IF((4-$I43+1)=2,RAMP_W2,IF((4-$I43+1)=3,RAMP_W3,RAMP_W4PLUS)))))*(INDEX(ACTIVE_MULT_TABLE,3,1))*(1+SUMPRODUCT(SIGN(((ACT_DOOR_SCOPE="ALL")+(ACT_DOOR_SCOPE="TIER_"&amp;$F43)+(ACT_DOOR_SCOPE=$B43)))*SIGN(((ACT_SKU_SCOPE="ALL")+(ACT_SKU_SCOPE=$G43)))*(ACT_START&lt;=4)*(ACT_END&gt;=4)*IFERROR(ACT_UPLIFT-1,0)))*(1+SUMPRODUCT(SIGN(((ACT_DOOR_SCOPE="ALL")+(ACT_DOOR_SCOPE="TIER_"&amp;$F43)+(ACT_DOOR_SCOPE=$B43)))*SIGN(((ACT_SKU_SCOPE="ALL")+(ACT_SKU_SCOPE=$G43)))*(4&gt;ACT_END)*(ACT_END&gt;0)*IFERROR(ACT_POSTLIFT,0))),0)))</f>
        <v/>
      </c>
      <c r="N43" s="10">
        <f>IF(OR($H43&lt;&gt;"Y",5&lt;$I43),0,IF(SUMPRODUCT(((BULK_ENABLED="Y")*((BULK_TIER="ALL")+(BULK_TIER=$F43))*((BULK_SKU="ALL")+(BULK_SKU=$G43))*(BULK_START&lt;=5)*(BULK_END&gt;=5)))&gt;0,IFERROR(SUMPRODUCT(((BULK_ENABLED="Y")*((BULK_TIER="ALL")+(BULK_TIER=$F43))*((BULK_SKU="ALL")+(BULK_SKU=$G43))*(BULK_START&lt;=5)*(BULK_END&gt;=5))*IFERROR(BULK_VALUE,0))/MAX(1,SUMPRODUCT(((BULK_ENABLED="Y")*((BULK_TIER="ALL")+(BULK_TIER=$F43))*((BULK_SKU="ALL")+(BULK_SKU=$G43))*(BULK_START&lt;=5)*(BULK_END&gt;=5)))),0),ROUND((INDEX(VELOCITY_TABLE,MATCH($F43,TIER_LIST,0),3))*(IF((5-$I43+1)&lt;=0,0,IF((5-$I43+1)=1,RAMP_W1,IF((5-$I43+1)=2,RAMP_W2,IF((5-$I43+1)=3,RAMP_W3,RAMP_W4PLUS)))))*(INDEX(ACTIVE_MULT_TABLE,3,1))*(1+SUMPRODUCT(SIGN(((ACT_DOOR_SCOPE="ALL")+(ACT_DOOR_SCOPE="TIER_"&amp;$F43)+(ACT_DOOR_SCOPE=$B43)))*SIGN(((ACT_SKU_SCOPE="ALL")+(ACT_SKU_SCOPE=$G43)))*(ACT_START&lt;=5)*(ACT_END&gt;=5)*IFERROR(ACT_UPLIFT-1,0)))*(1+SUMPRODUCT(SIGN(((ACT_DOOR_SCOPE="ALL")+(ACT_DOOR_SCOPE="TIER_"&amp;$F43)+(ACT_DOOR_SCOPE=$B43)))*SIGN(((ACT_SKU_SCOPE="ALL")+(ACT_SKU_SCOPE=$G43)))*(5&gt;ACT_END)*(ACT_END&gt;0)*IFERROR(ACT_POSTLIFT,0))),0)))</f>
        <v/>
      </c>
      <c r="O43" s="10">
        <f>IF(OR($H43&lt;&gt;"Y",6&lt;$I43),0,IF(SUMPRODUCT(((BULK_ENABLED="Y")*((BULK_TIER="ALL")+(BULK_TIER=$F43))*((BULK_SKU="ALL")+(BULK_SKU=$G43))*(BULK_START&lt;=6)*(BULK_END&gt;=6)))&gt;0,IFERROR(SUMPRODUCT(((BULK_ENABLED="Y")*((BULK_TIER="ALL")+(BULK_TIER=$F43))*((BULK_SKU="ALL")+(BULK_SKU=$G43))*(BULK_START&lt;=6)*(BULK_END&gt;=6))*IFERROR(BULK_VALUE,0))/MAX(1,SUMPRODUCT(((BULK_ENABLED="Y")*((BULK_TIER="ALL")+(BULK_TIER=$F43))*((BULK_SKU="ALL")+(BULK_SKU=$G43))*(BULK_START&lt;=6)*(BULK_END&gt;=6)))),0),ROUND((INDEX(VELOCITY_TABLE,MATCH($F43,TIER_LIST,0),3))*(IF((6-$I43+1)&lt;=0,0,IF((6-$I43+1)=1,RAMP_W1,IF((6-$I43+1)=2,RAMP_W2,IF((6-$I43+1)=3,RAMP_W3,RAMP_W4PLUS)))))*(INDEX(ACTIVE_MULT_TABLE,3,1))*(1+SUMPRODUCT(SIGN(((ACT_DOOR_SCOPE="ALL")+(ACT_DOOR_SCOPE="TIER_"&amp;$F43)+(ACT_DOOR_SCOPE=$B43)))*SIGN(((ACT_SKU_SCOPE="ALL")+(ACT_SKU_SCOPE=$G43)))*(ACT_START&lt;=6)*(ACT_END&gt;=6)*IFERROR(ACT_UPLIFT-1,0)))*(1+SUMPRODUCT(SIGN(((ACT_DOOR_SCOPE="ALL")+(ACT_DOOR_SCOPE="TIER_"&amp;$F43)+(ACT_DOOR_SCOPE=$B43)))*SIGN(((ACT_SKU_SCOPE="ALL")+(ACT_SKU_SCOPE=$G43)))*(6&gt;ACT_END)*(ACT_END&gt;0)*IFERROR(ACT_POSTLIFT,0))),0)))</f>
        <v/>
      </c>
      <c r="P43" s="10">
        <f>IF(OR($H43&lt;&gt;"Y",7&lt;$I43),0,IF(SUMPRODUCT(((BULK_ENABLED="Y")*((BULK_TIER="ALL")+(BULK_TIER=$F43))*((BULK_SKU="ALL")+(BULK_SKU=$G43))*(BULK_START&lt;=7)*(BULK_END&gt;=7)))&gt;0,IFERROR(SUMPRODUCT(((BULK_ENABLED="Y")*((BULK_TIER="ALL")+(BULK_TIER=$F43))*((BULK_SKU="ALL")+(BULK_SKU=$G43))*(BULK_START&lt;=7)*(BULK_END&gt;=7))*IFERROR(BULK_VALUE,0))/MAX(1,SUMPRODUCT(((BULK_ENABLED="Y")*((BULK_TIER="ALL")+(BULK_TIER=$F43))*((BULK_SKU="ALL")+(BULK_SKU=$G43))*(BULK_START&lt;=7)*(BULK_END&gt;=7)))),0),ROUND((INDEX(VELOCITY_TABLE,MATCH($F43,TIER_LIST,0),3))*(IF((7-$I43+1)&lt;=0,0,IF((7-$I43+1)=1,RAMP_W1,IF((7-$I43+1)=2,RAMP_W2,IF((7-$I43+1)=3,RAMP_W3,RAMP_W4PLUS)))))*(INDEX(ACTIVE_MULT_TABLE,3,1))*(1+SUMPRODUCT(SIGN(((ACT_DOOR_SCOPE="ALL")+(ACT_DOOR_SCOPE="TIER_"&amp;$F43)+(ACT_DOOR_SCOPE=$B43)))*SIGN(((ACT_SKU_SCOPE="ALL")+(ACT_SKU_SCOPE=$G43)))*(ACT_START&lt;=7)*(ACT_END&gt;=7)*IFERROR(ACT_UPLIFT-1,0)))*(1+SUMPRODUCT(SIGN(((ACT_DOOR_SCOPE="ALL")+(ACT_DOOR_SCOPE="TIER_"&amp;$F43)+(ACT_DOOR_SCOPE=$B43)))*SIGN(((ACT_SKU_SCOPE="ALL")+(ACT_SKU_SCOPE=$G43)))*(7&gt;ACT_END)*(ACT_END&gt;0)*IFERROR(ACT_POSTLIFT,0))),0)))</f>
        <v/>
      </c>
      <c r="Q43" s="10">
        <f>IF(OR($H43&lt;&gt;"Y",8&lt;$I43),0,IF(SUMPRODUCT(((BULK_ENABLED="Y")*((BULK_TIER="ALL")+(BULK_TIER=$F43))*((BULK_SKU="ALL")+(BULK_SKU=$G43))*(BULK_START&lt;=8)*(BULK_END&gt;=8)))&gt;0,IFERROR(SUMPRODUCT(((BULK_ENABLED="Y")*((BULK_TIER="ALL")+(BULK_TIER=$F43))*((BULK_SKU="ALL")+(BULK_SKU=$G43))*(BULK_START&lt;=8)*(BULK_END&gt;=8))*IFERROR(BULK_VALUE,0))/MAX(1,SUMPRODUCT(((BULK_ENABLED="Y")*((BULK_TIER="ALL")+(BULK_TIER=$F43))*((BULK_SKU="ALL")+(BULK_SKU=$G43))*(BULK_START&lt;=8)*(BULK_END&gt;=8)))),0),ROUND((INDEX(VELOCITY_TABLE,MATCH($F43,TIER_LIST,0),3))*(IF((8-$I43+1)&lt;=0,0,IF((8-$I43+1)=1,RAMP_W1,IF((8-$I43+1)=2,RAMP_W2,IF((8-$I43+1)=3,RAMP_W3,RAMP_W4PLUS)))))*(INDEX(ACTIVE_MULT_TABLE,3,1))*(1+SUMPRODUCT(SIGN(((ACT_DOOR_SCOPE="ALL")+(ACT_DOOR_SCOPE="TIER_"&amp;$F43)+(ACT_DOOR_SCOPE=$B43)))*SIGN(((ACT_SKU_SCOPE="ALL")+(ACT_SKU_SCOPE=$G43)))*(ACT_START&lt;=8)*(ACT_END&gt;=8)*IFERROR(ACT_UPLIFT-1,0)))*(1+SUMPRODUCT(SIGN(((ACT_DOOR_SCOPE="ALL")+(ACT_DOOR_SCOPE="TIER_"&amp;$F43)+(ACT_DOOR_SCOPE=$B43)))*SIGN(((ACT_SKU_SCOPE="ALL")+(ACT_SKU_SCOPE=$G43)))*(8&gt;ACT_END)*(ACT_END&gt;0)*IFERROR(ACT_POSTLIFT,0))),0)))</f>
        <v/>
      </c>
      <c r="R43" s="10">
        <f>IF(OR($H43&lt;&gt;"Y",9&lt;$I43),0,IF(SUMPRODUCT(((BULK_ENABLED="Y")*((BULK_TIER="ALL")+(BULK_TIER=$F43))*((BULK_SKU="ALL")+(BULK_SKU=$G43))*(BULK_START&lt;=9)*(BULK_END&gt;=9)))&gt;0,IFERROR(SUMPRODUCT(((BULK_ENABLED="Y")*((BULK_TIER="ALL")+(BULK_TIER=$F43))*((BULK_SKU="ALL")+(BULK_SKU=$G43))*(BULK_START&lt;=9)*(BULK_END&gt;=9))*IFERROR(BULK_VALUE,0))/MAX(1,SUMPRODUCT(((BULK_ENABLED="Y")*((BULK_TIER="ALL")+(BULK_TIER=$F43))*((BULK_SKU="ALL")+(BULK_SKU=$G43))*(BULK_START&lt;=9)*(BULK_END&gt;=9)))),0),ROUND((INDEX(VELOCITY_TABLE,MATCH($F43,TIER_LIST,0),3))*(IF((9-$I43+1)&lt;=0,0,IF((9-$I43+1)=1,RAMP_W1,IF((9-$I43+1)=2,RAMP_W2,IF((9-$I43+1)=3,RAMP_W3,RAMP_W4PLUS)))))*(INDEX(ACTIVE_MULT_TABLE,3,1))*(1+SUMPRODUCT(SIGN(((ACT_DOOR_SCOPE="ALL")+(ACT_DOOR_SCOPE="TIER_"&amp;$F43)+(ACT_DOOR_SCOPE=$B43)))*SIGN(((ACT_SKU_SCOPE="ALL")+(ACT_SKU_SCOPE=$G43)))*(ACT_START&lt;=9)*(ACT_END&gt;=9)*IFERROR(ACT_UPLIFT-1,0)))*(1+SUMPRODUCT(SIGN(((ACT_DOOR_SCOPE="ALL")+(ACT_DOOR_SCOPE="TIER_"&amp;$F43)+(ACT_DOOR_SCOPE=$B43)))*SIGN(((ACT_SKU_SCOPE="ALL")+(ACT_SKU_SCOPE=$G43)))*(9&gt;ACT_END)*(ACT_END&gt;0)*IFERROR(ACT_POSTLIFT,0))),0)))</f>
        <v/>
      </c>
      <c r="S43" s="10">
        <f>IF(OR($H43&lt;&gt;"Y",10&lt;$I43),0,IF(SUMPRODUCT(((BULK_ENABLED="Y")*((BULK_TIER="ALL")+(BULK_TIER=$F43))*((BULK_SKU="ALL")+(BULK_SKU=$G43))*(BULK_START&lt;=10)*(BULK_END&gt;=10)))&gt;0,IFERROR(SUMPRODUCT(((BULK_ENABLED="Y")*((BULK_TIER="ALL")+(BULK_TIER=$F43))*((BULK_SKU="ALL")+(BULK_SKU=$G43))*(BULK_START&lt;=10)*(BULK_END&gt;=10))*IFERROR(BULK_VALUE,0))/MAX(1,SUMPRODUCT(((BULK_ENABLED="Y")*((BULK_TIER="ALL")+(BULK_TIER=$F43))*((BULK_SKU="ALL")+(BULK_SKU=$G43))*(BULK_START&lt;=10)*(BULK_END&gt;=10)))),0),ROUND((INDEX(VELOCITY_TABLE,MATCH($F43,TIER_LIST,0),3))*(IF((10-$I43+1)&lt;=0,0,IF((10-$I43+1)=1,RAMP_W1,IF((10-$I43+1)=2,RAMP_W2,IF((10-$I43+1)=3,RAMP_W3,RAMP_W4PLUS)))))*(INDEX(ACTIVE_MULT_TABLE,3,1))*(1+SUMPRODUCT(SIGN(((ACT_DOOR_SCOPE="ALL")+(ACT_DOOR_SCOPE="TIER_"&amp;$F43)+(ACT_DOOR_SCOPE=$B43)))*SIGN(((ACT_SKU_SCOPE="ALL")+(ACT_SKU_SCOPE=$G43)))*(ACT_START&lt;=10)*(ACT_END&gt;=10)*IFERROR(ACT_UPLIFT-1,0)))*(1+SUMPRODUCT(SIGN(((ACT_DOOR_SCOPE="ALL")+(ACT_DOOR_SCOPE="TIER_"&amp;$F43)+(ACT_DOOR_SCOPE=$B43)))*SIGN(((ACT_SKU_SCOPE="ALL")+(ACT_SKU_SCOPE=$G43)))*(10&gt;ACT_END)*(ACT_END&gt;0)*IFERROR(ACT_POSTLIFT,0))),0)))</f>
        <v/>
      </c>
      <c r="T43" s="10">
        <f>IF(OR($H43&lt;&gt;"Y",11&lt;$I43),0,IF(SUMPRODUCT(((BULK_ENABLED="Y")*((BULK_TIER="ALL")+(BULK_TIER=$F43))*((BULK_SKU="ALL")+(BULK_SKU=$G43))*(BULK_START&lt;=11)*(BULK_END&gt;=11)))&gt;0,IFERROR(SUMPRODUCT(((BULK_ENABLED="Y")*((BULK_TIER="ALL")+(BULK_TIER=$F43))*((BULK_SKU="ALL")+(BULK_SKU=$G43))*(BULK_START&lt;=11)*(BULK_END&gt;=11))*IFERROR(BULK_VALUE,0))/MAX(1,SUMPRODUCT(((BULK_ENABLED="Y")*((BULK_TIER="ALL")+(BULK_TIER=$F43))*((BULK_SKU="ALL")+(BULK_SKU=$G43))*(BULK_START&lt;=11)*(BULK_END&gt;=11)))),0),ROUND((INDEX(VELOCITY_TABLE,MATCH($F43,TIER_LIST,0),3))*(IF((11-$I43+1)&lt;=0,0,IF((11-$I43+1)=1,RAMP_W1,IF((11-$I43+1)=2,RAMP_W2,IF((11-$I43+1)=3,RAMP_W3,RAMP_W4PLUS)))))*(INDEX(ACTIVE_MULT_TABLE,3,1))*(1+SUMPRODUCT(SIGN(((ACT_DOOR_SCOPE="ALL")+(ACT_DOOR_SCOPE="TIER_"&amp;$F43)+(ACT_DOOR_SCOPE=$B43)))*SIGN(((ACT_SKU_SCOPE="ALL")+(ACT_SKU_SCOPE=$G43)))*(ACT_START&lt;=11)*(ACT_END&gt;=11)*IFERROR(ACT_UPLIFT-1,0)))*(1+SUMPRODUCT(SIGN(((ACT_DOOR_SCOPE="ALL")+(ACT_DOOR_SCOPE="TIER_"&amp;$F43)+(ACT_DOOR_SCOPE=$B43)))*SIGN(((ACT_SKU_SCOPE="ALL")+(ACT_SKU_SCOPE=$G43)))*(11&gt;ACT_END)*(ACT_END&gt;0)*IFERROR(ACT_POSTLIFT,0))),0)))</f>
        <v/>
      </c>
      <c r="U43" s="10">
        <f>IF(OR($H43&lt;&gt;"Y",12&lt;$I43),0,IF(SUMPRODUCT(((BULK_ENABLED="Y")*((BULK_TIER="ALL")+(BULK_TIER=$F43))*((BULK_SKU="ALL")+(BULK_SKU=$G43))*(BULK_START&lt;=12)*(BULK_END&gt;=12)))&gt;0,IFERROR(SUMPRODUCT(((BULK_ENABLED="Y")*((BULK_TIER="ALL")+(BULK_TIER=$F43))*((BULK_SKU="ALL")+(BULK_SKU=$G43))*(BULK_START&lt;=12)*(BULK_END&gt;=12))*IFERROR(BULK_VALUE,0))/MAX(1,SUMPRODUCT(((BULK_ENABLED="Y")*((BULK_TIER="ALL")+(BULK_TIER=$F43))*((BULK_SKU="ALL")+(BULK_SKU=$G43))*(BULK_START&lt;=12)*(BULK_END&gt;=12)))),0),ROUND((INDEX(VELOCITY_TABLE,MATCH($F43,TIER_LIST,0),3))*(IF((12-$I43+1)&lt;=0,0,IF((12-$I43+1)=1,RAMP_W1,IF((12-$I43+1)=2,RAMP_W2,IF((12-$I43+1)=3,RAMP_W3,RAMP_W4PLUS)))))*(INDEX(ACTIVE_MULT_TABLE,3,1))*(1+SUMPRODUCT(SIGN(((ACT_DOOR_SCOPE="ALL")+(ACT_DOOR_SCOPE="TIER_"&amp;$F43)+(ACT_DOOR_SCOPE=$B43)))*SIGN(((ACT_SKU_SCOPE="ALL")+(ACT_SKU_SCOPE=$G43)))*(ACT_START&lt;=12)*(ACT_END&gt;=12)*IFERROR(ACT_UPLIFT-1,0)))*(1+SUMPRODUCT(SIGN(((ACT_DOOR_SCOPE="ALL")+(ACT_DOOR_SCOPE="TIER_"&amp;$F43)+(ACT_DOOR_SCOPE=$B43)))*SIGN(((ACT_SKU_SCOPE="ALL")+(ACT_SKU_SCOPE=$G43)))*(12&gt;ACT_END)*(ACT_END&gt;0)*IFERROR(ACT_POSTLIFT,0))),0)))</f>
        <v/>
      </c>
      <c r="V43" s="10">
        <f>IF(OR($H43&lt;&gt;"Y",13&lt;$I43),0,IF(SUMPRODUCT(((BULK_ENABLED="Y")*((BULK_TIER="ALL")+(BULK_TIER=$F43))*((BULK_SKU="ALL")+(BULK_SKU=$G43))*(BULK_START&lt;=13)*(BULK_END&gt;=13)))&gt;0,IFERROR(SUMPRODUCT(((BULK_ENABLED="Y")*((BULK_TIER="ALL")+(BULK_TIER=$F43))*((BULK_SKU="ALL")+(BULK_SKU=$G43))*(BULK_START&lt;=13)*(BULK_END&gt;=13))*IFERROR(BULK_VALUE,0))/MAX(1,SUMPRODUCT(((BULK_ENABLED="Y")*((BULK_TIER="ALL")+(BULK_TIER=$F43))*((BULK_SKU="ALL")+(BULK_SKU=$G43))*(BULK_START&lt;=13)*(BULK_END&gt;=13)))),0),ROUND((INDEX(VELOCITY_TABLE,MATCH($F43,TIER_LIST,0),3))*(IF((13-$I43+1)&lt;=0,0,IF((13-$I43+1)=1,RAMP_W1,IF((13-$I43+1)=2,RAMP_W2,IF((13-$I43+1)=3,RAMP_W3,RAMP_W4PLUS)))))*(INDEX(ACTIVE_MULT_TABLE,3,1))*(1+SUMPRODUCT(SIGN(((ACT_DOOR_SCOPE="ALL")+(ACT_DOOR_SCOPE="TIER_"&amp;$F43)+(ACT_DOOR_SCOPE=$B43)))*SIGN(((ACT_SKU_SCOPE="ALL")+(ACT_SKU_SCOPE=$G43)))*(ACT_START&lt;=13)*(ACT_END&gt;=13)*IFERROR(ACT_UPLIFT-1,0)))*(1+SUMPRODUCT(SIGN(((ACT_DOOR_SCOPE="ALL")+(ACT_DOOR_SCOPE="TIER_"&amp;$F43)+(ACT_DOOR_SCOPE=$B43)))*SIGN(((ACT_SKU_SCOPE="ALL")+(ACT_SKU_SCOPE=$G43)))*(13&gt;ACT_END)*(ACT_END&gt;0)*IFERROR(ACT_POSTLIFT,0))),0)))</f>
        <v/>
      </c>
    </row>
    <row r="44">
      <c r="A44" t="inlineStr">
        <is>
          <t>R0040</t>
        </is>
      </c>
      <c r="B44">
        <f>Doors!$A$18</f>
        <v/>
      </c>
      <c r="C44">
        <f>Doors!$C$18</f>
        <v/>
      </c>
      <c r="D44">
        <f>Doors!$B$18</f>
        <v/>
      </c>
      <c r="E44">
        <f>Doors!$E$18</f>
        <v/>
      </c>
      <c r="F44">
        <f>Doors!$F$18</f>
        <v/>
      </c>
      <c r="G44" t="inlineStr">
        <is>
          <t>Lime Lemon</t>
        </is>
      </c>
      <c r="H44">
        <f>Doors!$G$18</f>
        <v/>
      </c>
      <c r="I44">
        <f>Doors!$J$18</f>
        <v/>
      </c>
      <c r="J44" s="10">
        <f>IF(OR($H44&lt;&gt;"Y",1&lt;$I44),0,IF(SUMPRODUCT(((BULK_ENABLED="Y")*((BULK_TIER="ALL")+(BULK_TIER=$F44))*((BULK_SKU="ALL")+(BULK_SKU=$G44))*(BULK_START&lt;=1)*(BULK_END&gt;=1)))&gt;0,IFERROR(SUMPRODUCT(((BULK_ENABLED="Y")*((BULK_TIER="ALL")+(BULK_TIER=$F44))*((BULK_SKU="ALL")+(BULK_SKU=$G44))*(BULK_START&lt;=1)*(BULK_END&gt;=1))*IFERROR(BULK_VALUE,0))/MAX(1,SUMPRODUCT(((BULK_ENABLED="Y")*((BULK_TIER="ALL")+(BULK_TIER=$F44))*((BULK_SKU="ALL")+(BULK_SKU=$G44))*(BULK_START&lt;=1)*(BULK_END&gt;=1)))),0),ROUND((INDEX(VELOCITY_TABLE,MATCH($F44,TIER_LIST,0),1))*(IF((1-$I44+1)&lt;=0,0,IF((1-$I44+1)=1,RAMP_W1,IF((1-$I44+1)=2,RAMP_W2,IF((1-$I44+1)=3,RAMP_W3,RAMP_W4PLUS)))))*(INDEX(ACTIVE_MULT_TABLE,1,1))*(1+SUMPRODUCT(SIGN(((ACT_DOOR_SCOPE="ALL")+(ACT_DOOR_SCOPE="TIER_"&amp;$F44)+(ACT_DOOR_SCOPE=$B44)))*SIGN(((ACT_SKU_SCOPE="ALL")+(ACT_SKU_SCOPE=$G44)))*(ACT_START&lt;=1)*(ACT_END&gt;=1)*IFERROR(ACT_UPLIFT-1,0)))*(1+SUMPRODUCT(SIGN(((ACT_DOOR_SCOPE="ALL")+(ACT_DOOR_SCOPE="TIER_"&amp;$F44)+(ACT_DOOR_SCOPE=$B44)))*SIGN(((ACT_SKU_SCOPE="ALL")+(ACT_SKU_SCOPE=$G44)))*(1&gt;ACT_END)*(ACT_END&gt;0)*IFERROR(ACT_POSTLIFT,0))),0)))</f>
        <v/>
      </c>
      <c r="K44" s="10">
        <f>IF(OR($H44&lt;&gt;"Y",2&lt;$I44),0,IF(SUMPRODUCT(((BULK_ENABLED="Y")*((BULK_TIER="ALL")+(BULK_TIER=$F44))*((BULK_SKU="ALL")+(BULK_SKU=$G44))*(BULK_START&lt;=2)*(BULK_END&gt;=2)))&gt;0,IFERROR(SUMPRODUCT(((BULK_ENABLED="Y")*((BULK_TIER="ALL")+(BULK_TIER=$F44))*((BULK_SKU="ALL")+(BULK_SKU=$G44))*(BULK_START&lt;=2)*(BULK_END&gt;=2))*IFERROR(BULK_VALUE,0))/MAX(1,SUMPRODUCT(((BULK_ENABLED="Y")*((BULK_TIER="ALL")+(BULK_TIER=$F44))*((BULK_SKU="ALL")+(BULK_SKU=$G44))*(BULK_START&lt;=2)*(BULK_END&gt;=2)))),0),ROUND((INDEX(VELOCITY_TABLE,MATCH($F44,TIER_LIST,0),1))*(IF((2-$I44+1)&lt;=0,0,IF((2-$I44+1)=1,RAMP_W1,IF((2-$I44+1)=2,RAMP_W2,IF((2-$I44+1)=3,RAMP_W3,RAMP_W4PLUS)))))*(INDEX(ACTIVE_MULT_TABLE,1,1))*(1+SUMPRODUCT(SIGN(((ACT_DOOR_SCOPE="ALL")+(ACT_DOOR_SCOPE="TIER_"&amp;$F44)+(ACT_DOOR_SCOPE=$B44)))*SIGN(((ACT_SKU_SCOPE="ALL")+(ACT_SKU_SCOPE=$G44)))*(ACT_START&lt;=2)*(ACT_END&gt;=2)*IFERROR(ACT_UPLIFT-1,0)))*(1+SUMPRODUCT(SIGN(((ACT_DOOR_SCOPE="ALL")+(ACT_DOOR_SCOPE="TIER_"&amp;$F44)+(ACT_DOOR_SCOPE=$B44)))*SIGN(((ACT_SKU_SCOPE="ALL")+(ACT_SKU_SCOPE=$G44)))*(2&gt;ACT_END)*(ACT_END&gt;0)*IFERROR(ACT_POSTLIFT,0))),0)))</f>
        <v/>
      </c>
      <c r="L44" s="10">
        <f>IF(OR($H44&lt;&gt;"Y",3&lt;$I44),0,IF(SUMPRODUCT(((BULK_ENABLED="Y")*((BULK_TIER="ALL")+(BULK_TIER=$F44))*((BULK_SKU="ALL")+(BULK_SKU=$G44))*(BULK_START&lt;=3)*(BULK_END&gt;=3)))&gt;0,IFERROR(SUMPRODUCT(((BULK_ENABLED="Y")*((BULK_TIER="ALL")+(BULK_TIER=$F44))*((BULK_SKU="ALL")+(BULK_SKU=$G44))*(BULK_START&lt;=3)*(BULK_END&gt;=3))*IFERROR(BULK_VALUE,0))/MAX(1,SUMPRODUCT(((BULK_ENABLED="Y")*((BULK_TIER="ALL")+(BULK_TIER=$F44))*((BULK_SKU="ALL")+(BULK_SKU=$G44))*(BULK_START&lt;=3)*(BULK_END&gt;=3)))),0),ROUND((INDEX(VELOCITY_TABLE,MATCH($F44,TIER_LIST,0),1))*(IF((3-$I44+1)&lt;=0,0,IF((3-$I44+1)=1,RAMP_W1,IF((3-$I44+1)=2,RAMP_W2,IF((3-$I44+1)=3,RAMP_W3,RAMP_W4PLUS)))))*(INDEX(ACTIVE_MULT_TABLE,1,1))*(1+SUMPRODUCT(SIGN(((ACT_DOOR_SCOPE="ALL")+(ACT_DOOR_SCOPE="TIER_"&amp;$F44)+(ACT_DOOR_SCOPE=$B44)))*SIGN(((ACT_SKU_SCOPE="ALL")+(ACT_SKU_SCOPE=$G44)))*(ACT_START&lt;=3)*(ACT_END&gt;=3)*IFERROR(ACT_UPLIFT-1,0)))*(1+SUMPRODUCT(SIGN(((ACT_DOOR_SCOPE="ALL")+(ACT_DOOR_SCOPE="TIER_"&amp;$F44)+(ACT_DOOR_SCOPE=$B44)))*SIGN(((ACT_SKU_SCOPE="ALL")+(ACT_SKU_SCOPE=$G44)))*(3&gt;ACT_END)*(ACT_END&gt;0)*IFERROR(ACT_POSTLIFT,0))),0)))</f>
        <v/>
      </c>
      <c r="M44" s="10">
        <f>IF(OR($H44&lt;&gt;"Y",4&lt;$I44),0,IF(SUMPRODUCT(((BULK_ENABLED="Y")*((BULK_TIER="ALL")+(BULK_TIER=$F44))*((BULK_SKU="ALL")+(BULK_SKU=$G44))*(BULK_START&lt;=4)*(BULK_END&gt;=4)))&gt;0,IFERROR(SUMPRODUCT(((BULK_ENABLED="Y")*((BULK_TIER="ALL")+(BULK_TIER=$F44))*((BULK_SKU="ALL")+(BULK_SKU=$G44))*(BULK_START&lt;=4)*(BULK_END&gt;=4))*IFERROR(BULK_VALUE,0))/MAX(1,SUMPRODUCT(((BULK_ENABLED="Y")*((BULK_TIER="ALL")+(BULK_TIER=$F44))*((BULK_SKU="ALL")+(BULK_SKU=$G44))*(BULK_START&lt;=4)*(BULK_END&gt;=4)))),0),ROUND((INDEX(VELOCITY_TABLE,MATCH($F44,TIER_LIST,0),1))*(IF((4-$I44+1)&lt;=0,0,IF((4-$I44+1)=1,RAMP_W1,IF((4-$I44+1)=2,RAMP_W2,IF((4-$I44+1)=3,RAMP_W3,RAMP_W4PLUS)))))*(INDEX(ACTIVE_MULT_TABLE,1,1))*(1+SUMPRODUCT(SIGN(((ACT_DOOR_SCOPE="ALL")+(ACT_DOOR_SCOPE="TIER_"&amp;$F44)+(ACT_DOOR_SCOPE=$B44)))*SIGN(((ACT_SKU_SCOPE="ALL")+(ACT_SKU_SCOPE=$G44)))*(ACT_START&lt;=4)*(ACT_END&gt;=4)*IFERROR(ACT_UPLIFT-1,0)))*(1+SUMPRODUCT(SIGN(((ACT_DOOR_SCOPE="ALL")+(ACT_DOOR_SCOPE="TIER_"&amp;$F44)+(ACT_DOOR_SCOPE=$B44)))*SIGN(((ACT_SKU_SCOPE="ALL")+(ACT_SKU_SCOPE=$G44)))*(4&gt;ACT_END)*(ACT_END&gt;0)*IFERROR(ACT_POSTLIFT,0))),0)))</f>
        <v/>
      </c>
      <c r="N44" s="10">
        <f>IF(OR($H44&lt;&gt;"Y",5&lt;$I44),0,IF(SUMPRODUCT(((BULK_ENABLED="Y")*((BULK_TIER="ALL")+(BULK_TIER=$F44))*((BULK_SKU="ALL")+(BULK_SKU=$G44))*(BULK_START&lt;=5)*(BULK_END&gt;=5)))&gt;0,IFERROR(SUMPRODUCT(((BULK_ENABLED="Y")*((BULK_TIER="ALL")+(BULK_TIER=$F44))*((BULK_SKU="ALL")+(BULK_SKU=$G44))*(BULK_START&lt;=5)*(BULK_END&gt;=5))*IFERROR(BULK_VALUE,0))/MAX(1,SUMPRODUCT(((BULK_ENABLED="Y")*((BULK_TIER="ALL")+(BULK_TIER=$F44))*((BULK_SKU="ALL")+(BULK_SKU=$G44))*(BULK_START&lt;=5)*(BULK_END&gt;=5)))),0),ROUND((INDEX(VELOCITY_TABLE,MATCH($F44,TIER_LIST,0),1))*(IF((5-$I44+1)&lt;=0,0,IF((5-$I44+1)=1,RAMP_W1,IF((5-$I44+1)=2,RAMP_W2,IF((5-$I44+1)=3,RAMP_W3,RAMP_W4PLUS)))))*(INDEX(ACTIVE_MULT_TABLE,1,1))*(1+SUMPRODUCT(SIGN(((ACT_DOOR_SCOPE="ALL")+(ACT_DOOR_SCOPE="TIER_"&amp;$F44)+(ACT_DOOR_SCOPE=$B44)))*SIGN(((ACT_SKU_SCOPE="ALL")+(ACT_SKU_SCOPE=$G44)))*(ACT_START&lt;=5)*(ACT_END&gt;=5)*IFERROR(ACT_UPLIFT-1,0)))*(1+SUMPRODUCT(SIGN(((ACT_DOOR_SCOPE="ALL")+(ACT_DOOR_SCOPE="TIER_"&amp;$F44)+(ACT_DOOR_SCOPE=$B44)))*SIGN(((ACT_SKU_SCOPE="ALL")+(ACT_SKU_SCOPE=$G44)))*(5&gt;ACT_END)*(ACT_END&gt;0)*IFERROR(ACT_POSTLIFT,0))),0)))</f>
        <v/>
      </c>
      <c r="O44" s="10">
        <f>IF(OR($H44&lt;&gt;"Y",6&lt;$I44),0,IF(SUMPRODUCT(((BULK_ENABLED="Y")*((BULK_TIER="ALL")+(BULK_TIER=$F44))*((BULK_SKU="ALL")+(BULK_SKU=$G44))*(BULK_START&lt;=6)*(BULK_END&gt;=6)))&gt;0,IFERROR(SUMPRODUCT(((BULK_ENABLED="Y")*((BULK_TIER="ALL")+(BULK_TIER=$F44))*((BULK_SKU="ALL")+(BULK_SKU=$G44))*(BULK_START&lt;=6)*(BULK_END&gt;=6))*IFERROR(BULK_VALUE,0))/MAX(1,SUMPRODUCT(((BULK_ENABLED="Y")*((BULK_TIER="ALL")+(BULK_TIER=$F44))*((BULK_SKU="ALL")+(BULK_SKU=$G44))*(BULK_START&lt;=6)*(BULK_END&gt;=6)))),0),ROUND((INDEX(VELOCITY_TABLE,MATCH($F44,TIER_LIST,0),1))*(IF((6-$I44+1)&lt;=0,0,IF((6-$I44+1)=1,RAMP_W1,IF((6-$I44+1)=2,RAMP_W2,IF((6-$I44+1)=3,RAMP_W3,RAMP_W4PLUS)))))*(INDEX(ACTIVE_MULT_TABLE,1,1))*(1+SUMPRODUCT(SIGN(((ACT_DOOR_SCOPE="ALL")+(ACT_DOOR_SCOPE="TIER_"&amp;$F44)+(ACT_DOOR_SCOPE=$B44)))*SIGN(((ACT_SKU_SCOPE="ALL")+(ACT_SKU_SCOPE=$G44)))*(ACT_START&lt;=6)*(ACT_END&gt;=6)*IFERROR(ACT_UPLIFT-1,0)))*(1+SUMPRODUCT(SIGN(((ACT_DOOR_SCOPE="ALL")+(ACT_DOOR_SCOPE="TIER_"&amp;$F44)+(ACT_DOOR_SCOPE=$B44)))*SIGN(((ACT_SKU_SCOPE="ALL")+(ACT_SKU_SCOPE=$G44)))*(6&gt;ACT_END)*(ACT_END&gt;0)*IFERROR(ACT_POSTLIFT,0))),0)))</f>
        <v/>
      </c>
      <c r="P44" s="10">
        <f>IF(OR($H44&lt;&gt;"Y",7&lt;$I44),0,IF(SUMPRODUCT(((BULK_ENABLED="Y")*((BULK_TIER="ALL")+(BULK_TIER=$F44))*((BULK_SKU="ALL")+(BULK_SKU=$G44))*(BULK_START&lt;=7)*(BULK_END&gt;=7)))&gt;0,IFERROR(SUMPRODUCT(((BULK_ENABLED="Y")*((BULK_TIER="ALL")+(BULK_TIER=$F44))*((BULK_SKU="ALL")+(BULK_SKU=$G44))*(BULK_START&lt;=7)*(BULK_END&gt;=7))*IFERROR(BULK_VALUE,0))/MAX(1,SUMPRODUCT(((BULK_ENABLED="Y")*((BULK_TIER="ALL")+(BULK_TIER=$F44))*((BULK_SKU="ALL")+(BULK_SKU=$G44))*(BULK_START&lt;=7)*(BULK_END&gt;=7)))),0),ROUND((INDEX(VELOCITY_TABLE,MATCH($F44,TIER_LIST,0),1))*(IF((7-$I44+1)&lt;=0,0,IF((7-$I44+1)=1,RAMP_W1,IF((7-$I44+1)=2,RAMP_W2,IF((7-$I44+1)=3,RAMP_W3,RAMP_W4PLUS)))))*(INDEX(ACTIVE_MULT_TABLE,1,1))*(1+SUMPRODUCT(SIGN(((ACT_DOOR_SCOPE="ALL")+(ACT_DOOR_SCOPE="TIER_"&amp;$F44)+(ACT_DOOR_SCOPE=$B44)))*SIGN(((ACT_SKU_SCOPE="ALL")+(ACT_SKU_SCOPE=$G44)))*(ACT_START&lt;=7)*(ACT_END&gt;=7)*IFERROR(ACT_UPLIFT-1,0)))*(1+SUMPRODUCT(SIGN(((ACT_DOOR_SCOPE="ALL")+(ACT_DOOR_SCOPE="TIER_"&amp;$F44)+(ACT_DOOR_SCOPE=$B44)))*SIGN(((ACT_SKU_SCOPE="ALL")+(ACT_SKU_SCOPE=$G44)))*(7&gt;ACT_END)*(ACT_END&gt;0)*IFERROR(ACT_POSTLIFT,0))),0)))</f>
        <v/>
      </c>
      <c r="Q44" s="10">
        <f>IF(OR($H44&lt;&gt;"Y",8&lt;$I44),0,IF(SUMPRODUCT(((BULK_ENABLED="Y")*((BULK_TIER="ALL")+(BULK_TIER=$F44))*((BULK_SKU="ALL")+(BULK_SKU=$G44))*(BULK_START&lt;=8)*(BULK_END&gt;=8)))&gt;0,IFERROR(SUMPRODUCT(((BULK_ENABLED="Y")*((BULK_TIER="ALL")+(BULK_TIER=$F44))*((BULK_SKU="ALL")+(BULK_SKU=$G44))*(BULK_START&lt;=8)*(BULK_END&gt;=8))*IFERROR(BULK_VALUE,0))/MAX(1,SUMPRODUCT(((BULK_ENABLED="Y")*((BULK_TIER="ALL")+(BULK_TIER=$F44))*((BULK_SKU="ALL")+(BULK_SKU=$G44))*(BULK_START&lt;=8)*(BULK_END&gt;=8)))),0),ROUND((INDEX(VELOCITY_TABLE,MATCH($F44,TIER_LIST,0),1))*(IF((8-$I44+1)&lt;=0,0,IF((8-$I44+1)=1,RAMP_W1,IF((8-$I44+1)=2,RAMP_W2,IF((8-$I44+1)=3,RAMP_W3,RAMP_W4PLUS)))))*(INDEX(ACTIVE_MULT_TABLE,1,1))*(1+SUMPRODUCT(SIGN(((ACT_DOOR_SCOPE="ALL")+(ACT_DOOR_SCOPE="TIER_"&amp;$F44)+(ACT_DOOR_SCOPE=$B44)))*SIGN(((ACT_SKU_SCOPE="ALL")+(ACT_SKU_SCOPE=$G44)))*(ACT_START&lt;=8)*(ACT_END&gt;=8)*IFERROR(ACT_UPLIFT-1,0)))*(1+SUMPRODUCT(SIGN(((ACT_DOOR_SCOPE="ALL")+(ACT_DOOR_SCOPE="TIER_"&amp;$F44)+(ACT_DOOR_SCOPE=$B44)))*SIGN(((ACT_SKU_SCOPE="ALL")+(ACT_SKU_SCOPE=$G44)))*(8&gt;ACT_END)*(ACT_END&gt;0)*IFERROR(ACT_POSTLIFT,0))),0)))</f>
        <v/>
      </c>
      <c r="R44" s="10">
        <f>IF(OR($H44&lt;&gt;"Y",9&lt;$I44),0,IF(SUMPRODUCT(((BULK_ENABLED="Y")*((BULK_TIER="ALL")+(BULK_TIER=$F44))*((BULK_SKU="ALL")+(BULK_SKU=$G44))*(BULK_START&lt;=9)*(BULK_END&gt;=9)))&gt;0,IFERROR(SUMPRODUCT(((BULK_ENABLED="Y")*((BULK_TIER="ALL")+(BULK_TIER=$F44))*((BULK_SKU="ALL")+(BULK_SKU=$G44))*(BULK_START&lt;=9)*(BULK_END&gt;=9))*IFERROR(BULK_VALUE,0))/MAX(1,SUMPRODUCT(((BULK_ENABLED="Y")*((BULK_TIER="ALL")+(BULK_TIER=$F44))*((BULK_SKU="ALL")+(BULK_SKU=$G44))*(BULK_START&lt;=9)*(BULK_END&gt;=9)))),0),ROUND((INDEX(VELOCITY_TABLE,MATCH($F44,TIER_LIST,0),1))*(IF((9-$I44+1)&lt;=0,0,IF((9-$I44+1)=1,RAMP_W1,IF((9-$I44+1)=2,RAMP_W2,IF((9-$I44+1)=3,RAMP_W3,RAMP_W4PLUS)))))*(INDEX(ACTIVE_MULT_TABLE,1,1))*(1+SUMPRODUCT(SIGN(((ACT_DOOR_SCOPE="ALL")+(ACT_DOOR_SCOPE="TIER_"&amp;$F44)+(ACT_DOOR_SCOPE=$B44)))*SIGN(((ACT_SKU_SCOPE="ALL")+(ACT_SKU_SCOPE=$G44)))*(ACT_START&lt;=9)*(ACT_END&gt;=9)*IFERROR(ACT_UPLIFT-1,0)))*(1+SUMPRODUCT(SIGN(((ACT_DOOR_SCOPE="ALL")+(ACT_DOOR_SCOPE="TIER_"&amp;$F44)+(ACT_DOOR_SCOPE=$B44)))*SIGN(((ACT_SKU_SCOPE="ALL")+(ACT_SKU_SCOPE=$G44)))*(9&gt;ACT_END)*(ACT_END&gt;0)*IFERROR(ACT_POSTLIFT,0))),0)))</f>
        <v/>
      </c>
      <c r="S44" s="10">
        <f>IF(OR($H44&lt;&gt;"Y",10&lt;$I44),0,IF(SUMPRODUCT(((BULK_ENABLED="Y")*((BULK_TIER="ALL")+(BULK_TIER=$F44))*((BULK_SKU="ALL")+(BULK_SKU=$G44))*(BULK_START&lt;=10)*(BULK_END&gt;=10)))&gt;0,IFERROR(SUMPRODUCT(((BULK_ENABLED="Y")*((BULK_TIER="ALL")+(BULK_TIER=$F44))*((BULK_SKU="ALL")+(BULK_SKU=$G44))*(BULK_START&lt;=10)*(BULK_END&gt;=10))*IFERROR(BULK_VALUE,0))/MAX(1,SUMPRODUCT(((BULK_ENABLED="Y")*((BULK_TIER="ALL")+(BULK_TIER=$F44))*((BULK_SKU="ALL")+(BULK_SKU=$G44))*(BULK_START&lt;=10)*(BULK_END&gt;=10)))),0),ROUND((INDEX(VELOCITY_TABLE,MATCH($F44,TIER_LIST,0),1))*(IF((10-$I44+1)&lt;=0,0,IF((10-$I44+1)=1,RAMP_W1,IF((10-$I44+1)=2,RAMP_W2,IF((10-$I44+1)=3,RAMP_W3,RAMP_W4PLUS)))))*(INDEX(ACTIVE_MULT_TABLE,1,1))*(1+SUMPRODUCT(SIGN(((ACT_DOOR_SCOPE="ALL")+(ACT_DOOR_SCOPE="TIER_"&amp;$F44)+(ACT_DOOR_SCOPE=$B44)))*SIGN(((ACT_SKU_SCOPE="ALL")+(ACT_SKU_SCOPE=$G44)))*(ACT_START&lt;=10)*(ACT_END&gt;=10)*IFERROR(ACT_UPLIFT-1,0)))*(1+SUMPRODUCT(SIGN(((ACT_DOOR_SCOPE="ALL")+(ACT_DOOR_SCOPE="TIER_"&amp;$F44)+(ACT_DOOR_SCOPE=$B44)))*SIGN(((ACT_SKU_SCOPE="ALL")+(ACT_SKU_SCOPE=$G44)))*(10&gt;ACT_END)*(ACT_END&gt;0)*IFERROR(ACT_POSTLIFT,0))),0)))</f>
        <v/>
      </c>
      <c r="T44" s="10">
        <f>IF(OR($H44&lt;&gt;"Y",11&lt;$I44),0,IF(SUMPRODUCT(((BULK_ENABLED="Y")*((BULK_TIER="ALL")+(BULK_TIER=$F44))*((BULK_SKU="ALL")+(BULK_SKU=$G44))*(BULK_START&lt;=11)*(BULK_END&gt;=11)))&gt;0,IFERROR(SUMPRODUCT(((BULK_ENABLED="Y")*((BULK_TIER="ALL")+(BULK_TIER=$F44))*((BULK_SKU="ALL")+(BULK_SKU=$G44))*(BULK_START&lt;=11)*(BULK_END&gt;=11))*IFERROR(BULK_VALUE,0))/MAX(1,SUMPRODUCT(((BULK_ENABLED="Y")*((BULK_TIER="ALL")+(BULK_TIER=$F44))*((BULK_SKU="ALL")+(BULK_SKU=$G44))*(BULK_START&lt;=11)*(BULK_END&gt;=11)))),0),ROUND((INDEX(VELOCITY_TABLE,MATCH($F44,TIER_LIST,0),1))*(IF((11-$I44+1)&lt;=0,0,IF((11-$I44+1)=1,RAMP_W1,IF((11-$I44+1)=2,RAMP_W2,IF((11-$I44+1)=3,RAMP_W3,RAMP_W4PLUS)))))*(INDEX(ACTIVE_MULT_TABLE,1,1))*(1+SUMPRODUCT(SIGN(((ACT_DOOR_SCOPE="ALL")+(ACT_DOOR_SCOPE="TIER_"&amp;$F44)+(ACT_DOOR_SCOPE=$B44)))*SIGN(((ACT_SKU_SCOPE="ALL")+(ACT_SKU_SCOPE=$G44)))*(ACT_START&lt;=11)*(ACT_END&gt;=11)*IFERROR(ACT_UPLIFT-1,0)))*(1+SUMPRODUCT(SIGN(((ACT_DOOR_SCOPE="ALL")+(ACT_DOOR_SCOPE="TIER_"&amp;$F44)+(ACT_DOOR_SCOPE=$B44)))*SIGN(((ACT_SKU_SCOPE="ALL")+(ACT_SKU_SCOPE=$G44)))*(11&gt;ACT_END)*(ACT_END&gt;0)*IFERROR(ACT_POSTLIFT,0))),0)))</f>
        <v/>
      </c>
      <c r="U44" s="10">
        <f>IF(OR($H44&lt;&gt;"Y",12&lt;$I44),0,IF(SUMPRODUCT(((BULK_ENABLED="Y")*((BULK_TIER="ALL")+(BULK_TIER=$F44))*((BULK_SKU="ALL")+(BULK_SKU=$G44))*(BULK_START&lt;=12)*(BULK_END&gt;=12)))&gt;0,IFERROR(SUMPRODUCT(((BULK_ENABLED="Y")*((BULK_TIER="ALL")+(BULK_TIER=$F44))*((BULK_SKU="ALL")+(BULK_SKU=$G44))*(BULK_START&lt;=12)*(BULK_END&gt;=12))*IFERROR(BULK_VALUE,0))/MAX(1,SUMPRODUCT(((BULK_ENABLED="Y")*((BULK_TIER="ALL")+(BULK_TIER=$F44))*((BULK_SKU="ALL")+(BULK_SKU=$G44))*(BULK_START&lt;=12)*(BULK_END&gt;=12)))),0),ROUND((INDEX(VELOCITY_TABLE,MATCH($F44,TIER_LIST,0),1))*(IF((12-$I44+1)&lt;=0,0,IF((12-$I44+1)=1,RAMP_W1,IF((12-$I44+1)=2,RAMP_W2,IF((12-$I44+1)=3,RAMP_W3,RAMP_W4PLUS)))))*(INDEX(ACTIVE_MULT_TABLE,1,1))*(1+SUMPRODUCT(SIGN(((ACT_DOOR_SCOPE="ALL")+(ACT_DOOR_SCOPE="TIER_"&amp;$F44)+(ACT_DOOR_SCOPE=$B44)))*SIGN(((ACT_SKU_SCOPE="ALL")+(ACT_SKU_SCOPE=$G44)))*(ACT_START&lt;=12)*(ACT_END&gt;=12)*IFERROR(ACT_UPLIFT-1,0)))*(1+SUMPRODUCT(SIGN(((ACT_DOOR_SCOPE="ALL")+(ACT_DOOR_SCOPE="TIER_"&amp;$F44)+(ACT_DOOR_SCOPE=$B44)))*SIGN(((ACT_SKU_SCOPE="ALL")+(ACT_SKU_SCOPE=$G44)))*(12&gt;ACT_END)*(ACT_END&gt;0)*IFERROR(ACT_POSTLIFT,0))),0)))</f>
        <v/>
      </c>
      <c r="V44" s="10">
        <f>IF(OR($H44&lt;&gt;"Y",13&lt;$I44),0,IF(SUMPRODUCT(((BULK_ENABLED="Y")*((BULK_TIER="ALL")+(BULK_TIER=$F44))*((BULK_SKU="ALL")+(BULK_SKU=$G44))*(BULK_START&lt;=13)*(BULK_END&gt;=13)))&gt;0,IFERROR(SUMPRODUCT(((BULK_ENABLED="Y")*((BULK_TIER="ALL")+(BULK_TIER=$F44))*((BULK_SKU="ALL")+(BULK_SKU=$G44))*(BULK_START&lt;=13)*(BULK_END&gt;=13))*IFERROR(BULK_VALUE,0))/MAX(1,SUMPRODUCT(((BULK_ENABLED="Y")*((BULK_TIER="ALL")+(BULK_TIER=$F44))*((BULK_SKU="ALL")+(BULK_SKU=$G44))*(BULK_START&lt;=13)*(BULK_END&gt;=13)))),0),ROUND((INDEX(VELOCITY_TABLE,MATCH($F44,TIER_LIST,0),1))*(IF((13-$I44+1)&lt;=0,0,IF((13-$I44+1)=1,RAMP_W1,IF((13-$I44+1)=2,RAMP_W2,IF((13-$I44+1)=3,RAMP_W3,RAMP_W4PLUS)))))*(INDEX(ACTIVE_MULT_TABLE,1,1))*(1+SUMPRODUCT(SIGN(((ACT_DOOR_SCOPE="ALL")+(ACT_DOOR_SCOPE="TIER_"&amp;$F44)+(ACT_DOOR_SCOPE=$B44)))*SIGN(((ACT_SKU_SCOPE="ALL")+(ACT_SKU_SCOPE=$G44)))*(ACT_START&lt;=13)*(ACT_END&gt;=13)*IFERROR(ACT_UPLIFT-1,0)))*(1+SUMPRODUCT(SIGN(((ACT_DOOR_SCOPE="ALL")+(ACT_DOOR_SCOPE="TIER_"&amp;$F44)+(ACT_DOOR_SCOPE=$B44)))*SIGN(((ACT_SKU_SCOPE="ALL")+(ACT_SKU_SCOPE=$G44)))*(13&gt;ACT_END)*(ACT_END&gt;0)*IFERROR(ACT_POSTLIFT,0))),0)))</f>
        <v/>
      </c>
    </row>
    <row r="45">
      <c r="A45" t="inlineStr">
        <is>
          <t>R0041</t>
        </is>
      </c>
      <c r="B45">
        <f>Doors!$A$18</f>
        <v/>
      </c>
      <c r="C45">
        <f>Doors!$C$18</f>
        <v/>
      </c>
      <c r="D45">
        <f>Doors!$B$18</f>
        <v/>
      </c>
      <c r="E45">
        <f>Doors!$E$18</f>
        <v/>
      </c>
      <c r="F45">
        <f>Doors!$F$18</f>
        <v/>
      </c>
      <c r="G45" t="inlineStr">
        <is>
          <t>Pineapple Passion Fruit</t>
        </is>
      </c>
      <c r="H45">
        <f>Doors!$H$18</f>
        <v/>
      </c>
      <c r="I45">
        <f>Doors!$J$18</f>
        <v/>
      </c>
      <c r="J45" s="10">
        <f>IF(OR($H45&lt;&gt;"Y",1&lt;$I45),0,IF(SUMPRODUCT(((BULK_ENABLED="Y")*((BULK_TIER="ALL")+(BULK_TIER=$F45))*((BULK_SKU="ALL")+(BULK_SKU=$G45))*(BULK_START&lt;=1)*(BULK_END&gt;=1)))&gt;0,IFERROR(SUMPRODUCT(((BULK_ENABLED="Y")*((BULK_TIER="ALL")+(BULK_TIER=$F45))*((BULK_SKU="ALL")+(BULK_SKU=$G45))*(BULK_START&lt;=1)*(BULK_END&gt;=1))*IFERROR(BULK_VALUE,0))/MAX(1,SUMPRODUCT(((BULK_ENABLED="Y")*((BULK_TIER="ALL")+(BULK_TIER=$F45))*((BULK_SKU="ALL")+(BULK_SKU=$G45))*(BULK_START&lt;=1)*(BULK_END&gt;=1)))),0),ROUND((INDEX(VELOCITY_TABLE,MATCH($F45,TIER_LIST,0),2))*(IF((1-$I45+1)&lt;=0,0,IF((1-$I45+1)=1,RAMP_W1,IF((1-$I45+1)=2,RAMP_W2,IF((1-$I45+1)=3,RAMP_W3,RAMP_W4PLUS)))))*(INDEX(ACTIVE_MULT_TABLE,2,1))*(1+SUMPRODUCT(SIGN(((ACT_DOOR_SCOPE="ALL")+(ACT_DOOR_SCOPE="TIER_"&amp;$F45)+(ACT_DOOR_SCOPE=$B45)))*SIGN(((ACT_SKU_SCOPE="ALL")+(ACT_SKU_SCOPE=$G45)))*(ACT_START&lt;=1)*(ACT_END&gt;=1)*IFERROR(ACT_UPLIFT-1,0)))*(1+SUMPRODUCT(SIGN(((ACT_DOOR_SCOPE="ALL")+(ACT_DOOR_SCOPE="TIER_"&amp;$F45)+(ACT_DOOR_SCOPE=$B45)))*SIGN(((ACT_SKU_SCOPE="ALL")+(ACT_SKU_SCOPE=$G45)))*(1&gt;ACT_END)*(ACT_END&gt;0)*IFERROR(ACT_POSTLIFT,0))),0)))</f>
        <v/>
      </c>
      <c r="K45" s="10">
        <f>IF(OR($H45&lt;&gt;"Y",2&lt;$I45),0,IF(SUMPRODUCT(((BULK_ENABLED="Y")*((BULK_TIER="ALL")+(BULK_TIER=$F45))*((BULK_SKU="ALL")+(BULK_SKU=$G45))*(BULK_START&lt;=2)*(BULK_END&gt;=2)))&gt;0,IFERROR(SUMPRODUCT(((BULK_ENABLED="Y")*((BULK_TIER="ALL")+(BULK_TIER=$F45))*((BULK_SKU="ALL")+(BULK_SKU=$G45))*(BULK_START&lt;=2)*(BULK_END&gt;=2))*IFERROR(BULK_VALUE,0))/MAX(1,SUMPRODUCT(((BULK_ENABLED="Y")*((BULK_TIER="ALL")+(BULK_TIER=$F45))*((BULK_SKU="ALL")+(BULK_SKU=$G45))*(BULK_START&lt;=2)*(BULK_END&gt;=2)))),0),ROUND((INDEX(VELOCITY_TABLE,MATCH($F45,TIER_LIST,0),2))*(IF((2-$I45+1)&lt;=0,0,IF((2-$I45+1)=1,RAMP_W1,IF((2-$I45+1)=2,RAMP_W2,IF((2-$I45+1)=3,RAMP_W3,RAMP_W4PLUS)))))*(INDEX(ACTIVE_MULT_TABLE,2,1))*(1+SUMPRODUCT(SIGN(((ACT_DOOR_SCOPE="ALL")+(ACT_DOOR_SCOPE="TIER_"&amp;$F45)+(ACT_DOOR_SCOPE=$B45)))*SIGN(((ACT_SKU_SCOPE="ALL")+(ACT_SKU_SCOPE=$G45)))*(ACT_START&lt;=2)*(ACT_END&gt;=2)*IFERROR(ACT_UPLIFT-1,0)))*(1+SUMPRODUCT(SIGN(((ACT_DOOR_SCOPE="ALL")+(ACT_DOOR_SCOPE="TIER_"&amp;$F45)+(ACT_DOOR_SCOPE=$B45)))*SIGN(((ACT_SKU_SCOPE="ALL")+(ACT_SKU_SCOPE=$G45)))*(2&gt;ACT_END)*(ACT_END&gt;0)*IFERROR(ACT_POSTLIFT,0))),0)))</f>
        <v/>
      </c>
      <c r="L45" s="10">
        <f>IF(OR($H45&lt;&gt;"Y",3&lt;$I45),0,IF(SUMPRODUCT(((BULK_ENABLED="Y")*((BULK_TIER="ALL")+(BULK_TIER=$F45))*((BULK_SKU="ALL")+(BULK_SKU=$G45))*(BULK_START&lt;=3)*(BULK_END&gt;=3)))&gt;0,IFERROR(SUMPRODUCT(((BULK_ENABLED="Y")*((BULK_TIER="ALL")+(BULK_TIER=$F45))*((BULK_SKU="ALL")+(BULK_SKU=$G45))*(BULK_START&lt;=3)*(BULK_END&gt;=3))*IFERROR(BULK_VALUE,0))/MAX(1,SUMPRODUCT(((BULK_ENABLED="Y")*((BULK_TIER="ALL")+(BULK_TIER=$F45))*((BULK_SKU="ALL")+(BULK_SKU=$G45))*(BULK_START&lt;=3)*(BULK_END&gt;=3)))),0),ROUND((INDEX(VELOCITY_TABLE,MATCH($F45,TIER_LIST,0),2))*(IF((3-$I45+1)&lt;=0,0,IF((3-$I45+1)=1,RAMP_W1,IF((3-$I45+1)=2,RAMP_W2,IF((3-$I45+1)=3,RAMP_W3,RAMP_W4PLUS)))))*(INDEX(ACTIVE_MULT_TABLE,2,1))*(1+SUMPRODUCT(SIGN(((ACT_DOOR_SCOPE="ALL")+(ACT_DOOR_SCOPE="TIER_"&amp;$F45)+(ACT_DOOR_SCOPE=$B45)))*SIGN(((ACT_SKU_SCOPE="ALL")+(ACT_SKU_SCOPE=$G45)))*(ACT_START&lt;=3)*(ACT_END&gt;=3)*IFERROR(ACT_UPLIFT-1,0)))*(1+SUMPRODUCT(SIGN(((ACT_DOOR_SCOPE="ALL")+(ACT_DOOR_SCOPE="TIER_"&amp;$F45)+(ACT_DOOR_SCOPE=$B45)))*SIGN(((ACT_SKU_SCOPE="ALL")+(ACT_SKU_SCOPE=$G45)))*(3&gt;ACT_END)*(ACT_END&gt;0)*IFERROR(ACT_POSTLIFT,0))),0)))</f>
        <v/>
      </c>
      <c r="M45" s="10">
        <f>IF(OR($H45&lt;&gt;"Y",4&lt;$I45),0,IF(SUMPRODUCT(((BULK_ENABLED="Y")*((BULK_TIER="ALL")+(BULK_TIER=$F45))*((BULK_SKU="ALL")+(BULK_SKU=$G45))*(BULK_START&lt;=4)*(BULK_END&gt;=4)))&gt;0,IFERROR(SUMPRODUCT(((BULK_ENABLED="Y")*((BULK_TIER="ALL")+(BULK_TIER=$F45))*((BULK_SKU="ALL")+(BULK_SKU=$G45))*(BULK_START&lt;=4)*(BULK_END&gt;=4))*IFERROR(BULK_VALUE,0))/MAX(1,SUMPRODUCT(((BULK_ENABLED="Y")*((BULK_TIER="ALL")+(BULK_TIER=$F45))*((BULK_SKU="ALL")+(BULK_SKU=$G45))*(BULK_START&lt;=4)*(BULK_END&gt;=4)))),0),ROUND((INDEX(VELOCITY_TABLE,MATCH($F45,TIER_LIST,0),2))*(IF((4-$I45+1)&lt;=0,0,IF((4-$I45+1)=1,RAMP_W1,IF((4-$I45+1)=2,RAMP_W2,IF((4-$I45+1)=3,RAMP_W3,RAMP_W4PLUS)))))*(INDEX(ACTIVE_MULT_TABLE,2,1))*(1+SUMPRODUCT(SIGN(((ACT_DOOR_SCOPE="ALL")+(ACT_DOOR_SCOPE="TIER_"&amp;$F45)+(ACT_DOOR_SCOPE=$B45)))*SIGN(((ACT_SKU_SCOPE="ALL")+(ACT_SKU_SCOPE=$G45)))*(ACT_START&lt;=4)*(ACT_END&gt;=4)*IFERROR(ACT_UPLIFT-1,0)))*(1+SUMPRODUCT(SIGN(((ACT_DOOR_SCOPE="ALL")+(ACT_DOOR_SCOPE="TIER_"&amp;$F45)+(ACT_DOOR_SCOPE=$B45)))*SIGN(((ACT_SKU_SCOPE="ALL")+(ACT_SKU_SCOPE=$G45)))*(4&gt;ACT_END)*(ACT_END&gt;0)*IFERROR(ACT_POSTLIFT,0))),0)))</f>
        <v/>
      </c>
      <c r="N45" s="10">
        <f>IF(OR($H45&lt;&gt;"Y",5&lt;$I45),0,IF(SUMPRODUCT(((BULK_ENABLED="Y")*((BULK_TIER="ALL")+(BULK_TIER=$F45))*((BULK_SKU="ALL")+(BULK_SKU=$G45))*(BULK_START&lt;=5)*(BULK_END&gt;=5)))&gt;0,IFERROR(SUMPRODUCT(((BULK_ENABLED="Y")*((BULK_TIER="ALL")+(BULK_TIER=$F45))*((BULK_SKU="ALL")+(BULK_SKU=$G45))*(BULK_START&lt;=5)*(BULK_END&gt;=5))*IFERROR(BULK_VALUE,0))/MAX(1,SUMPRODUCT(((BULK_ENABLED="Y")*((BULK_TIER="ALL")+(BULK_TIER=$F45))*((BULK_SKU="ALL")+(BULK_SKU=$G45))*(BULK_START&lt;=5)*(BULK_END&gt;=5)))),0),ROUND((INDEX(VELOCITY_TABLE,MATCH($F45,TIER_LIST,0),2))*(IF((5-$I45+1)&lt;=0,0,IF((5-$I45+1)=1,RAMP_W1,IF((5-$I45+1)=2,RAMP_W2,IF((5-$I45+1)=3,RAMP_W3,RAMP_W4PLUS)))))*(INDEX(ACTIVE_MULT_TABLE,2,1))*(1+SUMPRODUCT(SIGN(((ACT_DOOR_SCOPE="ALL")+(ACT_DOOR_SCOPE="TIER_"&amp;$F45)+(ACT_DOOR_SCOPE=$B45)))*SIGN(((ACT_SKU_SCOPE="ALL")+(ACT_SKU_SCOPE=$G45)))*(ACT_START&lt;=5)*(ACT_END&gt;=5)*IFERROR(ACT_UPLIFT-1,0)))*(1+SUMPRODUCT(SIGN(((ACT_DOOR_SCOPE="ALL")+(ACT_DOOR_SCOPE="TIER_"&amp;$F45)+(ACT_DOOR_SCOPE=$B45)))*SIGN(((ACT_SKU_SCOPE="ALL")+(ACT_SKU_SCOPE=$G45)))*(5&gt;ACT_END)*(ACT_END&gt;0)*IFERROR(ACT_POSTLIFT,0))),0)))</f>
        <v/>
      </c>
      <c r="O45" s="10">
        <f>IF(OR($H45&lt;&gt;"Y",6&lt;$I45),0,IF(SUMPRODUCT(((BULK_ENABLED="Y")*((BULK_TIER="ALL")+(BULK_TIER=$F45))*((BULK_SKU="ALL")+(BULK_SKU=$G45))*(BULK_START&lt;=6)*(BULK_END&gt;=6)))&gt;0,IFERROR(SUMPRODUCT(((BULK_ENABLED="Y")*((BULK_TIER="ALL")+(BULK_TIER=$F45))*((BULK_SKU="ALL")+(BULK_SKU=$G45))*(BULK_START&lt;=6)*(BULK_END&gt;=6))*IFERROR(BULK_VALUE,0))/MAX(1,SUMPRODUCT(((BULK_ENABLED="Y")*((BULK_TIER="ALL")+(BULK_TIER=$F45))*((BULK_SKU="ALL")+(BULK_SKU=$G45))*(BULK_START&lt;=6)*(BULK_END&gt;=6)))),0),ROUND((INDEX(VELOCITY_TABLE,MATCH($F45,TIER_LIST,0),2))*(IF((6-$I45+1)&lt;=0,0,IF((6-$I45+1)=1,RAMP_W1,IF((6-$I45+1)=2,RAMP_W2,IF((6-$I45+1)=3,RAMP_W3,RAMP_W4PLUS)))))*(INDEX(ACTIVE_MULT_TABLE,2,1))*(1+SUMPRODUCT(SIGN(((ACT_DOOR_SCOPE="ALL")+(ACT_DOOR_SCOPE="TIER_"&amp;$F45)+(ACT_DOOR_SCOPE=$B45)))*SIGN(((ACT_SKU_SCOPE="ALL")+(ACT_SKU_SCOPE=$G45)))*(ACT_START&lt;=6)*(ACT_END&gt;=6)*IFERROR(ACT_UPLIFT-1,0)))*(1+SUMPRODUCT(SIGN(((ACT_DOOR_SCOPE="ALL")+(ACT_DOOR_SCOPE="TIER_"&amp;$F45)+(ACT_DOOR_SCOPE=$B45)))*SIGN(((ACT_SKU_SCOPE="ALL")+(ACT_SKU_SCOPE=$G45)))*(6&gt;ACT_END)*(ACT_END&gt;0)*IFERROR(ACT_POSTLIFT,0))),0)))</f>
        <v/>
      </c>
      <c r="P45" s="10">
        <f>IF(OR($H45&lt;&gt;"Y",7&lt;$I45),0,IF(SUMPRODUCT(((BULK_ENABLED="Y")*((BULK_TIER="ALL")+(BULK_TIER=$F45))*((BULK_SKU="ALL")+(BULK_SKU=$G45))*(BULK_START&lt;=7)*(BULK_END&gt;=7)))&gt;0,IFERROR(SUMPRODUCT(((BULK_ENABLED="Y")*((BULK_TIER="ALL")+(BULK_TIER=$F45))*((BULK_SKU="ALL")+(BULK_SKU=$G45))*(BULK_START&lt;=7)*(BULK_END&gt;=7))*IFERROR(BULK_VALUE,0))/MAX(1,SUMPRODUCT(((BULK_ENABLED="Y")*((BULK_TIER="ALL")+(BULK_TIER=$F45))*((BULK_SKU="ALL")+(BULK_SKU=$G45))*(BULK_START&lt;=7)*(BULK_END&gt;=7)))),0),ROUND((INDEX(VELOCITY_TABLE,MATCH($F45,TIER_LIST,0),2))*(IF((7-$I45+1)&lt;=0,0,IF((7-$I45+1)=1,RAMP_W1,IF((7-$I45+1)=2,RAMP_W2,IF((7-$I45+1)=3,RAMP_W3,RAMP_W4PLUS)))))*(INDEX(ACTIVE_MULT_TABLE,2,1))*(1+SUMPRODUCT(SIGN(((ACT_DOOR_SCOPE="ALL")+(ACT_DOOR_SCOPE="TIER_"&amp;$F45)+(ACT_DOOR_SCOPE=$B45)))*SIGN(((ACT_SKU_SCOPE="ALL")+(ACT_SKU_SCOPE=$G45)))*(ACT_START&lt;=7)*(ACT_END&gt;=7)*IFERROR(ACT_UPLIFT-1,0)))*(1+SUMPRODUCT(SIGN(((ACT_DOOR_SCOPE="ALL")+(ACT_DOOR_SCOPE="TIER_"&amp;$F45)+(ACT_DOOR_SCOPE=$B45)))*SIGN(((ACT_SKU_SCOPE="ALL")+(ACT_SKU_SCOPE=$G45)))*(7&gt;ACT_END)*(ACT_END&gt;0)*IFERROR(ACT_POSTLIFT,0))),0)))</f>
        <v/>
      </c>
      <c r="Q45" s="10">
        <f>IF(OR($H45&lt;&gt;"Y",8&lt;$I45),0,IF(SUMPRODUCT(((BULK_ENABLED="Y")*((BULK_TIER="ALL")+(BULK_TIER=$F45))*((BULK_SKU="ALL")+(BULK_SKU=$G45))*(BULK_START&lt;=8)*(BULK_END&gt;=8)))&gt;0,IFERROR(SUMPRODUCT(((BULK_ENABLED="Y")*((BULK_TIER="ALL")+(BULK_TIER=$F45))*((BULK_SKU="ALL")+(BULK_SKU=$G45))*(BULK_START&lt;=8)*(BULK_END&gt;=8))*IFERROR(BULK_VALUE,0))/MAX(1,SUMPRODUCT(((BULK_ENABLED="Y")*((BULK_TIER="ALL")+(BULK_TIER=$F45))*((BULK_SKU="ALL")+(BULK_SKU=$G45))*(BULK_START&lt;=8)*(BULK_END&gt;=8)))),0),ROUND((INDEX(VELOCITY_TABLE,MATCH($F45,TIER_LIST,0),2))*(IF((8-$I45+1)&lt;=0,0,IF((8-$I45+1)=1,RAMP_W1,IF((8-$I45+1)=2,RAMP_W2,IF((8-$I45+1)=3,RAMP_W3,RAMP_W4PLUS)))))*(INDEX(ACTIVE_MULT_TABLE,2,1))*(1+SUMPRODUCT(SIGN(((ACT_DOOR_SCOPE="ALL")+(ACT_DOOR_SCOPE="TIER_"&amp;$F45)+(ACT_DOOR_SCOPE=$B45)))*SIGN(((ACT_SKU_SCOPE="ALL")+(ACT_SKU_SCOPE=$G45)))*(ACT_START&lt;=8)*(ACT_END&gt;=8)*IFERROR(ACT_UPLIFT-1,0)))*(1+SUMPRODUCT(SIGN(((ACT_DOOR_SCOPE="ALL")+(ACT_DOOR_SCOPE="TIER_"&amp;$F45)+(ACT_DOOR_SCOPE=$B45)))*SIGN(((ACT_SKU_SCOPE="ALL")+(ACT_SKU_SCOPE=$G45)))*(8&gt;ACT_END)*(ACT_END&gt;0)*IFERROR(ACT_POSTLIFT,0))),0)))</f>
        <v/>
      </c>
      <c r="R45" s="10">
        <f>IF(OR($H45&lt;&gt;"Y",9&lt;$I45),0,IF(SUMPRODUCT(((BULK_ENABLED="Y")*((BULK_TIER="ALL")+(BULK_TIER=$F45))*((BULK_SKU="ALL")+(BULK_SKU=$G45))*(BULK_START&lt;=9)*(BULK_END&gt;=9)))&gt;0,IFERROR(SUMPRODUCT(((BULK_ENABLED="Y")*((BULK_TIER="ALL")+(BULK_TIER=$F45))*((BULK_SKU="ALL")+(BULK_SKU=$G45))*(BULK_START&lt;=9)*(BULK_END&gt;=9))*IFERROR(BULK_VALUE,0))/MAX(1,SUMPRODUCT(((BULK_ENABLED="Y")*((BULK_TIER="ALL")+(BULK_TIER=$F45))*((BULK_SKU="ALL")+(BULK_SKU=$G45))*(BULK_START&lt;=9)*(BULK_END&gt;=9)))),0),ROUND((INDEX(VELOCITY_TABLE,MATCH($F45,TIER_LIST,0),2))*(IF((9-$I45+1)&lt;=0,0,IF((9-$I45+1)=1,RAMP_W1,IF((9-$I45+1)=2,RAMP_W2,IF((9-$I45+1)=3,RAMP_W3,RAMP_W4PLUS)))))*(INDEX(ACTIVE_MULT_TABLE,2,1))*(1+SUMPRODUCT(SIGN(((ACT_DOOR_SCOPE="ALL")+(ACT_DOOR_SCOPE="TIER_"&amp;$F45)+(ACT_DOOR_SCOPE=$B45)))*SIGN(((ACT_SKU_SCOPE="ALL")+(ACT_SKU_SCOPE=$G45)))*(ACT_START&lt;=9)*(ACT_END&gt;=9)*IFERROR(ACT_UPLIFT-1,0)))*(1+SUMPRODUCT(SIGN(((ACT_DOOR_SCOPE="ALL")+(ACT_DOOR_SCOPE="TIER_"&amp;$F45)+(ACT_DOOR_SCOPE=$B45)))*SIGN(((ACT_SKU_SCOPE="ALL")+(ACT_SKU_SCOPE=$G45)))*(9&gt;ACT_END)*(ACT_END&gt;0)*IFERROR(ACT_POSTLIFT,0))),0)))</f>
        <v/>
      </c>
      <c r="S45" s="10">
        <f>IF(OR($H45&lt;&gt;"Y",10&lt;$I45),0,IF(SUMPRODUCT(((BULK_ENABLED="Y")*((BULK_TIER="ALL")+(BULK_TIER=$F45))*((BULK_SKU="ALL")+(BULK_SKU=$G45))*(BULK_START&lt;=10)*(BULK_END&gt;=10)))&gt;0,IFERROR(SUMPRODUCT(((BULK_ENABLED="Y")*((BULK_TIER="ALL")+(BULK_TIER=$F45))*((BULK_SKU="ALL")+(BULK_SKU=$G45))*(BULK_START&lt;=10)*(BULK_END&gt;=10))*IFERROR(BULK_VALUE,0))/MAX(1,SUMPRODUCT(((BULK_ENABLED="Y")*((BULK_TIER="ALL")+(BULK_TIER=$F45))*((BULK_SKU="ALL")+(BULK_SKU=$G45))*(BULK_START&lt;=10)*(BULK_END&gt;=10)))),0),ROUND((INDEX(VELOCITY_TABLE,MATCH($F45,TIER_LIST,0),2))*(IF((10-$I45+1)&lt;=0,0,IF((10-$I45+1)=1,RAMP_W1,IF((10-$I45+1)=2,RAMP_W2,IF((10-$I45+1)=3,RAMP_W3,RAMP_W4PLUS)))))*(INDEX(ACTIVE_MULT_TABLE,2,1))*(1+SUMPRODUCT(SIGN(((ACT_DOOR_SCOPE="ALL")+(ACT_DOOR_SCOPE="TIER_"&amp;$F45)+(ACT_DOOR_SCOPE=$B45)))*SIGN(((ACT_SKU_SCOPE="ALL")+(ACT_SKU_SCOPE=$G45)))*(ACT_START&lt;=10)*(ACT_END&gt;=10)*IFERROR(ACT_UPLIFT-1,0)))*(1+SUMPRODUCT(SIGN(((ACT_DOOR_SCOPE="ALL")+(ACT_DOOR_SCOPE="TIER_"&amp;$F45)+(ACT_DOOR_SCOPE=$B45)))*SIGN(((ACT_SKU_SCOPE="ALL")+(ACT_SKU_SCOPE=$G45)))*(10&gt;ACT_END)*(ACT_END&gt;0)*IFERROR(ACT_POSTLIFT,0))),0)))</f>
        <v/>
      </c>
      <c r="T45" s="10">
        <f>IF(OR($H45&lt;&gt;"Y",11&lt;$I45),0,IF(SUMPRODUCT(((BULK_ENABLED="Y")*((BULK_TIER="ALL")+(BULK_TIER=$F45))*((BULK_SKU="ALL")+(BULK_SKU=$G45))*(BULK_START&lt;=11)*(BULK_END&gt;=11)))&gt;0,IFERROR(SUMPRODUCT(((BULK_ENABLED="Y")*((BULK_TIER="ALL")+(BULK_TIER=$F45))*((BULK_SKU="ALL")+(BULK_SKU=$G45))*(BULK_START&lt;=11)*(BULK_END&gt;=11))*IFERROR(BULK_VALUE,0))/MAX(1,SUMPRODUCT(((BULK_ENABLED="Y")*((BULK_TIER="ALL")+(BULK_TIER=$F45))*((BULK_SKU="ALL")+(BULK_SKU=$G45))*(BULK_START&lt;=11)*(BULK_END&gt;=11)))),0),ROUND((INDEX(VELOCITY_TABLE,MATCH($F45,TIER_LIST,0),2))*(IF((11-$I45+1)&lt;=0,0,IF((11-$I45+1)=1,RAMP_W1,IF((11-$I45+1)=2,RAMP_W2,IF((11-$I45+1)=3,RAMP_W3,RAMP_W4PLUS)))))*(INDEX(ACTIVE_MULT_TABLE,2,1))*(1+SUMPRODUCT(SIGN(((ACT_DOOR_SCOPE="ALL")+(ACT_DOOR_SCOPE="TIER_"&amp;$F45)+(ACT_DOOR_SCOPE=$B45)))*SIGN(((ACT_SKU_SCOPE="ALL")+(ACT_SKU_SCOPE=$G45)))*(ACT_START&lt;=11)*(ACT_END&gt;=11)*IFERROR(ACT_UPLIFT-1,0)))*(1+SUMPRODUCT(SIGN(((ACT_DOOR_SCOPE="ALL")+(ACT_DOOR_SCOPE="TIER_"&amp;$F45)+(ACT_DOOR_SCOPE=$B45)))*SIGN(((ACT_SKU_SCOPE="ALL")+(ACT_SKU_SCOPE=$G45)))*(11&gt;ACT_END)*(ACT_END&gt;0)*IFERROR(ACT_POSTLIFT,0))),0)))</f>
        <v/>
      </c>
      <c r="U45" s="10">
        <f>IF(OR($H45&lt;&gt;"Y",12&lt;$I45),0,IF(SUMPRODUCT(((BULK_ENABLED="Y")*((BULK_TIER="ALL")+(BULK_TIER=$F45))*((BULK_SKU="ALL")+(BULK_SKU=$G45))*(BULK_START&lt;=12)*(BULK_END&gt;=12)))&gt;0,IFERROR(SUMPRODUCT(((BULK_ENABLED="Y")*((BULK_TIER="ALL")+(BULK_TIER=$F45))*((BULK_SKU="ALL")+(BULK_SKU=$G45))*(BULK_START&lt;=12)*(BULK_END&gt;=12))*IFERROR(BULK_VALUE,0))/MAX(1,SUMPRODUCT(((BULK_ENABLED="Y")*((BULK_TIER="ALL")+(BULK_TIER=$F45))*((BULK_SKU="ALL")+(BULK_SKU=$G45))*(BULK_START&lt;=12)*(BULK_END&gt;=12)))),0),ROUND((INDEX(VELOCITY_TABLE,MATCH($F45,TIER_LIST,0),2))*(IF((12-$I45+1)&lt;=0,0,IF((12-$I45+1)=1,RAMP_W1,IF((12-$I45+1)=2,RAMP_W2,IF((12-$I45+1)=3,RAMP_W3,RAMP_W4PLUS)))))*(INDEX(ACTIVE_MULT_TABLE,2,1))*(1+SUMPRODUCT(SIGN(((ACT_DOOR_SCOPE="ALL")+(ACT_DOOR_SCOPE="TIER_"&amp;$F45)+(ACT_DOOR_SCOPE=$B45)))*SIGN(((ACT_SKU_SCOPE="ALL")+(ACT_SKU_SCOPE=$G45)))*(ACT_START&lt;=12)*(ACT_END&gt;=12)*IFERROR(ACT_UPLIFT-1,0)))*(1+SUMPRODUCT(SIGN(((ACT_DOOR_SCOPE="ALL")+(ACT_DOOR_SCOPE="TIER_"&amp;$F45)+(ACT_DOOR_SCOPE=$B45)))*SIGN(((ACT_SKU_SCOPE="ALL")+(ACT_SKU_SCOPE=$G45)))*(12&gt;ACT_END)*(ACT_END&gt;0)*IFERROR(ACT_POSTLIFT,0))),0)))</f>
        <v/>
      </c>
      <c r="V45" s="10">
        <f>IF(OR($H45&lt;&gt;"Y",13&lt;$I45),0,IF(SUMPRODUCT(((BULK_ENABLED="Y")*((BULK_TIER="ALL")+(BULK_TIER=$F45))*((BULK_SKU="ALL")+(BULK_SKU=$G45))*(BULK_START&lt;=13)*(BULK_END&gt;=13)))&gt;0,IFERROR(SUMPRODUCT(((BULK_ENABLED="Y")*((BULK_TIER="ALL")+(BULK_TIER=$F45))*((BULK_SKU="ALL")+(BULK_SKU=$G45))*(BULK_START&lt;=13)*(BULK_END&gt;=13))*IFERROR(BULK_VALUE,0))/MAX(1,SUMPRODUCT(((BULK_ENABLED="Y")*((BULK_TIER="ALL")+(BULK_TIER=$F45))*((BULK_SKU="ALL")+(BULK_SKU=$G45))*(BULK_START&lt;=13)*(BULK_END&gt;=13)))),0),ROUND((INDEX(VELOCITY_TABLE,MATCH($F45,TIER_LIST,0),2))*(IF((13-$I45+1)&lt;=0,0,IF((13-$I45+1)=1,RAMP_W1,IF((13-$I45+1)=2,RAMP_W2,IF((13-$I45+1)=3,RAMP_W3,RAMP_W4PLUS)))))*(INDEX(ACTIVE_MULT_TABLE,2,1))*(1+SUMPRODUCT(SIGN(((ACT_DOOR_SCOPE="ALL")+(ACT_DOOR_SCOPE="TIER_"&amp;$F45)+(ACT_DOOR_SCOPE=$B45)))*SIGN(((ACT_SKU_SCOPE="ALL")+(ACT_SKU_SCOPE=$G45)))*(ACT_START&lt;=13)*(ACT_END&gt;=13)*IFERROR(ACT_UPLIFT-1,0)))*(1+SUMPRODUCT(SIGN(((ACT_DOOR_SCOPE="ALL")+(ACT_DOOR_SCOPE="TIER_"&amp;$F45)+(ACT_DOOR_SCOPE=$B45)))*SIGN(((ACT_SKU_SCOPE="ALL")+(ACT_SKU_SCOPE=$G45)))*(13&gt;ACT_END)*(ACT_END&gt;0)*IFERROR(ACT_POSTLIFT,0))),0)))</f>
        <v/>
      </c>
    </row>
    <row r="46">
      <c r="A46" t="inlineStr">
        <is>
          <t>R0042</t>
        </is>
      </c>
      <c r="B46">
        <f>Doors!$A$18</f>
        <v/>
      </c>
      <c r="C46">
        <f>Doors!$C$18</f>
        <v/>
      </c>
      <c r="D46">
        <f>Doors!$B$18</f>
        <v/>
      </c>
      <c r="E46">
        <f>Doors!$E$18</f>
        <v/>
      </c>
      <c r="F46">
        <f>Doors!$F$18</f>
        <v/>
      </c>
      <c r="G46" t="inlineStr">
        <is>
          <t>Raspberry</t>
        </is>
      </c>
      <c r="H46">
        <f>Doors!$I$18</f>
        <v/>
      </c>
      <c r="I46">
        <f>Doors!$J$18</f>
        <v/>
      </c>
      <c r="J46" s="10">
        <f>IF(OR($H46&lt;&gt;"Y",1&lt;$I46),0,IF(SUMPRODUCT(((BULK_ENABLED="Y")*((BULK_TIER="ALL")+(BULK_TIER=$F46))*((BULK_SKU="ALL")+(BULK_SKU=$G46))*(BULK_START&lt;=1)*(BULK_END&gt;=1)))&gt;0,IFERROR(SUMPRODUCT(((BULK_ENABLED="Y")*((BULK_TIER="ALL")+(BULK_TIER=$F46))*((BULK_SKU="ALL")+(BULK_SKU=$G46))*(BULK_START&lt;=1)*(BULK_END&gt;=1))*IFERROR(BULK_VALUE,0))/MAX(1,SUMPRODUCT(((BULK_ENABLED="Y")*((BULK_TIER="ALL")+(BULK_TIER=$F46))*((BULK_SKU="ALL")+(BULK_SKU=$G46))*(BULK_START&lt;=1)*(BULK_END&gt;=1)))),0),ROUND((INDEX(VELOCITY_TABLE,MATCH($F46,TIER_LIST,0),3))*(IF((1-$I46+1)&lt;=0,0,IF((1-$I46+1)=1,RAMP_W1,IF((1-$I46+1)=2,RAMP_W2,IF((1-$I46+1)=3,RAMP_W3,RAMP_W4PLUS)))))*(INDEX(ACTIVE_MULT_TABLE,3,1))*(1+SUMPRODUCT(SIGN(((ACT_DOOR_SCOPE="ALL")+(ACT_DOOR_SCOPE="TIER_"&amp;$F46)+(ACT_DOOR_SCOPE=$B46)))*SIGN(((ACT_SKU_SCOPE="ALL")+(ACT_SKU_SCOPE=$G46)))*(ACT_START&lt;=1)*(ACT_END&gt;=1)*IFERROR(ACT_UPLIFT-1,0)))*(1+SUMPRODUCT(SIGN(((ACT_DOOR_SCOPE="ALL")+(ACT_DOOR_SCOPE="TIER_"&amp;$F46)+(ACT_DOOR_SCOPE=$B46)))*SIGN(((ACT_SKU_SCOPE="ALL")+(ACT_SKU_SCOPE=$G46)))*(1&gt;ACT_END)*(ACT_END&gt;0)*IFERROR(ACT_POSTLIFT,0))),0)))</f>
        <v/>
      </c>
      <c r="K46" s="10">
        <f>IF(OR($H46&lt;&gt;"Y",2&lt;$I46),0,IF(SUMPRODUCT(((BULK_ENABLED="Y")*((BULK_TIER="ALL")+(BULK_TIER=$F46))*((BULK_SKU="ALL")+(BULK_SKU=$G46))*(BULK_START&lt;=2)*(BULK_END&gt;=2)))&gt;0,IFERROR(SUMPRODUCT(((BULK_ENABLED="Y")*((BULK_TIER="ALL")+(BULK_TIER=$F46))*((BULK_SKU="ALL")+(BULK_SKU=$G46))*(BULK_START&lt;=2)*(BULK_END&gt;=2))*IFERROR(BULK_VALUE,0))/MAX(1,SUMPRODUCT(((BULK_ENABLED="Y")*((BULK_TIER="ALL")+(BULK_TIER=$F46))*((BULK_SKU="ALL")+(BULK_SKU=$G46))*(BULK_START&lt;=2)*(BULK_END&gt;=2)))),0),ROUND((INDEX(VELOCITY_TABLE,MATCH($F46,TIER_LIST,0),3))*(IF((2-$I46+1)&lt;=0,0,IF((2-$I46+1)=1,RAMP_W1,IF((2-$I46+1)=2,RAMP_W2,IF((2-$I46+1)=3,RAMP_W3,RAMP_W4PLUS)))))*(INDEX(ACTIVE_MULT_TABLE,3,1))*(1+SUMPRODUCT(SIGN(((ACT_DOOR_SCOPE="ALL")+(ACT_DOOR_SCOPE="TIER_"&amp;$F46)+(ACT_DOOR_SCOPE=$B46)))*SIGN(((ACT_SKU_SCOPE="ALL")+(ACT_SKU_SCOPE=$G46)))*(ACT_START&lt;=2)*(ACT_END&gt;=2)*IFERROR(ACT_UPLIFT-1,0)))*(1+SUMPRODUCT(SIGN(((ACT_DOOR_SCOPE="ALL")+(ACT_DOOR_SCOPE="TIER_"&amp;$F46)+(ACT_DOOR_SCOPE=$B46)))*SIGN(((ACT_SKU_SCOPE="ALL")+(ACT_SKU_SCOPE=$G46)))*(2&gt;ACT_END)*(ACT_END&gt;0)*IFERROR(ACT_POSTLIFT,0))),0)))</f>
        <v/>
      </c>
      <c r="L46" s="10">
        <f>IF(OR($H46&lt;&gt;"Y",3&lt;$I46),0,IF(SUMPRODUCT(((BULK_ENABLED="Y")*((BULK_TIER="ALL")+(BULK_TIER=$F46))*((BULK_SKU="ALL")+(BULK_SKU=$G46))*(BULK_START&lt;=3)*(BULK_END&gt;=3)))&gt;0,IFERROR(SUMPRODUCT(((BULK_ENABLED="Y")*((BULK_TIER="ALL")+(BULK_TIER=$F46))*((BULK_SKU="ALL")+(BULK_SKU=$G46))*(BULK_START&lt;=3)*(BULK_END&gt;=3))*IFERROR(BULK_VALUE,0))/MAX(1,SUMPRODUCT(((BULK_ENABLED="Y")*((BULK_TIER="ALL")+(BULK_TIER=$F46))*((BULK_SKU="ALL")+(BULK_SKU=$G46))*(BULK_START&lt;=3)*(BULK_END&gt;=3)))),0),ROUND((INDEX(VELOCITY_TABLE,MATCH($F46,TIER_LIST,0),3))*(IF((3-$I46+1)&lt;=0,0,IF((3-$I46+1)=1,RAMP_W1,IF((3-$I46+1)=2,RAMP_W2,IF((3-$I46+1)=3,RAMP_W3,RAMP_W4PLUS)))))*(INDEX(ACTIVE_MULT_TABLE,3,1))*(1+SUMPRODUCT(SIGN(((ACT_DOOR_SCOPE="ALL")+(ACT_DOOR_SCOPE="TIER_"&amp;$F46)+(ACT_DOOR_SCOPE=$B46)))*SIGN(((ACT_SKU_SCOPE="ALL")+(ACT_SKU_SCOPE=$G46)))*(ACT_START&lt;=3)*(ACT_END&gt;=3)*IFERROR(ACT_UPLIFT-1,0)))*(1+SUMPRODUCT(SIGN(((ACT_DOOR_SCOPE="ALL")+(ACT_DOOR_SCOPE="TIER_"&amp;$F46)+(ACT_DOOR_SCOPE=$B46)))*SIGN(((ACT_SKU_SCOPE="ALL")+(ACT_SKU_SCOPE=$G46)))*(3&gt;ACT_END)*(ACT_END&gt;0)*IFERROR(ACT_POSTLIFT,0))),0)))</f>
        <v/>
      </c>
      <c r="M46" s="10">
        <f>IF(OR($H46&lt;&gt;"Y",4&lt;$I46),0,IF(SUMPRODUCT(((BULK_ENABLED="Y")*((BULK_TIER="ALL")+(BULK_TIER=$F46))*((BULK_SKU="ALL")+(BULK_SKU=$G46))*(BULK_START&lt;=4)*(BULK_END&gt;=4)))&gt;0,IFERROR(SUMPRODUCT(((BULK_ENABLED="Y")*((BULK_TIER="ALL")+(BULK_TIER=$F46))*((BULK_SKU="ALL")+(BULK_SKU=$G46))*(BULK_START&lt;=4)*(BULK_END&gt;=4))*IFERROR(BULK_VALUE,0))/MAX(1,SUMPRODUCT(((BULK_ENABLED="Y")*((BULK_TIER="ALL")+(BULK_TIER=$F46))*((BULK_SKU="ALL")+(BULK_SKU=$G46))*(BULK_START&lt;=4)*(BULK_END&gt;=4)))),0),ROUND((INDEX(VELOCITY_TABLE,MATCH($F46,TIER_LIST,0),3))*(IF((4-$I46+1)&lt;=0,0,IF((4-$I46+1)=1,RAMP_W1,IF((4-$I46+1)=2,RAMP_W2,IF((4-$I46+1)=3,RAMP_W3,RAMP_W4PLUS)))))*(INDEX(ACTIVE_MULT_TABLE,3,1))*(1+SUMPRODUCT(SIGN(((ACT_DOOR_SCOPE="ALL")+(ACT_DOOR_SCOPE="TIER_"&amp;$F46)+(ACT_DOOR_SCOPE=$B46)))*SIGN(((ACT_SKU_SCOPE="ALL")+(ACT_SKU_SCOPE=$G46)))*(ACT_START&lt;=4)*(ACT_END&gt;=4)*IFERROR(ACT_UPLIFT-1,0)))*(1+SUMPRODUCT(SIGN(((ACT_DOOR_SCOPE="ALL")+(ACT_DOOR_SCOPE="TIER_"&amp;$F46)+(ACT_DOOR_SCOPE=$B46)))*SIGN(((ACT_SKU_SCOPE="ALL")+(ACT_SKU_SCOPE=$G46)))*(4&gt;ACT_END)*(ACT_END&gt;0)*IFERROR(ACT_POSTLIFT,0))),0)))</f>
        <v/>
      </c>
      <c r="N46" s="10">
        <f>IF(OR($H46&lt;&gt;"Y",5&lt;$I46),0,IF(SUMPRODUCT(((BULK_ENABLED="Y")*((BULK_TIER="ALL")+(BULK_TIER=$F46))*((BULK_SKU="ALL")+(BULK_SKU=$G46))*(BULK_START&lt;=5)*(BULK_END&gt;=5)))&gt;0,IFERROR(SUMPRODUCT(((BULK_ENABLED="Y")*((BULK_TIER="ALL")+(BULK_TIER=$F46))*((BULK_SKU="ALL")+(BULK_SKU=$G46))*(BULK_START&lt;=5)*(BULK_END&gt;=5))*IFERROR(BULK_VALUE,0))/MAX(1,SUMPRODUCT(((BULK_ENABLED="Y")*((BULK_TIER="ALL")+(BULK_TIER=$F46))*((BULK_SKU="ALL")+(BULK_SKU=$G46))*(BULK_START&lt;=5)*(BULK_END&gt;=5)))),0),ROUND((INDEX(VELOCITY_TABLE,MATCH($F46,TIER_LIST,0),3))*(IF((5-$I46+1)&lt;=0,0,IF((5-$I46+1)=1,RAMP_W1,IF((5-$I46+1)=2,RAMP_W2,IF((5-$I46+1)=3,RAMP_W3,RAMP_W4PLUS)))))*(INDEX(ACTIVE_MULT_TABLE,3,1))*(1+SUMPRODUCT(SIGN(((ACT_DOOR_SCOPE="ALL")+(ACT_DOOR_SCOPE="TIER_"&amp;$F46)+(ACT_DOOR_SCOPE=$B46)))*SIGN(((ACT_SKU_SCOPE="ALL")+(ACT_SKU_SCOPE=$G46)))*(ACT_START&lt;=5)*(ACT_END&gt;=5)*IFERROR(ACT_UPLIFT-1,0)))*(1+SUMPRODUCT(SIGN(((ACT_DOOR_SCOPE="ALL")+(ACT_DOOR_SCOPE="TIER_"&amp;$F46)+(ACT_DOOR_SCOPE=$B46)))*SIGN(((ACT_SKU_SCOPE="ALL")+(ACT_SKU_SCOPE=$G46)))*(5&gt;ACT_END)*(ACT_END&gt;0)*IFERROR(ACT_POSTLIFT,0))),0)))</f>
        <v/>
      </c>
      <c r="O46" s="10">
        <f>IF(OR($H46&lt;&gt;"Y",6&lt;$I46),0,IF(SUMPRODUCT(((BULK_ENABLED="Y")*((BULK_TIER="ALL")+(BULK_TIER=$F46))*((BULK_SKU="ALL")+(BULK_SKU=$G46))*(BULK_START&lt;=6)*(BULK_END&gt;=6)))&gt;0,IFERROR(SUMPRODUCT(((BULK_ENABLED="Y")*((BULK_TIER="ALL")+(BULK_TIER=$F46))*((BULK_SKU="ALL")+(BULK_SKU=$G46))*(BULK_START&lt;=6)*(BULK_END&gt;=6))*IFERROR(BULK_VALUE,0))/MAX(1,SUMPRODUCT(((BULK_ENABLED="Y")*((BULK_TIER="ALL")+(BULK_TIER=$F46))*((BULK_SKU="ALL")+(BULK_SKU=$G46))*(BULK_START&lt;=6)*(BULK_END&gt;=6)))),0),ROUND((INDEX(VELOCITY_TABLE,MATCH($F46,TIER_LIST,0),3))*(IF((6-$I46+1)&lt;=0,0,IF((6-$I46+1)=1,RAMP_W1,IF((6-$I46+1)=2,RAMP_W2,IF((6-$I46+1)=3,RAMP_W3,RAMP_W4PLUS)))))*(INDEX(ACTIVE_MULT_TABLE,3,1))*(1+SUMPRODUCT(SIGN(((ACT_DOOR_SCOPE="ALL")+(ACT_DOOR_SCOPE="TIER_"&amp;$F46)+(ACT_DOOR_SCOPE=$B46)))*SIGN(((ACT_SKU_SCOPE="ALL")+(ACT_SKU_SCOPE=$G46)))*(ACT_START&lt;=6)*(ACT_END&gt;=6)*IFERROR(ACT_UPLIFT-1,0)))*(1+SUMPRODUCT(SIGN(((ACT_DOOR_SCOPE="ALL")+(ACT_DOOR_SCOPE="TIER_"&amp;$F46)+(ACT_DOOR_SCOPE=$B46)))*SIGN(((ACT_SKU_SCOPE="ALL")+(ACT_SKU_SCOPE=$G46)))*(6&gt;ACT_END)*(ACT_END&gt;0)*IFERROR(ACT_POSTLIFT,0))),0)))</f>
        <v/>
      </c>
      <c r="P46" s="10">
        <f>IF(OR($H46&lt;&gt;"Y",7&lt;$I46),0,IF(SUMPRODUCT(((BULK_ENABLED="Y")*((BULK_TIER="ALL")+(BULK_TIER=$F46))*((BULK_SKU="ALL")+(BULK_SKU=$G46))*(BULK_START&lt;=7)*(BULK_END&gt;=7)))&gt;0,IFERROR(SUMPRODUCT(((BULK_ENABLED="Y")*((BULK_TIER="ALL")+(BULK_TIER=$F46))*((BULK_SKU="ALL")+(BULK_SKU=$G46))*(BULK_START&lt;=7)*(BULK_END&gt;=7))*IFERROR(BULK_VALUE,0))/MAX(1,SUMPRODUCT(((BULK_ENABLED="Y")*((BULK_TIER="ALL")+(BULK_TIER=$F46))*((BULK_SKU="ALL")+(BULK_SKU=$G46))*(BULK_START&lt;=7)*(BULK_END&gt;=7)))),0),ROUND((INDEX(VELOCITY_TABLE,MATCH($F46,TIER_LIST,0),3))*(IF((7-$I46+1)&lt;=0,0,IF((7-$I46+1)=1,RAMP_W1,IF((7-$I46+1)=2,RAMP_W2,IF((7-$I46+1)=3,RAMP_W3,RAMP_W4PLUS)))))*(INDEX(ACTIVE_MULT_TABLE,3,1))*(1+SUMPRODUCT(SIGN(((ACT_DOOR_SCOPE="ALL")+(ACT_DOOR_SCOPE="TIER_"&amp;$F46)+(ACT_DOOR_SCOPE=$B46)))*SIGN(((ACT_SKU_SCOPE="ALL")+(ACT_SKU_SCOPE=$G46)))*(ACT_START&lt;=7)*(ACT_END&gt;=7)*IFERROR(ACT_UPLIFT-1,0)))*(1+SUMPRODUCT(SIGN(((ACT_DOOR_SCOPE="ALL")+(ACT_DOOR_SCOPE="TIER_"&amp;$F46)+(ACT_DOOR_SCOPE=$B46)))*SIGN(((ACT_SKU_SCOPE="ALL")+(ACT_SKU_SCOPE=$G46)))*(7&gt;ACT_END)*(ACT_END&gt;0)*IFERROR(ACT_POSTLIFT,0))),0)))</f>
        <v/>
      </c>
      <c r="Q46" s="10">
        <f>IF(OR($H46&lt;&gt;"Y",8&lt;$I46),0,IF(SUMPRODUCT(((BULK_ENABLED="Y")*((BULK_TIER="ALL")+(BULK_TIER=$F46))*((BULK_SKU="ALL")+(BULK_SKU=$G46))*(BULK_START&lt;=8)*(BULK_END&gt;=8)))&gt;0,IFERROR(SUMPRODUCT(((BULK_ENABLED="Y")*((BULK_TIER="ALL")+(BULK_TIER=$F46))*((BULK_SKU="ALL")+(BULK_SKU=$G46))*(BULK_START&lt;=8)*(BULK_END&gt;=8))*IFERROR(BULK_VALUE,0))/MAX(1,SUMPRODUCT(((BULK_ENABLED="Y")*((BULK_TIER="ALL")+(BULK_TIER=$F46))*((BULK_SKU="ALL")+(BULK_SKU=$G46))*(BULK_START&lt;=8)*(BULK_END&gt;=8)))),0),ROUND((INDEX(VELOCITY_TABLE,MATCH($F46,TIER_LIST,0),3))*(IF((8-$I46+1)&lt;=0,0,IF((8-$I46+1)=1,RAMP_W1,IF((8-$I46+1)=2,RAMP_W2,IF((8-$I46+1)=3,RAMP_W3,RAMP_W4PLUS)))))*(INDEX(ACTIVE_MULT_TABLE,3,1))*(1+SUMPRODUCT(SIGN(((ACT_DOOR_SCOPE="ALL")+(ACT_DOOR_SCOPE="TIER_"&amp;$F46)+(ACT_DOOR_SCOPE=$B46)))*SIGN(((ACT_SKU_SCOPE="ALL")+(ACT_SKU_SCOPE=$G46)))*(ACT_START&lt;=8)*(ACT_END&gt;=8)*IFERROR(ACT_UPLIFT-1,0)))*(1+SUMPRODUCT(SIGN(((ACT_DOOR_SCOPE="ALL")+(ACT_DOOR_SCOPE="TIER_"&amp;$F46)+(ACT_DOOR_SCOPE=$B46)))*SIGN(((ACT_SKU_SCOPE="ALL")+(ACT_SKU_SCOPE=$G46)))*(8&gt;ACT_END)*(ACT_END&gt;0)*IFERROR(ACT_POSTLIFT,0))),0)))</f>
        <v/>
      </c>
      <c r="R46" s="10">
        <f>IF(OR($H46&lt;&gt;"Y",9&lt;$I46),0,IF(SUMPRODUCT(((BULK_ENABLED="Y")*((BULK_TIER="ALL")+(BULK_TIER=$F46))*((BULK_SKU="ALL")+(BULK_SKU=$G46))*(BULK_START&lt;=9)*(BULK_END&gt;=9)))&gt;0,IFERROR(SUMPRODUCT(((BULK_ENABLED="Y")*((BULK_TIER="ALL")+(BULK_TIER=$F46))*((BULK_SKU="ALL")+(BULK_SKU=$G46))*(BULK_START&lt;=9)*(BULK_END&gt;=9))*IFERROR(BULK_VALUE,0))/MAX(1,SUMPRODUCT(((BULK_ENABLED="Y")*((BULK_TIER="ALL")+(BULK_TIER=$F46))*((BULK_SKU="ALL")+(BULK_SKU=$G46))*(BULK_START&lt;=9)*(BULK_END&gt;=9)))),0),ROUND((INDEX(VELOCITY_TABLE,MATCH($F46,TIER_LIST,0),3))*(IF((9-$I46+1)&lt;=0,0,IF((9-$I46+1)=1,RAMP_W1,IF((9-$I46+1)=2,RAMP_W2,IF((9-$I46+1)=3,RAMP_W3,RAMP_W4PLUS)))))*(INDEX(ACTIVE_MULT_TABLE,3,1))*(1+SUMPRODUCT(SIGN(((ACT_DOOR_SCOPE="ALL")+(ACT_DOOR_SCOPE="TIER_"&amp;$F46)+(ACT_DOOR_SCOPE=$B46)))*SIGN(((ACT_SKU_SCOPE="ALL")+(ACT_SKU_SCOPE=$G46)))*(ACT_START&lt;=9)*(ACT_END&gt;=9)*IFERROR(ACT_UPLIFT-1,0)))*(1+SUMPRODUCT(SIGN(((ACT_DOOR_SCOPE="ALL")+(ACT_DOOR_SCOPE="TIER_"&amp;$F46)+(ACT_DOOR_SCOPE=$B46)))*SIGN(((ACT_SKU_SCOPE="ALL")+(ACT_SKU_SCOPE=$G46)))*(9&gt;ACT_END)*(ACT_END&gt;0)*IFERROR(ACT_POSTLIFT,0))),0)))</f>
        <v/>
      </c>
      <c r="S46" s="10">
        <f>IF(OR($H46&lt;&gt;"Y",10&lt;$I46),0,IF(SUMPRODUCT(((BULK_ENABLED="Y")*((BULK_TIER="ALL")+(BULK_TIER=$F46))*((BULK_SKU="ALL")+(BULK_SKU=$G46))*(BULK_START&lt;=10)*(BULK_END&gt;=10)))&gt;0,IFERROR(SUMPRODUCT(((BULK_ENABLED="Y")*((BULK_TIER="ALL")+(BULK_TIER=$F46))*((BULK_SKU="ALL")+(BULK_SKU=$G46))*(BULK_START&lt;=10)*(BULK_END&gt;=10))*IFERROR(BULK_VALUE,0))/MAX(1,SUMPRODUCT(((BULK_ENABLED="Y")*((BULK_TIER="ALL")+(BULK_TIER=$F46))*((BULK_SKU="ALL")+(BULK_SKU=$G46))*(BULK_START&lt;=10)*(BULK_END&gt;=10)))),0),ROUND((INDEX(VELOCITY_TABLE,MATCH($F46,TIER_LIST,0),3))*(IF((10-$I46+1)&lt;=0,0,IF((10-$I46+1)=1,RAMP_W1,IF((10-$I46+1)=2,RAMP_W2,IF((10-$I46+1)=3,RAMP_W3,RAMP_W4PLUS)))))*(INDEX(ACTIVE_MULT_TABLE,3,1))*(1+SUMPRODUCT(SIGN(((ACT_DOOR_SCOPE="ALL")+(ACT_DOOR_SCOPE="TIER_"&amp;$F46)+(ACT_DOOR_SCOPE=$B46)))*SIGN(((ACT_SKU_SCOPE="ALL")+(ACT_SKU_SCOPE=$G46)))*(ACT_START&lt;=10)*(ACT_END&gt;=10)*IFERROR(ACT_UPLIFT-1,0)))*(1+SUMPRODUCT(SIGN(((ACT_DOOR_SCOPE="ALL")+(ACT_DOOR_SCOPE="TIER_"&amp;$F46)+(ACT_DOOR_SCOPE=$B46)))*SIGN(((ACT_SKU_SCOPE="ALL")+(ACT_SKU_SCOPE=$G46)))*(10&gt;ACT_END)*(ACT_END&gt;0)*IFERROR(ACT_POSTLIFT,0))),0)))</f>
        <v/>
      </c>
      <c r="T46" s="10">
        <f>IF(OR($H46&lt;&gt;"Y",11&lt;$I46),0,IF(SUMPRODUCT(((BULK_ENABLED="Y")*((BULK_TIER="ALL")+(BULK_TIER=$F46))*((BULK_SKU="ALL")+(BULK_SKU=$G46))*(BULK_START&lt;=11)*(BULK_END&gt;=11)))&gt;0,IFERROR(SUMPRODUCT(((BULK_ENABLED="Y")*((BULK_TIER="ALL")+(BULK_TIER=$F46))*((BULK_SKU="ALL")+(BULK_SKU=$G46))*(BULK_START&lt;=11)*(BULK_END&gt;=11))*IFERROR(BULK_VALUE,0))/MAX(1,SUMPRODUCT(((BULK_ENABLED="Y")*((BULK_TIER="ALL")+(BULK_TIER=$F46))*((BULK_SKU="ALL")+(BULK_SKU=$G46))*(BULK_START&lt;=11)*(BULK_END&gt;=11)))),0),ROUND((INDEX(VELOCITY_TABLE,MATCH($F46,TIER_LIST,0),3))*(IF((11-$I46+1)&lt;=0,0,IF((11-$I46+1)=1,RAMP_W1,IF((11-$I46+1)=2,RAMP_W2,IF((11-$I46+1)=3,RAMP_W3,RAMP_W4PLUS)))))*(INDEX(ACTIVE_MULT_TABLE,3,1))*(1+SUMPRODUCT(SIGN(((ACT_DOOR_SCOPE="ALL")+(ACT_DOOR_SCOPE="TIER_"&amp;$F46)+(ACT_DOOR_SCOPE=$B46)))*SIGN(((ACT_SKU_SCOPE="ALL")+(ACT_SKU_SCOPE=$G46)))*(ACT_START&lt;=11)*(ACT_END&gt;=11)*IFERROR(ACT_UPLIFT-1,0)))*(1+SUMPRODUCT(SIGN(((ACT_DOOR_SCOPE="ALL")+(ACT_DOOR_SCOPE="TIER_"&amp;$F46)+(ACT_DOOR_SCOPE=$B46)))*SIGN(((ACT_SKU_SCOPE="ALL")+(ACT_SKU_SCOPE=$G46)))*(11&gt;ACT_END)*(ACT_END&gt;0)*IFERROR(ACT_POSTLIFT,0))),0)))</f>
        <v/>
      </c>
      <c r="U46" s="10">
        <f>IF(OR($H46&lt;&gt;"Y",12&lt;$I46),0,IF(SUMPRODUCT(((BULK_ENABLED="Y")*((BULK_TIER="ALL")+(BULK_TIER=$F46))*((BULK_SKU="ALL")+(BULK_SKU=$G46))*(BULK_START&lt;=12)*(BULK_END&gt;=12)))&gt;0,IFERROR(SUMPRODUCT(((BULK_ENABLED="Y")*((BULK_TIER="ALL")+(BULK_TIER=$F46))*((BULK_SKU="ALL")+(BULK_SKU=$G46))*(BULK_START&lt;=12)*(BULK_END&gt;=12))*IFERROR(BULK_VALUE,0))/MAX(1,SUMPRODUCT(((BULK_ENABLED="Y")*((BULK_TIER="ALL")+(BULK_TIER=$F46))*((BULK_SKU="ALL")+(BULK_SKU=$G46))*(BULK_START&lt;=12)*(BULK_END&gt;=12)))),0),ROUND((INDEX(VELOCITY_TABLE,MATCH($F46,TIER_LIST,0),3))*(IF((12-$I46+1)&lt;=0,0,IF((12-$I46+1)=1,RAMP_W1,IF((12-$I46+1)=2,RAMP_W2,IF((12-$I46+1)=3,RAMP_W3,RAMP_W4PLUS)))))*(INDEX(ACTIVE_MULT_TABLE,3,1))*(1+SUMPRODUCT(SIGN(((ACT_DOOR_SCOPE="ALL")+(ACT_DOOR_SCOPE="TIER_"&amp;$F46)+(ACT_DOOR_SCOPE=$B46)))*SIGN(((ACT_SKU_SCOPE="ALL")+(ACT_SKU_SCOPE=$G46)))*(ACT_START&lt;=12)*(ACT_END&gt;=12)*IFERROR(ACT_UPLIFT-1,0)))*(1+SUMPRODUCT(SIGN(((ACT_DOOR_SCOPE="ALL")+(ACT_DOOR_SCOPE="TIER_"&amp;$F46)+(ACT_DOOR_SCOPE=$B46)))*SIGN(((ACT_SKU_SCOPE="ALL")+(ACT_SKU_SCOPE=$G46)))*(12&gt;ACT_END)*(ACT_END&gt;0)*IFERROR(ACT_POSTLIFT,0))),0)))</f>
        <v/>
      </c>
      <c r="V46" s="10">
        <f>IF(OR($H46&lt;&gt;"Y",13&lt;$I46),0,IF(SUMPRODUCT(((BULK_ENABLED="Y")*((BULK_TIER="ALL")+(BULK_TIER=$F46))*((BULK_SKU="ALL")+(BULK_SKU=$G46))*(BULK_START&lt;=13)*(BULK_END&gt;=13)))&gt;0,IFERROR(SUMPRODUCT(((BULK_ENABLED="Y")*((BULK_TIER="ALL")+(BULK_TIER=$F46))*((BULK_SKU="ALL")+(BULK_SKU=$G46))*(BULK_START&lt;=13)*(BULK_END&gt;=13))*IFERROR(BULK_VALUE,0))/MAX(1,SUMPRODUCT(((BULK_ENABLED="Y")*((BULK_TIER="ALL")+(BULK_TIER=$F46))*((BULK_SKU="ALL")+(BULK_SKU=$G46))*(BULK_START&lt;=13)*(BULK_END&gt;=13)))),0),ROUND((INDEX(VELOCITY_TABLE,MATCH($F46,TIER_LIST,0),3))*(IF((13-$I46+1)&lt;=0,0,IF((13-$I46+1)=1,RAMP_W1,IF((13-$I46+1)=2,RAMP_W2,IF((13-$I46+1)=3,RAMP_W3,RAMP_W4PLUS)))))*(INDEX(ACTIVE_MULT_TABLE,3,1))*(1+SUMPRODUCT(SIGN(((ACT_DOOR_SCOPE="ALL")+(ACT_DOOR_SCOPE="TIER_"&amp;$F46)+(ACT_DOOR_SCOPE=$B46)))*SIGN(((ACT_SKU_SCOPE="ALL")+(ACT_SKU_SCOPE=$G46)))*(ACT_START&lt;=13)*(ACT_END&gt;=13)*IFERROR(ACT_UPLIFT-1,0)))*(1+SUMPRODUCT(SIGN(((ACT_DOOR_SCOPE="ALL")+(ACT_DOOR_SCOPE="TIER_"&amp;$F46)+(ACT_DOOR_SCOPE=$B46)))*SIGN(((ACT_SKU_SCOPE="ALL")+(ACT_SKU_SCOPE=$G46)))*(13&gt;ACT_END)*(ACT_END&gt;0)*IFERROR(ACT_POSTLIFT,0))),0)))</f>
        <v/>
      </c>
    </row>
    <row r="47">
      <c r="A47" t="inlineStr">
        <is>
          <t>R0043</t>
        </is>
      </c>
      <c r="B47">
        <f>Doors!$A$19</f>
        <v/>
      </c>
      <c r="C47">
        <f>Doors!$C$19</f>
        <v/>
      </c>
      <c r="D47">
        <f>Doors!$B$19</f>
        <v/>
      </c>
      <c r="E47">
        <f>Doors!$E$19</f>
        <v/>
      </c>
      <c r="F47">
        <f>Doors!$F$19</f>
        <v/>
      </c>
      <c r="G47" t="inlineStr">
        <is>
          <t>Lime Lemon</t>
        </is>
      </c>
      <c r="H47">
        <f>Doors!$G$19</f>
        <v/>
      </c>
      <c r="I47">
        <f>Doors!$J$19</f>
        <v/>
      </c>
      <c r="J47" s="10">
        <f>IF(OR($H47&lt;&gt;"Y",1&lt;$I47),0,IF(SUMPRODUCT(((BULK_ENABLED="Y")*((BULK_TIER="ALL")+(BULK_TIER=$F47))*((BULK_SKU="ALL")+(BULK_SKU=$G47))*(BULK_START&lt;=1)*(BULK_END&gt;=1)))&gt;0,IFERROR(SUMPRODUCT(((BULK_ENABLED="Y")*((BULK_TIER="ALL")+(BULK_TIER=$F47))*((BULK_SKU="ALL")+(BULK_SKU=$G47))*(BULK_START&lt;=1)*(BULK_END&gt;=1))*IFERROR(BULK_VALUE,0))/MAX(1,SUMPRODUCT(((BULK_ENABLED="Y")*((BULK_TIER="ALL")+(BULK_TIER=$F47))*((BULK_SKU="ALL")+(BULK_SKU=$G47))*(BULK_START&lt;=1)*(BULK_END&gt;=1)))),0),ROUND((INDEX(VELOCITY_TABLE,MATCH($F47,TIER_LIST,0),1))*(IF((1-$I47+1)&lt;=0,0,IF((1-$I47+1)=1,RAMP_W1,IF((1-$I47+1)=2,RAMP_W2,IF((1-$I47+1)=3,RAMP_W3,RAMP_W4PLUS)))))*(INDEX(ACTIVE_MULT_TABLE,1,1))*(1+SUMPRODUCT(SIGN(((ACT_DOOR_SCOPE="ALL")+(ACT_DOOR_SCOPE="TIER_"&amp;$F47)+(ACT_DOOR_SCOPE=$B47)))*SIGN(((ACT_SKU_SCOPE="ALL")+(ACT_SKU_SCOPE=$G47)))*(ACT_START&lt;=1)*(ACT_END&gt;=1)*IFERROR(ACT_UPLIFT-1,0)))*(1+SUMPRODUCT(SIGN(((ACT_DOOR_SCOPE="ALL")+(ACT_DOOR_SCOPE="TIER_"&amp;$F47)+(ACT_DOOR_SCOPE=$B47)))*SIGN(((ACT_SKU_SCOPE="ALL")+(ACT_SKU_SCOPE=$G47)))*(1&gt;ACT_END)*(ACT_END&gt;0)*IFERROR(ACT_POSTLIFT,0))),0)))</f>
        <v/>
      </c>
      <c r="K47" s="10">
        <f>IF(OR($H47&lt;&gt;"Y",2&lt;$I47),0,IF(SUMPRODUCT(((BULK_ENABLED="Y")*((BULK_TIER="ALL")+(BULK_TIER=$F47))*((BULK_SKU="ALL")+(BULK_SKU=$G47))*(BULK_START&lt;=2)*(BULK_END&gt;=2)))&gt;0,IFERROR(SUMPRODUCT(((BULK_ENABLED="Y")*((BULK_TIER="ALL")+(BULK_TIER=$F47))*((BULK_SKU="ALL")+(BULK_SKU=$G47))*(BULK_START&lt;=2)*(BULK_END&gt;=2))*IFERROR(BULK_VALUE,0))/MAX(1,SUMPRODUCT(((BULK_ENABLED="Y")*((BULK_TIER="ALL")+(BULK_TIER=$F47))*((BULK_SKU="ALL")+(BULK_SKU=$G47))*(BULK_START&lt;=2)*(BULK_END&gt;=2)))),0),ROUND((INDEX(VELOCITY_TABLE,MATCH($F47,TIER_LIST,0),1))*(IF((2-$I47+1)&lt;=0,0,IF((2-$I47+1)=1,RAMP_W1,IF((2-$I47+1)=2,RAMP_W2,IF((2-$I47+1)=3,RAMP_W3,RAMP_W4PLUS)))))*(INDEX(ACTIVE_MULT_TABLE,1,1))*(1+SUMPRODUCT(SIGN(((ACT_DOOR_SCOPE="ALL")+(ACT_DOOR_SCOPE="TIER_"&amp;$F47)+(ACT_DOOR_SCOPE=$B47)))*SIGN(((ACT_SKU_SCOPE="ALL")+(ACT_SKU_SCOPE=$G47)))*(ACT_START&lt;=2)*(ACT_END&gt;=2)*IFERROR(ACT_UPLIFT-1,0)))*(1+SUMPRODUCT(SIGN(((ACT_DOOR_SCOPE="ALL")+(ACT_DOOR_SCOPE="TIER_"&amp;$F47)+(ACT_DOOR_SCOPE=$B47)))*SIGN(((ACT_SKU_SCOPE="ALL")+(ACT_SKU_SCOPE=$G47)))*(2&gt;ACT_END)*(ACT_END&gt;0)*IFERROR(ACT_POSTLIFT,0))),0)))</f>
        <v/>
      </c>
      <c r="L47" s="10">
        <f>IF(OR($H47&lt;&gt;"Y",3&lt;$I47),0,IF(SUMPRODUCT(((BULK_ENABLED="Y")*((BULK_TIER="ALL")+(BULK_TIER=$F47))*((BULK_SKU="ALL")+(BULK_SKU=$G47))*(BULK_START&lt;=3)*(BULK_END&gt;=3)))&gt;0,IFERROR(SUMPRODUCT(((BULK_ENABLED="Y")*((BULK_TIER="ALL")+(BULK_TIER=$F47))*((BULK_SKU="ALL")+(BULK_SKU=$G47))*(BULK_START&lt;=3)*(BULK_END&gt;=3))*IFERROR(BULK_VALUE,0))/MAX(1,SUMPRODUCT(((BULK_ENABLED="Y")*((BULK_TIER="ALL")+(BULK_TIER=$F47))*((BULK_SKU="ALL")+(BULK_SKU=$G47))*(BULK_START&lt;=3)*(BULK_END&gt;=3)))),0),ROUND((INDEX(VELOCITY_TABLE,MATCH($F47,TIER_LIST,0),1))*(IF((3-$I47+1)&lt;=0,0,IF((3-$I47+1)=1,RAMP_W1,IF((3-$I47+1)=2,RAMP_W2,IF((3-$I47+1)=3,RAMP_W3,RAMP_W4PLUS)))))*(INDEX(ACTIVE_MULT_TABLE,1,1))*(1+SUMPRODUCT(SIGN(((ACT_DOOR_SCOPE="ALL")+(ACT_DOOR_SCOPE="TIER_"&amp;$F47)+(ACT_DOOR_SCOPE=$B47)))*SIGN(((ACT_SKU_SCOPE="ALL")+(ACT_SKU_SCOPE=$G47)))*(ACT_START&lt;=3)*(ACT_END&gt;=3)*IFERROR(ACT_UPLIFT-1,0)))*(1+SUMPRODUCT(SIGN(((ACT_DOOR_SCOPE="ALL")+(ACT_DOOR_SCOPE="TIER_"&amp;$F47)+(ACT_DOOR_SCOPE=$B47)))*SIGN(((ACT_SKU_SCOPE="ALL")+(ACT_SKU_SCOPE=$G47)))*(3&gt;ACT_END)*(ACT_END&gt;0)*IFERROR(ACT_POSTLIFT,0))),0)))</f>
        <v/>
      </c>
      <c r="M47" s="10">
        <f>IF(OR($H47&lt;&gt;"Y",4&lt;$I47),0,IF(SUMPRODUCT(((BULK_ENABLED="Y")*((BULK_TIER="ALL")+(BULK_TIER=$F47))*((BULK_SKU="ALL")+(BULK_SKU=$G47))*(BULK_START&lt;=4)*(BULK_END&gt;=4)))&gt;0,IFERROR(SUMPRODUCT(((BULK_ENABLED="Y")*((BULK_TIER="ALL")+(BULK_TIER=$F47))*((BULK_SKU="ALL")+(BULK_SKU=$G47))*(BULK_START&lt;=4)*(BULK_END&gt;=4))*IFERROR(BULK_VALUE,0))/MAX(1,SUMPRODUCT(((BULK_ENABLED="Y")*((BULK_TIER="ALL")+(BULK_TIER=$F47))*((BULK_SKU="ALL")+(BULK_SKU=$G47))*(BULK_START&lt;=4)*(BULK_END&gt;=4)))),0),ROUND((INDEX(VELOCITY_TABLE,MATCH($F47,TIER_LIST,0),1))*(IF((4-$I47+1)&lt;=0,0,IF((4-$I47+1)=1,RAMP_W1,IF((4-$I47+1)=2,RAMP_W2,IF((4-$I47+1)=3,RAMP_W3,RAMP_W4PLUS)))))*(INDEX(ACTIVE_MULT_TABLE,1,1))*(1+SUMPRODUCT(SIGN(((ACT_DOOR_SCOPE="ALL")+(ACT_DOOR_SCOPE="TIER_"&amp;$F47)+(ACT_DOOR_SCOPE=$B47)))*SIGN(((ACT_SKU_SCOPE="ALL")+(ACT_SKU_SCOPE=$G47)))*(ACT_START&lt;=4)*(ACT_END&gt;=4)*IFERROR(ACT_UPLIFT-1,0)))*(1+SUMPRODUCT(SIGN(((ACT_DOOR_SCOPE="ALL")+(ACT_DOOR_SCOPE="TIER_"&amp;$F47)+(ACT_DOOR_SCOPE=$B47)))*SIGN(((ACT_SKU_SCOPE="ALL")+(ACT_SKU_SCOPE=$G47)))*(4&gt;ACT_END)*(ACT_END&gt;0)*IFERROR(ACT_POSTLIFT,0))),0)))</f>
        <v/>
      </c>
      <c r="N47" s="10">
        <f>IF(OR($H47&lt;&gt;"Y",5&lt;$I47),0,IF(SUMPRODUCT(((BULK_ENABLED="Y")*((BULK_TIER="ALL")+(BULK_TIER=$F47))*((BULK_SKU="ALL")+(BULK_SKU=$G47))*(BULK_START&lt;=5)*(BULK_END&gt;=5)))&gt;0,IFERROR(SUMPRODUCT(((BULK_ENABLED="Y")*((BULK_TIER="ALL")+(BULK_TIER=$F47))*((BULK_SKU="ALL")+(BULK_SKU=$G47))*(BULK_START&lt;=5)*(BULK_END&gt;=5))*IFERROR(BULK_VALUE,0))/MAX(1,SUMPRODUCT(((BULK_ENABLED="Y")*((BULK_TIER="ALL")+(BULK_TIER=$F47))*((BULK_SKU="ALL")+(BULK_SKU=$G47))*(BULK_START&lt;=5)*(BULK_END&gt;=5)))),0),ROUND((INDEX(VELOCITY_TABLE,MATCH($F47,TIER_LIST,0),1))*(IF((5-$I47+1)&lt;=0,0,IF((5-$I47+1)=1,RAMP_W1,IF((5-$I47+1)=2,RAMP_W2,IF((5-$I47+1)=3,RAMP_W3,RAMP_W4PLUS)))))*(INDEX(ACTIVE_MULT_TABLE,1,1))*(1+SUMPRODUCT(SIGN(((ACT_DOOR_SCOPE="ALL")+(ACT_DOOR_SCOPE="TIER_"&amp;$F47)+(ACT_DOOR_SCOPE=$B47)))*SIGN(((ACT_SKU_SCOPE="ALL")+(ACT_SKU_SCOPE=$G47)))*(ACT_START&lt;=5)*(ACT_END&gt;=5)*IFERROR(ACT_UPLIFT-1,0)))*(1+SUMPRODUCT(SIGN(((ACT_DOOR_SCOPE="ALL")+(ACT_DOOR_SCOPE="TIER_"&amp;$F47)+(ACT_DOOR_SCOPE=$B47)))*SIGN(((ACT_SKU_SCOPE="ALL")+(ACT_SKU_SCOPE=$G47)))*(5&gt;ACT_END)*(ACT_END&gt;0)*IFERROR(ACT_POSTLIFT,0))),0)))</f>
        <v/>
      </c>
      <c r="O47" s="10">
        <f>IF(OR($H47&lt;&gt;"Y",6&lt;$I47),0,IF(SUMPRODUCT(((BULK_ENABLED="Y")*((BULK_TIER="ALL")+(BULK_TIER=$F47))*((BULK_SKU="ALL")+(BULK_SKU=$G47))*(BULK_START&lt;=6)*(BULK_END&gt;=6)))&gt;0,IFERROR(SUMPRODUCT(((BULK_ENABLED="Y")*((BULK_TIER="ALL")+(BULK_TIER=$F47))*((BULK_SKU="ALL")+(BULK_SKU=$G47))*(BULK_START&lt;=6)*(BULK_END&gt;=6))*IFERROR(BULK_VALUE,0))/MAX(1,SUMPRODUCT(((BULK_ENABLED="Y")*((BULK_TIER="ALL")+(BULK_TIER=$F47))*((BULK_SKU="ALL")+(BULK_SKU=$G47))*(BULK_START&lt;=6)*(BULK_END&gt;=6)))),0),ROUND((INDEX(VELOCITY_TABLE,MATCH($F47,TIER_LIST,0),1))*(IF((6-$I47+1)&lt;=0,0,IF((6-$I47+1)=1,RAMP_W1,IF((6-$I47+1)=2,RAMP_W2,IF((6-$I47+1)=3,RAMP_W3,RAMP_W4PLUS)))))*(INDEX(ACTIVE_MULT_TABLE,1,1))*(1+SUMPRODUCT(SIGN(((ACT_DOOR_SCOPE="ALL")+(ACT_DOOR_SCOPE="TIER_"&amp;$F47)+(ACT_DOOR_SCOPE=$B47)))*SIGN(((ACT_SKU_SCOPE="ALL")+(ACT_SKU_SCOPE=$G47)))*(ACT_START&lt;=6)*(ACT_END&gt;=6)*IFERROR(ACT_UPLIFT-1,0)))*(1+SUMPRODUCT(SIGN(((ACT_DOOR_SCOPE="ALL")+(ACT_DOOR_SCOPE="TIER_"&amp;$F47)+(ACT_DOOR_SCOPE=$B47)))*SIGN(((ACT_SKU_SCOPE="ALL")+(ACT_SKU_SCOPE=$G47)))*(6&gt;ACT_END)*(ACT_END&gt;0)*IFERROR(ACT_POSTLIFT,0))),0)))</f>
        <v/>
      </c>
      <c r="P47" s="10">
        <f>IF(OR($H47&lt;&gt;"Y",7&lt;$I47),0,IF(SUMPRODUCT(((BULK_ENABLED="Y")*((BULK_TIER="ALL")+(BULK_TIER=$F47))*((BULK_SKU="ALL")+(BULK_SKU=$G47))*(BULK_START&lt;=7)*(BULK_END&gt;=7)))&gt;0,IFERROR(SUMPRODUCT(((BULK_ENABLED="Y")*((BULK_TIER="ALL")+(BULK_TIER=$F47))*((BULK_SKU="ALL")+(BULK_SKU=$G47))*(BULK_START&lt;=7)*(BULK_END&gt;=7))*IFERROR(BULK_VALUE,0))/MAX(1,SUMPRODUCT(((BULK_ENABLED="Y")*((BULK_TIER="ALL")+(BULK_TIER=$F47))*((BULK_SKU="ALL")+(BULK_SKU=$G47))*(BULK_START&lt;=7)*(BULK_END&gt;=7)))),0),ROUND((INDEX(VELOCITY_TABLE,MATCH($F47,TIER_LIST,0),1))*(IF((7-$I47+1)&lt;=0,0,IF((7-$I47+1)=1,RAMP_W1,IF((7-$I47+1)=2,RAMP_W2,IF((7-$I47+1)=3,RAMP_W3,RAMP_W4PLUS)))))*(INDEX(ACTIVE_MULT_TABLE,1,1))*(1+SUMPRODUCT(SIGN(((ACT_DOOR_SCOPE="ALL")+(ACT_DOOR_SCOPE="TIER_"&amp;$F47)+(ACT_DOOR_SCOPE=$B47)))*SIGN(((ACT_SKU_SCOPE="ALL")+(ACT_SKU_SCOPE=$G47)))*(ACT_START&lt;=7)*(ACT_END&gt;=7)*IFERROR(ACT_UPLIFT-1,0)))*(1+SUMPRODUCT(SIGN(((ACT_DOOR_SCOPE="ALL")+(ACT_DOOR_SCOPE="TIER_"&amp;$F47)+(ACT_DOOR_SCOPE=$B47)))*SIGN(((ACT_SKU_SCOPE="ALL")+(ACT_SKU_SCOPE=$G47)))*(7&gt;ACT_END)*(ACT_END&gt;0)*IFERROR(ACT_POSTLIFT,0))),0)))</f>
        <v/>
      </c>
      <c r="Q47" s="10">
        <f>IF(OR($H47&lt;&gt;"Y",8&lt;$I47),0,IF(SUMPRODUCT(((BULK_ENABLED="Y")*((BULK_TIER="ALL")+(BULK_TIER=$F47))*((BULK_SKU="ALL")+(BULK_SKU=$G47))*(BULK_START&lt;=8)*(BULK_END&gt;=8)))&gt;0,IFERROR(SUMPRODUCT(((BULK_ENABLED="Y")*((BULK_TIER="ALL")+(BULK_TIER=$F47))*((BULK_SKU="ALL")+(BULK_SKU=$G47))*(BULK_START&lt;=8)*(BULK_END&gt;=8))*IFERROR(BULK_VALUE,0))/MAX(1,SUMPRODUCT(((BULK_ENABLED="Y")*((BULK_TIER="ALL")+(BULK_TIER=$F47))*((BULK_SKU="ALL")+(BULK_SKU=$G47))*(BULK_START&lt;=8)*(BULK_END&gt;=8)))),0),ROUND((INDEX(VELOCITY_TABLE,MATCH($F47,TIER_LIST,0),1))*(IF((8-$I47+1)&lt;=0,0,IF((8-$I47+1)=1,RAMP_W1,IF((8-$I47+1)=2,RAMP_W2,IF((8-$I47+1)=3,RAMP_W3,RAMP_W4PLUS)))))*(INDEX(ACTIVE_MULT_TABLE,1,1))*(1+SUMPRODUCT(SIGN(((ACT_DOOR_SCOPE="ALL")+(ACT_DOOR_SCOPE="TIER_"&amp;$F47)+(ACT_DOOR_SCOPE=$B47)))*SIGN(((ACT_SKU_SCOPE="ALL")+(ACT_SKU_SCOPE=$G47)))*(ACT_START&lt;=8)*(ACT_END&gt;=8)*IFERROR(ACT_UPLIFT-1,0)))*(1+SUMPRODUCT(SIGN(((ACT_DOOR_SCOPE="ALL")+(ACT_DOOR_SCOPE="TIER_"&amp;$F47)+(ACT_DOOR_SCOPE=$B47)))*SIGN(((ACT_SKU_SCOPE="ALL")+(ACT_SKU_SCOPE=$G47)))*(8&gt;ACT_END)*(ACT_END&gt;0)*IFERROR(ACT_POSTLIFT,0))),0)))</f>
        <v/>
      </c>
      <c r="R47" s="10">
        <f>IF(OR($H47&lt;&gt;"Y",9&lt;$I47),0,IF(SUMPRODUCT(((BULK_ENABLED="Y")*((BULK_TIER="ALL")+(BULK_TIER=$F47))*((BULK_SKU="ALL")+(BULK_SKU=$G47))*(BULK_START&lt;=9)*(BULK_END&gt;=9)))&gt;0,IFERROR(SUMPRODUCT(((BULK_ENABLED="Y")*((BULK_TIER="ALL")+(BULK_TIER=$F47))*((BULK_SKU="ALL")+(BULK_SKU=$G47))*(BULK_START&lt;=9)*(BULK_END&gt;=9))*IFERROR(BULK_VALUE,0))/MAX(1,SUMPRODUCT(((BULK_ENABLED="Y")*((BULK_TIER="ALL")+(BULK_TIER=$F47))*((BULK_SKU="ALL")+(BULK_SKU=$G47))*(BULK_START&lt;=9)*(BULK_END&gt;=9)))),0),ROUND((INDEX(VELOCITY_TABLE,MATCH($F47,TIER_LIST,0),1))*(IF((9-$I47+1)&lt;=0,0,IF((9-$I47+1)=1,RAMP_W1,IF((9-$I47+1)=2,RAMP_W2,IF((9-$I47+1)=3,RAMP_W3,RAMP_W4PLUS)))))*(INDEX(ACTIVE_MULT_TABLE,1,1))*(1+SUMPRODUCT(SIGN(((ACT_DOOR_SCOPE="ALL")+(ACT_DOOR_SCOPE="TIER_"&amp;$F47)+(ACT_DOOR_SCOPE=$B47)))*SIGN(((ACT_SKU_SCOPE="ALL")+(ACT_SKU_SCOPE=$G47)))*(ACT_START&lt;=9)*(ACT_END&gt;=9)*IFERROR(ACT_UPLIFT-1,0)))*(1+SUMPRODUCT(SIGN(((ACT_DOOR_SCOPE="ALL")+(ACT_DOOR_SCOPE="TIER_"&amp;$F47)+(ACT_DOOR_SCOPE=$B47)))*SIGN(((ACT_SKU_SCOPE="ALL")+(ACT_SKU_SCOPE=$G47)))*(9&gt;ACT_END)*(ACT_END&gt;0)*IFERROR(ACT_POSTLIFT,0))),0)))</f>
        <v/>
      </c>
      <c r="S47" s="10">
        <f>IF(OR($H47&lt;&gt;"Y",10&lt;$I47),0,IF(SUMPRODUCT(((BULK_ENABLED="Y")*((BULK_TIER="ALL")+(BULK_TIER=$F47))*((BULK_SKU="ALL")+(BULK_SKU=$G47))*(BULK_START&lt;=10)*(BULK_END&gt;=10)))&gt;0,IFERROR(SUMPRODUCT(((BULK_ENABLED="Y")*((BULK_TIER="ALL")+(BULK_TIER=$F47))*((BULK_SKU="ALL")+(BULK_SKU=$G47))*(BULK_START&lt;=10)*(BULK_END&gt;=10))*IFERROR(BULK_VALUE,0))/MAX(1,SUMPRODUCT(((BULK_ENABLED="Y")*((BULK_TIER="ALL")+(BULK_TIER=$F47))*((BULK_SKU="ALL")+(BULK_SKU=$G47))*(BULK_START&lt;=10)*(BULK_END&gt;=10)))),0),ROUND((INDEX(VELOCITY_TABLE,MATCH($F47,TIER_LIST,0),1))*(IF((10-$I47+1)&lt;=0,0,IF((10-$I47+1)=1,RAMP_W1,IF((10-$I47+1)=2,RAMP_W2,IF((10-$I47+1)=3,RAMP_W3,RAMP_W4PLUS)))))*(INDEX(ACTIVE_MULT_TABLE,1,1))*(1+SUMPRODUCT(SIGN(((ACT_DOOR_SCOPE="ALL")+(ACT_DOOR_SCOPE="TIER_"&amp;$F47)+(ACT_DOOR_SCOPE=$B47)))*SIGN(((ACT_SKU_SCOPE="ALL")+(ACT_SKU_SCOPE=$G47)))*(ACT_START&lt;=10)*(ACT_END&gt;=10)*IFERROR(ACT_UPLIFT-1,0)))*(1+SUMPRODUCT(SIGN(((ACT_DOOR_SCOPE="ALL")+(ACT_DOOR_SCOPE="TIER_"&amp;$F47)+(ACT_DOOR_SCOPE=$B47)))*SIGN(((ACT_SKU_SCOPE="ALL")+(ACT_SKU_SCOPE=$G47)))*(10&gt;ACT_END)*(ACT_END&gt;0)*IFERROR(ACT_POSTLIFT,0))),0)))</f>
        <v/>
      </c>
      <c r="T47" s="10">
        <f>IF(OR($H47&lt;&gt;"Y",11&lt;$I47),0,IF(SUMPRODUCT(((BULK_ENABLED="Y")*((BULK_TIER="ALL")+(BULK_TIER=$F47))*((BULK_SKU="ALL")+(BULK_SKU=$G47))*(BULK_START&lt;=11)*(BULK_END&gt;=11)))&gt;0,IFERROR(SUMPRODUCT(((BULK_ENABLED="Y")*((BULK_TIER="ALL")+(BULK_TIER=$F47))*((BULK_SKU="ALL")+(BULK_SKU=$G47))*(BULK_START&lt;=11)*(BULK_END&gt;=11))*IFERROR(BULK_VALUE,0))/MAX(1,SUMPRODUCT(((BULK_ENABLED="Y")*((BULK_TIER="ALL")+(BULK_TIER=$F47))*((BULK_SKU="ALL")+(BULK_SKU=$G47))*(BULK_START&lt;=11)*(BULK_END&gt;=11)))),0),ROUND((INDEX(VELOCITY_TABLE,MATCH($F47,TIER_LIST,0),1))*(IF((11-$I47+1)&lt;=0,0,IF((11-$I47+1)=1,RAMP_W1,IF((11-$I47+1)=2,RAMP_W2,IF((11-$I47+1)=3,RAMP_W3,RAMP_W4PLUS)))))*(INDEX(ACTIVE_MULT_TABLE,1,1))*(1+SUMPRODUCT(SIGN(((ACT_DOOR_SCOPE="ALL")+(ACT_DOOR_SCOPE="TIER_"&amp;$F47)+(ACT_DOOR_SCOPE=$B47)))*SIGN(((ACT_SKU_SCOPE="ALL")+(ACT_SKU_SCOPE=$G47)))*(ACT_START&lt;=11)*(ACT_END&gt;=11)*IFERROR(ACT_UPLIFT-1,0)))*(1+SUMPRODUCT(SIGN(((ACT_DOOR_SCOPE="ALL")+(ACT_DOOR_SCOPE="TIER_"&amp;$F47)+(ACT_DOOR_SCOPE=$B47)))*SIGN(((ACT_SKU_SCOPE="ALL")+(ACT_SKU_SCOPE=$G47)))*(11&gt;ACT_END)*(ACT_END&gt;0)*IFERROR(ACT_POSTLIFT,0))),0)))</f>
        <v/>
      </c>
      <c r="U47" s="10">
        <f>IF(OR($H47&lt;&gt;"Y",12&lt;$I47),0,IF(SUMPRODUCT(((BULK_ENABLED="Y")*((BULK_TIER="ALL")+(BULK_TIER=$F47))*((BULK_SKU="ALL")+(BULK_SKU=$G47))*(BULK_START&lt;=12)*(BULK_END&gt;=12)))&gt;0,IFERROR(SUMPRODUCT(((BULK_ENABLED="Y")*((BULK_TIER="ALL")+(BULK_TIER=$F47))*((BULK_SKU="ALL")+(BULK_SKU=$G47))*(BULK_START&lt;=12)*(BULK_END&gt;=12))*IFERROR(BULK_VALUE,0))/MAX(1,SUMPRODUCT(((BULK_ENABLED="Y")*((BULK_TIER="ALL")+(BULK_TIER=$F47))*((BULK_SKU="ALL")+(BULK_SKU=$G47))*(BULK_START&lt;=12)*(BULK_END&gt;=12)))),0),ROUND((INDEX(VELOCITY_TABLE,MATCH($F47,TIER_LIST,0),1))*(IF((12-$I47+1)&lt;=0,0,IF((12-$I47+1)=1,RAMP_W1,IF((12-$I47+1)=2,RAMP_W2,IF((12-$I47+1)=3,RAMP_W3,RAMP_W4PLUS)))))*(INDEX(ACTIVE_MULT_TABLE,1,1))*(1+SUMPRODUCT(SIGN(((ACT_DOOR_SCOPE="ALL")+(ACT_DOOR_SCOPE="TIER_"&amp;$F47)+(ACT_DOOR_SCOPE=$B47)))*SIGN(((ACT_SKU_SCOPE="ALL")+(ACT_SKU_SCOPE=$G47)))*(ACT_START&lt;=12)*(ACT_END&gt;=12)*IFERROR(ACT_UPLIFT-1,0)))*(1+SUMPRODUCT(SIGN(((ACT_DOOR_SCOPE="ALL")+(ACT_DOOR_SCOPE="TIER_"&amp;$F47)+(ACT_DOOR_SCOPE=$B47)))*SIGN(((ACT_SKU_SCOPE="ALL")+(ACT_SKU_SCOPE=$G47)))*(12&gt;ACT_END)*(ACT_END&gt;0)*IFERROR(ACT_POSTLIFT,0))),0)))</f>
        <v/>
      </c>
      <c r="V47" s="10">
        <f>IF(OR($H47&lt;&gt;"Y",13&lt;$I47),0,IF(SUMPRODUCT(((BULK_ENABLED="Y")*((BULK_TIER="ALL")+(BULK_TIER=$F47))*((BULK_SKU="ALL")+(BULK_SKU=$G47))*(BULK_START&lt;=13)*(BULK_END&gt;=13)))&gt;0,IFERROR(SUMPRODUCT(((BULK_ENABLED="Y")*((BULK_TIER="ALL")+(BULK_TIER=$F47))*((BULK_SKU="ALL")+(BULK_SKU=$G47))*(BULK_START&lt;=13)*(BULK_END&gt;=13))*IFERROR(BULK_VALUE,0))/MAX(1,SUMPRODUCT(((BULK_ENABLED="Y")*((BULK_TIER="ALL")+(BULK_TIER=$F47))*((BULK_SKU="ALL")+(BULK_SKU=$G47))*(BULK_START&lt;=13)*(BULK_END&gt;=13)))),0),ROUND((INDEX(VELOCITY_TABLE,MATCH($F47,TIER_LIST,0),1))*(IF((13-$I47+1)&lt;=0,0,IF((13-$I47+1)=1,RAMP_W1,IF((13-$I47+1)=2,RAMP_W2,IF((13-$I47+1)=3,RAMP_W3,RAMP_W4PLUS)))))*(INDEX(ACTIVE_MULT_TABLE,1,1))*(1+SUMPRODUCT(SIGN(((ACT_DOOR_SCOPE="ALL")+(ACT_DOOR_SCOPE="TIER_"&amp;$F47)+(ACT_DOOR_SCOPE=$B47)))*SIGN(((ACT_SKU_SCOPE="ALL")+(ACT_SKU_SCOPE=$G47)))*(ACT_START&lt;=13)*(ACT_END&gt;=13)*IFERROR(ACT_UPLIFT-1,0)))*(1+SUMPRODUCT(SIGN(((ACT_DOOR_SCOPE="ALL")+(ACT_DOOR_SCOPE="TIER_"&amp;$F47)+(ACT_DOOR_SCOPE=$B47)))*SIGN(((ACT_SKU_SCOPE="ALL")+(ACT_SKU_SCOPE=$G47)))*(13&gt;ACT_END)*(ACT_END&gt;0)*IFERROR(ACT_POSTLIFT,0))),0)))</f>
        <v/>
      </c>
    </row>
    <row r="48">
      <c r="A48" t="inlineStr">
        <is>
          <t>R0044</t>
        </is>
      </c>
      <c r="B48">
        <f>Doors!$A$19</f>
        <v/>
      </c>
      <c r="C48">
        <f>Doors!$C$19</f>
        <v/>
      </c>
      <c r="D48">
        <f>Doors!$B$19</f>
        <v/>
      </c>
      <c r="E48">
        <f>Doors!$E$19</f>
        <v/>
      </c>
      <c r="F48">
        <f>Doors!$F$19</f>
        <v/>
      </c>
      <c r="G48" t="inlineStr">
        <is>
          <t>Pineapple Passion Fruit</t>
        </is>
      </c>
      <c r="H48">
        <f>Doors!$H$19</f>
        <v/>
      </c>
      <c r="I48">
        <f>Doors!$J$19</f>
        <v/>
      </c>
      <c r="J48" s="10">
        <f>IF(OR($H48&lt;&gt;"Y",1&lt;$I48),0,IF(SUMPRODUCT(((BULK_ENABLED="Y")*((BULK_TIER="ALL")+(BULK_TIER=$F48))*((BULK_SKU="ALL")+(BULK_SKU=$G48))*(BULK_START&lt;=1)*(BULK_END&gt;=1)))&gt;0,IFERROR(SUMPRODUCT(((BULK_ENABLED="Y")*((BULK_TIER="ALL")+(BULK_TIER=$F48))*((BULK_SKU="ALL")+(BULK_SKU=$G48))*(BULK_START&lt;=1)*(BULK_END&gt;=1))*IFERROR(BULK_VALUE,0))/MAX(1,SUMPRODUCT(((BULK_ENABLED="Y")*((BULK_TIER="ALL")+(BULK_TIER=$F48))*((BULK_SKU="ALL")+(BULK_SKU=$G48))*(BULK_START&lt;=1)*(BULK_END&gt;=1)))),0),ROUND((INDEX(VELOCITY_TABLE,MATCH($F48,TIER_LIST,0),2))*(IF((1-$I48+1)&lt;=0,0,IF((1-$I48+1)=1,RAMP_W1,IF((1-$I48+1)=2,RAMP_W2,IF((1-$I48+1)=3,RAMP_W3,RAMP_W4PLUS)))))*(INDEX(ACTIVE_MULT_TABLE,2,1))*(1+SUMPRODUCT(SIGN(((ACT_DOOR_SCOPE="ALL")+(ACT_DOOR_SCOPE="TIER_"&amp;$F48)+(ACT_DOOR_SCOPE=$B48)))*SIGN(((ACT_SKU_SCOPE="ALL")+(ACT_SKU_SCOPE=$G48)))*(ACT_START&lt;=1)*(ACT_END&gt;=1)*IFERROR(ACT_UPLIFT-1,0)))*(1+SUMPRODUCT(SIGN(((ACT_DOOR_SCOPE="ALL")+(ACT_DOOR_SCOPE="TIER_"&amp;$F48)+(ACT_DOOR_SCOPE=$B48)))*SIGN(((ACT_SKU_SCOPE="ALL")+(ACT_SKU_SCOPE=$G48)))*(1&gt;ACT_END)*(ACT_END&gt;0)*IFERROR(ACT_POSTLIFT,0))),0)))</f>
        <v/>
      </c>
      <c r="K48" s="10">
        <f>IF(OR($H48&lt;&gt;"Y",2&lt;$I48),0,IF(SUMPRODUCT(((BULK_ENABLED="Y")*((BULK_TIER="ALL")+(BULK_TIER=$F48))*((BULK_SKU="ALL")+(BULK_SKU=$G48))*(BULK_START&lt;=2)*(BULK_END&gt;=2)))&gt;0,IFERROR(SUMPRODUCT(((BULK_ENABLED="Y")*((BULK_TIER="ALL")+(BULK_TIER=$F48))*((BULK_SKU="ALL")+(BULK_SKU=$G48))*(BULK_START&lt;=2)*(BULK_END&gt;=2))*IFERROR(BULK_VALUE,0))/MAX(1,SUMPRODUCT(((BULK_ENABLED="Y")*((BULK_TIER="ALL")+(BULK_TIER=$F48))*((BULK_SKU="ALL")+(BULK_SKU=$G48))*(BULK_START&lt;=2)*(BULK_END&gt;=2)))),0),ROUND((INDEX(VELOCITY_TABLE,MATCH($F48,TIER_LIST,0),2))*(IF((2-$I48+1)&lt;=0,0,IF((2-$I48+1)=1,RAMP_W1,IF((2-$I48+1)=2,RAMP_W2,IF((2-$I48+1)=3,RAMP_W3,RAMP_W4PLUS)))))*(INDEX(ACTIVE_MULT_TABLE,2,1))*(1+SUMPRODUCT(SIGN(((ACT_DOOR_SCOPE="ALL")+(ACT_DOOR_SCOPE="TIER_"&amp;$F48)+(ACT_DOOR_SCOPE=$B48)))*SIGN(((ACT_SKU_SCOPE="ALL")+(ACT_SKU_SCOPE=$G48)))*(ACT_START&lt;=2)*(ACT_END&gt;=2)*IFERROR(ACT_UPLIFT-1,0)))*(1+SUMPRODUCT(SIGN(((ACT_DOOR_SCOPE="ALL")+(ACT_DOOR_SCOPE="TIER_"&amp;$F48)+(ACT_DOOR_SCOPE=$B48)))*SIGN(((ACT_SKU_SCOPE="ALL")+(ACT_SKU_SCOPE=$G48)))*(2&gt;ACT_END)*(ACT_END&gt;0)*IFERROR(ACT_POSTLIFT,0))),0)))</f>
        <v/>
      </c>
      <c r="L48" s="10">
        <f>IF(OR($H48&lt;&gt;"Y",3&lt;$I48),0,IF(SUMPRODUCT(((BULK_ENABLED="Y")*((BULK_TIER="ALL")+(BULK_TIER=$F48))*((BULK_SKU="ALL")+(BULK_SKU=$G48))*(BULK_START&lt;=3)*(BULK_END&gt;=3)))&gt;0,IFERROR(SUMPRODUCT(((BULK_ENABLED="Y")*((BULK_TIER="ALL")+(BULK_TIER=$F48))*((BULK_SKU="ALL")+(BULK_SKU=$G48))*(BULK_START&lt;=3)*(BULK_END&gt;=3))*IFERROR(BULK_VALUE,0))/MAX(1,SUMPRODUCT(((BULK_ENABLED="Y")*((BULK_TIER="ALL")+(BULK_TIER=$F48))*((BULK_SKU="ALL")+(BULK_SKU=$G48))*(BULK_START&lt;=3)*(BULK_END&gt;=3)))),0),ROUND((INDEX(VELOCITY_TABLE,MATCH($F48,TIER_LIST,0),2))*(IF((3-$I48+1)&lt;=0,0,IF((3-$I48+1)=1,RAMP_W1,IF((3-$I48+1)=2,RAMP_W2,IF((3-$I48+1)=3,RAMP_W3,RAMP_W4PLUS)))))*(INDEX(ACTIVE_MULT_TABLE,2,1))*(1+SUMPRODUCT(SIGN(((ACT_DOOR_SCOPE="ALL")+(ACT_DOOR_SCOPE="TIER_"&amp;$F48)+(ACT_DOOR_SCOPE=$B48)))*SIGN(((ACT_SKU_SCOPE="ALL")+(ACT_SKU_SCOPE=$G48)))*(ACT_START&lt;=3)*(ACT_END&gt;=3)*IFERROR(ACT_UPLIFT-1,0)))*(1+SUMPRODUCT(SIGN(((ACT_DOOR_SCOPE="ALL")+(ACT_DOOR_SCOPE="TIER_"&amp;$F48)+(ACT_DOOR_SCOPE=$B48)))*SIGN(((ACT_SKU_SCOPE="ALL")+(ACT_SKU_SCOPE=$G48)))*(3&gt;ACT_END)*(ACT_END&gt;0)*IFERROR(ACT_POSTLIFT,0))),0)))</f>
        <v/>
      </c>
      <c r="M48" s="10">
        <f>IF(OR($H48&lt;&gt;"Y",4&lt;$I48),0,IF(SUMPRODUCT(((BULK_ENABLED="Y")*((BULK_TIER="ALL")+(BULK_TIER=$F48))*((BULK_SKU="ALL")+(BULK_SKU=$G48))*(BULK_START&lt;=4)*(BULK_END&gt;=4)))&gt;0,IFERROR(SUMPRODUCT(((BULK_ENABLED="Y")*((BULK_TIER="ALL")+(BULK_TIER=$F48))*((BULK_SKU="ALL")+(BULK_SKU=$G48))*(BULK_START&lt;=4)*(BULK_END&gt;=4))*IFERROR(BULK_VALUE,0))/MAX(1,SUMPRODUCT(((BULK_ENABLED="Y")*((BULK_TIER="ALL")+(BULK_TIER=$F48))*((BULK_SKU="ALL")+(BULK_SKU=$G48))*(BULK_START&lt;=4)*(BULK_END&gt;=4)))),0),ROUND((INDEX(VELOCITY_TABLE,MATCH($F48,TIER_LIST,0),2))*(IF((4-$I48+1)&lt;=0,0,IF((4-$I48+1)=1,RAMP_W1,IF((4-$I48+1)=2,RAMP_W2,IF((4-$I48+1)=3,RAMP_W3,RAMP_W4PLUS)))))*(INDEX(ACTIVE_MULT_TABLE,2,1))*(1+SUMPRODUCT(SIGN(((ACT_DOOR_SCOPE="ALL")+(ACT_DOOR_SCOPE="TIER_"&amp;$F48)+(ACT_DOOR_SCOPE=$B48)))*SIGN(((ACT_SKU_SCOPE="ALL")+(ACT_SKU_SCOPE=$G48)))*(ACT_START&lt;=4)*(ACT_END&gt;=4)*IFERROR(ACT_UPLIFT-1,0)))*(1+SUMPRODUCT(SIGN(((ACT_DOOR_SCOPE="ALL")+(ACT_DOOR_SCOPE="TIER_"&amp;$F48)+(ACT_DOOR_SCOPE=$B48)))*SIGN(((ACT_SKU_SCOPE="ALL")+(ACT_SKU_SCOPE=$G48)))*(4&gt;ACT_END)*(ACT_END&gt;0)*IFERROR(ACT_POSTLIFT,0))),0)))</f>
        <v/>
      </c>
      <c r="N48" s="10">
        <f>IF(OR($H48&lt;&gt;"Y",5&lt;$I48),0,IF(SUMPRODUCT(((BULK_ENABLED="Y")*((BULK_TIER="ALL")+(BULK_TIER=$F48))*((BULK_SKU="ALL")+(BULK_SKU=$G48))*(BULK_START&lt;=5)*(BULK_END&gt;=5)))&gt;0,IFERROR(SUMPRODUCT(((BULK_ENABLED="Y")*((BULK_TIER="ALL")+(BULK_TIER=$F48))*((BULK_SKU="ALL")+(BULK_SKU=$G48))*(BULK_START&lt;=5)*(BULK_END&gt;=5))*IFERROR(BULK_VALUE,0))/MAX(1,SUMPRODUCT(((BULK_ENABLED="Y")*((BULK_TIER="ALL")+(BULK_TIER=$F48))*((BULK_SKU="ALL")+(BULK_SKU=$G48))*(BULK_START&lt;=5)*(BULK_END&gt;=5)))),0),ROUND((INDEX(VELOCITY_TABLE,MATCH($F48,TIER_LIST,0),2))*(IF((5-$I48+1)&lt;=0,0,IF((5-$I48+1)=1,RAMP_W1,IF((5-$I48+1)=2,RAMP_W2,IF((5-$I48+1)=3,RAMP_W3,RAMP_W4PLUS)))))*(INDEX(ACTIVE_MULT_TABLE,2,1))*(1+SUMPRODUCT(SIGN(((ACT_DOOR_SCOPE="ALL")+(ACT_DOOR_SCOPE="TIER_"&amp;$F48)+(ACT_DOOR_SCOPE=$B48)))*SIGN(((ACT_SKU_SCOPE="ALL")+(ACT_SKU_SCOPE=$G48)))*(ACT_START&lt;=5)*(ACT_END&gt;=5)*IFERROR(ACT_UPLIFT-1,0)))*(1+SUMPRODUCT(SIGN(((ACT_DOOR_SCOPE="ALL")+(ACT_DOOR_SCOPE="TIER_"&amp;$F48)+(ACT_DOOR_SCOPE=$B48)))*SIGN(((ACT_SKU_SCOPE="ALL")+(ACT_SKU_SCOPE=$G48)))*(5&gt;ACT_END)*(ACT_END&gt;0)*IFERROR(ACT_POSTLIFT,0))),0)))</f>
        <v/>
      </c>
      <c r="O48" s="10">
        <f>IF(OR($H48&lt;&gt;"Y",6&lt;$I48),0,IF(SUMPRODUCT(((BULK_ENABLED="Y")*((BULK_TIER="ALL")+(BULK_TIER=$F48))*((BULK_SKU="ALL")+(BULK_SKU=$G48))*(BULK_START&lt;=6)*(BULK_END&gt;=6)))&gt;0,IFERROR(SUMPRODUCT(((BULK_ENABLED="Y")*((BULK_TIER="ALL")+(BULK_TIER=$F48))*((BULK_SKU="ALL")+(BULK_SKU=$G48))*(BULK_START&lt;=6)*(BULK_END&gt;=6))*IFERROR(BULK_VALUE,0))/MAX(1,SUMPRODUCT(((BULK_ENABLED="Y")*((BULK_TIER="ALL")+(BULK_TIER=$F48))*((BULK_SKU="ALL")+(BULK_SKU=$G48))*(BULK_START&lt;=6)*(BULK_END&gt;=6)))),0),ROUND((INDEX(VELOCITY_TABLE,MATCH($F48,TIER_LIST,0),2))*(IF((6-$I48+1)&lt;=0,0,IF((6-$I48+1)=1,RAMP_W1,IF((6-$I48+1)=2,RAMP_W2,IF((6-$I48+1)=3,RAMP_W3,RAMP_W4PLUS)))))*(INDEX(ACTIVE_MULT_TABLE,2,1))*(1+SUMPRODUCT(SIGN(((ACT_DOOR_SCOPE="ALL")+(ACT_DOOR_SCOPE="TIER_"&amp;$F48)+(ACT_DOOR_SCOPE=$B48)))*SIGN(((ACT_SKU_SCOPE="ALL")+(ACT_SKU_SCOPE=$G48)))*(ACT_START&lt;=6)*(ACT_END&gt;=6)*IFERROR(ACT_UPLIFT-1,0)))*(1+SUMPRODUCT(SIGN(((ACT_DOOR_SCOPE="ALL")+(ACT_DOOR_SCOPE="TIER_"&amp;$F48)+(ACT_DOOR_SCOPE=$B48)))*SIGN(((ACT_SKU_SCOPE="ALL")+(ACT_SKU_SCOPE=$G48)))*(6&gt;ACT_END)*(ACT_END&gt;0)*IFERROR(ACT_POSTLIFT,0))),0)))</f>
        <v/>
      </c>
      <c r="P48" s="10">
        <f>IF(OR($H48&lt;&gt;"Y",7&lt;$I48),0,IF(SUMPRODUCT(((BULK_ENABLED="Y")*((BULK_TIER="ALL")+(BULK_TIER=$F48))*((BULK_SKU="ALL")+(BULK_SKU=$G48))*(BULK_START&lt;=7)*(BULK_END&gt;=7)))&gt;0,IFERROR(SUMPRODUCT(((BULK_ENABLED="Y")*((BULK_TIER="ALL")+(BULK_TIER=$F48))*((BULK_SKU="ALL")+(BULK_SKU=$G48))*(BULK_START&lt;=7)*(BULK_END&gt;=7))*IFERROR(BULK_VALUE,0))/MAX(1,SUMPRODUCT(((BULK_ENABLED="Y")*((BULK_TIER="ALL")+(BULK_TIER=$F48))*((BULK_SKU="ALL")+(BULK_SKU=$G48))*(BULK_START&lt;=7)*(BULK_END&gt;=7)))),0),ROUND((INDEX(VELOCITY_TABLE,MATCH($F48,TIER_LIST,0),2))*(IF((7-$I48+1)&lt;=0,0,IF((7-$I48+1)=1,RAMP_W1,IF((7-$I48+1)=2,RAMP_W2,IF((7-$I48+1)=3,RAMP_W3,RAMP_W4PLUS)))))*(INDEX(ACTIVE_MULT_TABLE,2,1))*(1+SUMPRODUCT(SIGN(((ACT_DOOR_SCOPE="ALL")+(ACT_DOOR_SCOPE="TIER_"&amp;$F48)+(ACT_DOOR_SCOPE=$B48)))*SIGN(((ACT_SKU_SCOPE="ALL")+(ACT_SKU_SCOPE=$G48)))*(ACT_START&lt;=7)*(ACT_END&gt;=7)*IFERROR(ACT_UPLIFT-1,0)))*(1+SUMPRODUCT(SIGN(((ACT_DOOR_SCOPE="ALL")+(ACT_DOOR_SCOPE="TIER_"&amp;$F48)+(ACT_DOOR_SCOPE=$B48)))*SIGN(((ACT_SKU_SCOPE="ALL")+(ACT_SKU_SCOPE=$G48)))*(7&gt;ACT_END)*(ACT_END&gt;0)*IFERROR(ACT_POSTLIFT,0))),0)))</f>
        <v/>
      </c>
      <c r="Q48" s="10">
        <f>IF(OR($H48&lt;&gt;"Y",8&lt;$I48),0,IF(SUMPRODUCT(((BULK_ENABLED="Y")*((BULK_TIER="ALL")+(BULK_TIER=$F48))*((BULK_SKU="ALL")+(BULK_SKU=$G48))*(BULK_START&lt;=8)*(BULK_END&gt;=8)))&gt;0,IFERROR(SUMPRODUCT(((BULK_ENABLED="Y")*((BULK_TIER="ALL")+(BULK_TIER=$F48))*((BULK_SKU="ALL")+(BULK_SKU=$G48))*(BULK_START&lt;=8)*(BULK_END&gt;=8))*IFERROR(BULK_VALUE,0))/MAX(1,SUMPRODUCT(((BULK_ENABLED="Y")*((BULK_TIER="ALL")+(BULK_TIER=$F48))*((BULK_SKU="ALL")+(BULK_SKU=$G48))*(BULK_START&lt;=8)*(BULK_END&gt;=8)))),0),ROUND((INDEX(VELOCITY_TABLE,MATCH($F48,TIER_LIST,0),2))*(IF((8-$I48+1)&lt;=0,0,IF((8-$I48+1)=1,RAMP_W1,IF((8-$I48+1)=2,RAMP_W2,IF((8-$I48+1)=3,RAMP_W3,RAMP_W4PLUS)))))*(INDEX(ACTIVE_MULT_TABLE,2,1))*(1+SUMPRODUCT(SIGN(((ACT_DOOR_SCOPE="ALL")+(ACT_DOOR_SCOPE="TIER_"&amp;$F48)+(ACT_DOOR_SCOPE=$B48)))*SIGN(((ACT_SKU_SCOPE="ALL")+(ACT_SKU_SCOPE=$G48)))*(ACT_START&lt;=8)*(ACT_END&gt;=8)*IFERROR(ACT_UPLIFT-1,0)))*(1+SUMPRODUCT(SIGN(((ACT_DOOR_SCOPE="ALL")+(ACT_DOOR_SCOPE="TIER_"&amp;$F48)+(ACT_DOOR_SCOPE=$B48)))*SIGN(((ACT_SKU_SCOPE="ALL")+(ACT_SKU_SCOPE=$G48)))*(8&gt;ACT_END)*(ACT_END&gt;0)*IFERROR(ACT_POSTLIFT,0))),0)))</f>
        <v/>
      </c>
      <c r="R48" s="10">
        <f>IF(OR($H48&lt;&gt;"Y",9&lt;$I48),0,IF(SUMPRODUCT(((BULK_ENABLED="Y")*((BULK_TIER="ALL")+(BULK_TIER=$F48))*((BULK_SKU="ALL")+(BULK_SKU=$G48))*(BULK_START&lt;=9)*(BULK_END&gt;=9)))&gt;0,IFERROR(SUMPRODUCT(((BULK_ENABLED="Y")*((BULK_TIER="ALL")+(BULK_TIER=$F48))*((BULK_SKU="ALL")+(BULK_SKU=$G48))*(BULK_START&lt;=9)*(BULK_END&gt;=9))*IFERROR(BULK_VALUE,0))/MAX(1,SUMPRODUCT(((BULK_ENABLED="Y")*((BULK_TIER="ALL")+(BULK_TIER=$F48))*((BULK_SKU="ALL")+(BULK_SKU=$G48))*(BULK_START&lt;=9)*(BULK_END&gt;=9)))),0),ROUND((INDEX(VELOCITY_TABLE,MATCH($F48,TIER_LIST,0),2))*(IF((9-$I48+1)&lt;=0,0,IF((9-$I48+1)=1,RAMP_W1,IF((9-$I48+1)=2,RAMP_W2,IF((9-$I48+1)=3,RAMP_W3,RAMP_W4PLUS)))))*(INDEX(ACTIVE_MULT_TABLE,2,1))*(1+SUMPRODUCT(SIGN(((ACT_DOOR_SCOPE="ALL")+(ACT_DOOR_SCOPE="TIER_"&amp;$F48)+(ACT_DOOR_SCOPE=$B48)))*SIGN(((ACT_SKU_SCOPE="ALL")+(ACT_SKU_SCOPE=$G48)))*(ACT_START&lt;=9)*(ACT_END&gt;=9)*IFERROR(ACT_UPLIFT-1,0)))*(1+SUMPRODUCT(SIGN(((ACT_DOOR_SCOPE="ALL")+(ACT_DOOR_SCOPE="TIER_"&amp;$F48)+(ACT_DOOR_SCOPE=$B48)))*SIGN(((ACT_SKU_SCOPE="ALL")+(ACT_SKU_SCOPE=$G48)))*(9&gt;ACT_END)*(ACT_END&gt;0)*IFERROR(ACT_POSTLIFT,0))),0)))</f>
        <v/>
      </c>
      <c r="S48" s="10">
        <f>IF(OR($H48&lt;&gt;"Y",10&lt;$I48),0,IF(SUMPRODUCT(((BULK_ENABLED="Y")*((BULK_TIER="ALL")+(BULK_TIER=$F48))*((BULK_SKU="ALL")+(BULK_SKU=$G48))*(BULK_START&lt;=10)*(BULK_END&gt;=10)))&gt;0,IFERROR(SUMPRODUCT(((BULK_ENABLED="Y")*((BULK_TIER="ALL")+(BULK_TIER=$F48))*((BULK_SKU="ALL")+(BULK_SKU=$G48))*(BULK_START&lt;=10)*(BULK_END&gt;=10))*IFERROR(BULK_VALUE,0))/MAX(1,SUMPRODUCT(((BULK_ENABLED="Y")*((BULK_TIER="ALL")+(BULK_TIER=$F48))*((BULK_SKU="ALL")+(BULK_SKU=$G48))*(BULK_START&lt;=10)*(BULK_END&gt;=10)))),0),ROUND((INDEX(VELOCITY_TABLE,MATCH($F48,TIER_LIST,0),2))*(IF((10-$I48+1)&lt;=0,0,IF((10-$I48+1)=1,RAMP_W1,IF((10-$I48+1)=2,RAMP_W2,IF((10-$I48+1)=3,RAMP_W3,RAMP_W4PLUS)))))*(INDEX(ACTIVE_MULT_TABLE,2,1))*(1+SUMPRODUCT(SIGN(((ACT_DOOR_SCOPE="ALL")+(ACT_DOOR_SCOPE="TIER_"&amp;$F48)+(ACT_DOOR_SCOPE=$B48)))*SIGN(((ACT_SKU_SCOPE="ALL")+(ACT_SKU_SCOPE=$G48)))*(ACT_START&lt;=10)*(ACT_END&gt;=10)*IFERROR(ACT_UPLIFT-1,0)))*(1+SUMPRODUCT(SIGN(((ACT_DOOR_SCOPE="ALL")+(ACT_DOOR_SCOPE="TIER_"&amp;$F48)+(ACT_DOOR_SCOPE=$B48)))*SIGN(((ACT_SKU_SCOPE="ALL")+(ACT_SKU_SCOPE=$G48)))*(10&gt;ACT_END)*(ACT_END&gt;0)*IFERROR(ACT_POSTLIFT,0))),0)))</f>
        <v/>
      </c>
      <c r="T48" s="10">
        <f>IF(OR($H48&lt;&gt;"Y",11&lt;$I48),0,IF(SUMPRODUCT(((BULK_ENABLED="Y")*((BULK_TIER="ALL")+(BULK_TIER=$F48))*((BULK_SKU="ALL")+(BULK_SKU=$G48))*(BULK_START&lt;=11)*(BULK_END&gt;=11)))&gt;0,IFERROR(SUMPRODUCT(((BULK_ENABLED="Y")*((BULK_TIER="ALL")+(BULK_TIER=$F48))*((BULK_SKU="ALL")+(BULK_SKU=$G48))*(BULK_START&lt;=11)*(BULK_END&gt;=11))*IFERROR(BULK_VALUE,0))/MAX(1,SUMPRODUCT(((BULK_ENABLED="Y")*((BULK_TIER="ALL")+(BULK_TIER=$F48))*((BULK_SKU="ALL")+(BULK_SKU=$G48))*(BULK_START&lt;=11)*(BULK_END&gt;=11)))),0),ROUND((INDEX(VELOCITY_TABLE,MATCH($F48,TIER_LIST,0),2))*(IF((11-$I48+1)&lt;=0,0,IF((11-$I48+1)=1,RAMP_W1,IF((11-$I48+1)=2,RAMP_W2,IF((11-$I48+1)=3,RAMP_W3,RAMP_W4PLUS)))))*(INDEX(ACTIVE_MULT_TABLE,2,1))*(1+SUMPRODUCT(SIGN(((ACT_DOOR_SCOPE="ALL")+(ACT_DOOR_SCOPE="TIER_"&amp;$F48)+(ACT_DOOR_SCOPE=$B48)))*SIGN(((ACT_SKU_SCOPE="ALL")+(ACT_SKU_SCOPE=$G48)))*(ACT_START&lt;=11)*(ACT_END&gt;=11)*IFERROR(ACT_UPLIFT-1,0)))*(1+SUMPRODUCT(SIGN(((ACT_DOOR_SCOPE="ALL")+(ACT_DOOR_SCOPE="TIER_"&amp;$F48)+(ACT_DOOR_SCOPE=$B48)))*SIGN(((ACT_SKU_SCOPE="ALL")+(ACT_SKU_SCOPE=$G48)))*(11&gt;ACT_END)*(ACT_END&gt;0)*IFERROR(ACT_POSTLIFT,0))),0)))</f>
        <v/>
      </c>
      <c r="U48" s="10">
        <f>IF(OR($H48&lt;&gt;"Y",12&lt;$I48),0,IF(SUMPRODUCT(((BULK_ENABLED="Y")*((BULK_TIER="ALL")+(BULK_TIER=$F48))*((BULK_SKU="ALL")+(BULK_SKU=$G48))*(BULK_START&lt;=12)*(BULK_END&gt;=12)))&gt;0,IFERROR(SUMPRODUCT(((BULK_ENABLED="Y")*((BULK_TIER="ALL")+(BULK_TIER=$F48))*((BULK_SKU="ALL")+(BULK_SKU=$G48))*(BULK_START&lt;=12)*(BULK_END&gt;=12))*IFERROR(BULK_VALUE,0))/MAX(1,SUMPRODUCT(((BULK_ENABLED="Y")*((BULK_TIER="ALL")+(BULK_TIER=$F48))*((BULK_SKU="ALL")+(BULK_SKU=$G48))*(BULK_START&lt;=12)*(BULK_END&gt;=12)))),0),ROUND((INDEX(VELOCITY_TABLE,MATCH($F48,TIER_LIST,0),2))*(IF((12-$I48+1)&lt;=0,0,IF((12-$I48+1)=1,RAMP_W1,IF((12-$I48+1)=2,RAMP_W2,IF((12-$I48+1)=3,RAMP_W3,RAMP_W4PLUS)))))*(INDEX(ACTIVE_MULT_TABLE,2,1))*(1+SUMPRODUCT(SIGN(((ACT_DOOR_SCOPE="ALL")+(ACT_DOOR_SCOPE="TIER_"&amp;$F48)+(ACT_DOOR_SCOPE=$B48)))*SIGN(((ACT_SKU_SCOPE="ALL")+(ACT_SKU_SCOPE=$G48)))*(ACT_START&lt;=12)*(ACT_END&gt;=12)*IFERROR(ACT_UPLIFT-1,0)))*(1+SUMPRODUCT(SIGN(((ACT_DOOR_SCOPE="ALL")+(ACT_DOOR_SCOPE="TIER_"&amp;$F48)+(ACT_DOOR_SCOPE=$B48)))*SIGN(((ACT_SKU_SCOPE="ALL")+(ACT_SKU_SCOPE=$G48)))*(12&gt;ACT_END)*(ACT_END&gt;0)*IFERROR(ACT_POSTLIFT,0))),0)))</f>
        <v/>
      </c>
      <c r="V48" s="10">
        <f>IF(OR($H48&lt;&gt;"Y",13&lt;$I48),0,IF(SUMPRODUCT(((BULK_ENABLED="Y")*((BULK_TIER="ALL")+(BULK_TIER=$F48))*((BULK_SKU="ALL")+(BULK_SKU=$G48))*(BULK_START&lt;=13)*(BULK_END&gt;=13)))&gt;0,IFERROR(SUMPRODUCT(((BULK_ENABLED="Y")*((BULK_TIER="ALL")+(BULK_TIER=$F48))*((BULK_SKU="ALL")+(BULK_SKU=$G48))*(BULK_START&lt;=13)*(BULK_END&gt;=13))*IFERROR(BULK_VALUE,0))/MAX(1,SUMPRODUCT(((BULK_ENABLED="Y")*((BULK_TIER="ALL")+(BULK_TIER=$F48))*((BULK_SKU="ALL")+(BULK_SKU=$G48))*(BULK_START&lt;=13)*(BULK_END&gt;=13)))),0),ROUND((INDEX(VELOCITY_TABLE,MATCH($F48,TIER_LIST,0),2))*(IF((13-$I48+1)&lt;=0,0,IF((13-$I48+1)=1,RAMP_W1,IF((13-$I48+1)=2,RAMP_W2,IF((13-$I48+1)=3,RAMP_W3,RAMP_W4PLUS)))))*(INDEX(ACTIVE_MULT_TABLE,2,1))*(1+SUMPRODUCT(SIGN(((ACT_DOOR_SCOPE="ALL")+(ACT_DOOR_SCOPE="TIER_"&amp;$F48)+(ACT_DOOR_SCOPE=$B48)))*SIGN(((ACT_SKU_SCOPE="ALL")+(ACT_SKU_SCOPE=$G48)))*(ACT_START&lt;=13)*(ACT_END&gt;=13)*IFERROR(ACT_UPLIFT-1,0)))*(1+SUMPRODUCT(SIGN(((ACT_DOOR_SCOPE="ALL")+(ACT_DOOR_SCOPE="TIER_"&amp;$F48)+(ACT_DOOR_SCOPE=$B48)))*SIGN(((ACT_SKU_SCOPE="ALL")+(ACT_SKU_SCOPE=$G48)))*(13&gt;ACT_END)*(ACT_END&gt;0)*IFERROR(ACT_POSTLIFT,0))),0)))</f>
        <v/>
      </c>
    </row>
    <row r="49">
      <c r="A49" t="inlineStr">
        <is>
          <t>R0045</t>
        </is>
      </c>
      <c r="B49">
        <f>Doors!$A$19</f>
        <v/>
      </c>
      <c r="C49">
        <f>Doors!$C$19</f>
        <v/>
      </c>
      <c r="D49">
        <f>Doors!$B$19</f>
        <v/>
      </c>
      <c r="E49">
        <f>Doors!$E$19</f>
        <v/>
      </c>
      <c r="F49">
        <f>Doors!$F$19</f>
        <v/>
      </c>
      <c r="G49" t="inlineStr">
        <is>
          <t>Raspberry</t>
        </is>
      </c>
      <c r="H49">
        <f>Doors!$I$19</f>
        <v/>
      </c>
      <c r="I49">
        <f>Doors!$J$19</f>
        <v/>
      </c>
      <c r="J49" s="10">
        <f>IF(OR($H49&lt;&gt;"Y",1&lt;$I49),0,IF(SUMPRODUCT(((BULK_ENABLED="Y")*((BULK_TIER="ALL")+(BULK_TIER=$F49))*((BULK_SKU="ALL")+(BULK_SKU=$G49))*(BULK_START&lt;=1)*(BULK_END&gt;=1)))&gt;0,IFERROR(SUMPRODUCT(((BULK_ENABLED="Y")*((BULK_TIER="ALL")+(BULK_TIER=$F49))*((BULK_SKU="ALL")+(BULK_SKU=$G49))*(BULK_START&lt;=1)*(BULK_END&gt;=1))*IFERROR(BULK_VALUE,0))/MAX(1,SUMPRODUCT(((BULK_ENABLED="Y")*((BULK_TIER="ALL")+(BULK_TIER=$F49))*((BULK_SKU="ALL")+(BULK_SKU=$G49))*(BULK_START&lt;=1)*(BULK_END&gt;=1)))),0),ROUND((INDEX(VELOCITY_TABLE,MATCH($F49,TIER_LIST,0),3))*(IF((1-$I49+1)&lt;=0,0,IF((1-$I49+1)=1,RAMP_W1,IF((1-$I49+1)=2,RAMP_W2,IF((1-$I49+1)=3,RAMP_W3,RAMP_W4PLUS)))))*(INDEX(ACTIVE_MULT_TABLE,3,1))*(1+SUMPRODUCT(SIGN(((ACT_DOOR_SCOPE="ALL")+(ACT_DOOR_SCOPE="TIER_"&amp;$F49)+(ACT_DOOR_SCOPE=$B49)))*SIGN(((ACT_SKU_SCOPE="ALL")+(ACT_SKU_SCOPE=$G49)))*(ACT_START&lt;=1)*(ACT_END&gt;=1)*IFERROR(ACT_UPLIFT-1,0)))*(1+SUMPRODUCT(SIGN(((ACT_DOOR_SCOPE="ALL")+(ACT_DOOR_SCOPE="TIER_"&amp;$F49)+(ACT_DOOR_SCOPE=$B49)))*SIGN(((ACT_SKU_SCOPE="ALL")+(ACT_SKU_SCOPE=$G49)))*(1&gt;ACT_END)*(ACT_END&gt;0)*IFERROR(ACT_POSTLIFT,0))),0)))</f>
        <v/>
      </c>
      <c r="K49" s="10">
        <f>IF(OR($H49&lt;&gt;"Y",2&lt;$I49),0,IF(SUMPRODUCT(((BULK_ENABLED="Y")*((BULK_TIER="ALL")+(BULK_TIER=$F49))*((BULK_SKU="ALL")+(BULK_SKU=$G49))*(BULK_START&lt;=2)*(BULK_END&gt;=2)))&gt;0,IFERROR(SUMPRODUCT(((BULK_ENABLED="Y")*((BULK_TIER="ALL")+(BULK_TIER=$F49))*((BULK_SKU="ALL")+(BULK_SKU=$G49))*(BULK_START&lt;=2)*(BULK_END&gt;=2))*IFERROR(BULK_VALUE,0))/MAX(1,SUMPRODUCT(((BULK_ENABLED="Y")*((BULK_TIER="ALL")+(BULK_TIER=$F49))*((BULK_SKU="ALL")+(BULK_SKU=$G49))*(BULK_START&lt;=2)*(BULK_END&gt;=2)))),0),ROUND((INDEX(VELOCITY_TABLE,MATCH($F49,TIER_LIST,0),3))*(IF((2-$I49+1)&lt;=0,0,IF((2-$I49+1)=1,RAMP_W1,IF((2-$I49+1)=2,RAMP_W2,IF((2-$I49+1)=3,RAMP_W3,RAMP_W4PLUS)))))*(INDEX(ACTIVE_MULT_TABLE,3,1))*(1+SUMPRODUCT(SIGN(((ACT_DOOR_SCOPE="ALL")+(ACT_DOOR_SCOPE="TIER_"&amp;$F49)+(ACT_DOOR_SCOPE=$B49)))*SIGN(((ACT_SKU_SCOPE="ALL")+(ACT_SKU_SCOPE=$G49)))*(ACT_START&lt;=2)*(ACT_END&gt;=2)*IFERROR(ACT_UPLIFT-1,0)))*(1+SUMPRODUCT(SIGN(((ACT_DOOR_SCOPE="ALL")+(ACT_DOOR_SCOPE="TIER_"&amp;$F49)+(ACT_DOOR_SCOPE=$B49)))*SIGN(((ACT_SKU_SCOPE="ALL")+(ACT_SKU_SCOPE=$G49)))*(2&gt;ACT_END)*(ACT_END&gt;0)*IFERROR(ACT_POSTLIFT,0))),0)))</f>
        <v/>
      </c>
      <c r="L49" s="10">
        <f>IF(OR($H49&lt;&gt;"Y",3&lt;$I49),0,IF(SUMPRODUCT(((BULK_ENABLED="Y")*((BULK_TIER="ALL")+(BULK_TIER=$F49))*((BULK_SKU="ALL")+(BULK_SKU=$G49))*(BULK_START&lt;=3)*(BULK_END&gt;=3)))&gt;0,IFERROR(SUMPRODUCT(((BULK_ENABLED="Y")*((BULK_TIER="ALL")+(BULK_TIER=$F49))*((BULK_SKU="ALL")+(BULK_SKU=$G49))*(BULK_START&lt;=3)*(BULK_END&gt;=3))*IFERROR(BULK_VALUE,0))/MAX(1,SUMPRODUCT(((BULK_ENABLED="Y")*((BULK_TIER="ALL")+(BULK_TIER=$F49))*((BULK_SKU="ALL")+(BULK_SKU=$G49))*(BULK_START&lt;=3)*(BULK_END&gt;=3)))),0),ROUND((INDEX(VELOCITY_TABLE,MATCH($F49,TIER_LIST,0),3))*(IF((3-$I49+1)&lt;=0,0,IF((3-$I49+1)=1,RAMP_W1,IF((3-$I49+1)=2,RAMP_W2,IF((3-$I49+1)=3,RAMP_W3,RAMP_W4PLUS)))))*(INDEX(ACTIVE_MULT_TABLE,3,1))*(1+SUMPRODUCT(SIGN(((ACT_DOOR_SCOPE="ALL")+(ACT_DOOR_SCOPE="TIER_"&amp;$F49)+(ACT_DOOR_SCOPE=$B49)))*SIGN(((ACT_SKU_SCOPE="ALL")+(ACT_SKU_SCOPE=$G49)))*(ACT_START&lt;=3)*(ACT_END&gt;=3)*IFERROR(ACT_UPLIFT-1,0)))*(1+SUMPRODUCT(SIGN(((ACT_DOOR_SCOPE="ALL")+(ACT_DOOR_SCOPE="TIER_"&amp;$F49)+(ACT_DOOR_SCOPE=$B49)))*SIGN(((ACT_SKU_SCOPE="ALL")+(ACT_SKU_SCOPE=$G49)))*(3&gt;ACT_END)*(ACT_END&gt;0)*IFERROR(ACT_POSTLIFT,0))),0)))</f>
        <v/>
      </c>
      <c r="M49" s="10">
        <f>IF(OR($H49&lt;&gt;"Y",4&lt;$I49),0,IF(SUMPRODUCT(((BULK_ENABLED="Y")*((BULK_TIER="ALL")+(BULK_TIER=$F49))*((BULK_SKU="ALL")+(BULK_SKU=$G49))*(BULK_START&lt;=4)*(BULK_END&gt;=4)))&gt;0,IFERROR(SUMPRODUCT(((BULK_ENABLED="Y")*((BULK_TIER="ALL")+(BULK_TIER=$F49))*((BULK_SKU="ALL")+(BULK_SKU=$G49))*(BULK_START&lt;=4)*(BULK_END&gt;=4))*IFERROR(BULK_VALUE,0))/MAX(1,SUMPRODUCT(((BULK_ENABLED="Y")*((BULK_TIER="ALL")+(BULK_TIER=$F49))*((BULK_SKU="ALL")+(BULK_SKU=$G49))*(BULK_START&lt;=4)*(BULK_END&gt;=4)))),0),ROUND((INDEX(VELOCITY_TABLE,MATCH($F49,TIER_LIST,0),3))*(IF((4-$I49+1)&lt;=0,0,IF((4-$I49+1)=1,RAMP_W1,IF((4-$I49+1)=2,RAMP_W2,IF((4-$I49+1)=3,RAMP_W3,RAMP_W4PLUS)))))*(INDEX(ACTIVE_MULT_TABLE,3,1))*(1+SUMPRODUCT(SIGN(((ACT_DOOR_SCOPE="ALL")+(ACT_DOOR_SCOPE="TIER_"&amp;$F49)+(ACT_DOOR_SCOPE=$B49)))*SIGN(((ACT_SKU_SCOPE="ALL")+(ACT_SKU_SCOPE=$G49)))*(ACT_START&lt;=4)*(ACT_END&gt;=4)*IFERROR(ACT_UPLIFT-1,0)))*(1+SUMPRODUCT(SIGN(((ACT_DOOR_SCOPE="ALL")+(ACT_DOOR_SCOPE="TIER_"&amp;$F49)+(ACT_DOOR_SCOPE=$B49)))*SIGN(((ACT_SKU_SCOPE="ALL")+(ACT_SKU_SCOPE=$G49)))*(4&gt;ACT_END)*(ACT_END&gt;0)*IFERROR(ACT_POSTLIFT,0))),0)))</f>
        <v/>
      </c>
      <c r="N49" s="10">
        <f>IF(OR($H49&lt;&gt;"Y",5&lt;$I49),0,IF(SUMPRODUCT(((BULK_ENABLED="Y")*((BULK_TIER="ALL")+(BULK_TIER=$F49))*((BULK_SKU="ALL")+(BULK_SKU=$G49))*(BULK_START&lt;=5)*(BULK_END&gt;=5)))&gt;0,IFERROR(SUMPRODUCT(((BULK_ENABLED="Y")*((BULK_TIER="ALL")+(BULK_TIER=$F49))*((BULK_SKU="ALL")+(BULK_SKU=$G49))*(BULK_START&lt;=5)*(BULK_END&gt;=5))*IFERROR(BULK_VALUE,0))/MAX(1,SUMPRODUCT(((BULK_ENABLED="Y")*((BULK_TIER="ALL")+(BULK_TIER=$F49))*((BULK_SKU="ALL")+(BULK_SKU=$G49))*(BULK_START&lt;=5)*(BULK_END&gt;=5)))),0),ROUND((INDEX(VELOCITY_TABLE,MATCH($F49,TIER_LIST,0),3))*(IF((5-$I49+1)&lt;=0,0,IF((5-$I49+1)=1,RAMP_W1,IF((5-$I49+1)=2,RAMP_W2,IF((5-$I49+1)=3,RAMP_W3,RAMP_W4PLUS)))))*(INDEX(ACTIVE_MULT_TABLE,3,1))*(1+SUMPRODUCT(SIGN(((ACT_DOOR_SCOPE="ALL")+(ACT_DOOR_SCOPE="TIER_"&amp;$F49)+(ACT_DOOR_SCOPE=$B49)))*SIGN(((ACT_SKU_SCOPE="ALL")+(ACT_SKU_SCOPE=$G49)))*(ACT_START&lt;=5)*(ACT_END&gt;=5)*IFERROR(ACT_UPLIFT-1,0)))*(1+SUMPRODUCT(SIGN(((ACT_DOOR_SCOPE="ALL")+(ACT_DOOR_SCOPE="TIER_"&amp;$F49)+(ACT_DOOR_SCOPE=$B49)))*SIGN(((ACT_SKU_SCOPE="ALL")+(ACT_SKU_SCOPE=$G49)))*(5&gt;ACT_END)*(ACT_END&gt;0)*IFERROR(ACT_POSTLIFT,0))),0)))</f>
        <v/>
      </c>
      <c r="O49" s="10">
        <f>IF(OR($H49&lt;&gt;"Y",6&lt;$I49),0,IF(SUMPRODUCT(((BULK_ENABLED="Y")*((BULK_TIER="ALL")+(BULK_TIER=$F49))*((BULK_SKU="ALL")+(BULK_SKU=$G49))*(BULK_START&lt;=6)*(BULK_END&gt;=6)))&gt;0,IFERROR(SUMPRODUCT(((BULK_ENABLED="Y")*((BULK_TIER="ALL")+(BULK_TIER=$F49))*((BULK_SKU="ALL")+(BULK_SKU=$G49))*(BULK_START&lt;=6)*(BULK_END&gt;=6))*IFERROR(BULK_VALUE,0))/MAX(1,SUMPRODUCT(((BULK_ENABLED="Y")*((BULK_TIER="ALL")+(BULK_TIER=$F49))*((BULK_SKU="ALL")+(BULK_SKU=$G49))*(BULK_START&lt;=6)*(BULK_END&gt;=6)))),0),ROUND((INDEX(VELOCITY_TABLE,MATCH($F49,TIER_LIST,0),3))*(IF((6-$I49+1)&lt;=0,0,IF((6-$I49+1)=1,RAMP_W1,IF((6-$I49+1)=2,RAMP_W2,IF((6-$I49+1)=3,RAMP_W3,RAMP_W4PLUS)))))*(INDEX(ACTIVE_MULT_TABLE,3,1))*(1+SUMPRODUCT(SIGN(((ACT_DOOR_SCOPE="ALL")+(ACT_DOOR_SCOPE="TIER_"&amp;$F49)+(ACT_DOOR_SCOPE=$B49)))*SIGN(((ACT_SKU_SCOPE="ALL")+(ACT_SKU_SCOPE=$G49)))*(ACT_START&lt;=6)*(ACT_END&gt;=6)*IFERROR(ACT_UPLIFT-1,0)))*(1+SUMPRODUCT(SIGN(((ACT_DOOR_SCOPE="ALL")+(ACT_DOOR_SCOPE="TIER_"&amp;$F49)+(ACT_DOOR_SCOPE=$B49)))*SIGN(((ACT_SKU_SCOPE="ALL")+(ACT_SKU_SCOPE=$G49)))*(6&gt;ACT_END)*(ACT_END&gt;0)*IFERROR(ACT_POSTLIFT,0))),0)))</f>
        <v/>
      </c>
      <c r="P49" s="10">
        <f>IF(OR($H49&lt;&gt;"Y",7&lt;$I49),0,IF(SUMPRODUCT(((BULK_ENABLED="Y")*((BULK_TIER="ALL")+(BULK_TIER=$F49))*((BULK_SKU="ALL")+(BULK_SKU=$G49))*(BULK_START&lt;=7)*(BULK_END&gt;=7)))&gt;0,IFERROR(SUMPRODUCT(((BULK_ENABLED="Y")*((BULK_TIER="ALL")+(BULK_TIER=$F49))*((BULK_SKU="ALL")+(BULK_SKU=$G49))*(BULK_START&lt;=7)*(BULK_END&gt;=7))*IFERROR(BULK_VALUE,0))/MAX(1,SUMPRODUCT(((BULK_ENABLED="Y")*((BULK_TIER="ALL")+(BULK_TIER=$F49))*((BULK_SKU="ALL")+(BULK_SKU=$G49))*(BULK_START&lt;=7)*(BULK_END&gt;=7)))),0),ROUND((INDEX(VELOCITY_TABLE,MATCH($F49,TIER_LIST,0),3))*(IF((7-$I49+1)&lt;=0,0,IF((7-$I49+1)=1,RAMP_W1,IF((7-$I49+1)=2,RAMP_W2,IF((7-$I49+1)=3,RAMP_W3,RAMP_W4PLUS)))))*(INDEX(ACTIVE_MULT_TABLE,3,1))*(1+SUMPRODUCT(SIGN(((ACT_DOOR_SCOPE="ALL")+(ACT_DOOR_SCOPE="TIER_"&amp;$F49)+(ACT_DOOR_SCOPE=$B49)))*SIGN(((ACT_SKU_SCOPE="ALL")+(ACT_SKU_SCOPE=$G49)))*(ACT_START&lt;=7)*(ACT_END&gt;=7)*IFERROR(ACT_UPLIFT-1,0)))*(1+SUMPRODUCT(SIGN(((ACT_DOOR_SCOPE="ALL")+(ACT_DOOR_SCOPE="TIER_"&amp;$F49)+(ACT_DOOR_SCOPE=$B49)))*SIGN(((ACT_SKU_SCOPE="ALL")+(ACT_SKU_SCOPE=$G49)))*(7&gt;ACT_END)*(ACT_END&gt;0)*IFERROR(ACT_POSTLIFT,0))),0)))</f>
        <v/>
      </c>
      <c r="Q49" s="10">
        <f>IF(OR($H49&lt;&gt;"Y",8&lt;$I49),0,IF(SUMPRODUCT(((BULK_ENABLED="Y")*((BULK_TIER="ALL")+(BULK_TIER=$F49))*((BULK_SKU="ALL")+(BULK_SKU=$G49))*(BULK_START&lt;=8)*(BULK_END&gt;=8)))&gt;0,IFERROR(SUMPRODUCT(((BULK_ENABLED="Y")*((BULK_TIER="ALL")+(BULK_TIER=$F49))*((BULK_SKU="ALL")+(BULK_SKU=$G49))*(BULK_START&lt;=8)*(BULK_END&gt;=8))*IFERROR(BULK_VALUE,0))/MAX(1,SUMPRODUCT(((BULK_ENABLED="Y")*((BULK_TIER="ALL")+(BULK_TIER=$F49))*((BULK_SKU="ALL")+(BULK_SKU=$G49))*(BULK_START&lt;=8)*(BULK_END&gt;=8)))),0),ROUND((INDEX(VELOCITY_TABLE,MATCH($F49,TIER_LIST,0),3))*(IF((8-$I49+1)&lt;=0,0,IF((8-$I49+1)=1,RAMP_W1,IF((8-$I49+1)=2,RAMP_W2,IF((8-$I49+1)=3,RAMP_W3,RAMP_W4PLUS)))))*(INDEX(ACTIVE_MULT_TABLE,3,1))*(1+SUMPRODUCT(SIGN(((ACT_DOOR_SCOPE="ALL")+(ACT_DOOR_SCOPE="TIER_"&amp;$F49)+(ACT_DOOR_SCOPE=$B49)))*SIGN(((ACT_SKU_SCOPE="ALL")+(ACT_SKU_SCOPE=$G49)))*(ACT_START&lt;=8)*(ACT_END&gt;=8)*IFERROR(ACT_UPLIFT-1,0)))*(1+SUMPRODUCT(SIGN(((ACT_DOOR_SCOPE="ALL")+(ACT_DOOR_SCOPE="TIER_"&amp;$F49)+(ACT_DOOR_SCOPE=$B49)))*SIGN(((ACT_SKU_SCOPE="ALL")+(ACT_SKU_SCOPE=$G49)))*(8&gt;ACT_END)*(ACT_END&gt;0)*IFERROR(ACT_POSTLIFT,0))),0)))</f>
        <v/>
      </c>
      <c r="R49" s="10">
        <f>IF(OR($H49&lt;&gt;"Y",9&lt;$I49),0,IF(SUMPRODUCT(((BULK_ENABLED="Y")*((BULK_TIER="ALL")+(BULK_TIER=$F49))*((BULK_SKU="ALL")+(BULK_SKU=$G49))*(BULK_START&lt;=9)*(BULK_END&gt;=9)))&gt;0,IFERROR(SUMPRODUCT(((BULK_ENABLED="Y")*((BULK_TIER="ALL")+(BULK_TIER=$F49))*((BULK_SKU="ALL")+(BULK_SKU=$G49))*(BULK_START&lt;=9)*(BULK_END&gt;=9))*IFERROR(BULK_VALUE,0))/MAX(1,SUMPRODUCT(((BULK_ENABLED="Y")*((BULK_TIER="ALL")+(BULK_TIER=$F49))*((BULK_SKU="ALL")+(BULK_SKU=$G49))*(BULK_START&lt;=9)*(BULK_END&gt;=9)))),0),ROUND((INDEX(VELOCITY_TABLE,MATCH($F49,TIER_LIST,0),3))*(IF((9-$I49+1)&lt;=0,0,IF((9-$I49+1)=1,RAMP_W1,IF((9-$I49+1)=2,RAMP_W2,IF((9-$I49+1)=3,RAMP_W3,RAMP_W4PLUS)))))*(INDEX(ACTIVE_MULT_TABLE,3,1))*(1+SUMPRODUCT(SIGN(((ACT_DOOR_SCOPE="ALL")+(ACT_DOOR_SCOPE="TIER_"&amp;$F49)+(ACT_DOOR_SCOPE=$B49)))*SIGN(((ACT_SKU_SCOPE="ALL")+(ACT_SKU_SCOPE=$G49)))*(ACT_START&lt;=9)*(ACT_END&gt;=9)*IFERROR(ACT_UPLIFT-1,0)))*(1+SUMPRODUCT(SIGN(((ACT_DOOR_SCOPE="ALL")+(ACT_DOOR_SCOPE="TIER_"&amp;$F49)+(ACT_DOOR_SCOPE=$B49)))*SIGN(((ACT_SKU_SCOPE="ALL")+(ACT_SKU_SCOPE=$G49)))*(9&gt;ACT_END)*(ACT_END&gt;0)*IFERROR(ACT_POSTLIFT,0))),0)))</f>
        <v/>
      </c>
      <c r="S49" s="10">
        <f>IF(OR($H49&lt;&gt;"Y",10&lt;$I49),0,IF(SUMPRODUCT(((BULK_ENABLED="Y")*((BULK_TIER="ALL")+(BULK_TIER=$F49))*((BULK_SKU="ALL")+(BULK_SKU=$G49))*(BULK_START&lt;=10)*(BULK_END&gt;=10)))&gt;0,IFERROR(SUMPRODUCT(((BULK_ENABLED="Y")*((BULK_TIER="ALL")+(BULK_TIER=$F49))*((BULK_SKU="ALL")+(BULK_SKU=$G49))*(BULK_START&lt;=10)*(BULK_END&gt;=10))*IFERROR(BULK_VALUE,0))/MAX(1,SUMPRODUCT(((BULK_ENABLED="Y")*((BULK_TIER="ALL")+(BULK_TIER=$F49))*((BULK_SKU="ALL")+(BULK_SKU=$G49))*(BULK_START&lt;=10)*(BULK_END&gt;=10)))),0),ROUND((INDEX(VELOCITY_TABLE,MATCH($F49,TIER_LIST,0),3))*(IF((10-$I49+1)&lt;=0,0,IF((10-$I49+1)=1,RAMP_W1,IF((10-$I49+1)=2,RAMP_W2,IF((10-$I49+1)=3,RAMP_W3,RAMP_W4PLUS)))))*(INDEX(ACTIVE_MULT_TABLE,3,1))*(1+SUMPRODUCT(SIGN(((ACT_DOOR_SCOPE="ALL")+(ACT_DOOR_SCOPE="TIER_"&amp;$F49)+(ACT_DOOR_SCOPE=$B49)))*SIGN(((ACT_SKU_SCOPE="ALL")+(ACT_SKU_SCOPE=$G49)))*(ACT_START&lt;=10)*(ACT_END&gt;=10)*IFERROR(ACT_UPLIFT-1,0)))*(1+SUMPRODUCT(SIGN(((ACT_DOOR_SCOPE="ALL")+(ACT_DOOR_SCOPE="TIER_"&amp;$F49)+(ACT_DOOR_SCOPE=$B49)))*SIGN(((ACT_SKU_SCOPE="ALL")+(ACT_SKU_SCOPE=$G49)))*(10&gt;ACT_END)*(ACT_END&gt;0)*IFERROR(ACT_POSTLIFT,0))),0)))</f>
        <v/>
      </c>
      <c r="T49" s="10">
        <f>IF(OR($H49&lt;&gt;"Y",11&lt;$I49),0,IF(SUMPRODUCT(((BULK_ENABLED="Y")*((BULK_TIER="ALL")+(BULK_TIER=$F49))*((BULK_SKU="ALL")+(BULK_SKU=$G49))*(BULK_START&lt;=11)*(BULK_END&gt;=11)))&gt;0,IFERROR(SUMPRODUCT(((BULK_ENABLED="Y")*((BULK_TIER="ALL")+(BULK_TIER=$F49))*((BULK_SKU="ALL")+(BULK_SKU=$G49))*(BULK_START&lt;=11)*(BULK_END&gt;=11))*IFERROR(BULK_VALUE,0))/MAX(1,SUMPRODUCT(((BULK_ENABLED="Y")*((BULK_TIER="ALL")+(BULK_TIER=$F49))*((BULK_SKU="ALL")+(BULK_SKU=$G49))*(BULK_START&lt;=11)*(BULK_END&gt;=11)))),0),ROUND((INDEX(VELOCITY_TABLE,MATCH($F49,TIER_LIST,0),3))*(IF((11-$I49+1)&lt;=0,0,IF((11-$I49+1)=1,RAMP_W1,IF((11-$I49+1)=2,RAMP_W2,IF((11-$I49+1)=3,RAMP_W3,RAMP_W4PLUS)))))*(INDEX(ACTIVE_MULT_TABLE,3,1))*(1+SUMPRODUCT(SIGN(((ACT_DOOR_SCOPE="ALL")+(ACT_DOOR_SCOPE="TIER_"&amp;$F49)+(ACT_DOOR_SCOPE=$B49)))*SIGN(((ACT_SKU_SCOPE="ALL")+(ACT_SKU_SCOPE=$G49)))*(ACT_START&lt;=11)*(ACT_END&gt;=11)*IFERROR(ACT_UPLIFT-1,0)))*(1+SUMPRODUCT(SIGN(((ACT_DOOR_SCOPE="ALL")+(ACT_DOOR_SCOPE="TIER_"&amp;$F49)+(ACT_DOOR_SCOPE=$B49)))*SIGN(((ACT_SKU_SCOPE="ALL")+(ACT_SKU_SCOPE=$G49)))*(11&gt;ACT_END)*(ACT_END&gt;0)*IFERROR(ACT_POSTLIFT,0))),0)))</f>
        <v/>
      </c>
      <c r="U49" s="10">
        <f>IF(OR($H49&lt;&gt;"Y",12&lt;$I49),0,IF(SUMPRODUCT(((BULK_ENABLED="Y")*((BULK_TIER="ALL")+(BULK_TIER=$F49))*((BULK_SKU="ALL")+(BULK_SKU=$G49))*(BULK_START&lt;=12)*(BULK_END&gt;=12)))&gt;0,IFERROR(SUMPRODUCT(((BULK_ENABLED="Y")*((BULK_TIER="ALL")+(BULK_TIER=$F49))*((BULK_SKU="ALL")+(BULK_SKU=$G49))*(BULK_START&lt;=12)*(BULK_END&gt;=12))*IFERROR(BULK_VALUE,0))/MAX(1,SUMPRODUCT(((BULK_ENABLED="Y")*((BULK_TIER="ALL")+(BULK_TIER=$F49))*((BULK_SKU="ALL")+(BULK_SKU=$G49))*(BULK_START&lt;=12)*(BULK_END&gt;=12)))),0),ROUND((INDEX(VELOCITY_TABLE,MATCH($F49,TIER_LIST,0),3))*(IF((12-$I49+1)&lt;=0,0,IF((12-$I49+1)=1,RAMP_W1,IF((12-$I49+1)=2,RAMP_W2,IF((12-$I49+1)=3,RAMP_W3,RAMP_W4PLUS)))))*(INDEX(ACTIVE_MULT_TABLE,3,1))*(1+SUMPRODUCT(SIGN(((ACT_DOOR_SCOPE="ALL")+(ACT_DOOR_SCOPE="TIER_"&amp;$F49)+(ACT_DOOR_SCOPE=$B49)))*SIGN(((ACT_SKU_SCOPE="ALL")+(ACT_SKU_SCOPE=$G49)))*(ACT_START&lt;=12)*(ACT_END&gt;=12)*IFERROR(ACT_UPLIFT-1,0)))*(1+SUMPRODUCT(SIGN(((ACT_DOOR_SCOPE="ALL")+(ACT_DOOR_SCOPE="TIER_"&amp;$F49)+(ACT_DOOR_SCOPE=$B49)))*SIGN(((ACT_SKU_SCOPE="ALL")+(ACT_SKU_SCOPE=$G49)))*(12&gt;ACT_END)*(ACT_END&gt;0)*IFERROR(ACT_POSTLIFT,0))),0)))</f>
        <v/>
      </c>
      <c r="V49" s="10">
        <f>IF(OR($H49&lt;&gt;"Y",13&lt;$I49),0,IF(SUMPRODUCT(((BULK_ENABLED="Y")*((BULK_TIER="ALL")+(BULK_TIER=$F49))*((BULK_SKU="ALL")+(BULK_SKU=$G49))*(BULK_START&lt;=13)*(BULK_END&gt;=13)))&gt;0,IFERROR(SUMPRODUCT(((BULK_ENABLED="Y")*((BULK_TIER="ALL")+(BULK_TIER=$F49))*((BULK_SKU="ALL")+(BULK_SKU=$G49))*(BULK_START&lt;=13)*(BULK_END&gt;=13))*IFERROR(BULK_VALUE,0))/MAX(1,SUMPRODUCT(((BULK_ENABLED="Y")*((BULK_TIER="ALL")+(BULK_TIER=$F49))*((BULK_SKU="ALL")+(BULK_SKU=$G49))*(BULK_START&lt;=13)*(BULK_END&gt;=13)))),0),ROUND((INDEX(VELOCITY_TABLE,MATCH($F49,TIER_LIST,0),3))*(IF((13-$I49+1)&lt;=0,0,IF((13-$I49+1)=1,RAMP_W1,IF((13-$I49+1)=2,RAMP_W2,IF((13-$I49+1)=3,RAMP_W3,RAMP_W4PLUS)))))*(INDEX(ACTIVE_MULT_TABLE,3,1))*(1+SUMPRODUCT(SIGN(((ACT_DOOR_SCOPE="ALL")+(ACT_DOOR_SCOPE="TIER_"&amp;$F49)+(ACT_DOOR_SCOPE=$B49)))*SIGN(((ACT_SKU_SCOPE="ALL")+(ACT_SKU_SCOPE=$G49)))*(ACT_START&lt;=13)*(ACT_END&gt;=13)*IFERROR(ACT_UPLIFT-1,0)))*(1+SUMPRODUCT(SIGN(((ACT_DOOR_SCOPE="ALL")+(ACT_DOOR_SCOPE="TIER_"&amp;$F49)+(ACT_DOOR_SCOPE=$B49)))*SIGN(((ACT_SKU_SCOPE="ALL")+(ACT_SKU_SCOPE=$G49)))*(13&gt;ACT_END)*(ACT_END&gt;0)*IFERROR(ACT_POSTLIFT,0))),0)))</f>
        <v/>
      </c>
    </row>
    <row r="50">
      <c r="A50" t="inlineStr">
        <is>
          <t>R0046</t>
        </is>
      </c>
      <c r="B50">
        <f>Doors!$A$20</f>
        <v/>
      </c>
      <c r="C50">
        <f>Doors!$C$20</f>
        <v/>
      </c>
      <c r="D50">
        <f>Doors!$B$20</f>
        <v/>
      </c>
      <c r="E50">
        <f>Doors!$E$20</f>
        <v/>
      </c>
      <c r="F50">
        <f>Doors!$F$20</f>
        <v/>
      </c>
      <c r="G50" t="inlineStr">
        <is>
          <t>Lime Lemon</t>
        </is>
      </c>
      <c r="H50">
        <f>Doors!$G$20</f>
        <v/>
      </c>
      <c r="I50">
        <f>Doors!$J$20</f>
        <v/>
      </c>
      <c r="J50" s="10">
        <f>IF(OR($H50&lt;&gt;"Y",1&lt;$I50),0,IF(SUMPRODUCT(((BULK_ENABLED="Y")*((BULK_TIER="ALL")+(BULK_TIER=$F50))*((BULK_SKU="ALL")+(BULK_SKU=$G50))*(BULK_START&lt;=1)*(BULK_END&gt;=1)))&gt;0,IFERROR(SUMPRODUCT(((BULK_ENABLED="Y")*((BULK_TIER="ALL")+(BULK_TIER=$F50))*((BULK_SKU="ALL")+(BULK_SKU=$G50))*(BULK_START&lt;=1)*(BULK_END&gt;=1))*IFERROR(BULK_VALUE,0))/MAX(1,SUMPRODUCT(((BULK_ENABLED="Y")*((BULK_TIER="ALL")+(BULK_TIER=$F50))*((BULK_SKU="ALL")+(BULK_SKU=$G50))*(BULK_START&lt;=1)*(BULK_END&gt;=1)))),0),ROUND((INDEX(VELOCITY_TABLE,MATCH($F50,TIER_LIST,0),1))*(IF((1-$I50+1)&lt;=0,0,IF((1-$I50+1)=1,RAMP_W1,IF((1-$I50+1)=2,RAMP_W2,IF((1-$I50+1)=3,RAMP_W3,RAMP_W4PLUS)))))*(INDEX(ACTIVE_MULT_TABLE,1,1))*(1+SUMPRODUCT(SIGN(((ACT_DOOR_SCOPE="ALL")+(ACT_DOOR_SCOPE="TIER_"&amp;$F50)+(ACT_DOOR_SCOPE=$B50)))*SIGN(((ACT_SKU_SCOPE="ALL")+(ACT_SKU_SCOPE=$G50)))*(ACT_START&lt;=1)*(ACT_END&gt;=1)*IFERROR(ACT_UPLIFT-1,0)))*(1+SUMPRODUCT(SIGN(((ACT_DOOR_SCOPE="ALL")+(ACT_DOOR_SCOPE="TIER_"&amp;$F50)+(ACT_DOOR_SCOPE=$B50)))*SIGN(((ACT_SKU_SCOPE="ALL")+(ACT_SKU_SCOPE=$G50)))*(1&gt;ACT_END)*(ACT_END&gt;0)*IFERROR(ACT_POSTLIFT,0))),0)))</f>
        <v/>
      </c>
      <c r="K50" s="10">
        <f>IF(OR($H50&lt;&gt;"Y",2&lt;$I50),0,IF(SUMPRODUCT(((BULK_ENABLED="Y")*((BULK_TIER="ALL")+(BULK_TIER=$F50))*((BULK_SKU="ALL")+(BULK_SKU=$G50))*(BULK_START&lt;=2)*(BULK_END&gt;=2)))&gt;0,IFERROR(SUMPRODUCT(((BULK_ENABLED="Y")*((BULK_TIER="ALL")+(BULK_TIER=$F50))*((BULK_SKU="ALL")+(BULK_SKU=$G50))*(BULK_START&lt;=2)*(BULK_END&gt;=2))*IFERROR(BULK_VALUE,0))/MAX(1,SUMPRODUCT(((BULK_ENABLED="Y")*((BULK_TIER="ALL")+(BULK_TIER=$F50))*((BULK_SKU="ALL")+(BULK_SKU=$G50))*(BULK_START&lt;=2)*(BULK_END&gt;=2)))),0),ROUND((INDEX(VELOCITY_TABLE,MATCH($F50,TIER_LIST,0),1))*(IF((2-$I50+1)&lt;=0,0,IF((2-$I50+1)=1,RAMP_W1,IF((2-$I50+1)=2,RAMP_W2,IF((2-$I50+1)=3,RAMP_W3,RAMP_W4PLUS)))))*(INDEX(ACTIVE_MULT_TABLE,1,1))*(1+SUMPRODUCT(SIGN(((ACT_DOOR_SCOPE="ALL")+(ACT_DOOR_SCOPE="TIER_"&amp;$F50)+(ACT_DOOR_SCOPE=$B50)))*SIGN(((ACT_SKU_SCOPE="ALL")+(ACT_SKU_SCOPE=$G50)))*(ACT_START&lt;=2)*(ACT_END&gt;=2)*IFERROR(ACT_UPLIFT-1,0)))*(1+SUMPRODUCT(SIGN(((ACT_DOOR_SCOPE="ALL")+(ACT_DOOR_SCOPE="TIER_"&amp;$F50)+(ACT_DOOR_SCOPE=$B50)))*SIGN(((ACT_SKU_SCOPE="ALL")+(ACT_SKU_SCOPE=$G50)))*(2&gt;ACT_END)*(ACT_END&gt;0)*IFERROR(ACT_POSTLIFT,0))),0)))</f>
        <v/>
      </c>
      <c r="L50" s="10">
        <f>IF(OR($H50&lt;&gt;"Y",3&lt;$I50),0,IF(SUMPRODUCT(((BULK_ENABLED="Y")*((BULK_TIER="ALL")+(BULK_TIER=$F50))*((BULK_SKU="ALL")+(BULK_SKU=$G50))*(BULK_START&lt;=3)*(BULK_END&gt;=3)))&gt;0,IFERROR(SUMPRODUCT(((BULK_ENABLED="Y")*((BULK_TIER="ALL")+(BULK_TIER=$F50))*((BULK_SKU="ALL")+(BULK_SKU=$G50))*(BULK_START&lt;=3)*(BULK_END&gt;=3))*IFERROR(BULK_VALUE,0))/MAX(1,SUMPRODUCT(((BULK_ENABLED="Y")*((BULK_TIER="ALL")+(BULK_TIER=$F50))*((BULK_SKU="ALL")+(BULK_SKU=$G50))*(BULK_START&lt;=3)*(BULK_END&gt;=3)))),0),ROUND((INDEX(VELOCITY_TABLE,MATCH($F50,TIER_LIST,0),1))*(IF((3-$I50+1)&lt;=0,0,IF((3-$I50+1)=1,RAMP_W1,IF((3-$I50+1)=2,RAMP_W2,IF((3-$I50+1)=3,RAMP_W3,RAMP_W4PLUS)))))*(INDEX(ACTIVE_MULT_TABLE,1,1))*(1+SUMPRODUCT(SIGN(((ACT_DOOR_SCOPE="ALL")+(ACT_DOOR_SCOPE="TIER_"&amp;$F50)+(ACT_DOOR_SCOPE=$B50)))*SIGN(((ACT_SKU_SCOPE="ALL")+(ACT_SKU_SCOPE=$G50)))*(ACT_START&lt;=3)*(ACT_END&gt;=3)*IFERROR(ACT_UPLIFT-1,0)))*(1+SUMPRODUCT(SIGN(((ACT_DOOR_SCOPE="ALL")+(ACT_DOOR_SCOPE="TIER_"&amp;$F50)+(ACT_DOOR_SCOPE=$B50)))*SIGN(((ACT_SKU_SCOPE="ALL")+(ACT_SKU_SCOPE=$G50)))*(3&gt;ACT_END)*(ACT_END&gt;0)*IFERROR(ACT_POSTLIFT,0))),0)))</f>
        <v/>
      </c>
      <c r="M50" s="10">
        <f>IF(OR($H50&lt;&gt;"Y",4&lt;$I50),0,IF(SUMPRODUCT(((BULK_ENABLED="Y")*((BULK_TIER="ALL")+(BULK_TIER=$F50))*((BULK_SKU="ALL")+(BULK_SKU=$G50))*(BULK_START&lt;=4)*(BULK_END&gt;=4)))&gt;0,IFERROR(SUMPRODUCT(((BULK_ENABLED="Y")*((BULK_TIER="ALL")+(BULK_TIER=$F50))*((BULK_SKU="ALL")+(BULK_SKU=$G50))*(BULK_START&lt;=4)*(BULK_END&gt;=4))*IFERROR(BULK_VALUE,0))/MAX(1,SUMPRODUCT(((BULK_ENABLED="Y")*((BULK_TIER="ALL")+(BULK_TIER=$F50))*((BULK_SKU="ALL")+(BULK_SKU=$G50))*(BULK_START&lt;=4)*(BULK_END&gt;=4)))),0),ROUND((INDEX(VELOCITY_TABLE,MATCH($F50,TIER_LIST,0),1))*(IF((4-$I50+1)&lt;=0,0,IF((4-$I50+1)=1,RAMP_W1,IF((4-$I50+1)=2,RAMP_W2,IF((4-$I50+1)=3,RAMP_W3,RAMP_W4PLUS)))))*(INDEX(ACTIVE_MULT_TABLE,1,1))*(1+SUMPRODUCT(SIGN(((ACT_DOOR_SCOPE="ALL")+(ACT_DOOR_SCOPE="TIER_"&amp;$F50)+(ACT_DOOR_SCOPE=$B50)))*SIGN(((ACT_SKU_SCOPE="ALL")+(ACT_SKU_SCOPE=$G50)))*(ACT_START&lt;=4)*(ACT_END&gt;=4)*IFERROR(ACT_UPLIFT-1,0)))*(1+SUMPRODUCT(SIGN(((ACT_DOOR_SCOPE="ALL")+(ACT_DOOR_SCOPE="TIER_"&amp;$F50)+(ACT_DOOR_SCOPE=$B50)))*SIGN(((ACT_SKU_SCOPE="ALL")+(ACT_SKU_SCOPE=$G50)))*(4&gt;ACT_END)*(ACT_END&gt;0)*IFERROR(ACT_POSTLIFT,0))),0)))</f>
        <v/>
      </c>
      <c r="N50" s="10">
        <f>IF(OR($H50&lt;&gt;"Y",5&lt;$I50),0,IF(SUMPRODUCT(((BULK_ENABLED="Y")*((BULK_TIER="ALL")+(BULK_TIER=$F50))*((BULK_SKU="ALL")+(BULK_SKU=$G50))*(BULK_START&lt;=5)*(BULK_END&gt;=5)))&gt;0,IFERROR(SUMPRODUCT(((BULK_ENABLED="Y")*((BULK_TIER="ALL")+(BULK_TIER=$F50))*((BULK_SKU="ALL")+(BULK_SKU=$G50))*(BULK_START&lt;=5)*(BULK_END&gt;=5))*IFERROR(BULK_VALUE,0))/MAX(1,SUMPRODUCT(((BULK_ENABLED="Y")*((BULK_TIER="ALL")+(BULK_TIER=$F50))*((BULK_SKU="ALL")+(BULK_SKU=$G50))*(BULK_START&lt;=5)*(BULK_END&gt;=5)))),0),ROUND((INDEX(VELOCITY_TABLE,MATCH($F50,TIER_LIST,0),1))*(IF((5-$I50+1)&lt;=0,0,IF((5-$I50+1)=1,RAMP_W1,IF((5-$I50+1)=2,RAMP_W2,IF((5-$I50+1)=3,RAMP_W3,RAMP_W4PLUS)))))*(INDEX(ACTIVE_MULT_TABLE,1,1))*(1+SUMPRODUCT(SIGN(((ACT_DOOR_SCOPE="ALL")+(ACT_DOOR_SCOPE="TIER_"&amp;$F50)+(ACT_DOOR_SCOPE=$B50)))*SIGN(((ACT_SKU_SCOPE="ALL")+(ACT_SKU_SCOPE=$G50)))*(ACT_START&lt;=5)*(ACT_END&gt;=5)*IFERROR(ACT_UPLIFT-1,0)))*(1+SUMPRODUCT(SIGN(((ACT_DOOR_SCOPE="ALL")+(ACT_DOOR_SCOPE="TIER_"&amp;$F50)+(ACT_DOOR_SCOPE=$B50)))*SIGN(((ACT_SKU_SCOPE="ALL")+(ACT_SKU_SCOPE=$G50)))*(5&gt;ACT_END)*(ACT_END&gt;0)*IFERROR(ACT_POSTLIFT,0))),0)))</f>
        <v/>
      </c>
      <c r="O50" s="10">
        <f>IF(OR($H50&lt;&gt;"Y",6&lt;$I50),0,IF(SUMPRODUCT(((BULK_ENABLED="Y")*((BULK_TIER="ALL")+(BULK_TIER=$F50))*((BULK_SKU="ALL")+(BULK_SKU=$G50))*(BULK_START&lt;=6)*(BULK_END&gt;=6)))&gt;0,IFERROR(SUMPRODUCT(((BULK_ENABLED="Y")*((BULK_TIER="ALL")+(BULK_TIER=$F50))*((BULK_SKU="ALL")+(BULK_SKU=$G50))*(BULK_START&lt;=6)*(BULK_END&gt;=6))*IFERROR(BULK_VALUE,0))/MAX(1,SUMPRODUCT(((BULK_ENABLED="Y")*((BULK_TIER="ALL")+(BULK_TIER=$F50))*((BULK_SKU="ALL")+(BULK_SKU=$G50))*(BULK_START&lt;=6)*(BULK_END&gt;=6)))),0),ROUND((INDEX(VELOCITY_TABLE,MATCH($F50,TIER_LIST,0),1))*(IF((6-$I50+1)&lt;=0,0,IF((6-$I50+1)=1,RAMP_W1,IF((6-$I50+1)=2,RAMP_W2,IF((6-$I50+1)=3,RAMP_W3,RAMP_W4PLUS)))))*(INDEX(ACTIVE_MULT_TABLE,1,1))*(1+SUMPRODUCT(SIGN(((ACT_DOOR_SCOPE="ALL")+(ACT_DOOR_SCOPE="TIER_"&amp;$F50)+(ACT_DOOR_SCOPE=$B50)))*SIGN(((ACT_SKU_SCOPE="ALL")+(ACT_SKU_SCOPE=$G50)))*(ACT_START&lt;=6)*(ACT_END&gt;=6)*IFERROR(ACT_UPLIFT-1,0)))*(1+SUMPRODUCT(SIGN(((ACT_DOOR_SCOPE="ALL")+(ACT_DOOR_SCOPE="TIER_"&amp;$F50)+(ACT_DOOR_SCOPE=$B50)))*SIGN(((ACT_SKU_SCOPE="ALL")+(ACT_SKU_SCOPE=$G50)))*(6&gt;ACT_END)*(ACT_END&gt;0)*IFERROR(ACT_POSTLIFT,0))),0)))</f>
        <v/>
      </c>
      <c r="P50" s="10">
        <f>IF(OR($H50&lt;&gt;"Y",7&lt;$I50),0,IF(SUMPRODUCT(((BULK_ENABLED="Y")*((BULK_TIER="ALL")+(BULK_TIER=$F50))*((BULK_SKU="ALL")+(BULK_SKU=$G50))*(BULK_START&lt;=7)*(BULK_END&gt;=7)))&gt;0,IFERROR(SUMPRODUCT(((BULK_ENABLED="Y")*((BULK_TIER="ALL")+(BULK_TIER=$F50))*((BULK_SKU="ALL")+(BULK_SKU=$G50))*(BULK_START&lt;=7)*(BULK_END&gt;=7))*IFERROR(BULK_VALUE,0))/MAX(1,SUMPRODUCT(((BULK_ENABLED="Y")*((BULK_TIER="ALL")+(BULK_TIER=$F50))*((BULK_SKU="ALL")+(BULK_SKU=$G50))*(BULK_START&lt;=7)*(BULK_END&gt;=7)))),0),ROUND((INDEX(VELOCITY_TABLE,MATCH($F50,TIER_LIST,0),1))*(IF((7-$I50+1)&lt;=0,0,IF((7-$I50+1)=1,RAMP_W1,IF((7-$I50+1)=2,RAMP_W2,IF((7-$I50+1)=3,RAMP_W3,RAMP_W4PLUS)))))*(INDEX(ACTIVE_MULT_TABLE,1,1))*(1+SUMPRODUCT(SIGN(((ACT_DOOR_SCOPE="ALL")+(ACT_DOOR_SCOPE="TIER_"&amp;$F50)+(ACT_DOOR_SCOPE=$B50)))*SIGN(((ACT_SKU_SCOPE="ALL")+(ACT_SKU_SCOPE=$G50)))*(ACT_START&lt;=7)*(ACT_END&gt;=7)*IFERROR(ACT_UPLIFT-1,0)))*(1+SUMPRODUCT(SIGN(((ACT_DOOR_SCOPE="ALL")+(ACT_DOOR_SCOPE="TIER_"&amp;$F50)+(ACT_DOOR_SCOPE=$B50)))*SIGN(((ACT_SKU_SCOPE="ALL")+(ACT_SKU_SCOPE=$G50)))*(7&gt;ACT_END)*(ACT_END&gt;0)*IFERROR(ACT_POSTLIFT,0))),0)))</f>
        <v/>
      </c>
      <c r="Q50" s="10">
        <f>IF(OR($H50&lt;&gt;"Y",8&lt;$I50),0,IF(SUMPRODUCT(((BULK_ENABLED="Y")*((BULK_TIER="ALL")+(BULK_TIER=$F50))*((BULK_SKU="ALL")+(BULK_SKU=$G50))*(BULK_START&lt;=8)*(BULK_END&gt;=8)))&gt;0,IFERROR(SUMPRODUCT(((BULK_ENABLED="Y")*((BULK_TIER="ALL")+(BULK_TIER=$F50))*((BULK_SKU="ALL")+(BULK_SKU=$G50))*(BULK_START&lt;=8)*(BULK_END&gt;=8))*IFERROR(BULK_VALUE,0))/MAX(1,SUMPRODUCT(((BULK_ENABLED="Y")*((BULK_TIER="ALL")+(BULK_TIER=$F50))*((BULK_SKU="ALL")+(BULK_SKU=$G50))*(BULK_START&lt;=8)*(BULK_END&gt;=8)))),0),ROUND((INDEX(VELOCITY_TABLE,MATCH($F50,TIER_LIST,0),1))*(IF((8-$I50+1)&lt;=0,0,IF((8-$I50+1)=1,RAMP_W1,IF((8-$I50+1)=2,RAMP_W2,IF((8-$I50+1)=3,RAMP_W3,RAMP_W4PLUS)))))*(INDEX(ACTIVE_MULT_TABLE,1,1))*(1+SUMPRODUCT(SIGN(((ACT_DOOR_SCOPE="ALL")+(ACT_DOOR_SCOPE="TIER_"&amp;$F50)+(ACT_DOOR_SCOPE=$B50)))*SIGN(((ACT_SKU_SCOPE="ALL")+(ACT_SKU_SCOPE=$G50)))*(ACT_START&lt;=8)*(ACT_END&gt;=8)*IFERROR(ACT_UPLIFT-1,0)))*(1+SUMPRODUCT(SIGN(((ACT_DOOR_SCOPE="ALL")+(ACT_DOOR_SCOPE="TIER_"&amp;$F50)+(ACT_DOOR_SCOPE=$B50)))*SIGN(((ACT_SKU_SCOPE="ALL")+(ACT_SKU_SCOPE=$G50)))*(8&gt;ACT_END)*(ACT_END&gt;0)*IFERROR(ACT_POSTLIFT,0))),0)))</f>
        <v/>
      </c>
      <c r="R50" s="10">
        <f>IF(OR($H50&lt;&gt;"Y",9&lt;$I50),0,IF(SUMPRODUCT(((BULK_ENABLED="Y")*((BULK_TIER="ALL")+(BULK_TIER=$F50))*((BULK_SKU="ALL")+(BULK_SKU=$G50))*(BULK_START&lt;=9)*(BULK_END&gt;=9)))&gt;0,IFERROR(SUMPRODUCT(((BULK_ENABLED="Y")*((BULK_TIER="ALL")+(BULK_TIER=$F50))*((BULK_SKU="ALL")+(BULK_SKU=$G50))*(BULK_START&lt;=9)*(BULK_END&gt;=9))*IFERROR(BULK_VALUE,0))/MAX(1,SUMPRODUCT(((BULK_ENABLED="Y")*((BULK_TIER="ALL")+(BULK_TIER=$F50))*((BULK_SKU="ALL")+(BULK_SKU=$G50))*(BULK_START&lt;=9)*(BULK_END&gt;=9)))),0),ROUND((INDEX(VELOCITY_TABLE,MATCH($F50,TIER_LIST,0),1))*(IF((9-$I50+1)&lt;=0,0,IF((9-$I50+1)=1,RAMP_W1,IF((9-$I50+1)=2,RAMP_W2,IF((9-$I50+1)=3,RAMP_W3,RAMP_W4PLUS)))))*(INDEX(ACTIVE_MULT_TABLE,1,1))*(1+SUMPRODUCT(SIGN(((ACT_DOOR_SCOPE="ALL")+(ACT_DOOR_SCOPE="TIER_"&amp;$F50)+(ACT_DOOR_SCOPE=$B50)))*SIGN(((ACT_SKU_SCOPE="ALL")+(ACT_SKU_SCOPE=$G50)))*(ACT_START&lt;=9)*(ACT_END&gt;=9)*IFERROR(ACT_UPLIFT-1,0)))*(1+SUMPRODUCT(SIGN(((ACT_DOOR_SCOPE="ALL")+(ACT_DOOR_SCOPE="TIER_"&amp;$F50)+(ACT_DOOR_SCOPE=$B50)))*SIGN(((ACT_SKU_SCOPE="ALL")+(ACT_SKU_SCOPE=$G50)))*(9&gt;ACT_END)*(ACT_END&gt;0)*IFERROR(ACT_POSTLIFT,0))),0)))</f>
        <v/>
      </c>
      <c r="S50" s="10">
        <f>IF(OR($H50&lt;&gt;"Y",10&lt;$I50),0,IF(SUMPRODUCT(((BULK_ENABLED="Y")*((BULK_TIER="ALL")+(BULK_TIER=$F50))*((BULK_SKU="ALL")+(BULK_SKU=$G50))*(BULK_START&lt;=10)*(BULK_END&gt;=10)))&gt;0,IFERROR(SUMPRODUCT(((BULK_ENABLED="Y")*((BULK_TIER="ALL")+(BULK_TIER=$F50))*((BULK_SKU="ALL")+(BULK_SKU=$G50))*(BULK_START&lt;=10)*(BULK_END&gt;=10))*IFERROR(BULK_VALUE,0))/MAX(1,SUMPRODUCT(((BULK_ENABLED="Y")*((BULK_TIER="ALL")+(BULK_TIER=$F50))*((BULK_SKU="ALL")+(BULK_SKU=$G50))*(BULK_START&lt;=10)*(BULK_END&gt;=10)))),0),ROUND((INDEX(VELOCITY_TABLE,MATCH($F50,TIER_LIST,0),1))*(IF((10-$I50+1)&lt;=0,0,IF((10-$I50+1)=1,RAMP_W1,IF((10-$I50+1)=2,RAMP_W2,IF((10-$I50+1)=3,RAMP_W3,RAMP_W4PLUS)))))*(INDEX(ACTIVE_MULT_TABLE,1,1))*(1+SUMPRODUCT(SIGN(((ACT_DOOR_SCOPE="ALL")+(ACT_DOOR_SCOPE="TIER_"&amp;$F50)+(ACT_DOOR_SCOPE=$B50)))*SIGN(((ACT_SKU_SCOPE="ALL")+(ACT_SKU_SCOPE=$G50)))*(ACT_START&lt;=10)*(ACT_END&gt;=10)*IFERROR(ACT_UPLIFT-1,0)))*(1+SUMPRODUCT(SIGN(((ACT_DOOR_SCOPE="ALL")+(ACT_DOOR_SCOPE="TIER_"&amp;$F50)+(ACT_DOOR_SCOPE=$B50)))*SIGN(((ACT_SKU_SCOPE="ALL")+(ACT_SKU_SCOPE=$G50)))*(10&gt;ACT_END)*(ACT_END&gt;0)*IFERROR(ACT_POSTLIFT,0))),0)))</f>
        <v/>
      </c>
      <c r="T50" s="10">
        <f>IF(OR($H50&lt;&gt;"Y",11&lt;$I50),0,IF(SUMPRODUCT(((BULK_ENABLED="Y")*((BULK_TIER="ALL")+(BULK_TIER=$F50))*((BULK_SKU="ALL")+(BULK_SKU=$G50))*(BULK_START&lt;=11)*(BULK_END&gt;=11)))&gt;0,IFERROR(SUMPRODUCT(((BULK_ENABLED="Y")*((BULK_TIER="ALL")+(BULK_TIER=$F50))*((BULK_SKU="ALL")+(BULK_SKU=$G50))*(BULK_START&lt;=11)*(BULK_END&gt;=11))*IFERROR(BULK_VALUE,0))/MAX(1,SUMPRODUCT(((BULK_ENABLED="Y")*((BULK_TIER="ALL")+(BULK_TIER=$F50))*((BULK_SKU="ALL")+(BULK_SKU=$G50))*(BULK_START&lt;=11)*(BULK_END&gt;=11)))),0),ROUND((INDEX(VELOCITY_TABLE,MATCH($F50,TIER_LIST,0),1))*(IF((11-$I50+1)&lt;=0,0,IF((11-$I50+1)=1,RAMP_W1,IF((11-$I50+1)=2,RAMP_W2,IF((11-$I50+1)=3,RAMP_W3,RAMP_W4PLUS)))))*(INDEX(ACTIVE_MULT_TABLE,1,1))*(1+SUMPRODUCT(SIGN(((ACT_DOOR_SCOPE="ALL")+(ACT_DOOR_SCOPE="TIER_"&amp;$F50)+(ACT_DOOR_SCOPE=$B50)))*SIGN(((ACT_SKU_SCOPE="ALL")+(ACT_SKU_SCOPE=$G50)))*(ACT_START&lt;=11)*(ACT_END&gt;=11)*IFERROR(ACT_UPLIFT-1,0)))*(1+SUMPRODUCT(SIGN(((ACT_DOOR_SCOPE="ALL")+(ACT_DOOR_SCOPE="TIER_"&amp;$F50)+(ACT_DOOR_SCOPE=$B50)))*SIGN(((ACT_SKU_SCOPE="ALL")+(ACT_SKU_SCOPE=$G50)))*(11&gt;ACT_END)*(ACT_END&gt;0)*IFERROR(ACT_POSTLIFT,0))),0)))</f>
        <v/>
      </c>
      <c r="U50" s="10">
        <f>IF(OR($H50&lt;&gt;"Y",12&lt;$I50),0,IF(SUMPRODUCT(((BULK_ENABLED="Y")*((BULK_TIER="ALL")+(BULK_TIER=$F50))*((BULK_SKU="ALL")+(BULK_SKU=$G50))*(BULK_START&lt;=12)*(BULK_END&gt;=12)))&gt;0,IFERROR(SUMPRODUCT(((BULK_ENABLED="Y")*((BULK_TIER="ALL")+(BULK_TIER=$F50))*((BULK_SKU="ALL")+(BULK_SKU=$G50))*(BULK_START&lt;=12)*(BULK_END&gt;=12))*IFERROR(BULK_VALUE,0))/MAX(1,SUMPRODUCT(((BULK_ENABLED="Y")*((BULK_TIER="ALL")+(BULK_TIER=$F50))*((BULK_SKU="ALL")+(BULK_SKU=$G50))*(BULK_START&lt;=12)*(BULK_END&gt;=12)))),0),ROUND((INDEX(VELOCITY_TABLE,MATCH($F50,TIER_LIST,0),1))*(IF((12-$I50+1)&lt;=0,0,IF((12-$I50+1)=1,RAMP_W1,IF((12-$I50+1)=2,RAMP_W2,IF((12-$I50+1)=3,RAMP_W3,RAMP_W4PLUS)))))*(INDEX(ACTIVE_MULT_TABLE,1,1))*(1+SUMPRODUCT(SIGN(((ACT_DOOR_SCOPE="ALL")+(ACT_DOOR_SCOPE="TIER_"&amp;$F50)+(ACT_DOOR_SCOPE=$B50)))*SIGN(((ACT_SKU_SCOPE="ALL")+(ACT_SKU_SCOPE=$G50)))*(ACT_START&lt;=12)*(ACT_END&gt;=12)*IFERROR(ACT_UPLIFT-1,0)))*(1+SUMPRODUCT(SIGN(((ACT_DOOR_SCOPE="ALL")+(ACT_DOOR_SCOPE="TIER_"&amp;$F50)+(ACT_DOOR_SCOPE=$B50)))*SIGN(((ACT_SKU_SCOPE="ALL")+(ACT_SKU_SCOPE=$G50)))*(12&gt;ACT_END)*(ACT_END&gt;0)*IFERROR(ACT_POSTLIFT,0))),0)))</f>
        <v/>
      </c>
      <c r="V50" s="10">
        <f>IF(OR($H50&lt;&gt;"Y",13&lt;$I50),0,IF(SUMPRODUCT(((BULK_ENABLED="Y")*((BULK_TIER="ALL")+(BULK_TIER=$F50))*((BULK_SKU="ALL")+(BULK_SKU=$G50))*(BULK_START&lt;=13)*(BULK_END&gt;=13)))&gt;0,IFERROR(SUMPRODUCT(((BULK_ENABLED="Y")*((BULK_TIER="ALL")+(BULK_TIER=$F50))*((BULK_SKU="ALL")+(BULK_SKU=$G50))*(BULK_START&lt;=13)*(BULK_END&gt;=13))*IFERROR(BULK_VALUE,0))/MAX(1,SUMPRODUCT(((BULK_ENABLED="Y")*((BULK_TIER="ALL")+(BULK_TIER=$F50))*((BULK_SKU="ALL")+(BULK_SKU=$G50))*(BULK_START&lt;=13)*(BULK_END&gt;=13)))),0),ROUND((INDEX(VELOCITY_TABLE,MATCH($F50,TIER_LIST,0),1))*(IF((13-$I50+1)&lt;=0,0,IF((13-$I50+1)=1,RAMP_W1,IF((13-$I50+1)=2,RAMP_W2,IF((13-$I50+1)=3,RAMP_W3,RAMP_W4PLUS)))))*(INDEX(ACTIVE_MULT_TABLE,1,1))*(1+SUMPRODUCT(SIGN(((ACT_DOOR_SCOPE="ALL")+(ACT_DOOR_SCOPE="TIER_"&amp;$F50)+(ACT_DOOR_SCOPE=$B50)))*SIGN(((ACT_SKU_SCOPE="ALL")+(ACT_SKU_SCOPE=$G50)))*(ACT_START&lt;=13)*(ACT_END&gt;=13)*IFERROR(ACT_UPLIFT-1,0)))*(1+SUMPRODUCT(SIGN(((ACT_DOOR_SCOPE="ALL")+(ACT_DOOR_SCOPE="TIER_"&amp;$F50)+(ACT_DOOR_SCOPE=$B50)))*SIGN(((ACT_SKU_SCOPE="ALL")+(ACT_SKU_SCOPE=$G50)))*(13&gt;ACT_END)*(ACT_END&gt;0)*IFERROR(ACT_POSTLIFT,0))),0)))</f>
        <v/>
      </c>
    </row>
    <row r="51">
      <c r="A51" t="inlineStr">
        <is>
          <t>R0047</t>
        </is>
      </c>
      <c r="B51">
        <f>Doors!$A$20</f>
        <v/>
      </c>
      <c r="C51">
        <f>Doors!$C$20</f>
        <v/>
      </c>
      <c r="D51">
        <f>Doors!$B$20</f>
        <v/>
      </c>
      <c r="E51">
        <f>Doors!$E$20</f>
        <v/>
      </c>
      <c r="F51">
        <f>Doors!$F$20</f>
        <v/>
      </c>
      <c r="G51" t="inlineStr">
        <is>
          <t>Pineapple Passion Fruit</t>
        </is>
      </c>
      <c r="H51">
        <f>Doors!$H$20</f>
        <v/>
      </c>
      <c r="I51">
        <f>Doors!$J$20</f>
        <v/>
      </c>
      <c r="J51" s="10">
        <f>IF(OR($H51&lt;&gt;"Y",1&lt;$I51),0,IF(SUMPRODUCT(((BULK_ENABLED="Y")*((BULK_TIER="ALL")+(BULK_TIER=$F51))*((BULK_SKU="ALL")+(BULK_SKU=$G51))*(BULK_START&lt;=1)*(BULK_END&gt;=1)))&gt;0,IFERROR(SUMPRODUCT(((BULK_ENABLED="Y")*((BULK_TIER="ALL")+(BULK_TIER=$F51))*((BULK_SKU="ALL")+(BULK_SKU=$G51))*(BULK_START&lt;=1)*(BULK_END&gt;=1))*IFERROR(BULK_VALUE,0))/MAX(1,SUMPRODUCT(((BULK_ENABLED="Y")*((BULK_TIER="ALL")+(BULK_TIER=$F51))*((BULK_SKU="ALL")+(BULK_SKU=$G51))*(BULK_START&lt;=1)*(BULK_END&gt;=1)))),0),ROUND((INDEX(VELOCITY_TABLE,MATCH($F51,TIER_LIST,0),2))*(IF((1-$I51+1)&lt;=0,0,IF((1-$I51+1)=1,RAMP_W1,IF((1-$I51+1)=2,RAMP_W2,IF((1-$I51+1)=3,RAMP_W3,RAMP_W4PLUS)))))*(INDEX(ACTIVE_MULT_TABLE,2,1))*(1+SUMPRODUCT(SIGN(((ACT_DOOR_SCOPE="ALL")+(ACT_DOOR_SCOPE="TIER_"&amp;$F51)+(ACT_DOOR_SCOPE=$B51)))*SIGN(((ACT_SKU_SCOPE="ALL")+(ACT_SKU_SCOPE=$G51)))*(ACT_START&lt;=1)*(ACT_END&gt;=1)*IFERROR(ACT_UPLIFT-1,0)))*(1+SUMPRODUCT(SIGN(((ACT_DOOR_SCOPE="ALL")+(ACT_DOOR_SCOPE="TIER_"&amp;$F51)+(ACT_DOOR_SCOPE=$B51)))*SIGN(((ACT_SKU_SCOPE="ALL")+(ACT_SKU_SCOPE=$G51)))*(1&gt;ACT_END)*(ACT_END&gt;0)*IFERROR(ACT_POSTLIFT,0))),0)))</f>
        <v/>
      </c>
      <c r="K51" s="10">
        <f>IF(OR($H51&lt;&gt;"Y",2&lt;$I51),0,IF(SUMPRODUCT(((BULK_ENABLED="Y")*((BULK_TIER="ALL")+(BULK_TIER=$F51))*((BULK_SKU="ALL")+(BULK_SKU=$G51))*(BULK_START&lt;=2)*(BULK_END&gt;=2)))&gt;0,IFERROR(SUMPRODUCT(((BULK_ENABLED="Y")*((BULK_TIER="ALL")+(BULK_TIER=$F51))*((BULK_SKU="ALL")+(BULK_SKU=$G51))*(BULK_START&lt;=2)*(BULK_END&gt;=2))*IFERROR(BULK_VALUE,0))/MAX(1,SUMPRODUCT(((BULK_ENABLED="Y")*((BULK_TIER="ALL")+(BULK_TIER=$F51))*((BULK_SKU="ALL")+(BULK_SKU=$G51))*(BULK_START&lt;=2)*(BULK_END&gt;=2)))),0),ROUND((INDEX(VELOCITY_TABLE,MATCH($F51,TIER_LIST,0),2))*(IF((2-$I51+1)&lt;=0,0,IF((2-$I51+1)=1,RAMP_W1,IF((2-$I51+1)=2,RAMP_W2,IF((2-$I51+1)=3,RAMP_W3,RAMP_W4PLUS)))))*(INDEX(ACTIVE_MULT_TABLE,2,1))*(1+SUMPRODUCT(SIGN(((ACT_DOOR_SCOPE="ALL")+(ACT_DOOR_SCOPE="TIER_"&amp;$F51)+(ACT_DOOR_SCOPE=$B51)))*SIGN(((ACT_SKU_SCOPE="ALL")+(ACT_SKU_SCOPE=$G51)))*(ACT_START&lt;=2)*(ACT_END&gt;=2)*IFERROR(ACT_UPLIFT-1,0)))*(1+SUMPRODUCT(SIGN(((ACT_DOOR_SCOPE="ALL")+(ACT_DOOR_SCOPE="TIER_"&amp;$F51)+(ACT_DOOR_SCOPE=$B51)))*SIGN(((ACT_SKU_SCOPE="ALL")+(ACT_SKU_SCOPE=$G51)))*(2&gt;ACT_END)*(ACT_END&gt;0)*IFERROR(ACT_POSTLIFT,0))),0)))</f>
        <v/>
      </c>
      <c r="L51" s="10">
        <f>IF(OR($H51&lt;&gt;"Y",3&lt;$I51),0,IF(SUMPRODUCT(((BULK_ENABLED="Y")*((BULK_TIER="ALL")+(BULK_TIER=$F51))*((BULK_SKU="ALL")+(BULK_SKU=$G51))*(BULK_START&lt;=3)*(BULK_END&gt;=3)))&gt;0,IFERROR(SUMPRODUCT(((BULK_ENABLED="Y")*((BULK_TIER="ALL")+(BULK_TIER=$F51))*((BULK_SKU="ALL")+(BULK_SKU=$G51))*(BULK_START&lt;=3)*(BULK_END&gt;=3))*IFERROR(BULK_VALUE,0))/MAX(1,SUMPRODUCT(((BULK_ENABLED="Y")*((BULK_TIER="ALL")+(BULK_TIER=$F51))*((BULK_SKU="ALL")+(BULK_SKU=$G51))*(BULK_START&lt;=3)*(BULK_END&gt;=3)))),0),ROUND((INDEX(VELOCITY_TABLE,MATCH($F51,TIER_LIST,0),2))*(IF((3-$I51+1)&lt;=0,0,IF((3-$I51+1)=1,RAMP_W1,IF((3-$I51+1)=2,RAMP_W2,IF((3-$I51+1)=3,RAMP_W3,RAMP_W4PLUS)))))*(INDEX(ACTIVE_MULT_TABLE,2,1))*(1+SUMPRODUCT(SIGN(((ACT_DOOR_SCOPE="ALL")+(ACT_DOOR_SCOPE="TIER_"&amp;$F51)+(ACT_DOOR_SCOPE=$B51)))*SIGN(((ACT_SKU_SCOPE="ALL")+(ACT_SKU_SCOPE=$G51)))*(ACT_START&lt;=3)*(ACT_END&gt;=3)*IFERROR(ACT_UPLIFT-1,0)))*(1+SUMPRODUCT(SIGN(((ACT_DOOR_SCOPE="ALL")+(ACT_DOOR_SCOPE="TIER_"&amp;$F51)+(ACT_DOOR_SCOPE=$B51)))*SIGN(((ACT_SKU_SCOPE="ALL")+(ACT_SKU_SCOPE=$G51)))*(3&gt;ACT_END)*(ACT_END&gt;0)*IFERROR(ACT_POSTLIFT,0))),0)))</f>
        <v/>
      </c>
      <c r="M51" s="10">
        <f>IF(OR($H51&lt;&gt;"Y",4&lt;$I51),0,IF(SUMPRODUCT(((BULK_ENABLED="Y")*((BULK_TIER="ALL")+(BULK_TIER=$F51))*((BULK_SKU="ALL")+(BULK_SKU=$G51))*(BULK_START&lt;=4)*(BULK_END&gt;=4)))&gt;0,IFERROR(SUMPRODUCT(((BULK_ENABLED="Y")*((BULK_TIER="ALL")+(BULK_TIER=$F51))*((BULK_SKU="ALL")+(BULK_SKU=$G51))*(BULK_START&lt;=4)*(BULK_END&gt;=4))*IFERROR(BULK_VALUE,0))/MAX(1,SUMPRODUCT(((BULK_ENABLED="Y")*((BULK_TIER="ALL")+(BULK_TIER=$F51))*((BULK_SKU="ALL")+(BULK_SKU=$G51))*(BULK_START&lt;=4)*(BULK_END&gt;=4)))),0),ROUND((INDEX(VELOCITY_TABLE,MATCH($F51,TIER_LIST,0),2))*(IF((4-$I51+1)&lt;=0,0,IF((4-$I51+1)=1,RAMP_W1,IF((4-$I51+1)=2,RAMP_W2,IF((4-$I51+1)=3,RAMP_W3,RAMP_W4PLUS)))))*(INDEX(ACTIVE_MULT_TABLE,2,1))*(1+SUMPRODUCT(SIGN(((ACT_DOOR_SCOPE="ALL")+(ACT_DOOR_SCOPE="TIER_"&amp;$F51)+(ACT_DOOR_SCOPE=$B51)))*SIGN(((ACT_SKU_SCOPE="ALL")+(ACT_SKU_SCOPE=$G51)))*(ACT_START&lt;=4)*(ACT_END&gt;=4)*IFERROR(ACT_UPLIFT-1,0)))*(1+SUMPRODUCT(SIGN(((ACT_DOOR_SCOPE="ALL")+(ACT_DOOR_SCOPE="TIER_"&amp;$F51)+(ACT_DOOR_SCOPE=$B51)))*SIGN(((ACT_SKU_SCOPE="ALL")+(ACT_SKU_SCOPE=$G51)))*(4&gt;ACT_END)*(ACT_END&gt;0)*IFERROR(ACT_POSTLIFT,0))),0)))</f>
        <v/>
      </c>
      <c r="N51" s="10">
        <f>IF(OR($H51&lt;&gt;"Y",5&lt;$I51),0,IF(SUMPRODUCT(((BULK_ENABLED="Y")*((BULK_TIER="ALL")+(BULK_TIER=$F51))*((BULK_SKU="ALL")+(BULK_SKU=$G51))*(BULK_START&lt;=5)*(BULK_END&gt;=5)))&gt;0,IFERROR(SUMPRODUCT(((BULK_ENABLED="Y")*((BULK_TIER="ALL")+(BULK_TIER=$F51))*((BULK_SKU="ALL")+(BULK_SKU=$G51))*(BULK_START&lt;=5)*(BULK_END&gt;=5))*IFERROR(BULK_VALUE,0))/MAX(1,SUMPRODUCT(((BULK_ENABLED="Y")*((BULK_TIER="ALL")+(BULK_TIER=$F51))*((BULK_SKU="ALL")+(BULK_SKU=$G51))*(BULK_START&lt;=5)*(BULK_END&gt;=5)))),0),ROUND((INDEX(VELOCITY_TABLE,MATCH($F51,TIER_LIST,0),2))*(IF((5-$I51+1)&lt;=0,0,IF((5-$I51+1)=1,RAMP_W1,IF((5-$I51+1)=2,RAMP_W2,IF((5-$I51+1)=3,RAMP_W3,RAMP_W4PLUS)))))*(INDEX(ACTIVE_MULT_TABLE,2,1))*(1+SUMPRODUCT(SIGN(((ACT_DOOR_SCOPE="ALL")+(ACT_DOOR_SCOPE="TIER_"&amp;$F51)+(ACT_DOOR_SCOPE=$B51)))*SIGN(((ACT_SKU_SCOPE="ALL")+(ACT_SKU_SCOPE=$G51)))*(ACT_START&lt;=5)*(ACT_END&gt;=5)*IFERROR(ACT_UPLIFT-1,0)))*(1+SUMPRODUCT(SIGN(((ACT_DOOR_SCOPE="ALL")+(ACT_DOOR_SCOPE="TIER_"&amp;$F51)+(ACT_DOOR_SCOPE=$B51)))*SIGN(((ACT_SKU_SCOPE="ALL")+(ACT_SKU_SCOPE=$G51)))*(5&gt;ACT_END)*(ACT_END&gt;0)*IFERROR(ACT_POSTLIFT,0))),0)))</f>
        <v/>
      </c>
      <c r="O51" s="10">
        <f>IF(OR($H51&lt;&gt;"Y",6&lt;$I51),0,IF(SUMPRODUCT(((BULK_ENABLED="Y")*((BULK_TIER="ALL")+(BULK_TIER=$F51))*((BULK_SKU="ALL")+(BULK_SKU=$G51))*(BULK_START&lt;=6)*(BULK_END&gt;=6)))&gt;0,IFERROR(SUMPRODUCT(((BULK_ENABLED="Y")*((BULK_TIER="ALL")+(BULK_TIER=$F51))*((BULK_SKU="ALL")+(BULK_SKU=$G51))*(BULK_START&lt;=6)*(BULK_END&gt;=6))*IFERROR(BULK_VALUE,0))/MAX(1,SUMPRODUCT(((BULK_ENABLED="Y")*((BULK_TIER="ALL")+(BULK_TIER=$F51))*((BULK_SKU="ALL")+(BULK_SKU=$G51))*(BULK_START&lt;=6)*(BULK_END&gt;=6)))),0),ROUND((INDEX(VELOCITY_TABLE,MATCH($F51,TIER_LIST,0),2))*(IF((6-$I51+1)&lt;=0,0,IF((6-$I51+1)=1,RAMP_W1,IF((6-$I51+1)=2,RAMP_W2,IF((6-$I51+1)=3,RAMP_W3,RAMP_W4PLUS)))))*(INDEX(ACTIVE_MULT_TABLE,2,1))*(1+SUMPRODUCT(SIGN(((ACT_DOOR_SCOPE="ALL")+(ACT_DOOR_SCOPE="TIER_"&amp;$F51)+(ACT_DOOR_SCOPE=$B51)))*SIGN(((ACT_SKU_SCOPE="ALL")+(ACT_SKU_SCOPE=$G51)))*(ACT_START&lt;=6)*(ACT_END&gt;=6)*IFERROR(ACT_UPLIFT-1,0)))*(1+SUMPRODUCT(SIGN(((ACT_DOOR_SCOPE="ALL")+(ACT_DOOR_SCOPE="TIER_"&amp;$F51)+(ACT_DOOR_SCOPE=$B51)))*SIGN(((ACT_SKU_SCOPE="ALL")+(ACT_SKU_SCOPE=$G51)))*(6&gt;ACT_END)*(ACT_END&gt;0)*IFERROR(ACT_POSTLIFT,0))),0)))</f>
        <v/>
      </c>
      <c r="P51" s="10">
        <f>IF(OR($H51&lt;&gt;"Y",7&lt;$I51),0,IF(SUMPRODUCT(((BULK_ENABLED="Y")*((BULK_TIER="ALL")+(BULK_TIER=$F51))*((BULK_SKU="ALL")+(BULK_SKU=$G51))*(BULK_START&lt;=7)*(BULK_END&gt;=7)))&gt;0,IFERROR(SUMPRODUCT(((BULK_ENABLED="Y")*((BULK_TIER="ALL")+(BULK_TIER=$F51))*((BULK_SKU="ALL")+(BULK_SKU=$G51))*(BULK_START&lt;=7)*(BULK_END&gt;=7))*IFERROR(BULK_VALUE,0))/MAX(1,SUMPRODUCT(((BULK_ENABLED="Y")*((BULK_TIER="ALL")+(BULK_TIER=$F51))*((BULK_SKU="ALL")+(BULK_SKU=$G51))*(BULK_START&lt;=7)*(BULK_END&gt;=7)))),0),ROUND((INDEX(VELOCITY_TABLE,MATCH($F51,TIER_LIST,0),2))*(IF((7-$I51+1)&lt;=0,0,IF((7-$I51+1)=1,RAMP_W1,IF((7-$I51+1)=2,RAMP_W2,IF((7-$I51+1)=3,RAMP_W3,RAMP_W4PLUS)))))*(INDEX(ACTIVE_MULT_TABLE,2,1))*(1+SUMPRODUCT(SIGN(((ACT_DOOR_SCOPE="ALL")+(ACT_DOOR_SCOPE="TIER_"&amp;$F51)+(ACT_DOOR_SCOPE=$B51)))*SIGN(((ACT_SKU_SCOPE="ALL")+(ACT_SKU_SCOPE=$G51)))*(ACT_START&lt;=7)*(ACT_END&gt;=7)*IFERROR(ACT_UPLIFT-1,0)))*(1+SUMPRODUCT(SIGN(((ACT_DOOR_SCOPE="ALL")+(ACT_DOOR_SCOPE="TIER_"&amp;$F51)+(ACT_DOOR_SCOPE=$B51)))*SIGN(((ACT_SKU_SCOPE="ALL")+(ACT_SKU_SCOPE=$G51)))*(7&gt;ACT_END)*(ACT_END&gt;0)*IFERROR(ACT_POSTLIFT,0))),0)))</f>
        <v/>
      </c>
      <c r="Q51" s="10">
        <f>IF(OR($H51&lt;&gt;"Y",8&lt;$I51),0,IF(SUMPRODUCT(((BULK_ENABLED="Y")*((BULK_TIER="ALL")+(BULK_TIER=$F51))*((BULK_SKU="ALL")+(BULK_SKU=$G51))*(BULK_START&lt;=8)*(BULK_END&gt;=8)))&gt;0,IFERROR(SUMPRODUCT(((BULK_ENABLED="Y")*((BULK_TIER="ALL")+(BULK_TIER=$F51))*((BULK_SKU="ALL")+(BULK_SKU=$G51))*(BULK_START&lt;=8)*(BULK_END&gt;=8))*IFERROR(BULK_VALUE,0))/MAX(1,SUMPRODUCT(((BULK_ENABLED="Y")*((BULK_TIER="ALL")+(BULK_TIER=$F51))*((BULK_SKU="ALL")+(BULK_SKU=$G51))*(BULK_START&lt;=8)*(BULK_END&gt;=8)))),0),ROUND((INDEX(VELOCITY_TABLE,MATCH($F51,TIER_LIST,0),2))*(IF((8-$I51+1)&lt;=0,0,IF((8-$I51+1)=1,RAMP_W1,IF((8-$I51+1)=2,RAMP_W2,IF((8-$I51+1)=3,RAMP_W3,RAMP_W4PLUS)))))*(INDEX(ACTIVE_MULT_TABLE,2,1))*(1+SUMPRODUCT(SIGN(((ACT_DOOR_SCOPE="ALL")+(ACT_DOOR_SCOPE="TIER_"&amp;$F51)+(ACT_DOOR_SCOPE=$B51)))*SIGN(((ACT_SKU_SCOPE="ALL")+(ACT_SKU_SCOPE=$G51)))*(ACT_START&lt;=8)*(ACT_END&gt;=8)*IFERROR(ACT_UPLIFT-1,0)))*(1+SUMPRODUCT(SIGN(((ACT_DOOR_SCOPE="ALL")+(ACT_DOOR_SCOPE="TIER_"&amp;$F51)+(ACT_DOOR_SCOPE=$B51)))*SIGN(((ACT_SKU_SCOPE="ALL")+(ACT_SKU_SCOPE=$G51)))*(8&gt;ACT_END)*(ACT_END&gt;0)*IFERROR(ACT_POSTLIFT,0))),0)))</f>
        <v/>
      </c>
      <c r="R51" s="10">
        <f>IF(OR($H51&lt;&gt;"Y",9&lt;$I51),0,IF(SUMPRODUCT(((BULK_ENABLED="Y")*((BULK_TIER="ALL")+(BULK_TIER=$F51))*((BULK_SKU="ALL")+(BULK_SKU=$G51))*(BULK_START&lt;=9)*(BULK_END&gt;=9)))&gt;0,IFERROR(SUMPRODUCT(((BULK_ENABLED="Y")*((BULK_TIER="ALL")+(BULK_TIER=$F51))*((BULK_SKU="ALL")+(BULK_SKU=$G51))*(BULK_START&lt;=9)*(BULK_END&gt;=9))*IFERROR(BULK_VALUE,0))/MAX(1,SUMPRODUCT(((BULK_ENABLED="Y")*((BULK_TIER="ALL")+(BULK_TIER=$F51))*((BULK_SKU="ALL")+(BULK_SKU=$G51))*(BULK_START&lt;=9)*(BULK_END&gt;=9)))),0),ROUND((INDEX(VELOCITY_TABLE,MATCH($F51,TIER_LIST,0),2))*(IF((9-$I51+1)&lt;=0,0,IF((9-$I51+1)=1,RAMP_W1,IF((9-$I51+1)=2,RAMP_W2,IF((9-$I51+1)=3,RAMP_W3,RAMP_W4PLUS)))))*(INDEX(ACTIVE_MULT_TABLE,2,1))*(1+SUMPRODUCT(SIGN(((ACT_DOOR_SCOPE="ALL")+(ACT_DOOR_SCOPE="TIER_"&amp;$F51)+(ACT_DOOR_SCOPE=$B51)))*SIGN(((ACT_SKU_SCOPE="ALL")+(ACT_SKU_SCOPE=$G51)))*(ACT_START&lt;=9)*(ACT_END&gt;=9)*IFERROR(ACT_UPLIFT-1,0)))*(1+SUMPRODUCT(SIGN(((ACT_DOOR_SCOPE="ALL")+(ACT_DOOR_SCOPE="TIER_"&amp;$F51)+(ACT_DOOR_SCOPE=$B51)))*SIGN(((ACT_SKU_SCOPE="ALL")+(ACT_SKU_SCOPE=$G51)))*(9&gt;ACT_END)*(ACT_END&gt;0)*IFERROR(ACT_POSTLIFT,0))),0)))</f>
        <v/>
      </c>
      <c r="S51" s="10">
        <f>IF(OR($H51&lt;&gt;"Y",10&lt;$I51),0,IF(SUMPRODUCT(((BULK_ENABLED="Y")*((BULK_TIER="ALL")+(BULK_TIER=$F51))*((BULK_SKU="ALL")+(BULK_SKU=$G51))*(BULK_START&lt;=10)*(BULK_END&gt;=10)))&gt;0,IFERROR(SUMPRODUCT(((BULK_ENABLED="Y")*((BULK_TIER="ALL")+(BULK_TIER=$F51))*((BULK_SKU="ALL")+(BULK_SKU=$G51))*(BULK_START&lt;=10)*(BULK_END&gt;=10))*IFERROR(BULK_VALUE,0))/MAX(1,SUMPRODUCT(((BULK_ENABLED="Y")*((BULK_TIER="ALL")+(BULK_TIER=$F51))*((BULK_SKU="ALL")+(BULK_SKU=$G51))*(BULK_START&lt;=10)*(BULK_END&gt;=10)))),0),ROUND((INDEX(VELOCITY_TABLE,MATCH($F51,TIER_LIST,0),2))*(IF((10-$I51+1)&lt;=0,0,IF((10-$I51+1)=1,RAMP_W1,IF((10-$I51+1)=2,RAMP_W2,IF((10-$I51+1)=3,RAMP_W3,RAMP_W4PLUS)))))*(INDEX(ACTIVE_MULT_TABLE,2,1))*(1+SUMPRODUCT(SIGN(((ACT_DOOR_SCOPE="ALL")+(ACT_DOOR_SCOPE="TIER_"&amp;$F51)+(ACT_DOOR_SCOPE=$B51)))*SIGN(((ACT_SKU_SCOPE="ALL")+(ACT_SKU_SCOPE=$G51)))*(ACT_START&lt;=10)*(ACT_END&gt;=10)*IFERROR(ACT_UPLIFT-1,0)))*(1+SUMPRODUCT(SIGN(((ACT_DOOR_SCOPE="ALL")+(ACT_DOOR_SCOPE="TIER_"&amp;$F51)+(ACT_DOOR_SCOPE=$B51)))*SIGN(((ACT_SKU_SCOPE="ALL")+(ACT_SKU_SCOPE=$G51)))*(10&gt;ACT_END)*(ACT_END&gt;0)*IFERROR(ACT_POSTLIFT,0))),0)))</f>
        <v/>
      </c>
      <c r="T51" s="10">
        <f>IF(OR($H51&lt;&gt;"Y",11&lt;$I51),0,IF(SUMPRODUCT(((BULK_ENABLED="Y")*((BULK_TIER="ALL")+(BULK_TIER=$F51))*((BULK_SKU="ALL")+(BULK_SKU=$G51))*(BULK_START&lt;=11)*(BULK_END&gt;=11)))&gt;0,IFERROR(SUMPRODUCT(((BULK_ENABLED="Y")*((BULK_TIER="ALL")+(BULK_TIER=$F51))*((BULK_SKU="ALL")+(BULK_SKU=$G51))*(BULK_START&lt;=11)*(BULK_END&gt;=11))*IFERROR(BULK_VALUE,0))/MAX(1,SUMPRODUCT(((BULK_ENABLED="Y")*((BULK_TIER="ALL")+(BULK_TIER=$F51))*((BULK_SKU="ALL")+(BULK_SKU=$G51))*(BULK_START&lt;=11)*(BULK_END&gt;=11)))),0),ROUND((INDEX(VELOCITY_TABLE,MATCH($F51,TIER_LIST,0),2))*(IF((11-$I51+1)&lt;=0,0,IF((11-$I51+1)=1,RAMP_W1,IF((11-$I51+1)=2,RAMP_W2,IF((11-$I51+1)=3,RAMP_W3,RAMP_W4PLUS)))))*(INDEX(ACTIVE_MULT_TABLE,2,1))*(1+SUMPRODUCT(SIGN(((ACT_DOOR_SCOPE="ALL")+(ACT_DOOR_SCOPE="TIER_"&amp;$F51)+(ACT_DOOR_SCOPE=$B51)))*SIGN(((ACT_SKU_SCOPE="ALL")+(ACT_SKU_SCOPE=$G51)))*(ACT_START&lt;=11)*(ACT_END&gt;=11)*IFERROR(ACT_UPLIFT-1,0)))*(1+SUMPRODUCT(SIGN(((ACT_DOOR_SCOPE="ALL")+(ACT_DOOR_SCOPE="TIER_"&amp;$F51)+(ACT_DOOR_SCOPE=$B51)))*SIGN(((ACT_SKU_SCOPE="ALL")+(ACT_SKU_SCOPE=$G51)))*(11&gt;ACT_END)*(ACT_END&gt;0)*IFERROR(ACT_POSTLIFT,0))),0)))</f>
        <v/>
      </c>
      <c r="U51" s="10">
        <f>IF(OR($H51&lt;&gt;"Y",12&lt;$I51),0,IF(SUMPRODUCT(((BULK_ENABLED="Y")*((BULK_TIER="ALL")+(BULK_TIER=$F51))*((BULK_SKU="ALL")+(BULK_SKU=$G51))*(BULK_START&lt;=12)*(BULK_END&gt;=12)))&gt;0,IFERROR(SUMPRODUCT(((BULK_ENABLED="Y")*((BULK_TIER="ALL")+(BULK_TIER=$F51))*((BULK_SKU="ALL")+(BULK_SKU=$G51))*(BULK_START&lt;=12)*(BULK_END&gt;=12))*IFERROR(BULK_VALUE,0))/MAX(1,SUMPRODUCT(((BULK_ENABLED="Y")*((BULK_TIER="ALL")+(BULK_TIER=$F51))*((BULK_SKU="ALL")+(BULK_SKU=$G51))*(BULK_START&lt;=12)*(BULK_END&gt;=12)))),0),ROUND((INDEX(VELOCITY_TABLE,MATCH($F51,TIER_LIST,0),2))*(IF((12-$I51+1)&lt;=0,0,IF((12-$I51+1)=1,RAMP_W1,IF((12-$I51+1)=2,RAMP_W2,IF((12-$I51+1)=3,RAMP_W3,RAMP_W4PLUS)))))*(INDEX(ACTIVE_MULT_TABLE,2,1))*(1+SUMPRODUCT(SIGN(((ACT_DOOR_SCOPE="ALL")+(ACT_DOOR_SCOPE="TIER_"&amp;$F51)+(ACT_DOOR_SCOPE=$B51)))*SIGN(((ACT_SKU_SCOPE="ALL")+(ACT_SKU_SCOPE=$G51)))*(ACT_START&lt;=12)*(ACT_END&gt;=12)*IFERROR(ACT_UPLIFT-1,0)))*(1+SUMPRODUCT(SIGN(((ACT_DOOR_SCOPE="ALL")+(ACT_DOOR_SCOPE="TIER_"&amp;$F51)+(ACT_DOOR_SCOPE=$B51)))*SIGN(((ACT_SKU_SCOPE="ALL")+(ACT_SKU_SCOPE=$G51)))*(12&gt;ACT_END)*(ACT_END&gt;0)*IFERROR(ACT_POSTLIFT,0))),0)))</f>
        <v/>
      </c>
      <c r="V51" s="10">
        <f>IF(OR($H51&lt;&gt;"Y",13&lt;$I51),0,IF(SUMPRODUCT(((BULK_ENABLED="Y")*((BULK_TIER="ALL")+(BULK_TIER=$F51))*((BULK_SKU="ALL")+(BULK_SKU=$G51))*(BULK_START&lt;=13)*(BULK_END&gt;=13)))&gt;0,IFERROR(SUMPRODUCT(((BULK_ENABLED="Y")*((BULK_TIER="ALL")+(BULK_TIER=$F51))*((BULK_SKU="ALL")+(BULK_SKU=$G51))*(BULK_START&lt;=13)*(BULK_END&gt;=13))*IFERROR(BULK_VALUE,0))/MAX(1,SUMPRODUCT(((BULK_ENABLED="Y")*((BULK_TIER="ALL")+(BULK_TIER=$F51))*((BULK_SKU="ALL")+(BULK_SKU=$G51))*(BULK_START&lt;=13)*(BULK_END&gt;=13)))),0),ROUND((INDEX(VELOCITY_TABLE,MATCH($F51,TIER_LIST,0),2))*(IF((13-$I51+1)&lt;=0,0,IF((13-$I51+1)=1,RAMP_W1,IF((13-$I51+1)=2,RAMP_W2,IF((13-$I51+1)=3,RAMP_W3,RAMP_W4PLUS)))))*(INDEX(ACTIVE_MULT_TABLE,2,1))*(1+SUMPRODUCT(SIGN(((ACT_DOOR_SCOPE="ALL")+(ACT_DOOR_SCOPE="TIER_"&amp;$F51)+(ACT_DOOR_SCOPE=$B51)))*SIGN(((ACT_SKU_SCOPE="ALL")+(ACT_SKU_SCOPE=$G51)))*(ACT_START&lt;=13)*(ACT_END&gt;=13)*IFERROR(ACT_UPLIFT-1,0)))*(1+SUMPRODUCT(SIGN(((ACT_DOOR_SCOPE="ALL")+(ACT_DOOR_SCOPE="TIER_"&amp;$F51)+(ACT_DOOR_SCOPE=$B51)))*SIGN(((ACT_SKU_SCOPE="ALL")+(ACT_SKU_SCOPE=$G51)))*(13&gt;ACT_END)*(ACT_END&gt;0)*IFERROR(ACT_POSTLIFT,0))),0)))</f>
        <v/>
      </c>
    </row>
    <row r="52">
      <c r="A52" t="inlineStr">
        <is>
          <t>R0048</t>
        </is>
      </c>
      <c r="B52">
        <f>Doors!$A$20</f>
        <v/>
      </c>
      <c r="C52">
        <f>Doors!$C$20</f>
        <v/>
      </c>
      <c r="D52">
        <f>Doors!$B$20</f>
        <v/>
      </c>
      <c r="E52">
        <f>Doors!$E$20</f>
        <v/>
      </c>
      <c r="F52">
        <f>Doors!$F$20</f>
        <v/>
      </c>
      <c r="G52" t="inlineStr">
        <is>
          <t>Raspberry</t>
        </is>
      </c>
      <c r="H52">
        <f>Doors!$I$20</f>
        <v/>
      </c>
      <c r="I52">
        <f>Doors!$J$20</f>
        <v/>
      </c>
      <c r="J52" s="10">
        <f>IF(OR($H52&lt;&gt;"Y",1&lt;$I52),0,IF(SUMPRODUCT(((BULK_ENABLED="Y")*((BULK_TIER="ALL")+(BULK_TIER=$F52))*((BULK_SKU="ALL")+(BULK_SKU=$G52))*(BULK_START&lt;=1)*(BULK_END&gt;=1)))&gt;0,IFERROR(SUMPRODUCT(((BULK_ENABLED="Y")*((BULK_TIER="ALL")+(BULK_TIER=$F52))*((BULK_SKU="ALL")+(BULK_SKU=$G52))*(BULK_START&lt;=1)*(BULK_END&gt;=1))*IFERROR(BULK_VALUE,0))/MAX(1,SUMPRODUCT(((BULK_ENABLED="Y")*((BULK_TIER="ALL")+(BULK_TIER=$F52))*((BULK_SKU="ALL")+(BULK_SKU=$G52))*(BULK_START&lt;=1)*(BULK_END&gt;=1)))),0),ROUND((INDEX(VELOCITY_TABLE,MATCH($F52,TIER_LIST,0),3))*(IF((1-$I52+1)&lt;=0,0,IF((1-$I52+1)=1,RAMP_W1,IF((1-$I52+1)=2,RAMP_W2,IF((1-$I52+1)=3,RAMP_W3,RAMP_W4PLUS)))))*(INDEX(ACTIVE_MULT_TABLE,3,1))*(1+SUMPRODUCT(SIGN(((ACT_DOOR_SCOPE="ALL")+(ACT_DOOR_SCOPE="TIER_"&amp;$F52)+(ACT_DOOR_SCOPE=$B52)))*SIGN(((ACT_SKU_SCOPE="ALL")+(ACT_SKU_SCOPE=$G52)))*(ACT_START&lt;=1)*(ACT_END&gt;=1)*IFERROR(ACT_UPLIFT-1,0)))*(1+SUMPRODUCT(SIGN(((ACT_DOOR_SCOPE="ALL")+(ACT_DOOR_SCOPE="TIER_"&amp;$F52)+(ACT_DOOR_SCOPE=$B52)))*SIGN(((ACT_SKU_SCOPE="ALL")+(ACT_SKU_SCOPE=$G52)))*(1&gt;ACT_END)*(ACT_END&gt;0)*IFERROR(ACT_POSTLIFT,0))),0)))</f>
        <v/>
      </c>
      <c r="K52" s="10">
        <f>IF(OR($H52&lt;&gt;"Y",2&lt;$I52),0,IF(SUMPRODUCT(((BULK_ENABLED="Y")*((BULK_TIER="ALL")+(BULK_TIER=$F52))*((BULK_SKU="ALL")+(BULK_SKU=$G52))*(BULK_START&lt;=2)*(BULK_END&gt;=2)))&gt;0,IFERROR(SUMPRODUCT(((BULK_ENABLED="Y")*((BULK_TIER="ALL")+(BULK_TIER=$F52))*((BULK_SKU="ALL")+(BULK_SKU=$G52))*(BULK_START&lt;=2)*(BULK_END&gt;=2))*IFERROR(BULK_VALUE,0))/MAX(1,SUMPRODUCT(((BULK_ENABLED="Y")*((BULK_TIER="ALL")+(BULK_TIER=$F52))*((BULK_SKU="ALL")+(BULK_SKU=$G52))*(BULK_START&lt;=2)*(BULK_END&gt;=2)))),0),ROUND((INDEX(VELOCITY_TABLE,MATCH($F52,TIER_LIST,0),3))*(IF((2-$I52+1)&lt;=0,0,IF((2-$I52+1)=1,RAMP_W1,IF((2-$I52+1)=2,RAMP_W2,IF((2-$I52+1)=3,RAMP_W3,RAMP_W4PLUS)))))*(INDEX(ACTIVE_MULT_TABLE,3,1))*(1+SUMPRODUCT(SIGN(((ACT_DOOR_SCOPE="ALL")+(ACT_DOOR_SCOPE="TIER_"&amp;$F52)+(ACT_DOOR_SCOPE=$B52)))*SIGN(((ACT_SKU_SCOPE="ALL")+(ACT_SKU_SCOPE=$G52)))*(ACT_START&lt;=2)*(ACT_END&gt;=2)*IFERROR(ACT_UPLIFT-1,0)))*(1+SUMPRODUCT(SIGN(((ACT_DOOR_SCOPE="ALL")+(ACT_DOOR_SCOPE="TIER_"&amp;$F52)+(ACT_DOOR_SCOPE=$B52)))*SIGN(((ACT_SKU_SCOPE="ALL")+(ACT_SKU_SCOPE=$G52)))*(2&gt;ACT_END)*(ACT_END&gt;0)*IFERROR(ACT_POSTLIFT,0))),0)))</f>
        <v/>
      </c>
      <c r="L52" s="10">
        <f>IF(OR($H52&lt;&gt;"Y",3&lt;$I52),0,IF(SUMPRODUCT(((BULK_ENABLED="Y")*((BULK_TIER="ALL")+(BULK_TIER=$F52))*((BULK_SKU="ALL")+(BULK_SKU=$G52))*(BULK_START&lt;=3)*(BULK_END&gt;=3)))&gt;0,IFERROR(SUMPRODUCT(((BULK_ENABLED="Y")*((BULK_TIER="ALL")+(BULK_TIER=$F52))*((BULK_SKU="ALL")+(BULK_SKU=$G52))*(BULK_START&lt;=3)*(BULK_END&gt;=3))*IFERROR(BULK_VALUE,0))/MAX(1,SUMPRODUCT(((BULK_ENABLED="Y")*((BULK_TIER="ALL")+(BULK_TIER=$F52))*((BULK_SKU="ALL")+(BULK_SKU=$G52))*(BULK_START&lt;=3)*(BULK_END&gt;=3)))),0),ROUND((INDEX(VELOCITY_TABLE,MATCH($F52,TIER_LIST,0),3))*(IF((3-$I52+1)&lt;=0,0,IF((3-$I52+1)=1,RAMP_W1,IF((3-$I52+1)=2,RAMP_W2,IF((3-$I52+1)=3,RAMP_W3,RAMP_W4PLUS)))))*(INDEX(ACTIVE_MULT_TABLE,3,1))*(1+SUMPRODUCT(SIGN(((ACT_DOOR_SCOPE="ALL")+(ACT_DOOR_SCOPE="TIER_"&amp;$F52)+(ACT_DOOR_SCOPE=$B52)))*SIGN(((ACT_SKU_SCOPE="ALL")+(ACT_SKU_SCOPE=$G52)))*(ACT_START&lt;=3)*(ACT_END&gt;=3)*IFERROR(ACT_UPLIFT-1,0)))*(1+SUMPRODUCT(SIGN(((ACT_DOOR_SCOPE="ALL")+(ACT_DOOR_SCOPE="TIER_"&amp;$F52)+(ACT_DOOR_SCOPE=$B52)))*SIGN(((ACT_SKU_SCOPE="ALL")+(ACT_SKU_SCOPE=$G52)))*(3&gt;ACT_END)*(ACT_END&gt;0)*IFERROR(ACT_POSTLIFT,0))),0)))</f>
        <v/>
      </c>
      <c r="M52" s="10">
        <f>IF(OR($H52&lt;&gt;"Y",4&lt;$I52),0,IF(SUMPRODUCT(((BULK_ENABLED="Y")*((BULK_TIER="ALL")+(BULK_TIER=$F52))*((BULK_SKU="ALL")+(BULK_SKU=$G52))*(BULK_START&lt;=4)*(BULK_END&gt;=4)))&gt;0,IFERROR(SUMPRODUCT(((BULK_ENABLED="Y")*((BULK_TIER="ALL")+(BULK_TIER=$F52))*((BULK_SKU="ALL")+(BULK_SKU=$G52))*(BULK_START&lt;=4)*(BULK_END&gt;=4))*IFERROR(BULK_VALUE,0))/MAX(1,SUMPRODUCT(((BULK_ENABLED="Y")*((BULK_TIER="ALL")+(BULK_TIER=$F52))*((BULK_SKU="ALL")+(BULK_SKU=$G52))*(BULK_START&lt;=4)*(BULK_END&gt;=4)))),0),ROUND((INDEX(VELOCITY_TABLE,MATCH($F52,TIER_LIST,0),3))*(IF((4-$I52+1)&lt;=0,0,IF((4-$I52+1)=1,RAMP_W1,IF((4-$I52+1)=2,RAMP_W2,IF((4-$I52+1)=3,RAMP_W3,RAMP_W4PLUS)))))*(INDEX(ACTIVE_MULT_TABLE,3,1))*(1+SUMPRODUCT(SIGN(((ACT_DOOR_SCOPE="ALL")+(ACT_DOOR_SCOPE="TIER_"&amp;$F52)+(ACT_DOOR_SCOPE=$B52)))*SIGN(((ACT_SKU_SCOPE="ALL")+(ACT_SKU_SCOPE=$G52)))*(ACT_START&lt;=4)*(ACT_END&gt;=4)*IFERROR(ACT_UPLIFT-1,0)))*(1+SUMPRODUCT(SIGN(((ACT_DOOR_SCOPE="ALL")+(ACT_DOOR_SCOPE="TIER_"&amp;$F52)+(ACT_DOOR_SCOPE=$B52)))*SIGN(((ACT_SKU_SCOPE="ALL")+(ACT_SKU_SCOPE=$G52)))*(4&gt;ACT_END)*(ACT_END&gt;0)*IFERROR(ACT_POSTLIFT,0))),0)))</f>
        <v/>
      </c>
      <c r="N52" s="10">
        <f>IF(OR($H52&lt;&gt;"Y",5&lt;$I52),0,IF(SUMPRODUCT(((BULK_ENABLED="Y")*((BULK_TIER="ALL")+(BULK_TIER=$F52))*((BULK_SKU="ALL")+(BULK_SKU=$G52))*(BULK_START&lt;=5)*(BULK_END&gt;=5)))&gt;0,IFERROR(SUMPRODUCT(((BULK_ENABLED="Y")*((BULK_TIER="ALL")+(BULK_TIER=$F52))*((BULK_SKU="ALL")+(BULK_SKU=$G52))*(BULK_START&lt;=5)*(BULK_END&gt;=5))*IFERROR(BULK_VALUE,0))/MAX(1,SUMPRODUCT(((BULK_ENABLED="Y")*((BULK_TIER="ALL")+(BULK_TIER=$F52))*((BULK_SKU="ALL")+(BULK_SKU=$G52))*(BULK_START&lt;=5)*(BULK_END&gt;=5)))),0),ROUND((INDEX(VELOCITY_TABLE,MATCH($F52,TIER_LIST,0),3))*(IF((5-$I52+1)&lt;=0,0,IF((5-$I52+1)=1,RAMP_W1,IF((5-$I52+1)=2,RAMP_W2,IF((5-$I52+1)=3,RAMP_W3,RAMP_W4PLUS)))))*(INDEX(ACTIVE_MULT_TABLE,3,1))*(1+SUMPRODUCT(SIGN(((ACT_DOOR_SCOPE="ALL")+(ACT_DOOR_SCOPE="TIER_"&amp;$F52)+(ACT_DOOR_SCOPE=$B52)))*SIGN(((ACT_SKU_SCOPE="ALL")+(ACT_SKU_SCOPE=$G52)))*(ACT_START&lt;=5)*(ACT_END&gt;=5)*IFERROR(ACT_UPLIFT-1,0)))*(1+SUMPRODUCT(SIGN(((ACT_DOOR_SCOPE="ALL")+(ACT_DOOR_SCOPE="TIER_"&amp;$F52)+(ACT_DOOR_SCOPE=$B52)))*SIGN(((ACT_SKU_SCOPE="ALL")+(ACT_SKU_SCOPE=$G52)))*(5&gt;ACT_END)*(ACT_END&gt;0)*IFERROR(ACT_POSTLIFT,0))),0)))</f>
        <v/>
      </c>
      <c r="O52" s="10">
        <f>IF(OR($H52&lt;&gt;"Y",6&lt;$I52),0,IF(SUMPRODUCT(((BULK_ENABLED="Y")*((BULK_TIER="ALL")+(BULK_TIER=$F52))*((BULK_SKU="ALL")+(BULK_SKU=$G52))*(BULK_START&lt;=6)*(BULK_END&gt;=6)))&gt;0,IFERROR(SUMPRODUCT(((BULK_ENABLED="Y")*((BULK_TIER="ALL")+(BULK_TIER=$F52))*((BULK_SKU="ALL")+(BULK_SKU=$G52))*(BULK_START&lt;=6)*(BULK_END&gt;=6))*IFERROR(BULK_VALUE,0))/MAX(1,SUMPRODUCT(((BULK_ENABLED="Y")*((BULK_TIER="ALL")+(BULK_TIER=$F52))*((BULK_SKU="ALL")+(BULK_SKU=$G52))*(BULK_START&lt;=6)*(BULK_END&gt;=6)))),0),ROUND((INDEX(VELOCITY_TABLE,MATCH($F52,TIER_LIST,0),3))*(IF((6-$I52+1)&lt;=0,0,IF((6-$I52+1)=1,RAMP_W1,IF((6-$I52+1)=2,RAMP_W2,IF((6-$I52+1)=3,RAMP_W3,RAMP_W4PLUS)))))*(INDEX(ACTIVE_MULT_TABLE,3,1))*(1+SUMPRODUCT(SIGN(((ACT_DOOR_SCOPE="ALL")+(ACT_DOOR_SCOPE="TIER_"&amp;$F52)+(ACT_DOOR_SCOPE=$B52)))*SIGN(((ACT_SKU_SCOPE="ALL")+(ACT_SKU_SCOPE=$G52)))*(ACT_START&lt;=6)*(ACT_END&gt;=6)*IFERROR(ACT_UPLIFT-1,0)))*(1+SUMPRODUCT(SIGN(((ACT_DOOR_SCOPE="ALL")+(ACT_DOOR_SCOPE="TIER_"&amp;$F52)+(ACT_DOOR_SCOPE=$B52)))*SIGN(((ACT_SKU_SCOPE="ALL")+(ACT_SKU_SCOPE=$G52)))*(6&gt;ACT_END)*(ACT_END&gt;0)*IFERROR(ACT_POSTLIFT,0))),0)))</f>
        <v/>
      </c>
      <c r="P52" s="10">
        <f>IF(OR($H52&lt;&gt;"Y",7&lt;$I52),0,IF(SUMPRODUCT(((BULK_ENABLED="Y")*((BULK_TIER="ALL")+(BULK_TIER=$F52))*((BULK_SKU="ALL")+(BULK_SKU=$G52))*(BULK_START&lt;=7)*(BULK_END&gt;=7)))&gt;0,IFERROR(SUMPRODUCT(((BULK_ENABLED="Y")*((BULK_TIER="ALL")+(BULK_TIER=$F52))*((BULK_SKU="ALL")+(BULK_SKU=$G52))*(BULK_START&lt;=7)*(BULK_END&gt;=7))*IFERROR(BULK_VALUE,0))/MAX(1,SUMPRODUCT(((BULK_ENABLED="Y")*((BULK_TIER="ALL")+(BULK_TIER=$F52))*((BULK_SKU="ALL")+(BULK_SKU=$G52))*(BULK_START&lt;=7)*(BULK_END&gt;=7)))),0),ROUND((INDEX(VELOCITY_TABLE,MATCH($F52,TIER_LIST,0),3))*(IF((7-$I52+1)&lt;=0,0,IF((7-$I52+1)=1,RAMP_W1,IF((7-$I52+1)=2,RAMP_W2,IF((7-$I52+1)=3,RAMP_W3,RAMP_W4PLUS)))))*(INDEX(ACTIVE_MULT_TABLE,3,1))*(1+SUMPRODUCT(SIGN(((ACT_DOOR_SCOPE="ALL")+(ACT_DOOR_SCOPE="TIER_"&amp;$F52)+(ACT_DOOR_SCOPE=$B52)))*SIGN(((ACT_SKU_SCOPE="ALL")+(ACT_SKU_SCOPE=$G52)))*(ACT_START&lt;=7)*(ACT_END&gt;=7)*IFERROR(ACT_UPLIFT-1,0)))*(1+SUMPRODUCT(SIGN(((ACT_DOOR_SCOPE="ALL")+(ACT_DOOR_SCOPE="TIER_"&amp;$F52)+(ACT_DOOR_SCOPE=$B52)))*SIGN(((ACT_SKU_SCOPE="ALL")+(ACT_SKU_SCOPE=$G52)))*(7&gt;ACT_END)*(ACT_END&gt;0)*IFERROR(ACT_POSTLIFT,0))),0)))</f>
        <v/>
      </c>
      <c r="Q52" s="10">
        <f>IF(OR($H52&lt;&gt;"Y",8&lt;$I52),0,IF(SUMPRODUCT(((BULK_ENABLED="Y")*((BULK_TIER="ALL")+(BULK_TIER=$F52))*((BULK_SKU="ALL")+(BULK_SKU=$G52))*(BULK_START&lt;=8)*(BULK_END&gt;=8)))&gt;0,IFERROR(SUMPRODUCT(((BULK_ENABLED="Y")*((BULK_TIER="ALL")+(BULK_TIER=$F52))*((BULK_SKU="ALL")+(BULK_SKU=$G52))*(BULK_START&lt;=8)*(BULK_END&gt;=8))*IFERROR(BULK_VALUE,0))/MAX(1,SUMPRODUCT(((BULK_ENABLED="Y")*((BULK_TIER="ALL")+(BULK_TIER=$F52))*((BULK_SKU="ALL")+(BULK_SKU=$G52))*(BULK_START&lt;=8)*(BULK_END&gt;=8)))),0),ROUND((INDEX(VELOCITY_TABLE,MATCH($F52,TIER_LIST,0),3))*(IF((8-$I52+1)&lt;=0,0,IF((8-$I52+1)=1,RAMP_W1,IF((8-$I52+1)=2,RAMP_W2,IF((8-$I52+1)=3,RAMP_W3,RAMP_W4PLUS)))))*(INDEX(ACTIVE_MULT_TABLE,3,1))*(1+SUMPRODUCT(SIGN(((ACT_DOOR_SCOPE="ALL")+(ACT_DOOR_SCOPE="TIER_"&amp;$F52)+(ACT_DOOR_SCOPE=$B52)))*SIGN(((ACT_SKU_SCOPE="ALL")+(ACT_SKU_SCOPE=$G52)))*(ACT_START&lt;=8)*(ACT_END&gt;=8)*IFERROR(ACT_UPLIFT-1,0)))*(1+SUMPRODUCT(SIGN(((ACT_DOOR_SCOPE="ALL")+(ACT_DOOR_SCOPE="TIER_"&amp;$F52)+(ACT_DOOR_SCOPE=$B52)))*SIGN(((ACT_SKU_SCOPE="ALL")+(ACT_SKU_SCOPE=$G52)))*(8&gt;ACT_END)*(ACT_END&gt;0)*IFERROR(ACT_POSTLIFT,0))),0)))</f>
        <v/>
      </c>
      <c r="R52" s="10">
        <f>IF(OR($H52&lt;&gt;"Y",9&lt;$I52),0,IF(SUMPRODUCT(((BULK_ENABLED="Y")*((BULK_TIER="ALL")+(BULK_TIER=$F52))*((BULK_SKU="ALL")+(BULK_SKU=$G52))*(BULK_START&lt;=9)*(BULK_END&gt;=9)))&gt;0,IFERROR(SUMPRODUCT(((BULK_ENABLED="Y")*((BULK_TIER="ALL")+(BULK_TIER=$F52))*((BULK_SKU="ALL")+(BULK_SKU=$G52))*(BULK_START&lt;=9)*(BULK_END&gt;=9))*IFERROR(BULK_VALUE,0))/MAX(1,SUMPRODUCT(((BULK_ENABLED="Y")*((BULK_TIER="ALL")+(BULK_TIER=$F52))*((BULK_SKU="ALL")+(BULK_SKU=$G52))*(BULK_START&lt;=9)*(BULK_END&gt;=9)))),0),ROUND((INDEX(VELOCITY_TABLE,MATCH($F52,TIER_LIST,0),3))*(IF((9-$I52+1)&lt;=0,0,IF((9-$I52+1)=1,RAMP_W1,IF((9-$I52+1)=2,RAMP_W2,IF((9-$I52+1)=3,RAMP_W3,RAMP_W4PLUS)))))*(INDEX(ACTIVE_MULT_TABLE,3,1))*(1+SUMPRODUCT(SIGN(((ACT_DOOR_SCOPE="ALL")+(ACT_DOOR_SCOPE="TIER_"&amp;$F52)+(ACT_DOOR_SCOPE=$B52)))*SIGN(((ACT_SKU_SCOPE="ALL")+(ACT_SKU_SCOPE=$G52)))*(ACT_START&lt;=9)*(ACT_END&gt;=9)*IFERROR(ACT_UPLIFT-1,0)))*(1+SUMPRODUCT(SIGN(((ACT_DOOR_SCOPE="ALL")+(ACT_DOOR_SCOPE="TIER_"&amp;$F52)+(ACT_DOOR_SCOPE=$B52)))*SIGN(((ACT_SKU_SCOPE="ALL")+(ACT_SKU_SCOPE=$G52)))*(9&gt;ACT_END)*(ACT_END&gt;0)*IFERROR(ACT_POSTLIFT,0))),0)))</f>
        <v/>
      </c>
      <c r="S52" s="10">
        <f>IF(OR($H52&lt;&gt;"Y",10&lt;$I52),0,IF(SUMPRODUCT(((BULK_ENABLED="Y")*((BULK_TIER="ALL")+(BULK_TIER=$F52))*((BULK_SKU="ALL")+(BULK_SKU=$G52))*(BULK_START&lt;=10)*(BULK_END&gt;=10)))&gt;0,IFERROR(SUMPRODUCT(((BULK_ENABLED="Y")*((BULK_TIER="ALL")+(BULK_TIER=$F52))*((BULK_SKU="ALL")+(BULK_SKU=$G52))*(BULK_START&lt;=10)*(BULK_END&gt;=10))*IFERROR(BULK_VALUE,0))/MAX(1,SUMPRODUCT(((BULK_ENABLED="Y")*((BULK_TIER="ALL")+(BULK_TIER=$F52))*((BULK_SKU="ALL")+(BULK_SKU=$G52))*(BULK_START&lt;=10)*(BULK_END&gt;=10)))),0),ROUND((INDEX(VELOCITY_TABLE,MATCH($F52,TIER_LIST,0),3))*(IF((10-$I52+1)&lt;=0,0,IF((10-$I52+1)=1,RAMP_W1,IF((10-$I52+1)=2,RAMP_W2,IF((10-$I52+1)=3,RAMP_W3,RAMP_W4PLUS)))))*(INDEX(ACTIVE_MULT_TABLE,3,1))*(1+SUMPRODUCT(SIGN(((ACT_DOOR_SCOPE="ALL")+(ACT_DOOR_SCOPE="TIER_"&amp;$F52)+(ACT_DOOR_SCOPE=$B52)))*SIGN(((ACT_SKU_SCOPE="ALL")+(ACT_SKU_SCOPE=$G52)))*(ACT_START&lt;=10)*(ACT_END&gt;=10)*IFERROR(ACT_UPLIFT-1,0)))*(1+SUMPRODUCT(SIGN(((ACT_DOOR_SCOPE="ALL")+(ACT_DOOR_SCOPE="TIER_"&amp;$F52)+(ACT_DOOR_SCOPE=$B52)))*SIGN(((ACT_SKU_SCOPE="ALL")+(ACT_SKU_SCOPE=$G52)))*(10&gt;ACT_END)*(ACT_END&gt;0)*IFERROR(ACT_POSTLIFT,0))),0)))</f>
        <v/>
      </c>
      <c r="T52" s="10">
        <f>IF(OR($H52&lt;&gt;"Y",11&lt;$I52),0,IF(SUMPRODUCT(((BULK_ENABLED="Y")*((BULK_TIER="ALL")+(BULK_TIER=$F52))*((BULK_SKU="ALL")+(BULK_SKU=$G52))*(BULK_START&lt;=11)*(BULK_END&gt;=11)))&gt;0,IFERROR(SUMPRODUCT(((BULK_ENABLED="Y")*((BULK_TIER="ALL")+(BULK_TIER=$F52))*((BULK_SKU="ALL")+(BULK_SKU=$G52))*(BULK_START&lt;=11)*(BULK_END&gt;=11))*IFERROR(BULK_VALUE,0))/MAX(1,SUMPRODUCT(((BULK_ENABLED="Y")*((BULK_TIER="ALL")+(BULK_TIER=$F52))*((BULK_SKU="ALL")+(BULK_SKU=$G52))*(BULK_START&lt;=11)*(BULK_END&gt;=11)))),0),ROUND((INDEX(VELOCITY_TABLE,MATCH($F52,TIER_LIST,0),3))*(IF((11-$I52+1)&lt;=0,0,IF((11-$I52+1)=1,RAMP_W1,IF((11-$I52+1)=2,RAMP_W2,IF((11-$I52+1)=3,RAMP_W3,RAMP_W4PLUS)))))*(INDEX(ACTIVE_MULT_TABLE,3,1))*(1+SUMPRODUCT(SIGN(((ACT_DOOR_SCOPE="ALL")+(ACT_DOOR_SCOPE="TIER_"&amp;$F52)+(ACT_DOOR_SCOPE=$B52)))*SIGN(((ACT_SKU_SCOPE="ALL")+(ACT_SKU_SCOPE=$G52)))*(ACT_START&lt;=11)*(ACT_END&gt;=11)*IFERROR(ACT_UPLIFT-1,0)))*(1+SUMPRODUCT(SIGN(((ACT_DOOR_SCOPE="ALL")+(ACT_DOOR_SCOPE="TIER_"&amp;$F52)+(ACT_DOOR_SCOPE=$B52)))*SIGN(((ACT_SKU_SCOPE="ALL")+(ACT_SKU_SCOPE=$G52)))*(11&gt;ACT_END)*(ACT_END&gt;0)*IFERROR(ACT_POSTLIFT,0))),0)))</f>
        <v/>
      </c>
      <c r="U52" s="10">
        <f>IF(OR($H52&lt;&gt;"Y",12&lt;$I52),0,IF(SUMPRODUCT(((BULK_ENABLED="Y")*((BULK_TIER="ALL")+(BULK_TIER=$F52))*((BULK_SKU="ALL")+(BULK_SKU=$G52))*(BULK_START&lt;=12)*(BULK_END&gt;=12)))&gt;0,IFERROR(SUMPRODUCT(((BULK_ENABLED="Y")*((BULK_TIER="ALL")+(BULK_TIER=$F52))*((BULK_SKU="ALL")+(BULK_SKU=$G52))*(BULK_START&lt;=12)*(BULK_END&gt;=12))*IFERROR(BULK_VALUE,0))/MAX(1,SUMPRODUCT(((BULK_ENABLED="Y")*((BULK_TIER="ALL")+(BULK_TIER=$F52))*((BULK_SKU="ALL")+(BULK_SKU=$G52))*(BULK_START&lt;=12)*(BULK_END&gt;=12)))),0),ROUND((INDEX(VELOCITY_TABLE,MATCH($F52,TIER_LIST,0),3))*(IF((12-$I52+1)&lt;=0,0,IF((12-$I52+1)=1,RAMP_W1,IF((12-$I52+1)=2,RAMP_W2,IF((12-$I52+1)=3,RAMP_W3,RAMP_W4PLUS)))))*(INDEX(ACTIVE_MULT_TABLE,3,1))*(1+SUMPRODUCT(SIGN(((ACT_DOOR_SCOPE="ALL")+(ACT_DOOR_SCOPE="TIER_"&amp;$F52)+(ACT_DOOR_SCOPE=$B52)))*SIGN(((ACT_SKU_SCOPE="ALL")+(ACT_SKU_SCOPE=$G52)))*(ACT_START&lt;=12)*(ACT_END&gt;=12)*IFERROR(ACT_UPLIFT-1,0)))*(1+SUMPRODUCT(SIGN(((ACT_DOOR_SCOPE="ALL")+(ACT_DOOR_SCOPE="TIER_"&amp;$F52)+(ACT_DOOR_SCOPE=$B52)))*SIGN(((ACT_SKU_SCOPE="ALL")+(ACT_SKU_SCOPE=$G52)))*(12&gt;ACT_END)*(ACT_END&gt;0)*IFERROR(ACT_POSTLIFT,0))),0)))</f>
        <v/>
      </c>
      <c r="V52" s="10">
        <f>IF(OR($H52&lt;&gt;"Y",13&lt;$I52),0,IF(SUMPRODUCT(((BULK_ENABLED="Y")*((BULK_TIER="ALL")+(BULK_TIER=$F52))*((BULK_SKU="ALL")+(BULK_SKU=$G52))*(BULK_START&lt;=13)*(BULK_END&gt;=13)))&gt;0,IFERROR(SUMPRODUCT(((BULK_ENABLED="Y")*((BULK_TIER="ALL")+(BULK_TIER=$F52))*((BULK_SKU="ALL")+(BULK_SKU=$G52))*(BULK_START&lt;=13)*(BULK_END&gt;=13))*IFERROR(BULK_VALUE,0))/MAX(1,SUMPRODUCT(((BULK_ENABLED="Y")*((BULK_TIER="ALL")+(BULK_TIER=$F52))*((BULK_SKU="ALL")+(BULK_SKU=$G52))*(BULK_START&lt;=13)*(BULK_END&gt;=13)))),0),ROUND((INDEX(VELOCITY_TABLE,MATCH($F52,TIER_LIST,0),3))*(IF((13-$I52+1)&lt;=0,0,IF((13-$I52+1)=1,RAMP_W1,IF((13-$I52+1)=2,RAMP_W2,IF((13-$I52+1)=3,RAMP_W3,RAMP_W4PLUS)))))*(INDEX(ACTIVE_MULT_TABLE,3,1))*(1+SUMPRODUCT(SIGN(((ACT_DOOR_SCOPE="ALL")+(ACT_DOOR_SCOPE="TIER_"&amp;$F52)+(ACT_DOOR_SCOPE=$B52)))*SIGN(((ACT_SKU_SCOPE="ALL")+(ACT_SKU_SCOPE=$G52)))*(ACT_START&lt;=13)*(ACT_END&gt;=13)*IFERROR(ACT_UPLIFT-1,0)))*(1+SUMPRODUCT(SIGN(((ACT_DOOR_SCOPE="ALL")+(ACT_DOOR_SCOPE="TIER_"&amp;$F52)+(ACT_DOOR_SCOPE=$B52)))*SIGN(((ACT_SKU_SCOPE="ALL")+(ACT_SKU_SCOPE=$G52)))*(13&gt;ACT_END)*(ACT_END&gt;0)*IFERROR(ACT_POSTLIFT,0))),0)))</f>
        <v/>
      </c>
    </row>
    <row r="53">
      <c r="A53" t="inlineStr">
        <is>
          <t>R0049</t>
        </is>
      </c>
      <c r="B53">
        <f>Doors!$A$21</f>
        <v/>
      </c>
      <c r="C53">
        <f>Doors!$C$21</f>
        <v/>
      </c>
      <c r="D53">
        <f>Doors!$B$21</f>
        <v/>
      </c>
      <c r="E53">
        <f>Doors!$E$21</f>
        <v/>
      </c>
      <c r="F53">
        <f>Doors!$F$21</f>
        <v/>
      </c>
      <c r="G53" t="inlineStr">
        <is>
          <t>Lime Lemon</t>
        </is>
      </c>
      <c r="H53">
        <f>Doors!$G$21</f>
        <v/>
      </c>
      <c r="I53">
        <f>Doors!$J$21</f>
        <v/>
      </c>
      <c r="J53" s="10">
        <f>IF(OR($H53&lt;&gt;"Y",1&lt;$I53),0,IF(SUMPRODUCT(((BULK_ENABLED="Y")*((BULK_TIER="ALL")+(BULK_TIER=$F53))*((BULK_SKU="ALL")+(BULK_SKU=$G53))*(BULK_START&lt;=1)*(BULK_END&gt;=1)))&gt;0,IFERROR(SUMPRODUCT(((BULK_ENABLED="Y")*((BULK_TIER="ALL")+(BULK_TIER=$F53))*((BULK_SKU="ALL")+(BULK_SKU=$G53))*(BULK_START&lt;=1)*(BULK_END&gt;=1))*IFERROR(BULK_VALUE,0))/MAX(1,SUMPRODUCT(((BULK_ENABLED="Y")*((BULK_TIER="ALL")+(BULK_TIER=$F53))*((BULK_SKU="ALL")+(BULK_SKU=$G53))*(BULK_START&lt;=1)*(BULK_END&gt;=1)))),0),ROUND((INDEX(VELOCITY_TABLE,MATCH($F53,TIER_LIST,0),1))*(IF((1-$I53+1)&lt;=0,0,IF((1-$I53+1)=1,RAMP_W1,IF((1-$I53+1)=2,RAMP_W2,IF((1-$I53+1)=3,RAMP_W3,RAMP_W4PLUS)))))*(INDEX(ACTIVE_MULT_TABLE,1,1))*(1+SUMPRODUCT(SIGN(((ACT_DOOR_SCOPE="ALL")+(ACT_DOOR_SCOPE="TIER_"&amp;$F53)+(ACT_DOOR_SCOPE=$B53)))*SIGN(((ACT_SKU_SCOPE="ALL")+(ACT_SKU_SCOPE=$G53)))*(ACT_START&lt;=1)*(ACT_END&gt;=1)*IFERROR(ACT_UPLIFT-1,0)))*(1+SUMPRODUCT(SIGN(((ACT_DOOR_SCOPE="ALL")+(ACT_DOOR_SCOPE="TIER_"&amp;$F53)+(ACT_DOOR_SCOPE=$B53)))*SIGN(((ACT_SKU_SCOPE="ALL")+(ACT_SKU_SCOPE=$G53)))*(1&gt;ACT_END)*(ACT_END&gt;0)*IFERROR(ACT_POSTLIFT,0))),0)))</f>
        <v/>
      </c>
      <c r="K53" s="10">
        <f>IF(OR($H53&lt;&gt;"Y",2&lt;$I53),0,IF(SUMPRODUCT(((BULK_ENABLED="Y")*((BULK_TIER="ALL")+(BULK_TIER=$F53))*((BULK_SKU="ALL")+(BULK_SKU=$G53))*(BULK_START&lt;=2)*(BULK_END&gt;=2)))&gt;0,IFERROR(SUMPRODUCT(((BULK_ENABLED="Y")*((BULK_TIER="ALL")+(BULK_TIER=$F53))*((BULK_SKU="ALL")+(BULK_SKU=$G53))*(BULK_START&lt;=2)*(BULK_END&gt;=2))*IFERROR(BULK_VALUE,0))/MAX(1,SUMPRODUCT(((BULK_ENABLED="Y")*((BULK_TIER="ALL")+(BULK_TIER=$F53))*((BULK_SKU="ALL")+(BULK_SKU=$G53))*(BULK_START&lt;=2)*(BULK_END&gt;=2)))),0),ROUND((INDEX(VELOCITY_TABLE,MATCH($F53,TIER_LIST,0),1))*(IF((2-$I53+1)&lt;=0,0,IF((2-$I53+1)=1,RAMP_W1,IF((2-$I53+1)=2,RAMP_W2,IF((2-$I53+1)=3,RAMP_W3,RAMP_W4PLUS)))))*(INDEX(ACTIVE_MULT_TABLE,1,1))*(1+SUMPRODUCT(SIGN(((ACT_DOOR_SCOPE="ALL")+(ACT_DOOR_SCOPE="TIER_"&amp;$F53)+(ACT_DOOR_SCOPE=$B53)))*SIGN(((ACT_SKU_SCOPE="ALL")+(ACT_SKU_SCOPE=$G53)))*(ACT_START&lt;=2)*(ACT_END&gt;=2)*IFERROR(ACT_UPLIFT-1,0)))*(1+SUMPRODUCT(SIGN(((ACT_DOOR_SCOPE="ALL")+(ACT_DOOR_SCOPE="TIER_"&amp;$F53)+(ACT_DOOR_SCOPE=$B53)))*SIGN(((ACT_SKU_SCOPE="ALL")+(ACT_SKU_SCOPE=$G53)))*(2&gt;ACT_END)*(ACT_END&gt;0)*IFERROR(ACT_POSTLIFT,0))),0)))</f>
        <v/>
      </c>
      <c r="L53" s="10">
        <f>IF(OR($H53&lt;&gt;"Y",3&lt;$I53),0,IF(SUMPRODUCT(((BULK_ENABLED="Y")*((BULK_TIER="ALL")+(BULK_TIER=$F53))*((BULK_SKU="ALL")+(BULK_SKU=$G53))*(BULK_START&lt;=3)*(BULK_END&gt;=3)))&gt;0,IFERROR(SUMPRODUCT(((BULK_ENABLED="Y")*((BULK_TIER="ALL")+(BULK_TIER=$F53))*((BULK_SKU="ALL")+(BULK_SKU=$G53))*(BULK_START&lt;=3)*(BULK_END&gt;=3))*IFERROR(BULK_VALUE,0))/MAX(1,SUMPRODUCT(((BULK_ENABLED="Y")*((BULK_TIER="ALL")+(BULK_TIER=$F53))*((BULK_SKU="ALL")+(BULK_SKU=$G53))*(BULK_START&lt;=3)*(BULK_END&gt;=3)))),0),ROUND((INDEX(VELOCITY_TABLE,MATCH($F53,TIER_LIST,0),1))*(IF((3-$I53+1)&lt;=0,0,IF((3-$I53+1)=1,RAMP_W1,IF((3-$I53+1)=2,RAMP_W2,IF((3-$I53+1)=3,RAMP_W3,RAMP_W4PLUS)))))*(INDEX(ACTIVE_MULT_TABLE,1,1))*(1+SUMPRODUCT(SIGN(((ACT_DOOR_SCOPE="ALL")+(ACT_DOOR_SCOPE="TIER_"&amp;$F53)+(ACT_DOOR_SCOPE=$B53)))*SIGN(((ACT_SKU_SCOPE="ALL")+(ACT_SKU_SCOPE=$G53)))*(ACT_START&lt;=3)*(ACT_END&gt;=3)*IFERROR(ACT_UPLIFT-1,0)))*(1+SUMPRODUCT(SIGN(((ACT_DOOR_SCOPE="ALL")+(ACT_DOOR_SCOPE="TIER_"&amp;$F53)+(ACT_DOOR_SCOPE=$B53)))*SIGN(((ACT_SKU_SCOPE="ALL")+(ACT_SKU_SCOPE=$G53)))*(3&gt;ACT_END)*(ACT_END&gt;0)*IFERROR(ACT_POSTLIFT,0))),0)))</f>
        <v/>
      </c>
      <c r="M53" s="10">
        <f>IF(OR($H53&lt;&gt;"Y",4&lt;$I53),0,IF(SUMPRODUCT(((BULK_ENABLED="Y")*((BULK_TIER="ALL")+(BULK_TIER=$F53))*((BULK_SKU="ALL")+(BULK_SKU=$G53))*(BULK_START&lt;=4)*(BULK_END&gt;=4)))&gt;0,IFERROR(SUMPRODUCT(((BULK_ENABLED="Y")*((BULK_TIER="ALL")+(BULK_TIER=$F53))*((BULK_SKU="ALL")+(BULK_SKU=$G53))*(BULK_START&lt;=4)*(BULK_END&gt;=4))*IFERROR(BULK_VALUE,0))/MAX(1,SUMPRODUCT(((BULK_ENABLED="Y")*((BULK_TIER="ALL")+(BULK_TIER=$F53))*((BULK_SKU="ALL")+(BULK_SKU=$G53))*(BULK_START&lt;=4)*(BULK_END&gt;=4)))),0),ROUND((INDEX(VELOCITY_TABLE,MATCH($F53,TIER_LIST,0),1))*(IF((4-$I53+1)&lt;=0,0,IF((4-$I53+1)=1,RAMP_W1,IF((4-$I53+1)=2,RAMP_W2,IF((4-$I53+1)=3,RAMP_W3,RAMP_W4PLUS)))))*(INDEX(ACTIVE_MULT_TABLE,1,1))*(1+SUMPRODUCT(SIGN(((ACT_DOOR_SCOPE="ALL")+(ACT_DOOR_SCOPE="TIER_"&amp;$F53)+(ACT_DOOR_SCOPE=$B53)))*SIGN(((ACT_SKU_SCOPE="ALL")+(ACT_SKU_SCOPE=$G53)))*(ACT_START&lt;=4)*(ACT_END&gt;=4)*IFERROR(ACT_UPLIFT-1,0)))*(1+SUMPRODUCT(SIGN(((ACT_DOOR_SCOPE="ALL")+(ACT_DOOR_SCOPE="TIER_"&amp;$F53)+(ACT_DOOR_SCOPE=$B53)))*SIGN(((ACT_SKU_SCOPE="ALL")+(ACT_SKU_SCOPE=$G53)))*(4&gt;ACT_END)*(ACT_END&gt;0)*IFERROR(ACT_POSTLIFT,0))),0)))</f>
        <v/>
      </c>
      <c r="N53" s="10">
        <f>IF(OR($H53&lt;&gt;"Y",5&lt;$I53),0,IF(SUMPRODUCT(((BULK_ENABLED="Y")*((BULK_TIER="ALL")+(BULK_TIER=$F53))*((BULK_SKU="ALL")+(BULK_SKU=$G53))*(BULK_START&lt;=5)*(BULK_END&gt;=5)))&gt;0,IFERROR(SUMPRODUCT(((BULK_ENABLED="Y")*((BULK_TIER="ALL")+(BULK_TIER=$F53))*((BULK_SKU="ALL")+(BULK_SKU=$G53))*(BULK_START&lt;=5)*(BULK_END&gt;=5))*IFERROR(BULK_VALUE,0))/MAX(1,SUMPRODUCT(((BULK_ENABLED="Y")*((BULK_TIER="ALL")+(BULK_TIER=$F53))*((BULK_SKU="ALL")+(BULK_SKU=$G53))*(BULK_START&lt;=5)*(BULK_END&gt;=5)))),0),ROUND((INDEX(VELOCITY_TABLE,MATCH($F53,TIER_LIST,0),1))*(IF((5-$I53+1)&lt;=0,0,IF((5-$I53+1)=1,RAMP_W1,IF((5-$I53+1)=2,RAMP_W2,IF((5-$I53+1)=3,RAMP_W3,RAMP_W4PLUS)))))*(INDEX(ACTIVE_MULT_TABLE,1,1))*(1+SUMPRODUCT(SIGN(((ACT_DOOR_SCOPE="ALL")+(ACT_DOOR_SCOPE="TIER_"&amp;$F53)+(ACT_DOOR_SCOPE=$B53)))*SIGN(((ACT_SKU_SCOPE="ALL")+(ACT_SKU_SCOPE=$G53)))*(ACT_START&lt;=5)*(ACT_END&gt;=5)*IFERROR(ACT_UPLIFT-1,0)))*(1+SUMPRODUCT(SIGN(((ACT_DOOR_SCOPE="ALL")+(ACT_DOOR_SCOPE="TIER_"&amp;$F53)+(ACT_DOOR_SCOPE=$B53)))*SIGN(((ACT_SKU_SCOPE="ALL")+(ACT_SKU_SCOPE=$G53)))*(5&gt;ACT_END)*(ACT_END&gt;0)*IFERROR(ACT_POSTLIFT,0))),0)))</f>
        <v/>
      </c>
      <c r="O53" s="10">
        <f>IF(OR($H53&lt;&gt;"Y",6&lt;$I53),0,IF(SUMPRODUCT(((BULK_ENABLED="Y")*((BULK_TIER="ALL")+(BULK_TIER=$F53))*((BULK_SKU="ALL")+(BULK_SKU=$G53))*(BULK_START&lt;=6)*(BULK_END&gt;=6)))&gt;0,IFERROR(SUMPRODUCT(((BULK_ENABLED="Y")*((BULK_TIER="ALL")+(BULK_TIER=$F53))*((BULK_SKU="ALL")+(BULK_SKU=$G53))*(BULK_START&lt;=6)*(BULK_END&gt;=6))*IFERROR(BULK_VALUE,0))/MAX(1,SUMPRODUCT(((BULK_ENABLED="Y")*((BULK_TIER="ALL")+(BULK_TIER=$F53))*((BULK_SKU="ALL")+(BULK_SKU=$G53))*(BULK_START&lt;=6)*(BULK_END&gt;=6)))),0),ROUND((INDEX(VELOCITY_TABLE,MATCH($F53,TIER_LIST,0),1))*(IF((6-$I53+1)&lt;=0,0,IF((6-$I53+1)=1,RAMP_W1,IF((6-$I53+1)=2,RAMP_W2,IF((6-$I53+1)=3,RAMP_W3,RAMP_W4PLUS)))))*(INDEX(ACTIVE_MULT_TABLE,1,1))*(1+SUMPRODUCT(SIGN(((ACT_DOOR_SCOPE="ALL")+(ACT_DOOR_SCOPE="TIER_"&amp;$F53)+(ACT_DOOR_SCOPE=$B53)))*SIGN(((ACT_SKU_SCOPE="ALL")+(ACT_SKU_SCOPE=$G53)))*(ACT_START&lt;=6)*(ACT_END&gt;=6)*IFERROR(ACT_UPLIFT-1,0)))*(1+SUMPRODUCT(SIGN(((ACT_DOOR_SCOPE="ALL")+(ACT_DOOR_SCOPE="TIER_"&amp;$F53)+(ACT_DOOR_SCOPE=$B53)))*SIGN(((ACT_SKU_SCOPE="ALL")+(ACT_SKU_SCOPE=$G53)))*(6&gt;ACT_END)*(ACT_END&gt;0)*IFERROR(ACT_POSTLIFT,0))),0)))</f>
        <v/>
      </c>
      <c r="P53" s="10">
        <f>IF(OR($H53&lt;&gt;"Y",7&lt;$I53),0,IF(SUMPRODUCT(((BULK_ENABLED="Y")*((BULK_TIER="ALL")+(BULK_TIER=$F53))*((BULK_SKU="ALL")+(BULK_SKU=$G53))*(BULK_START&lt;=7)*(BULK_END&gt;=7)))&gt;0,IFERROR(SUMPRODUCT(((BULK_ENABLED="Y")*((BULK_TIER="ALL")+(BULK_TIER=$F53))*((BULK_SKU="ALL")+(BULK_SKU=$G53))*(BULK_START&lt;=7)*(BULK_END&gt;=7))*IFERROR(BULK_VALUE,0))/MAX(1,SUMPRODUCT(((BULK_ENABLED="Y")*((BULK_TIER="ALL")+(BULK_TIER=$F53))*((BULK_SKU="ALL")+(BULK_SKU=$G53))*(BULK_START&lt;=7)*(BULK_END&gt;=7)))),0),ROUND((INDEX(VELOCITY_TABLE,MATCH($F53,TIER_LIST,0),1))*(IF((7-$I53+1)&lt;=0,0,IF((7-$I53+1)=1,RAMP_W1,IF((7-$I53+1)=2,RAMP_W2,IF((7-$I53+1)=3,RAMP_W3,RAMP_W4PLUS)))))*(INDEX(ACTIVE_MULT_TABLE,1,1))*(1+SUMPRODUCT(SIGN(((ACT_DOOR_SCOPE="ALL")+(ACT_DOOR_SCOPE="TIER_"&amp;$F53)+(ACT_DOOR_SCOPE=$B53)))*SIGN(((ACT_SKU_SCOPE="ALL")+(ACT_SKU_SCOPE=$G53)))*(ACT_START&lt;=7)*(ACT_END&gt;=7)*IFERROR(ACT_UPLIFT-1,0)))*(1+SUMPRODUCT(SIGN(((ACT_DOOR_SCOPE="ALL")+(ACT_DOOR_SCOPE="TIER_"&amp;$F53)+(ACT_DOOR_SCOPE=$B53)))*SIGN(((ACT_SKU_SCOPE="ALL")+(ACT_SKU_SCOPE=$G53)))*(7&gt;ACT_END)*(ACT_END&gt;0)*IFERROR(ACT_POSTLIFT,0))),0)))</f>
        <v/>
      </c>
      <c r="Q53" s="10">
        <f>IF(OR($H53&lt;&gt;"Y",8&lt;$I53),0,IF(SUMPRODUCT(((BULK_ENABLED="Y")*((BULK_TIER="ALL")+(BULK_TIER=$F53))*((BULK_SKU="ALL")+(BULK_SKU=$G53))*(BULK_START&lt;=8)*(BULK_END&gt;=8)))&gt;0,IFERROR(SUMPRODUCT(((BULK_ENABLED="Y")*((BULK_TIER="ALL")+(BULK_TIER=$F53))*((BULK_SKU="ALL")+(BULK_SKU=$G53))*(BULK_START&lt;=8)*(BULK_END&gt;=8))*IFERROR(BULK_VALUE,0))/MAX(1,SUMPRODUCT(((BULK_ENABLED="Y")*((BULK_TIER="ALL")+(BULK_TIER=$F53))*((BULK_SKU="ALL")+(BULK_SKU=$G53))*(BULK_START&lt;=8)*(BULK_END&gt;=8)))),0),ROUND((INDEX(VELOCITY_TABLE,MATCH($F53,TIER_LIST,0),1))*(IF((8-$I53+1)&lt;=0,0,IF((8-$I53+1)=1,RAMP_W1,IF((8-$I53+1)=2,RAMP_W2,IF((8-$I53+1)=3,RAMP_W3,RAMP_W4PLUS)))))*(INDEX(ACTIVE_MULT_TABLE,1,1))*(1+SUMPRODUCT(SIGN(((ACT_DOOR_SCOPE="ALL")+(ACT_DOOR_SCOPE="TIER_"&amp;$F53)+(ACT_DOOR_SCOPE=$B53)))*SIGN(((ACT_SKU_SCOPE="ALL")+(ACT_SKU_SCOPE=$G53)))*(ACT_START&lt;=8)*(ACT_END&gt;=8)*IFERROR(ACT_UPLIFT-1,0)))*(1+SUMPRODUCT(SIGN(((ACT_DOOR_SCOPE="ALL")+(ACT_DOOR_SCOPE="TIER_"&amp;$F53)+(ACT_DOOR_SCOPE=$B53)))*SIGN(((ACT_SKU_SCOPE="ALL")+(ACT_SKU_SCOPE=$G53)))*(8&gt;ACT_END)*(ACT_END&gt;0)*IFERROR(ACT_POSTLIFT,0))),0)))</f>
        <v/>
      </c>
      <c r="R53" s="10">
        <f>IF(OR($H53&lt;&gt;"Y",9&lt;$I53),0,IF(SUMPRODUCT(((BULK_ENABLED="Y")*((BULK_TIER="ALL")+(BULK_TIER=$F53))*((BULK_SKU="ALL")+(BULK_SKU=$G53))*(BULK_START&lt;=9)*(BULK_END&gt;=9)))&gt;0,IFERROR(SUMPRODUCT(((BULK_ENABLED="Y")*((BULK_TIER="ALL")+(BULK_TIER=$F53))*((BULK_SKU="ALL")+(BULK_SKU=$G53))*(BULK_START&lt;=9)*(BULK_END&gt;=9))*IFERROR(BULK_VALUE,0))/MAX(1,SUMPRODUCT(((BULK_ENABLED="Y")*((BULK_TIER="ALL")+(BULK_TIER=$F53))*((BULK_SKU="ALL")+(BULK_SKU=$G53))*(BULK_START&lt;=9)*(BULK_END&gt;=9)))),0),ROUND((INDEX(VELOCITY_TABLE,MATCH($F53,TIER_LIST,0),1))*(IF((9-$I53+1)&lt;=0,0,IF((9-$I53+1)=1,RAMP_W1,IF((9-$I53+1)=2,RAMP_W2,IF((9-$I53+1)=3,RAMP_W3,RAMP_W4PLUS)))))*(INDEX(ACTIVE_MULT_TABLE,1,1))*(1+SUMPRODUCT(SIGN(((ACT_DOOR_SCOPE="ALL")+(ACT_DOOR_SCOPE="TIER_"&amp;$F53)+(ACT_DOOR_SCOPE=$B53)))*SIGN(((ACT_SKU_SCOPE="ALL")+(ACT_SKU_SCOPE=$G53)))*(ACT_START&lt;=9)*(ACT_END&gt;=9)*IFERROR(ACT_UPLIFT-1,0)))*(1+SUMPRODUCT(SIGN(((ACT_DOOR_SCOPE="ALL")+(ACT_DOOR_SCOPE="TIER_"&amp;$F53)+(ACT_DOOR_SCOPE=$B53)))*SIGN(((ACT_SKU_SCOPE="ALL")+(ACT_SKU_SCOPE=$G53)))*(9&gt;ACT_END)*(ACT_END&gt;0)*IFERROR(ACT_POSTLIFT,0))),0)))</f>
        <v/>
      </c>
      <c r="S53" s="10">
        <f>IF(OR($H53&lt;&gt;"Y",10&lt;$I53),0,IF(SUMPRODUCT(((BULK_ENABLED="Y")*((BULK_TIER="ALL")+(BULK_TIER=$F53))*((BULK_SKU="ALL")+(BULK_SKU=$G53))*(BULK_START&lt;=10)*(BULK_END&gt;=10)))&gt;0,IFERROR(SUMPRODUCT(((BULK_ENABLED="Y")*((BULK_TIER="ALL")+(BULK_TIER=$F53))*((BULK_SKU="ALL")+(BULK_SKU=$G53))*(BULK_START&lt;=10)*(BULK_END&gt;=10))*IFERROR(BULK_VALUE,0))/MAX(1,SUMPRODUCT(((BULK_ENABLED="Y")*((BULK_TIER="ALL")+(BULK_TIER=$F53))*((BULK_SKU="ALL")+(BULK_SKU=$G53))*(BULK_START&lt;=10)*(BULK_END&gt;=10)))),0),ROUND((INDEX(VELOCITY_TABLE,MATCH($F53,TIER_LIST,0),1))*(IF((10-$I53+1)&lt;=0,0,IF((10-$I53+1)=1,RAMP_W1,IF((10-$I53+1)=2,RAMP_W2,IF((10-$I53+1)=3,RAMP_W3,RAMP_W4PLUS)))))*(INDEX(ACTIVE_MULT_TABLE,1,1))*(1+SUMPRODUCT(SIGN(((ACT_DOOR_SCOPE="ALL")+(ACT_DOOR_SCOPE="TIER_"&amp;$F53)+(ACT_DOOR_SCOPE=$B53)))*SIGN(((ACT_SKU_SCOPE="ALL")+(ACT_SKU_SCOPE=$G53)))*(ACT_START&lt;=10)*(ACT_END&gt;=10)*IFERROR(ACT_UPLIFT-1,0)))*(1+SUMPRODUCT(SIGN(((ACT_DOOR_SCOPE="ALL")+(ACT_DOOR_SCOPE="TIER_"&amp;$F53)+(ACT_DOOR_SCOPE=$B53)))*SIGN(((ACT_SKU_SCOPE="ALL")+(ACT_SKU_SCOPE=$G53)))*(10&gt;ACT_END)*(ACT_END&gt;0)*IFERROR(ACT_POSTLIFT,0))),0)))</f>
        <v/>
      </c>
      <c r="T53" s="10">
        <f>IF(OR($H53&lt;&gt;"Y",11&lt;$I53),0,IF(SUMPRODUCT(((BULK_ENABLED="Y")*((BULK_TIER="ALL")+(BULK_TIER=$F53))*((BULK_SKU="ALL")+(BULK_SKU=$G53))*(BULK_START&lt;=11)*(BULK_END&gt;=11)))&gt;0,IFERROR(SUMPRODUCT(((BULK_ENABLED="Y")*((BULK_TIER="ALL")+(BULK_TIER=$F53))*((BULK_SKU="ALL")+(BULK_SKU=$G53))*(BULK_START&lt;=11)*(BULK_END&gt;=11))*IFERROR(BULK_VALUE,0))/MAX(1,SUMPRODUCT(((BULK_ENABLED="Y")*((BULK_TIER="ALL")+(BULK_TIER=$F53))*((BULK_SKU="ALL")+(BULK_SKU=$G53))*(BULK_START&lt;=11)*(BULK_END&gt;=11)))),0),ROUND((INDEX(VELOCITY_TABLE,MATCH($F53,TIER_LIST,0),1))*(IF((11-$I53+1)&lt;=0,0,IF((11-$I53+1)=1,RAMP_W1,IF((11-$I53+1)=2,RAMP_W2,IF((11-$I53+1)=3,RAMP_W3,RAMP_W4PLUS)))))*(INDEX(ACTIVE_MULT_TABLE,1,1))*(1+SUMPRODUCT(SIGN(((ACT_DOOR_SCOPE="ALL")+(ACT_DOOR_SCOPE="TIER_"&amp;$F53)+(ACT_DOOR_SCOPE=$B53)))*SIGN(((ACT_SKU_SCOPE="ALL")+(ACT_SKU_SCOPE=$G53)))*(ACT_START&lt;=11)*(ACT_END&gt;=11)*IFERROR(ACT_UPLIFT-1,0)))*(1+SUMPRODUCT(SIGN(((ACT_DOOR_SCOPE="ALL")+(ACT_DOOR_SCOPE="TIER_"&amp;$F53)+(ACT_DOOR_SCOPE=$B53)))*SIGN(((ACT_SKU_SCOPE="ALL")+(ACT_SKU_SCOPE=$G53)))*(11&gt;ACT_END)*(ACT_END&gt;0)*IFERROR(ACT_POSTLIFT,0))),0)))</f>
        <v/>
      </c>
      <c r="U53" s="10">
        <f>IF(OR($H53&lt;&gt;"Y",12&lt;$I53),0,IF(SUMPRODUCT(((BULK_ENABLED="Y")*((BULK_TIER="ALL")+(BULK_TIER=$F53))*((BULK_SKU="ALL")+(BULK_SKU=$G53))*(BULK_START&lt;=12)*(BULK_END&gt;=12)))&gt;0,IFERROR(SUMPRODUCT(((BULK_ENABLED="Y")*((BULK_TIER="ALL")+(BULK_TIER=$F53))*((BULK_SKU="ALL")+(BULK_SKU=$G53))*(BULK_START&lt;=12)*(BULK_END&gt;=12))*IFERROR(BULK_VALUE,0))/MAX(1,SUMPRODUCT(((BULK_ENABLED="Y")*((BULK_TIER="ALL")+(BULK_TIER=$F53))*((BULK_SKU="ALL")+(BULK_SKU=$G53))*(BULK_START&lt;=12)*(BULK_END&gt;=12)))),0),ROUND((INDEX(VELOCITY_TABLE,MATCH($F53,TIER_LIST,0),1))*(IF((12-$I53+1)&lt;=0,0,IF((12-$I53+1)=1,RAMP_W1,IF((12-$I53+1)=2,RAMP_W2,IF((12-$I53+1)=3,RAMP_W3,RAMP_W4PLUS)))))*(INDEX(ACTIVE_MULT_TABLE,1,1))*(1+SUMPRODUCT(SIGN(((ACT_DOOR_SCOPE="ALL")+(ACT_DOOR_SCOPE="TIER_"&amp;$F53)+(ACT_DOOR_SCOPE=$B53)))*SIGN(((ACT_SKU_SCOPE="ALL")+(ACT_SKU_SCOPE=$G53)))*(ACT_START&lt;=12)*(ACT_END&gt;=12)*IFERROR(ACT_UPLIFT-1,0)))*(1+SUMPRODUCT(SIGN(((ACT_DOOR_SCOPE="ALL")+(ACT_DOOR_SCOPE="TIER_"&amp;$F53)+(ACT_DOOR_SCOPE=$B53)))*SIGN(((ACT_SKU_SCOPE="ALL")+(ACT_SKU_SCOPE=$G53)))*(12&gt;ACT_END)*(ACT_END&gt;0)*IFERROR(ACT_POSTLIFT,0))),0)))</f>
        <v/>
      </c>
      <c r="V53" s="10">
        <f>IF(OR($H53&lt;&gt;"Y",13&lt;$I53),0,IF(SUMPRODUCT(((BULK_ENABLED="Y")*((BULK_TIER="ALL")+(BULK_TIER=$F53))*((BULK_SKU="ALL")+(BULK_SKU=$G53))*(BULK_START&lt;=13)*(BULK_END&gt;=13)))&gt;0,IFERROR(SUMPRODUCT(((BULK_ENABLED="Y")*((BULK_TIER="ALL")+(BULK_TIER=$F53))*((BULK_SKU="ALL")+(BULK_SKU=$G53))*(BULK_START&lt;=13)*(BULK_END&gt;=13))*IFERROR(BULK_VALUE,0))/MAX(1,SUMPRODUCT(((BULK_ENABLED="Y")*((BULK_TIER="ALL")+(BULK_TIER=$F53))*((BULK_SKU="ALL")+(BULK_SKU=$G53))*(BULK_START&lt;=13)*(BULK_END&gt;=13)))),0),ROUND((INDEX(VELOCITY_TABLE,MATCH($F53,TIER_LIST,0),1))*(IF((13-$I53+1)&lt;=0,0,IF((13-$I53+1)=1,RAMP_W1,IF((13-$I53+1)=2,RAMP_W2,IF((13-$I53+1)=3,RAMP_W3,RAMP_W4PLUS)))))*(INDEX(ACTIVE_MULT_TABLE,1,1))*(1+SUMPRODUCT(SIGN(((ACT_DOOR_SCOPE="ALL")+(ACT_DOOR_SCOPE="TIER_"&amp;$F53)+(ACT_DOOR_SCOPE=$B53)))*SIGN(((ACT_SKU_SCOPE="ALL")+(ACT_SKU_SCOPE=$G53)))*(ACT_START&lt;=13)*(ACT_END&gt;=13)*IFERROR(ACT_UPLIFT-1,0)))*(1+SUMPRODUCT(SIGN(((ACT_DOOR_SCOPE="ALL")+(ACT_DOOR_SCOPE="TIER_"&amp;$F53)+(ACT_DOOR_SCOPE=$B53)))*SIGN(((ACT_SKU_SCOPE="ALL")+(ACT_SKU_SCOPE=$G53)))*(13&gt;ACT_END)*(ACT_END&gt;0)*IFERROR(ACT_POSTLIFT,0))),0)))</f>
        <v/>
      </c>
    </row>
    <row r="54">
      <c r="A54" t="inlineStr">
        <is>
          <t>R0050</t>
        </is>
      </c>
      <c r="B54">
        <f>Doors!$A$21</f>
        <v/>
      </c>
      <c r="C54">
        <f>Doors!$C$21</f>
        <v/>
      </c>
      <c r="D54">
        <f>Doors!$B$21</f>
        <v/>
      </c>
      <c r="E54">
        <f>Doors!$E$21</f>
        <v/>
      </c>
      <c r="F54">
        <f>Doors!$F$21</f>
        <v/>
      </c>
      <c r="G54" t="inlineStr">
        <is>
          <t>Pineapple Passion Fruit</t>
        </is>
      </c>
      <c r="H54">
        <f>Doors!$H$21</f>
        <v/>
      </c>
      <c r="I54">
        <f>Doors!$J$21</f>
        <v/>
      </c>
      <c r="J54" s="10">
        <f>IF(OR($H54&lt;&gt;"Y",1&lt;$I54),0,IF(SUMPRODUCT(((BULK_ENABLED="Y")*((BULK_TIER="ALL")+(BULK_TIER=$F54))*((BULK_SKU="ALL")+(BULK_SKU=$G54))*(BULK_START&lt;=1)*(BULK_END&gt;=1)))&gt;0,IFERROR(SUMPRODUCT(((BULK_ENABLED="Y")*((BULK_TIER="ALL")+(BULK_TIER=$F54))*((BULK_SKU="ALL")+(BULK_SKU=$G54))*(BULK_START&lt;=1)*(BULK_END&gt;=1))*IFERROR(BULK_VALUE,0))/MAX(1,SUMPRODUCT(((BULK_ENABLED="Y")*((BULK_TIER="ALL")+(BULK_TIER=$F54))*((BULK_SKU="ALL")+(BULK_SKU=$G54))*(BULK_START&lt;=1)*(BULK_END&gt;=1)))),0),ROUND((INDEX(VELOCITY_TABLE,MATCH($F54,TIER_LIST,0),2))*(IF((1-$I54+1)&lt;=0,0,IF((1-$I54+1)=1,RAMP_W1,IF((1-$I54+1)=2,RAMP_W2,IF((1-$I54+1)=3,RAMP_W3,RAMP_W4PLUS)))))*(INDEX(ACTIVE_MULT_TABLE,2,1))*(1+SUMPRODUCT(SIGN(((ACT_DOOR_SCOPE="ALL")+(ACT_DOOR_SCOPE="TIER_"&amp;$F54)+(ACT_DOOR_SCOPE=$B54)))*SIGN(((ACT_SKU_SCOPE="ALL")+(ACT_SKU_SCOPE=$G54)))*(ACT_START&lt;=1)*(ACT_END&gt;=1)*IFERROR(ACT_UPLIFT-1,0)))*(1+SUMPRODUCT(SIGN(((ACT_DOOR_SCOPE="ALL")+(ACT_DOOR_SCOPE="TIER_"&amp;$F54)+(ACT_DOOR_SCOPE=$B54)))*SIGN(((ACT_SKU_SCOPE="ALL")+(ACT_SKU_SCOPE=$G54)))*(1&gt;ACT_END)*(ACT_END&gt;0)*IFERROR(ACT_POSTLIFT,0))),0)))</f>
        <v/>
      </c>
      <c r="K54" s="10">
        <f>IF(OR($H54&lt;&gt;"Y",2&lt;$I54),0,IF(SUMPRODUCT(((BULK_ENABLED="Y")*((BULK_TIER="ALL")+(BULK_TIER=$F54))*((BULK_SKU="ALL")+(BULK_SKU=$G54))*(BULK_START&lt;=2)*(BULK_END&gt;=2)))&gt;0,IFERROR(SUMPRODUCT(((BULK_ENABLED="Y")*((BULK_TIER="ALL")+(BULK_TIER=$F54))*((BULK_SKU="ALL")+(BULK_SKU=$G54))*(BULK_START&lt;=2)*(BULK_END&gt;=2))*IFERROR(BULK_VALUE,0))/MAX(1,SUMPRODUCT(((BULK_ENABLED="Y")*((BULK_TIER="ALL")+(BULK_TIER=$F54))*((BULK_SKU="ALL")+(BULK_SKU=$G54))*(BULK_START&lt;=2)*(BULK_END&gt;=2)))),0),ROUND((INDEX(VELOCITY_TABLE,MATCH($F54,TIER_LIST,0),2))*(IF((2-$I54+1)&lt;=0,0,IF((2-$I54+1)=1,RAMP_W1,IF((2-$I54+1)=2,RAMP_W2,IF((2-$I54+1)=3,RAMP_W3,RAMP_W4PLUS)))))*(INDEX(ACTIVE_MULT_TABLE,2,1))*(1+SUMPRODUCT(SIGN(((ACT_DOOR_SCOPE="ALL")+(ACT_DOOR_SCOPE="TIER_"&amp;$F54)+(ACT_DOOR_SCOPE=$B54)))*SIGN(((ACT_SKU_SCOPE="ALL")+(ACT_SKU_SCOPE=$G54)))*(ACT_START&lt;=2)*(ACT_END&gt;=2)*IFERROR(ACT_UPLIFT-1,0)))*(1+SUMPRODUCT(SIGN(((ACT_DOOR_SCOPE="ALL")+(ACT_DOOR_SCOPE="TIER_"&amp;$F54)+(ACT_DOOR_SCOPE=$B54)))*SIGN(((ACT_SKU_SCOPE="ALL")+(ACT_SKU_SCOPE=$G54)))*(2&gt;ACT_END)*(ACT_END&gt;0)*IFERROR(ACT_POSTLIFT,0))),0)))</f>
        <v/>
      </c>
      <c r="L54" s="10">
        <f>IF(OR($H54&lt;&gt;"Y",3&lt;$I54),0,IF(SUMPRODUCT(((BULK_ENABLED="Y")*((BULK_TIER="ALL")+(BULK_TIER=$F54))*((BULK_SKU="ALL")+(BULK_SKU=$G54))*(BULK_START&lt;=3)*(BULK_END&gt;=3)))&gt;0,IFERROR(SUMPRODUCT(((BULK_ENABLED="Y")*((BULK_TIER="ALL")+(BULK_TIER=$F54))*((BULK_SKU="ALL")+(BULK_SKU=$G54))*(BULK_START&lt;=3)*(BULK_END&gt;=3))*IFERROR(BULK_VALUE,0))/MAX(1,SUMPRODUCT(((BULK_ENABLED="Y")*((BULK_TIER="ALL")+(BULK_TIER=$F54))*((BULK_SKU="ALL")+(BULK_SKU=$G54))*(BULK_START&lt;=3)*(BULK_END&gt;=3)))),0),ROUND((INDEX(VELOCITY_TABLE,MATCH($F54,TIER_LIST,0),2))*(IF((3-$I54+1)&lt;=0,0,IF((3-$I54+1)=1,RAMP_W1,IF((3-$I54+1)=2,RAMP_W2,IF((3-$I54+1)=3,RAMP_W3,RAMP_W4PLUS)))))*(INDEX(ACTIVE_MULT_TABLE,2,1))*(1+SUMPRODUCT(SIGN(((ACT_DOOR_SCOPE="ALL")+(ACT_DOOR_SCOPE="TIER_"&amp;$F54)+(ACT_DOOR_SCOPE=$B54)))*SIGN(((ACT_SKU_SCOPE="ALL")+(ACT_SKU_SCOPE=$G54)))*(ACT_START&lt;=3)*(ACT_END&gt;=3)*IFERROR(ACT_UPLIFT-1,0)))*(1+SUMPRODUCT(SIGN(((ACT_DOOR_SCOPE="ALL")+(ACT_DOOR_SCOPE="TIER_"&amp;$F54)+(ACT_DOOR_SCOPE=$B54)))*SIGN(((ACT_SKU_SCOPE="ALL")+(ACT_SKU_SCOPE=$G54)))*(3&gt;ACT_END)*(ACT_END&gt;0)*IFERROR(ACT_POSTLIFT,0))),0)))</f>
        <v/>
      </c>
      <c r="M54" s="10">
        <f>IF(OR($H54&lt;&gt;"Y",4&lt;$I54),0,IF(SUMPRODUCT(((BULK_ENABLED="Y")*((BULK_TIER="ALL")+(BULK_TIER=$F54))*((BULK_SKU="ALL")+(BULK_SKU=$G54))*(BULK_START&lt;=4)*(BULK_END&gt;=4)))&gt;0,IFERROR(SUMPRODUCT(((BULK_ENABLED="Y")*((BULK_TIER="ALL")+(BULK_TIER=$F54))*((BULK_SKU="ALL")+(BULK_SKU=$G54))*(BULK_START&lt;=4)*(BULK_END&gt;=4))*IFERROR(BULK_VALUE,0))/MAX(1,SUMPRODUCT(((BULK_ENABLED="Y")*((BULK_TIER="ALL")+(BULK_TIER=$F54))*((BULK_SKU="ALL")+(BULK_SKU=$G54))*(BULK_START&lt;=4)*(BULK_END&gt;=4)))),0),ROUND((INDEX(VELOCITY_TABLE,MATCH($F54,TIER_LIST,0),2))*(IF((4-$I54+1)&lt;=0,0,IF((4-$I54+1)=1,RAMP_W1,IF((4-$I54+1)=2,RAMP_W2,IF((4-$I54+1)=3,RAMP_W3,RAMP_W4PLUS)))))*(INDEX(ACTIVE_MULT_TABLE,2,1))*(1+SUMPRODUCT(SIGN(((ACT_DOOR_SCOPE="ALL")+(ACT_DOOR_SCOPE="TIER_"&amp;$F54)+(ACT_DOOR_SCOPE=$B54)))*SIGN(((ACT_SKU_SCOPE="ALL")+(ACT_SKU_SCOPE=$G54)))*(ACT_START&lt;=4)*(ACT_END&gt;=4)*IFERROR(ACT_UPLIFT-1,0)))*(1+SUMPRODUCT(SIGN(((ACT_DOOR_SCOPE="ALL")+(ACT_DOOR_SCOPE="TIER_"&amp;$F54)+(ACT_DOOR_SCOPE=$B54)))*SIGN(((ACT_SKU_SCOPE="ALL")+(ACT_SKU_SCOPE=$G54)))*(4&gt;ACT_END)*(ACT_END&gt;0)*IFERROR(ACT_POSTLIFT,0))),0)))</f>
        <v/>
      </c>
      <c r="N54" s="10">
        <f>IF(OR($H54&lt;&gt;"Y",5&lt;$I54),0,IF(SUMPRODUCT(((BULK_ENABLED="Y")*((BULK_TIER="ALL")+(BULK_TIER=$F54))*((BULK_SKU="ALL")+(BULK_SKU=$G54))*(BULK_START&lt;=5)*(BULK_END&gt;=5)))&gt;0,IFERROR(SUMPRODUCT(((BULK_ENABLED="Y")*((BULK_TIER="ALL")+(BULK_TIER=$F54))*((BULK_SKU="ALL")+(BULK_SKU=$G54))*(BULK_START&lt;=5)*(BULK_END&gt;=5))*IFERROR(BULK_VALUE,0))/MAX(1,SUMPRODUCT(((BULK_ENABLED="Y")*((BULK_TIER="ALL")+(BULK_TIER=$F54))*((BULK_SKU="ALL")+(BULK_SKU=$G54))*(BULK_START&lt;=5)*(BULK_END&gt;=5)))),0),ROUND((INDEX(VELOCITY_TABLE,MATCH($F54,TIER_LIST,0),2))*(IF((5-$I54+1)&lt;=0,0,IF((5-$I54+1)=1,RAMP_W1,IF((5-$I54+1)=2,RAMP_W2,IF((5-$I54+1)=3,RAMP_W3,RAMP_W4PLUS)))))*(INDEX(ACTIVE_MULT_TABLE,2,1))*(1+SUMPRODUCT(SIGN(((ACT_DOOR_SCOPE="ALL")+(ACT_DOOR_SCOPE="TIER_"&amp;$F54)+(ACT_DOOR_SCOPE=$B54)))*SIGN(((ACT_SKU_SCOPE="ALL")+(ACT_SKU_SCOPE=$G54)))*(ACT_START&lt;=5)*(ACT_END&gt;=5)*IFERROR(ACT_UPLIFT-1,0)))*(1+SUMPRODUCT(SIGN(((ACT_DOOR_SCOPE="ALL")+(ACT_DOOR_SCOPE="TIER_"&amp;$F54)+(ACT_DOOR_SCOPE=$B54)))*SIGN(((ACT_SKU_SCOPE="ALL")+(ACT_SKU_SCOPE=$G54)))*(5&gt;ACT_END)*(ACT_END&gt;0)*IFERROR(ACT_POSTLIFT,0))),0)))</f>
        <v/>
      </c>
      <c r="O54" s="10">
        <f>IF(OR($H54&lt;&gt;"Y",6&lt;$I54),0,IF(SUMPRODUCT(((BULK_ENABLED="Y")*((BULK_TIER="ALL")+(BULK_TIER=$F54))*((BULK_SKU="ALL")+(BULK_SKU=$G54))*(BULK_START&lt;=6)*(BULK_END&gt;=6)))&gt;0,IFERROR(SUMPRODUCT(((BULK_ENABLED="Y")*((BULK_TIER="ALL")+(BULK_TIER=$F54))*((BULK_SKU="ALL")+(BULK_SKU=$G54))*(BULK_START&lt;=6)*(BULK_END&gt;=6))*IFERROR(BULK_VALUE,0))/MAX(1,SUMPRODUCT(((BULK_ENABLED="Y")*((BULK_TIER="ALL")+(BULK_TIER=$F54))*((BULK_SKU="ALL")+(BULK_SKU=$G54))*(BULK_START&lt;=6)*(BULK_END&gt;=6)))),0),ROUND((INDEX(VELOCITY_TABLE,MATCH($F54,TIER_LIST,0),2))*(IF((6-$I54+1)&lt;=0,0,IF((6-$I54+1)=1,RAMP_W1,IF((6-$I54+1)=2,RAMP_W2,IF((6-$I54+1)=3,RAMP_W3,RAMP_W4PLUS)))))*(INDEX(ACTIVE_MULT_TABLE,2,1))*(1+SUMPRODUCT(SIGN(((ACT_DOOR_SCOPE="ALL")+(ACT_DOOR_SCOPE="TIER_"&amp;$F54)+(ACT_DOOR_SCOPE=$B54)))*SIGN(((ACT_SKU_SCOPE="ALL")+(ACT_SKU_SCOPE=$G54)))*(ACT_START&lt;=6)*(ACT_END&gt;=6)*IFERROR(ACT_UPLIFT-1,0)))*(1+SUMPRODUCT(SIGN(((ACT_DOOR_SCOPE="ALL")+(ACT_DOOR_SCOPE="TIER_"&amp;$F54)+(ACT_DOOR_SCOPE=$B54)))*SIGN(((ACT_SKU_SCOPE="ALL")+(ACT_SKU_SCOPE=$G54)))*(6&gt;ACT_END)*(ACT_END&gt;0)*IFERROR(ACT_POSTLIFT,0))),0)))</f>
        <v/>
      </c>
      <c r="P54" s="10">
        <f>IF(OR($H54&lt;&gt;"Y",7&lt;$I54),0,IF(SUMPRODUCT(((BULK_ENABLED="Y")*((BULK_TIER="ALL")+(BULK_TIER=$F54))*((BULK_SKU="ALL")+(BULK_SKU=$G54))*(BULK_START&lt;=7)*(BULK_END&gt;=7)))&gt;0,IFERROR(SUMPRODUCT(((BULK_ENABLED="Y")*((BULK_TIER="ALL")+(BULK_TIER=$F54))*((BULK_SKU="ALL")+(BULK_SKU=$G54))*(BULK_START&lt;=7)*(BULK_END&gt;=7))*IFERROR(BULK_VALUE,0))/MAX(1,SUMPRODUCT(((BULK_ENABLED="Y")*((BULK_TIER="ALL")+(BULK_TIER=$F54))*((BULK_SKU="ALL")+(BULK_SKU=$G54))*(BULK_START&lt;=7)*(BULK_END&gt;=7)))),0),ROUND((INDEX(VELOCITY_TABLE,MATCH($F54,TIER_LIST,0),2))*(IF((7-$I54+1)&lt;=0,0,IF((7-$I54+1)=1,RAMP_W1,IF((7-$I54+1)=2,RAMP_W2,IF((7-$I54+1)=3,RAMP_W3,RAMP_W4PLUS)))))*(INDEX(ACTIVE_MULT_TABLE,2,1))*(1+SUMPRODUCT(SIGN(((ACT_DOOR_SCOPE="ALL")+(ACT_DOOR_SCOPE="TIER_"&amp;$F54)+(ACT_DOOR_SCOPE=$B54)))*SIGN(((ACT_SKU_SCOPE="ALL")+(ACT_SKU_SCOPE=$G54)))*(ACT_START&lt;=7)*(ACT_END&gt;=7)*IFERROR(ACT_UPLIFT-1,0)))*(1+SUMPRODUCT(SIGN(((ACT_DOOR_SCOPE="ALL")+(ACT_DOOR_SCOPE="TIER_"&amp;$F54)+(ACT_DOOR_SCOPE=$B54)))*SIGN(((ACT_SKU_SCOPE="ALL")+(ACT_SKU_SCOPE=$G54)))*(7&gt;ACT_END)*(ACT_END&gt;0)*IFERROR(ACT_POSTLIFT,0))),0)))</f>
        <v/>
      </c>
      <c r="Q54" s="10">
        <f>IF(OR($H54&lt;&gt;"Y",8&lt;$I54),0,IF(SUMPRODUCT(((BULK_ENABLED="Y")*((BULK_TIER="ALL")+(BULK_TIER=$F54))*((BULK_SKU="ALL")+(BULK_SKU=$G54))*(BULK_START&lt;=8)*(BULK_END&gt;=8)))&gt;0,IFERROR(SUMPRODUCT(((BULK_ENABLED="Y")*((BULK_TIER="ALL")+(BULK_TIER=$F54))*((BULK_SKU="ALL")+(BULK_SKU=$G54))*(BULK_START&lt;=8)*(BULK_END&gt;=8))*IFERROR(BULK_VALUE,0))/MAX(1,SUMPRODUCT(((BULK_ENABLED="Y")*((BULK_TIER="ALL")+(BULK_TIER=$F54))*((BULK_SKU="ALL")+(BULK_SKU=$G54))*(BULK_START&lt;=8)*(BULK_END&gt;=8)))),0),ROUND((INDEX(VELOCITY_TABLE,MATCH($F54,TIER_LIST,0),2))*(IF((8-$I54+1)&lt;=0,0,IF((8-$I54+1)=1,RAMP_W1,IF((8-$I54+1)=2,RAMP_W2,IF((8-$I54+1)=3,RAMP_W3,RAMP_W4PLUS)))))*(INDEX(ACTIVE_MULT_TABLE,2,1))*(1+SUMPRODUCT(SIGN(((ACT_DOOR_SCOPE="ALL")+(ACT_DOOR_SCOPE="TIER_"&amp;$F54)+(ACT_DOOR_SCOPE=$B54)))*SIGN(((ACT_SKU_SCOPE="ALL")+(ACT_SKU_SCOPE=$G54)))*(ACT_START&lt;=8)*(ACT_END&gt;=8)*IFERROR(ACT_UPLIFT-1,0)))*(1+SUMPRODUCT(SIGN(((ACT_DOOR_SCOPE="ALL")+(ACT_DOOR_SCOPE="TIER_"&amp;$F54)+(ACT_DOOR_SCOPE=$B54)))*SIGN(((ACT_SKU_SCOPE="ALL")+(ACT_SKU_SCOPE=$G54)))*(8&gt;ACT_END)*(ACT_END&gt;0)*IFERROR(ACT_POSTLIFT,0))),0)))</f>
        <v/>
      </c>
      <c r="R54" s="10">
        <f>IF(OR($H54&lt;&gt;"Y",9&lt;$I54),0,IF(SUMPRODUCT(((BULK_ENABLED="Y")*((BULK_TIER="ALL")+(BULK_TIER=$F54))*((BULK_SKU="ALL")+(BULK_SKU=$G54))*(BULK_START&lt;=9)*(BULK_END&gt;=9)))&gt;0,IFERROR(SUMPRODUCT(((BULK_ENABLED="Y")*((BULK_TIER="ALL")+(BULK_TIER=$F54))*((BULK_SKU="ALL")+(BULK_SKU=$G54))*(BULK_START&lt;=9)*(BULK_END&gt;=9))*IFERROR(BULK_VALUE,0))/MAX(1,SUMPRODUCT(((BULK_ENABLED="Y")*((BULK_TIER="ALL")+(BULK_TIER=$F54))*((BULK_SKU="ALL")+(BULK_SKU=$G54))*(BULK_START&lt;=9)*(BULK_END&gt;=9)))),0),ROUND((INDEX(VELOCITY_TABLE,MATCH($F54,TIER_LIST,0),2))*(IF((9-$I54+1)&lt;=0,0,IF((9-$I54+1)=1,RAMP_W1,IF((9-$I54+1)=2,RAMP_W2,IF((9-$I54+1)=3,RAMP_W3,RAMP_W4PLUS)))))*(INDEX(ACTIVE_MULT_TABLE,2,1))*(1+SUMPRODUCT(SIGN(((ACT_DOOR_SCOPE="ALL")+(ACT_DOOR_SCOPE="TIER_"&amp;$F54)+(ACT_DOOR_SCOPE=$B54)))*SIGN(((ACT_SKU_SCOPE="ALL")+(ACT_SKU_SCOPE=$G54)))*(ACT_START&lt;=9)*(ACT_END&gt;=9)*IFERROR(ACT_UPLIFT-1,0)))*(1+SUMPRODUCT(SIGN(((ACT_DOOR_SCOPE="ALL")+(ACT_DOOR_SCOPE="TIER_"&amp;$F54)+(ACT_DOOR_SCOPE=$B54)))*SIGN(((ACT_SKU_SCOPE="ALL")+(ACT_SKU_SCOPE=$G54)))*(9&gt;ACT_END)*(ACT_END&gt;0)*IFERROR(ACT_POSTLIFT,0))),0)))</f>
        <v/>
      </c>
      <c r="S54" s="10">
        <f>IF(OR($H54&lt;&gt;"Y",10&lt;$I54),0,IF(SUMPRODUCT(((BULK_ENABLED="Y")*((BULK_TIER="ALL")+(BULK_TIER=$F54))*((BULK_SKU="ALL")+(BULK_SKU=$G54))*(BULK_START&lt;=10)*(BULK_END&gt;=10)))&gt;0,IFERROR(SUMPRODUCT(((BULK_ENABLED="Y")*((BULK_TIER="ALL")+(BULK_TIER=$F54))*((BULK_SKU="ALL")+(BULK_SKU=$G54))*(BULK_START&lt;=10)*(BULK_END&gt;=10))*IFERROR(BULK_VALUE,0))/MAX(1,SUMPRODUCT(((BULK_ENABLED="Y")*((BULK_TIER="ALL")+(BULK_TIER=$F54))*((BULK_SKU="ALL")+(BULK_SKU=$G54))*(BULK_START&lt;=10)*(BULK_END&gt;=10)))),0),ROUND((INDEX(VELOCITY_TABLE,MATCH($F54,TIER_LIST,0),2))*(IF((10-$I54+1)&lt;=0,0,IF((10-$I54+1)=1,RAMP_W1,IF((10-$I54+1)=2,RAMP_W2,IF((10-$I54+1)=3,RAMP_W3,RAMP_W4PLUS)))))*(INDEX(ACTIVE_MULT_TABLE,2,1))*(1+SUMPRODUCT(SIGN(((ACT_DOOR_SCOPE="ALL")+(ACT_DOOR_SCOPE="TIER_"&amp;$F54)+(ACT_DOOR_SCOPE=$B54)))*SIGN(((ACT_SKU_SCOPE="ALL")+(ACT_SKU_SCOPE=$G54)))*(ACT_START&lt;=10)*(ACT_END&gt;=10)*IFERROR(ACT_UPLIFT-1,0)))*(1+SUMPRODUCT(SIGN(((ACT_DOOR_SCOPE="ALL")+(ACT_DOOR_SCOPE="TIER_"&amp;$F54)+(ACT_DOOR_SCOPE=$B54)))*SIGN(((ACT_SKU_SCOPE="ALL")+(ACT_SKU_SCOPE=$G54)))*(10&gt;ACT_END)*(ACT_END&gt;0)*IFERROR(ACT_POSTLIFT,0))),0)))</f>
        <v/>
      </c>
      <c r="T54" s="10">
        <f>IF(OR($H54&lt;&gt;"Y",11&lt;$I54),0,IF(SUMPRODUCT(((BULK_ENABLED="Y")*((BULK_TIER="ALL")+(BULK_TIER=$F54))*((BULK_SKU="ALL")+(BULK_SKU=$G54))*(BULK_START&lt;=11)*(BULK_END&gt;=11)))&gt;0,IFERROR(SUMPRODUCT(((BULK_ENABLED="Y")*((BULK_TIER="ALL")+(BULK_TIER=$F54))*((BULK_SKU="ALL")+(BULK_SKU=$G54))*(BULK_START&lt;=11)*(BULK_END&gt;=11))*IFERROR(BULK_VALUE,0))/MAX(1,SUMPRODUCT(((BULK_ENABLED="Y")*((BULK_TIER="ALL")+(BULK_TIER=$F54))*((BULK_SKU="ALL")+(BULK_SKU=$G54))*(BULK_START&lt;=11)*(BULK_END&gt;=11)))),0),ROUND((INDEX(VELOCITY_TABLE,MATCH($F54,TIER_LIST,0),2))*(IF((11-$I54+1)&lt;=0,0,IF((11-$I54+1)=1,RAMP_W1,IF((11-$I54+1)=2,RAMP_W2,IF((11-$I54+1)=3,RAMP_W3,RAMP_W4PLUS)))))*(INDEX(ACTIVE_MULT_TABLE,2,1))*(1+SUMPRODUCT(SIGN(((ACT_DOOR_SCOPE="ALL")+(ACT_DOOR_SCOPE="TIER_"&amp;$F54)+(ACT_DOOR_SCOPE=$B54)))*SIGN(((ACT_SKU_SCOPE="ALL")+(ACT_SKU_SCOPE=$G54)))*(ACT_START&lt;=11)*(ACT_END&gt;=11)*IFERROR(ACT_UPLIFT-1,0)))*(1+SUMPRODUCT(SIGN(((ACT_DOOR_SCOPE="ALL")+(ACT_DOOR_SCOPE="TIER_"&amp;$F54)+(ACT_DOOR_SCOPE=$B54)))*SIGN(((ACT_SKU_SCOPE="ALL")+(ACT_SKU_SCOPE=$G54)))*(11&gt;ACT_END)*(ACT_END&gt;0)*IFERROR(ACT_POSTLIFT,0))),0)))</f>
        <v/>
      </c>
      <c r="U54" s="10">
        <f>IF(OR($H54&lt;&gt;"Y",12&lt;$I54),0,IF(SUMPRODUCT(((BULK_ENABLED="Y")*((BULK_TIER="ALL")+(BULK_TIER=$F54))*((BULK_SKU="ALL")+(BULK_SKU=$G54))*(BULK_START&lt;=12)*(BULK_END&gt;=12)))&gt;0,IFERROR(SUMPRODUCT(((BULK_ENABLED="Y")*((BULK_TIER="ALL")+(BULK_TIER=$F54))*((BULK_SKU="ALL")+(BULK_SKU=$G54))*(BULK_START&lt;=12)*(BULK_END&gt;=12))*IFERROR(BULK_VALUE,0))/MAX(1,SUMPRODUCT(((BULK_ENABLED="Y")*((BULK_TIER="ALL")+(BULK_TIER=$F54))*((BULK_SKU="ALL")+(BULK_SKU=$G54))*(BULK_START&lt;=12)*(BULK_END&gt;=12)))),0),ROUND((INDEX(VELOCITY_TABLE,MATCH($F54,TIER_LIST,0),2))*(IF((12-$I54+1)&lt;=0,0,IF((12-$I54+1)=1,RAMP_W1,IF((12-$I54+1)=2,RAMP_W2,IF((12-$I54+1)=3,RAMP_W3,RAMP_W4PLUS)))))*(INDEX(ACTIVE_MULT_TABLE,2,1))*(1+SUMPRODUCT(SIGN(((ACT_DOOR_SCOPE="ALL")+(ACT_DOOR_SCOPE="TIER_"&amp;$F54)+(ACT_DOOR_SCOPE=$B54)))*SIGN(((ACT_SKU_SCOPE="ALL")+(ACT_SKU_SCOPE=$G54)))*(ACT_START&lt;=12)*(ACT_END&gt;=12)*IFERROR(ACT_UPLIFT-1,0)))*(1+SUMPRODUCT(SIGN(((ACT_DOOR_SCOPE="ALL")+(ACT_DOOR_SCOPE="TIER_"&amp;$F54)+(ACT_DOOR_SCOPE=$B54)))*SIGN(((ACT_SKU_SCOPE="ALL")+(ACT_SKU_SCOPE=$G54)))*(12&gt;ACT_END)*(ACT_END&gt;0)*IFERROR(ACT_POSTLIFT,0))),0)))</f>
        <v/>
      </c>
      <c r="V54" s="10">
        <f>IF(OR($H54&lt;&gt;"Y",13&lt;$I54),0,IF(SUMPRODUCT(((BULK_ENABLED="Y")*((BULK_TIER="ALL")+(BULK_TIER=$F54))*((BULK_SKU="ALL")+(BULK_SKU=$G54))*(BULK_START&lt;=13)*(BULK_END&gt;=13)))&gt;0,IFERROR(SUMPRODUCT(((BULK_ENABLED="Y")*((BULK_TIER="ALL")+(BULK_TIER=$F54))*((BULK_SKU="ALL")+(BULK_SKU=$G54))*(BULK_START&lt;=13)*(BULK_END&gt;=13))*IFERROR(BULK_VALUE,0))/MAX(1,SUMPRODUCT(((BULK_ENABLED="Y")*((BULK_TIER="ALL")+(BULK_TIER=$F54))*((BULK_SKU="ALL")+(BULK_SKU=$G54))*(BULK_START&lt;=13)*(BULK_END&gt;=13)))),0),ROUND((INDEX(VELOCITY_TABLE,MATCH($F54,TIER_LIST,0),2))*(IF((13-$I54+1)&lt;=0,0,IF((13-$I54+1)=1,RAMP_W1,IF((13-$I54+1)=2,RAMP_W2,IF((13-$I54+1)=3,RAMP_W3,RAMP_W4PLUS)))))*(INDEX(ACTIVE_MULT_TABLE,2,1))*(1+SUMPRODUCT(SIGN(((ACT_DOOR_SCOPE="ALL")+(ACT_DOOR_SCOPE="TIER_"&amp;$F54)+(ACT_DOOR_SCOPE=$B54)))*SIGN(((ACT_SKU_SCOPE="ALL")+(ACT_SKU_SCOPE=$G54)))*(ACT_START&lt;=13)*(ACT_END&gt;=13)*IFERROR(ACT_UPLIFT-1,0)))*(1+SUMPRODUCT(SIGN(((ACT_DOOR_SCOPE="ALL")+(ACT_DOOR_SCOPE="TIER_"&amp;$F54)+(ACT_DOOR_SCOPE=$B54)))*SIGN(((ACT_SKU_SCOPE="ALL")+(ACT_SKU_SCOPE=$G54)))*(13&gt;ACT_END)*(ACT_END&gt;0)*IFERROR(ACT_POSTLIFT,0))),0)))</f>
        <v/>
      </c>
    </row>
    <row r="55">
      <c r="A55" t="inlineStr">
        <is>
          <t>R0051</t>
        </is>
      </c>
      <c r="B55">
        <f>Doors!$A$21</f>
        <v/>
      </c>
      <c r="C55">
        <f>Doors!$C$21</f>
        <v/>
      </c>
      <c r="D55">
        <f>Doors!$B$21</f>
        <v/>
      </c>
      <c r="E55">
        <f>Doors!$E$21</f>
        <v/>
      </c>
      <c r="F55">
        <f>Doors!$F$21</f>
        <v/>
      </c>
      <c r="G55" t="inlineStr">
        <is>
          <t>Raspberry</t>
        </is>
      </c>
      <c r="H55">
        <f>Doors!$I$21</f>
        <v/>
      </c>
      <c r="I55">
        <f>Doors!$J$21</f>
        <v/>
      </c>
      <c r="J55" s="10">
        <f>IF(OR($H55&lt;&gt;"Y",1&lt;$I55),0,IF(SUMPRODUCT(((BULK_ENABLED="Y")*((BULK_TIER="ALL")+(BULK_TIER=$F55))*((BULK_SKU="ALL")+(BULK_SKU=$G55))*(BULK_START&lt;=1)*(BULK_END&gt;=1)))&gt;0,IFERROR(SUMPRODUCT(((BULK_ENABLED="Y")*((BULK_TIER="ALL")+(BULK_TIER=$F55))*((BULK_SKU="ALL")+(BULK_SKU=$G55))*(BULK_START&lt;=1)*(BULK_END&gt;=1))*IFERROR(BULK_VALUE,0))/MAX(1,SUMPRODUCT(((BULK_ENABLED="Y")*((BULK_TIER="ALL")+(BULK_TIER=$F55))*((BULK_SKU="ALL")+(BULK_SKU=$G55))*(BULK_START&lt;=1)*(BULK_END&gt;=1)))),0),ROUND((INDEX(VELOCITY_TABLE,MATCH($F55,TIER_LIST,0),3))*(IF((1-$I55+1)&lt;=0,0,IF((1-$I55+1)=1,RAMP_W1,IF((1-$I55+1)=2,RAMP_W2,IF((1-$I55+1)=3,RAMP_W3,RAMP_W4PLUS)))))*(INDEX(ACTIVE_MULT_TABLE,3,1))*(1+SUMPRODUCT(SIGN(((ACT_DOOR_SCOPE="ALL")+(ACT_DOOR_SCOPE="TIER_"&amp;$F55)+(ACT_DOOR_SCOPE=$B55)))*SIGN(((ACT_SKU_SCOPE="ALL")+(ACT_SKU_SCOPE=$G55)))*(ACT_START&lt;=1)*(ACT_END&gt;=1)*IFERROR(ACT_UPLIFT-1,0)))*(1+SUMPRODUCT(SIGN(((ACT_DOOR_SCOPE="ALL")+(ACT_DOOR_SCOPE="TIER_"&amp;$F55)+(ACT_DOOR_SCOPE=$B55)))*SIGN(((ACT_SKU_SCOPE="ALL")+(ACT_SKU_SCOPE=$G55)))*(1&gt;ACT_END)*(ACT_END&gt;0)*IFERROR(ACT_POSTLIFT,0))),0)))</f>
        <v/>
      </c>
      <c r="K55" s="10">
        <f>IF(OR($H55&lt;&gt;"Y",2&lt;$I55),0,IF(SUMPRODUCT(((BULK_ENABLED="Y")*((BULK_TIER="ALL")+(BULK_TIER=$F55))*((BULK_SKU="ALL")+(BULK_SKU=$G55))*(BULK_START&lt;=2)*(BULK_END&gt;=2)))&gt;0,IFERROR(SUMPRODUCT(((BULK_ENABLED="Y")*((BULK_TIER="ALL")+(BULK_TIER=$F55))*((BULK_SKU="ALL")+(BULK_SKU=$G55))*(BULK_START&lt;=2)*(BULK_END&gt;=2))*IFERROR(BULK_VALUE,0))/MAX(1,SUMPRODUCT(((BULK_ENABLED="Y")*((BULK_TIER="ALL")+(BULK_TIER=$F55))*((BULK_SKU="ALL")+(BULK_SKU=$G55))*(BULK_START&lt;=2)*(BULK_END&gt;=2)))),0),ROUND((INDEX(VELOCITY_TABLE,MATCH($F55,TIER_LIST,0),3))*(IF((2-$I55+1)&lt;=0,0,IF((2-$I55+1)=1,RAMP_W1,IF((2-$I55+1)=2,RAMP_W2,IF((2-$I55+1)=3,RAMP_W3,RAMP_W4PLUS)))))*(INDEX(ACTIVE_MULT_TABLE,3,1))*(1+SUMPRODUCT(SIGN(((ACT_DOOR_SCOPE="ALL")+(ACT_DOOR_SCOPE="TIER_"&amp;$F55)+(ACT_DOOR_SCOPE=$B55)))*SIGN(((ACT_SKU_SCOPE="ALL")+(ACT_SKU_SCOPE=$G55)))*(ACT_START&lt;=2)*(ACT_END&gt;=2)*IFERROR(ACT_UPLIFT-1,0)))*(1+SUMPRODUCT(SIGN(((ACT_DOOR_SCOPE="ALL")+(ACT_DOOR_SCOPE="TIER_"&amp;$F55)+(ACT_DOOR_SCOPE=$B55)))*SIGN(((ACT_SKU_SCOPE="ALL")+(ACT_SKU_SCOPE=$G55)))*(2&gt;ACT_END)*(ACT_END&gt;0)*IFERROR(ACT_POSTLIFT,0))),0)))</f>
        <v/>
      </c>
      <c r="L55" s="10">
        <f>IF(OR($H55&lt;&gt;"Y",3&lt;$I55),0,IF(SUMPRODUCT(((BULK_ENABLED="Y")*((BULK_TIER="ALL")+(BULK_TIER=$F55))*((BULK_SKU="ALL")+(BULK_SKU=$G55))*(BULK_START&lt;=3)*(BULK_END&gt;=3)))&gt;0,IFERROR(SUMPRODUCT(((BULK_ENABLED="Y")*((BULK_TIER="ALL")+(BULK_TIER=$F55))*((BULK_SKU="ALL")+(BULK_SKU=$G55))*(BULK_START&lt;=3)*(BULK_END&gt;=3))*IFERROR(BULK_VALUE,0))/MAX(1,SUMPRODUCT(((BULK_ENABLED="Y")*((BULK_TIER="ALL")+(BULK_TIER=$F55))*((BULK_SKU="ALL")+(BULK_SKU=$G55))*(BULK_START&lt;=3)*(BULK_END&gt;=3)))),0),ROUND((INDEX(VELOCITY_TABLE,MATCH($F55,TIER_LIST,0),3))*(IF((3-$I55+1)&lt;=0,0,IF((3-$I55+1)=1,RAMP_W1,IF((3-$I55+1)=2,RAMP_W2,IF((3-$I55+1)=3,RAMP_W3,RAMP_W4PLUS)))))*(INDEX(ACTIVE_MULT_TABLE,3,1))*(1+SUMPRODUCT(SIGN(((ACT_DOOR_SCOPE="ALL")+(ACT_DOOR_SCOPE="TIER_"&amp;$F55)+(ACT_DOOR_SCOPE=$B55)))*SIGN(((ACT_SKU_SCOPE="ALL")+(ACT_SKU_SCOPE=$G55)))*(ACT_START&lt;=3)*(ACT_END&gt;=3)*IFERROR(ACT_UPLIFT-1,0)))*(1+SUMPRODUCT(SIGN(((ACT_DOOR_SCOPE="ALL")+(ACT_DOOR_SCOPE="TIER_"&amp;$F55)+(ACT_DOOR_SCOPE=$B55)))*SIGN(((ACT_SKU_SCOPE="ALL")+(ACT_SKU_SCOPE=$G55)))*(3&gt;ACT_END)*(ACT_END&gt;0)*IFERROR(ACT_POSTLIFT,0))),0)))</f>
        <v/>
      </c>
      <c r="M55" s="10">
        <f>IF(OR($H55&lt;&gt;"Y",4&lt;$I55),0,IF(SUMPRODUCT(((BULK_ENABLED="Y")*((BULK_TIER="ALL")+(BULK_TIER=$F55))*((BULK_SKU="ALL")+(BULK_SKU=$G55))*(BULK_START&lt;=4)*(BULK_END&gt;=4)))&gt;0,IFERROR(SUMPRODUCT(((BULK_ENABLED="Y")*((BULK_TIER="ALL")+(BULK_TIER=$F55))*((BULK_SKU="ALL")+(BULK_SKU=$G55))*(BULK_START&lt;=4)*(BULK_END&gt;=4))*IFERROR(BULK_VALUE,0))/MAX(1,SUMPRODUCT(((BULK_ENABLED="Y")*((BULK_TIER="ALL")+(BULK_TIER=$F55))*((BULK_SKU="ALL")+(BULK_SKU=$G55))*(BULK_START&lt;=4)*(BULK_END&gt;=4)))),0),ROUND((INDEX(VELOCITY_TABLE,MATCH($F55,TIER_LIST,0),3))*(IF((4-$I55+1)&lt;=0,0,IF((4-$I55+1)=1,RAMP_W1,IF((4-$I55+1)=2,RAMP_W2,IF((4-$I55+1)=3,RAMP_W3,RAMP_W4PLUS)))))*(INDEX(ACTIVE_MULT_TABLE,3,1))*(1+SUMPRODUCT(SIGN(((ACT_DOOR_SCOPE="ALL")+(ACT_DOOR_SCOPE="TIER_"&amp;$F55)+(ACT_DOOR_SCOPE=$B55)))*SIGN(((ACT_SKU_SCOPE="ALL")+(ACT_SKU_SCOPE=$G55)))*(ACT_START&lt;=4)*(ACT_END&gt;=4)*IFERROR(ACT_UPLIFT-1,0)))*(1+SUMPRODUCT(SIGN(((ACT_DOOR_SCOPE="ALL")+(ACT_DOOR_SCOPE="TIER_"&amp;$F55)+(ACT_DOOR_SCOPE=$B55)))*SIGN(((ACT_SKU_SCOPE="ALL")+(ACT_SKU_SCOPE=$G55)))*(4&gt;ACT_END)*(ACT_END&gt;0)*IFERROR(ACT_POSTLIFT,0))),0)))</f>
        <v/>
      </c>
      <c r="N55" s="10">
        <f>IF(OR($H55&lt;&gt;"Y",5&lt;$I55),0,IF(SUMPRODUCT(((BULK_ENABLED="Y")*((BULK_TIER="ALL")+(BULK_TIER=$F55))*((BULK_SKU="ALL")+(BULK_SKU=$G55))*(BULK_START&lt;=5)*(BULK_END&gt;=5)))&gt;0,IFERROR(SUMPRODUCT(((BULK_ENABLED="Y")*((BULK_TIER="ALL")+(BULK_TIER=$F55))*((BULK_SKU="ALL")+(BULK_SKU=$G55))*(BULK_START&lt;=5)*(BULK_END&gt;=5))*IFERROR(BULK_VALUE,0))/MAX(1,SUMPRODUCT(((BULK_ENABLED="Y")*((BULK_TIER="ALL")+(BULK_TIER=$F55))*((BULK_SKU="ALL")+(BULK_SKU=$G55))*(BULK_START&lt;=5)*(BULK_END&gt;=5)))),0),ROUND((INDEX(VELOCITY_TABLE,MATCH($F55,TIER_LIST,0),3))*(IF((5-$I55+1)&lt;=0,0,IF((5-$I55+1)=1,RAMP_W1,IF((5-$I55+1)=2,RAMP_W2,IF((5-$I55+1)=3,RAMP_W3,RAMP_W4PLUS)))))*(INDEX(ACTIVE_MULT_TABLE,3,1))*(1+SUMPRODUCT(SIGN(((ACT_DOOR_SCOPE="ALL")+(ACT_DOOR_SCOPE="TIER_"&amp;$F55)+(ACT_DOOR_SCOPE=$B55)))*SIGN(((ACT_SKU_SCOPE="ALL")+(ACT_SKU_SCOPE=$G55)))*(ACT_START&lt;=5)*(ACT_END&gt;=5)*IFERROR(ACT_UPLIFT-1,0)))*(1+SUMPRODUCT(SIGN(((ACT_DOOR_SCOPE="ALL")+(ACT_DOOR_SCOPE="TIER_"&amp;$F55)+(ACT_DOOR_SCOPE=$B55)))*SIGN(((ACT_SKU_SCOPE="ALL")+(ACT_SKU_SCOPE=$G55)))*(5&gt;ACT_END)*(ACT_END&gt;0)*IFERROR(ACT_POSTLIFT,0))),0)))</f>
        <v/>
      </c>
      <c r="O55" s="10">
        <f>IF(OR($H55&lt;&gt;"Y",6&lt;$I55),0,IF(SUMPRODUCT(((BULK_ENABLED="Y")*((BULK_TIER="ALL")+(BULK_TIER=$F55))*((BULK_SKU="ALL")+(BULK_SKU=$G55))*(BULK_START&lt;=6)*(BULK_END&gt;=6)))&gt;0,IFERROR(SUMPRODUCT(((BULK_ENABLED="Y")*((BULK_TIER="ALL")+(BULK_TIER=$F55))*((BULK_SKU="ALL")+(BULK_SKU=$G55))*(BULK_START&lt;=6)*(BULK_END&gt;=6))*IFERROR(BULK_VALUE,0))/MAX(1,SUMPRODUCT(((BULK_ENABLED="Y")*((BULK_TIER="ALL")+(BULK_TIER=$F55))*((BULK_SKU="ALL")+(BULK_SKU=$G55))*(BULK_START&lt;=6)*(BULK_END&gt;=6)))),0),ROUND((INDEX(VELOCITY_TABLE,MATCH($F55,TIER_LIST,0),3))*(IF((6-$I55+1)&lt;=0,0,IF((6-$I55+1)=1,RAMP_W1,IF((6-$I55+1)=2,RAMP_W2,IF((6-$I55+1)=3,RAMP_W3,RAMP_W4PLUS)))))*(INDEX(ACTIVE_MULT_TABLE,3,1))*(1+SUMPRODUCT(SIGN(((ACT_DOOR_SCOPE="ALL")+(ACT_DOOR_SCOPE="TIER_"&amp;$F55)+(ACT_DOOR_SCOPE=$B55)))*SIGN(((ACT_SKU_SCOPE="ALL")+(ACT_SKU_SCOPE=$G55)))*(ACT_START&lt;=6)*(ACT_END&gt;=6)*IFERROR(ACT_UPLIFT-1,0)))*(1+SUMPRODUCT(SIGN(((ACT_DOOR_SCOPE="ALL")+(ACT_DOOR_SCOPE="TIER_"&amp;$F55)+(ACT_DOOR_SCOPE=$B55)))*SIGN(((ACT_SKU_SCOPE="ALL")+(ACT_SKU_SCOPE=$G55)))*(6&gt;ACT_END)*(ACT_END&gt;0)*IFERROR(ACT_POSTLIFT,0))),0)))</f>
        <v/>
      </c>
      <c r="P55" s="10">
        <f>IF(OR($H55&lt;&gt;"Y",7&lt;$I55),0,IF(SUMPRODUCT(((BULK_ENABLED="Y")*((BULK_TIER="ALL")+(BULK_TIER=$F55))*((BULK_SKU="ALL")+(BULK_SKU=$G55))*(BULK_START&lt;=7)*(BULK_END&gt;=7)))&gt;0,IFERROR(SUMPRODUCT(((BULK_ENABLED="Y")*((BULK_TIER="ALL")+(BULK_TIER=$F55))*((BULK_SKU="ALL")+(BULK_SKU=$G55))*(BULK_START&lt;=7)*(BULK_END&gt;=7))*IFERROR(BULK_VALUE,0))/MAX(1,SUMPRODUCT(((BULK_ENABLED="Y")*((BULK_TIER="ALL")+(BULK_TIER=$F55))*((BULK_SKU="ALL")+(BULK_SKU=$G55))*(BULK_START&lt;=7)*(BULK_END&gt;=7)))),0),ROUND((INDEX(VELOCITY_TABLE,MATCH($F55,TIER_LIST,0),3))*(IF((7-$I55+1)&lt;=0,0,IF((7-$I55+1)=1,RAMP_W1,IF((7-$I55+1)=2,RAMP_W2,IF((7-$I55+1)=3,RAMP_W3,RAMP_W4PLUS)))))*(INDEX(ACTIVE_MULT_TABLE,3,1))*(1+SUMPRODUCT(SIGN(((ACT_DOOR_SCOPE="ALL")+(ACT_DOOR_SCOPE="TIER_"&amp;$F55)+(ACT_DOOR_SCOPE=$B55)))*SIGN(((ACT_SKU_SCOPE="ALL")+(ACT_SKU_SCOPE=$G55)))*(ACT_START&lt;=7)*(ACT_END&gt;=7)*IFERROR(ACT_UPLIFT-1,0)))*(1+SUMPRODUCT(SIGN(((ACT_DOOR_SCOPE="ALL")+(ACT_DOOR_SCOPE="TIER_"&amp;$F55)+(ACT_DOOR_SCOPE=$B55)))*SIGN(((ACT_SKU_SCOPE="ALL")+(ACT_SKU_SCOPE=$G55)))*(7&gt;ACT_END)*(ACT_END&gt;0)*IFERROR(ACT_POSTLIFT,0))),0)))</f>
        <v/>
      </c>
      <c r="Q55" s="10">
        <f>IF(OR($H55&lt;&gt;"Y",8&lt;$I55),0,IF(SUMPRODUCT(((BULK_ENABLED="Y")*((BULK_TIER="ALL")+(BULK_TIER=$F55))*((BULK_SKU="ALL")+(BULK_SKU=$G55))*(BULK_START&lt;=8)*(BULK_END&gt;=8)))&gt;0,IFERROR(SUMPRODUCT(((BULK_ENABLED="Y")*((BULK_TIER="ALL")+(BULK_TIER=$F55))*((BULK_SKU="ALL")+(BULK_SKU=$G55))*(BULK_START&lt;=8)*(BULK_END&gt;=8))*IFERROR(BULK_VALUE,0))/MAX(1,SUMPRODUCT(((BULK_ENABLED="Y")*((BULK_TIER="ALL")+(BULK_TIER=$F55))*((BULK_SKU="ALL")+(BULK_SKU=$G55))*(BULK_START&lt;=8)*(BULK_END&gt;=8)))),0),ROUND((INDEX(VELOCITY_TABLE,MATCH($F55,TIER_LIST,0),3))*(IF((8-$I55+1)&lt;=0,0,IF((8-$I55+1)=1,RAMP_W1,IF((8-$I55+1)=2,RAMP_W2,IF((8-$I55+1)=3,RAMP_W3,RAMP_W4PLUS)))))*(INDEX(ACTIVE_MULT_TABLE,3,1))*(1+SUMPRODUCT(SIGN(((ACT_DOOR_SCOPE="ALL")+(ACT_DOOR_SCOPE="TIER_"&amp;$F55)+(ACT_DOOR_SCOPE=$B55)))*SIGN(((ACT_SKU_SCOPE="ALL")+(ACT_SKU_SCOPE=$G55)))*(ACT_START&lt;=8)*(ACT_END&gt;=8)*IFERROR(ACT_UPLIFT-1,0)))*(1+SUMPRODUCT(SIGN(((ACT_DOOR_SCOPE="ALL")+(ACT_DOOR_SCOPE="TIER_"&amp;$F55)+(ACT_DOOR_SCOPE=$B55)))*SIGN(((ACT_SKU_SCOPE="ALL")+(ACT_SKU_SCOPE=$G55)))*(8&gt;ACT_END)*(ACT_END&gt;0)*IFERROR(ACT_POSTLIFT,0))),0)))</f>
        <v/>
      </c>
      <c r="R55" s="10">
        <f>IF(OR($H55&lt;&gt;"Y",9&lt;$I55),0,IF(SUMPRODUCT(((BULK_ENABLED="Y")*((BULK_TIER="ALL")+(BULK_TIER=$F55))*((BULK_SKU="ALL")+(BULK_SKU=$G55))*(BULK_START&lt;=9)*(BULK_END&gt;=9)))&gt;0,IFERROR(SUMPRODUCT(((BULK_ENABLED="Y")*((BULK_TIER="ALL")+(BULK_TIER=$F55))*((BULK_SKU="ALL")+(BULK_SKU=$G55))*(BULK_START&lt;=9)*(BULK_END&gt;=9))*IFERROR(BULK_VALUE,0))/MAX(1,SUMPRODUCT(((BULK_ENABLED="Y")*((BULK_TIER="ALL")+(BULK_TIER=$F55))*((BULK_SKU="ALL")+(BULK_SKU=$G55))*(BULK_START&lt;=9)*(BULK_END&gt;=9)))),0),ROUND((INDEX(VELOCITY_TABLE,MATCH($F55,TIER_LIST,0),3))*(IF((9-$I55+1)&lt;=0,0,IF((9-$I55+1)=1,RAMP_W1,IF((9-$I55+1)=2,RAMP_W2,IF((9-$I55+1)=3,RAMP_W3,RAMP_W4PLUS)))))*(INDEX(ACTIVE_MULT_TABLE,3,1))*(1+SUMPRODUCT(SIGN(((ACT_DOOR_SCOPE="ALL")+(ACT_DOOR_SCOPE="TIER_"&amp;$F55)+(ACT_DOOR_SCOPE=$B55)))*SIGN(((ACT_SKU_SCOPE="ALL")+(ACT_SKU_SCOPE=$G55)))*(ACT_START&lt;=9)*(ACT_END&gt;=9)*IFERROR(ACT_UPLIFT-1,0)))*(1+SUMPRODUCT(SIGN(((ACT_DOOR_SCOPE="ALL")+(ACT_DOOR_SCOPE="TIER_"&amp;$F55)+(ACT_DOOR_SCOPE=$B55)))*SIGN(((ACT_SKU_SCOPE="ALL")+(ACT_SKU_SCOPE=$G55)))*(9&gt;ACT_END)*(ACT_END&gt;0)*IFERROR(ACT_POSTLIFT,0))),0)))</f>
        <v/>
      </c>
      <c r="S55" s="10">
        <f>IF(OR($H55&lt;&gt;"Y",10&lt;$I55),0,IF(SUMPRODUCT(((BULK_ENABLED="Y")*((BULK_TIER="ALL")+(BULK_TIER=$F55))*((BULK_SKU="ALL")+(BULK_SKU=$G55))*(BULK_START&lt;=10)*(BULK_END&gt;=10)))&gt;0,IFERROR(SUMPRODUCT(((BULK_ENABLED="Y")*((BULK_TIER="ALL")+(BULK_TIER=$F55))*((BULK_SKU="ALL")+(BULK_SKU=$G55))*(BULK_START&lt;=10)*(BULK_END&gt;=10))*IFERROR(BULK_VALUE,0))/MAX(1,SUMPRODUCT(((BULK_ENABLED="Y")*((BULK_TIER="ALL")+(BULK_TIER=$F55))*((BULK_SKU="ALL")+(BULK_SKU=$G55))*(BULK_START&lt;=10)*(BULK_END&gt;=10)))),0),ROUND((INDEX(VELOCITY_TABLE,MATCH($F55,TIER_LIST,0),3))*(IF((10-$I55+1)&lt;=0,0,IF((10-$I55+1)=1,RAMP_W1,IF((10-$I55+1)=2,RAMP_W2,IF((10-$I55+1)=3,RAMP_W3,RAMP_W4PLUS)))))*(INDEX(ACTIVE_MULT_TABLE,3,1))*(1+SUMPRODUCT(SIGN(((ACT_DOOR_SCOPE="ALL")+(ACT_DOOR_SCOPE="TIER_"&amp;$F55)+(ACT_DOOR_SCOPE=$B55)))*SIGN(((ACT_SKU_SCOPE="ALL")+(ACT_SKU_SCOPE=$G55)))*(ACT_START&lt;=10)*(ACT_END&gt;=10)*IFERROR(ACT_UPLIFT-1,0)))*(1+SUMPRODUCT(SIGN(((ACT_DOOR_SCOPE="ALL")+(ACT_DOOR_SCOPE="TIER_"&amp;$F55)+(ACT_DOOR_SCOPE=$B55)))*SIGN(((ACT_SKU_SCOPE="ALL")+(ACT_SKU_SCOPE=$G55)))*(10&gt;ACT_END)*(ACT_END&gt;0)*IFERROR(ACT_POSTLIFT,0))),0)))</f>
        <v/>
      </c>
      <c r="T55" s="10">
        <f>IF(OR($H55&lt;&gt;"Y",11&lt;$I55),0,IF(SUMPRODUCT(((BULK_ENABLED="Y")*((BULK_TIER="ALL")+(BULK_TIER=$F55))*((BULK_SKU="ALL")+(BULK_SKU=$G55))*(BULK_START&lt;=11)*(BULK_END&gt;=11)))&gt;0,IFERROR(SUMPRODUCT(((BULK_ENABLED="Y")*((BULK_TIER="ALL")+(BULK_TIER=$F55))*((BULK_SKU="ALL")+(BULK_SKU=$G55))*(BULK_START&lt;=11)*(BULK_END&gt;=11))*IFERROR(BULK_VALUE,0))/MAX(1,SUMPRODUCT(((BULK_ENABLED="Y")*((BULK_TIER="ALL")+(BULK_TIER=$F55))*((BULK_SKU="ALL")+(BULK_SKU=$G55))*(BULK_START&lt;=11)*(BULK_END&gt;=11)))),0),ROUND((INDEX(VELOCITY_TABLE,MATCH($F55,TIER_LIST,0),3))*(IF((11-$I55+1)&lt;=0,0,IF((11-$I55+1)=1,RAMP_W1,IF((11-$I55+1)=2,RAMP_W2,IF((11-$I55+1)=3,RAMP_W3,RAMP_W4PLUS)))))*(INDEX(ACTIVE_MULT_TABLE,3,1))*(1+SUMPRODUCT(SIGN(((ACT_DOOR_SCOPE="ALL")+(ACT_DOOR_SCOPE="TIER_"&amp;$F55)+(ACT_DOOR_SCOPE=$B55)))*SIGN(((ACT_SKU_SCOPE="ALL")+(ACT_SKU_SCOPE=$G55)))*(ACT_START&lt;=11)*(ACT_END&gt;=11)*IFERROR(ACT_UPLIFT-1,0)))*(1+SUMPRODUCT(SIGN(((ACT_DOOR_SCOPE="ALL")+(ACT_DOOR_SCOPE="TIER_"&amp;$F55)+(ACT_DOOR_SCOPE=$B55)))*SIGN(((ACT_SKU_SCOPE="ALL")+(ACT_SKU_SCOPE=$G55)))*(11&gt;ACT_END)*(ACT_END&gt;0)*IFERROR(ACT_POSTLIFT,0))),0)))</f>
        <v/>
      </c>
      <c r="U55" s="10">
        <f>IF(OR($H55&lt;&gt;"Y",12&lt;$I55),0,IF(SUMPRODUCT(((BULK_ENABLED="Y")*((BULK_TIER="ALL")+(BULK_TIER=$F55))*((BULK_SKU="ALL")+(BULK_SKU=$G55))*(BULK_START&lt;=12)*(BULK_END&gt;=12)))&gt;0,IFERROR(SUMPRODUCT(((BULK_ENABLED="Y")*((BULK_TIER="ALL")+(BULK_TIER=$F55))*((BULK_SKU="ALL")+(BULK_SKU=$G55))*(BULK_START&lt;=12)*(BULK_END&gt;=12))*IFERROR(BULK_VALUE,0))/MAX(1,SUMPRODUCT(((BULK_ENABLED="Y")*((BULK_TIER="ALL")+(BULK_TIER=$F55))*((BULK_SKU="ALL")+(BULK_SKU=$G55))*(BULK_START&lt;=12)*(BULK_END&gt;=12)))),0),ROUND((INDEX(VELOCITY_TABLE,MATCH($F55,TIER_LIST,0),3))*(IF((12-$I55+1)&lt;=0,0,IF((12-$I55+1)=1,RAMP_W1,IF((12-$I55+1)=2,RAMP_W2,IF((12-$I55+1)=3,RAMP_W3,RAMP_W4PLUS)))))*(INDEX(ACTIVE_MULT_TABLE,3,1))*(1+SUMPRODUCT(SIGN(((ACT_DOOR_SCOPE="ALL")+(ACT_DOOR_SCOPE="TIER_"&amp;$F55)+(ACT_DOOR_SCOPE=$B55)))*SIGN(((ACT_SKU_SCOPE="ALL")+(ACT_SKU_SCOPE=$G55)))*(ACT_START&lt;=12)*(ACT_END&gt;=12)*IFERROR(ACT_UPLIFT-1,0)))*(1+SUMPRODUCT(SIGN(((ACT_DOOR_SCOPE="ALL")+(ACT_DOOR_SCOPE="TIER_"&amp;$F55)+(ACT_DOOR_SCOPE=$B55)))*SIGN(((ACT_SKU_SCOPE="ALL")+(ACT_SKU_SCOPE=$G55)))*(12&gt;ACT_END)*(ACT_END&gt;0)*IFERROR(ACT_POSTLIFT,0))),0)))</f>
        <v/>
      </c>
      <c r="V55" s="10">
        <f>IF(OR($H55&lt;&gt;"Y",13&lt;$I55),0,IF(SUMPRODUCT(((BULK_ENABLED="Y")*((BULK_TIER="ALL")+(BULK_TIER=$F55))*((BULK_SKU="ALL")+(BULK_SKU=$G55))*(BULK_START&lt;=13)*(BULK_END&gt;=13)))&gt;0,IFERROR(SUMPRODUCT(((BULK_ENABLED="Y")*((BULK_TIER="ALL")+(BULK_TIER=$F55))*((BULK_SKU="ALL")+(BULK_SKU=$G55))*(BULK_START&lt;=13)*(BULK_END&gt;=13))*IFERROR(BULK_VALUE,0))/MAX(1,SUMPRODUCT(((BULK_ENABLED="Y")*((BULK_TIER="ALL")+(BULK_TIER=$F55))*((BULK_SKU="ALL")+(BULK_SKU=$G55))*(BULK_START&lt;=13)*(BULK_END&gt;=13)))),0),ROUND((INDEX(VELOCITY_TABLE,MATCH($F55,TIER_LIST,0),3))*(IF((13-$I55+1)&lt;=0,0,IF((13-$I55+1)=1,RAMP_W1,IF((13-$I55+1)=2,RAMP_W2,IF((13-$I55+1)=3,RAMP_W3,RAMP_W4PLUS)))))*(INDEX(ACTIVE_MULT_TABLE,3,1))*(1+SUMPRODUCT(SIGN(((ACT_DOOR_SCOPE="ALL")+(ACT_DOOR_SCOPE="TIER_"&amp;$F55)+(ACT_DOOR_SCOPE=$B55)))*SIGN(((ACT_SKU_SCOPE="ALL")+(ACT_SKU_SCOPE=$G55)))*(ACT_START&lt;=13)*(ACT_END&gt;=13)*IFERROR(ACT_UPLIFT-1,0)))*(1+SUMPRODUCT(SIGN(((ACT_DOOR_SCOPE="ALL")+(ACT_DOOR_SCOPE="TIER_"&amp;$F55)+(ACT_DOOR_SCOPE=$B55)))*SIGN(((ACT_SKU_SCOPE="ALL")+(ACT_SKU_SCOPE=$G55)))*(13&gt;ACT_END)*(ACT_END&gt;0)*IFERROR(ACT_POSTLIFT,0))),0)))</f>
        <v/>
      </c>
    </row>
    <row r="56">
      <c r="A56" t="inlineStr">
        <is>
          <t>R0052</t>
        </is>
      </c>
      <c r="B56">
        <f>Doors!$A$22</f>
        <v/>
      </c>
      <c r="C56">
        <f>Doors!$C$22</f>
        <v/>
      </c>
      <c r="D56">
        <f>Doors!$B$22</f>
        <v/>
      </c>
      <c r="E56">
        <f>Doors!$E$22</f>
        <v/>
      </c>
      <c r="F56">
        <f>Doors!$F$22</f>
        <v/>
      </c>
      <c r="G56" t="inlineStr">
        <is>
          <t>Lime Lemon</t>
        </is>
      </c>
      <c r="H56">
        <f>Doors!$G$22</f>
        <v/>
      </c>
      <c r="I56">
        <f>Doors!$J$22</f>
        <v/>
      </c>
      <c r="J56" s="10">
        <f>IF(OR($H56&lt;&gt;"Y",1&lt;$I56),0,IF(SUMPRODUCT(((BULK_ENABLED="Y")*((BULK_TIER="ALL")+(BULK_TIER=$F56))*((BULK_SKU="ALL")+(BULK_SKU=$G56))*(BULK_START&lt;=1)*(BULK_END&gt;=1)))&gt;0,IFERROR(SUMPRODUCT(((BULK_ENABLED="Y")*((BULK_TIER="ALL")+(BULK_TIER=$F56))*((BULK_SKU="ALL")+(BULK_SKU=$G56))*(BULK_START&lt;=1)*(BULK_END&gt;=1))*IFERROR(BULK_VALUE,0))/MAX(1,SUMPRODUCT(((BULK_ENABLED="Y")*((BULK_TIER="ALL")+(BULK_TIER=$F56))*((BULK_SKU="ALL")+(BULK_SKU=$G56))*(BULK_START&lt;=1)*(BULK_END&gt;=1)))),0),ROUND((INDEX(VELOCITY_TABLE,MATCH($F56,TIER_LIST,0),1))*(IF((1-$I56+1)&lt;=0,0,IF((1-$I56+1)=1,RAMP_W1,IF((1-$I56+1)=2,RAMP_W2,IF((1-$I56+1)=3,RAMP_W3,RAMP_W4PLUS)))))*(INDEX(ACTIVE_MULT_TABLE,1,1))*(1+SUMPRODUCT(SIGN(((ACT_DOOR_SCOPE="ALL")+(ACT_DOOR_SCOPE="TIER_"&amp;$F56)+(ACT_DOOR_SCOPE=$B56)))*SIGN(((ACT_SKU_SCOPE="ALL")+(ACT_SKU_SCOPE=$G56)))*(ACT_START&lt;=1)*(ACT_END&gt;=1)*IFERROR(ACT_UPLIFT-1,0)))*(1+SUMPRODUCT(SIGN(((ACT_DOOR_SCOPE="ALL")+(ACT_DOOR_SCOPE="TIER_"&amp;$F56)+(ACT_DOOR_SCOPE=$B56)))*SIGN(((ACT_SKU_SCOPE="ALL")+(ACT_SKU_SCOPE=$G56)))*(1&gt;ACT_END)*(ACT_END&gt;0)*IFERROR(ACT_POSTLIFT,0))),0)))</f>
        <v/>
      </c>
      <c r="K56" s="10">
        <f>IF(OR($H56&lt;&gt;"Y",2&lt;$I56),0,IF(SUMPRODUCT(((BULK_ENABLED="Y")*((BULK_TIER="ALL")+(BULK_TIER=$F56))*((BULK_SKU="ALL")+(BULK_SKU=$G56))*(BULK_START&lt;=2)*(BULK_END&gt;=2)))&gt;0,IFERROR(SUMPRODUCT(((BULK_ENABLED="Y")*((BULK_TIER="ALL")+(BULK_TIER=$F56))*((BULK_SKU="ALL")+(BULK_SKU=$G56))*(BULK_START&lt;=2)*(BULK_END&gt;=2))*IFERROR(BULK_VALUE,0))/MAX(1,SUMPRODUCT(((BULK_ENABLED="Y")*((BULK_TIER="ALL")+(BULK_TIER=$F56))*((BULK_SKU="ALL")+(BULK_SKU=$G56))*(BULK_START&lt;=2)*(BULK_END&gt;=2)))),0),ROUND((INDEX(VELOCITY_TABLE,MATCH($F56,TIER_LIST,0),1))*(IF((2-$I56+1)&lt;=0,0,IF((2-$I56+1)=1,RAMP_W1,IF((2-$I56+1)=2,RAMP_W2,IF((2-$I56+1)=3,RAMP_W3,RAMP_W4PLUS)))))*(INDEX(ACTIVE_MULT_TABLE,1,1))*(1+SUMPRODUCT(SIGN(((ACT_DOOR_SCOPE="ALL")+(ACT_DOOR_SCOPE="TIER_"&amp;$F56)+(ACT_DOOR_SCOPE=$B56)))*SIGN(((ACT_SKU_SCOPE="ALL")+(ACT_SKU_SCOPE=$G56)))*(ACT_START&lt;=2)*(ACT_END&gt;=2)*IFERROR(ACT_UPLIFT-1,0)))*(1+SUMPRODUCT(SIGN(((ACT_DOOR_SCOPE="ALL")+(ACT_DOOR_SCOPE="TIER_"&amp;$F56)+(ACT_DOOR_SCOPE=$B56)))*SIGN(((ACT_SKU_SCOPE="ALL")+(ACT_SKU_SCOPE=$G56)))*(2&gt;ACT_END)*(ACT_END&gt;0)*IFERROR(ACT_POSTLIFT,0))),0)))</f>
        <v/>
      </c>
      <c r="L56" s="10">
        <f>IF(OR($H56&lt;&gt;"Y",3&lt;$I56),0,IF(SUMPRODUCT(((BULK_ENABLED="Y")*((BULK_TIER="ALL")+(BULK_TIER=$F56))*((BULK_SKU="ALL")+(BULK_SKU=$G56))*(BULK_START&lt;=3)*(BULK_END&gt;=3)))&gt;0,IFERROR(SUMPRODUCT(((BULK_ENABLED="Y")*((BULK_TIER="ALL")+(BULK_TIER=$F56))*((BULK_SKU="ALL")+(BULK_SKU=$G56))*(BULK_START&lt;=3)*(BULK_END&gt;=3))*IFERROR(BULK_VALUE,0))/MAX(1,SUMPRODUCT(((BULK_ENABLED="Y")*((BULK_TIER="ALL")+(BULK_TIER=$F56))*((BULK_SKU="ALL")+(BULK_SKU=$G56))*(BULK_START&lt;=3)*(BULK_END&gt;=3)))),0),ROUND((INDEX(VELOCITY_TABLE,MATCH($F56,TIER_LIST,0),1))*(IF((3-$I56+1)&lt;=0,0,IF((3-$I56+1)=1,RAMP_W1,IF((3-$I56+1)=2,RAMP_W2,IF((3-$I56+1)=3,RAMP_W3,RAMP_W4PLUS)))))*(INDEX(ACTIVE_MULT_TABLE,1,1))*(1+SUMPRODUCT(SIGN(((ACT_DOOR_SCOPE="ALL")+(ACT_DOOR_SCOPE="TIER_"&amp;$F56)+(ACT_DOOR_SCOPE=$B56)))*SIGN(((ACT_SKU_SCOPE="ALL")+(ACT_SKU_SCOPE=$G56)))*(ACT_START&lt;=3)*(ACT_END&gt;=3)*IFERROR(ACT_UPLIFT-1,0)))*(1+SUMPRODUCT(SIGN(((ACT_DOOR_SCOPE="ALL")+(ACT_DOOR_SCOPE="TIER_"&amp;$F56)+(ACT_DOOR_SCOPE=$B56)))*SIGN(((ACT_SKU_SCOPE="ALL")+(ACT_SKU_SCOPE=$G56)))*(3&gt;ACT_END)*(ACT_END&gt;0)*IFERROR(ACT_POSTLIFT,0))),0)))</f>
        <v/>
      </c>
      <c r="M56" s="10">
        <f>IF(OR($H56&lt;&gt;"Y",4&lt;$I56),0,IF(SUMPRODUCT(((BULK_ENABLED="Y")*((BULK_TIER="ALL")+(BULK_TIER=$F56))*((BULK_SKU="ALL")+(BULK_SKU=$G56))*(BULK_START&lt;=4)*(BULK_END&gt;=4)))&gt;0,IFERROR(SUMPRODUCT(((BULK_ENABLED="Y")*((BULK_TIER="ALL")+(BULK_TIER=$F56))*((BULK_SKU="ALL")+(BULK_SKU=$G56))*(BULK_START&lt;=4)*(BULK_END&gt;=4))*IFERROR(BULK_VALUE,0))/MAX(1,SUMPRODUCT(((BULK_ENABLED="Y")*((BULK_TIER="ALL")+(BULK_TIER=$F56))*((BULK_SKU="ALL")+(BULK_SKU=$G56))*(BULK_START&lt;=4)*(BULK_END&gt;=4)))),0),ROUND((INDEX(VELOCITY_TABLE,MATCH($F56,TIER_LIST,0),1))*(IF((4-$I56+1)&lt;=0,0,IF((4-$I56+1)=1,RAMP_W1,IF((4-$I56+1)=2,RAMP_W2,IF((4-$I56+1)=3,RAMP_W3,RAMP_W4PLUS)))))*(INDEX(ACTIVE_MULT_TABLE,1,1))*(1+SUMPRODUCT(SIGN(((ACT_DOOR_SCOPE="ALL")+(ACT_DOOR_SCOPE="TIER_"&amp;$F56)+(ACT_DOOR_SCOPE=$B56)))*SIGN(((ACT_SKU_SCOPE="ALL")+(ACT_SKU_SCOPE=$G56)))*(ACT_START&lt;=4)*(ACT_END&gt;=4)*IFERROR(ACT_UPLIFT-1,0)))*(1+SUMPRODUCT(SIGN(((ACT_DOOR_SCOPE="ALL")+(ACT_DOOR_SCOPE="TIER_"&amp;$F56)+(ACT_DOOR_SCOPE=$B56)))*SIGN(((ACT_SKU_SCOPE="ALL")+(ACT_SKU_SCOPE=$G56)))*(4&gt;ACT_END)*(ACT_END&gt;0)*IFERROR(ACT_POSTLIFT,0))),0)))</f>
        <v/>
      </c>
      <c r="N56" s="10">
        <f>IF(OR($H56&lt;&gt;"Y",5&lt;$I56),0,IF(SUMPRODUCT(((BULK_ENABLED="Y")*((BULK_TIER="ALL")+(BULK_TIER=$F56))*((BULK_SKU="ALL")+(BULK_SKU=$G56))*(BULK_START&lt;=5)*(BULK_END&gt;=5)))&gt;0,IFERROR(SUMPRODUCT(((BULK_ENABLED="Y")*((BULK_TIER="ALL")+(BULK_TIER=$F56))*((BULK_SKU="ALL")+(BULK_SKU=$G56))*(BULK_START&lt;=5)*(BULK_END&gt;=5))*IFERROR(BULK_VALUE,0))/MAX(1,SUMPRODUCT(((BULK_ENABLED="Y")*((BULK_TIER="ALL")+(BULK_TIER=$F56))*((BULK_SKU="ALL")+(BULK_SKU=$G56))*(BULK_START&lt;=5)*(BULK_END&gt;=5)))),0),ROUND((INDEX(VELOCITY_TABLE,MATCH($F56,TIER_LIST,0),1))*(IF((5-$I56+1)&lt;=0,0,IF((5-$I56+1)=1,RAMP_W1,IF((5-$I56+1)=2,RAMP_W2,IF((5-$I56+1)=3,RAMP_W3,RAMP_W4PLUS)))))*(INDEX(ACTIVE_MULT_TABLE,1,1))*(1+SUMPRODUCT(SIGN(((ACT_DOOR_SCOPE="ALL")+(ACT_DOOR_SCOPE="TIER_"&amp;$F56)+(ACT_DOOR_SCOPE=$B56)))*SIGN(((ACT_SKU_SCOPE="ALL")+(ACT_SKU_SCOPE=$G56)))*(ACT_START&lt;=5)*(ACT_END&gt;=5)*IFERROR(ACT_UPLIFT-1,0)))*(1+SUMPRODUCT(SIGN(((ACT_DOOR_SCOPE="ALL")+(ACT_DOOR_SCOPE="TIER_"&amp;$F56)+(ACT_DOOR_SCOPE=$B56)))*SIGN(((ACT_SKU_SCOPE="ALL")+(ACT_SKU_SCOPE=$G56)))*(5&gt;ACT_END)*(ACT_END&gt;0)*IFERROR(ACT_POSTLIFT,0))),0)))</f>
        <v/>
      </c>
      <c r="O56" s="10">
        <f>IF(OR($H56&lt;&gt;"Y",6&lt;$I56),0,IF(SUMPRODUCT(((BULK_ENABLED="Y")*((BULK_TIER="ALL")+(BULK_TIER=$F56))*((BULK_SKU="ALL")+(BULK_SKU=$G56))*(BULK_START&lt;=6)*(BULK_END&gt;=6)))&gt;0,IFERROR(SUMPRODUCT(((BULK_ENABLED="Y")*((BULK_TIER="ALL")+(BULK_TIER=$F56))*((BULK_SKU="ALL")+(BULK_SKU=$G56))*(BULK_START&lt;=6)*(BULK_END&gt;=6))*IFERROR(BULK_VALUE,0))/MAX(1,SUMPRODUCT(((BULK_ENABLED="Y")*((BULK_TIER="ALL")+(BULK_TIER=$F56))*((BULK_SKU="ALL")+(BULK_SKU=$G56))*(BULK_START&lt;=6)*(BULK_END&gt;=6)))),0),ROUND((INDEX(VELOCITY_TABLE,MATCH($F56,TIER_LIST,0),1))*(IF((6-$I56+1)&lt;=0,0,IF((6-$I56+1)=1,RAMP_W1,IF((6-$I56+1)=2,RAMP_W2,IF((6-$I56+1)=3,RAMP_W3,RAMP_W4PLUS)))))*(INDEX(ACTIVE_MULT_TABLE,1,1))*(1+SUMPRODUCT(SIGN(((ACT_DOOR_SCOPE="ALL")+(ACT_DOOR_SCOPE="TIER_"&amp;$F56)+(ACT_DOOR_SCOPE=$B56)))*SIGN(((ACT_SKU_SCOPE="ALL")+(ACT_SKU_SCOPE=$G56)))*(ACT_START&lt;=6)*(ACT_END&gt;=6)*IFERROR(ACT_UPLIFT-1,0)))*(1+SUMPRODUCT(SIGN(((ACT_DOOR_SCOPE="ALL")+(ACT_DOOR_SCOPE="TIER_"&amp;$F56)+(ACT_DOOR_SCOPE=$B56)))*SIGN(((ACT_SKU_SCOPE="ALL")+(ACT_SKU_SCOPE=$G56)))*(6&gt;ACT_END)*(ACT_END&gt;0)*IFERROR(ACT_POSTLIFT,0))),0)))</f>
        <v/>
      </c>
      <c r="P56" s="10">
        <f>IF(OR($H56&lt;&gt;"Y",7&lt;$I56),0,IF(SUMPRODUCT(((BULK_ENABLED="Y")*((BULK_TIER="ALL")+(BULK_TIER=$F56))*((BULK_SKU="ALL")+(BULK_SKU=$G56))*(BULK_START&lt;=7)*(BULK_END&gt;=7)))&gt;0,IFERROR(SUMPRODUCT(((BULK_ENABLED="Y")*((BULK_TIER="ALL")+(BULK_TIER=$F56))*((BULK_SKU="ALL")+(BULK_SKU=$G56))*(BULK_START&lt;=7)*(BULK_END&gt;=7))*IFERROR(BULK_VALUE,0))/MAX(1,SUMPRODUCT(((BULK_ENABLED="Y")*((BULK_TIER="ALL")+(BULK_TIER=$F56))*((BULK_SKU="ALL")+(BULK_SKU=$G56))*(BULK_START&lt;=7)*(BULK_END&gt;=7)))),0),ROUND((INDEX(VELOCITY_TABLE,MATCH($F56,TIER_LIST,0),1))*(IF((7-$I56+1)&lt;=0,0,IF((7-$I56+1)=1,RAMP_W1,IF((7-$I56+1)=2,RAMP_W2,IF((7-$I56+1)=3,RAMP_W3,RAMP_W4PLUS)))))*(INDEX(ACTIVE_MULT_TABLE,1,1))*(1+SUMPRODUCT(SIGN(((ACT_DOOR_SCOPE="ALL")+(ACT_DOOR_SCOPE="TIER_"&amp;$F56)+(ACT_DOOR_SCOPE=$B56)))*SIGN(((ACT_SKU_SCOPE="ALL")+(ACT_SKU_SCOPE=$G56)))*(ACT_START&lt;=7)*(ACT_END&gt;=7)*IFERROR(ACT_UPLIFT-1,0)))*(1+SUMPRODUCT(SIGN(((ACT_DOOR_SCOPE="ALL")+(ACT_DOOR_SCOPE="TIER_"&amp;$F56)+(ACT_DOOR_SCOPE=$B56)))*SIGN(((ACT_SKU_SCOPE="ALL")+(ACT_SKU_SCOPE=$G56)))*(7&gt;ACT_END)*(ACT_END&gt;0)*IFERROR(ACT_POSTLIFT,0))),0)))</f>
        <v/>
      </c>
      <c r="Q56" s="10">
        <f>IF(OR($H56&lt;&gt;"Y",8&lt;$I56),0,IF(SUMPRODUCT(((BULK_ENABLED="Y")*((BULK_TIER="ALL")+(BULK_TIER=$F56))*((BULK_SKU="ALL")+(BULK_SKU=$G56))*(BULK_START&lt;=8)*(BULK_END&gt;=8)))&gt;0,IFERROR(SUMPRODUCT(((BULK_ENABLED="Y")*((BULK_TIER="ALL")+(BULK_TIER=$F56))*((BULK_SKU="ALL")+(BULK_SKU=$G56))*(BULK_START&lt;=8)*(BULK_END&gt;=8))*IFERROR(BULK_VALUE,0))/MAX(1,SUMPRODUCT(((BULK_ENABLED="Y")*((BULK_TIER="ALL")+(BULK_TIER=$F56))*((BULK_SKU="ALL")+(BULK_SKU=$G56))*(BULK_START&lt;=8)*(BULK_END&gt;=8)))),0),ROUND((INDEX(VELOCITY_TABLE,MATCH($F56,TIER_LIST,0),1))*(IF((8-$I56+1)&lt;=0,0,IF((8-$I56+1)=1,RAMP_W1,IF((8-$I56+1)=2,RAMP_W2,IF((8-$I56+1)=3,RAMP_W3,RAMP_W4PLUS)))))*(INDEX(ACTIVE_MULT_TABLE,1,1))*(1+SUMPRODUCT(SIGN(((ACT_DOOR_SCOPE="ALL")+(ACT_DOOR_SCOPE="TIER_"&amp;$F56)+(ACT_DOOR_SCOPE=$B56)))*SIGN(((ACT_SKU_SCOPE="ALL")+(ACT_SKU_SCOPE=$G56)))*(ACT_START&lt;=8)*(ACT_END&gt;=8)*IFERROR(ACT_UPLIFT-1,0)))*(1+SUMPRODUCT(SIGN(((ACT_DOOR_SCOPE="ALL")+(ACT_DOOR_SCOPE="TIER_"&amp;$F56)+(ACT_DOOR_SCOPE=$B56)))*SIGN(((ACT_SKU_SCOPE="ALL")+(ACT_SKU_SCOPE=$G56)))*(8&gt;ACT_END)*(ACT_END&gt;0)*IFERROR(ACT_POSTLIFT,0))),0)))</f>
        <v/>
      </c>
      <c r="R56" s="10">
        <f>IF(OR($H56&lt;&gt;"Y",9&lt;$I56),0,IF(SUMPRODUCT(((BULK_ENABLED="Y")*((BULK_TIER="ALL")+(BULK_TIER=$F56))*((BULK_SKU="ALL")+(BULK_SKU=$G56))*(BULK_START&lt;=9)*(BULK_END&gt;=9)))&gt;0,IFERROR(SUMPRODUCT(((BULK_ENABLED="Y")*((BULK_TIER="ALL")+(BULK_TIER=$F56))*((BULK_SKU="ALL")+(BULK_SKU=$G56))*(BULK_START&lt;=9)*(BULK_END&gt;=9))*IFERROR(BULK_VALUE,0))/MAX(1,SUMPRODUCT(((BULK_ENABLED="Y")*((BULK_TIER="ALL")+(BULK_TIER=$F56))*((BULK_SKU="ALL")+(BULK_SKU=$G56))*(BULK_START&lt;=9)*(BULK_END&gt;=9)))),0),ROUND((INDEX(VELOCITY_TABLE,MATCH($F56,TIER_LIST,0),1))*(IF((9-$I56+1)&lt;=0,0,IF((9-$I56+1)=1,RAMP_W1,IF((9-$I56+1)=2,RAMP_W2,IF((9-$I56+1)=3,RAMP_W3,RAMP_W4PLUS)))))*(INDEX(ACTIVE_MULT_TABLE,1,1))*(1+SUMPRODUCT(SIGN(((ACT_DOOR_SCOPE="ALL")+(ACT_DOOR_SCOPE="TIER_"&amp;$F56)+(ACT_DOOR_SCOPE=$B56)))*SIGN(((ACT_SKU_SCOPE="ALL")+(ACT_SKU_SCOPE=$G56)))*(ACT_START&lt;=9)*(ACT_END&gt;=9)*IFERROR(ACT_UPLIFT-1,0)))*(1+SUMPRODUCT(SIGN(((ACT_DOOR_SCOPE="ALL")+(ACT_DOOR_SCOPE="TIER_"&amp;$F56)+(ACT_DOOR_SCOPE=$B56)))*SIGN(((ACT_SKU_SCOPE="ALL")+(ACT_SKU_SCOPE=$G56)))*(9&gt;ACT_END)*(ACT_END&gt;0)*IFERROR(ACT_POSTLIFT,0))),0)))</f>
        <v/>
      </c>
      <c r="S56" s="10">
        <f>IF(OR($H56&lt;&gt;"Y",10&lt;$I56),0,IF(SUMPRODUCT(((BULK_ENABLED="Y")*((BULK_TIER="ALL")+(BULK_TIER=$F56))*((BULK_SKU="ALL")+(BULK_SKU=$G56))*(BULK_START&lt;=10)*(BULK_END&gt;=10)))&gt;0,IFERROR(SUMPRODUCT(((BULK_ENABLED="Y")*((BULK_TIER="ALL")+(BULK_TIER=$F56))*((BULK_SKU="ALL")+(BULK_SKU=$G56))*(BULK_START&lt;=10)*(BULK_END&gt;=10))*IFERROR(BULK_VALUE,0))/MAX(1,SUMPRODUCT(((BULK_ENABLED="Y")*((BULK_TIER="ALL")+(BULK_TIER=$F56))*((BULK_SKU="ALL")+(BULK_SKU=$G56))*(BULK_START&lt;=10)*(BULK_END&gt;=10)))),0),ROUND((INDEX(VELOCITY_TABLE,MATCH($F56,TIER_LIST,0),1))*(IF((10-$I56+1)&lt;=0,0,IF((10-$I56+1)=1,RAMP_W1,IF((10-$I56+1)=2,RAMP_W2,IF((10-$I56+1)=3,RAMP_W3,RAMP_W4PLUS)))))*(INDEX(ACTIVE_MULT_TABLE,1,1))*(1+SUMPRODUCT(SIGN(((ACT_DOOR_SCOPE="ALL")+(ACT_DOOR_SCOPE="TIER_"&amp;$F56)+(ACT_DOOR_SCOPE=$B56)))*SIGN(((ACT_SKU_SCOPE="ALL")+(ACT_SKU_SCOPE=$G56)))*(ACT_START&lt;=10)*(ACT_END&gt;=10)*IFERROR(ACT_UPLIFT-1,0)))*(1+SUMPRODUCT(SIGN(((ACT_DOOR_SCOPE="ALL")+(ACT_DOOR_SCOPE="TIER_"&amp;$F56)+(ACT_DOOR_SCOPE=$B56)))*SIGN(((ACT_SKU_SCOPE="ALL")+(ACT_SKU_SCOPE=$G56)))*(10&gt;ACT_END)*(ACT_END&gt;0)*IFERROR(ACT_POSTLIFT,0))),0)))</f>
        <v/>
      </c>
      <c r="T56" s="10">
        <f>IF(OR($H56&lt;&gt;"Y",11&lt;$I56),0,IF(SUMPRODUCT(((BULK_ENABLED="Y")*((BULK_TIER="ALL")+(BULK_TIER=$F56))*((BULK_SKU="ALL")+(BULK_SKU=$G56))*(BULK_START&lt;=11)*(BULK_END&gt;=11)))&gt;0,IFERROR(SUMPRODUCT(((BULK_ENABLED="Y")*((BULK_TIER="ALL")+(BULK_TIER=$F56))*((BULK_SKU="ALL")+(BULK_SKU=$G56))*(BULK_START&lt;=11)*(BULK_END&gt;=11))*IFERROR(BULK_VALUE,0))/MAX(1,SUMPRODUCT(((BULK_ENABLED="Y")*((BULK_TIER="ALL")+(BULK_TIER=$F56))*((BULK_SKU="ALL")+(BULK_SKU=$G56))*(BULK_START&lt;=11)*(BULK_END&gt;=11)))),0),ROUND((INDEX(VELOCITY_TABLE,MATCH($F56,TIER_LIST,0),1))*(IF((11-$I56+1)&lt;=0,0,IF((11-$I56+1)=1,RAMP_W1,IF((11-$I56+1)=2,RAMP_W2,IF((11-$I56+1)=3,RAMP_W3,RAMP_W4PLUS)))))*(INDEX(ACTIVE_MULT_TABLE,1,1))*(1+SUMPRODUCT(SIGN(((ACT_DOOR_SCOPE="ALL")+(ACT_DOOR_SCOPE="TIER_"&amp;$F56)+(ACT_DOOR_SCOPE=$B56)))*SIGN(((ACT_SKU_SCOPE="ALL")+(ACT_SKU_SCOPE=$G56)))*(ACT_START&lt;=11)*(ACT_END&gt;=11)*IFERROR(ACT_UPLIFT-1,0)))*(1+SUMPRODUCT(SIGN(((ACT_DOOR_SCOPE="ALL")+(ACT_DOOR_SCOPE="TIER_"&amp;$F56)+(ACT_DOOR_SCOPE=$B56)))*SIGN(((ACT_SKU_SCOPE="ALL")+(ACT_SKU_SCOPE=$G56)))*(11&gt;ACT_END)*(ACT_END&gt;0)*IFERROR(ACT_POSTLIFT,0))),0)))</f>
        <v/>
      </c>
      <c r="U56" s="10">
        <f>IF(OR($H56&lt;&gt;"Y",12&lt;$I56),0,IF(SUMPRODUCT(((BULK_ENABLED="Y")*((BULK_TIER="ALL")+(BULK_TIER=$F56))*((BULK_SKU="ALL")+(BULK_SKU=$G56))*(BULK_START&lt;=12)*(BULK_END&gt;=12)))&gt;0,IFERROR(SUMPRODUCT(((BULK_ENABLED="Y")*((BULK_TIER="ALL")+(BULK_TIER=$F56))*((BULK_SKU="ALL")+(BULK_SKU=$G56))*(BULK_START&lt;=12)*(BULK_END&gt;=12))*IFERROR(BULK_VALUE,0))/MAX(1,SUMPRODUCT(((BULK_ENABLED="Y")*((BULK_TIER="ALL")+(BULK_TIER=$F56))*((BULK_SKU="ALL")+(BULK_SKU=$G56))*(BULK_START&lt;=12)*(BULK_END&gt;=12)))),0),ROUND((INDEX(VELOCITY_TABLE,MATCH($F56,TIER_LIST,0),1))*(IF((12-$I56+1)&lt;=0,0,IF((12-$I56+1)=1,RAMP_W1,IF((12-$I56+1)=2,RAMP_W2,IF((12-$I56+1)=3,RAMP_W3,RAMP_W4PLUS)))))*(INDEX(ACTIVE_MULT_TABLE,1,1))*(1+SUMPRODUCT(SIGN(((ACT_DOOR_SCOPE="ALL")+(ACT_DOOR_SCOPE="TIER_"&amp;$F56)+(ACT_DOOR_SCOPE=$B56)))*SIGN(((ACT_SKU_SCOPE="ALL")+(ACT_SKU_SCOPE=$G56)))*(ACT_START&lt;=12)*(ACT_END&gt;=12)*IFERROR(ACT_UPLIFT-1,0)))*(1+SUMPRODUCT(SIGN(((ACT_DOOR_SCOPE="ALL")+(ACT_DOOR_SCOPE="TIER_"&amp;$F56)+(ACT_DOOR_SCOPE=$B56)))*SIGN(((ACT_SKU_SCOPE="ALL")+(ACT_SKU_SCOPE=$G56)))*(12&gt;ACT_END)*(ACT_END&gt;0)*IFERROR(ACT_POSTLIFT,0))),0)))</f>
        <v/>
      </c>
      <c r="V56" s="10">
        <f>IF(OR($H56&lt;&gt;"Y",13&lt;$I56),0,IF(SUMPRODUCT(((BULK_ENABLED="Y")*((BULK_TIER="ALL")+(BULK_TIER=$F56))*((BULK_SKU="ALL")+(BULK_SKU=$G56))*(BULK_START&lt;=13)*(BULK_END&gt;=13)))&gt;0,IFERROR(SUMPRODUCT(((BULK_ENABLED="Y")*((BULK_TIER="ALL")+(BULK_TIER=$F56))*((BULK_SKU="ALL")+(BULK_SKU=$G56))*(BULK_START&lt;=13)*(BULK_END&gt;=13))*IFERROR(BULK_VALUE,0))/MAX(1,SUMPRODUCT(((BULK_ENABLED="Y")*((BULK_TIER="ALL")+(BULK_TIER=$F56))*((BULK_SKU="ALL")+(BULK_SKU=$G56))*(BULK_START&lt;=13)*(BULK_END&gt;=13)))),0),ROUND((INDEX(VELOCITY_TABLE,MATCH($F56,TIER_LIST,0),1))*(IF((13-$I56+1)&lt;=0,0,IF((13-$I56+1)=1,RAMP_W1,IF((13-$I56+1)=2,RAMP_W2,IF((13-$I56+1)=3,RAMP_W3,RAMP_W4PLUS)))))*(INDEX(ACTIVE_MULT_TABLE,1,1))*(1+SUMPRODUCT(SIGN(((ACT_DOOR_SCOPE="ALL")+(ACT_DOOR_SCOPE="TIER_"&amp;$F56)+(ACT_DOOR_SCOPE=$B56)))*SIGN(((ACT_SKU_SCOPE="ALL")+(ACT_SKU_SCOPE=$G56)))*(ACT_START&lt;=13)*(ACT_END&gt;=13)*IFERROR(ACT_UPLIFT-1,0)))*(1+SUMPRODUCT(SIGN(((ACT_DOOR_SCOPE="ALL")+(ACT_DOOR_SCOPE="TIER_"&amp;$F56)+(ACT_DOOR_SCOPE=$B56)))*SIGN(((ACT_SKU_SCOPE="ALL")+(ACT_SKU_SCOPE=$G56)))*(13&gt;ACT_END)*(ACT_END&gt;0)*IFERROR(ACT_POSTLIFT,0))),0)))</f>
        <v/>
      </c>
    </row>
    <row r="57">
      <c r="A57" t="inlineStr">
        <is>
          <t>R0053</t>
        </is>
      </c>
      <c r="B57">
        <f>Doors!$A$22</f>
        <v/>
      </c>
      <c r="C57">
        <f>Doors!$C$22</f>
        <v/>
      </c>
      <c r="D57">
        <f>Doors!$B$22</f>
        <v/>
      </c>
      <c r="E57">
        <f>Doors!$E$22</f>
        <v/>
      </c>
      <c r="F57">
        <f>Doors!$F$22</f>
        <v/>
      </c>
      <c r="G57" t="inlineStr">
        <is>
          <t>Pineapple Passion Fruit</t>
        </is>
      </c>
      <c r="H57">
        <f>Doors!$H$22</f>
        <v/>
      </c>
      <c r="I57">
        <f>Doors!$J$22</f>
        <v/>
      </c>
      <c r="J57" s="10">
        <f>IF(OR($H57&lt;&gt;"Y",1&lt;$I57),0,IF(SUMPRODUCT(((BULK_ENABLED="Y")*((BULK_TIER="ALL")+(BULK_TIER=$F57))*((BULK_SKU="ALL")+(BULK_SKU=$G57))*(BULK_START&lt;=1)*(BULK_END&gt;=1)))&gt;0,IFERROR(SUMPRODUCT(((BULK_ENABLED="Y")*((BULK_TIER="ALL")+(BULK_TIER=$F57))*((BULK_SKU="ALL")+(BULK_SKU=$G57))*(BULK_START&lt;=1)*(BULK_END&gt;=1))*IFERROR(BULK_VALUE,0))/MAX(1,SUMPRODUCT(((BULK_ENABLED="Y")*((BULK_TIER="ALL")+(BULK_TIER=$F57))*((BULK_SKU="ALL")+(BULK_SKU=$G57))*(BULK_START&lt;=1)*(BULK_END&gt;=1)))),0),ROUND((INDEX(VELOCITY_TABLE,MATCH($F57,TIER_LIST,0),2))*(IF((1-$I57+1)&lt;=0,0,IF((1-$I57+1)=1,RAMP_W1,IF((1-$I57+1)=2,RAMP_W2,IF((1-$I57+1)=3,RAMP_W3,RAMP_W4PLUS)))))*(INDEX(ACTIVE_MULT_TABLE,2,1))*(1+SUMPRODUCT(SIGN(((ACT_DOOR_SCOPE="ALL")+(ACT_DOOR_SCOPE="TIER_"&amp;$F57)+(ACT_DOOR_SCOPE=$B57)))*SIGN(((ACT_SKU_SCOPE="ALL")+(ACT_SKU_SCOPE=$G57)))*(ACT_START&lt;=1)*(ACT_END&gt;=1)*IFERROR(ACT_UPLIFT-1,0)))*(1+SUMPRODUCT(SIGN(((ACT_DOOR_SCOPE="ALL")+(ACT_DOOR_SCOPE="TIER_"&amp;$F57)+(ACT_DOOR_SCOPE=$B57)))*SIGN(((ACT_SKU_SCOPE="ALL")+(ACT_SKU_SCOPE=$G57)))*(1&gt;ACT_END)*(ACT_END&gt;0)*IFERROR(ACT_POSTLIFT,0))),0)))</f>
        <v/>
      </c>
      <c r="K57" s="10">
        <f>IF(OR($H57&lt;&gt;"Y",2&lt;$I57),0,IF(SUMPRODUCT(((BULK_ENABLED="Y")*((BULK_TIER="ALL")+(BULK_TIER=$F57))*((BULK_SKU="ALL")+(BULK_SKU=$G57))*(BULK_START&lt;=2)*(BULK_END&gt;=2)))&gt;0,IFERROR(SUMPRODUCT(((BULK_ENABLED="Y")*((BULK_TIER="ALL")+(BULK_TIER=$F57))*((BULK_SKU="ALL")+(BULK_SKU=$G57))*(BULK_START&lt;=2)*(BULK_END&gt;=2))*IFERROR(BULK_VALUE,0))/MAX(1,SUMPRODUCT(((BULK_ENABLED="Y")*((BULK_TIER="ALL")+(BULK_TIER=$F57))*((BULK_SKU="ALL")+(BULK_SKU=$G57))*(BULK_START&lt;=2)*(BULK_END&gt;=2)))),0),ROUND((INDEX(VELOCITY_TABLE,MATCH($F57,TIER_LIST,0),2))*(IF((2-$I57+1)&lt;=0,0,IF((2-$I57+1)=1,RAMP_W1,IF((2-$I57+1)=2,RAMP_W2,IF((2-$I57+1)=3,RAMP_W3,RAMP_W4PLUS)))))*(INDEX(ACTIVE_MULT_TABLE,2,1))*(1+SUMPRODUCT(SIGN(((ACT_DOOR_SCOPE="ALL")+(ACT_DOOR_SCOPE="TIER_"&amp;$F57)+(ACT_DOOR_SCOPE=$B57)))*SIGN(((ACT_SKU_SCOPE="ALL")+(ACT_SKU_SCOPE=$G57)))*(ACT_START&lt;=2)*(ACT_END&gt;=2)*IFERROR(ACT_UPLIFT-1,0)))*(1+SUMPRODUCT(SIGN(((ACT_DOOR_SCOPE="ALL")+(ACT_DOOR_SCOPE="TIER_"&amp;$F57)+(ACT_DOOR_SCOPE=$B57)))*SIGN(((ACT_SKU_SCOPE="ALL")+(ACT_SKU_SCOPE=$G57)))*(2&gt;ACT_END)*(ACT_END&gt;0)*IFERROR(ACT_POSTLIFT,0))),0)))</f>
        <v/>
      </c>
      <c r="L57" s="10">
        <f>IF(OR($H57&lt;&gt;"Y",3&lt;$I57),0,IF(SUMPRODUCT(((BULK_ENABLED="Y")*((BULK_TIER="ALL")+(BULK_TIER=$F57))*((BULK_SKU="ALL")+(BULK_SKU=$G57))*(BULK_START&lt;=3)*(BULK_END&gt;=3)))&gt;0,IFERROR(SUMPRODUCT(((BULK_ENABLED="Y")*((BULK_TIER="ALL")+(BULK_TIER=$F57))*((BULK_SKU="ALL")+(BULK_SKU=$G57))*(BULK_START&lt;=3)*(BULK_END&gt;=3))*IFERROR(BULK_VALUE,0))/MAX(1,SUMPRODUCT(((BULK_ENABLED="Y")*((BULK_TIER="ALL")+(BULK_TIER=$F57))*((BULK_SKU="ALL")+(BULK_SKU=$G57))*(BULK_START&lt;=3)*(BULK_END&gt;=3)))),0),ROUND((INDEX(VELOCITY_TABLE,MATCH($F57,TIER_LIST,0),2))*(IF((3-$I57+1)&lt;=0,0,IF((3-$I57+1)=1,RAMP_W1,IF((3-$I57+1)=2,RAMP_W2,IF((3-$I57+1)=3,RAMP_W3,RAMP_W4PLUS)))))*(INDEX(ACTIVE_MULT_TABLE,2,1))*(1+SUMPRODUCT(SIGN(((ACT_DOOR_SCOPE="ALL")+(ACT_DOOR_SCOPE="TIER_"&amp;$F57)+(ACT_DOOR_SCOPE=$B57)))*SIGN(((ACT_SKU_SCOPE="ALL")+(ACT_SKU_SCOPE=$G57)))*(ACT_START&lt;=3)*(ACT_END&gt;=3)*IFERROR(ACT_UPLIFT-1,0)))*(1+SUMPRODUCT(SIGN(((ACT_DOOR_SCOPE="ALL")+(ACT_DOOR_SCOPE="TIER_"&amp;$F57)+(ACT_DOOR_SCOPE=$B57)))*SIGN(((ACT_SKU_SCOPE="ALL")+(ACT_SKU_SCOPE=$G57)))*(3&gt;ACT_END)*(ACT_END&gt;0)*IFERROR(ACT_POSTLIFT,0))),0)))</f>
        <v/>
      </c>
      <c r="M57" s="10">
        <f>IF(OR($H57&lt;&gt;"Y",4&lt;$I57),0,IF(SUMPRODUCT(((BULK_ENABLED="Y")*((BULK_TIER="ALL")+(BULK_TIER=$F57))*((BULK_SKU="ALL")+(BULK_SKU=$G57))*(BULK_START&lt;=4)*(BULK_END&gt;=4)))&gt;0,IFERROR(SUMPRODUCT(((BULK_ENABLED="Y")*((BULK_TIER="ALL")+(BULK_TIER=$F57))*((BULK_SKU="ALL")+(BULK_SKU=$G57))*(BULK_START&lt;=4)*(BULK_END&gt;=4))*IFERROR(BULK_VALUE,0))/MAX(1,SUMPRODUCT(((BULK_ENABLED="Y")*((BULK_TIER="ALL")+(BULK_TIER=$F57))*((BULK_SKU="ALL")+(BULK_SKU=$G57))*(BULK_START&lt;=4)*(BULK_END&gt;=4)))),0),ROUND((INDEX(VELOCITY_TABLE,MATCH($F57,TIER_LIST,0),2))*(IF((4-$I57+1)&lt;=0,0,IF((4-$I57+1)=1,RAMP_W1,IF((4-$I57+1)=2,RAMP_W2,IF((4-$I57+1)=3,RAMP_W3,RAMP_W4PLUS)))))*(INDEX(ACTIVE_MULT_TABLE,2,1))*(1+SUMPRODUCT(SIGN(((ACT_DOOR_SCOPE="ALL")+(ACT_DOOR_SCOPE="TIER_"&amp;$F57)+(ACT_DOOR_SCOPE=$B57)))*SIGN(((ACT_SKU_SCOPE="ALL")+(ACT_SKU_SCOPE=$G57)))*(ACT_START&lt;=4)*(ACT_END&gt;=4)*IFERROR(ACT_UPLIFT-1,0)))*(1+SUMPRODUCT(SIGN(((ACT_DOOR_SCOPE="ALL")+(ACT_DOOR_SCOPE="TIER_"&amp;$F57)+(ACT_DOOR_SCOPE=$B57)))*SIGN(((ACT_SKU_SCOPE="ALL")+(ACT_SKU_SCOPE=$G57)))*(4&gt;ACT_END)*(ACT_END&gt;0)*IFERROR(ACT_POSTLIFT,0))),0)))</f>
        <v/>
      </c>
      <c r="N57" s="10">
        <f>IF(OR($H57&lt;&gt;"Y",5&lt;$I57),0,IF(SUMPRODUCT(((BULK_ENABLED="Y")*((BULK_TIER="ALL")+(BULK_TIER=$F57))*((BULK_SKU="ALL")+(BULK_SKU=$G57))*(BULK_START&lt;=5)*(BULK_END&gt;=5)))&gt;0,IFERROR(SUMPRODUCT(((BULK_ENABLED="Y")*((BULK_TIER="ALL")+(BULK_TIER=$F57))*((BULK_SKU="ALL")+(BULK_SKU=$G57))*(BULK_START&lt;=5)*(BULK_END&gt;=5))*IFERROR(BULK_VALUE,0))/MAX(1,SUMPRODUCT(((BULK_ENABLED="Y")*((BULK_TIER="ALL")+(BULK_TIER=$F57))*((BULK_SKU="ALL")+(BULK_SKU=$G57))*(BULK_START&lt;=5)*(BULK_END&gt;=5)))),0),ROUND((INDEX(VELOCITY_TABLE,MATCH($F57,TIER_LIST,0),2))*(IF((5-$I57+1)&lt;=0,0,IF((5-$I57+1)=1,RAMP_W1,IF((5-$I57+1)=2,RAMP_W2,IF((5-$I57+1)=3,RAMP_W3,RAMP_W4PLUS)))))*(INDEX(ACTIVE_MULT_TABLE,2,1))*(1+SUMPRODUCT(SIGN(((ACT_DOOR_SCOPE="ALL")+(ACT_DOOR_SCOPE="TIER_"&amp;$F57)+(ACT_DOOR_SCOPE=$B57)))*SIGN(((ACT_SKU_SCOPE="ALL")+(ACT_SKU_SCOPE=$G57)))*(ACT_START&lt;=5)*(ACT_END&gt;=5)*IFERROR(ACT_UPLIFT-1,0)))*(1+SUMPRODUCT(SIGN(((ACT_DOOR_SCOPE="ALL")+(ACT_DOOR_SCOPE="TIER_"&amp;$F57)+(ACT_DOOR_SCOPE=$B57)))*SIGN(((ACT_SKU_SCOPE="ALL")+(ACT_SKU_SCOPE=$G57)))*(5&gt;ACT_END)*(ACT_END&gt;0)*IFERROR(ACT_POSTLIFT,0))),0)))</f>
        <v/>
      </c>
      <c r="O57" s="10">
        <f>IF(OR($H57&lt;&gt;"Y",6&lt;$I57),0,IF(SUMPRODUCT(((BULK_ENABLED="Y")*((BULK_TIER="ALL")+(BULK_TIER=$F57))*((BULK_SKU="ALL")+(BULK_SKU=$G57))*(BULK_START&lt;=6)*(BULK_END&gt;=6)))&gt;0,IFERROR(SUMPRODUCT(((BULK_ENABLED="Y")*((BULK_TIER="ALL")+(BULK_TIER=$F57))*((BULK_SKU="ALL")+(BULK_SKU=$G57))*(BULK_START&lt;=6)*(BULK_END&gt;=6))*IFERROR(BULK_VALUE,0))/MAX(1,SUMPRODUCT(((BULK_ENABLED="Y")*((BULK_TIER="ALL")+(BULK_TIER=$F57))*((BULK_SKU="ALL")+(BULK_SKU=$G57))*(BULK_START&lt;=6)*(BULK_END&gt;=6)))),0),ROUND((INDEX(VELOCITY_TABLE,MATCH($F57,TIER_LIST,0),2))*(IF((6-$I57+1)&lt;=0,0,IF((6-$I57+1)=1,RAMP_W1,IF((6-$I57+1)=2,RAMP_W2,IF((6-$I57+1)=3,RAMP_W3,RAMP_W4PLUS)))))*(INDEX(ACTIVE_MULT_TABLE,2,1))*(1+SUMPRODUCT(SIGN(((ACT_DOOR_SCOPE="ALL")+(ACT_DOOR_SCOPE="TIER_"&amp;$F57)+(ACT_DOOR_SCOPE=$B57)))*SIGN(((ACT_SKU_SCOPE="ALL")+(ACT_SKU_SCOPE=$G57)))*(ACT_START&lt;=6)*(ACT_END&gt;=6)*IFERROR(ACT_UPLIFT-1,0)))*(1+SUMPRODUCT(SIGN(((ACT_DOOR_SCOPE="ALL")+(ACT_DOOR_SCOPE="TIER_"&amp;$F57)+(ACT_DOOR_SCOPE=$B57)))*SIGN(((ACT_SKU_SCOPE="ALL")+(ACT_SKU_SCOPE=$G57)))*(6&gt;ACT_END)*(ACT_END&gt;0)*IFERROR(ACT_POSTLIFT,0))),0)))</f>
        <v/>
      </c>
      <c r="P57" s="10">
        <f>IF(OR($H57&lt;&gt;"Y",7&lt;$I57),0,IF(SUMPRODUCT(((BULK_ENABLED="Y")*((BULK_TIER="ALL")+(BULK_TIER=$F57))*((BULK_SKU="ALL")+(BULK_SKU=$G57))*(BULK_START&lt;=7)*(BULK_END&gt;=7)))&gt;0,IFERROR(SUMPRODUCT(((BULK_ENABLED="Y")*((BULK_TIER="ALL")+(BULK_TIER=$F57))*((BULK_SKU="ALL")+(BULK_SKU=$G57))*(BULK_START&lt;=7)*(BULK_END&gt;=7))*IFERROR(BULK_VALUE,0))/MAX(1,SUMPRODUCT(((BULK_ENABLED="Y")*((BULK_TIER="ALL")+(BULK_TIER=$F57))*((BULK_SKU="ALL")+(BULK_SKU=$G57))*(BULK_START&lt;=7)*(BULK_END&gt;=7)))),0),ROUND((INDEX(VELOCITY_TABLE,MATCH($F57,TIER_LIST,0),2))*(IF((7-$I57+1)&lt;=0,0,IF((7-$I57+1)=1,RAMP_W1,IF((7-$I57+1)=2,RAMP_W2,IF((7-$I57+1)=3,RAMP_W3,RAMP_W4PLUS)))))*(INDEX(ACTIVE_MULT_TABLE,2,1))*(1+SUMPRODUCT(SIGN(((ACT_DOOR_SCOPE="ALL")+(ACT_DOOR_SCOPE="TIER_"&amp;$F57)+(ACT_DOOR_SCOPE=$B57)))*SIGN(((ACT_SKU_SCOPE="ALL")+(ACT_SKU_SCOPE=$G57)))*(ACT_START&lt;=7)*(ACT_END&gt;=7)*IFERROR(ACT_UPLIFT-1,0)))*(1+SUMPRODUCT(SIGN(((ACT_DOOR_SCOPE="ALL")+(ACT_DOOR_SCOPE="TIER_"&amp;$F57)+(ACT_DOOR_SCOPE=$B57)))*SIGN(((ACT_SKU_SCOPE="ALL")+(ACT_SKU_SCOPE=$G57)))*(7&gt;ACT_END)*(ACT_END&gt;0)*IFERROR(ACT_POSTLIFT,0))),0)))</f>
        <v/>
      </c>
      <c r="Q57" s="10">
        <f>IF(OR($H57&lt;&gt;"Y",8&lt;$I57),0,IF(SUMPRODUCT(((BULK_ENABLED="Y")*((BULK_TIER="ALL")+(BULK_TIER=$F57))*((BULK_SKU="ALL")+(BULK_SKU=$G57))*(BULK_START&lt;=8)*(BULK_END&gt;=8)))&gt;0,IFERROR(SUMPRODUCT(((BULK_ENABLED="Y")*((BULK_TIER="ALL")+(BULK_TIER=$F57))*((BULK_SKU="ALL")+(BULK_SKU=$G57))*(BULK_START&lt;=8)*(BULK_END&gt;=8))*IFERROR(BULK_VALUE,0))/MAX(1,SUMPRODUCT(((BULK_ENABLED="Y")*((BULK_TIER="ALL")+(BULK_TIER=$F57))*((BULK_SKU="ALL")+(BULK_SKU=$G57))*(BULK_START&lt;=8)*(BULK_END&gt;=8)))),0),ROUND((INDEX(VELOCITY_TABLE,MATCH($F57,TIER_LIST,0),2))*(IF((8-$I57+1)&lt;=0,0,IF((8-$I57+1)=1,RAMP_W1,IF((8-$I57+1)=2,RAMP_W2,IF((8-$I57+1)=3,RAMP_W3,RAMP_W4PLUS)))))*(INDEX(ACTIVE_MULT_TABLE,2,1))*(1+SUMPRODUCT(SIGN(((ACT_DOOR_SCOPE="ALL")+(ACT_DOOR_SCOPE="TIER_"&amp;$F57)+(ACT_DOOR_SCOPE=$B57)))*SIGN(((ACT_SKU_SCOPE="ALL")+(ACT_SKU_SCOPE=$G57)))*(ACT_START&lt;=8)*(ACT_END&gt;=8)*IFERROR(ACT_UPLIFT-1,0)))*(1+SUMPRODUCT(SIGN(((ACT_DOOR_SCOPE="ALL")+(ACT_DOOR_SCOPE="TIER_"&amp;$F57)+(ACT_DOOR_SCOPE=$B57)))*SIGN(((ACT_SKU_SCOPE="ALL")+(ACT_SKU_SCOPE=$G57)))*(8&gt;ACT_END)*(ACT_END&gt;0)*IFERROR(ACT_POSTLIFT,0))),0)))</f>
        <v/>
      </c>
      <c r="R57" s="10">
        <f>IF(OR($H57&lt;&gt;"Y",9&lt;$I57),0,IF(SUMPRODUCT(((BULK_ENABLED="Y")*((BULK_TIER="ALL")+(BULK_TIER=$F57))*((BULK_SKU="ALL")+(BULK_SKU=$G57))*(BULK_START&lt;=9)*(BULK_END&gt;=9)))&gt;0,IFERROR(SUMPRODUCT(((BULK_ENABLED="Y")*((BULK_TIER="ALL")+(BULK_TIER=$F57))*((BULK_SKU="ALL")+(BULK_SKU=$G57))*(BULK_START&lt;=9)*(BULK_END&gt;=9))*IFERROR(BULK_VALUE,0))/MAX(1,SUMPRODUCT(((BULK_ENABLED="Y")*((BULK_TIER="ALL")+(BULK_TIER=$F57))*((BULK_SKU="ALL")+(BULK_SKU=$G57))*(BULK_START&lt;=9)*(BULK_END&gt;=9)))),0),ROUND((INDEX(VELOCITY_TABLE,MATCH($F57,TIER_LIST,0),2))*(IF((9-$I57+1)&lt;=0,0,IF((9-$I57+1)=1,RAMP_W1,IF((9-$I57+1)=2,RAMP_W2,IF((9-$I57+1)=3,RAMP_W3,RAMP_W4PLUS)))))*(INDEX(ACTIVE_MULT_TABLE,2,1))*(1+SUMPRODUCT(SIGN(((ACT_DOOR_SCOPE="ALL")+(ACT_DOOR_SCOPE="TIER_"&amp;$F57)+(ACT_DOOR_SCOPE=$B57)))*SIGN(((ACT_SKU_SCOPE="ALL")+(ACT_SKU_SCOPE=$G57)))*(ACT_START&lt;=9)*(ACT_END&gt;=9)*IFERROR(ACT_UPLIFT-1,0)))*(1+SUMPRODUCT(SIGN(((ACT_DOOR_SCOPE="ALL")+(ACT_DOOR_SCOPE="TIER_"&amp;$F57)+(ACT_DOOR_SCOPE=$B57)))*SIGN(((ACT_SKU_SCOPE="ALL")+(ACT_SKU_SCOPE=$G57)))*(9&gt;ACT_END)*(ACT_END&gt;0)*IFERROR(ACT_POSTLIFT,0))),0)))</f>
        <v/>
      </c>
      <c r="S57" s="10">
        <f>IF(OR($H57&lt;&gt;"Y",10&lt;$I57),0,IF(SUMPRODUCT(((BULK_ENABLED="Y")*((BULK_TIER="ALL")+(BULK_TIER=$F57))*((BULK_SKU="ALL")+(BULK_SKU=$G57))*(BULK_START&lt;=10)*(BULK_END&gt;=10)))&gt;0,IFERROR(SUMPRODUCT(((BULK_ENABLED="Y")*((BULK_TIER="ALL")+(BULK_TIER=$F57))*((BULK_SKU="ALL")+(BULK_SKU=$G57))*(BULK_START&lt;=10)*(BULK_END&gt;=10))*IFERROR(BULK_VALUE,0))/MAX(1,SUMPRODUCT(((BULK_ENABLED="Y")*((BULK_TIER="ALL")+(BULK_TIER=$F57))*((BULK_SKU="ALL")+(BULK_SKU=$G57))*(BULK_START&lt;=10)*(BULK_END&gt;=10)))),0),ROUND((INDEX(VELOCITY_TABLE,MATCH($F57,TIER_LIST,0),2))*(IF((10-$I57+1)&lt;=0,0,IF((10-$I57+1)=1,RAMP_W1,IF((10-$I57+1)=2,RAMP_W2,IF((10-$I57+1)=3,RAMP_W3,RAMP_W4PLUS)))))*(INDEX(ACTIVE_MULT_TABLE,2,1))*(1+SUMPRODUCT(SIGN(((ACT_DOOR_SCOPE="ALL")+(ACT_DOOR_SCOPE="TIER_"&amp;$F57)+(ACT_DOOR_SCOPE=$B57)))*SIGN(((ACT_SKU_SCOPE="ALL")+(ACT_SKU_SCOPE=$G57)))*(ACT_START&lt;=10)*(ACT_END&gt;=10)*IFERROR(ACT_UPLIFT-1,0)))*(1+SUMPRODUCT(SIGN(((ACT_DOOR_SCOPE="ALL")+(ACT_DOOR_SCOPE="TIER_"&amp;$F57)+(ACT_DOOR_SCOPE=$B57)))*SIGN(((ACT_SKU_SCOPE="ALL")+(ACT_SKU_SCOPE=$G57)))*(10&gt;ACT_END)*(ACT_END&gt;0)*IFERROR(ACT_POSTLIFT,0))),0)))</f>
        <v/>
      </c>
      <c r="T57" s="10">
        <f>IF(OR($H57&lt;&gt;"Y",11&lt;$I57),0,IF(SUMPRODUCT(((BULK_ENABLED="Y")*((BULK_TIER="ALL")+(BULK_TIER=$F57))*((BULK_SKU="ALL")+(BULK_SKU=$G57))*(BULK_START&lt;=11)*(BULK_END&gt;=11)))&gt;0,IFERROR(SUMPRODUCT(((BULK_ENABLED="Y")*((BULK_TIER="ALL")+(BULK_TIER=$F57))*((BULK_SKU="ALL")+(BULK_SKU=$G57))*(BULK_START&lt;=11)*(BULK_END&gt;=11))*IFERROR(BULK_VALUE,0))/MAX(1,SUMPRODUCT(((BULK_ENABLED="Y")*((BULK_TIER="ALL")+(BULK_TIER=$F57))*((BULK_SKU="ALL")+(BULK_SKU=$G57))*(BULK_START&lt;=11)*(BULK_END&gt;=11)))),0),ROUND((INDEX(VELOCITY_TABLE,MATCH($F57,TIER_LIST,0),2))*(IF((11-$I57+1)&lt;=0,0,IF((11-$I57+1)=1,RAMP_W1,IF((11-$I57+1)=2,RAMP_W2,IF((11-$I57+1)=3,RAMP_W3,RAMP_W4PLUS)))))*(INDEX(ACTIVE_MULT_TABLE,2,1))*(1+SUMPRODUCT(SIGN(((ACT_DOOR_SCOPE="ALL")+(ACT_DOOR_SCOPE="TIER_"&amp;$F57)+(ACT_DOOR_SCOPE=$B57)))*SIGN(((ACT_SKU_SCOPE="ALL")+(ACT_SKU_SCOPE=$G57)))*(ACT_START&lt;=11)*(ACT_END&gt;=11)*IFERROR(ACT_UPLIFT-1,0)))*(1+SUMPRODUCT(SIGN(((ACT_DOOR_SCOPE="ALL")+(ACT_DOOR_SCOPE="TIER_"&amp;$F57)+(ACT_DOOR_SCOPE=$B57)))*SIGN(((ACT_SKU_SCOPE="ALL")+(ACT_SKU_SCOPE=$G57)))*(11&gt;ACT_END)*(ACT_END&gt;0)*IFERROR(ACT_POSTLIFT,0))),0)))</f>
        <v/>
      </c>
      <c r="U57" s="10">
        <f>IF(OR($H57&lt;&gt;"Y",12&lt;$I57),0,IF(SUMPRODUCT(((BULK_ENABLED="Y")*((BULK_TIER="ALL")+(BULK_TIER=$F57))*((BULK_SKU="ALL")+(BULK_SKU=$G57))*(BULK_START&lt;=12)*(BULK_END&gt;=12)))&gt;0,IFERROR(SUMPRODUCT(((BULK_ENABLED="Y")*((BULK_TIER="ALL")+(BULK_TIER=$F57))*((BULK_SKU="ALL")+(BULK_SKU=$G57))*(BULK_START&lt;=12)*(BULK_END&gt;=12))*IFERROR(BULK_VALUE,0))/MAX(1,SUMPRODUCT(((BULK_ENABLED="Y")*((BULK_TIER="ALL")+(BULK_TIER=$F57))*((BULK_SKU="ALL")+(BULK_SKU=$G57))*(BULK_START&lt;=12)*(BULK_END&gt;=12)))),0),ROUND((INDEX(VELOCITY_TABLE,MATCH($F57,TIER_LIST,0),2))*(IF((12-$I57+1)&lt;=0,0,IF((12-$I57+1)=1,RAMP_W1,IF((12-$I57+1)=2,RAMP_W2,IF((12-$I57+1)=3,RAMP_W3,RAMP_W4PLUS)))))*(INDEX(ACTIVE_MULT_TABLE,2,1))*(1+SUMPRODUCT(SIGN(((ACT_DOOR_SCOPE="ALL")+(ACT_DOOR_SCOPE="TIER_"&amp;$F57)+(ACT_DOOR_SCOPE=$B57)))*SIGN(((ACT_SKU_SCOPE="ALL")+(ACT_SKU_SCOPE=$G57)))*(ACT_START&lt;=12)*(ACT_END&gt;=12)*IFERROR(ACT_UPLIFT-1,0)))*(1+SUMPRODUCT(SIGN(((ACT_DOOR_SCOPE="ALL")+(ACT_DOOR_SCOPE="TIER_"&amp;$F57)+(ACT_DOOR_SCOPE=$B57)))*SIGN(((ACT_SKU_SCOPE="ALL")+(ACT_SKU_SCOPE=$G57)))*(12&gt;ACT_END)*(ACT_END&gt;0)*IFERROR(ACT_POSTLIFT,0))),0)))</f>
        <v/>
      </c>
      <c r="V57" s="10">
        <f>IF(OR($H57&lt;&gt;"Y",13&lt;$I57),0,IF(SUMPRODUCT(((BULK_ENABLED="Y")*((BULK_TIER="ALL")+(BULK_TIER=$F57))*((BULK_SKU="ALL")+(BULK_SKU=$G57))*(BULK_START&lt;=13)*(BULK_END&gt;=13)))&gt;0,IFERROR(SUMPRODUCT(((BULK_ENABLED="Y")*((BULK_TIER="ALL")+(BULK_TIER=$F57))*((BULK_SKU="ALL")+(BULK_SKU=$G57))*(BULK_START&lt;=13)*(BULK_END&gt;=13))*IFERROR(BULK_VALUE,0))/MAX(1,SUMPRODUCT(((BULK_ENABLED="Y")*((BULK_TIER="ALL")+(BULK_TIER=$F57))*((BULK_SKU="ALL")+(BULK_SKU=$G57))*(BULK_START&lt;=13)*(BULK_END&gt;=13)))),0),ROUND((INDEX(VELOCITY_TABLE,MATCH($F57,TIER_LIST,0),2))*(IF((13-$I57+1)&lt;=0,0,IF((13-$I57+1)=1,RAMP_W1,IF((13-$I57+1)=2,RAMP_W2,IF((13-$I57+1)=3,RAMP_W3,RAMP_W4PLUS)))))*(INDEX(ACTIVE_MULT_TABLE,2,1))*(1+SUMPRODUCT(SIGN(((ACT_DOOR_SCOPE="ALL")+(ACT_DOOR_SCOPE="TIER_"&amp;$F57)+(ACT_DOOR_SCOPE=$B57)))*SIGN(((ACT_SKU_SCOPE="ALL")+(ACT_SKU_SCOPE=$G57)))*(ACT_START&lt;=13)*(ACT_END&gt;=13)*IFERROR(ACT_UPLIFT-1,0)))*(1+SUMPRODUCT(SIGN(((ACT_DOOR_SCOPE="ALL")+(ACT_DOOR_SCOPE="TIER_"&amp;$F57)+(ACT_DOOR_SCOPE=$B57)))*SIGN(((ACT_SKU_SCOPE="ALL")+(ACT_SKU_SCOPE=$G57)))*(13&gt;ACT_END)*(ACT_END&gt;0)*IFERROR(ACT_POSTLIFT,0))),0)))</f>
        <v/>
      </c>
    </row>
    <row r="58">
      <c r="A58" t="inlineStr">
        <is>
          <t>R0054</t>
        </is>
      </c>
      <c r="B58">
        <f>Doors!$A$22</f>
        <v/>
      </c>
      <c r="C58">
        <f>Doors!$C$22</f>
        <v/>
      </c>
      <c r="D58">
        <f>Doors!$B$22</f>
        <v/>
      </c>
      <c r="E58">
        <f>Doors!$E$22</f>
        <v/>
      </c>
      <c r="F58">
        <f>Doors!$F$22</f>
        <v/>
      </c>
      <c r="G58" t="inlineStr">
        <is>
          <t>Raspberry</t>
        </is>
      </c>
      <c r="H58">
        <f>Doors!$I$22</f>
        <v/>
      </c>
      <c r="I58">
        <f>Doors!$J$22</f>
        <v/>
      </c>
      <c r="J58" s="10">
        <f>IF(OR($H58&lt;&gt;"Y",1&lt;$I58),0,IF(SUMPRODUCT(((BULK_ENABLED="Y")*((BULK_TIER="ALL")+(BULK_TIER=$F58))*((BULK_SKU="ALL")+(BULK_SKU=$G58))*(BULK_START&lt;=1)*(BULK_END&gt;=1)))&gt;0,IFERROR(SUMPRODUCT(((BULK_ENABLED="Y")*((BULK_TIER="ALL")+(BULK_TIER=$F58))*((BULK_SKU="ALL")+(BULK_SKU=$G58))*(BULK_START&lt;=1)*(BULK_END&gt;=1))*IFERROR(BULK_VALUE,0))/MAX(1,SUMPRODUCT(((BULK_ENABLED="Y")*((BULK_TIER="ALL")+(BULK_TIER=$F58))*((BULK_SKU="ALL")+(BULK_SKU=$G58))*(BULK_START&lt;=1)*(BULK_END&gt;=1)))),0),ROUND((INDEX(VELOCITY_TABLE,MATCH($F58,TIER_LIST,0),3))*(IF((1-$I58+1)&lt;=0,0,IF((1-$I58+1)=1,RAMP_W1,IF((1-$I58+1)=2,RAMP_W2,IF((1-$I58+1)=3,RAMP_W3,RAMP_W4PLUS)))))*(INDEX(ACTIVE_MULT_TABLE,3,1))*(1+SUMPRODUCT(SIGN(((ACT_DOOR_SCOPE="ALL")+(ACT_DOOR_SCOPE="TIER_"&amp;$F58)+(ACT_DOOR_SCOPE=$B58)))*SIGN(((ACT_SKU_SCOPE="ALL")+(ACT_SKU_SCOPE=$G58)))*(ACT_START&lt;=1)*(ACT_END&gt;=1)*IFERROR(ACT_UPLIFT-1,0)))*(1+SUMPRODUCT(SIGN(((ACT_DOOR_SCOPE="ALL")+(ACT_DOOR_SCOPE="TIER_"&amp;$F58)+(ACT_DOOR_SCOPE=$B58)))*SIGN(((ACT_SKU_SCOPE="ALL")+(ACT_SKU_SCOPE=$G58)))*(1&gt;ACT_END)*(ACT_END&gt;0)*IFERROR(ACT_POSTLIFT,0))),0)))</f>
        <v/>
      </c>
      <c r="K58" s="10">
        <f>IF(OR($H58&lt;&gt;"Y",2&lt;$I58),0,IF(SUMPRODUCT(((BULK_ENABLED="Y")*((BULK_TIER="ALL")+(BULK_TIER=$F58))*((BULK_SKU="ALL")+(BULK_SKU=$G58))*(BULK_START&lt;=2)*(BULK_END&gt;=2)))&gt;0,IFERROR(SUMPRODUCT(((BULK_ENABLED="Y")*((BULK_TIER="ALL")+(BULK_TIER=$F58))*((BULK_SKU="ALL")+(BULK_SKU=$G58))*(BULK_START&lt;=2)*(BULK_END&gt;=2))*IFERROR(BULK_VALUE,0))/MAX(1,SUMPRODUCT(((BULK_ENABLED="Y")*((BULK_TIER="ALL")+(BULK_TIER=$F58))*((BULK_SKU="ALL")+(BULK_SKU=$G58))*(BULK_START&lt;=2)*(BULK_END&gt;=2)))),0),ROUND((INDEX(VELOCITY_TABLE,MATCH($F58,TIER_LIST,0),3))*(IF((2-$I58+1)&lt;=0,0,IF((2-$I58+1)=1,RAMP_W1,IF((2-$I58+1)=2,RAMP_W2,IF((2-$I58+1)=3,RAMP_W3,RAMP_W4PLUS)))))*(INDEX(ACTIVE_MULT_TABLE,3,1))*(1+SUMPRODUCT(SIGN(((ACT_DOOR_SCOPE="ALL")+(ACT_DOOR_SCOPE="TIER_"&amp;$F58)+(ACT_DOOR_SCOPE=$B58)))*SIGN(((ACT_SKU_SCOPE="ALL")+(ACT_SKU_SCOPE=$G58)))*(ACT_START&lt;=2)*(ACT_END&gt;=2)*IFERROR(ACT_UPLIFT-1,0)))*(1+SUMPRODUCT(SIGN(((ACT_DOOR_SCOPE="ALL")+(ACT_DOOR_SCOPE="TIER_"&amp;$F58)+(ACT_DOOR_SCOPE=$B58)))*SIGN(((ACT_SKU_SCOPE="ALL")+(ACT_SKU_SCOPE=$G58)))*(2&gt;ACT_END)*(ACT_END&gt;0)*IFERROR(ACT_POSTLIFT,0))),0)))</f>
        <v/>
      </c>
      <c r="L58" s="10">
        <f>IF(OR($H58&lt;&gt;"Y",3&lt;$I58),0,IF(SUMPRODUCT(((BULK_ENABLED="Y")*((BULK_TIER="ALL")+(BULK_TIER=$F58))*((BULK_SKU="ALL")+(BULK_SKU=$G58))*(BULK_START&lt;=3)*(BULK_END&gt;=3)))&gt;0,IFERROR(SUMPRODUCT(((BULK_ENABLED="Y")*((BULK_TIER="ALL")+(BULK_TIER=$F58))*((BULK_SKU="ALL")+(BULK_SKU=$G58))*(BULK_START&lt;=3)*(BULK_END&gt;=3))*IFERROR(BULK_VALUE,0))/MAX(1,SUMPRODUCT(((BULK_ENABLED="Y")*((BULK_TIER="ALL")+(BULK_TIER=$F58))*((BULK_SKU="ALL")+(BULK_SKU=$G58))*(BULK_START&lt;=3)*(BULK_END&gt;=3)))),0),ROUND((INDEX(VELOCITY_TABLE,MATCH($F58,TIER_LIST,0),3))*(IF((3-$I58+1)&lt;=0,0,IF((3-$I58+1)=1,RAMP_W1,IF((3-$I58+1)=2,RAMP_W2,IF((3-$I58+1)=3,RAMP_W3,RAMP_W4PLUS)))))*(INDEX(ACTIVE_MULT_TABLE,3,1))*(1+SUMPRODUCT(SIGN(((ACT_DOOR_SCOPE="ALL")+(ACT_DOOR_SCOPE="TIER_"&amp;$F58)+(ACT_DOOR_SCOPE=$B58)))*SIGN(((ACT_SKU_SCOPE="ALL")+(ACT_SKU_SCOPE=$G58)))*(ACT_START&lt;=3)*(ACT_END&gt;=3)*IFERROR(ACT_UPLIFT-1,0)))*(1+SUMPRODUCT(SIGN(((ACT_DOOR_SCOPE="ALL")+(ACT_DOOR_SCOPE="TIER_"&amp;$F58)+(ACT_DOOR_SCOPE=$B58)))*SIGN(((ACT_SKU_SCOPE="ALL")+(ACT_SKU_SCOPE=$G58)))*(3&gt;ACT_END)*(ACT_END&gt;0)*IFERROR(ACT_POSTLIFT,0))),0)))</f>
        <v/>
      </c>
      <c r="M58" s="10">
        <f>IF(OR($H58&lt;&gt;"Y",4&lt;$I58),0,IF(SUMPRODUCT(((BULK_ENABLED="Y")*((BULK_TIER="ALL")+(BULK_TIER=$F58))*((BULK_SKU="ALL")+(BULK_SKU=$G58))*(BULK_START&lt;=4)*(BULK_END&gt;=4)))&gt;0,IFERROR(SUMPRODUCT(((BULK_ENABLED="Y")*((BULK_TIER="ALL")+(BULK_TIER=$F58))*((BULK_SKU="ALL")+(BULK_SKU=$G58))*(BULK_START&lt;=4)*(BULK_END&gt;=4))*IFERROR(BULK_VALUE,0))/MAX(1,SUMPRODUCT(((BULK_ENABLED="Y")*((BULK_TIER="ALL")+(BULK_TIER=$F58))*((BULK_SKU="ALL")+(BULK_SKU=$G58))*(BULK_START&lt;=4)*(BULK_END&gt;=4)))),0),ROUND((INDEX(VELOCITY_TABLE,MATCH($F58,TIER_LIST,0),3))*(IF((4-$I58+1)&lt;=0,0,IF((4-$I58+1)=1,RAMP_W1,IF((4-$I58+1)=2,RAMP_W2,IF((4-$I58+1)=3,RAMP_W3,RAMP_W4PLUS)))))*(INDEX(ACTIVE_MULT_TABLE,3,1))*(1+SUMPRODUCT(SIGN(((ACT_DOOR_SCOPE="ALL")+(ACT_DOOR_SCOPE="TIER_"&amp;$F58)+(ACT_DOOR_SCOPE=$B58)))*SIGN(((ACT_SKU_SCOPE="ALL")+(ACT_SKU_SCOPE=$G58)))*(ACT_START&lt;=4)*(ACT_END&gt;=4)*IFERROR(ACT_UPLIFT-1,0)))*(1+SUMPRODUCT(SIGN(((ACT_DOOR_SCOPE="ALL")+(ACT_DOOR_SCOPE="TIER_"&amp;$F58)+(ACT_DOOR_SCOPE=$B58)))*SIGN(((ACT_SKU_SCOPE="ALL")+(ACT_SKU_SCOPE=$G58)))*(4&gt;ACT_END)*(ACT_END&gt;0)*IFERROR(ACT_POSTLIFT,0))),0)))</f>
        <v/>
      </c>
      <c r="N58" s="10">
        <f>IF(OR($H58&lt;&gt;"Y",5&lt;$I58),0,IF(SUMPRODUCT(((BULK_ENABLED="Y")*((BULK_TIER="ALL")+(BULK_TIER=$F58))*((BULK_SKU="ALL")+(BULK_SKU=$G58))*(BULK_START&lt;=5)*(BULK_END&gt;=5)))&gt;0,IFERROR(SUMPRODUCT(((BULK_ENABLED="Y")*((BULK_TIER="ALL")+(BULK_TIER=$F58))*((BULK_SKU="ALL")+(BULK_SKU=$G58))*(BULK_START&lt;=5)*(BULK_END&gt;=5))*IFERROR(BULK_VALUE,0))/MAX(1,SUMPRODUCT(((BULK_ENABLED="Y")*((BULK_TIER="ALL")+(BULK_TIER=$F58))*((BULK_SKU="ALL")+(BULK_SKU=$G58))*(BULK_START&lt;=5)*(BULK_END&gt;=5)))),0),ROUND((INDEX(VELOCITY_TABLE,MATCH($F58,TIER_LIST,0),3))*(IF((5-$I58+1)&lt;=0,0,IF((5-$I58+1)=1,RAMP_W1,IF((5-$I58+1)=2,RAMP_W2,IF((5-$I58+1)=3,RAMP_W3,RAMP_W4PLUS)))))*(INDEX(ACTIVE_MULT_TABLE,3,1))*(1+SUMPRODUCT(SIGN(((ACT_DOOR_SCOPE="ALL")+(ACT_DOOR_SCOPE="TIER_"&amp;$F58)+(ACT_DOOR_SCOPE=$B58)))*SIGN(((ACT_SKU_SCOPE="ALL")+(ACT_SKU_SCOPE=$G58)))*(ACT_START&lt;=5)*(ACT_END&gt;=5)*IFERROR(ACT_UPLIFT-1,0)))*(1+SUMPRODUCT(SIGN(((ACT_DOOR_SCOPE="ALL")+(ACT_DOOR_SCOPE="TIER_"&amp;$F58)+(ACT_DOOR_SCOPE=$B58)))*SIGN(((ACT_SKU_SCOPE="ALL")+(ACT_SKU_SCOPE=$G58)))*(5&gt;ACT_END)*(ACT_END&gt;0)*IFERROR(ACT_POSTLIFT,0))),0)))</f>
        <v/>
      </c>
      <c r="O58" s="10">
        <f>IF(OR($H58&lt;&gt;"Y",6&lt;$I58),0,IF(SUMPRODUCT(((BULK_ENABLED="Y")*((BULK_TIER="ALL")+(BULK_TIER=$F58))*((BULK_SKU="ALL")+(BULK_SKU=$G58))*(BULK_START&lt;=6)*(BULK_END&gt;=6)))&gt;0,IFERROR(SUMPRODUCT(((BULK_ENABLED="Y")*((BULK_TIER="ALL")+(BULK_TIER=$F58))*((BULK_SKU="ALL")+(BULK_SKU=$G58))*(BULK_START&lt;=6)*(BULK_END&gt;=6))*IFERROR(BULK_VALUE,0))/MAX(1,SUMPRODUCT(((BULK_ENABLED="Y")*((BULK_TIER="ALL")+(BULK_TIER=$F58))*((BULK_SKU="ALL")+(BULK_SKU=$G58))*(BULK_START&lt;=6)*(BULK_END&gt;=6)))),0),ROUND((INDEX(VELOCITY_TABLE,MATCH($F58,TIER_LIST,0),3))*(IF((6-$I58+1)&lt;=0,0,IF((6-$I58+1)=1,RAMP_W1,IF((6-$I58+1)=2,RAMP_W2,IF((6-$I58+1)=3,RAMP_W3,RAMP_W4PLUS)))))*(INDEX(ACTIVE_MULT_TABLE,3,1))*(1+SUMPRODUCT(SIGN(((ACT_DOOR_SCOPE="ALL")+(ACT_DOOR_SCOPE="TIER_"&amp;$F58)+(ACT_DOOR_SCOPE=$B58)))*SIGN(((ACT_SKU_SCOPE="ALL")+(ACT_SKU_SCOPE=$G58)))*(ACT_START&lt;=6)*(ACT_END&gt;=6)*IFERROR(ACT_UPLIFT-1,0)))*(1+SUMPRODUCT(SIGN(((ACT_DOOR_SCOPE="ALL")+(ACT_DOOR_SCOPE="TIER_"&amp;$F58)+(ACT_DOOR_SCOPE=$B58)))*SIGN(((ACT_SKU_SCOPE="ALL")+(ACT_SKU_SCOPE=$G58)))*(6&gt;ACT_END)*(ACT_END&gt;0)*IFERROR(ACT_POSTLIFT,0))),0)))</f>
        <v/>
      </c>
      <c r="P58" s="10">
        <f>IF(OR($H58&lt;&gt;"Y",7&lt;$I58),0,IF(SUMPRODUCT(((BULK_ENABLED="Y")*((BULK_TIER="ALL")+(BULK_TIER=$F58))*((BULK_SKU="ALL")+(BULK_SKU=$G58))*(BULK_START&lt;=7)*(BULK_END&gt;=7)))&gt;0,IFERROR(SUMPRODUCT(((BULK_ENABLED="Y")*((BULK_TIER="ALL")+(BULK_TIER=$F58))*((BULK_SKU="ALL")+(BULK_SKU=$G58))*(BULK_START&lt;=7)*(BULK_END&gt;=7))*IFERROR(BULK_VALUE,0))/MAX(1,SUMPRODUCT(((BULK_ENABLED="Y")*((BULK_TIER="ALL")+(BULK_TIER=$F58))*((BULK_SKU="ALL")+(BULK_SKU=$G58))*(BULK_START&lt;=7)*(BULK_END&gt;=7)))),0),ROUND((INDEX(VELOCITY_TABLE,MATCH($F58,TIER_LIST,0),3))*(IF((7-$I58+1)&lt;=0,0,IF((7-$I58+1)=1,RAMP_W1,IF((7-$I58+1)=2,RAMP_W2,IF((7-$I58+1)=3,RAMP_W3,RAMP_W4PLUS)))))*(INDEX(ACTIVE_MULT_TABLE,3,1))*(1+SUMPRODUCT(SIGN(((ACT_DOOR_SCOPE="ALL")+(ACT_DOOR_SCOPE="TIER_"&amp;$F58)+(ACT_DOOR_SCOPE=$B58)))*SIGN(((ACT_SKU_SCOPE="ALL")+(ACT_SKU_SCOPE=$G58)))*(ACT_START&lt;=7)*(ACT_END&gt;=7)*IFERROR(ACT_UPLIFT-1,0)))*(1+SUMPRODUCT(SIGN(((ACT_DOOR_SCOPE="ALL")+(ACT_DOOR_SCOPE="TIER_"&amp;$F58)+(ACT_DOOR_SCOPE=$B58)))*SIGN(((ACT_SKU_SCOPE="ALL")+(ACT_SKU_SCOPE=$G58)))*(7&gt;ACT_END)*(ACT_END&gt;0)*IFERROR(ACT_POSTLIFT,0))),0)))</f>
        <v/>
      </c>
      <c r="Q58" s="10">
        <f>IF(OR($H58&lt;&gt;"Y",8&lt;$I58),0,IF(SUMPRODUCT(((BULK_ENABLED="Y")*((BULK_TIER="ALL")+(BULK_TIER=$F58))*((BULK_SKU="ALL")+(BULK_SKU=$G58))*(BULK_START&lt;=8)*(BULK_END&gt;=8)))&gt;0,IFERROR(SUMPRODUCT(((BULK_ENABLED="Y")*((BULK_TIER="ALL")+(BULK_TIER=$F58))*((BULK_SKU="ALL")+(BULK_SKU=$G58))*(BULK_START&lt;=8)*(BULK_END&gt;=8))*IFERROR(BULK_VALUE,0))/MAX(1,SUMPRODUCT(((BULK_ENABLED="Y")*((BULK_TIER="ALL")+(BULK_TIER=$F58))*((BULK_SKU="ALL")+(BULK_SKU=$G58))*(BULK_START&lt;=8)*(BULK_END&gt;=8)))),0),ROUND((INDEX(VELOCITY_TABLE,MATCH($F58,TIER_LIST,0),3))*(IF((8-$I58+1)&lt;=0,0,IF((8-$I58+1)=1,RAMP_W1,IF((8-$I58+1)=2,RAMP_W2,IF((8-$I58+1)=3,RAMP_W3,RAMP_W4PLUS)))))*(INDEX(ACTIVE_MULT_TABLE,3,1))*(1+SUMPRODUCT(SIGN(((ACT_DOOR_SCOPE="ALL")+(ACT_DOOR_SCOPE="TIER_"&amp;$F58)+(ACT_DOOR_SCOPE=$B58)))*SIGN(((ACT_SKU_SCOPE="ALL")+(ACT_SKU_SCOPE=$G58)))*(ACT_START&lt;=8)*(ACT_END&gt;=8)*IFERROR(ACT_UPLIFT-1,0)))*(1+SUMPRODUCT(SIGN(((ACT_DOOR_SCOPE="ALL")+(ACT_DOOR_SCOPE="TIER_"&amp;$F58)+(ACT_DOOR_SCOPE=$B58)))*SIGN(((ACT_SKU_SCOPE="ALL")+(ACT_SKU_SCOPE=$G58)))*(8&gt;ACT_END)*(ACT_END&gt;0)*IFERROR(ACT_POSTLIFT,0))),0)))</f>
        <v/>
      </c>
      <c r="R58" s="10">
        <f>IF(OR($H58&lt;&gt;"Y",9&lt;$I58),0,IF(SUMPRODUCT(((BULK_ENABLED="Y")*((BULK_TIER="ALL")+(BULK_TIER=$F58))*((BULK_SKU="ALL")+(BULK_SKU=$G58))*(BULK_START&lt;=9)*(BULK_END&gt;=9)))&gt;0,IFERROR(SUMPRODUCT(((BULK_ENABLED="Y")*((BULK_TIER="ALL")+(BULK_TIER=$F58))*((BULK_SKU="ALL")+(BULK_SKU=$G58))*(BULK_START&lt;=9)*(BULK_END&gt;=9))*IFERROR(BULK_VALUE,0))/MAX(1,SUMPRODUCT(((BULK_ENABLED="Y")*((BULK_TIER="ALL")+(BULK_TIER=$F58))*((BULK_SKU="ALL")+(BULK_SKU=$G58))*(BULK_START&lt;=9)*(BULK_END&gt;=9)))),0),ROUND((INDEX(VELOCITY_TABLE,MATCH($F58,TIER_LIST,0),3))*(IF((9-$I58+1)&lt;=0,0,IF((9-$I58+1)=1,RAMP_W1,IF((9-$I58+1)=2,RAMP_W2,IF((9-$I58+1)=3,RAMP_W3,RAMP_W4PLUS)))))*(INDEX(ACTIVE_MULT_TABLE,3,1))*(1+SUMPRODUCT(SIGN(((ACT_DOOR_SCOPE="ALL")+(ACT_DOOR_SCOPE="TIER_"&amp;$F58)+(ACT_DOOR_SCOPE=$B58)))*SIGN(((ACT_SKU_SCOPE="ALL")+(ACT_SKU_SCOPE=$G58)))*(ACT_START&lt;=9)*(ACT_END&gt;=9)*IFERROR(ACT_UPLIFT-1,0)))*(1+SUMPRODUCT(SIGN(((ACT_DOOR_SCOPE="ALL")+(ACT_DOOR_SCOPE="TIER_"&amp;$F58)+(ACT_DOOR_SCOPE=$B58)))*SIGN(((ACT_SKU_SCOPE="ALL")+(ACT_SKU_SCOPE=$G58)))*(9&gt;ACT_END)*(ACT_END&gt;0)*IFERROR(ACT_POSTLIFT,0))),0)))</f>
        <v/>
      </c>
      <c r="S58" s="10">
        <f>IF(OR($H58&lt;&gt;"Y",10&lt;$I58),0,IF(SUMPRODUCT(((BULK_ENABLED="Y")*((BULK_TIER="ALL")+(BULK_TIER=$F58))*((BULK_SKU="ALL")+(BULK_SKU=$G58))*(BULK_START&lt;=10)*(BULK_END&gt;=10)))&gt;0,IFERROR(SUMPRODUCT(((BULK_ENABLED="Y")*((BULK_TIER="ALL")+(BULK_TIER=$F58))*((BULK_SKU="ALL")+(BULK_SKU=$G58))*(BULK_START&lt;=10)*(BULK_END&gt;=10))*IFERROR(BULK_VALUE,0))/MAX(1,SUMPRODUCT(((BULK_ENABLED="Y")*((BULK_TIER="ALL")+(BULK_TIER=$F58))*((BULK_SKU="ALL")+(BULK_SKU=$G58))*(BULK_START&lt;=10)*(BULK_END&gt;=10)))),0),ROUND((INDEX(VELOCITY_TABLE,MATCH($F58,TIER_LIST,0),3))*(IF((10-$I58+1)&lt;=0,0,IF((10-$I58+1)=1,RAMP_W1,IF((10-$I58+1)=2,RAMP_W2,IF((10-$I58+1)=3,RAMP_W3,RAMP_W4PLUS)))))*(INDEX(ACTIVE_MULT_TABLE,3,1))*(1+SUMPRODUCT(SIGN(((ACT_DOOR_SCOPE="ALL")+(ACT_DOOR_SCOPE="TIER_"&amp;$F58)+(ACT_DOOR_SCOPE=$B58)))*SIGN(((ACT_SKU_SCOPE="ALL")+(ACT_SKU_SCOPE=$G58)))*(ACT_START&lt;=10)*(ACT_END&gt;=10)*IFERROR(ACT_UPLIFT-1,0)))*(1+SUMPRODUCT(SIGN(((ACT_DOOR_SCOPE="ALL")+(ACT_DOOR_SCOPE="TIER_"&amp;$F58)+(ACT_DOOR_SCOPE=$B58)))*SIGN(((ACT_SKU_SCOPE="ALL")+(ACT_SKU_SCOPE=$G58)))*(10&gt;ACT_END)*(ACT_END&gt;0)*IFERROR(ACT_POSTLIFT,0))),0)))</f>
        <v/>
      </c>
      <c r="T58" s="10">
        <f>IF(OR($H58&lt;&gt;"Y",11&lt;$I58),0,IF(SUMPRODUCT(((BULK_ENABLED="Y")*((BULK_TIER="ALL")+(BULK_TIER=$F58))*((BULK_SKU="ALL")+(BULK_SKU=$G58))*(BULK_START&lt;=11)*(BULK_END&gt;=11)))&gt;0,IFERROR(SUMPRODUCT(((BULK_ENABLED="Y")*((BULK_TIER="ALL")+(BULK_TIER=$F58))*((BULK_SKU="ALL")+(BULK_SKU=$G58))*(BULK_START&lt;=11)*(BULK_END&gt;=11))*IFERROR(BULK_VALUE,0))/MAX(1,SUMPRODUCT(((BULK_ENABLED="Y")*((BULK_TIER="ALL")+(BULK_TIER=$F58))*((BULK_SKU="ALL")+(BULK_SKU=$G58))*(BULK_START&lt;=11)*(BULK_END&gt;=11)))),0),ROUND((INDEX(VELOCITY_TABLE,MATCH($F58,TIER_LIST,0),3))*(IF((11-$I58+1)&lt;=0,0,IF((11-$I58+1)=1,RAMP_W1,IF((11-$I58+1)=2,RAMP_W2,IF((11-$I58+1)=3,RAMP_W3,RAMP_W4PLUS)))))*(INDEX(ACTIVE_MULT_TABLE,3,1))*(1+SUMPRODUCT(SIGN(((ACT_DOOR_SCOPE="ALL")+(ACT_DOOR_SCOPE="TIER_"&amp;$F58)+(ACT_DOOR_SCOPE=$B58)))*SIGN(((ACT_SKU_SCOPE="ALL")+(ACT_SKU_SCOPE=$G58)))*(ACT_START&lt;=11)*(ACT_END&gt;=11)*IFERROR(ACT_UPLIFT-1,0)))*(1+SUMPRODUCT(SIGN(((ACT_DOOR_SCOPE="ALL")+(ACT_DOOR_SCOPE="TIER_"&amp;$F58)+(ACT_DOOR_SCOPE=$B58)))*SIGN(((ACT_SKU_SCOPE="ALL")+(ACT_SKU_SCOPE=$G58)))*(11&gt;ACT_END)*(ACT_END&gt;0)*IFERROR(ACT_POSTLIFT,0))),0)))</f>
        <v/>
      </c>
      <c r="U58" s="10">
        <f>IF(OR($H58&lt;&gt;"Y",12&lt;$I58),0,IF(SUMPRODUCT(((BULK_ENABLED="Y")*((BULK_TIER="ALL")+(BULK_TIER=$F58))*((BULK_SKU="ALL")+(BULK_SKU=$G58))*(BULK_START&lt;=12)*(BULK_END&gt;=12)))&gt;0,IFERROR(SUMPRODUCT(((BULK_ENABLED="Y")*((BULK_TIER="ALL")+(BULK_TIER=$F58))*((BULK_SKU="ALL")+(BULK_SKU=$G58))*(BULK_START&lt;=12)*(BULK_END&gt;=12))*IFERROR(BULK_VALUE,0))/MAX(1,SUMPRODUCT(((BULK_ENABLED="Y")*((BULK_TIER="ALL")+(BULK_TIER=$F58))*((BULK_SKU="ALL")+(BULK_SKU=$G58))*(BULK_START&lt;=12)*(BULK_END&gt;=12)))),0),ROUND((INDEX(VELOCITY_TABLE,MATCH($F58,TIER_LIST,0),3))*(IF((12-$I58+1)&lt;=0,0,IF((12-$I58+1)=1,RAMP_W1,IF((12-$I58+1)=2,RAMP_W2,IF((12-$I58+1)=3,RAMP_W3,RAMP_W4PLUS)))))*(INDEX(ACTIVE_MULT_TABLE,3,1))*(1+SUMPRODUCT(SIGN(((ACT_DOOR_SCOPE="ALL")+(ACT_DOOR_SCOPE="TIER_"&amp;$F58)+(ACT_DOOR_SCOPE=$B58)))*SIGN(((ACT_SKU_SCOPE="ALL")+(ACT_SKU_SCOPE=$G58)))*(ACT_START&lt;=12)*(ACT_END&gt;=12)*IFERROR(ACT_UPLIFT-1,0)))*(1+SUMPRODUCT(SIGN(((ACT_DOOR_SCOPE="ALL")+(ACT_DOOR_SCOPE="TIER_"&amp;$F58)+(ACT_DOOR_SCOPE=$B58)))*SIGN(((ACT_SKU_SCOPE="ALL")+(ACT_SKU_SCOPE=$G58)))*(12&gt;ACT_END)*(ACT_END&gt;0)*IFERROR(ACT_POSTLIFT,0))),0)))</f>
        <v/>
      </c>
      <c r="V58" s="10">
        <f>IF(OR($H58&lt;&gt;"Y",13&lt;$I58),0,IF(SUMPRODUCT(((BULK_ENABLED="Y")*((BULK_TIER="ALL")+(BULK_TIER=$F58))*((BULK_SKU="ALL")+(BULK_SKU=$G58))*(BULK_START&lt;=13)*(BULK_END&gt;=13)))&gt;0,IFERROR(SUMPRODUCT(((BULK_ENABLED="Y")*((BULK_TIER="ALL")+(BULK_TIER=$F58))*((BULK_SKU="ALL")+(BULK_SKU=$G58))*(BULK_START&lt;=13)*(BULK_END&gt;=13))*IFERROR(BULK_VALUE,0))/MAX(1,SUMPRODUCT(((BULK_ENABLED="Y")*((BULK_TIER="ALL")+(BULK_TIER=$F58))*((BULK_SKU="ALL")+(BULK_SKU=$G58))*(BULK_START&lt;=13)*(BULK_END&gt;=13)))),0),ROUND((INDEX(VELOCITY_TABLE,MATCH($F58,TIER_LIST,0),3))*(IF((13-$I58+1)&lt;=0,0,IF((13-$I58+1)=1,RAMP_W1,IF((13-$I58+1)=2,RAMP_W2,IF((13-$I58+1)=3,RAMP_W3,RAMP_W4PLUS)))))*(INDEX(ACTIVE_MULT_TABLE,3,1))*(1+SUMPRODUCT(SIGN(((ACT_DOOR_SCOPE="ALL")+(ACT_DOOR_SCOPE="TIER_"&amp;$F58)+(ACT_DOOR_SCOPE=$B58)))*SIGN(((ACT_SKU_SCOPE="ALL")+(ACT_SKU_SCOPE=$G58)))*(ACT_START&lt;=13)*(ACT_END&gt;=13)*IFERROR(ACT_UPLIFT-1,0)))*(1+SUMPRODUCT(SIGN(((ACT_DOOR_SCOPE="ALL")+(ACT_DOOR_SCOPE="TIER_"&amp;$F58)+(ACT_DOOR_SCOPE=$B58)))*SIGN(((ACT_SKU_SCOPE="ALL")+(ACT_SKU_SCOPE=$G58)))*(13&gt;ACT_END)*(ACT_END&gt;0)*IFERROR(ACT_POSTLIFT,0))),0)))</f>
        <v/>
      </c>
    </row>
    <row r="59">
      <c r="A59" t="inlineStr">
        <is>
          <t>R0055</t>
        </is>
      </c>
      <c r="B59">
        <f>Doors!$A$23</f>
        <v/>
      </c>
      <c r="C59">
        <f>Doors!$C$23</f>
        <v/>
      </c>
      <c r="D59">
        <f>Doors!$B$23</f>
        <v/>
      </c>
      <c r="E59">
        <f>Doors!$E$23</f>
        <v/>
      </c>
      <c r="F59">
        <f>Doors!$F$23</f>
        <v/>
      </c>
      <c r="G59" t="inlineStr">
        <is>
          <t>Lime Lemon</t>
        </is>
      </c>
      <c r="H59">
        <f>Doors!$G$23</f>
        <v/>
      </c>
      <c r="I59">
        <f>Doors!$J$23</f>
        <v/>
      </c>
      <c r="J59" s="10">
        <f>IF(OR($H59&lt;&gt;"Y",1&lt;$I59),0,IF(SUMPRODUCT(((BULK_ENABLED="Y")*((BULK_TIER="ALL")+(BULK_TIER=$F59))*((BULK_SKU="ALL")+(BULK_SKU=$G59))*(BULK_START&lt;=1)*(BULK_END&gt;=1)))&gt;0,IFERROR(SUMPRODUCT(((BULK_ENABLED="Y")*((BULK_TIER="ALL")+(BULK_TIER=$F59))*((BULK_SKU="ALL")+(BULK_SKU=$G59))*(BULK_START&lt;=1)*(BULK_END&gt;=1))*IFERROR(BULK_VALUE,0))/MAX(1,SUMPRODUCT(((BULK_ENABLED="Y")*((BULK_TIER="ALL")+(BULK_TIER=$F59))*((BULK_SKU="ALL")+(BULK_SKU=$G59))*(BULK_START&lt;=1)*(BULK_END&gt;=1)))),0),ROUND((INDEX(VELOCITY_TABLE,MATCH($F59,TIER_LIST,0),1))*(IF((1-$I59+1)&lt;=0,0,IF((1-$I59+1)=1,RAMP_W1,IF((1-$I59+1)=2,RAMP_W2,IF((1-$I59+1)=3,RAMP_W3,RAMP_W4PLUS)))))*(INDEX(ACTIVE_MULT_TABLE,1,1))*(1+SUMPRODUCT(SIGN(((ACT_DOOR_SCOPE="ALL")+(ACT_DOOR_SCOPE="TIER_"&amp;$F59)+(ACT_DOOR_SCOPE=$B59)))*SIGN(((ACT_SKU_SCOPE="ALL")+(ACT_SKU_SCOPE=$G59)))*(ACT_START&lt;=1)*(ACT_END&gt;=1)*IFERROR(ACT_UPLIFT-1,0)))*(1+SUMPRODUCT(SIGN(((ACT_DOOR_SCOPE="ALL")+(ACT_DOOR_SCOPE="TIER_"&amp;$F59)+(ACT_DOOR_SCOPE=$B59)))*SIGN(((ACT_SKU_SCOPE="ALL")+(ACT_SKU_SCOPE=$G59)))*(1&gt;ACT_END)*(ACT_END&gt;0)*IFERROR(ACT_POSTLIFT,0))),0)))</f>
        <v/>
      </c>
      <c r="K59" s="10">
        <f>IF(OR($H59&lt;&gt;"Y",2&lt;$I59),0,IF(SUMPRODUCT(((BULK_ENABLED="Y")*((BULK_TIER="ALL")+(BULK_TIER=$F59))*((BULK_SKU="ALL")+(BULK_SKU=$G59))*(BULK_START&lt;=2)*(BULK_END&gt;=2)))&gt;0,IFERROR(SUMPRODUCT(((BULK_ENABLED="Y")*((BULK_TIER="ALL")+(BULK_TIER=$F59))*((BULK_SKU="ALL")+(BULK_SKU=$G59))*(BULK_START&lt;=2)*(BULK_END&gt;=2))*IFERROR(BULK_VALUE,0))/MAX(1,SUMPRODUCT(((BULK_ENABLED="Y")*((BULK_TIER="ALL")+(BULK_TIER=$F59))*((BULK_SKU="ALL")+(BULK_SKU=$G59))*(BULK_START&lt;=2)*(BULK_END&gt;=2)))),0),ROUND((INDEX(VELOCITY_TABLE,MATCH($F59,TIER_LIST,0),1))*(IF((2-$I59+1)&lt;=0,0,IF((2-$I59+1)=1,RAMP_W1,IF((2-$I59+1)=2,RAMP_W2,IF((2-$I59+1)=3,RAMP_W3,RAMP_W4PLUS)))))*(INDEX(ACTIVE_MULT_TABLE,1,1))*(1+SUMPRODUCT(SIGN(((ACT_DOOR_SCOPE="ALL")+(ACT_DOOR_SCOPE="TIER_"&amp;$F59)+(ACT_DOOR_SCOPE=$B59)))*SIGN(((ACT_SKU_SCOPE="ALL")+(ACT_SKU_SCOPE=$G59)))*(ACT_START&lt;=2)*(ACT_END&gt;=2)*IFERROR(ACT_UPLIFT-1,0)))*(1+SUMPRODUCT(SIGN(((ACT_DOOR_SCOPE="ALL")+(ACT_DOOR_SCOPE="TIER_"&amp;$F59)+(ACT_DOOR_SCOPE=$B59)))*SIGN(((ACT_SKU_SCOPE="ALL")+(ACT_SKU_SCOPE=$G59)))*(2&gt;ACT_END)*(ACT_END&gt;0)*IFERROR(ACT_POSTLIFT,0))),0)))</f>
        <v/>
      </c>
      <c r="L59" s="10">
        <f>IF(OR($H59&lt;&gt;"Y",3&lt;$I59),0,IF(SUMPRODUCT(((BULK_ENABLED="Y")*((BULK_TIER="ALL")+(BULK_TIER=$F59))*((BULK_SKU="ALL")+(BULK_SKU=$G59))*(BULK_START&lt;=3)*(BULK_END&gt;=3)))&gt;0,IFERROR(SUMPRODUCT(((BULK_ENABLED="Y")*((BULK_TIER="ALL")+(BULK_TIER=$F59))*((BULK_SKU="ALL")+(BULK_SKU=$G59))*(BULK_START&lt;=3)*(BULK_END&gt;=3))*IFERROR(BULK_VALUE,0))/MAX(1,SUMPRODUCT(((BULK_ENABLED="Y")*((BULK_TIER="ALL")+(BULK_TIER=$F59))*((BULK_SKU="ALL")+(BULK_SKU=$G59))*(BULK_START&lt;=3)*(BULK_END&gt;=3)))),0),ROUND((INDEX(VELOCITY_TABLE,MATCH($F59,TIER_LIST,0),1))*(IF((3-$I59+1)&lt;=0,0,IF((3-$I59+1)=1,RAMP_W1,IF((3-$I59+1)=2,RAMP_W2,IF((3-$I59+1)=3,RAMP_W3,RAMP_W4PLUS)))))*(INDEX(ACTIVE_MULT_TABLE,1,1))*(1+SUMPRODUCT(SIGN(((ACT_DOOR_SCOPE="ALL")+(ACT_DOOR_SCOPE="TIER_"&amp;$F59)+(ACT_DOOR_SCOPE=$B59)))*SIGN(((ACT_SKU_SCOPE="ALL")+(ACT_SKU_SCOPE=$G59)))*(ACT_START&lt;=3)*(ACT_END&gt;=3)*IFERROR(ACT_UPLIFT-1,0)))*(1+SUMPRODUCT(SIGN(((ACT_DOOR_SCOPE="ALL")+(ACT_DOOR_SCOPE="TIER_"&amp;$F59)+(ACT_DOOR_SCOPE=$B59)))*SIGN(((ACT_SKU_SCOPE="ALL")+(ACT_SKU_SCOPE=$G59)))*(3&gt;ACT_END)*(ACT_END&gt;0)*IFERROR(ACT_POSTLIFT,0))),0)))</f>
        <v/>
      </c>
      <c r="M59" s="10">
        <f>IF(OR($H59&lt;&gt;"Y",4&lt;$I59),0,IF(SUMPRODUCT(((BULK_ENABLED="Y")*((BULK_TIER="ALL")+(BULK_TIER=$F59))*((BULK_SKU="ALL")+(BULK_SKU=$G59))*(BULK_START&lt;=4)*(BULK_END&gt;=4)))&gt;0,IFERROR(SUMPRODUCT(((BULK_ENABLED="Y")*((BULK_TIER="ALL")+(BULK_TIER=$F59))*((BULK_SKU="ALL")+(BULK_SKU=$G59))*(BULK_START&lt;=4)*(BULK_END&gt;=4))*IFERROR(BULK_VALUE,0))/MAX(1,SUMPRODUCT(((BULK_ENABLED="Y")*((BULK_TIER="ALL")+(BULK_TIER=$F59))*((BULK_SKU="ALL")+(BULK_SKU=$G59))*(BULK_START&lt;=4)*(BULK_END&gt;=4)))),0),ROUND((INDEX(VELOCITY_TABLE,MATCH($F59,TIER_LIST,0),1))*(IF((4-$I59+1)&lt;=0,0,IF((4-$I59+1)=1,RAMP_W1,IF((4-$I59+1)=2,RAMP_W2,IF((4-$I59+1)=3,RAMP_W3,RAMP_W4PLUS)))))*(INDEX(ACTIVE_MULT_TABLE,1,1))*(1+SUMPRODUCT(SIGN(((ACT_DOOR_SCOPE="ALL")+(ACT_DOOR_SCOPE="TIER_"&amp;$F59)+(ACT_DOOR_SCOPE=$B59)))*SIGN(((ACT_SKU_SCOPE="ALL")+(ACT_SKU_SCOPE=$G59)))*(ACT_START&lt;=4)*(ACT_END&gt;=4)*IFERROR(ACT_UPLIFT-1,0)))*(1+SUMPRODUCT(SIGN(((ACT_DOOR_SCOPE="ALL")+(ACT_DOOR_SCOPE="TIER_"&amp;$F59)+(ACT_DOOR_SCOPE=$B59)))*SIGN(((ACT_SKU_SCOPE="ALL")+(ACT_SKU_SCOPE=$G59)))*(4&gt;ACT_END)*(ACT_END&gt;0)*IFERROR(ACT_POSTLIFT,0))),0)))</f>
        <v/>
      </c>
      <c r="N59" s="10">
        <f>IF(OR($H59&lt;&gt;"Y",5&lt;$I59),0,IF(SUMPRODUCT(((BULK_ENABLED="Y")*((BULK_TIER="ALL")+(BULK_TIER=$F59))*((BULK_SKU="ALL")+(BULK_SKU=$G59))*(BULK_START&lt;=5)*(BULK_END&gt;=5)))&gt;0,IFERROR(SUMPRODUCT(((BULK_ENABLED="Y")*((BULK_TIER="ALL")+(BULK_TIER=$F59))*((BULK_SKU="ALL")+(BULK_SKU=$G59))*(BULK_START&lt;=5)*(BULK_END&gt;=5))*IFERROR(BULK_VALUE,0))/MAX(1,SUMPRODUCT(((BULK_ENABLED="Y")*((BULK_TIER="ALL")+(BULK_TIER=$F59))*((BULK_SKU="ALL")+(BULK_SKU=$G59))*(BULK_START&lt;=5)*(BULK_END&gt;=5)))),0),ROUND((INDEX(VELOCITY_TABLE,MATCH($F59,TIER_LIST,0),1))*(IF((5-$I59+1)&lt;=0,0,IF((5-$I59+1)=1,RAMP_W1,IF((5-$I59+1)=2,RAMP_W2,IF((5-$I59+1)=3,RAMP_W3,RAMP_W4PLUS)))))*(INDEX(ACTIVE_MULT_TABLE,1,1))*(1+SUMPRODUCT(SIGN(((ACT_DOOR_SCOPE="ALL")+(ACT_DOOR_SCOPE="TIER_"&amp;$F59)+(ACT_DOOR_SCOPE=$B59)))*SIGN(((ACT_SKU_SCOPE="ALL")+(ACT_SKU_SCOPE=$G59)))*(ACT_START&lt;=5)*(ACT_END&gt;=5)*IFERROR(ACT_UPLIFT-1,0)))*(1+SUMPRODUCT(SIGN(((ACT_DOOR_SCOPE="ALL")+(ACT_DOOR_SCOPE="TIER_"&amp;$F59)+(ACT_DOOR_SCOPE=$B59)))*SIGN(((ACT_SKU_SCOPE="ALL")+(ACT_SKU_SCOPE=$G59)))*(5&gt;ACT_END)*(ACT_END&gt;0)*IFERROR(ACT_POSTLIFT,0))),0)))</f>
        <v/>
      </c>
      <c r="O59" s="10">
        <f>IF(OR($H59&lt;&gt;"Y",6&lt;$I59),0,IF(SUMPRODUCT(((BULK_ENABLED="Y")*((BULK_TIER="ALL")+(BULK_TIER=$F59))*((BULK_SKU="ALL")+(BULK_SKU=$G59))*(BULK_START&lt;=6)*(BULK_END&gt;=6)))&gt;0,IFERROR(SUMPRODUCT(((BULK_ENABLED="Y")*((BULK_TIER="ALL")+(BULK_TIER=$F59))*((BULK_SKU="ALL")+(BULK_SKU=$G59))*(BULK_START&lt;=6)*(BULK_END&gt;=6))*IFERROR(BULK_VALUE,0))/MAX(1,SUMPRODUCT(((BULK_ENABLED="Y")*((BULK_TIER="ALL")+(BULK_TIER=$F59))*((BULK_SKU="ALL")+(BULK_SKU=$G59))*(BULK_START&lt;=6)*(BULK_END&gt;=6)))),0),ROUND((INDEX(VELOCITY_TABLE,MATCH($F59,TIER_LIST,0),1))*(IF((6-$I59+1)&lt;=0,0,IF((6-$I59+1)=1,RAMP_W1,IF((6-$I59+1)=2,RAMP_W2,IF((6-$I59+1)=3,RAMP_W3,RAMP_W4PLUS)))))*(INDEX(ACTIVE_MULT_TABLE,1,1))*(1+SUMPRODUCT(SIGN(((ACT_DOOR_SCOPE="ALL")+(ACT_DOOR_SCOPE="TIER_"&amp;$F59)+(ACT_DOOR_SCOPE=$B59)))*SIGN(((ACT_SKU_SCOPE="ALL")+(ACT_SKU_SCOPE=$G59)))*(ACT_START&lt;=6)*(ACT_END&gt;=6)*IFERROR(ACT_UPLIFT-1,0)))*(1+SUMPRODUCT(SIGN(((ACT_DOOR_SCOPE="ALL")+(ACT_DOOR_SCOPE="TIER_"&amp;$F59)+(ACT_DOOR_SCOPE=$B59)))*SIGN(((ACT_SKU_SCOPE="ALL")+(ACT_SKU_SCOPE=$G59)))*(6&gt;ACT_END)*(ACT_END&gt;0)*IFERROR(ACT_POSTLIFT,0))),0)))</f>
        <v/>
      </c>
      <c r="P59" s="10">
        <f>IF(OR($H59&lt;&gt;"Y",7&lt;$I59),0,IF(SUMPRODUCT(((BULK_ENABLED="Y")*((BULK_TIER="ALL")+(BULK_TIER=$F59))*((BULK_SKU="ALL")+(BULK_SKU=$G59))*(BULK_START&lt;=7)*(BULK_END&gt;=7)))&gt;0,IFERROR(SUMPRODUCT(((BULK_ENABLED="Y")*((BULK_TIER="ALL")+(BULK_TIER=$F59))*((BULK_SKU="ALL")+(BULK_SKU=$G59))*(BULK_START&lt;=7)*(BULK_END&gt;=7))*IFERROR(BULK_VALUE,0))/MAX(1,SUMPRODUCT(((BULK_ENABLED="Y")*((BULK_TIER="ALL")+(BULK_TIER=$F59))*((BULK_SKU="ALL")+(BULK_SKU=$G59))*(BULK_START&lt;=7)*(BULK_END&gt;=7)))),0),ROUND((INDEX(VELOCITY_TABLE,MATCH($F59,TIER_LIST,0),1))*(IF((7-$I59+1)&lt;=0,0,IF((7-$I59+1)=1,RAMP_W1,IF((7-$I59+1)=2,RAMP_W2,IF((7-$I59+1)=3,RAMP_W3,RAMP_W4PLUS)))))*(INDEX(ACTIVE_MULT_TABLE,1,1))*(1+SUMPRODUCT(SIGN(((ACT_DOOR_SCOPE="ALL")+(ACT_DOOR_SCOPE="TIER_"&amp;$F59)+(ACT_DOOR_SCOPE=$B59)))*SIGN(((ACT_SKU_SCOPE="ALL")+(ACT_SKU_SCOPE=$G59)))*(ACT_START&lt;=7)*(ACT_END&gt;=7)*IFERROR(ACT_UPLIFT-1,0)))*(1+SUMPRODUCT(SIGN(((ACT_DOOR_SCOPE="ALL")+(ACT_DOOR_SCOPE="TIER_"&amp;$F59)+(ACT_DOOR_SCOPE=$B59)))*SIGN(((ACT_SKU_SCOPE="ALL")+(ACT_SKU_SCOPE=$G59)))*(7&gt;ACT_END)*(ACT_END&gt;0)*IFERROR(ACT_POSTLIFT,0))),0)))</f>
        <v/>
      </c>
      <c r="Q59" s="10">
        <f>IF(OR($H59&lt;&gt;"Y",8&lt;$I59),0,IF(SUMPRODUCT(((BULK_ENABLED="Y")*((BULK_TIER="ALL")+(BULK_TIER=$F59))*((BULK_SKU="ALL")+(BULK_SKU=$G59))*(BULK_START&lt;=8)*(BULK_END&gt;=8)))&gt;0,IFERROR(SUMPRODUCT(((BULK_ENABLED="Y")*((BULK_TIER="ALL")+(BULK_TIER=$F59))*((BULK_SKU="ALL")+(BULK_SKU=$G59))*(BULK_START&lt;=8)*(BULK_END&gt;=8))*IFERROR(BULK_VALUE,0))/MAX(1,SUMPRODUCT(((BULK_ENABLED="Y")*((BULK_TIER="ALL")+(BULK_TIER=$F59))*((BULK_SKU="ALL")+(BULK_SKU=$G59))*(BULK_START&lt;=8)*(BULK_END&gt;=8)))),0),ROUND((INDEX(VELOCITY_TABLE,MATCH($F59,TIER_LIST,0),1))*(IF((8-$I59+1)&lt;=0,0,IF((8-$I59+1)=1,RAMP_W1,IF((8-$I59+1)=2,RAMP_W2,IF((8-$I59+1)=3,RAMP_W3,RAMP_W4PLUS)))))*(INDEX(ACTIVE_MULT_TABLE,1,1))*(1+SUMPRODUCT(SIGN(((ACT_DOOR_SCOPE="ALL")+(ACT_DOOR_SCOPE="TIER_"&amp;$F59)+(ACT_DOOR_SCOPE=$B59)))*SIGN(((ACT_SKU_SCOPE="ALL")+(ACT_SKU_SCOPE=$G59)))*(ACT_START&lt;=8)*(ACT_END&gt;=8)*IFERROR(ACT_UPLIFT-1,0)))*(1+SUMPRODUCT(SIGN(((ACT_DOOR_SCOPE="ALL")+(ACT_DOOR_SCOPE="TIER_"&amp;$F59)+(ACT_DOOR_SCOPE=$B59)))*SIGN(((ACT_SKU_SCOPE="ALL")+(ACT_SKU_SCOPE=$G59)))*(8&gt;ACT_END)*(ACT_END&gt;0)*IFERROR(ACT_POSTLIFT,0))),0)))</f>
        <v/>
      </c>
      <c r="R59" s="10">
        <f>IF(OR($H59&lt;&gt;"Y",9&lt;$I59),0,IF(SUMPRODUCT(((BULK_ENABLED="Y")*((BULK_TIER="ALL")+(BULK_TIER=$F59))*((BULK_SKU="ALL")+(BULK_SKU=$G59))*(BULK_START&lt;=9)*(BULK_END&gt;=9)))&gt;0,IFERROR(SUMPRODUCT(((BULK_ENABLED="Y")*((BULK_TIER="ALL")+(BULK_TIER=$F59))*((BULK_SKU="ALL")+(BULK_SKU=$G59))*(BULK_START&lt;=9)*(BULK_END&gt;=9))*IFERROR(BULK_VALUE,0))/MAX(1,SUMPRODUCT(((BULK_ENABLED="Y")*((BULK_TIER="ALL")+(BULK_TIER=$F59))*((BULK_SKU="ALL")+(BULK_SKU=$G59))*(BULK_START&lt;=9)*(BULK_END&gt;=9)))),0),ROUND((INDEX(VELOCITY_TABLE,MATCH($F59,TIER_LIST,0),1))*(IF((9-$I59+1)&lt;=0,0,IF((9-$I59+1)=1,RAMP_W1,IF((9-$I59+1)=2,RAMP_W2,IF((9-$I59+1)=3,RAMP_W3,RAMP_W4PLUS)))))*(INDEX(ACTIVE_MULT_TABLE,1,1))*(1+SUMPRODUCT(SIGN(((ACT_DOOR_SCOPE="ALL")+(ACT_DOOR_SCOPE="TIER_"&amp;$F59)+(ACT_DOOR_SCOPE=$B59)))*SIGN(((ACT_SKU_SCOPE="ALL")+(ACT_SKU_SCOPE=$G59)))*(ACT_START&lt;=9)*(ACT_END&gt;=9)*IFERROR(ACT_UPLIFT-1,0)))*(1+SUMPRODUCT(SIGN(((ACT_DOOR_SCOPE="ALL")+(ACT_DOOR_SCOPE="TIER_"&amp;$F59)+(ACT_DOOR_SCOPE=$B59)))*SIGN(((ACT_SKU_SCOPE="ALL")+(ACT_SKU_SCOPE=$G59)))*(9&gt;ACT_END)*(ACT_END&gt;0)*IFERROR(ACT_POSTLIFT,0))),0)))</f>
        <v/>
      </c>
      <c r="S59" s="10">
        <f>IF(OR($H59&lt;&gt;"Y",10&lt;$I59),0,IF(SUMPRODUCT(((BULK_ENABLED="Y")*((BULK_TIER="ALL")+(BULK_TIER=$F59))*((BULK_SKU="ALL")+(BULK_SKU=$G59))*(BULK_START&lt;=10)*(BULK_END&gt;=10)))&gt;0,IFERROR(SUMPRODUCT(((BULK_ENABLED="Y")*((BULK_TIER="ALL")+(BULK_TIER=$F59))*((BULK_SKU="ALL")+(BULK_SKU=$G59))*(BULK_START&lt;=10)*(BULK_END&gt;=10))*IFERROR(BULK_VALUE,0))/MAX(1,SUMPRODUCT(((BULK_ENABLED="Y")*((BULK_TIER="ALL")+(BULK_TIER=$F59))*((BULK_SKU="ALL")+(BULK_SKU=$G59))*(BULK_START&lt;=10)*(BULK_END&gt;=10)))),0),ROUND((INDEX(VELOCITY_TABLE,MATCH($F59,TIER_LIST,0),1))*(IF((10-$I59+1)&lt;=0,0,IF((10-$I59+1)=1,RAMP_W1,IF((10-$I59+1)=2,RAMP_W2,IF((10-$I59+1)=3,RAMP_W3,RAMP_W4PLUS)))))*(INDEX(ACTIVE_MULT_TABLE,1,1))*(1+SUMPRODUCT(SIGN(((ACT_DOOR_SCOPE="ALL")+(ACT_DOOR_SCOPE="TIER_"&amp;$F59)+(ACT_DOOR_SCOPE=$B59)))*SIGN(((ACT_SKU_SCOPE="ALL")+(ACT_SKU_SCOPE=$G59)))*(ACT_START&lt;=10)*(ACT_END&gt;=10)*IFERROR(ACT_UPLIFT-1,0)))*(1+SUMPRODUCT(SIGN(((ACT_DOOR_SCOPE="ALL")+(ACT_DOOR_SCOPE="TIER_"&amp;$F59)+(ACT_DOOR_SCOPE=$B59)))*SIGN(((ACT_SKU_SCOPE="ALL")+(ACT_SKU_SCOPE=$G59)))*(10&gt;ACT_END)*(ACT_END&gt;0)*IFERROR(ACT_POSTLIFT,0))),0)))</f>
        <v/>
      </c>
      <c r="T59" s="10">
        <f>IF(OR($H59&lt;&gt;"Y",11&lt;$I59),0,IF(SUMPRODUCT(((BULK_ENABLED="Y")*((BULK_TIER="ALL")+(BULK_TIER=$F59))*((BULK_SKU="ALL")+(BULK_SKU=$G59))*(BULK_START&lt;=11)*(BULK_END&gt;=11)))&gt;0,IFERROR(SUMPRODUCT(((BULK_ENABLED="Y")*((BULK_TIER="ALL")+(BULK_TIER=$F59))*((BULK_SKU="ALL")+(BULK_SKU=$G59))*(BULK_START&lt;=11)*(BULK_END&gt;=11))*IFERROR(BULK_VALUE,0))/MAX(1,SUMPRODUCT(((BULK_ENABLED="Y")*((BULK_TIER="ALL")+(BULK_TIER=$F59))*((BULK_SKU="ALL")+(BULK_SKU=$G59))*(BULK_START&lt;=11)*(BULK_END&gt;=11)))),0),ROUND((INDEX(VELOCITY_TABLE,MATCH($F59,TIER_LIST,0),1))*(IF((11-$I59+1)&lt;=0,0,IF((11-$I59+1)=1,RAMP_W1,IF((11-$I59+1)=2,RAMP_W2,IF((11-$I59+1)=3,RAMP_W3,RAMP_W4PLUS)))))*(INDEX(ACTIVE_MULT_TABLE,1,1))*(1+SUMPRODUCT(SIGN(((ACT_DOOR_SCOPE="ALL")+(ACT_DOOR_SCOPE="TIER_"&amp;$F59)+(ACT_DOOR_SCOPE=$B59)))*SIGN(((ACT_SKU_SCOPE="ALL")+(ACT_SKU_SCOPE=$G59)))*(ACT_START&lt;=11)*(ACT_END&gt;=11)*IFERROR(ACT_UPLIFT-1,0)))*(1+SUMPRODUCT(SIGN(((ACT_DOOR_SCOPE="ALL")+(ACT_DOOR_SCOPE="TIER_"&amp;$F59)+(ACT_DOOR_SCOPE=$B59)))*SIGN(((ACT_SKU_SCOPE="ALL")+(ACT_SKU_SCOPE=$G59)))*(11&gt;ACT_END)*(ACT_END&gt;0)*IFERROR(ACT_POSTLIFT,0))),0)))</f>
        <v/>
      </c>
      <c r="U59" s="10">
        <f>IF(OR($H59&lt;&gt;"Y",12&lt;$I59),0,IF(SUMPRODUCT(((BULK_ENABLED="Y")*((BULK_TIER="ALL")+(BULK_TIER=$F59))*((BULK_SKU="ALL")+(BULK_SKU=$G59))*(BULK_START&lt;=12)*(BULK_END&gt;=12)))&gt;0,IFERROR(SUMPRODUCT(((BULK_ENABLED="Y")*((BULK_TIER="ALL")+(BULK_TIER=$F59))*((BULK_SKU="ALL")+(BULK_SKU=$G59))*(BULK_START&lt;=12)*(BULK_END&gt;=12))*IFERROR(BULK_VALUE,0))/MAX(1,SUMPRODUCT(((BULK_ENABLED="Y")*((BULK_TIER="ALL")+(BULK_TIER=$F59))*((BULK_SKU="ALL")+(BULK_SKU=$G59))*(BULK_START&lt;=12)*(BULK_END&gt;=12)))),0),ROUND((INDEX(VELOCITY_TABLE,MATCH($F59,TIER_LIST,0),1))*(IF((12-$I59+1)&lt;=0,0,IF((12-$I59+1)=1,RAMP_W1,IF((12-$I59+1)=2,RAMP_W2,IF((12-$I59+1)=3,RAMP_W3,RAMP_W4PLUS)))))*(INDEX(ACTIVE_MULT_TABLE,1,1))*(1+SUMPRODUCT(SIGN(((ACT_DOOR_SCOPE="ALL")+(ACT_DOOR_SCOPE="TIER_"&amp;$F59)+(ACT_DOOR_SCOPE=$B59)))*SIGN(((ACT_SKU_SCOPE="ALL")+(ACT_SKU_SCOPE=$G59)))*(ACT_START&lt;=12)*(ACT_END&gt;=12)*IFERROR(ACT_UPLIFT-1,0)))*(1+SUMPRODUCT(SIGN(((ACT_DOOR_SCOPE="ALL")+(ACT_DOOR_SCOPE="TIER_"&amp;$F59)+(ACT_DOOR_SCOPE=$B59)))*SIGN(((ACT_SKU_SCOPE="ALL")+(ACT_SKU_SCOPE=$G59)))*(12&gt;ACT_END)*(ACT_END&gt;0)*IFERROR(ACT_POSTLIFT,0))),0)))</f>
        <v/>
      </c>
      <c r="V59" s="10">
        <f>IF(OR($H59&lt;&gt;"Y",13&lt;$I59),0,IF(SUMPRODUCT(((BULK_ENABLED="Y")*((BULK_TIER="ALL")+(BULK_TIER=$F59))*((BULK_SKU="ALL")+(BULK_SKU=$G59))*(BULK_START&lt;=13)*(BULK_END&gt;=13)))&gt;0,IFERROR(SUMPRODUCT(((BULK_ENABLED="Y")*((BULK_TIER="ALL")+(BULK_TIER=$F59))*((BULK_SKU="ALL")+(BULK_SKU=$G59))*(BULK_START&lt;=13)*(BULK_END&gt;=13))*IFERROR(BULK_VALUE,0))/MAX(1,SUMPRODUCT(((BULK_ENABLED="Y")*((BULK_TIER="ALL")+(BULK_TIER=$F59))*((BULK_SKU="ALL")+(BULK_SKU=$G59))*(BULK_START&lt;=13)*(BULK_END&gt;=13)))),0),ROUND((INDEX(VELOCITY_TABLE,MATCH($F59,TIER_LIST,0),1))*(IF((13-$I59+1)&lt;=0,0,IF((13-$I59+1)=1,RAMP_W1,IF((13-$I59+1)=2,RAMP_W2,IF((13-$I59+1)=3,RAMP_W3,RAMP_W4PLUS)))))*(INDEX(ACTIVE_MULT_TABLE,1,1))*(1+SUMPRODUCT(SIGN(((ACT_DOOR_SCOPE="ALL")+(ACT_DOOR_SCOPE="TIER_"&amp;$F59)+(ACT_DOOR_SCOPE=$B59)))*SIGN(((ACT_SKU_SCOPE="ALL")+(ACT_SKU_SCOPE=$G59)))*(ACT_START&lt;=13)*(ACT_END&gt;=13)*IFERROR(ACT_UPLIFT-1,0)))*(1+SUMPRODUCT(SIGN(((ACT_DOOR_SCOPE="ALL")+(ACT_DOOR_SCOPE="TIER_"&amp;$F59)+(ACT_DOOR_SCOPE=$B59)))*SIGN(((ACT_SKU_SCOPE="ALL")+(ACT_SKU_SCOPE=$G59)))*(13&gt;ACT_END)*(ACT_END&gt;0)*IFERROR(ACT_POSTLIFT,0))),0)))</f>
        <v/>
      </c>
    </row>
    <row r="60">
      <c r="A60" t="inlineStr">
        <is>
          <t>R0056</t>
        </is>
      </c>
      <c r="B60">
        <f>Doors!$A$23</f>
        <v/>
      </c>
      <c r="C60">
        <f>Doors!$C$23</f>
        <v/>
      </c>
      <c r="D60">
        <f>Doors!$B$23</f>
        <v/>
      </c>
      <c r="E60">
        <f>Doors!$E$23</f>
        <v/>
      </c>
      <c r="F60">
        <f>Doors!$F$23</f>
        <v/>
      </c>
      <c r="G60" t="inlineStr">
        <is>
          <t>Pineapple Passion Fruit</t>
        </is>
      </c>
      <c r="H60">
        <f>Doors!$H$23</f>
        <v/>
      </c>
      <c r="I60">
        <f>Doors!$J$23</f>
        <v/>
      </c>
      <c r="J60" s="10">
        <f>IF(OR($H60&lt;&gt;"Y",1&lt;$I60),0,IF(SUMPRODUCT(((BULK_ENABLED="Y")*((BULK_TIER="ALL")+(BULK_TIER=$F60))*((BULK_SKU="ALL")+(BULK_SKU=$G60))*(BULK_START&lt;=1)*(BULK_END&gt;=1)))&gt;0,IFERROR(SUMPRODUCT(((BULK_ENABLED="Y")*((BULK_TIER="ALL")+(BULK_TIER=$F60))*((BULK_SKU="ALL")+(BULK_SKU=$G60))*(BULK_START&lt;=1)*(BULK_END&gt;=1))*IFERROR(BULK_VALUE,0))/MAX(1,SUMPRODUCT(((BULK_ENABLED="Y")*((BULK_TIER="ALL")+(BULK_TIER=$F60))*((BULK_SKU="ALL")+(BULK_SKU=$G60))*(BULK_START&lt;=1)*(BULK_END&gt;=1)))),0),ROUND((INDEX(VELOCITY_TABLE,MATCH($F60,TIER_LIST,0),2))*(IF((1-$I60+1)&lt;=0,0,IF((1-$I60+1)=1,RAMP_W1,IF((1-$I60+1)=2,RAMP_W2,IF((1-$I60+1)=3,RAMP_W3,RAMP_W4PLUS)))))*(INDEX(ACTIVE_MULT_TABLE,2,1))*(1+SUMPRODUCT(SIGN(((ACT_DOOR_SCOPE="ALL")+(ACT_DOOR_SCOPE="TIER_"&amp;$F60)+(ACT_DOOR_SCOPE=$B60)))*SIGN(((ACT_SKU_SCOPE="ALL")+(ACT_SKU_SCOPE=$G60)))*(ACT_START&lt;=1)*(ACT_END&gt;=1)*IFERROR(ACT_UPLIFT-1,0)))*(1+SUMPRODUCT(SIGN(((ACT_DOOR_SCOPE="ALL")+(ACT_DOOR_SCOPE="TIER_"&amp;$F60)+(ACT_DOOR_SCOPE=$B60)))*SIGN(((ACT_SKU_SCOPE="ALL")+(ACT_SKU_SCOPE=$G60)))*(1&gt;ACT_END)*(ACT_END&gt;0)*IFERROR(ACT_POSTLIFT,0))),0)))</f>
        <v/>
      </c>
      <c r="K60" s="10">
        <f>IF(OR($H60&lt;&gt;"Y",2&lt;$I60),0,IF(SUMPRODUCT(((BULK_ENABLED="Y")*((BULK_TIER="ALL")+(BULK_TIER=$F60))*((BULK_SKU="ALL")+(BULK_SKU=$G60))*(BULK_START&lt;=2)*(BULK_END&gt;=2)))&gt;0,IFERROR(SUMPRODUCT(((BULK_ENABLED="Y")*((BULK_TIER="ALL")+(BULK_TIER=$F60))*((BULK_SKU="ALL")+(BULK_SKU=$G60))*(BULK_START&lt;=2)*(BULK_END&gt;=2))*IFERROR(BULK_VALUE,0))/MAX(1,SUMPRODUCT(((BULK_ENABLED="Y")*((BULK_TIER="ALL")+(BULK_TIER=$F60))*((BULK_SKU="ALL")+(BULK_SKU=$G60))*(BULK_START&lt;=2)*(BULK_END&gt;=2)))),0),ROUND((INDEX(VELOCITY_TABLE,MATCH($F60,TIER_LIST,0),2))*(IF((2-$I60+1)&lt;=0,0,IF((2-$I60+1)=1,RAMP_W1,IF((2-$I60+1)=2,RAMP_W2,IF((2-$I60+1)=3,RAMP_W3,RAMP_W4PLUS)))))*(INDEX(ACTIVE_MULT_TABLE,2,1))*(1+SUMPRODUCT(SIGN(((ACT_DOOR_SCOPE="ALL")+(ACT_DOOR_SCOPE="TIER_"&amp;$F60)+(ACT_DOOR_SCOPE=$B60)))*SIGN(((ACT_SKU_SCOPE="ALL")+(ACT_SKU_SCOPE=$G60)))*(ACT_START&lt;=2)*(ACT_END&gt;=2)*IFERROR(ACT_UPLIFT-1,0)))*(1+SUMPRODUCT(SIGN(((ACT_DOOR_SCOPE="ALL")+(ACT_DOOR_SCOPE="TIER_"&amp;$F60)+(ACT_DOOR_SCOPE=$B60)))*SIGN(((ACT_SKU_SCOPE="ALL")+(ACT_SKU_SCOPE=$G60)))*(2&gt;ACT_END)*(ACT_END&gt;0)*IFERROR(ACT_POSTLIFT,0))),0)))</f>
        <v/>
      </c>
      <c r="L60" s="10">
        <f>IF(OR($H60&lt;&gt;"Y",3&lt;$I60),0,IF(SUMPRODUCT(((BULK_ENABLED="Y")*((BULK_TIER="ALL")+(BULK_TIER=$F60))*((BULK_SKU="ALL")+(BULK_SKU=$G60))*(BULK_START&lt;=3)*(BULK_END&gt;=3)))&gt;0,IFERROR(SUMPRODUCT(((BULK_ENABLED="Y")*((BULK_TIER="ALL")+(BULK_TIER=$F60))*((BULK_SKU="ALL")+(BULK_SKU=$G60))*(BULK_START&lt;=3)*(BULK_END&gt;=3))*IFERROR(BULK_VALUE,0))/MAX(1,SUMPRODUCT(((BULK_ENABLED="Y")*((BULK_TIER="ALL")+(BULK_TIER=$F60))*((BULK_SKU="ALL")+(BULK_SKU=$G60))*(BULK_START&lt;=3)*(BULK_END&gt;=3)))),0),ROUND((INDEX(VELOCITY_TABLE,MATCH($F60,TIER_LIST,0),2))*(IF((3-$I60+1)&lt;=0,0,IF((3-$I60+1)=1,RAMP_W1,IF((3-$I60+1)=2,RAMP_W2,IF((3-$I60+1)=3,RAMP_W3,RAMP_W4PLUS)))))*(INDEX(ACTIVE_MULT_TABLE,2,1))*(1+SUMPRODUCT(SIGN(((ACT_DOOR_SCOPE="ALL")+(ACT_DOOR_SCOPE="TIER_"&amp;$F60)+(ACT_DOOR_SCOPE=$B60)))*SIGN(((ACT_SKU_SCOPE="ALL")+(ACT_SKU_SCOPE=$G60)))*(ACT_START&lt;=3)*(ACT_END&gt;=3)*IFERROR(ACT_UPLIFT-1,0)))*(1+SUMPRODUCT(SIGN(((ACT_DOOR_SCOPE="ALL")+(ACT_DOOR_SCOPE="TIER_"&amp;$F60)+(ACT_DOOR_SCOPE=$B60)))*SIGN(((ACT_SKU_SCOPE="ALL")+(ACT_SKU_SCOPE=$G60)))*(3&gt;ACT_END)*(ACT_END&gt;0)*IFERROR(ACT_POSTLIFT,0))),0)))</f>
        <v/>
      </c>
      <c r="M60" s="10">
        <f>IF(OR($H60&lt;&gt;"Y",4&lt;$I60),0,IF(SUMPRODUCT(((BULK_ENABLED="Y")*((BULK_TIER="ALL")+(BULK_TIER=$F60))*((BULK_SKU="ALL")+(BULK_SKU=$G60))*(BULK_START&lt;=4)*(BULK_END&gt;=4)))&gt;0,IFERROR(SUMPRODUCT(((BULK_ENABLED="Y")*((BULK_TIER="ALL")+(BULK_TIER=$F60))*((BULK_SKU="ALL")+(BULK_SKU=$G60))*(BULK_START&lt;=4)*(BULK_END&gt;=4))*IFERROR(BULK_VALUE,0))/MAX(1,SUMPRODUCT(((BULK_ENABLED="Y")*((BULK_TIER="ALL")+(BULK_TIER=$F60))*((BULK_SKU="ALL")+(BULK_SKU=$G60))*(BULK_START&lt;=4)*(BULK_END&gt;=4)))),0),ROUND((INDEX(VELOCITY_TABLE,MATCH($F60,TIER_LIST,0),2))*(IF((4-$I60+1)&lt;=0,0,IF((4-$I60+1)=1,RAMP_W1,IF((4-$I60+1)=2,RAMP_W2,IF((4-$I60+1)=3,RAMP_W3,RAMP_W4PLUS)))))*(INDEX(ACTIVE_MULT_TABLE,2,1))*(1+SUMPRODUCT(SIGN(((ACT_DOOR_SCOPE="ALL")+(ACT_DOOR_SCOPE="TIER_"&amp;$F60)+(ACT_DOOR_SCOPE=$B60)))*SIGN(((ACT_SKU_SCOPE="ALL")+(ACT_SKU_SCOPE=$G60)))*(ACT_START&lt;=4)*(ACT_END&gt;=4)*IFERROR(ACT_UPLIFT-1,0)))*(1+SUMPRODUCT(SIGN(((ACT_DOOR_SCOPE="ALL")+(ACT_DOOR_SCOPE="TIER_"&amp;$F60)+(ACT_DOOR_SCOPE=$B60)))*SIGN(((ACT_SKU_SCOPE="ALL")+(ACT_SKU_SCOPE=$G60)))*(4&gt;ACT_END)*(ACT_END&gt;0)*IFERROR(ACT_POSTLIFT,0))),0)))</f>
        <v/>
      </c>
      <c r="N60" s="10">
        <f>IF(OR($H60&lt;&gt;"Y",5&lt;$I60),0,IF(SUMPRODUCT(((BULK_ENABLED="Y")*((BULK_TIER="ALL")+(BULK_TIER=$F60))*((BULK_SKU="ALL")+(BULK_SKU=$G60))*(BULK_START&lt;=5)*(BULK_END&gt;=5)))&gt;0,IFERROR(SUMPRODUCT(((BULK_ENABLED="Y")*((BULK_TIER="ALL")+(BULK_TIER=$F60))*((BULK_SKU="ALL")+(BULK_SKU=$G60))*(BULK_START&lt;=5)*(BULK_END&gt;=5))*IFERROR(BULK_VALUE,0))/MAX(1,SUMPRODUCT(((BULK_ENABLED="Y")*((BULK_TIER="ALL")+(BULK_TIER=$F60))*((BULK_SKU="ALL")+(BULK_SKU=$G60))*(BULK_START&lt;=5)*(BULK_END&gt;=5)))),0),ROUND((INDEX(VELOCITY_TABLE,MATCH($F60,TIER_LIST,0),2))*(IF((5-$I60+1)&lt;=0,0,IF((5-$I60+1)=1,RAMP_W1,IF((5-$I60+1)=2,RAMP_W2,IF((5-$I60+1)=3,RAMP_W3,RAMP_W4PLUS)))))*(INDEX(ACTIVE_MULT_TABLE,2,1))*(1+SUMPRODUCT(SIGN(((ACT_DOOR_SCOPE="ALL")+(ACT_DOOR_SCOPE="TIER_"&amp;$F60)+(ACT_DOOR_SCOPE=$B60)))*SIGN(((ACT_SKU_SCOPE="ALL")+(ACT_SKU_SCOPE=$G60)))*(ACT_START&lt;=5)*(ACT_END&gt;=5)*IFERROR(ACT_UPLIFT-1,0)))*(1+SUMPRODUCT(SIGN(((ACT_DOOR_SCOPE="ALL")+(ACT_DOOR_SCOPE="TIER_"&amp;$F60)+(ACT_DOOR_SCOPE=$B60)))*SIGN(((ACT_SKU_SCOPE="ALL")+(ACT_SKU_SCOPE=$G60)))*(5&gt;ACT_END)*(ACT_END&gt;0)*IFERROR(ACT_POSTLIFT,0))),0)))</f>
        <v/>
      </c>
      <c r="O60" s="10">
        <f>IF(OR($H60&lt;&gt;"Y",6&lt;$I60),0,IF(SUMPRODUCT(((BULK_ENABLED="Y")*((BULK_TIER="ALL")+(BULK_TIER=$F60))*((BULK_SKU="ALL")+(BULK_SKU=$G60))*(BULK_START&lt;=6)*(BULK_END&gt;=6)))&gt;0,IFERROR(SUMPRODUCT(((BULK_ENABLED="Y")*((BULK_TIER="ALL")+(BULK_TIER=$F60))*((BULK_SKU="ALL")+(BULK_SKU=$G60))*(BULK_START&lt;=6)*(BULK_END&gt;=6))*IFERROR(BULK_VALUE,0))/MAX(1,SUMPRODUCT(((BULK_ENABLED="Y")*((BULK_TIER="ALL")+(BULK_TIER=$F60))*((BULK_SKU="ALL")+(BULK_SKU=$G60))*(BULK_START&lt;=6)*(BULK_END&gt;=6)))),0),ROUND((INDEX(VELOCITY_TABLE,MATCH($F60,TIER_LIST,0),2))*(IF((6-$I60+1)&lt;=0,0,IF((6-$I60+1)=1,RAMP_W1,IF((6-$I60+1)=2,RAMP_W2,IF((6-$I60+1)=3,RAMP_W3,RAMP_W4PLUS)))))*(INDEX(ACTIVE_MULT_TABLE,2,1))*(1+SUMPRODUCT(SIGN(((ACT_DOOR_SCOPE="ALL")+(ACT_DOOR_SCOPE="TIER_"&amp;$F60)+(ACT_DOOR_SCOPE=$B60)))*SIGN(((ACT_SKU_SCOPE="ALL")+(ACT_SKU_SCOPE=$G60)))*(ACT_START&lt;=6)*(ACT_END&gt;=6)*IFERROR(ACT_UPLIFT-1,0)))*(1+SUMPRODUCT(SIGN(((ACT_DOOR_SCOPE="ALL")+(ACT_DOOR_SCOPE="TIER_"&amp;$F60)+(ACT_DOOR_SCOPE=$B60)))*SIGN(((ACT_SKU_SCOPE="ALL")+(ACT_SKU_SCOPE=$G60)))*(6&gt;ACT_END)*(ACT_END&gt;0)*IFERROR(ACT_POSTLIFT,0))),0)))</f>
        <v/>
      </c>
      <c r="P60" s="10">
        <f>IF(OR($H60&lt;&gt;"Y",7&lt;$I60),0,IF(SUMPRODUCT(((BULK_ENABLED="Y")*((BULK_TIER="ALL")+(BULK_TIER=$F60))*((BULK_SKU="ALL")+(BULK_SKU=$G60))*(BULK_START&lt;=7)*(BULK_END&gt;=7)))&gt;0,IFERROR(SUMPRODUCT(((BULK_ENABLED="Y")*((BULK_TIER="ALL")+(BULK_TIER=$F60))*((BULK_SKU="ALL")+(BULK_SKU=$G60))*(BULK_START&lt;=7)*(BULK_END&gt;=7))*IFERROR(BULK_VALUE,0))/MAX(1,SUMPRODUCT(((BULK_ENABLED="Y")*((BULK_TIER="ALL")+(BULK_TIER=$F60))*((BULK_SKU="ALL")+(BULK_SKU=$G60))*(BULK_START&lt;=7)*(BULK_END&gt;=7)))),0),ROUND((INDEX(VELOCITY_TABLE,MATCH($F60,TIER_LIST,0),2))*(IF((7-$I60+1)&lt;=0,0,IF((7-$I60+1)=1,RAMP_W1,IF((7-$I60+1)=2,RAMP_W2,IF((7-$I60+1)=3,RAMP_W3,RAMP_W4PLUS)))))*(INDEX(ACTIVE_MULT_TABLE,2,1))*(1+SUMPRODUCT(SIGN(((ACT_DOOR_SCOPE="ALL")+(ACT_DOOR_SCOPE="TIER_"&amp;$F60)+(ACT_DOOR_SCOPE=$B60)))*SIGN(((ACT_SKU_SCOPE="ALL")+(ACT_SKU_SCOPE=$G60)))*(ACT_START&lt;=7)*(ACT_END&gt;=7)*IFERROR(ACT_UPLIFT-1,0)))*(1+SUMPRODUCT(SIGN(((ACT_DOOR_SCOPE="ALL")+(ACT_DOOR_SCOPE="TIER_"&amp;$F60)+(ACT_DOOR_SCOPE=$B60)))*SIGN(((ACT_SKU_SCOPE="ALL")+(ACT_SKU_SCOPE=$G60)))*(7&gt;ACT_END)*(ACT_END&gt;0)*IFERROR(ACT_POSTLIFT,0))),0)))</f>
        <v/>
      </c>
      <c r="Q60" s="10">
        <f>IF(OR($H60&lt;&gt;"Y",8&lt;$I60),0,IF(SUMPRODUCT(((BULK_ENABLED="Y")*((BULK_TIER="ALL")+(BULK_TIER=$F60))*((BULK_SKU="ALL")+(BULK_SKU=$G60))*(BULK_START&lt;=8)*(BULK_END&gt;=8)))&gt;0,IFERROR(SUMPRODUCT(((BULK_ENABLED="Y")*((BULK_TIER="ALL")+(BULK_TIER=$F60))*((BULK_SKU="ALL")+(BULK_SKU=$G60))*(BULK_START&lt;=8)*(BULK_END&gt;=8))*IFERROR(BULK_VALUE,0))/MAX(1,SUMPRODUCT(((BULK_ENABLED="Y")*((BULK_TIER="ALL")+(BULK_TIER=$F60))*((BULK_SKU="ALL")+(BULK_SKU=$G60))*(BULK_START&lt;=8)*(BULK_END&gt;=8)))),0),ROUND((INDEX(VELOCITY_TABLE,MATCH($F60,TIER_LIST,0),2))*(IF((8-$I60+1)&lt;=0,0,IF((8-$I60+1)=1,RAMP_W1,IF((8-$I60+1)=2,RAMP_W2,IF((8-$I60+1)=3,RAMP_W3,RAMP_W4PLUS)))))*(INDEX(ACTIVE_MULT_TABLE,2,1))*(1+SUMPRODUCT(SIGN(((ACT_DOOR_SCOPE="ALL")+(ACT_DOOR_SCOPE="TIER_"&amp;$F60)+(ACT_DOOR_SCOPE=$B60)))*SIGN(((ACT_SKU_SCOPE="ALL")+(ACT_SKU_SCOPE=$G60)))*(ACT_START&lt;=8)*(ACT_END&gt;=8)*IFERROR(ACT_UPLIFT-1,0)))*(1+SUMPRODUCT(SIGN(((ACT_DOOR_SCOPE="ALL")+(ACT_DOOR_SCOPE="TIER_"&amp;$F60)+(ACT_DOOR_SCOPE=$B60)))*SIGN(((ACT_SKU_SCOPE="ALL")+(ACT_SKU_SCOPE=$G60)))*(8&gt;ACT_END)*(ACT_END&gt;0)*IFERROR(ACT_POSTLIFT,0))),0)))</f>
        <v/>
      </c>
      <c r="R60" s="10">
        <f>IF(OR($H60&lt;&gt;"Y",9&lt;$I60),0,IF(SUMPRODUCT(((BULK_ENABLED="Y")*((BULK_TIER="ALL")+(BULK_TIER=$F60))*((BULK_SKU="ALL")+(BULK_SKU=$G60))*(BULK_START&lt;=9)*(BULK_END&gt;=9)))&gt;0,IFERROR(SUMPRODUCT(((BULK_ENABLED="Y")*((BULK_TIER="ALL")+(BULK_TIER=$F60))*((BULK_SKU="ALL")+(BULK_SKU=$G60))*(BULK_START&lt;=9)*(BULK_END&gt;=9))*IFERROR(BULK_VALUE,0))/MAX(1,SUMPRODUCT(((BULK_ENABLED="Y")*((BULK_TIER="ALL")+(BULK_TIER=$F60))*((BULK_SKU="ALL")+(BULK_SKU=$G60))*(BULK_START&lt;=9)*(BULK_END&gt;=9)))),0),ROUND((INDEX(VELOCITY_TABLE,MATCH($F60,TIER_LIST,0),2))*(IF((9-$I60+1)&lt;=0,0,IF((9-$I60+1)=1,RAMP_W1,IF((9-$I60+1)=2,RAMP_W2,IF((9-$I60+1)=3,RAMP_W3,RAMP_W4PLUS)))))*(INDEX(ACTIVE_MULT_TABLE,2,1))*(1+SUMPRODUCT(SIGN(((ACT_DOOR_SCOPE="ALL")+(ACT_DOOR_SCOPE="TIER_"&amp;$F60)+(ACT_DOOR_SCOPE=$B60)))*SIGN(((ACT_SKU_SCOPE="ALL")+(ACT_SKU_SCOPE=$G60)))*(ACT_START&lt;=9)*(ACT_END&gt;=9)*IFERROR(ACT_UPLIFT-1,0)))*(1+SUMPRODUCT(SIGN(((ACT_DOOR_SCOPE="ALL")+(ACT_DOOR_SCOPE="TIER_"&amp;$F60)+(ACT_DOOR_SCOPE=$B60)))*SIGN(((ACT_SKU_SCOPE="ALL")+(ACT_SKU_SCOPE=$G60)))*(9&gt;ACT_END)*(ACT_END&gt;0)*IFERROR(ACT_POSTLIFT,0))),0)))</f>
        <v/>
      </c>
      <c r="S60" s="10">
        <f>IF(OR($H60&lt;&gt;"Y",10&lt;$I60),0,IF(SUMPRODUCT(((BULK_ENABLED="Y")*((BULK_TIER="ALL")+(BULK_TIER=$F60))*((BULK_SKU="ALL")+(BULK_SKU=$G60))*(BULK_START&lt;=10)*(BULK_END&gt;=10)))&gt;0,IFERROR(SUMPRODUCT(((BULK_ENABLED="Y")*((BULK_TIER="ALL")+(BULK_TIER=$F60))*((BULK_SKU="ALL")+(BULK_SKU=$G60))*(BULK_START&lt;=10)*(BULK_END&gt;=10))*IFERROR(BULK_VALUE,0))/MAX(1,SUMPRODUCT(((BULK_ENABLED="Y")*((BULK_TIER="ALL")+(BULK_TIER=$F60))*((BULK_SKU="ALL")+(BULK_SKU=$G60))*(BULK_START&lt;=10)*(BULK_END&gt;=10)))),0),ROUND((INDEX(VELOCITY_TABLE,MATCH($F60,TIER_LIST,0),2))*(IF((10-$I60+1)&lt;=0,0,IF((10-$I60+1)=1,RAMP_W1,IF((10-$I60+1)=2,RAMP_W2,IF((10-$I60+1)=3,RAMP_W3,RAMP_W4PLUS)))))*(INDEX(ACTIVE_MULT_TABLE,2,1))*(1+SUMPRODUCT(SIGN(((ACT_DOOR_SCOPE="ALL")+(ACT_DOOR_SCOPE="TIER_"&amp;$F60)+(ACT_DOOR_SCOPE=$B60)))*SIGN(((ACT_SKU_SCOPE="ALL")+(ACT_SKU_SCOPE=$G60)))*(ACT_START&lt;=10)*(ACT_END&gt;=10)*IFERROR(ACT_UPLIFT-1,0)))*(1+SUMPRODUCT(SIGN(((ACT_DOOR_SCOPE="ALL")+(ACT_DOOR_SCOPE="TIER_"&amp;$F60)+(ACT_DOOR_SCOPE=$B60)))*SIGN(((ACT_SKU_SCOPE="ALL")+(ACT_SKU_SCOPE=$G60)))*(10&gt;ACT_END)*(ACT_END&gt;0)*IFERROR(ACT_POSTLIFT,0))),0)))</f>
        <v/>
      </c>
      <c r="T60" s="10">
        <f>IF(OR($H60&lt;&gt;"Y",11&lt;$I60),0,IF(SUMPRODUCT(((BULK_ENABLED="Y")*((BULK_TIER="ALL")+(BULK_TIER=$F60))*((BULK_SKU="ALL")+(BULK_SKU=$G60))*(BULK_START&lt;=11)*(BULK_END&gt;=11)))&gt;0,IFERROR(SUMPRODUCT(((BULK_ENABLED="Y")*((BULK_TIER="ALL")+(BULK_TIER=$F60))*((BULK_SKU="ALL")+(BULK_SKU=$G60))*(BULK_START&lt;=11)*(BULK_END&gt;=11))*IFERROR(BULK_VALUE,0))/MAX(1,SUMPRODUCT(((BULK_ENABLED="Y")*((BULK_TIER="ALL")+(BULK_TIER=$F60))*((BULK_SKU="ALL")+(BULK_SKU=$G60))*(BULK_START&lt;=11)*(BULK_END&gt;=11)))),0),ROUND((INDEX(VELOCITY_TABLE,MATCH($F60,TIER_LIST,0),2))*(IF((11-$I60+1)&lt;=0,0,IF((11-$I60+1)=1,RAMP_W1,IF((11-$I60+1)=2,RAMP_W2,IF((11-$I60+1)=3,RAMP_W3,RAMP_W4PLUS)))))*(INDEX(ACTIVE_MULT_TABLE,2,1))*(1+SUMPRODUCT(SIGN(((ACT_DOOR_SCOPE="ALL")+(ACT_DOOR_SCOPE="TIER_"&amp;$F60)+(ACT_DOOR_SCOPE=$B60)))*SIGN(((ACT_SKU_SCOPE="ALL")+(ACT_SKU_SCOPE=$G60)))*(ACT_START&lt;=11)*(ACT_END&gt;=11)*IFERROR(ACT_UPLIFT-1,0)))*(1+SUMPRODUCT(SIGN(((ACT_DOOR_SCOPE="ALL")+(ACT_DOOR_SCOPE="TIER_"&amp;$F60)+(ACT_DOOR_SCOPE=$B60)))*SIGN(((ACT_SKU_SCOPE="ALL")+(ACT_SKU_SCOPE=$G60)))*(11&gt;ACT_END)*(ACT_END&gt;0)*IFERROR(ACT_POSTLIFT,0))),0)))</f>
        <v/>
      </c>
      <c r="U60" s="10">
        <f>IF(OR($H60&lt;&gt;"Y",12&lt;$I60),0,IF(SUMPRODUCT(((BULK_ENABLED="Y")*((BULK_TIER="ALL")+(BULK_TIER=$F60))*((BULK_SKU="ALL")+(BULK_SKU=$G60))*(BULK_START&lt;=12)*(BULK_END&gt;=12)))&gt;0,IFERROR(SUMPRODUCT(((BULK_ENABLED="Y")*((BULK_TIER="ALL")+(BULK_TIER=$F60))*((BULK_SKU="ALL")+(BULK_SKU=$G60))*(BULK_START&lt;=12)*(BULK_END&gt;=12))*IFERROR(BULK_VALUE,0))/MAX(1,SUMPRODUCT(((BULK_ENABLED="Y")*((BULK_TIER="ALL")+(BULK_TIER=$F60))*((BULK_SKU="ALL")+(BULK_SKU=$G60))*(BULK_START&lt;=12)*(BULK_END&gt;=12)))),0),ROUND((INDEX(VELOCITY_TABLE,MATCH($F60,TIER_LIST,0),2))*(IF((12-$I60+1)&lt;=0,0,IF((12-$I60+1)=1,RAMP_W1,IF((12-$I60+1)=2,RAMP_W2,IF((12-$I60+1)=3,RAMP_W3,RAMP_W4PLUS)))))*(INDEX(ACTIVE_MULT_TABLE,2,1))*(1+SUMPRODUCT(SIGN(((ACT_DOOR_SCOPE="ALL")+(ACT_DOOR_SCOPE="TIER_"&amp;$F60)+(ACT_DOOR_SCOPE=$B60)))*SIGN(((ACT_SKU_SCOPE="ALL")+(ACT_SKU_SCOPE=$G60)))*(ACT_START&lt;=12)*(ACT_END&gt;=12)*IFERROR(ACT_UPLIFT-1,0)))*(1+SUMPRODUCT(SIGN(((ACT_DOOR_SCOPE="ALL")+(ACT_DOOR_SCOPE="TIER_"&amp;$F60)+(ACT_DOOR_SCOPE=$B60)))*SIGN(((ACT_SKU_SCOPE="ALL")+(ACT_SKU_SCOPE=$G60)))*(12&gt;ACT_END)*(ACT_END&gt;0)*IFERROR(ACT_POSTLIFT,0))),0)))</f>
        <v/>
      </c>
      <c r="V60" s="10">
        <f>IF(OR($H60&lt;&gt;"Y",13&lt;$I60),0,IF(SUMPRODUCT(((BULK_ENABLED="Y")*((BULK_TIER="ALL")+(BULK_TIER=$F60))*((BULK_SKU="ALL")+(BULK_SKU=$G60))*(BULK_START&lt;=13)*(BULK_END&gt;=13)))&gt;0,IFERROR(SUMPRODUCT(((BULK_ENABLED="Y")*((BULK_TIER="ALL")+(BULK_TIER=$F60))*((BULK_SKU="ALL")+(BULK_SKU=$G60))*(BULK_START&lt;=13)*(BULK_END&gt;=13))*IFERROR(BULK_VALUE,0))/MAX(1,SUMPRODUCT(((BULK_ENABLED="Y")*((BULK_TIER="ALL")+(BULK_TIER=$F60))*((BULK_SKU="ALL")+(BULK_SKU=$G60))*(BULK_START&lt;=13)*(BULK_END&gt;=13)))),0),ROUND((INDEX(VELOCITY_TABLE,MATCH($F60,TIER_LIST,0),2))*(IF((13-$I60+1)&lt;=0,0,IF((13-$I60+1)=1,RAMP_W1,IF((13-$I60+1)=2,RAMP_W2,IF((13-$I60+1)=3,RAMP_W3,RAMP_W4PLUS)))))*(INDEX(ACTIVE_MULT_TABLE,2,1))*(1+SUMPRODUCT(SIGN(((ACT_DOOR_SCOPE="ALL")+(ACT_DOOR_SCOPE="TIER_"&amp;$F60)+(ACT_DOOR_SCOPE=$B60)))*SIGN(((ACT_SKU_SCOPE="ALL")+(ACT_SKU_SCOPE=$G60)))*(ACT_START&lt;=13)*(ACT_END&gt;=13)*IFERROR(ACT_UPLIFT-1,0)))*(1+SUMPRODUCT(SIGN(((ACT_DOOR_SCOPE="ALL")+(ACT_DOOR_SCOPE="TIER_"&amp;$F60)+(ACT_DOOR_SCOPE=$B60)))*SIGN(((ACT_SKU_SCOPE="ALL")+(ACT_SKU_SCOPE=$G60)))*(13&gt;ACT_END)*(ACT_END&gt;0)*IFERROR(ACT_POSTLIFT,0))),0)))</f>
        <v/>
      </c>
    </row>
    <row r="61">
      <c r="A61" t="inlineStr">
        <is>
          <t>R0057</t>
        </is>
      </c>
      <c r="B61">
        <f>Doors!$A$23</f>
        <v/>
      </c>
      <c r="C61">
        <f>Doors!$C$23</f>
        <v/>
      </c>
      <c r="D61">
        <f>Doors!$B$23</f>
        <v/>
      </c>
      <c r="E61">
        <f>Doors!$E$23</f>
        <v/>
      </c>
      <c r="F61">
        <f>Doors!$F$23</f>
        <v/>
      </c>
      <c r="G61" t="inlineStr">
        <is>
          <t>Raspberry</t>
        </is>
      </c>
      <c r="H61">
        <f>Doors!$I$23</f>
        <v/>
      </c>
      <c r="I61">
        <f>Doors!$J$23</f>
        <v/>
      </c>
      <c r="J61" s="10">
        <f>IF(OR($H61&lt;&gt;"Y",1&lt;$I61),0,IF(SUMPRODUCT(((BULK_ENABLED="Y")*((BULK_TIER="ALL")+(BULK_TIER=$F61))*((BULK_SKU="ALL")+(BULK_SKU=$G61))*(BULK_START&lt;=1)*(BULK_END&gt;=1)))&gt;0,IFERROR(SUMPRODUCT(((BULK_ENABLED="Y")*((BULK_TIER="ALL")+(BULK_TIER=$F61))*((BULK_SKU="ALL")+(BULK_SKU=$G61))*(BULK_START&lt;=1)*(BULK_END&gt;=1))*IFERROR(BULK_VALUE,0))/MAX(1,SUMPRODUCT(((BULK_ENABLED="Y")*((BULK_TIER="ALL")+(BULK_TIER=$F61))*((BULK_SKU="ALL")+(BULK_SKU=$G61))*(BULK_START&lt;=1)*(BULK_END&gt;=1)))),0),ROUND((INDEX(VELOCITY_TABLE,MATCH($F61,TIER_LIST,0),3))*(IF((1-$I61+1)&lt;=0,0,IF((1-$I61+1)=1,RAMP_W1,IF((1-$I61+1)=2,RAMP_W2,IF((1-$I61+1)=3,RAMP_W3,RAMP_W4PLUS)))))*(INDEX(ACTIVE_MULT_TABLE,3,1))*(1+SUMPRODUCT(SIGN(((ACT_DOOR_SCOPE="ALL")+(ACT_DOOR_SCOPE="TIER_"&amp;$F61)+(ACT_DOOR_SCOPE=$B61)))*SIGN(((ACT_SKU_SCOPE="ALL")+(ACT_SKU_SCOPE=$G61)))*(ACT_START&lt;=1)*(ACT_END&gt;=1)*IFERROR(ACT_UPLIFT-1,0)))*(1+SUMPRODUCT(SIGN(((ACT_DOOR_SCOPE="ALL")+(ACT_DOOR_SCOPE="TIER_"&amp;$F61)+(ACT_DOOR_SCOPE=$B61)))*SIGN(((ACT_SKU_SCOPE="ALL")+(ACT_SKU_SCOPE=$G61)))*(1&gt;ACT_END)*(ACT_END&gt;0)*IFERROR(ACT_POSTLIFT,0))),0)))</f>
        <v/>
      </c>
      <c r="K61" s="10">
        <f>IF(OR($H61&lt;&gt;"Y",2&lt;$I61),0,IF(SUMPRODUCT(((BULK_ENABLED="Y")*((BULK_TIER="ALL")+(BULK_TIER=$F61))*((BULK_SKU="ALL")+(BULK_SKU=$G61))*(BULK_START&lt;=2)*(BULK_END&gt;=2)))&gt;0,IFERROR(SUMPRODUCT(((BULK_ENABLED="Y")*((BULK_TIER="ALL")+(BULK_TIER=$F61))*((BULK_SKU="ALL")+(BULK_SKU=$G61))*(BULK_START&lt;=2)*(BULK_END&gt;=2))*IFERROR(BULK_VALUE,0))/MAX(1,SUMPRODUCT(((BULK_ENABLED="Y")*((BULK_TIER="ALL")+(BULK_TIER=$F61))*((BULK_SKU="ALL")+(BULK_SKU=$G61))*(BULK_START&lt;=2)*(BULK_END&gt;=2)))),0),ROUND((INDEX(VELOCITY_TABLE,MATCH($F61,TIER_LIST,0),3))*(IF((2-$I61+1)&lt;=0,0,IF((2-$I61+1)=1,RAMP_W1,IF((2-$I61+1)=2,RAMP_W2,IF((2-$I61+1)=3,RAMP_W3,RAMP_W4PLUS)))))*(INDEX(ACTIVE_MULT_TABLE,3,1))*(1+SUMPRODUCT(SIGN(((ACT_DOOR_SCOPE="ALL")+(ACT_DOOR_SCOPE="TIER_"&amp;$F61)+(ACT_DOOR_SCOPE=$B61)))*SIGN(((ACT_SKU_SCOPE="ALL")+(ACT_SKU_SCOPE=$G61)))*(ACT_START&lt;=2)*(ACT_END&gt;=2)*IFERROR(ACT_UPLIFT-1,0)))*(1+SUMPRODUCT(SIGN(((ACT_DOOR_SCOPE="ALL")+(ACT_DOOR_SCOPE="TIER_"&amp;$F61)+(ACT_DOOR_SCOPE=$B61)))*SIGN(((ACT_SKU_SCOPE="ALL")+(ACT_SKU_SCOPE=$G61)))*(2&gt;ACT_END)*(ACT_END&gt;0)*IFERROR(ACT_POSTLIFT,0))),0)))</f>
        <v/>
      </c>
      <c r="L61" s="10">
        <f>IF(OR($H61&lt;&gt;"Y",3&lt;$I61),0,IF(SUMPRODUCT(((BULK_ENABLED="Y")*((BULK_TIER="ALL")+(BULK_TIER=$F61))*((BULK_SKU="ALL")+(BULK_SKU=$G61))*(BULK_START&lt;=3)*(BULK_END&gt;=3)))&gt;0,IFERROR(SUMPRODUCT(((BULK_ENABLED="Y")*((BULK_TIER="ALL")+(BULK_TIER=$F61))*((BULK_SKU="ALL")+(BULK_SKU=$G61))*(BULK_START&lt;=3)*(BULK_END&gt;=3))*IFERROR(BULK_VALUE,0))/MAX(1,SUMPRODUCT(((BULK_ENABLED="Y")*((BULK_TIER="ALL")+(BULK_TIER=$F61))*((BULK_SKU="ALL")+(BULK_SKU=$G61))*(BULK_START&lt;=3)*(BULK_END&gt;=3)))),0),ROUND((INDEX(VELOCITY_TABLE,MATCH($F61,TIER_LIST,0),3))*(IF((3-$I61+1)&lt;=0,0,IF((3-$I61+1)=1,RAMP_W1,IF((3-$I61+1)=2,RAMP_W2,IF((3-$I61+1)=3,RAMP_W3,RAMP_W4PLUS)))))*(INDEX(ACTIVE_MULT_TABLE,3,1))*(1+SUMPRODUCT(SIGN(((ACT_DOOR_SCOPE="ALL")+(ACT_DOOR_SCOPE="TIER_"&amp;$F61)+(ACT_DOOR_SCOPE=$B61)))*SIGN(((ACT_SKU_SCOPE="ALL")+(ACT_SKU_SCOPE=$G61)))*(ACT_START&lt;=3)*(ACT_END&gt;=3)*IFERROR(ACT_UPLIFT-1,0)))*(1+SUMPRODUCT(SIGN(((ACT_DOOR_SCOPE="ALL")+(ACT_DOOR_SCOPE="TIER_"&amp;$F61)+(ACT_DOOR_SCOPE=$B61)))*SIGN(((ACT_SKU_SCOPE="ALL")+(ACT_SKU_SCOPE=$G61)))*(3&gt;ACT_END)*(ACT_END&gt;0)*IFERROR(ACT_POSTLIFT,0))),0)))</f>
        <v/>
      </c>
      <c r="M61" s="10">
        <f>IF(OR($H61&lt;&gt;"Y",4&lt;$I61),0,IF(SUMPRODUCT(((BULK_ENABLED="Y")*((BULK_TIER="ALL")+(BULK_TIER=$F61))*((BULK_SKU="ALL")+(BULK_SKU=$G61))*(BULK_START&lt;=4)*(BULK_END&gt;=4)))&gt;0,IFERROR(SUMPRODUCT(((BULK_ENABLED="Y")*((BULK_TIER="ALL")+(BULK_TIER=$F61))*((BULK_SKU="ALL")+(BULK_SKU=$G61))*(BULK_START&lt;=4)*(BULK_END&gt;=4))*IFERROR(BULK_VALUE,0))/MAX(1,SUMPRODUCT(((BULK_ENABLED="Y")*((BULK_TIER="ALL")+(BULK_TIER=$F61))*((BULK_SKU="ALL")+(BULK_SKU=$G61))*(BULK_START&lt;=4)*(BULK_END&gt;=4)))),0),ROUND((INDEX(VELOCITY_TABLE,MATCH($F61,TIER_LIST,0),3))*(IF((4-$I61+1)&lt;=0,0,IF((4-$I61+1)=1,RAMP_W1,IF((4-$I61+1)=2,RAMP_W2,IF((4-$I61+1)=3,RAMP_W3,RAMP_W4PLUS)))))*(INDEX(ACTIVE_MULT_TABLE,3,1))*(1+SUMPRODUCT(SIGN(((ACT_DOOR_SCOPE="ALL")+(ACT_DOOR_SCOPE="TIER_"&amp;$F61)+(ACT_DOOR_SCOPE=$B61)))*SIGN(((ACT_SKU_SCOPE="ALL")+(ACT_SKU_SCOPE=$G61)))*(ACT_START&lt;=4)*(ACT_END&gt;=4)*IFERROR(ACT_UPLIFT-1,0)))*(1+SUMPRODUCT(SIGN(((ACT_DOOR_SCOPE="ALL")+(ACT_DOOR_SCOPE="TIER_"&amp;$F61)+(ACT_DOOR_SCOPE=$B61)))*SIGN(((ACT_SKU_SCOPE="ALL")+(ACT_SKU_SCOPE=$G61)))*(4&gt;ACT_END)*(ACT_END&gt;0)*IFERROR(ACT_POSTLIFT,0))),0)))</f>
        <v/>
      </c>
      <c r="N61" s="10">
        <f>IF(OR($H61&lt;&gt;"Y",5&lt;$I61),0,IF(SUMPRODUCT(((BULK_ENABLED="Y")*((BULK_TIER="ALL")+(BULK_TIER=$F61))*((BULK_SKU="ALL")+(BULK_SKU=$G61))*(BULK_START&lt;=5)*(BULK_END&gt;=5)))&gt;0,IFERROR(SUMPRODUCT(((BULK_ENABLED="Y")*((BULK_TIER="ALL")+(BULK_TIER=$F61))*((BULK_SKU="ALL")+(BULK_SKU=$G61))*(BULK_START&lt;=5)*(BULK_END&gt;=5))*IFERROR(BULK_VALUE,0))/MAX(1,SUMPRODUCT(((BULK_ENABLED="Y")*((BULK_TIER="ALL")+(BULK_TIER=$F61))*((BULK_SKU="ALL")+(BULK_SKU=$G61))*(BULK_START&lt;=5)*(BULK_END&gt;=5)))),0),ROUND((INDEX(VELOCITY_TABLE,MATCH($F61,TIER_LIST,0),3))*(IF((5-$I61+1)&lt;=0,0,IF((5-$I61+1)=1,RAMP_W1,IF((5-$I61+1)=2,RAMP_W2,IF((5-$I61+1)=3,RAMP_W3,RAMP_W4PLUS)))))*(INDEX(ACTIVE_MULT_TABLE,3,1))*(1+SUMPRODUCT(SIGN(((ACT_DOOR_SCOPE="ALL")+(ACT_DOOR_SCOPE="TIER_"&amp;$F61)+(ACT_DOOR_SCOPE=$B61)))*SIGN(((ACT_SKU_SCOPE="ALL")+(ACT_SKU_SCOPE=$G61)))*(ACT_START&lt;=5)*(ACT_END&gt;=5)*IFERROR(ACT_UPLIFT-1,0)))*(1+SUMPRODUCT(SIGN(((ACT_DOOR_SCOPE="ALL")+(ACT_DOOR_SCOPE="TIER_"&amp;$F61)+(ACT_DOOR_SCOPE=$B61)))*SIGN(((ACT_SKU_SCOPE="ALL")+(ACT_SKU_SCOPE=$G61)))*(5&gt;ACT_END)*(ACT_END&gt;0)*IFERROR(ACT_POSTLIFT,0))),0)))</f>
        <v/>
      </c>
      <c r="O61" s="10">
        <f>IF(OR($H61&lt;&gt;"Y",6&lt;$I61),0,IF(SUMPRODUCT(((BULK_ENABLED="Y")*((BULK_TIER="ALL")+(BULK_TIER=$F61))*((BULK_SKU="ALL")+(BULK_SKU=$G61))*(BULK_START&lt;=6)*(BULK_END&gt;=6)))&gt;0,IFERROR(SUMPRODUCT(((BULK_ENABLED="Y")*((BULK_TIER="ALL")+(BULK_TIER=$F61))*((BULK_SKU="ALL")+(BULK_SKU=$G61))*(BULK_START&lt;=6)*(BULK_END&gt;=6))*IFERROR(BULK_VALUE,0))/MAX(1,SUMPRODUCT(((BULK_ENABLED="Y")*((BULK_TIER="ALL")+(BULK_TIER=$F61))*((BULK_SKU="ALL")+(BULK_SKU=$G61))*(BULK_START&lt;=6)*(BULK_END&gt;=6)))),0),ROUND((INDEX(VELOCITY_TABLE,MATCH($F61,TIER_LIST,0),3))*(IF((6-$I61+1)&lt;=0,0,IF((6-$I61+1)=1,RAMP_W1,IF((6-$I61+1)=2,RAMP_W2,IF((6-$I61+1)=3,RAMP_W3,RAMP_W4PLUS)))))*(INDEX(ACTIVE_MULT_TABLE,3,1))*(1+SUMPRODUCT(SIGN(((ACT_DOOR_SCOPE="ALL")+(ACT_DOOR_SCOPE="TIER_"&amp;$F61)+(ACT_DOOR_SCOPE=$B61)))*SIGN(((ACT_SKU_SCOPE="ALL")+(ACT_SKU_SCOPE=$G61)))*(ACT_START&lt;=6)*(ACT_END&gt;=6)*IFERROR(ACT_UPLIFT-1,0)))*(1+SUMPRODUCT(SIGN(((ACT_DOOR_SCOPE="ALL")+(ACT_DOOR_SCOPE="TIER_"&amp;$F61)+(ACT_DOOR_SCOPE=$B61)))*SIGN(((ACT_SKU_SCOPE="ALL")+(ACT_SKU_SCOPE=$G61)))*(6&gt;ACT_END)*(ACT_END&gt;0)*IFERROR(ACT_POSTLIFT,0))),0)))</f>
        <v/>
      </c>
      <c r="P61" s="10">
        <f>IF(OR($H61&lt;&gt;"Y",7&lt;$I61),0,IF(SUMPRODUCT(((BULK_ENABLED="Y")*((BULK_TIER="ALL")+(BULK_TIER=$F61))*((BULK_SKU="ALL")+(BULK_SKU=$G61))*(BULK_START&lt;=7)*(BULK_END&gt;=7)))&gt;0,IFERROR(SUMPRODUCT(((BULK_ENABLED="Y")*((BULK_TIER="ALL")+(BULK_TIER=$F61))*((BULK_SKU="ALL")+(BULK_SKU=$G61))*(BULK_START&lt;=7)*(BULK_END&gt;=7))*IFERROR(BULK_VALUE,0))/MAX(1,SUMPRODUCT(((BULK_ENABLED="Y")*((BULK_TIER="ALL")+(BULK_TIER=$F61))*((BULK_SKU="ALL")+(BULK_SKU=$G61))*(BULK_START&lt;=7)*(BULK_END&gt;=7)))),0),ROUND((INDEX(VELOCITY_TABLE,MATCH($F61,TIER_LIST,0),3))*(IF((7-$I61+1)&lt;=0,0,IF((7-$I61+1)=1,RAMP_W1,IF((7-$I61+1)=2,RAMP_W2,IF((7-$I61+1)=3,RAMP_W3,RAMP_W4PLUS)))))*(INDEX(ACTIVE_MULT_TABLE,3,1))*(1+SUMPRODUCT(SIGN(((ACT_DOOR_SCOPE="ALL")+(ACT_DOOR_SCOPE="TIER_"&amp;$F61)+(ACT_DOOR_SCOPE=$B61)))*SIGN(((ACT_SKU_SCOPE="ALL")+(ACT_SKU_SCOPE=$G61)))*(ACT_START&lt;=7)*(ACT_END&gt;=7)*IFERROR(ACT_UPLIFT-1,0)))*(1+SUMPRODUCT(SIGN(((ACT_DOOR_SCOPE="ALL")+(ACT_DOOR_SCOPE="TIER_"&amp;$F61)+(ACT_DOOR_SCOPE=$B61)))*SIGN(((ACT_SKU_SCOPE="ALL")+(ACT_SKU_SCOPE=$G61)))*(7&gt;ACT_END)*(ACT_END&gt;0)*IFERROR(ACT_POSTLIFT,0))),0)))</f>
        <v/>
      </c>
      <c r="Q61" s="10">
        <f>IF(OR($H61&lt;&gt;"Y",8&lt;$I61),0,IF(SUMPRODUCT(((BULK_ENABLED="Y")*((BULK_TIER="ALL")+(BULK_TIER=$F61))*((BULK_SKU="ALL")+(BULK_SKU=$G61))*(BULK_START&lt;=8)*(BULK_END&gt;=8)))&gt;0,IFERROR(SUMPRODUCT(((BULK_ENABLED="Y")*((BULK_TIER="ALL")+(BULK_TIER=$F61))*((BULK_SKU="ALL")+(BULK_SKU=$G61))*(BULK_START&lt;=8)*(BULK_END&gt;=8))*IFERROR(BULK_VALUE,0))/MAX(1,SUMPRODUCT(((BULK_ENABLED="Y")*((BULK_TIER="ALL")+(BULK_TIER=$F61))*((BULK_SKU="ALL")+(BULK_SKU=$G61))*(BULK_START&lt;=8)*(BULK_END&gt;=8)))),0),ROUND((INDEX(VELOCITY_TABLE,MATCH($F61,TIER_LIST,0),3))*(IF((8-$I61+1)&lt;=0,0,IF((8-$I61+1)=1,RAMP_W1,IF((8-$I61+1)=2,RAMP_W2,IF((8-$I61+1)=3,RAMP_W3,RAMP_W4PLUS)))))*(INDEX(ACTIVE_MULT_TABLE,3,1))*(1+SUMPRODUCT(SIGN(((ACT_DOOR_SCOPE="ALL")+(ACT_DOOR_SCOPE="TIER_"&amp;$F61)+(ACT_DOOR_SCOPE=$B61)))*SIGN(((ACT_SKU_SCOPE="ALL")+(ACT_SKU_SCOPE=$G61)))*(ACT_START&lt;=8)*(ACT_END&gt;=8)*IFERROR(ACT_UPLIFT-1,0)))*(1+SUMPRODUCT(SIGN(((ACT_DOOR_SCOPE="ALL")+(ACT_DOOR_SCOPE="TIER_"&amp;$F61)+(ACT_DOOR_SCOPE=$B61)))*SIGN(((ACT_SKU_SCOPE="ALL")+(ACT_SKU_SCOPE=$G61)))*(8&gt;ACT_END)*(ACT_END&gt;0)*IFERROR(ACT_POSTLIFT,0))),0)))</f>
        <v/>
      </c>
      <c r="R61" s="10">
        <f>IF(OR($H61&lt;&gt;"Y",9&lt;$I61),0,IF(SUMPRODUCT(((BULK_ENABLED="Y")*((BULK_TIER="ALL")+(BULK_TIER=$F61))*((BULK_SKU="ALL")+(BULK_SKU=$G61))*(BULK_START&lt;=9)*(BULK_END&gt;=9)))&gt;0,IFERROR(SUMPRODUCT(((BULK_ENABLED="Y")*((BULK_TIER="ALL")+(BULK_TIER=$F61))*((BULK_SKU="ALL")+(BULK_SKU=$G61))*(BULK_START&lt;=9)*(BULK_END&gt;=9))*IFERROR(BULK_VALUE,0))/MAX(1,SUMPRODUCT(((BULK_ENABLED="Y")*((BULK_TIER="ALL")+(BULK_TIER=$F61))*((BULK_SKU="ALL")+(BULK_SKU=$G61))*(BULK_START&lt;=9)*(BULK_END&gt;=9)))),0),ROUND((INDEX(VELOCITY_TABLE,MATCH($F61,TIER_LIST,0),3))*(IF((9-$I61+1)&lt;=0,0,IF((9-$I61+1)=1,RAMP_W1,IF((9-$I61+1)=2,RAMP_W2,IF((9-$I61+1)=3,RAMP_W3,RAMP_W4PLUS)))))*(INDEX(ACTIVE_MULT_TABLE,3,1))*(1+SUMPRODUCT(SIGN(((ACT_DOOR_SCOPE="ALL")+(ACT_DOOR_SCOPE="TIER_"&amp;$F61)+(ACT_DOOR_SCOPE=$B61)))*SIGN(((ACT_SKU_SCOPE="ALL")+(ACT_SKU_SCOPE=$G61)))*(ACT_START&lt;=9)*(ACT_END&gt;=9)*IFERROR(ACT_UPLIFT-1,0)))*(1+SUMPRODUCT(SIGN(((ACT_DOOR_SCOPE="ALL")+(ACT_DOOR_SCOPE="TIER_"&amp;$F61)+(ACT_DOOR_SCOPE=$B61)))*SIGN(((ACT_SKU_SCOPE="ALL")+(ACT_SKU_SCOPE=$G61)))*(9&gt;ACT_END)*(ACT_END&gt;0)*IFERROR(ACT_POSTLIFT,0))),0)))</f>
        <v/>
      </c>
      <c r="S61" s="10">
        <f>IF(OR($H61&lt;&gt;"Y",10&lt;$I61),0,IF(SUMPRODUCT(((BULK_ENABLED="Y")*((BULK_TIER="ALL")+(BULK_TIER=$F61))*((BULK_SKU="ALL")+(BULK_SKU=$G61))*(BULK_START&lt;=10)*(BULK_END&gt;=10)))&gt;0,IFERROR(SUMPRODUCT(((BULK_ENABLED="Y")*((BULK_TIER="ALL")+(BULK_TIER=$F61))*((BULK_SKU="ALL")+(BULK_SKU=$G61))*(BULK_START&lt;=10)*(BULK_END&gt;=10))*IFERROR(BULK_VALUE,0))/MAX(1,SUMPRODUCT(((BULK_ENABLED="Y")*((BULK_TIER="ALL")+(BULK_TIER=$F61))*((BULK_SKU="ALL")+(BULK_SKU=$G61))*(BULK_START&lt;=10)*(BULK_END&gt;=10)))),0),ROUND((INDEX(VELOCITY_TABLE,MATCH($F61,TIER_LIST,0),3))*(IF((10-$I61+1)&lt;=0,0,IF((10-$I61+1)=1,RAMP_W1,IF((10-$I61+1)=2,RAMP_W2,IF((10-$I61+1)=3,RAMP_W3,RAMP_W4PLUS)))))*(INDEX(ACTIVE_MULT_TABLE,3,1))*(1+SUMPRODUCT(SIGN(((ACT_DOOR_SCOPE="ALL")+(ACT_DOOR_SCOPE="TIER_"&amp;$F61)+(ACT_DOOR_SCOPE=$B61)))*SIGN(((ACT_SKU_SCOPE="ALL")+(ACT_SKU_SCOPE=$G61)))*(ACT_START&lt;=10)*(ACT_END&gt;=10)*IFERROR(ACT_UPLIFT-1,0)))*(1+SUMPRODUCT(SIGN(((ACT_DOOR_SCOPE="ALL")+(ACT_DOOR_SCOPE="TIER_"&amp;$F61)+(ACT_DOOR_SCOPE=$B61)))*SIGN(((ACT_SKU_SCOPE="ALL")+(ACT_SKU_SCOPE=$G61)))*(10&gt;ACT_END)*(ACT_END&gt;0)*IFERROR(ACT_POSTLIFT,0))),0)))</f>
        <v/>
      </c>
      <c r="T61" s="10">
        <f>IF(OR($H61&lt;&gt;"Y",11&lt;$I61),0,IF(SUMPRODUCT(((BULK_ENABLED="Y")*((BULK_TIER="ALL")+(BULK_TIER=$F61))*((BULK_SKU="ALL")+(BULK_SKU=$G61))*(BULK_START&lt;=11)*(BULK_END&gt;=11)))&gt;0,IFERROR(SUMPRODUCT(((BULK_ENABLED="Y")*((BULK_TIER="ALL")+(BULK_TIER=$F61))*((BULK_SKU="ALL")+(BULK_SKU=$G61))*(BULK_START&lt;=11)*(BULK_END&gt;=11))*IFERROR(BULK_VALUE,0))/MAX(1,SUMPRODUCT(((BULK_ENABLED="Y")*((BULK_TIER="ALL")+(BULK_TIER=$F61))*((BULK_SKU="ALL")+(BULK_SKU=$G61))*(BULK_START&lt;=11)*(BULK_END&gt;=11)))),0),ROUND((INDEX(VELOCITY_TABLE,MATCH($F61,TIER_LIST,0),3))*(IF((11-$I61+1)&lt;=0,0,IF((11-$I61+1)=1,RAMP_W1,IF((11-$I61+1)=2,RAMP_W2,IF((11-$I61+1)=3,RAMP_W3,RAMP_W4PLUS)))))*(INDEX(ACTIVE_MULT_TABLE,3,1))*(1+SUMPRODUCT(SIGN(((ACT_DOOR_SCOPE="ALL")+(ACT_DOOR_SCOPE="TIER_"&amp;$F61)+(ACT_DOOR_SCOPE=$B61)))*SIGN(((ACT_SKU_SCOPE="ALL")+(ACT_SKU_SCOPE=$G61)))*(ACT_START&lt;=11)*(ACT_END&gt;=11)*IFERROR(ACT_UPLIFT-1,0)))*(1+SUMPRODUCT(SIGN(((ACT_DOOR_SCOPE="ALL")+(ACT_DOOR_SCOPE="TIER_"&amp;$F61)+(ACT_DOOR_SCOPE=$B61)))*SIGN(((ACT_SKU_SCOPE="ALL")+(ACT_SKU_SCOPE=$G61)))*(11&gt;ACT_END)*(ACT_END&gt;0)*IFERROR(ACT_POSTLIFT,0))),0)))</f>
        <v/>
      </c>
      <c r="U61" s="10">
        <f>IF(OR($H61&lt;&gt;"Y",12&lt;$I61),0,IF(SUMPRODUCT(((BULK_ENABLED="Y")*((BULK_TIER="ALL")+(BULK_TIER=$F61))*((BULK_SKU="ALL")+(BULK_SKU=$G61))*(BULK_START&lt;=12)*(BULK_END&gt;=12)))&gt;0,IFERROR(SUMPRODUCT(((BULK_ENABLED="Y")*((BULK_TIER="ALL")+(BULK_TIER=$F61))*((BULK_SKU="ALL")+(BULK_SKU=$G61))*(BULK_START&lt;=12)*(BULK_END&gt;=12))*IFERROR(BULK_VALUE,0))/MAX(1,SUMPRODUCT(((BULK_ENABLED="Y")*((BULK_TIER="ALL")+(BULK_TIER=$F61))*((BULK_SKU="ALL")+(BULK_SKU=$G61))*(BULK_START&lt;=12)*(BULK_END&gt;=12)))),0),ROUND((INDEX(VELOCITY_TABLE,MATCH($F61,TIER_LIST,0),3))*(IF((12-$I61+1)&lt;=0,0,IF((12-$I61+1)=1,RAMP_W1,IF((12-$I61+1)=2,RAMP_W2,IF((12-$I61+1)=3,RAMP_W3,RAMP_W4PLUS)))))*(INDEX(ACTIVE_MULT_TABLE,3,1))*(1+SUMPRODUCT(SIGN(((ACT_DOOR_SCOPE="ALL")+(ACT_DOOR_SCOPE="TIER_"&amp;$F61)+(ACT_DOOR_SCOPE=$B61)))*SIGN(((ACT_SKU_SCOPE="ALL")+(ACT_SKU_SCOPE=$G61)))*(ACT_START&lt;=12)*(ACT_END&gt;=12)*IFERROR(ACT_UPLIFT-1,0)))*(1+SUMPRODUCT(SIGN(((ACT_DOOR_SCOPE="ALL")+(ACT_DOOR_SCOPE="TIER_"&amp;$F61)+(ACT_DOOR_SCOPE=$B61)))*SIGN(((ACT_SKU_SCOPE="ALL")+(ACT_SKU_SCOPE=$G61)))*(12&gt;ACT_END)*(ACT_END&gt;0)*IFERROR(ACT_POSTLIFT,0))),0)))</f>
        <v/>
      </c>
      <c r="V61" s="10">
        <f>IF(OR($H61&lt;&gt;"Y",13&lt;$I61),0,IF(SUMPRODUCT(((BULK_ENABLED="Y")*((BULK_TIER="ALL")+(BULK_TIER=$F61))*((BULK_SKU="ALL")+(BULK_SKU=$G61))*(BULK_START&lt;=13)*(BULK_END&gt;=13)))&gt;0,IFERROR(SUMPRODUCT(((BULK_ENABLED="Y")*((BULK_TIER="ALL")+(BULK_TIER=$F61))*((BULK_SKU="ALL")+(BULK_SKU=$G61))*(BULK_START&lt;=13)*(BULK_END&gt;=13))*IFERROR(BULK_VALUE,0))/MAX(1,SUMPRODUCT(((BULK_ENABLED="Y")*((BULK_TIER="ALL")+(BULK_TIER=$F61))*((BULK_SKU="ALL")+(BULK_SKU=$G61))*(BULK_START&lt;=13)*(BULK_END&gt;=13)))),0),ROUND((INDEX(VELOCITY_TABLE,MATCH($F61,TIER_LIST,0),3))*(IF((13-$I61+1)&lt;=0,0,IF((13-$I61+1)=1,RAMP_W1,IF((13-$I61+1)=2,RAMP_W2,IF((13-$I61+1)=3,RAMP_W3,RAMP_W4PLUS)))))*(INDEX(ACTIVE_MULT_TABLE,3,1))*(1+SUMPRODUCT(SIGN(((ACT_DOOR_SCOPE="ALL")+(ACT_DOOR_SCOPE="TIER_"&amp;$F61)+(ACT_DOOR_SCOPE=$B61)))*SIGN(((ACT_SKU_SCOPE="ALL")+(ACT_SKU_SCOPE=$G61)))*(ACT_START&lt;=13)*(ACT_END&gt;=13)*IFERROR(ACT_UPLIFT-1,0)))*(1+SUMPRODUCT(SIGN(((ACT_DOOR_SCOPE="ALL")+(ACT_DOOR_SCOPE="TIER_"&amp;$F61)+(ACT_DOOR_SCOPE=$B61)))*SIGN(((ACT_SKU_SCOPE="ALL")+(ACT_SKU_SCOPE=$G61)))*(13&gt;ACT_END)*(ACT_END&gt;0)*IFERROR(ACT_POSTLIFT,0))),0)))</f>
        <v/>
      </c>
    </row>
    <row r="62">
      <c r="A62" t="inlineStr">
        <is>
          <t>R0058</t>
        </is>
      </c>
      <c r="B62">
        <f>Doors!$A$24</f>
        <v/>
      </c>
      <c r="C62">
        <f>Doors!$C$24</f>
        <v/>
      </c>
      <c r="D62">
        <f>Doors!$B$24</f>
        <v/>
      </c>
      <c r="E62">
        <f>Doors!$E$24</f>
        <v/>
      </c>
      <c r="F62">
        <f>Doors!$F$24</f>
        <v/>
      </c>
      <c r="G62" t="inlineStr">
        <is>
          <t>Lime Lemon</t>
        </is>
      </c>
      <c r="H62">
        <f>Doors!$G$24</f>
        <v/>
      </c>
      <c r="I62">
        <f>Doors!$J$24</f>
        <v/>
      </c>
      <c r="J62" s="10">
        <f>IF(OR($H62&lt;&gt;"Y",1&lt;$I62),0,IF(SUMPRODUCT(((BULK_ENABLED="Y")*((BULK_TIER="ALL")+(BULK_TIER=$F62))*((BULK_SKU="ALL")+(BULK_SKU=$G62))*(BULK_START&lt;=1)*(BULK_END&gt;=1)))&gt;0,IFERROR(SUMPRODUCT(((BULK_ENABLED="Y")*((BULK_TIER="ALL")+(BULK_TIER=$F62))*((BULK_SKU="ALL")+(BULK_SKU=$G62))*(BULK_START&lt;=1)*(BULK_END&gt;=1))*IFERROR(BULK_VALUE,0))/MAX(1,SUMPRODUCT(((BULK_ENABLED="Y")*((BULK_TIER="ALL")+(BULK_TIER=$F62))*((BULK_SKU="ALL")+(BULK_SKU=$G62))*(BULK_START&lt;=1)*(BULK_END&gt;=1)))),0),ROUND((INDEX(VELOCITY_TABLE,MATCH($F62,TIER_LIST,0),1))*(IF((1-$I62+1)&lt;=0,0,IF((1-$I62+1)=1,RAMP_W1,IF((1-$I62+1)=2,RAMP_W2,IF((1-$I62+1)=3,RAMP_W3,RAMP_W4PLUS)))))*(INDEX(ACTIVE_MULT_TABLE,1,1))*(1+SUMPRODUCT(SIGN(((ACT_DOOR_SCOPE="ALL")+(ACT_DOOR_SCOPE="TIER_"&amp;$F62)+(ACT_DOOR_SCOPE=$B62)))*SIGN(((ACT_SKU_SCOPE="ALL")+(ACT_SKU_SCOPE=$G62)))*(ACT_START&lt;=1)*(ACT_END&gt;=1)*IFERROR(ACT_UPLIFT-1,0)))*(1+SUMPRODUCT(SIGN(((ACT_DOOR_SCOPE="ALL")+(ACT_DOOR_SCOPE="TIER_"&amp;$F62)+(ACT_DOOR_SCOPE=$B62)))*SIGN(((ACT_SKU_SCOPE="ALL")+(ACT_SKU_SCOPE=$G62)))*(1&gt;ACT_END)*(ACT_END&gt;0)*IFERROR(ACT_POSTLIFT,0))),0)))</f>
        <v/>
      </c>
      <c r="K62" s="10">
        <f>IF(OR($H62&lt;&gt;"Y",2&lt;$I62),0,IF(SUMPRODUCT(((BULK_ENABLED="Y")*((BULK_TIER="ALL")+(BULK_TIER=$F62))*((BULK_SKU="ALL")+(BULK_SKU=$G62))*(BULK_START&lt;=2)*(BULK_END&gt;=2)))&gt;0,IFERROR(SUMPRODUCT(((BULK_ENABLED="Y")*((BULK_TIER="ALL")+(BULK_TIER=$F62))*((BULK_SKU="ALL")+(BULK_SKU=$G62))*(BULK_START&lt;=2)*(BULK_END&gt;=2))*IFERROR(BULK_VALUE,0))/MAX(1,SUMPRODUCT(((BULK_ENABLED="Y")*((BULK_TIER="ALL")+(BULK_TIER=$F62))*((BULK_SKU="ALL")+(BULK_SKU=$G62))*(BULK_START&lt;=2)*(BULK_END&gt;=2)))),0),ROUND((INDEX(VELOCITY_TABLE,MATCH($F62,TIER_LIST,0),1))*(IF((2-$I62+1)&lt;=0,0,IF((2-$I62+1)=1,RAMP_W1,IF((2-$I62+1)=2,RAMP_W2,IF((2-$I62+1)=3,RAMP_W3,RAMP_W4PLUS)))))*(INDEX(ACTIVE_MULT_TABLE,1,1))*(1+SUMPRODUCT(SIGN(((ACT_DOOR_SCOPE="ALL")+(ACT_DOOR_SCOPE="TIER_"&amp;$F62)+(ACT_DOOR_SCOPE=$B62)))*SIGN(((ACT_SKU_SCOPE="ALL")+(ACT_SKU_SCOPE=$G62)))*(ACT_START&lt;=2)*(ACT_END&gt;=2)*IFERROR(ACT_UPLIFT-1,0)))*(1+SUMPRODUCT(SIGN(((ACT_DOOR_SCOPE="ALL")+(ACT_DOOR_SCOPE="TIER_"&amp;$F62)+(ACT_DOOR_SCOPE=$B62)))*SIGN(((ACT_SKU_SCOPE="ALL")+(ACT_SKU_SCOPE=$G62)))*(2&gt;ACT_END)*(ACT_END&gt;0)*IFERROR(ACT_POSTLIFT,0))),0)))</f>
        <v/>
      </c>
      <c r="L62" s="10">
        <f>IF(OR($H62&lt;&gt;"Y",3&lt;$I62),0,IF(SUMPRODUCT(((BULK_ENABLED="Y")*((BULK_TIER="ALL")+(BULK_TIER=$F62))*((BULK_SKU="ALL")+(BULK_SKU=$G62))*(BULK_START&lt;=3)*(BULK_END&gt;=3)))&gt;0,IFERROR(SUMPRODUCT(((BULK_ENABLED="Y")*((BULK_TIER="ALL")+(BULK_TIER=$F62))*((BULK_SKU="ALL")+(BULK_SKU=$G62))*(BULK_START&lt;=3)*(BULK_END&gt;=3))*IFERROR(BULK_VALUE,0))/MAX(1,SUMPRODUCT(((BULK_ENABLED="Y")*((BULK_TIER="ALL")+(BULK_TIER=$F62))*((BULK_SKU="ALL")+(BULK_SKU=$G62))*(BULK_START&lt;=3)*(BULK_END&gt;=3)))),0),ROUND((INDEX(VELOCITY_TABLE,MATCH($F62,TIER_LIST,0),1))*(IF((3-$I62+1)&lt;=0,0,IF((3-$I62+1)=1,RAMP_W1,IF((3-$I62+1)=2,RAMP_W2,IF((3-$I62+1)=3,RAMP_W3,RAMP_W4PLUS)))))*(INDEX(ACTIVE_MULT_TABLE,1,1))*(1+SUMPRODUCT(SIGN(((ACT_DOOR_SCOPE="ALL")+(ACT_DOOR_SCOPE="TIER_"&amp;$F62)+(ACT_DOOR_SCOPE=$B62)))*SIGN(((ACT_SKU_SCOPE="ALL")+(ACT_SKU_SCOPE=$G62)))*(ACT_START&lt;=3)*(ACT_END&gt;=3)*IFERROR(ACT_UPLIFT-1,0)))*(1+SUMPRODUCT(SIGN(((ACT_DOOR_SCOPE="ALL")+(ACT_DOOR_SCOPE="TIER_"&amp;$F62)+(ACT_DOOR_SCOPE=$B62)))*SIGN(((ACT_SKU_SCOPE="ALL")+(ACT_SKU_SCOPE=$G62)))*(3&gt;ACT_END)*(ACT_END&gt;0)*IFERROR(ACT_POSTLIFT,0))),0)))</f>
        <v/>
      </c>
      <c r="M62" s="10">
        <f>IF(OR($H62&lt;&gt;"Y",4&lt;$I62),0,IF(SUMPRODUCT(((BULK_ENABLED="Y")*((BULK_TIER="ALL")+(BULK_TIER=$F62))*((BULK_SKU="ALL")+(BULK_SKU=$G62))*(BULK_START&lt;=4)*(BULK_END&gt;=4)))&gt;0,IFERROR(SUMPRODUCT(((BULK_ENABLED="Y")*((BULK_TIER="ALL")+(BULK_TIER=$F62))*((BULK_SKU="ALL")+(BULK_SKU=$G62))*(BULK_START&lt;=4)*(BULK_END&gt;=4))*IFERROR(BULK_VALUE,0))/MAX(1,SUMPRODUCT(((BULK_ENABLED="Y")*((BULK_TIER="ALL")+(BULK_TIER=$F62))*((BULK_SKU="ALL")+(BULK_SKU=$G62))*(BULK_START&lt;=4)*(BULK_END&gt;=4)))),0),ROUND((INDEX(VELOCITY_TABLE,MATCH($F62,TIER_LIST,0),1))*(IF((4-$I62+1)&lt;=0,0,IF((4-$I62+1)=1,RAMP_W1,IF((4-$I62+1)=2,RAMP_W2,IF((4-$I62+1)=3,RAMP_W3,RAMP_W4PLUS)))))*(INDEX(ACTIVE_MULT_TABLE,1,1))*(1+SUMPRODUCT(SIGN(((ACT_DOOR_SCOPE="ALL")+(ACT_DOOR_SCOPE="TIER_"&amp;$F62)+(ACT_DOOR_SCOPE=$B62)))*SIGN(((ACT_SKU_SCOPE="ALL")+(ACT_SKU_SCOPE=$G62)))*(ACT_START&lt;=4)*(ACT_END&gt;=4)*IFERROR(ACT_UPLIFT-1,0)))*(1+SUMPRODUCT(SIGN(((ACT_DOOR_SCOPE="ALL")+(ACT_DOOR_SCOPE="TIER_"&amp;$F62)+(ACT_DOOR_SCOPE=$B62)))*SIGN(((ACT_SKU_SCOPE="ALL")+(ACT_SKU_SCOPE=$G62)))*(4&gt;ACT_END)*(ACT_END&gt;0)*IFERROR(ACT_POSTLIFT,0))),0)))</f>
        <v/>
      </c>
      <c r="N62" s="10">
        <f>IF(OR($H62&lt;&gt;"Y",5&lt;$I62),0,IF(SUMPRODUCT(((BULK_ENABLED="Y")*((BULK_TIER="ALL")+(BULK_TIER=$F62))*((BULK_SKU="ALL")+(BULK_SKU=$G62))*(BULK_START&lt;=5)*(BULK_END&gt;=5)))&gt;0,IFERROR(SUMPRODUCT(((BULK_ENABLED="Y")*((BULK_TIER="ALL")+(BULK_TIER=$F62))*((BULK_SKU="ALL")+(BULK_SKU=$G62))*(BULK_START&lt;=5)*(BULK_END&gt;=5))*IFERROR(BULK_VALUE,0))/MAX(1,SUMPRODUCT(((BULK_ENABLED="Y")*((BULK_TIER="ALL")+(BULK_TIER=$F62))*((BULK_SKU="ALL")+(BULK_SKU=$G62))*(BULK_START&lt;=5)*(BULK_END&gt;=5)))),0),ROUND((INDEX(VELOCITY_TABLE,MATCH($F62,TIER_LIST,0),1))*(IF((5-$I62+1)&lt;=0,0,IF((5-$I62+1)=1,RAMP_W1,IF((5-$I62+1)=2,RAMP_W2,IF((5-$I62+1)=3,RAMP_W3,RAMP_W4PLUS)))))*(INDEX(ACTIVE_MULT_TABLE,1,1))*(1+SUMPRODUCT(SIGN(((ACT_DOOR_SCOPE="ALL")+(ACT_DOOR_SCOPE="TIER_"&amp;$F62)+(ACT_DOOR_SCOPE=$B62)))*SIGN(((ACT_SKU_SCOPE="ALL")+(ACT_SKU_SCOPE=$G62)))*(ACT_START&lt;=5)*(ACT_END&gt;=5)*IFERROR(ACT_UPLIFT-1,0)))*(1+SUMPRODUCT(SIGN(((ACT_DOOR_SCOPE="ALL")+(ACT_DOOR_SCOPE="TIER_"&amp;$F62)+(ACT_DOOR_SCOPE=$B62)))*SIGN(((ACT_SKU_SCOPE="ALL")+(ACT_SKU_SCOPE=$G62)))*(5&gt;ACT_END)*(ACT_END&gt;0)*IFERROR(ACT_POSTLIFT,0))),0)))</f>
        <v/>
      </c>
      <c r="O62" s="10">
        <f>IF(OR($H62&lt;&gt;"Y",6&lt;$I62),0,IF(SUMPRODUCT(((BULK_ENABLED="Y")*((BULK_TIER="ALL")+(BULK_TIER=$F62))*((BULK_SKU="ALL")+(BULK_SKU=$G62))*(BULK_START&lt;=6)*(BULK_END&gt;=6)))&gt;0,IFERROR(SUMPRODUCT(((BULK_ENABLED="Y")*((BULK_TIER="ALL")+(BULK_TIER=$F62))*((BULK_SKU="ALL")+(BULK_SKU=$G62))*(BULK_START&lt;=6)*(BULK_END&gt;=6))*IFERROR(BULK_VALUE,0))/MAX(1,SUMPRODUCT(((BULK_ENABLED="Y")*((BULK_TIER="ALL")+(BULK_TIER=$F62))*((BULK_SKU="ALL")+(BULK_SKU=$G62))*(BULK_START&lt;=6)*(BULK_END&gt;=6)))),0),ROUND((INDEX(VELOCITY_TABLE,MATCH($F62,TIER_LIST,0),1))*(IF((6-$I62+1)&lt;=0,0,IF((6-$I62+1)=1,RAMP_W1,IF((6-$I62+1)=2,RAMP_W2,IF((6-$I62+1)=3,RAMP_W3,RAMP_W4PLUS)))))*(INDEX(ACTIVE_MULT_TABLE,1,1))*(1+SUMPRODUCT(SIGN(((ACT_DOOR_SCOPE="ALL")+(ACT_DOOR_SCOPE="TIER_"&amp;$F62)+(ACT_DOOR_SCOPE=$B62)))*SIGN(((ACT_SKU_SCOPE="ALL")+(ACT_SKU_SCOPE=$G62)))*(ACT_START&lt;=6)*(ACT_END&gt;=6)*IFERROR(ACT_UPLIFT-1,0)))*(1+SUMPRODUCT(SIGN(((ACT_DOOR_SCOPE="ALL")+(ACT_DOOR_SCOPE="TIER_"&amp;$F62)+(ACT_DOOR_SCOPE=$B62)))*SIGN(((ACT_SKU_SCOPE="ALL")+(ACT_SKU_SCOPE=$G62)))*(6&gt;ACT_END)*(ACT_END&gt;0)*IFERROR(ACT_POSTLIFT,0))),0)))</f>
        <v/>
      </c>
      <c r="P62" s="10">
        <f>IF(OR($H62&lt;&gt;"Y",7&lt;$I62),0,IF(SUMPRODUCT(((BULK_ENABLED="Y")*((BULK_TIER="ALL")+(BULK_TIER=$F62))*((BULK_SKU="ALL")+(BULK_SKU=$G62))*(BULK_START&lt;=7)*(BULK_END&gt;=7)))&gt;0,IFERROR(SUMPRODUCT(((BULK_ENABLED="Y")*((BULK_TIER="ALL")+(BULK_TIER=$F62))*((BULK_SKU="ALL")+(BULK_SKU=$G62))*(BULK_START&lt;=7)*(BULK_END&gt;=7))*IFERROR(BULK_VALUE,0))/MAX(1,SUMPRODUCT(((BULK_ENABLED="Y")*((BULK_TIER="ALL")+(BULK_TIER=$F62))*((BULK_SKU="ALL")+(BULK_SKU=$G62))*(BULK_START&lt;=7)*(BULK_END&gt;=7)))),0),ROUND((INDEX(VELOCITY_TABLE,MATCH($F62,TIER_LIST,0),1))*(IF((7-$I62+1)&lt;=0,0,IF((7-$I62+1)=1,RAMP_W1,IF((7-$I62+1)=2,RAMP_W2,IF((7-$I62+1)=3,RAMP_W3,RAMP_W4PLUS)))))*(INDEX(ACTIVE_MULT_TABLE,1,1))*(1+SUMPRODUCT(SIGN(((ACT_DOOR_SCOPE="ALL")+(ACT_DOOR_SCOPE="TIER_"&amp;$F62)+(ACT_DOOR_SCOPE=$B62)))*SIGN(((ACT_SKU_SCOPE="ALL")+(ACT_SKU_SCOPE=$G62)))*(ACT_START&lt;=7)*(ACT_END&gt;=7)*IFERROR(ACT_UPLIFT-1,0)))*(1+SUMPRODUCT(SIGN(((ACT_DOOR_SCOPE="ALL")+(ACT_DOOR_SCOPE="TIER_"&amp;$F62)+(ACT_DOOR_SCOPE=$B62)))*SIGN(((ACT_SKU_SCOPE="ALL")+(ACT_SKU_SCOPE=$G62)))*(7&gt;ACT_END)*(ACT_END&gt;0)*IFERROR(ACT_POSTLIFT,0))),0)))</f>
        <v/>
      </c>
      <c r="Q62" s="10">
        <f>IF(OR($H62&lt;&gt;"Y",8&lt;$I62),0,IF(SUMPRODUCT(((BULK_ENABLED="Y")*((BULK_TIER="ALL")+(BULK_TIER=$F62))*((BULK_SKU="ALL")+(BULK_SKU=$G62))*(BULK_START&lt;=8)*(BULK_END&gt;=8)))&gt;0,IFERROR(SUMPRODUCT(((BULK_ENABLED="Y")*((BULK_TIER="ALL")+(BULK_TIER=$F62))*((BULK_SKU="ALL")+(BULK_SKU=$G62))*(BULK_START&lt;=8)*(BULK_END&gt;=8))*IFERROR(BULK_VALUE,0))/MAX(1,SUMPRODUCT(((BULK_ENABLED="Y")*((BULK_TIER="ALL")+(BULK_TIER=$F62))*((BULK_SKU="ALL")+(BULK_SKU=$G62))*(BULK_START&lt;=8)*(BULK_END&gt;=8)))),0),ROUND((INDEX(VELOCITY_TABLE,MATCH($F62,TIER_LIST,0),1))*(IF((8-$I62+1)&lt;=0,0,IF((8-$I62+1)=1,RAMP_W1,IF((8-$I62+1)=2,RAMP_W2,IF((8-$I62+1)=3,RAMP_W3,RAMP_W4PLUS)))))*(INDEX(ACTIVE_MULT_TABLE,1,1))*(1+SUMPRODUCT(SIGN(((ACT_DOOR_SCOPE="ALL")+(ACT_DOOR_SCOPE="TIER_"&amp;$F62)+(ACT_DOOR_SCOPE=$B62)))*SIGN(((ACT_SKU_SCOPE="ALL")+(ACT_SKU_SCOPE=$G62)))*(ACT_START&lt;=8)*(ACT_END&gt;=8)*IFERROR(ACT_UPLIFT-1,0)))*(1+SUMPRODUCT(SIGN(((ACT_DOOR_SCOPE="ALL")+(ACT_DOOR_SCOPE="TIER_"&amp;$F62)+(ACT_DOOR_SCOPE=$B62)))*SIGN(((ACT_SKU_SCOPE="ALL")+(ACT_SKU_SCOPE=$G62)))*(8&gt;ACT_END)*(ACT_END&gt;0)*IFERROR(ACT_POSTLIFT,0))),0)))</f>
        <v/>
      </c>
      <c r="R62" s="10">
        <f>IF(OR($H62&lt;&gt;"Y",9&lt;$I62),0,IF(SUMPRODUCT(((BULK_ENABLED="Y")*((BULK_TIER="ALL")+(BULK_TIER=$F62))*((BULK_SKU="ALL")+(BULK_SKU=$G62))*(BULK_START&lt;=9)*(BULK_END&gt;=9)))&gt;0,IFERROR(SUMPRODUCT(((BULK_ENABLED="Y")*((BULK_TIER="ALL")+(BULK_TIER=$F62))*((BULK_SKU="ALL")+(BULK_SKU=$G62))*(BULK_START&lt;=9)*(BULK_END&gt;=9))*IFERROR(BULK_VALUE,0))/MAX(1,SUMPRODUCT(((BULK_ENABLED="Y")*((BULK_TIER="ALL")+(BULK_TIER=$F62))*((BULK_SKU="ALL")+(BULK_SKU=$G62))*(BULK_START&lt;=9)*(BULK_END&gt;=9)))),0),ROUND((INDEX(VELOCITY_TABLE,MATCH($F62,TIER_LIST,0),1))*(IF((9-$I62+1)&lt;=0,0,IF((9-$I62+1)=1,RAMP_W1,IF((9-$I62+1)=2,RAMP_W2,IF((9-$I62+1)=3,RAMP_W3,RAMP_W4PLUS)))))*(INDEX(ACTIVE_MULT_TABLE,1,1))*(1+SUMPRODUCT(SIGN(((ACT_DOOR_SCOPE="ALL")+(ACT_DOOR_SCOPE="TIER_"&amp;$F62)+(ACT_DOOR_SCOPE=$B62)))*SIGN(((ACT_SKU_SCOPE="ALL")+(ACT_SKU_SCOPE=$G62)))*(ACT_START&lt;=9)*(ACT_END&gt;=9)*IFERROR(ACT_UPLIFT-1,0)))*(1+SUMPRODUCT(SIGN(((ACT_DOOR_SCOPE="ALL")+(ACT_DOOR_SCOPE="TIER_"&amp;$F62)+(ACT_DOOR_SCOPE=$B62)))*SIGN(((ACT_SKU_SCOPE="ALL")+(ACT_SKU_SCOPE=$G62)))*(9&gt;ACT_END)*(ACT_END&gt;0)*IFERROR(ACT_POSTLIFT,0))),0)))</f>
        <v/>
      </c>
      <c r="S62" s="10">
        <f>IF(OR($H62&lt;&gt;"Y",10&lt;$I62),0,IF(SUMPRODUCT(((BULK_ENABLED="Y")*((BULK_TIER="ALL")+(BULK_TIER=$F62))*((BULK_SKU="ALL")+(BULK_SKU=$G62))*(BULK_START&lt;=10)*(BULK_END&gt;=10)))&gt;0,IFERROR(SUMPRODUCT(((BULK_ENABLED="Y")*((BULK_TIER="ALL")+(BULK_TIER=$F62))*((BULK_SKU="ALL")+(BULK_SKU=$G62))*(BULK_START&lt;=10)*(BULK_END&gt;=10))*IFERROR(BULK_VALUE,0))/MAX(1,SUMPRODUCT(((BULK_ENABLED="Y")*((BULK_TIER="ALL")+(BULK_TIER=$F62))*((BULK_SKU="ALL")+(BULK_SKU=$G62))*(BULK_START&lt;=10)*(BULK_END&gt;=10)))),0),ROUND((INDEX(VELOCITY_TABLE,MATCH($F62,TIER_LIST,0),1))*(IF((10-$I62+1)&lt;=0,0,IF((10-$I62+1)=1,RAMP_W1,IF((10-$I62+1)=2,RAMP_W2,IF((10-$I62+1)=3,RAMP_W3,RAMP_W4PLUS)))))*(INDEX(ACTIVE_MULT_TABLE,1,1))*(1+SUMPRODUCT(SIGN(((ACT_DOOR_SCOPE="ALL")+(ACT_DOOR_SCOPE="TIER_"&amp;$F62)+(ACT_DOOR_SCOPE=$B62)))*SIGN(((ACT_SKU_SCOPE="ALL")+(ACT_SKU_SCOPE=$G62)))*(ACT_START&lt;=10)*(ACT_END&gt;=10)*IFERROR(ACT_UPLIFT-1,0)))*(1+SUMPRODUCT(SIGN(((ACT_DOOR_SCOPE="ALL")+(ACT_DOOR_SCOPE="TIER_"&amp;$F62)+(ACT_DOOR_SCOPE=$B62)))*SIGN(((ACT_SKU_SCOPE="ALL")+(ACT_SKU_SCOPE=$G62)))*(10&gt;ACT_END)*(ACT_END&gt;0)*IFERROR(ACT_POSTLIFT,0))),0)))</f>
        <v/>
      </c>
      <c r="T62" s="10">
        <f>IF(OR($H62&lt;&gt;"Y",11&lt;$I62),0,IF(SUMPRODUCT(((BULK_ENABLED="Y")*((BULK_TIER="ALL")+(BULK_TIER=$F62))*((BULK_SKU="ALL")+(BULK_SKU=$G62))*(BULK_START&lt;=11)*(BULK_END&gt;=11)))&gt;0,IFERROR(SUMPRODUCT(((BULK_ENABLED="Y")*((BULK_TIER="ALL")+(BULK_TIER=$F62))*((BULK_SKU="ALL")+(BULK_SKU=$G62))*(BULK_START&lt;=11)*(BULK_END&gt;=11))*IFERROR(BULK_VALUE,0))/MAX(1,SUMPRODUCT(((BULK_ENABLED="Y")*((BULK_TIER="ALL")+(BULK_TIER=$F62))*((BULK_SKU="ALL")+(BULK_SKU=$G62))*(BULK_START&lt;=11)*(BULK_END&gt;=11)))),0),ROUND((INDEX(VELOCITY_TABLE,MATCH($F62,TIER_LIST,0),1))*(IF((11-$I62+1)&lt;=0,0,IF((11-$I62+1)=1,RAMP_W1,IF((11-$I62+1)=2,RAMP_W2,IF((11-$I62+1)=3,RAMP_W3,RAMP_W4PLUS)))))*(INDEX(ACTIVE_MULT_TABLE,1,1))*(1+SUMPRODUCT(SIGN(((ACT_DOOR_SCOPE="ALL")+(ACT_DOOR_SCOPE="TIER_"&amp;$F62)+(ACT_DOOR_SCOPE=$B62)))*SIGN(((ACT_SKU_SCOPE="ALL")+(ACT_SKU_SCOPE=$G62)))*(ACT_START&lt;=11)*(ACT_END&gt;=11)*IFERROR(ACT_UPLIFT-1,0)))*(1+SUMPRODUCT(SIGN(((ACT_DOOR_SCOPE="ALL")+(ACT_DOOR_SCOPE="TIER_"&amp;$F62)+(ACT_DOOR_SCOPE=$B62)))*SIGN(((ACT_SKU_SCOPE="ALL")+(ACT_SKU_SCOPE=$G62)))*(11&gt;ACT_END)*(ACT_END&gt;0)*IFERROR(ACT_POSTLIFT,0))),0)))</f>
        <v/>
      </c>
      <c r="U62" s="10">
        <f>IF(OR($H62&lt;&gt;"Y",12&lt;$I62),0,IF(SUMPRODUCT(((BULK_ENABLED="Y")*((BULK_TIER="ALL")+(BULK_TIER=$F62))*((BULK_SKU="ALL")+(BULK_SKU=$G62))*(BULK_START&lt;=12)*(BULK_END&gt;=12)))&gt;0,IFERROR(SUMPRODUCT(((BULK_ENABLED="Y")*((BULK_TIER="ALL")+(BULK_TIER=$F62))*((BULK_SKU="ALL")+(BULK_SKU=$G62))*(BULK_START&lt;=12)*(BULK_END&gt;=12))*IFERROR(BULK_VALUE,0))/MAX(1,SUMPRODUCT(((BULK_ENABLED="Y")*((BULK_TIER="ALL")+(BULK_TIER=$F62))*((BULK_SKU="ALL")+(BULK_SKU=$G62))*(BULK_START&lt;=12)*(BULK_END&gt;=12)))),0),ROUND((INDEX(VELOCITY_TABLE,MATCH($F62,TIER_LIST,0),1))*(IF((12-$I62+1)&lt;=0,0,IF((12-$I62+1)=1,RAMP_W1,IF((12-$I62+1)=2,RAMP_W2,IF((12-$I62+1)=3,RAMP_W3,RAMP_W4PLUS)))))*(INDEX(ACTIVE_MULT_TABLE,1,1))*(1+SUMPRODUCT(SIGN(((ACT_DOOR_SCOPE="ALL")+(ACT_DOOR_SCOPE="TIER_"&amp;$F62)+(ACT_DOOR_SCOPE=$B62)))*SIGN(((ACT_SKU_SCOPE="ALL")+(ACT_SKU_SCOPE=$G62)))*(ACT_START&lt;=12)*(ACT_END&gt;=12)*IFERROR(ACT_UPLIFT-1,0)))*(1+SUMPRODUCT(SIGN(((ACT_DOOR_SCOPE="ALL")+(ACT_DOOR_SCOPE="TIER_"&amp;$F62)+(ACT_DOOR_SCOPE=$B62)))*SIGN(((ACT_SKU_SCOPE="ALL")+(ACT_SKU_SCOPE=$G62)))*(12&gt;ACT_END)*(ACT_END&gt;0)*IFERROR(ACT_POSTLIFT,0))),0)))</f>
        <v/>
      </c>
      <c r="V62" s="10">
        <f>IF(OR($H62&lt;&gt;"Y",13&lt;$I62),0,IF(SUMPRODUCT(((BULK_ENABLED="Y")*((BULK_TIER="ALL")+(BULK_TIER=$F62))*((BULK_SKU="ALL")+(BULK_SKU=$G62))*(BULK_START&lt;=13)*(BULK_END&gt;=13)))&gt;0,IFERROR(SUMPRODUCT(((BULK_ENABLED="Y")*((BULK_TIER="ALL")+(BULK_TIER=$F62))*((BULK_SKU="ALL")+(BULK_SKU=$G62))*(BULK_START&lt;=13)*(BULK_END&gt;=13))*IFERROR(BULK_VALUE,0))/MAX(1,SUMPRODUCT(((BULK_ENABLED="Y")*((BULK_TIER="ALL")+(BULK_TIER=$F62))*((BULK_SKU="ALL")+(BULK_SKU=$G62))*(BULK_START&lt;=13)*(BULK_END&gt;=13)))),0),ROUND((INDEX(VELOCITY_TABLE,MATCH($F62,TIER_LIST,0),1))*(IF((13-$I62+1)&lt;=0,0,IF((13-$I62+1)=1,RAMP_W1,IF((13-$I62+1)=2,RAMP_W2,IF((13-$I62+1)=3,RAMP_W3,RAMP_W4PLUS)))))*(INDEX(ACTIVE_MULT_TABLE,1,1))*(1+SUMPRODUCT(SIGN(((ACT_DOOR_SCOPE="ALL")+(ACT_DOOR_SCOPE="TIER_"&amp;$F62)+(ACT_DOOR_SCOPE=$B62)))*SIGN(((ACT_SKU_SCOPE="ALL")+(ACT_SKU_SCOPE=$G62)))*(ACT_START&lt;=13)*(ACT_END&gt;=13)*IFERROR(ACT_UPLIFT-1,0)))*(1+SUMPRODUCT(SIGN(((ACT_DOOR_SCOPE="ALL")+(ACT_DOOR_SCOPE="TIER_"&amp;$F62)+(ACT_DOOR_SCOPE=$B62)))*SIGN(((ACT_SKU_SCOPE="ALL")+(ACT_SKU_SCOPE=$G62)))*(13&gt;ACT_END)*(ACT_END&gt;0)*IFERROR(ACT_POSTLIFT,0))),0)))</f>
        <v/>
      </c>
    </row>
    <row r="63">
      <c r="A63" t="inlineStr">
        <is>
          <t>R0059</t>
        </is>
      </c>
      <c r="B63">
        <f>Doors!$A$24</f>
        <v/>
      </c>
      <c r="C63">
        <f>Doors!$C$24</f>
        <v/>
      </c>
      <c r="D63">
        <f>Doors!$B$24</f>
        <v/>
      </c>
      <c r="E63">
        <f>Doors!$E$24</f>
        <v/>
      </c>
      <c r="F63">
        <f>Doors!$F$24</f>
        <v/>
      </c>
      <c r="G63" t="inlineStr">
        <is>
          <t>Pineapple Passion Fruit</t>
        </is>
      </c>
      <c r="H63">
        <f>Doors!$H$24</f>
        <v/>
      </c>
      <c r="I63">
        <f>Doors!$J$24</f>
        <v/>
      </c>
      <c r="J63" s="10">
        <f>IF(OR($H63&lt;&gt;"Y",1&lt;$I63),0,IF(SUMPRODUCT(((BULK_ENABLED="Y")*((BULK_TIER="ALL")+(BULK_TIER=$F63))*((BULK_SKU="ALL")+(BULK_SKU=$G63))*(BULK_START&lt;=1)*(BULK_END&gt;=1)))&gt;0,IFERROR(SUMPRODUCT(((BULK_ENABLED="Y")*((BULK_TIER="ALL")+(BULK_TIER=$F63))*((BULK_SKU="ALL")+(BULK_SKU=$G63))*(BULK_START&lt;=1)*(BULK_END&gt;=1))*IFERROR(BULK_VALUE,0))/MAX(1,SUMPRODUCT(((BULK_ENABLED="Y")*((BULK_TIER="ALL")+(BULK_TIER=$F63))*((BULK_SKU="ALL")+(BULK_SKU=$G63))*(BULK_START&lt;=1)*(BULK_END&gt;=1)))),0),ROUND((INDEX(VELOCITY_TABLE,MATCH($F63,TIER_LIST,0),2))*(IF((1-$I63+1)&lt;=0,0,IF((1-$I63+1)=1,RAMP_W1,IF((1-$I63+1)=2,RAMP_W2,IF((1-$I63+1)=3,RAMP_W3,RAMP_W4PLUS)))))*(INDEX(ACTIVE_MULT_TABLE,2,1))*(1+SUMPRODUCT(SIGN(((ACT_DOOR_SCOPE="ALL")+(ACT_DOOR_SCOPE="TIER_"&amp;$F63)+(ACT_DOOR_SCOPE=$B63)))*SIGN(((ACT_SKU_SCOPE="ALL")+(ACT_SKU_SCOPE=$G63)))*(ACT_START&lt;=1)*(ACT_END&gt;=1)*IFERROR(ACT_UPLIFT-1,0)))*(1+SUMPRODUCT(SIGN(((ACT_DOOR_SCOPE="ALL")+(ACT_DOOR_SCOPE="TIER_"&amp;$F63)+(ACT_DOOR_SCOPE=$B63)))*SIGN(((ACT_SKU_SCOPE="ALL")+(ACT_SKU_SCOPE=$G63)))*(1&gt;ACT_END)*(ACT_END&gt;0)*IFERROR(ACT_POSTLIFT,0))),0)))</f>
        <v/>
      </c>
      <c r="K63" s="10">
        <f>IF(OR($H63&lt;&gt;"Y",2&lt;$I63),0,IF(SUMPRODUCT(((BULK_ENABLED="Y")*((BULK_TIER="ALL")+(BULK_TIER=$F63))*((BULK_SKU="ALL")+(BULK_SKU=$G63))*(BULK_START&lt;=2)*(BULK_END&gt;=2)))&gt;0,IFERROR(SUMPRODUCT(((BULK_ENABLED="Y")*((BULK_TIER="ALL")+(BULK_TIER=$F63))*((BULK_SKU="ALL")+(BULK_SKU=$G63))*(BULK_START&lt;=2)*(BULK_END&gt;=2))*IFERROR(BULK_VALUE,0))/MAX(1,SUMPRODUCT(((BULK_ENABLED="Y")*((BULK_TIER="ALL")+(BULK_TIER=$F63))*((BULK_SKU="ALL")+(BULK_SKU=$G63))*(BULK_START&lt;=2)*(BULK_END&gt;=2)))),0),ROUND((INDEX(VELOCITY_TABLE,MATCH($F63,TIER_LIST,0),2))*(IF((2-$I63+1)&lt;=0,0,IF((2-$I63+1)=1,RAMP_W1,IF((2-$I63+1)=2,RAMP_W2,IF((2-$I63+1)=3,RAMP_W3,RAMP_W4PLUS)))))*(INDEX(ACTIVE_MULT_TABLE,2,1))*(1+SUMPRODUCT(SIGN(((ACT_DOOR_SCOPE="ALL")+(ACT_DOOR_SCOPE="TIER_"&amp;$F63)+(ACT_DOOR_SCOPE=$B63)))*SIGN(((ACT_SKU_SCOPE="ALL")+(ACT_SKU_SCOPE=$G63)))*(ACT_START&lt;=2)*(ACT_END&gt;=2)*IFERROR(ACT_UPLIFT-1,0)))*(1+SUMPRODUCT(SIGN(((ACT_DOOR_SCOPE="ALL")+(ACT_DOOR_SCOPE="TIER_"&amp;$F63)+(ACT_DOOR_SCOPE=$B63)))*SIGN(((ACT_SKU_SCOPE="ALL")+(ACT_SKU_SCOPE=$G63)))*(2&gt;ACT_END)*(ACT_END&gt;0)*IFERROR(ACT_POSTLIFT,0))),0)))</f>
        <v/>
      </c>
      <c r="L63" s="10">
        <f>IF(OR($H63&lt;&gt;"Y",3&lt;$I63),0,IF(SUMPRODUCT(((BULK_ENABLED="Y")*((BULK_TIER="ALL")+(BULK_TIER=$F63))*((BULK_SKU="ALL")+(BULK_SKU=$G63))*(BULK_START&lt;=3)*(BULK_END&gt;=3)))&gt;0,IFERROR(SUMPRODUCT(((BULK_ENABLED="Y")*((BULK_TIER="ALL")+(BULK_TIER=$F63))*((BULK_SKU="ALL")+(BULK_SKU=$G63))*(BULK_START&lt;=3)*(BULK_END&gt;=3))*IFERROR(BULK_VALUE,0))/MAX(1,SUMPRODUCT(((BULK_ENABLED="Y")*((BULK_TIER="ALL")+(BULK_TIER=$F63))*((BULK_SKU="ALL")+(BULK_SKU=$G63))*(BULK_START&lt;=3)*(BULK_END&gt;=3)))),0),ROUND((INDEX(VELOCITY_TABLE,MATCH($F63,TIER_LIST,0),2))*(IF((3-$I63+1)&lt;=0,0,IF((3-$I63+1)=1,RAMP_W1,IF((3-$I63+1)=2,RAMP_W2,IF((3-$I63+1)=3,RAMP_W3,RAMP_W4PLUS)))))*(INDEX(ACTIVE_MULT_TABLE,2,1))*(1+SUMPRODUCT(SIGN(((ACT_DOOR_SCOPE="ALL")+(ACT_DOOR_SCOPE="TIER_"&amp;$F63)+(ACT_DOOR_SCOPE=$B63)))*SIGN(((ACT_SKU_SCOPE="ALL")+(ACT_SKU_SCOPE=$G63)))*(ACT_START&lt;=3)*(ACT_END&gt;=3)*IFERROR(ACT_UPLIFT-1,0)))*(1+SUMPRODUCT(SIGN(((ACT_DOOR_SCOPE="ALL")+(ACT_DOOR_SCOPE="TIER_"&amp;$F63)+(ACT_DOOR_SCOPE=$B63)))*SIGN(((ACT_SKU_SCOPE="ALL")+(ACT_SKU_SCOPE=$G63)))*(3&gt;ACT_END)*(ACT_END&gt;0)*IFERROR(ACT_POSTLIFT,0))),0)))</f>
        <v/>
      </c>
      <c r="M63" s="10">
        <f>IF(OR($H63&lt;&gt;"Y",4&lt;$I63),0,IF(SUMPRODUCT(((BULK_ENABLED="Y")*((BULK_TIER="ALL")+(BULK_TIER=$F63))*((BULK_SKU="ALL")+(BULK_SKU=$G63))*(BULK_START&lt;=4)*(BULK_END&gt;=4)))&gt;0,IFERROR(SUMPRODUCT(((BULK_ENABLED="Y")*((BULK_TIER="ALL")+(BULK_TIER=$F63))*((BULK_SKU="ALL")+(BULK_SKU=$G63))*(BULK_START&lt;=4)*(BULK_END&gt;=4))*IFERROR(BULK_VALUE,0))/MAX(1,SUMPRODUCT(((BULK_ENABLED="Y")*((BULK_TIER="ALL")+(BULK_TIER=$F63))*((BULK_SKU="ALL")+(BULK_SKU=$G63))*(BULK_START&lt;=4)*(BULK_END&gt;=4)))),0),ROUND((INDEX(VELOCITY_TABLE,MATCH($F63,TIER_LIST,0),2))*(IF((4-$I63+1)&lt;=0,0,IF((4-$I63+1)=1,RAMP_W1,IF((4-$I63+1)=2,RAMP_W2,IF((4-$I63+1)=3,RAMP_W3,RAMP_W4PLUS)))))*(INDEX(ACTIVE_MULT_TABLE,2,1))*(1+SUMPRODUCT(SIGN(((ACT_DOOR_SCOPE="ALL")+(ACT_DOOR_SCOPE="TIER_"&amp;$F63)+(ACT_DOOR_SCOPE=$B63)))*SIGN(((ACT_SKU_SCOPE="ALL")+(ACT_SKU_SCOPE=$G63)))*(ACT_START&lt;=4)*(ACT_END&gt;=4)*IFERROR(ACT_UPLIFT-1,0)))*(1+SUMPRODUCT(SIGN(((ACT_DOOR_SCOPE="ALL")+(ACT_DOOR_SCOPE="TIER_"&amp;$F63)+(ACT_DOOR_SCOPE=$B63)))*SIGN(((ACT_SKU_SCOPE="ALL")+(ACT_SKU_SCOPE=$G63)))*(4&gt;ACT_END)*(ACT_END&gt;0)*IFERROR(ACT_POSTLIFT,0))),0)))</f>
        <v/>
      </c>
      <c r="N63" s="10">
        <f>IF(OR($H63&lt;&gt;"Y",5&lt;$I63),0,IF(SUMPRODUCT(((BULK_ENABLED="Y")*((BULK_TIER="ALL")+(BULK_TIER=$F63))*((BULK_SKU="ALL")+(BULK_SKU=$G63))*(BULK_START&lt;=5)*(BULK_END&gt;=5)))&gt;0,IFERROR(SUMPRODUCT(((BULK_ENABLED="Y")*((BULK_TIER="ALL")+(BULK_TIER=$F63))*((BULK_SKU="ALL")+(BULK_SKU=$G63))*(BULK_START&lt;=5)*(BULK_END&gt;=5))*IFERROR(BULK_VALUE,0))/MAX(1,SUMPRODUCT(((BULK_ENABLED="Y")*((BULK_TIER="ALL")+(BULK_TIER=$F63))*((BULK_SKU="ALL")+(BULK_SKU=$G63))*(BULK_START&lt;=5)*(BULK_END&gt;=5)))),0),ROUND((INDEX(VELOCITY_TABLE,MATCH($F63,TIER_LIST,0),2))*(IF((5-$I63+1)&lt;=0,0,IF((5-$I63+1)=1,RAMP_W1,IF((5-$I63+1)=2,RAMP_W2,IF((5-$I63+1)=3,RAMP_W3,RAMP_W4PLUS)))))*(INDEX(ACTIVE_MULT_TABLE,2,1))*(1+SUMPRODUCT(SIGN(((ACT_DOOR_SCOPE="ALL")+(ACT_DOOR_SCOPE="TIER_"&amp;$F63)+(ACT_DOOR_SCOPE=$B63)))*SIGN(((ACT_SKU_SCOPE="ALL")+(ACT_SKU_SCOPE=$G63)))*(ACT_START&lt;=5)*(ACT_END&gt;=5)*IFERROR(ACT_UPLIFT-1,0)))*(1+SUMPRODUCT(SIGN(((ACT_DOOR_SCOPE="ALL")+(ACT_DOOR_SCOPE="TIER_"&amp;$F63)+(ACT_DOOR_SCOPE=$B63)))*SIGN(((ACT_SKU_SCOPE="ALL")+(ACT_SKU_SCOPE=$G63)))*(5&gt;ACT_END)*(ACT_END&gt;0)*IFERROR(ACT_POSTLIFT,0))),0)))</f>
        <v/>
      </c>
      <c r="O63" s="10">
        <f>IF(OR($H63&lt;&gt;"Y",6&lt;$I63),0,IF(SUMPRODUCT(((BULK_ENABLED="Y")*((BULK_TIER="ALL")+(BULK_TIER=$F63))*((BULK_SKU="ALL")+(BULK_SKU=$G63))*(BULK_START&lt;=6)*(BULK_END&gt;=6)))&gt;0,IFERROR(SUMPRODUCT(((BULK_ENABLED="Y")*((BULK_TIER="ALL")+(BULK_TIER=$F63))*((BULK_SKU="ALL")+(BULK_SKU=$G63))*(BULK_START&lt;=6)*(BULK_END&gt;=6))*IFERROR(BULK_VALUE,0))/MAX(1,SUMPRODUCT(((BULK_ENABLED="Y")*((BULK_TIER="ALL")+(BULK_TIER=$F63))*((BULK_SKU="ALL")+(BULK_SKU=$G63))*(BULK_START&lt;=6)*(BULK_END&gt;=6)))),0),ROUND((INDEX(VELOCITY_TABLE,MATCH($F63,TIER_LIST,0),2))*(IF((6-$I63+1)&lt;=0,0,IF((6-$I63+1)=1,RAMP_W1,IF((6-$I63+1)=2,RAMP_W2,IF((6-$I63+1)=3,RAMP_W3,RAMP_W4PLUS)))))*(INDEX(ACTIVE_MULT_TABLE,2,1))*(1+SUMPRODUCT(SIGN(((ACT_DOOR_SCOPE="ALL")+(ACT_DOOR_SCOPE="TIER_"&amp;$F63)+(ACT_DOOR_SCOPE=$B63)))*SIGN(((ACT_SKU_SCOPE="ALL")+(ACT_SKU_SCOPE=$G63)))*(ACT_START&lt;=6)*(ACT_END&gt;=6)*IFERROR(ACT_UPLIFT-1,0)))*(1+SUMPRODUCT(SIGN(((ACT_DOOR_SCOPE="ALL")+(ACT_DOOR_SCOPE="TIER_"&amp;$F63)+(ACT_DOOR_SCOPE=$B63)))*SIGN(((ACT_SKU_SCOPE="ALL")+(ACT_SKU_SCOPE=$G63)))*(6&gt;ACT_END)*(ACT_END&gt;0)*IFERROR(ACT_POSTLIFT,0))),0)))</f>
        <v/>
      </c>
      <c r="P63" s="10">
        <f>IF(OR($H63&lt;&gt;"Y",7&lt;$I63),0,IF(SUMPRODUCT(((BULK_ENABLED="Y")*((BULK_TIER="ALL")+(BULK_TIER=$F63))*((BULK_SKU="ALL")+(BULK_SKU=$G63))*(BULK_START&lt;=7)*(BULK_END&gt;=7)))&gt;0,IFERROR(SUMPRODUCT(((BULK_ENABLED="Y")*((BULK_TIER="ALL")+(BULK_TIER=$F63))*((BULK_SKU="ALL")+(BULK_SKU=$G63))*(BULK_START&lt;=7)*(BULK_END&gt;=7))*IFERROR(BULK_VALUE,0))/MAX(1,SUMPRODUCT(((BULK_ENABLED="Y")*((BULK_TIER="ALL")+(BULK_TIER=$F63))*((BULK_SKU="ALL")+(BULK_SKU=$G63))*(BULK_START&lt;=7)*(BULK_END&gt;=7)))),0),ROUND((INDEX(VELOCITY_TABLE,MATCH($F63,TIER_LIST,0),2))*(IF((7-$I63+1)&lt;=0,0,IF((7-$I63+1)=1,RAMP_W1,IF((7-$I63+1)=2,RAMP_W2,IF((7-$I63+1)=3,RAMP_W3,RAMP_W4PLUS)))))*(INDEX(ACTIVE_MULT_TABLE,2,1))*(1+SUMPRODUCT(SIGN(((ACT_DOOR_SCOPE="ALL")+(ACT_DOOR_SCOPE="TIER_"&amp;$F63)+(ACT_DOOR_SCOPE=$B63)))*SIGN(((ACT_SKU_SCOPE="ALL")+(ACT_SKU_SCOPE=$G63)))*(ACT_START&lt;=7)*(ACT_END&gt;=7)*IFERROR(ACT_UPLIFT-1,0)))*(1+SUMPRODUCT(SIGN(((ACT_DOOR_SCOPE="ALL")+(ACT_DOOR_SCOPE="TIER_"&amp;$F63)+(ACT_DOOR_SCOPE=$B63)))*SIGN(((ACT_SKU_SCOPE="ALL")+(ACT_SKU_SCOPE=$G63)))*(7&gt;ACT_END)*(ACT_END&gt;0)*IFERROR(ACT_POSTLIFT,0))),0)))</f>
        <v/>
      </c>
      <c r="Q63" s="10">
        <f>IF(OR($H63&lt;&gt;"Y",8&lt;$I63),0,IF(SUMPRODUCT(((BULK_ENABLED="Y")*((BULK_TIER="ALL")+(BULK_TIER=$F63))*((BULK_SKU="ALL")+(BULK_SKU=$G63))*(BULK_START&lt;=8)*(BULK_END&gt;=8)))&gt;0,IFERROR(SUMPRODUCT(((BULK_ENABLED="Y")*((BULK_TIER="ALL")+(BULK_TIER=$F63))*((BULK_SKU="ALL")+(BULK_SKU=$G63))*(BULK_START&lt;=8)*(BULK_END&gt;=8))*IFERROR(BULK_VALUE,0))/MAX(1,SUMPRODUCT(((BULK_ENABLED="Y")*((BULK_TIER="ALL")+(BULK_TIER=$F63))*((BULK_SKU="ALL")+(BULK_SKU=$G63))*(BULK_START&lt;=8)*(BULK_END&gt;=8)))),0),ROUND((INDEX(VELOCITY_TABLE,MATCH($F63,TIER_LIST,0),2))*(IF((8-$I63+1)&lt;=0,0,IF((8-$I63+1)=1,RAMP_W1,IF((8-$I63+1)=2,RAMP_W2,IF((8-$I63+1)=3,RAMP_W3,RAMP_W4PLUS)))))*(INDEX(ACTIVE_MULT_TABLE,2,1))*(1+SUMPRODUCT(SIGN(((ACT_DOOR_SCOPE="ALL")+(ACT_DOOR_SCOPE="TIER_"&amp;$F63)+(ACT_DOOR_SCOPE=$B63)))*SIGN(((ACT_SKU_SCOPE="ALL")+(ACT_SKU_SCOPE=$G63)))*(ACT_START&lt;=8)*(ACT_END&gt;=8)*IFERROR(ACT_UPLIFT-1,0)))*(1+SUMPRODUCT(SIGN(((ACT_DOOR_SCOPE="ALL")+(ACT_DOOR_SCOPE="TIER_"&amp;$F63)+(ACT_DOOR_SCOPE=$B63)))*SIGN(((ACT_SKU_SCOPE="ALL")+(ACT_SKU_SCOPE=$G63)))*(8&gt;ACT_END)*(ACT_END&gt;0)*IFERROR(ACT_POSTLIFT,0))),0)))</f>
        <v/>
      </c>
      <c r="R63" s="10">
        <f>IF(OR($H63&lt;&gt;"Y",9&lt;$I63),0,IF(SUMPRODUCT(((BULK_ENABLED="Y")*((BULK_TIER="ALL")+(BULK_TIER=$F63))*((BULK_SKU="ALL")+(BULK_SKU=$G63))*(BULK_START&lt;=9)*(BULK_END&gt;=9)))&gt;0,IFERROR(SUMPRODUCT(((BULK_ENABLED="Y")*((BULK_TIER="ALL")+(BULK_TIER=$F63))*((BULK_SKU="ALL")+(BULK_SKU=$G63))*(BULK_START&lt;=9)*(BULK_END&gt;=9))*IFERROR(BULK_VALUE,0))/MAX(1,SUMPRODUCT(((BULK_ENABLED="Y")*((BULK_TIER="ALL")+(BULK_TIER=$F63))*((BULK_SKU="ALL")+(BULK_SKU=$G63))*(BULK_START&lt;=9)*(BULK_END&gt;=9)))),0),ROUND((INDEX(VELOCITY_TABLE,MATCH($F63,TIER_LIST,0),2))*(IF((9-$I63+1)&lt;=0,0,IF((9-$I63+1)=1,RAMP_W1,IF((9-$I63+1)=2,RAMP_W2,IF((9-$I63+1)=3,RAMP_W3,RAMP_W4PLUS)))))*(INDEX(ACTIVE_MULT_TABLE,2,1))*(1+SUMPRODUCT(SIGN(((ACT_DOOR_SCOPE="ALL")+(ACT_DOOR_SCOPE="TIER_"&amp;$F63)+(ACT_DOOR_SCOPE=$B63)))*SIGN(((ACT_SKU_SCOPE="ALL")+(ACT_SKU_SCOPE=$G63)))*(ACT_START&lt;=9)*(ACT_END&gt;=9)*IFERROR(ACT_UPLIFT-1,0)))*(1+SUMPRODUCT(SIGN(((ACT_DOOR_SCOPE="ALL")+(ACT_DOOR_SCOPE="TIER_"&amp;$F63)+(ACT_DOOR_SCOPE=$B63)))*SIGN(((ACT_SKU_SCOPE="ALL")+(ACT_SKU_SCOPE=$G63)))*(9&gt;ACT_END)*(ACT_END&gt;0)*IFERROR(ACT_POSTLIFT,0))),0)))</f>
        <v/>
      </c>
      <c r="S63" s="10">
        <f>IF(OR($H63&lt;&gt;"Y",10&lt;$I63),0,IF(SUMPRODUCT(((BULK_ENABLED="Y")*((BULK_TIER="ALL")+(BULK_TIER=$F63))*((BULK_SKU="ALL")+(BULK_SKU=$G63))*(BULK_START&lt;=10)*(BULK_END&gt;=10)))&gt;0,IFERROR(SUMPRODUCT(((BULK_ENABLED="Y")*((BULK_TIER="ALL")+(BULK_TIER=$F63))*((BULK_SKU="ALL")+(BULK_SKU=$G63))*(BULK_START&lt;=10)*(BULK_END&gt;=10))*IFERROR(BULK_VALUE,0))/MAX(1,SUMPRODUCT(((BULK_ENABLED="Y")*((BULK_TIER="ALL")+(BULK_TIER=$F63))*((BULK_SKU="ALL")+(BULK_SKU=$G63))*(BULK_START&lt;=10)*(BULK_END&gt;=10)))),0),ROUND((INDEX(VELOCITY_TABLE,MATCH($F63,TIER_LIST,0),2))*(IF((10-$I63+1)&lt;=0,0,IF((10-$I63+1)=1,RAMP_W1,IF((10-$I63+1)=2,RAMP_W2,IF((10-$I63+1)=3,RAMP_W3,RAMP_W4PLUS)))))*(INDEX(ACTIVE_MULT_TABLE,2,1))*(1+SUMPRODUCT(SIGN(((ACT_DOOR_SCOPE="ALL")+(ACT_DOOR_SCOPE="TIER_"&amp;$F63)+(ACT_DOOR_SCOPE=$B63)))*SIGN(((ACT_SKU_SCOPE="ALL")+(ACT_SKU_SCOPE=$G63)))*(ACT_START&lt;=10)*(ACT_END&gt;=10)*IFERROR(ACT_UPLIFT-1,0)))*(1+SUMPRODUCT(SIGN(((ACT_DOOR_SCOPE="ALL")+(ACT_DOOR_SCOPE="TIER_"&amp;$F63)+(ACT_DOOR_SCOPE=$B63)))*SIGN(((ACT_SKU_SCOPE="ALL")+(ACT_SKU_SCOPE=$G63)))*(10&gt;ACT_END)*(ACT_END&gt;0)*IFERROR(ACT_POSTLIFT,0))),0)))</f>
        <v/>
      </c>
      <c r="T63" s="10">
        <f>IF(OR($H63&lt;&gt;"Y",11&lt;$I63),0,IF(SUMPRODUCT(((BULK_ENABLED="Y")*((BULK_TIER="ALL")+(BULK_TIER=$F63))*((BULK_SKU="ALL")+(BULK_SKU=$G63))*(BULK_START&lt;=11)*(BULK_END&gt;=11)))&gt;0,IFERROR(SUMPRODUCT(((BULK_ENABLED="Y")*((BULK_TIER="ALL")+(BULK_TIER=$F63))*((BULK_SKU="ALL")+(BULK_SKU=$G63))*(BULK_START&lt;=11)*(BULK_END&gt;=11))*IFERROR(BULK_VALUE,0))/MAX(1,SUMPRODUCT(((BULK_ENABLED="Y")*((BULK_TIER="ALL")+(BULK_TIER=$F63))*((BULK_SKU="ALL")+(BULK_SKU=$G63))*(BULK_START&lt;=11)*(BULK_END&gt;=11)))),0),ROUND((INDEX(VELOCITY_TABLE,MATCH($F63,TIER_LIST,0),2))*(IF((11-$I63+1)&lt;=0,0,IF((11-$I63+1)=1,RAMP_W1,IF((11-$I63+1)=2,RAMP_W2,IF((11-$I63+1)=3,RAMP_W3,RAMP_W4PLUS)))))*(INDEX(ACTIVE_MULT_TABLE,2,1))*(1+SUMPRODUCT(SIGN(((ACT_DOOR_SCOPE="ALL")+(ACT_DOOR_SCOPE="TIER_"&amp;$F63)+(ACT_DOOR_SCOPE=$B63)))*SIGN(((ACT_SKU_SCOPE="ALL")+(ACT_SKU_SCOPE=$G63)))*(ACT_START&lt;=11)*(ACT_END&gt;=11)*IFERROR(ACT_UPLIFT-1,0)))*(1+SUMPRODUCT(SIGN(((ACT_DOOR_SCOPE="ALL")+(ACT_DOOR_SCOPE="TIER_"&amp;$F63)+(ACT_DOOR_SCOPE=$B63)))*SIGN(((ACT_SKU_SCOPE="ALL")+(ACT_SKU_SCOPE=$G63)))*(11&gt;ACT_END)*(ACT_END&gt;0)*IFERROR(ACT_POSTLIFT,0))),0)))</f>
        <v/>
      </c>
      <c r="U63" s="10">
        <f>IF(OR($H63&lt;&gt;"Y",12&lt;$I63),0,IF(SUMPRODUCT(((BULK_ENABLED="Y")*((BULK_TIER="ALL")+(BULK_TIER=$F63))*((BULK_SKU="ALL")+(BULK_SKU=$G63))*(BULK_START&lt;=12)*(BULK_END&gt;=12)))&gt;0,IFERROR(SUMPRODUCT(((BULK_ENABLED="Y")*((BULK_TIER="ALL")+(BULK_TIER=$F63))*((BULK_SKU="ALL")+(BULK_SKU=$G63))*(BULK_START&lt;=12)*(BULK_END&gt;=12))*IFERROR(BULK_VALUE,0))/MAX(1,SUMPRODUCT(((BULK_ENABLED="Y")*((BULK_TIER="ALL")+(BULK_TIER=$F63))*((BULK_SKU="ALL")+(BULK_SKU=$G63))*(BULK_START&lt;=12)*(BULK_END&gt;=12)))),0),ROUND((INDEX(VELOCITY_TABLE,MATCH($F63,TIER_LIST,0),2))*(IF((12-$I63+1)&lt;=0,0,IF((12-$I63+1)=1,RAMP_W1,IF((12-$I63+1)=2,RAMP_W2,IF((12-$I63+1)=3,RAMP_W3,RAMP_W4PLUS)))))*(INDEX(ACTIVE_MULT_TABLE,2,1))*(1+SUMPRODUCT(SIGN(((ACT_DOOR_SCOPE="ALL")+(ACT_DOOR_SCOPE="TIER_"&amp;$F63)+(ACT_DOOR_SCOPE=$B63)))*SIGN(((ACT_SKU_SCOPE="ALL")+(ACT_SKU_SCOPE=$G63)))*(ACT_START&lt;=12)*(ACT_END&gt;=12)*IFERROR(ACT_UPLIFT-1,0)))*(1+SUMPRODUCT(SIGN(((ACT_DOOR_SCOPE="ALL")+(ACT_DOOR_SCOPE="TIER_"&amp;$F63)+(ACT_DOOR_SCOPE=$B63)))*SIGN(((ACT_SKU_SCOPE="ALL")+(ACT_SKU_SCOPE=$G63)))*(12&gt;ACT_END)*(ACT_END&gt;0)*IFERROR(ACT_POSTLIFT,0))),0)))</f>
        <v/>
      </c>
      <c r="V63" s="10">
        <f>IF(OR($H63&lt;&gt;"Y",13&lt;$I63),0,IF(SUMPRODUCT(((BULK_ENABLED="Y")*((BULK_TIER="ALL")+(BULK_TIER=$F63))*((BULK_SKU="ALL")+(BULK_SKU=$G63))*(BULK_START&lt;=13)*(BULK_END&gt;=13)))&gt;0,IFERROR(SUMPRODUCT(((BULK_ENABLED="Y")*((BULK_TIER="ALL")+(BULK_TIER=$F63))*((BULK_SKU="ALL")+(BULK_SKU=$G63))*(BULK_START&lt;=13)*(BULK_END&gt;=13))*IFERROR(BULK_VALUE,0))/MAX(1,SUMPRODUCT(((BULK_ENABLED="Y")*((BULK_TIER="ALL")+(BULK_TIER=$F63))*((BULK_SKU="ALL")+(BULK_SKU=$G63))*(BULK_START&lt;=13)*(BULK_END&gt;=13)))),0),ROUND((INDEX(VELOCITY_TABLE,MATCH($F63,TIER_LIST,0),2))*(IF((13-$I63+1)&lt;=0,0,IF((13-$I63+1)=1,RAMP_W1,IF((13-$I63+1)=2,RAMP_W2,IF((13-$I63+1)=3,RAMP_W3,RAMP_W4PLUS)))))*(INDEX(ACTIVE_MULT_TABLE,2,1))*(1+SUMPRODUCT(SIGN(((ACT_DOOR_SCOPE="ALL")+(ACT_DOOR_SCOPE="TIER_"&amp;$F63)+(ACT_DOOR_SCOPE=$B63)))*SIGN(((ACT_SKU_SCOPE="ALL")+(ACT_SKU_SCOPE=$G63)))*(ACT_START&lt;=13)*(ACT_END&gt;=13)*IFERROR(ACT_UPLIFT-1,0)))*(1+SUMPRODUCT(SIGN(((ACT_DOOR_SCOPE="ALL")+(ACT_DOOR_SCOPE="TIER_"&amp;$F63)+(ACT_DOOR_SCOPE=$B63)))*SIGN(((ACT_SKU_SCOPE="ALL")+(ACT_SKU_SCOPE=$G63)))*(13&gt;ACT_END)*(ACT_END&gt;0)*IFERROR(ACT_POSTLIFT,0))),0)))</f>
        <v/>
      </c>
    </row>
    <row r="64">
      <c r="A64" t="inlineStr">
        <is>
          <t>R0060</t>
        </is>
      </c>
      <c r="B64">
        <f>Doors!$A$24</f>
        <v/>
      </c>
      <c r="C64">
        <f>Doors!$C$24</f>
        <v/>
      </c>
      <c r="D64">
        <f>Doors!$B$24</f>
        <v/>
      </c>
      <c r="E64">
        <f>Doors!$E$24</f>
        <v/>
      </c>
      <c r="F64">
        <f>Doors!$F$24</f>
        <v/>
      </c>
      <c r="G64" t="inlineStr">
        <is>
          <t>Raspberry</t>
        </is>
      </c>
      <c r="H64">
        <f>Doors!$I$24</f>
        <v/>
      </c>
      <c r="I64">
        <f>Doors!$J$24</f>
        <v/>
      </c>
      <c r="J64" s="10">
        <f>IF(OR($H64&lt;&gt;"Y",1&lt;$I64),0,IF(SUMPRODUCT(((BULK_ENABLED="Y")*((BULK_TIER="ALL")+(BULK_TIER=$F64))*((BULK_SKU="ALL")+(BULK_SKU=$G64))*(BULK_START&lt;=1)*(BULK_END&gt;=1)))&gt;0,IFERROR(SUMPRODUCT(((BULK_ENABLED="Y")*((BULK_TIER="ALL")+(BULK_TIER=$F64))*((BULK_SKU="ALL")+(BULK_SKU=$G64))*(BULK_START&lt;=1)*(BULK_END&gt;=1))*IFERROR(BULK_VALUE,0))/MAX(1,SUMPRODUCT(((BULK_ENABLED="Y")*((BULK_TIER="ALL")+(BULK_TIER=$F64))*((BULK_SKU="ALL")+(BULK_SKU=$G64))*(BULK_START&lt;=1)*(BULK_END&gt;=1)))),0),ROUND((INDEX(VELOCITY_TABLE,MATCH($F64,TIER_LIST,0),3))*(IF((1-$I64+1)&lt;=0,0,IF((1-$I64+1)=1,RAMP_W1,IF((1-$I64+1)=2,RAMP_W2,IF((1-$I64+1)=3,RAMP_W3,RAMP_W4PLUS)))))*(INDEX(ACTIVE_MULT_TABLE,3,1))*(1+SUMPRODUCT(SIGN(((ACT_DOOR_SCOPE="ALL")+(ACT_DOOR_SCOPE="TIER_"&amp;$F64)+(ACT_DOOR_SCOPE=$B64)))*SIGN(((ACT_SKU_SCOPE="ALL")+(ACT_SKU_SCOPE=$G64)))*(ACT_START&lt;=1)*(ACT_END&gt;=1)*IFERROR(ACT_UPLIFT-1,0)))*(1+SUMPRODUCT(SIGN(((ACT_DOOR_SCOPE="ALL")+(ACT_DOOR_SCOPE="TIER_"&amp;$F64)+(ACT_DOOR_SCOPE=$B64)))*SIGN(((ACT_SKU_SCOPE="ALL")+(ACT_SKU_SCOPE=$G64)))*(1&gt;ACT_END)*(ACT_END&gt;0)*IFERROR(ACT_POSTLIFT,0))),0)))</f>
        <v/>
      </c>
      <c r="K64" s="10">
        <f>IF(OR($H64&lt;&gt;"Y",2&lt;$I64),0,IF(SUMPRODUCT(((BULK_ENABLED="Y")*((BULK_TIER="ALL")+(BULK_TIER=$F64))*((BULK_SKU="ALL")+(BULK_SKU=$G64))*(BULK_START&lt;=2)*(BULK_END&gt;=2)))&gt;0,IFERROR(SUMPRODUCT(((BULK_ENABLED="Y")*((BULK_TIER="ALL")+(BULK_TIER=$F64))*((BULK_SKU="ALL")+(BULK_SKU=$G64))*(BULK_START&lt;=2)*(BULK_END&gt;=2))*IFERROR(BULK_VALUE,0))/MAX(1,SUMPRODUCT(((BULK_ENABLED="Y")*((BULK_TIER="ALL")+(BULK_TIER=$F64))*((BULK_SKU="ALL")+(BULK_SKU=$G64))*(BULK_START&lt;=2)*(BULK_END&gt;=2)))),0),ROUND((INDEX(VELOCITY_TABLE,MATCH($F64,TIER_LIST,0),3))*(IF((2-$I64+1)&lt;=0,0,IF((2-$I64+1)=1,RAMP_W1,IF((2-$I64+1)=2,RAMP_W2,IF((2-$I64+1)=3,RAMP_W3,RAMP_W4PLUS)))))*(INDEX(ACTIVE_MULT_TABLE,3,1))*(1+SUMPRODUCT(SIGN(((ACT_DOOR_SCOPE="ALL")+(ACT_DOOR_SCOPE="TIER_"&amp;$F64)+(ACT_DOOR_SCOPE=$B64)))*SIGN(((ACT_SKU_SCOPE="ALL")+(ACT_SKU_SCOPE=$G64)))*(ACT_START&lt;=2)*(ACT_END&gt;=2)*IFERROR(ACT_UPLIFT-1,0)))*(1+SUMPRODUCT(SIGN(((ACT_DOOR_SCOPE="ALL")+(ACT_DOOR_SCOPE="TIER_"&amp;$F64)+(ACT_DOOR_SCOPE=$B64)))*SIGN(((ACT_SKU_SCOPE="ALL")+(ACT_SKU_SCOPE=$G64)))*(2&gt;ACT_END)*(ACT_END&gt;0)*IFERROR(ACT_POSTLIFT,0))),0)))</f>
        <v/>
      </c>
      <c r="L64" s="10">
        <f>IF(OR($H64&lt;&gt;"Y",3&lt;$I64),0,IF(SUMPRODUCT(((BULK_ENABLED="Y")*((BULK_TIER="ALL")+(BULK_TIER=$F64))*((BULK_SKU="ALL")+(BULK_SKU=$G64))*(BULK_START&lt;=3)*(BULK_END&gt;=3)))&gt;0,IFERROR(SUMPRODUCT(((BULK_ENABLED="Y")*((BULK_TIER="ALL")+(BULK_TIER=$F64))*((BULK_SKU="ALL")+(BULK_SKU=$G64))*(BULK_START&lt;=3)*(BULK_END&gt;=3))*IFERROR(BULK_VALUE,0))/MAX(1,SUMPRODUCT(((BULK_ENABLED="Y")*((BULK_TIER="ALL")+(BULK_TIER=$F64))*((BULK_SKU="ALL")+(BULK_SKU=$G64))*(BULK_START&lt;=3)*(BULK_END&gt;=3)))),0),ROUND((INDEX(VELOCITY_TABLE,MATCH($F64,TIER_LIST,0),3))*(IF((3-$I64+1)&lt;=0,0,IF((3-$I64+1)=1,RAMP_W1,IF((3-$I64+1)=2,RAMP_W2,IF((3-$I64+1)=3,RAMP_W3,RAMP_W4PLUS)))))*(INDEX(ACTIVE_MULT_TABLE,3,1))*(1+SUMPRODUCT(SIGN(((ACT_DOOR_SCOPE="ALL")+(ACT_DOOR_SCOPE="TIER_"&amp;$F64)+(ACT_DOOR_SCOPE=$B64)))*SIGN(((ACT_SKU_SCOPE="ALL")+(ACT_SKU_SCOPE=$G64)))*(ACT_START&lt;=3)*(ACT_END&gt;=3)*IFERROR(ACT_UPLIFT-1,0)))*(1+SUMPRODUCT(SIGN(((ACT_DOOR_SCOPE="ALL")+(ACT_DOOR_SCOPE="TIER_"&amp;$F64)+(ACT_DOOR_SCOPE=$B64)))*SIGN(((ACT_SKU_SCOPE="ALL")+(ACT_SKU_SCOPE=$G64)))*(3&gt;ACT_END)*(ACT_END&gt;0)*IFERROR(ACT_POSTLIFT,0))),0)))</f>
        <v/>
      </c>
      <c r="M64" s="10">
        <f>IF(OR($H64&lt;&gt;"Y",4&lt;$I64),0,IF(SUMPRODUCT(((BULK_ENABLED="Y")*((BULK_TIER="ALL")+(BULK_TIER=$F64))*((BULK_SKU="ALL")+(BULK_SKU=$G64))*(BULK_START&lt;=4)*(BULK_END&gt;=4)))&gt;0,IFERROR(SUMPRODUCT(((BULK_ENABLED="Y")*((BULK_TIER="ALL")+(BULK_TIER=$F64))*((BULK_SKU="ALL")+(BULK_SKU=$G64))*(BULK_START&lt;=4)*(BULK_END&gt;=4))*IFERROR(BULK_VALUE,0))/MAX(1,SUMPRODUCT(((BULK_ENABLED="Y")*((BULK_TIER="ALL")+(BULK_TIER=$F64))*((BULK_SKU="ALL")+(BULK_SKU=$G64))*(BULK_START&lt;=4)*(BULK_END&gt;=4)))),0),ROUND((INDEX(VELOCITY_TABLE,MATCH($F64,TIER_LIST,0),3))*(IF((4-$I64+1)&lt;=0,0,IF((4-$I64+1)=1,RAMP_W1,IF((4-$I64+1)=2,RAMP_W2,IF((4-$I64+1)=3,RAMP_W3,RAMP_W4PLUS)))))*(INDEX(ACTIVE_MULT_TABLE,3,1))*(1+SUMPRODUCT(SIGN(((ACT_DOOR_SCOPE="ALL")+(ACT_DOOR_SCOPE="TIER_"&amp;$F64)+(ACT_DOOR_SCOPE=$B64)))*SIGN(((ACT_SKU_SCOPE="ALL")+(ACT_SKU_SCOPE=$G64)))*(ACT_START&lt;=4)*(ACT_END&gt;=4)*IFERROR(ACT_UPLIFT-1,0)))*(1+SUMPRODUCT(SIGN(((ACT_DOOR_SCOPE="ALL")+(ACT_DOOR_SCOPE="TIER_"&amp;$F64)+(ACT_DOOR_SCOPE=$B64)))*SIGN(((ACT_SKU_SCOPE="ALL")+(ACT_SKU_SCOPE=$G64)))*(4&gt;ACT_END)*(ACT_END&gt;0)*IFERROR(ACT_POSTLIFT,0))),0)))</f>
        <v/>
      </c>
      <c r="N64" s="10">
        <f>IF(OR($H64&lt;&gt;"Y",5&lt;$I64),0,IF(SUMPRODUCT(((BULK_ENABLED="Y")*((BULK_TIER="ALL")+(BULK_TIER=$F64))*((BULK_SKU="ALL")+(BULK_SKU=$G64))*(BULK_START&lt;=5)*(BULK_END&gt;=5)))&gt;0,IFERROR(SUMPRODUCT(((BULK_ENABLED="Y")*((BULK_TIER="ALL")+(BULK_TIER=$F64))*((BULK_SKU="ALL")+(BULK_SKU=$G64))*(BULK_START&lt;=5)*(BULK_END&gt;=5))*IFERROR(BULK_VALUE,0))/MAX(1,SUMPRODUCT(((BULK_ENABLED="Y")*((BULK_TIER="ALL")+(BULK_TIER=$F64))*((BULK_SKU="ALL")+(BULK_SKU=$G64))*(BULK_START&lt;=5)*(BULK_END&gt;=5)))),0),ROUND((INDEX(VELOCITY_TABLE,MATCH($F64,TIER_LIST,0),3))*(IF((5-$I64+1)&lt;=0,0,IF((5-$I64+1)=1,RAMP_W1,IF((5-$I64+1)=2,RAMP_W2,IF((5-$I64+1)=3,RAMP_W3,RAMP_W4PLUS)))))*(INDEX(ACTIVE_MULT_TABLE,3,1))*(1+SUMPRODUCT(SIGN(((ACT_DOOR_SCOPE="ALL")+(ACT_DOOR_SCOPE="TIER_"&amp;$F64)+(ACT_DOOR_SCOPE=$B64)))*SIGN(((ACT_SKU_SCOPE="ALL")+(ACT_SKU_SCOPE=$G64)))*(ACT_START&lt;=5)*(ACT_END&gt;=5)*IFERROR(ACT_UPLIFT-1,0)))*(1+SUMPRODUCT(SIGN(((ACT_DOOR_SCOPE="ALL")+(ACT_DOOR_SCOPE="TIER_"&amp;$F64)+(ACT_DOOR_SCOPE=$B64)))*SIGN(((ACT_SKU_SCOPE="ALL")+(ACT_SKU_SCOPE=$G64)))*(5&gt;ACT_END)*(ACT_END&gt;0)*IFERROR(ACT_POSTLIFT,0))),0)))</f>
        <v/>
      </c>
      <c r="O64" s="10">
        <f>IF(OR($H64&lt;&gt;"Y",6&lt;$I64),0,IF(SUMPRODUCT(((BULK_ENABLED="Y")*((BULK_TIER="ALL")+(BULK_TIER=$F64))*((BULK_SKU="ALL")+(BULK_SKU=$G64))*(BULK_START&lt;=6)*(BULK_END&gt;=6)))&gt;0,IFERROR(SUMPRODUCT(((BULK_ENABLED="Y")*((BULK_TIER="ALL")+(BULK_TIER=$F64))*((BULK_SKU="ALL")+(BULK_SKU=$G64))*(BULK_START&lt;=6)*(BULK_END&gt;=6))*IFERROR(BULK_VALUE,0))/MAX(1,SUMPRODUCT(((BULK_ENABLED="Y")*((BULK_TIER="ALL")+(BULK_TIER=$F64))*((BULK_SKU="ALL")+(BULK_SKU=$G64))*(BULK_START&lt;=6)*(BULK_END&gt;=6)))),0),ROUND((INDEX(VELOCITY_TABLE,MATCH($F64,TIER_LIST,0),3))*(IF((6-$I64+1)&lt;=0,0,IF((6-$I64+1)=1,RAMP_W1,IF((6-$I64+1)=2,RAMP_W2,IF((6-$I64+1)=3,RAMP_W3,RAMP_W4PLUS)))))*(INDEX(ACTIVE_MULT_TABLE,3,1))*(1+SUMPRODUCT(SIGN(((ACT_DOOR_SCOPE="ALL")+(ACT_DOOR_SCOPE="TIER_"&amp;$F64)+(ACT_DOOR_SCOPE=$B64)))*SIGN(((ACT_SKU_SCOPE="ALL")+(ACT_SKU_SCOPE=$G64)))*(ACT_START&lt;=6)*(ACT_END&gt;=6)*IFERROR(ACT_UPLIFT-1,0)))*(1+SUMPRODUCT(SIGN(((ACT_DOOR_SCOPE="ALL")+(ACT_DOOR_SCOPE="TIER_"&amp;$F64)+(ACT_DOOR_SCOPE=$B64)))*SIGN(((ACT_SKU_SCOPE="ALL")+(ACT_SKU_SCOPE=$G64)))*(6&gt;ACT_END)*(ACT_END&gt;0)*IFERROR(ACT_POSTLIFT,0))),0)))</f>
        <v/>
      </c>
      <c r="P64" s="10">
        <f>IF(OR($H64&lt;&gt;"Y",7&lt;$I64),0,IF(SUMPRODUCT(((BULK_ENABLED="Y")*((BULK_TIER="ALL")+(BULK_TIER=$F64))*((BULK_SKU="ALL")+(BULK_SKU=$G64))*(BULK_START&lt;=7)*(BULK_END&gt;=7)))&gt;0,IFERROR(SUMPRODUCT(((BULK_ENABLED="Y")*((BULK_TIER="ALL")+(BULK_TIER=$F64))*((BULK_SKU="ALL")+(BULK_SKU=$G64))*(BULK_START&lt;=7)*(BULK_END&gt;=7))*IFERROR(BULK_VALUE,0))/MAX(1,SUMPRODUCT(((BULK_ENABLED="Y")*((BULK_TIER="ALL")+(BULK_TIER=$F64))*((BULK_SKU="ALL")+(BULK_SKU=$G64))*(BULK_START&lt;=7)*(BULK_END&gt;=7)))),0),ROUND((INDEX(VELOCITY_TABLE,MATCH($F64,TIER_LIST,0),3))*(IF((7-$I64+1)&lt;=0,0,IF((7-$I64+1)=1,RAMP_W1,IF((7-$I64+1)=2,RAMP_W2,IF((7-$I64+1)=3,RAMP_W3,RAMP_W4PLUS)))))*(INDEX(ACTIVE_MULT_TABLE,3,1))*(1+SUMPRODUCT(SIGN(((ACT_DOOR_SCOPE="ALL")+(ACT_DOOR_SCOPE="TIER_"&amp;$F64)+(ACT_DOOR_SCOPE=$B64)))*SIGN(((ACT_SKU_SCOPE="ALL")+(ACT_SKU_SCOPE=$G64)))*(ACT_START&lt;=7)*(ACT_END&gt;=7)*IFERROR(ACT_UPLIFT-1,0)))*(1+SUMPRODUCT(SIGN(((ACT_DOOR_SCOPE="ALL")+(ACT_DOOR_SCOPE="TIER_"&amp;$F64)+(ACT_DOOR_SCOPE=$B64)))*SIGN(((ACT_SKU_SCOPE="ALL")+(ACT_SKU_SCOPE=$G64)))*(7&gt;ACT_END)*(ACT_END&gt;0)*IFERROR(ACT_POSTLIFT,0))),0)))</f>
        <v/>
      </c>
      <c r="Q64" s="10">
        <f>IF(OR($H64&lt;&gt;"Y",8&lt;$I64),0,IF(SUMPRODUCT(((BULK_ENABLED="Y")*((BULK_TIER="ALL")+(BULK_TIER=$F64))*((BULK_SKU="ALL")+(BULK_SKU=$G64))*(BULK_START&lt;=8)*(BULK_END&gt;=8)))&gt;0,IFERROR(SUMPRODUCT(((BULK_ENABLED="Y")*((BULK_TIER="ALL")+(BULK_TIER=$F64))*((BULK_SKU="ALL")+(BULK_SKU=$G64))*(BULK_START&lt;=8)*(BULK_END&gt;=8))*IFERROR(BULK_VALUE,0))/MAX(1,SUMPRODUCT(((BULK_ENABLED="Y")*((BULK_TIER="ALL")+(BULK_TIER=$F64))*((BULK_SKU="ALL")+(BULK_SKU=$G64))*(BULK_START&lt;=8)*(BULK_END&gt;=8)))),0),ROUND((INDEX(VELOCITY_TABLE,MATCH($F64,TIER_LIST,0),3))*(IF((8-$I64+1)&lt;=0,0,IF((8-$I64+1)=1,RAMP_W1,IF((8-$I64+1)=2,RAMP_W2,IF((8-$I64+1)=3,RAMP_W3,RAMP_W4PLUS)))))*(INDEX(ACTIVE_MULT_TABLE,3,1))*(1+SUMPRODUCT(SIGN(((ACT_DOOR_SCOPE="ALL")+(ACT_DOOR_SCOPE="TIER_"&amp;$F64)+(ACT_DOOR_SCOPE=$B64)))*SIGN(((ACT_SKU_SCOPE="ALL")+(ACT_SKU_SCOPE=$G64)))*(ACT_START&lt;=8)*(ACT_END&gt;=8)*IFERROR(ACT_UPLIFT-1,0)))*(1+SUMPRODUCT(SIGN(((ACT_DOOR_SCOPE="ALL")+(ACT_DOOR_SCOPE="TIER_"&amp;$F64)+(ACT_DOOR_SCOPE=$B64)))*SIGN(((ACT_SKU_SCOPE="ALL")+(ACT_SKU_SCOPE=$G64)))*(8&gt;ACT_END)*(ACT_END&gt;0)*IFERROR(ACT_POSTLIFT,0))),0)))</f>
        <v/>
      </c>
      <c r="R64" s="10">
        <f>IF(OR($H64&lt;&gt;"Y",9&lt;$I64),0,IF(SUMPRODUCT(((BULK_ENABLED="Y")*((BULK_TIER="ALL")+(BULK_TIER=$F64))*((BULK_SKU="ALL")+(BULK_SKU=$G64))*(BULK_START&lt;=9)*(BULK_END&gt;=9)))&gt;0,IFERROR(SUMPRODUCT(((BULK_ENABLED="Y")*((BULK_TIER="ALL")+(BULK_TIER=$F64))*((BULK_SKU="ALL")+(BULK_SKU=$G64))*(BULK_START&lt;=9)*(BULK_END&gt;=9))*IFERROR(BULK_VALUE,0))/MAX(1,SUMPRODUCT(((BULK_ENABLED="Y")*((BULK_TIER="ALL")+(BULK_TIER=$F64))*((BULK_SKU="ALL")+(BULK_SKU=$G64))*(BULK_START&lt;=9)*(BULK_END&gt;=9)))),0),ROUND((INDEX(VELOCITY_TABLE,MATCH($F64,TIER_LIST,0),3))*(IF((9-$I64+1)&lt;=0,0,IF((9-$I64+1)=1,RAMP_W1,IF((9-$I64+1)=2,RAMP_W2,IF((9-$I64+1)=3,RAMP_W3,RAMP_W4PLUS)))))*(INDEX(ACTIVE_MULT_TABLE,3,1))*(1+SUMPRODUCT(SIGN(((ACT_DOOR_SCOPE="ALL")+(ACT_DOOR_SCOPE="TIER_"&amp;$F64)+(ACT_DOOR_SCOPE=$B64)))*SIGN(((ACT_SKU_SCOPE="ALL")+(ACT_SKU_SCOPE=$G64)))*(ACT_START&lt;=9)*(ACT_END&gt;=9)*IFERROR(ACT_UPLIFT-1,0)))*(1+SUMPRODUCT(SIGN(((ACT_DOOR_SCOPE="ALL")+(ACT_DOOR_SCOPE="TIER_"&amp;$F64)+(ACT_DOOR_SCOPE=$B64)))*SIGN(((ACT_SKU_SCOPE="ALL")+(ACT_SKU_SCOPE=$G64)))*(9&gt;ACT_END)*(ACT_END&gt;0)*IFERROR(ACT_POSTLIFT,0))),0)))</f>
        <v/>
      </c>
      <c r="S64" s="10">
        <f>IF(OR($H64&lt;&gt;"Y",10&lt;$I64),0,IF(SUMPRODUCT(((BULK_ENABLED="Y")*((BULK_TIER="ALL")+(BULK_TIER=$F64))*((BULK_SKU="ALL")+(BULK_SKU=$G64))*(BULK_START&lt;=10)*(BULK_END&gt;=10)))&gt;0,IFERROR(SUMPRODUCT(((BULK_ENABLED="Y")*((BULK_TIER="ALL")+(BULK_TIER=$F64))*((BULK_SKU="ALL")+(BULK_SKU=$G64))*(BULK_START&lt;=10)*(BULK_END&gt;=10))*IFERROR(BULK_VALUE,0))/MAX(1,SUMPRODUCT(((BULK_ENABLED="Y")*((BULK_TIER="ALL")+(BULK_TIER=$F64))*((BULK_SKU="ALL")+(BULK_SKU=$G64))*(BULK_START&lt;=10)*(BULK_END&gt;=10)))),0),ROUND((INDEX(VELOCITY_TABLE,MATCH($F64,TIER_LIST,0),3))*(IF((10-$I64+1)&lt;=0,0,IF((10-$I64+1)=1,RAMP_W1,IF((10-$I64+1)=2,RAMP_W2,IF((10-$I64+1)=3,RAMP_W3,RAMP_W4PLUS)))))*(INDEX(ACTIVE_MULT_TABLE,3,1))*(1+SUMPRODUCT(SIGN(((ACT_DOOR_SCOPE="ALL")+(ACT_DOOR_SCOPE="TIER_"&amp;$F64)+(ACT_DOOR_SCOPE=$B64)))*SIGN(((ACT_SKU_SCOPE="ALL")+(ACT_SKU_SCOPE=$G64)))*(ACT_START&lt;=10)*(ACT_END&gt;=10)*IFERROR(ACT_UPLIFT-1,0)))*(1+SUMPRODUCT(SIGN(((ACT_DOOR_SCOPE="ALL")+(ACT_DOOR_SCOPE="TIER_"&amp;$F64)+(ACT_DOOR_SCOPE=$B64)))*SIGN(((ACT_SKU_SCOPE="ALL")+(ACT_SKU_SCOPE=$G64)))*(10&gt;ACT_END)*(ACT_END&gt;0)*IFERROR(ACT_POSTLIFT,0))),0)))</f>
        <v/>
      </c>
      <c r="T64" s="10">
        <f>IF(OR($H64&lt;&gt;"Y",11&lt;$I64),0,IF(SUMPRODUCT(((BULK_ENABLED="Y")*((BULK_TIER="ALL")+(BULK_TIER=$F64))*((BULK_SKU="ALL")+(BULK_SKU=$G64))*(BULK_START&lt;=11)*(BULK_END&gt;=11)))&gt;0,IFERROR(SUMPRODUCT(((BULK_ENABLED="Y")*((BULK_TIER="ALL")+(BULK_TIER=$F64))*((BULK_SKU="ALL")+(BULK_SKU=$G64))*(BULK_START&lt;=11)*(BULK_END&gt;=11))*IFERROR(BULK_VALUE,0))/MAX(1,SUMPRODUCT(((BULK_ENABLED="Y")*((BULK_TIER="ALL")+(BULK_TIER=$F64))*((BULK_SKU="ALL")+(BULK_SKU=$G64))*(BULK_START&lt;=11)*(BULK_END&gt;=11)))),0),ROUND((INDEX(VELOCITY_TABLE,MATCH($F64,TIER_LIST,0),3))*(IF((11-$I64+1)&lt;=0,0,IF((11-$I64+1)=1,RAMP_W1,IF((11-$I64+1)=2,RAMP_W2,IF((11-$I64+1)=3,RAMP_W3,RAMP_W4PLUS)))))*(INDEX(ACTIVE_MULT_TABLE,3,1))*(1+SUMPRODUCT(SIGN(((ACT_DOOR_SCOPE="ALL")+(ACT_DOOR_SCOPE="TIER_"&amp;$F64)+(ACT_DOOR_SCOPE=$B64)))*SIGN(((ACT_SKU_SCOPE="ALL")+(ACT_SKU_SCOPE=$G64)))*(ACT_START&lt;=11)*(ACT_END&gt;=11)*IFERROR(ACT_UPLIFT-1,0)))*(1+SUMPRODUCT(SIGN(((ACT_DOOR_SCOPE="ALL")+(ACT_DOOR_SCOPE="TIER_"&amp;$F64)+(ACT_DOOR_SCOPE=$B64)))*SIGN(((ACT_SKU_SCOPE="ALL")+(ACT_SKU_SCOPE=$G64)))*(11&gt;ACT_END)*(ACT_END&gt;0)*IFERROR(ACT_POSTLIFT,0))),0)))</f>
        <v/>
      </c>
      <c r="U64" s="10">
        <f>IF(OR($H64&lt;&gt;"Y",12&lt;$I64),0,IF(SUMPRODUCT(((BULK_ENABLED="Y")*((BULK_TIER="ALL")+(BULK_TIER=$F64))*((BULK_SKU="ALL")+(BULK_SKU=$G64))*(BULK_START&lt;=12)*(BULK_END&gt;=12)))&gt;0,IFERROR(SUMPRODUCT(((BULK_ENABLED="Y")*((BULK_TIER="ALL")+(BULK_TIER=$F64))*((BULK_SKU="ALL")+(BULK_SKU=$G64))*(BULK_START&lt;=12)*(BULK_END&gt;=12))*IFERROR(BULK_VALUE,0))/MAX(1,SUMPRODUCT(((BULK_ENABLED="Y")*((BULK_TIER="ALL")+(BULK_TIER=$F64))*((BULK_SKU="ALL")+(BULK_SKU=$G64))*(BULK_START&lt;=12)*(BULK_END&gt;=12)))),0),ROUND((INDEX(VELOCITY_TABLE,MATCH($F64,TIER_LIST,0),3))*(IF((12-$I64+1)&lt;=0,0,IF((12-$I64+1)=1,RAMP_W1,IF((12-$I64+1)=2,RAMP_W2,IF((12-$I64+1)=3,RAMP_W3,RAMP_W4PLUS)))))*(INDEX(ACTIVE_MULT_TABLE,3,1))*(1+SUMPRODUCT(SIGN(((ACT_DOOR_SCOPE="ALL")+(ACT_DOOR_SCOPE="TIER_"&amp;$F64)+(ACT_DOOR_SCOPE=$B64)))*SIGN(((ACT_SKU_SCOPE="ALL")+(ACT_SKU_SCOPE=$G64)))*(ACT_START&lt;=12)*(ACT_END&gt;=12)*IFERROR(ACT_UPLIFT-1,0)))*(1+SUMPRODUCT(SIGN(((ACT_DOOR_SCOPE="ALL")+(ACT_DOOR_SCOPE="TIER_"&amp;$F64)+(ACT_DOOR_SCOPE=$B64)))*SIGN(((ACT_SKU_SCOPE="ALL")+(ACT_SKU_SCOPE=$G64)))*(12&gt;ACT_END)*(ACT_END&gt;0)*IFERROR(ACT_POSTLIFT,0))),0)))</f>
        <v/>
      </c>
      <c r="V64" s="10">
        <f>IF(OR($H64&lt;&gt;"Y",13&lt;$I64),0,IF(SUMPRODUCT(((BULK_ENABLED="Y")*((BULK_TIER="ALL")+(BULK_TIER=$F64))*((BULK_SKU="ALL")+(BULK_SKU=$G64))*(BULK_START&lt;=13)*(BULK_END&gt;=13)))&gt;0,IFERROR(SUMPRODUCT(((BULK_ENABLED="Y")*((BULK_TIER="ALL")+(BULK_TIER=$F64))*((BULK_SKU="ALL")+(BULK_SKU=$G64))*(BULK_START&lt;=13)*(BULK_END&gt;=13))*IFERROR(BULK_VALUE,0))/MAX(1,SUMPRODUCT(((BULK_ENABLED="Y")*((BULK_TIER="ALL")+(BULK_TIER=$F64))*((BULK_SKU="ALL")+(BULK_SKU=$G64))*(BULK_START&lt;=13)*(BULK_END&gt;=13)))),0),ROUND((INDEX(VELOCITY_TABLE,MATCH($F64,TIER_LIST,0),3))*(IF((13-$I64+1)&lt;=0,0,IF((13-$I64+1)=1,RAMP_W1,IF((13-$I64+1)=2,RAMP_W2,IF((13-$I64+1)=3,RAMP_W3,RAMP_W4PLUS)))))*(INDEX(ACTIVE_MULT_TABLE,3,1))*(1+SUMPRODUCT(SIGN(((ACT_DOOR_SCOPE="ALL")+(ACT_DOOR_SCOPE="TIER_"&amp;$F64)+(ACT_DOOR_SCOPE=$B64)))*SIGN(((ACT_SKU_SCOPE="ALL")+(ACT_SKU_SCOPE=$G64)))*(ACT_START&lt;=13)*(ACT_END&gt;=13)*IFERROR(ACT_UPLIFT-1,0)))*(1+SUMPRODUCT(SIGN(((ACT_DOOR_SCOPE="ALL")+(ACT_DOOR_SCOPE="TIER_"&amp;$F64)+(ACT_DOOR_SCOPE=$B64)))*SIGN(((ACT_SKU_SCOPE="ALL")+(ACT_SKU_SCOPE=$G64)))*(13&gt;ACT_END)*(ACT_END&gt;0)*IFERROR(ACT_POSTLIFT,0))),0)))</f>
        <v/>
      </c>
    </row>
    <row r="65">
      <c r="A65" t="inlineStr">
        <is>
          <t>R0061</t>
        </is>
      </c>
      <c r="B65">
        <f>Doors!$A$25</f>
        <v/>
      </c>
      <c r="C65">
        <f>Doors!$C$25</f>
        <v/>
      </c>
      <c r="D65">
        <f>Doors!$B$25</f>
        <v/>
      </c>
      <c r="E65">
        <f>Doors!$E$25</f>
        <v/>
      </c>
      <c r="F65">
        <f>Doors!$F$25</f>
        <v/>
      </c>
      <c r="G65" t="inlineStr">
        <is>
          <t>Lime Lemon</t>
        </is>
      </c>
      <c r="H65">
        <f>Doors!$G$25</f>
        <v/>
      </c>
      <c r="I65">
        <f>Doors!$J$25</f>
        <v/>
      </c>
      <c r="J65" s="10">
        <f>IF(OR($H65&lt;&gt;"Y",1&lt;$I65),0,IF(SUMPRODUCT(((BULK_ENABLED="Y")*((BULK_TIER="ALL")+(BULK_TIER=$F65))*((BULK_SKU="ALL")+(BULK_SKU=$G65))*(BULK_START&lt;=1)*(BULK_END&gt;=1)))&gt;0,IFERROR(SUMPRODUCT(((BULK_ENABLED="Y")*((BULK_TIER="ALL")+(BULK_TIER=$F65))*((BULK_SKU="ALL")+(BULK_SKU=$G65))*(BULK_START&lt;=1)*(BULK_END&gt;=1))*IFERROR(BULK_VALUE,0))/MAX(1,SUMPRODUCT(((BULK_ENABLED="Y")*((BULK_TIER="ALL")+(BULK_TIER=$F65))*((BULK_SKU="ALL")+(BULK_SKU=$G65))*(BULK_START&lt;=1)*(BULK_END&gt;=1)))),0),ROUND((INDEX(VELOCITY_TABLE,MATCH($F65,TIER_LIST,0),1))*(IF((1-$I65+1)&lt;=0,0,IF((1-$I65+1)=1,RAMP_W1,IF((1-$I65+1)=2,RAMP_W2,IF((1-$I65+1)=3,RAMP_W3,RAMP_W4PLUS)))))*(INDEX(ACTIVE_MULT_TABLE,1,1))*(1+SUMPRODUCT(SIGN(((ACT_DOOR_SCOPE="ALL")+(ACT_DOOR_SCOPE="TIER_"&amp;$F65)+(ACT_DOOR_SCOPE=$B65)))*SIGN(((ACT_SKU_SCOPE="ALL")+(ACT_SKU_SCOPE=$G65)))*(ACT_START&lt;=1)*(ACT_END&gt;=1)*IFERROR(ACT_UPLIFT-1,0)))*(1+SUMPRODUCT(SIGN(((ACT_DOOR_SCOPE="ALL")+(ACT_DOOR_SCOPE="TIER_"&amp;$F65)+(ACT_DOOR_SCOPE=$B65)))*SIGN(((ACT_SKU_SCOPE="ALL")+(ACT_SKU_SCOPE=$G65)))*(1&gt;ACT_END)*(ACT_END&gt;0)*IFERROR(ACT_POSTLIFT,0))),0)))</f>
        <v/>
      </c>
      <c r="K65" s="10">
        <f>IF(OR($H65&lt;&gt;"Y",2&lt;$I65),0,IF(SUMPRODUCT(((BULK_ENABLED="Y")*((BULK_TIER="ALL")+(BULK_TIER=$F65))*((BULK_SKU="ALL")+(BULK_SKU=$G65))*(BULK_START&lt;=2)*(BULK_END&gt;=2)))&gt;0,IFERROR(SUMPRODUCT(((BULK_ENABLED="Y")*((BULK_TIER="ALL")+(BULK_TIER=$F65))*((BULK_SKU="ALL")+(BULK_SKU=$G65))*(BULK_START&lt;=2)*(BULK_END&gt;=2))*IFERROR(BULK_VALUE,0))/MAX(1,SUMPRODUCT(((BULK_ENABLED="Y")*((BULK_TIER="ALL")+(BULK_TIER=$F65))*((BULK_SKU="ALL")+(BULK_SKU=$G65))*(BULK_START&lt;=2)*(BULK_END&gt;=2)))),0),ROUND((INDEX(VELOCITY_TABLE,MATCH($F65,TIER_LIST,0),1))*(IF((2-$I65+1)&lt;=0,0,IF((2-$I65+1)=1,RAMP_W1,IF((2-$I65+1)=2,RAMP_W2,IF((2-$I65+1)=3,RAMP_W3,RAMP_W4PLUS)))))*(INDEX(ACTIVE_MULT_TABLE,1,1))*(1+SUMPRODUCT(SIGN(((ACT_DOOR_SCOPE="ALL")+(ACT_DOOR_SCOPE="TIER_"&amp;$F65)+(ACT_DOOR_SCOPE=$B65)))*SIGN(((ACT_SKU_SCOPE="ALL")+(ACT_SKU_SCOPE=$G65)))*(ACT_START&lt;=2)*(ACT_END&gt;=2)*IFERROR(ACT_UPLIFT-1,0)))*(1+SUMPRODUCT(SIGN(((ACT_DOOR_SCOPE="ALL")+(ACT_DOOR_SCOPE="TIER_"&amp;$F65)+(ACT_DOOR_SCOPE=$B65)))*SIGN(((ACT_SKU_SCOPE="ALL")+(ACT_SKU_SCOPE=$G65)))*(2&gt;ACT_END)*(ACT_END&gt;0)*IFERROR(ACT_POSTLIFT,0))),0)))</f>
        <v/>
      </c>
      <c r="L65" s="10">
        <f>IF(OR($H65&lt;&gt;"Y",3&lt;$I65),0,IF(SUMPRODUCT(((BULK_ENABLED="Y")*((BULK_TIER="ALL")+(BULK_TIER=$F65))*((BULK_SKU="ALL")+(BULK_SKU=$G65))*(BULK_START&lt;=3)*(BULK_END&gt;=3)))&gt;0,IFERROR(SUMPRODUCT(((BULK_ENABLED="Y")*((BULK_TIER="ALL")+(BULK_TIER=$F65))*((BULK_SKU="ALL")+(BULK_SKU=$G65))*(BULK_START&lt;=3)*(BULK_END&gt;=3))*IFERROR(BULK_VALUE,0))/MAX(1,SUMPRODUCT(((BULK_ENABLED="Y")*((BULK_TIER="ALL")+(BULK_TIER=$F65))*((BULK_SKU="ALL")+(BULK_SKU=$G65))*(BULK_START&lt;=3)*(BULK_END&gt;=3)))),0),ROUND((INDEX(VELOCITY_TABLE,MATCH($F65,TIER_LIST,0),1))*(IF((3-$I65+1)&lt;=0,0,IF((3-$I65+1)=1,RAMP_W1,IF((3-$I65+1)=2,RAMP_W2,IF((3-$I65+1)=3,RAMP_W3,RAMP_W4PLUS)))))*(INDEX(ACTIVE_MULT_TABLE,1,1))*(1+SUMPRODUCT(SIGN(((ACT_DOOR_SCOPE="ALL")+(ACT_DOOR_SCOPE="TIER_"&amp;$F65)+(ACT_DOOR_SCOPE=$B65)))*SIGN(((ACT_SKU_SCOPE="ALL")+(ACT_SKU_SCOPE=$G65)))*(ACT_START&lt;=3)*(ACT_END&gt;=3)*IFERROR(ACT_UPLIFT-1,0)))*(1+SUMPRODUCT(SIGN(((ACT_DOOR_SCOPE="ALL")+(ACT_DOOR_SCOPE="TIER_"&amp;$F65)+(ACT_DOOR_SCOPE=$B65)))*SIGN(((ACT_SKU_SCOPE="ALL")+(ACT_SKU_SCOPE=$G65)))*(3&gt;ACT_END)*(ACT_END&gt;0)*IFERROR(ACT_POSTLIFT,0))),0)))</f>
        <v/>
      </c>
      <c r="M65" s="10">
        <f>IF(OR($H65&lt;&gt;"Y",4&lt;$I65),0,IF(SUMPRODUCT(((BULK_ENABLED="Y")*((BULK_TIER="ALL")+(BULK_TIER=$F65))*((BULK_SKU="ALL")+(BULK_SKU=$G65))*(BULK_START&lt;=4)*(BULK_END&gt;=4)))&gt;0,IFERROR(SUMPRODUCT(((BULK_ENABLED="Y")*((BULK_TIER="ALL")+(BULK_TIER=$F65))*((BULK_SKU="ALL")+(BULK_SKU=$G65))*(BULK_START&lt;=4)*(BULK_END&gt;=4))*IFERROR(BULK_VALUE,0))/MAX(1,SUMPRODUCT(((BULK_ENABLED="Y")*((BULK_TIER="ALL")+(BULK_TIER=$F65))*((BULK_SKU="ALL")+(BULK_SKU=$G65))*(BULK_START&lt;=4)*(BULK_END&gt;=4)))),0),ROUND((INDEX(VELOCITY_TABLE,MATCH($F65,TIER_LIST,0),1))*(IF((4-$I65+1)&lt;=0,0,IF((4-$I65+1)=1,RAMP_W1,IF((4-$I65+1)=2,RAMP_W2,IF((4-$I65+1)=3,RAMP_W3,RAMP_W4PLUS)))))*(INDEX(ACTIVE_MULT_TABLE,1,1))*(1+SUMPRODUCT(SIGN(((ACT_DOOR_SCOPE="ALL")+(ACT_DOOR_SCOPE="TIER_"&amp;$F65)+(ACT_DOOR_SCOPE=$B65)))*SIGN(((ACT_SKU_SCOPE="ALL")+(ACT_SKU_SCOPE=$G65)))*(ACT_START&lt;=4)*(ACT_END&gt;=4)*IFERROR(ACT_UPLIFT-1,0)))*(1+SUMPRODUCT(SIGN(((ACT_DOOR_SCOPE="ALL")+(ACT_DOOR_SCOPE="TIER_"&amp;$F65)+(ACT_DOOR_SCOPE=$B65)))*SIGN(((ACT_SKU_SCOPE="ALL")+(ACT_SKU_SCOPE=$G65)))*(4&gt;ACT_END)*(ACT_END&gt;0)*IFERROR(ACT_POSTLIFT,0))),0)))</f>
        <v/>
      </c>
      <c r="N65" s="10">
        <f>IF(OR($H65&lt;&gt;"Y",5&lt;$I65),0,IF(SUMPRODUCT(((BULK_ENABLED="Y")*((BULK_TIER="ALL")+(BULK_TIER=$F65))*((BULK_SKU="ALL")+(BULK_SKU=$G65))*(BULK_START&lt;=5)*(BULK_END&gt;=5)))&gt;0,IFERROR(SUMPRODUCT(((BULK_ENABLED="Y")*((BULK_TIER="ALL")+(BULK_TIER=$F65))*((BULK_SKU="ALL")+(BULK_SKU=$G65))*(BULK_START&lt;=5)*(BULK_END&gt;=5))*IFERROR(BULK_VALUE,0))/MAX(1,SUMPRODUCT(((BULK_ENABLED="Y")*((BULK_TIER="ALL")+(BULK_TIER=$F65))*((BULK_SKU="ALL")+(BULK_SKU=$G65))*(BULK_START&lt;=5)*(BULK_END&gt;=5)))),0),ROUND((INDEX(VELOCITY_TABLE,MATCH($F65,TIER_LIST,0),1))*(IF((5-$I65+1)&lt;=0,0,IF((5-$I65+1)=1,RAMP_W1,IF((5-$I65+1)=2,RAMP_W2,IF((5-$I65+1)=3,RAMP_W3,RAMP_W4PLUS)))))*(INDEX(ACTIVE_MULT_TABLE,1,1))*(1+SUMPRODUCT(SIGN(((ACT_DOOR_SCOPE="ALL")+(ACT_DOOR_SCOPE="TIER_"&amp;$F65)+(ACT_DOOR_SCOPE=$B65)))*SIGN(((ACT_SKU_SCOPE="ALL")+(ACT_SKU_SCOPE=$G65)))*(ACT_START&lt;=5)*(ACT_END&gt;=5)*IFERROR(ACT_UPLIFT-1,0)))*(1+SUMPRODUCT(SIGN(((ACT_DOOR_SCOPE="ALL")+(ACT_DOOR_SCOPE="TIER_"&amp;$F65)+(ACT_DOOR_SCOPE=$B65)))*SIGN(((ACT_SKU_SCOPE="ALL")+(ACT_SKU_SCOPE=$G65)))*(5&gt;ACT_END)*(ACT_END&gt;0)*IFERROR(ACT_POSTLIFT,0))),0)))</f>
        <v/>
      </c>
      <c r="O65" s="10">
        <f>IF(OR($H65&lt;&gt;"Y",6&lt;$I65),0,IF(SUMPRODUCT(((BULK_ENABLED="Y")*((BULK_TIER="ALL")+(BULK_TIER=$F65))*((BULK_SKU="ALL")+(BULK_SKU=$G65))*(BULK_START&lt;=6)*(BULK_END&gt;=6)))&gt;0,IFERROR(SUMPRODUCT(((BULK_ENABLED="Y")*((BULK_TIER="ALL")+(BULK_TIER=$F65))*((BULK_SKU="ALL")+(BULK_SKU=$G65))*(BULK_START&lt;=6)*(BULK_END&gt;=6))*IFERROR(BULK_VALUE,0))/MAX(1,SUMPRODUCT(((BULK_ENABLED="Y")*((BULK_TIER="ALL")+(BULK_TIER=$F65))*((BULK_SKU="ALL")+(BULK_SKU=$G65))*(BULK_START&lt;=6)*(BULK_END&gt;=6)))),0),ROUND((INDEX(VELOCITY_TABLE,MATCH($F65,TIER_LIST,0),1))*(IF((6-$I65+1)&lt;=0,0,IF((6-$I65+1)=1,RAMP_W1,IF((6-$I65+1)=2,RAMP_W2,IF((6-$I65+1)=3,RAMP_W3,RAMP_W4PLUS)))))*(INDEX(ACTIVE_MULT_TABLE,1,1))*(1+SUMPRODUCT(SIGN(((ACT_DOOR_SCOPE="ALL")+(ACT_DOOR_SCOPE="TIER_"&amp;$F65)+(ACT_DOOR_SCOPE=$B65)))*SIGN(((ACT_SKU_SCOPE="ALL")+(ACT_SKU_SCOPE=$G65)))*(ACT_START&lt;=6)*(ACT_END&gt;=6)*IFERROR(ACT_UPLIFT-1,0)))*(1+SUMPRODUCT(SIGN(((ACT_DOOR_SCOPE="ALL")+(ACT_DOOR_SCOPE="TIER_"&amp;$F65)+(ACT_DOOR_SCOPE=$B65)))*SIGN(((ACT_SKU_SCOPE="ALL")+(ACT_SKU_SCOPE=$G65)))*(6&gt;ACT_END)*(ACT_END&gt;0)*IFERROR(ACT_POSTLIFT,0))),0)))</f>
        <v/>
      </c>
      <c r="P65" s="10">
        <f>IF(OR($H65&lt;&gt;"Y",7&lt;$I65),0,IF(SUMPRODUCT(((BULK_ENABLED="Y")*((BULK_TIER="ALL")+(BULK_TIER=$F65))*((BULK_SKU="ALL")+(BULK_SKU=$G65))*(BULK_START&lt;=7)*(BULK_END&gt;=7)))&gt;0,IFERROR(SUMPRODUCT(((BULK_ENABLED="Y")*((BULK_TIER="ALL")+(BULK_TIER=$F65))*((BULK_SKU="ALL")+(BULK_SKU=$G65))*(BULK_START&lt;=7)*(BULK_END&gt;=7))*IFERROR(BULK_VALUE,0))/MAX(1,SUMPRODUCT(((BULK_ENABLED="Y")*((BULK_TIER="ALL")+(BULK_TIER=$F65))*((BULK_SKU="ALL")+(BULK_SKU=$G65))*(BULK_START&lt;=7)*(BULK_END&gt;=7)))),0),ROUND((INDEX(VELOCITY_TABLE,MATCH($F65,TIER_LIST,0),1))*(IF((7-$I65+1)&lt;=0,0,IF((7-$I65+1)=1,RAMP_W1,IF((7-$I65+1)=2,RAMP_W2,IF((7-$I65+1)=3,RAMP_W3,RAMP_W4PLUS)))))*(INDEX(ACTIVE_MULT_TABLE,1,1))*(1+SUMPRODUCT(SIGN(((ACT_DOOR_SCOPE="ALL")+(ACT_DOOR_SCOPE="TIER_"&amp;$F65)+(ACT_DOOR_SCOPE=$B65)))*SIGN(((ACT_SKU_SCOPE="ALL")+(ACT_SKU_SCOPE=$G65)))*(ACT_START&lt;=7)*(ACT_END&gt;=7)*IFERROR(ACT_UPLIFT-1,0)))*(1+SUMPRODUCT(SIGN(((ACT_DOOR_SCOPE="ALL")+(ACT_DOOR_SCOPE="TIER_"&amp;$F65)+(ACT_DOOR_SCOPE=$B65)))*SIGN(((ACT_SKU_SCOPE="ALL")+(ACT_SKU_SCOPE=$G65)))*(7&gt;ACT_END)*(ACT_END&gt;0)*IFERROR(ACT_POSTLIFT,0))),0)))</f>
        <v/>
      </c>
      <c r="Q65" s="10">
        <f>IF(OR($H65&lt;&gt;"Y",8&lt;$I65),0,IF(SUMPRODUCT(((BULK_ENABLED="Y")*((BULK_TIER="ALL")+(BULK_TIER=$F65))*((BULK_SKU="ALL")+(BULK_SKU=$G65))*(BULK_START&lt;=8)*(BULK_END&gt;=8)))&gt;0,IFERROR(SUMPRODUCT(((BULK_ENABLED="Y")*((BULK_TIER="ALL")+(BULK_TIER=$F65))*((BULK_SKU="ALL")+(BULK_SKU=$G65))*(BULK_START&lt;=8)*(BULK_END&gt;=8))*IFERROR(BULK_VALUE,0))/MAX(1,SUMPRODUCT(((BULK_ENABLED="Y")*((BULK_TIER="ALL")+(BULK_TIER=$F65))*((BULK_SKU="ALL")+(BULK_SKU=$G65))*(BULK_START&lt;=8)*(BULK_END&gt;=8)))),0),ROUND((INDEX(VELOCITY_TABLE,MATCH($F65,TIER_LIST,0),1))*(IF((8-$I65+1)&lt;=0,0,IF((8-$I65+1)=1,RAMP_W1,IF((8-$I65+1)=2,RAMP_W2,IF((8-$I65+1)=3,RAMP_W3,RAMP_W4PLUS)))))*(INDEX(ACTIVE_MULT_TABLE,1,1))*(1+SUMPRODUCT(SIGN(((ACT_DOOR_SCOPE="ALL")+(ACT_DOOR_SCOPE="TIER_"&amp;$F65)+(ACT_DOOR_SCOPE=$B65)))*SIGN(((ACT_SKU_SCOPE="ALL")+(ACT_SKU_SCOPE=$G65)))*(ACT_START&lt;=8)*(ACT_END&gt;=8)*IFERROR(ACT_UPLIFT-1,0)))*(1+SUMPRODUCT(SIGN(((ACT_DOOR_SCOPE="ALL")+(ACT_DOOR_SCOPE="TIER_"&amp;$F65)+(ACT_DOOR_SCOPE=$B65)))*SIGN(((ACT_SKU_SCOPE="ALL")+(ACT_SKU_SCOPE=$G65)))*(8&gt;ACT_END)*(ACT_END&gt;0)*IFERROR(ACT_POSTLIFT,0))),0)))</f>
        <v/>
      </c>
      <c r="R65" s="10">
        <f>IF(OR($H65&lt;&gt;"Y",9&lt;$I65),0,IF(SUMPRODUCT(((BULK_ENABLED="Y")*((BULK_TIER="ALL")+(BULK_TIER=$F65))*((BULK_SKU="ALL")+(BULK_SKU=$G65))*(BULK_START&lt;=9)*(BULK_END&gt;=9)))&gt;0,IFERROR(SUMPRODUCT(((BULK_ENABLED="Y")*((BULK_TIER="ALL")+(BULK_TIER=$F65))*((BULK_SKU="ALL")+(BULK_SKU=$G65))*(BULK_START&lt;=9)*(BULK_END&gt;=9))*IFERROR(BULK_VALUE,0))/MAX(1,SUMPRODUCT(((BULK_ENABLED="Y")*((BULK_TIER="ALL")+(BULK_TIER=$F65))*((BULK_SKU="ALL")+(BULK_SKU=$G65))*(BULK_START&lt;=9)*(BULK_END&gt;=9)))),0),ROUND((INDEX(VELOCITY_TABLE,MATCH($F65,TIER_LIST,0),1))*(IF((9-$I65+1)&lt;=0,0,IF((9-$I65+1)=1,RAMP_W1,IF((9-$I65+1)=2,RAMP_W2,IF((9-$I65+1)=3,RAMP_W3,RAMP_W4PLUS)))))*(INDEX(ACTIVE_MULT_TABLE,1,1))*(1+SUMPRODUCT(SIGN(((ACT_DOOR_SCOPE="ALL")+(ACT_DOOR_SCOPE="TIER_"&amp;$F65)+(ACT_DOOR_SCOPE=$B65)))*SIGN(((ACT_SKU_SCOPE="ALL")+(ACT_SKU_SCOPE=$G65)))*(ACT_START&lt;=9)*(ACT_END&gt;=9)*IFERROR(ACT_UPLIFT-1,0)))*(1+SUMPRODUCT(SIGN(((ACT_DOOR_SCOPE="ALL")+(ACT_DOOR_SCOPE="TIER_"&amp;$F65)+(ACT_DOOR_SCOPE=$B65)))*SIGN(((ACT_SKU_SCOPE="ALL")+(ACT_SKU_SCOPE=$G65)))*(9&gt;ACT_END)*(ACT_END&gt;0)*IFERROR(ACT_POSTLIFT,0))),0)))</f>
        <v/>
      </c>
      <c r="S65" s="10">
        <f>IF(OR($H65&lt;&gt;"Y",10&lt;$I65),0,IF(SUMPRODUCT(((BULK_ENABLED="Y")*((BULK_TIER="ALL")+(BULK_TIER=$F65))*((BULK_SKU="ALL")+(BULK_SKU=$G65))*(BULK_START&lt;=10)*(BULK_END&gt;=10)))&gt;0,IFERROR(SUMPRODUCT(((BULK_ENABLED="Y")*((BULK_TIER="ALL")+(BULK_TIER=$F65))*((BULK_SKU="ALL")+(BULK_SKU=$G65))*(BULK_START&lt;=10)*(BULK_END&gt;=10))*IFERROR(BULK_VALUE,0))/MAX(1,SUMPRODUCT(((BULK_ENABLED="Y")*((BULK_TIER="ALL")+(BULK_TIER=$F65))*((BULK_SKU="ALL")+(BULK_SKU=$G65))*(BULK_START&lt;=10)*(BULK_END&gt;=10)))),0),ROUND((INDEX(VELOCITY_TABLE,MATCH($F65,TIER_LIST,0),1))*(IF((10-$I65+1)&lt;=0,0,IF((10-$I65+1)=1,RAMP_W1,IF((10-$I65+1)=2,RAMP_W2,IF((10-$I65+1)=3,RAMP_W3,RAMP_W4PLUS)))))*(INDEX(ACTIVE_MULT_TABLE,1,1))*(1+SUMPRODUCT(SIGN(((ACT_DOOR_SCOPE="ALL")+(ACT_DOOR_SCOPE="TIER_"&amp;$F65)+(ACT_DOOR_SCOPE=$B65)))*SIGN(((ACT_SKU_SCOPE="ALL")+(ACT_SKU_SCOPE=$G65)))*(ACT_START&lt;=10)*(ACT_END&gt;=10)*IFERROR(ACT_UPLIFT-1,0)))*(1+SUMPRODUCT(SIGN(((ACT_DOOR_SCOPE="ALL")+(ACT_DOOR_SCOPE="TIER_"&amp;$F65)+(ACT_DOOR_SCOPE=$B65)))*SIGN(((ACT_SKU_SCOPE="ALL")+(ACT_SKU_SCOPE=$G65)))*(10&gt;ACT_END)*(ACT_END&gt;0)*IFERROR(ACT_POSTLIFT,0))),0)))</f>
        <v/>
      </c>
      <c r="T65" s="10">
        <f>IF(OR($H65&lt;&gt;"Y",11&lt;$I65),0,IF(SUMPRODUCT(((BULK_ENABLED="Y")*((BULK_TIER="ALL")+(BULK_TIER=$F65))*((BULK_SKU="ALL")+(BULK_SKU=$G65))*(BULK_START&lt;=11)*(BULK_END&gt;=11)))&gt;0,IFERROR(SUMPRODUCT(((BULK_ENABLED="Y")*((BULK_TIER="ALL")+(BULK_TIER=$F65))*((BULK_SKU="ALL")+(BULK_SKU=$G65))*(BULK_START&lt;=11)*(BULK_END&gt;=11))*IFERROR(BULK_VALUE,0))/MAX(1,SUMPRODUCT(((BULK_ENABLED="Y")*((BULK_TIER="ALL")+(BULK_TIER=$F65))*((BULK_SKU="ALL")+(BULK_SKU=$G65))*(BULK_START&lt;=11)*(BULK_END&gt;=11)))),0),ROUND((INDEX(VELOCITY_TABLE,MATCH($F65,TIER_LIST,0),1))*(IF((11-$I65+1)&lt;=0,0,IF((11-$I65+1)=1,RAMP_W1,IF((11-$I65+1)=2,RAMP_W2,IF((11-$I65+1)=3,RAMP_W3,RAMP_W4PLUS)))))*(INDEX(ACTIVE_MULT_TABLE,1,1))*(1+SUMPRODUCT(SIGN(((ACT_DOOR_SCOPE="ALL")+(ACT_DOOR_SCOPE="TIER_"&amp;$F65)+(ACT_DOOR_SCOPE=$B65)))*SIGN(((ACT_SKU_SCOPE="ALL")+(ACT_SKU_SCOPE=$G65)))*(ACT_START&lt;=11)*(ACT_END&gt;=11)*IFERROR(ACT_UPLIFT-1,0)))*(1+SUMPRODUCT(SIGN(((ACT_DOOR_SCOPE="ALL")+(ACT_DOOR_SCOPE="TIER_"&amp;$F65)+(ACT_DOOR_SCOPE=$B65)))*SIGN(((ACT_SKU_SCOPE="ALL")+(ACT_SKU_SCOPE=$G65)))*(11&gt;ACT_END)*(ACT_END&gt;0)*IFERROR(ACT_POSTLIFT,0))),0)))</f>
        <v/>
      </c>
      <c r="U65" s="10">
        <f>IF(OR($H65&lt;&gt;"Y",12&lt;$I65),0,IF(SUMPRODUCT(((BULK_ENABLED="Y")*((BULK_TIER="ALL")+(BULK_TIER=$F65))*((BULK_SKU="ALL")+(BULK_SKU=$G65))*(BULK_START&lt;=12)*(BULK_END&gt;=12)))&gt;0,IFERROR(SUMPRODUCT(((BULK_ENABLED="Y")*((BULK_TIER="ALL")+(BULK_TIER=$F65))*((BULK_SKU="ALL")+(BULK_SKU=$G65))*(BULK_START&lt;=12)*(BULK_END&gt;=12))*IFERROR(BULK_VALUE,0))/MAX(1,SUMPRODUCT(((BULK_ENABLED="Y")*((BULK_TIER="ALL")+(BULK_TIER=$F65))*((BULK_SKU="ALL")+(BULK_SKU=$G65))*(BULK_START&lt;=12)*(BULK_END&gt;=12)))),0),ROUND((INDEX(VELOCITY_TABLE,MATCH($F65,TIER_LIST,0),1))*(IF((12-$I65+1)&lt;=0,0,IF((12-$I65+1)=1,RAMP_W1,IF((12-$I65+1)=2,RAMP_W2,IF((12-$I65+1)=3,RAMP_W3,RAMP_W4PLUS)))))*(INDEX(ACTIVE_MULT_TABLE,1,1))*(1+SUMPRODUCT(SIGN(((ACT_DOOR_SCOPE="ALL")+(ACT_DOOR_SCOPE="TIER_"&amp;$F65)+(ACT_DOOR_SCOPE=$B65)))*SIGN(((ACT_SKU_SCOPE="ALL")+(ACT_SKU_SCOPE=$G65)))*(ACT_START&lt;=12)*(ACT_END&gt;=12)*IFERROR(ACT_UPLIFT-1,0)))*(1+SUMPRODUCT(SIGN(((ACT_DOOR_SCOPE="ALL")+(ACT_DOOR_SCOPE="TIER_"&amp;$F65)+(ACT_DOOR_SCOPE=$B65)))*SIGN(((ACT_SKU_SCOPE="ALL")+(ACT_SKU_SCOPE=$G65)))*(12&gt;ACT_END)*(ACT_END&gt;0)*IFERROR(ACT_POSTLIFT,0))),0)))</f>
        <v/>
      </c>
      <c r="V65" s="10">
        <f>IF(OR($H65&lt;&gt;"Y",13&lt;$I65),0,IF(SUMPRODUCT(((BULK_ENABLED="Y")*((BULK_TIER="ALL")+(BULK_TIER=$F65))*((BULK_SKU="ALL")+(BULK_SKU=$G65))*(BULK_START&lt;=13)*(BULK_END&gt;=13)))&gt;0,IFERROR(SUMPRODUCT(((BULK_ENABLED="Y")*((BULK_TIER="ALL")+(BULK_TIER=$F65))*((BULK_SKU="ALL")+(BULK_SKU=$G65))*(BULK_START&lt;=13)*(BULK_END&gt;=13))*IFERROR(BULK_VALUE,0))/MAX(1,SUMPRODUCT(((BULK_ENABLED="Y")*((BULK_TIER="ALL")+(BULK_TIER=$F65))*((BULK_SKU="ALL")+(BULK_SKU=$G65))*(BULK_START&lt;=13)*(BULK_END&gt;=13)))),0),ROUND((INDEX(VELOCITY_TABLE,MATCH($F65,TIER_LIST,0),1))*(IF((13-$I65+1)&lt;=0,0,IF((13-$I65+1)=1,RAMP_W1,IF((13-$I65+1)=2,RAMP_W2,IF((13-$I65+1)=3,RAMP_W3,RAMP_W4PLUS)))))*(INDEX(ACTIVE_MULT_TABLE,1,1))*(1+SUMPRODUCT(SIGN(((ACT_DOOR_SCOPE="ALL")+(ACT_DOOR_SCOPE="TIER_"&amp;$F65)+(ACT_DOOR_SCOPE=$B65)))*SIGN(((ACT_SKU_SCOPE="ALL")+(ACT_SKU_SCOPE=$G65)))*(ACT_START&lt;=13)*(ACT_END&gt;=13)*IFERROR(ACT_UPLIFT-1,0)))*(1+SUMPRODUCT(SIGN(((ACT_DOOR_SCOPE="ALL")+(ACT_DOOR_SCOPE="TIER_"&amp;$F65)+(ACT_DOOR_SCOPE=$B65)))*SIGN(((ACT_SKU_SCOPE="ALL")+(ACT_SKU_SCOPE=$G65)))*(13&gt;ACT_END)*(ACT_END&gt;0)*IFERROR(ACT_POSTLIFT,0))),0)))</f>
        <v/>
      </c>
    </row>
    <row r="66">
      <c r="A66" t="inlineStr">
        <is>
          <t>R0062</t>
        </is>
      </c>
      <c r="B66">
        <f>Doors!$A$25</f>
        <v/>
      </c>
      <c r="C66">
        <f>Doors!$C$25</f>
        <v/>
      </c>
      <c r="D66">
        <f>Doors!$B$25</f>
        <v/>
      </c>
      <c r="E66">
        <f>Doors!$E$25</f>
        <v/>
      </c>
      <c r="F66">
        <f>Doors!$F$25</f>
        <v/>
      </c>
      <c r="G66" t="inlineStr">
        <is>
          <t>Pineapple Passion Fruit</t>
        </is>
      </c>
      <c r="H66">
        <f>Doors!$H$25</f>
        <v/>
      </c>
      <c r="I66">
        <f>Doors!$J$25</f>
        <v/>
      </c>
      <c r="J66" s="10">
        <f>IF(OR($H66&lt;&gt;"Y",1&lt;$I66),0,IF(SUMPRODUCT(((BULK_ENABLED="Y")*((BULK_TIER="ALL")+(BULK_TIER=$F66))*((BULK_SKU="ALL")+(BULK_SKU=$G66))*(BULK_START&lt;=1)*(BULK_END&gt;=1)))&gt;0,IFERROR(SUMPRODUCT(((BULK_ENABLED="Y")*((BULK_TIER="ALL")+(BULK_TIER=$F66))*((BULK_SKU="ALL")+(BULK_SKU=$G66))*(BULK_START&lt;=1)*(BULK_END&gt;=1))*IFERROR(BULK_VALUE,0))/MAX(1,SUMPRODUCT(((BULK_ENABLED="Y")*((BULK_TIER="ALL")+(BULK_TIER=$F66))*((BULK_SKU="ALL")+(BULK_SKU=$G66))*(BULK_START&lt;=1)*(BULK_END&gt;=1)))),0),ROUND((INDEX(VELOCITY_TABLE,MATCH($F66,TIER_LIST,0),2))*(IF((1-$I66+1)&lt;=0,0,IF((1-$I66+1)=1,RAMP_W1,IF((1-$I66+1)=2,RAMP_W2,IF((1-$I66+1)=3,RAMP_W3,RAMP_W4PLUS)))))*(INDEX(ACTIVE_MULT_TABLE,2,1))*(1+SUMPRODUCT(SIGN(((ACT_DOOR_SCOPE="ALL")+(ACT_DOOR_SCOPE="TIER_"&amp;$F66)+(ACT_DOOR_SCOPE=$B66)))*SIGN(((ACT_SKU_SCOPE="ALL")+(ACT_SKU_SCOPE=$G66)))*(ACT_START&lt;=1)*(ACT_END&gt;=1)*IFERROR(ACT_UPLIFT-1,0)))*(1+SUMPRODUCT(SIGN(((ACT_DOOR_SCOPE="ALL")+(ACT_DOOR_SCOPE="TIER_"&amp;$F66)+(ACT_DOOR_SCOPE=$B66)))*SIGN(((ACT_SKU_SCOPE="ALL")+(ACT_SKU_SCOPE=$G66)))*(1&gt;ACT_END)*(ACT_END&gt;0)*IFERROR(ACT_POSTLIFT,0))),0)))</f>
        <v/>
      </c>
      <c r="K66" s="10">
        <f>IF(OR($H66&lt;&gt;"Y",2&lt;$I66),0,IF(SUMPRODUCT(((BULK_ENABLED="Y")*((BULK_TIER="ALL")+(BULK_TIER=$F66))*((BULK_SKU="ALL")+(BULK_SKU=$G66))*(BULK_START&lt;=2)*(BULK_END&gt;=2)))&gt;0,IFERROR(SUMPRODUCT(((BULK_ENABLED="Y")*((BULK_TIER="ALL")+(BULK_TIER=$F66))*((BULK_SKU="ALL")+(BULK_SKU=$G66))*(BULK_START&lt;=2)*(BULK_END&gt;=2))*IFERROR(BULK_VALUE,0))/MAX(1,SUMPRODUCT(((BULK_ENABLED="Y")*((BULK_TIER="ALL")+(BULK_TIER=$F66))*((BULK_SKU="ALL")+(BULK_SKU=$G66))*(BULK_START&lt;=2)*(BULK_END&gt;=2)))),0),ROUND((INDEX(VELOCITY_TABLE,MATCH($F66,TIER_LIST,0),2))*(IF((2-$I66+1)&lt;=0,0,IF((2-$I66+1)=1,RAMP_W1,IF((2-$I66+1)=2,RAMP_W2,IF((2-$I66+1)=3,RAMP_W3,RAMP_W4PLUS)))))*(INDEX(ACTIVE_MULT_TABLE,2,1))*(1+SUMPRODUCT(SIGN(((ACT_DOOR_SCOPE="ALL")+(ACT_DOOR_SCOPE="TIER_"&amp;$F66)+(ACT_DOOR_SCOPE=$B66)))*SIGN(((ACT_SKU_SCOPE="ALL")+(ACT_SKU_SCOPE=$G66)))*(ACT_START&lt;=2)*(ACT_END&gt;=2)*IFERROR(ACT_UPLIFT-1,0)))*(1+SUMPRODUCT(SIGN(((ACT_DOOR_SCOPE="ALL")+(ACT_DOOR_SCOPE="TIER_"&amp;$F66)+(ACT_DOOR_SCOPE=$B66)))*SIGN(((ACT_SKU_SCOPE="ALL")+(ACT_SKU_SCOPE=$G66)))*(2&gt;ACT_END)*(ACT_END&gt;0)*IFERROR(ACT_POSTLIFT,0))),0)))</f>
        <v/>
      </c>
      <c r="L66" s="10">
        <f>IF(OR($H66&lt;&gt;"Y",3&lt;$I66),0,IF(SUMPRODUCT(((BULK_ENABLED="Y")*((BULK_TIER="ALL")+(BULK_TIER=$F66))*((BULK_SKU="ALL")+(BULK_SKU=$G66))*(BULK_START&lt;=3)*(BULK_END&gt;=3)))&gt;0,IFERROR(SUMPRODUCT(((BULK_ENABLED="Y")*((BULK_TIER="ALL")+(BULK_TIER=$F66))*((BULK_SKU="ALL")+(BULK_SKU=$G66))*(BULK_START&lt;=3)*(BULK_END&gt;=3))*IFERROR(BULK_VALUE,0))/MAX(1,SUMPRODUCT(((BULK_ENABLED="Y")*((BULK_TIER="ALL")+(BULK_TIER=$F66))*((BULK_SKU="ALL")+(BULK_SKU=$G66))*(BULK_START&lt;=3)*(BULK_END&gt;=3)))),0),ROUND((INDEX(VELOCITY_TABLE,MATCH($F66,TIER_LIST,0),2))*(IF((3-$I66+1)&lt;=0,0,IF((3-$I66+1)=1,RAMP_W1,IF((3-$I66+1)=2,RAMP_W2,IF((3-$I66+1)=3,RAMP_W3,RAMP_W4PLUS)))))*(INDEX(ACTIVE_MULT_TABLE,2,1))*(1+SUMPRODUCT(SIGN(((ACT_DOOR_SCOPE="ALL")+(ACT_DOOR_SCOPE="TIER_"&amp;$F66)+(ACT_DOOR_SCOPE=$B66)))*SIGN(((ACT_SKU_SCOPE="ALL")+(ACT_SKU_SCOPE=$G66)))*(ACT_START&lt;=3)*(ACT_END&gt;=3)*IFERROR(ACT_UPLIFT-1,0)))*(1+SUMPRODUCT(SIGN(((ACT_DOOR_SCOPE="ALL")+(ACT_DOOR_SCOPE="TIER_"&amp;$F66)+(ACT_DOOR_SCOPE=$B66)))*SIGN(((ACT_SKU_SCOPE="ALL")+(ACT_SKU_SCOPE=$G66)))*(3&gt;ACT_END)*(ACT_END&gt;0)*IFERROR(ACT_POSTLIFT,0))),0)))</f>
        <v/>
      </c>
      <c r="M66" s="10">
        <f>IF(OR($H66&lt;&gt;"Y",4&lt;$I66),0,IF(SUMPRODUCT(((BULK_ENABLED="Y")*((BULK_TIER="ALL")+(BULK_TIER=$F66))*((BULK_SKU="ALL")+(BULK_SKU=$G66))*(BULK_START&lt;=4)*(BULK_END&gt;=4)))&gt;0,IFERROR(SUMPRODUCT(((BULK_ENABLED="Y")*((BULK_TIER="ALL")+(BULK_TIER=$F66))*((BULK_SKU="ALL")+(BULK_SKU=$G66))*(BULK_START&lt;=4)*(BULK_END&gt;=4))*IFERROR(BULK_VALUE,0))/MAX(1,SUMPRODUCT(((BULK_ENABLED="Y")*((BULK_TIER="ALL")+(BULK_TIER=$F66))*((BULK_SKU="ALL")+(BULK_SKU=$G66))*(BULK_START&lt;=4)*(BULK_END&gt;=4)))),0),ROUND((INDEX(VELOCITY_TABLE,MATCH($F66,TIER_LIST,0),2))*(IF((4-$I66+1)&lt;=0,0,IF((4-$I66+1)=1,RAMP_W1,IF((4-$I66+1)=2,RAMP_W2,IF((4-$I66+1)=3,RAMP_W3,RAMP_W4PLUS)))))*(INDEX(ACTIVE_MULT_TABLE,2,1))*(1+SUMPRODUCT(SIGN(((ACT_DOOR_SCOPE="ALL")+(ACT_DOOR_SCOPE="TIER_"&amp;$F66)+(ACT_DOOR_SCOPE=$B66)))*SIGN(((ACT_SKU_SCOPE="ALL")+(ACT_SKU_SCOPE=$G66)))*(ACT_START&lt;=4)*(ACT_END&gt;=4)*IFERROR(ACT_UPLIFT-1,0)))*(1+SUMPRODUCT(SIGN(((ACT_DOOR_SCOPE="ALL")+(ACT_DOOR_SCOPE="TIER_"&amp;$F66)+(ACT_DOOR_SCOPE=$B66)))*SIGN(((ACT_SKU_SCOPE="ALL")+(ACT_SKU_SCOPE=$G66)))*(4&gt;ACT_END)*(ACT_END&gt;0)*IFERROR(ACT_POSTLIFT,0))),0)))</f>
        <v/>
      </c>
      <c r="N66" s="10">
        <f>IF(OR($H66&lt;&gt;"Y",5&lt;$I66),0,IF(SUMPRODUCT(((BULK_ENABLED="Y")*((BULK_TIER="ALL")+(BULK_TIER=$F66))*((BULK_SKU="ALL")+(BULK_SKU=$G66))*(BULK_START&lt;=5)*(BULK_END&gt;=5)))&gt;0,IFERROR(SUMPRODUCT(((BULK_ENABLED="Y")*((BULK_TIER="ALL")+(BULK_TIER=$F66))*((BULK_SKU="ALL")+(BULK_SKU=$G66))*(BULK_START&lt;=5)*(BULK_END&gt;=5))*IFERROR(BULK_VALUE,0))/MAX(1,SUMPRODUCT(((BULK_ENABLED="Y")*((BULK_TIER="ALL")+(BULK_TIER=$F66))*((BULK_SKU="ALL")+(BULK_SKU=$G66))*(BULK_START&lt;=5)*(BULK_END&gt;=5)))),0),ROUND((INDEX(VELOCITY_TABLE,MATCH($F66,TIER_LIST,0),2))*(IF((5-$I66+1)&lt;=0,0,IF((5-$I66+1)=1,RAMP_W1,IF((5-$I66+1)=2,RAMP_W2,IF((5-$I66+1)=3,RAMP_W3,RAMP_W4PLUS)))))*(INDEX(ACTIVE_MULT_TABLE,2,1))*(1+SUMPRODUCT(SIGN(((ACT_DOOR_SCOPE="ALL")+(ACT_DOOR_SCOPE="TIER_"&amp;$F66)+(ACT_DOOR_SCOPE=$B66)))*SIGN(((ACT_SKU_SCOPE="ALL")+(ACT_SKU_SCOPE=$G66)))*(ACT_START&lt;=5)*(ACT_END&gt;=5)*IFERROR(ACT_UPLIFT-1,0)))*(1+SUMPRODUCT(SIGN(((ACT_DOOR_SCOPE="ALL")+(ACT_DOOR_SCOPE="TIER_"&amp;$F66)+(ACT_DOOR_SCOPE=$B66)))*SIGN(((ACT_SKU_SCOPE="ALL")+(ACT_SKU_SCOPE=$G66)))*(5&gt;ACT_END)*(ACT_END&gt;0)*IFERROR(ACT_POSTLIFT,0))),0)))</f>
        <v/>
      </c>
      <c r="O66" s="10">
        <f>IF(OR($H66&lt;&gt;"Y",6&lt;$I66),0,IF(SUMPRODUCT(((BULK_ENABLED="Y")*((BULK_TIER="ALL")+(BULK_TIER=$F66))*((BULK_SKU="ALL")+(BULK_SKU=$G66))*(BULK_START&lt;=6)*(BULK_END&gt;=6)))&gt;0,IFERROR(SUMPRODUCT(((BULK_ENABLED="Y")*((BULK_TIER="ALL")+(BULK_TIER=$F66))*((BULK_SKU="ALL")+(BULK_SKU=$G66))*(BULK_START&lt;=6)*(BULK_END&gt;=6))*IFERROR(BULK_VALUE,0))/MAX(1,SUMPRODUCT(((BULK_ENABLED="Y")*((BULK_TIER="ALL")+(BULK_TIER=$F66))*((BULK_SKU="ALL")+(BULK_SKU=$G66))*(BULK_START&lt;=6)*(BULK_END&gt;=6)))),0),ROUND((INDEX(VELOCITY_TABLE,MATCH($F66,TIER_LIST,0),2))*(IF((6-$I66+1)&lt;=0,0,IF((6-$I66+1)=1,RAMP_W1,IF((6-$I66+1)=2,RAMP_W2,IF((6-$I66+1)=3,RAMP_W3,RAMP_W4PLUS)))))*(INDEX(ACTIVE_MULT_TABLE,2,1))*(1+SUMPRODUCT(SIGN(((ACT_DOOR_SCOPE="ALL")+(ACT_DOOR_SCOPE="TIER_"&amp;$F66)+(ACT_DOOR_SCOPE=$B66)))*SIGN(((ACT_SKU_SCOPE="ALL")+(ACT_SKU_SCOPE=$G66)))*(ACT_START&lt;=6)*(ACT_END&gt;=6)*IFERROR(ACT_UPLIFT-1,0)))*(1+SUMPRODUCT(SIGN(((ACT_DOOR_SCOPE="ALL")+(ACT_DOOR_SCOPE="TIER_"&amp;$F66)+(ACT_DOOR_SCOPE=$B66)))*SIGN(((ACT_SKU_SCOPE="ALL")+(ACT_SKU_SCOPE=$G66)))*(6&gt;ACT_END)*(ACT_END&gt;0)*IFERROR(ACT_POSTLIFT,0))),0)))</f>
        <v/>
      </c>
      <c r="P66" s="10">
        <f>IF(OR($H66&lt;&gt;"Y",7&lt;$I66),0,IF(SUMPRODUCT(((BULK_ENABLED="Y")*((BULK_TIER="ALL")+(BULK_TIER=$F66))*((BULK_SKU="ALL")+(BULK_SKU=$G66))*(BULK_START&lt;=7)*(BULK_END&gt;=7)))&gt;0,IFERROR(SUMPRODUCT(((BULK_ENABLED="Y")*((BULK_TIER="ALL")+(BULK_TIER=$F66))*((BULK_SKU="ALL")+(BULK_SKU=$G66))*(BULK_START&lt;=7)*(BULK_END&gt;=7))*IFERROR(BULK_VALUE,0))/MAX(1,SUMPRODUCT(((BULK_ENABLED="Y")*((BULK_TIER="ALL")+(BULK_TIER=$F66))*((BULK_SKU="ALL")+(BULK_SKU=$G66))*(BULK_START&lt;=7)*(BULK_END&gt;=7)))),0),ROUND((INDEX(VELOCITY_TABLE,MATCH($F66,TIER_LIST,0),2))*(IF((7-$I66+1)&lt;=0,0,IF((7-$I66+1)=1,RAMP_W1,IF((7-$I66+1)=2,RAMP_W2,IF((7-$I66+1)=3,RAMP_W3,RAMP_W4PLUS)))))*(INDEX(ACTIVE_MULT_TABLE,2,1))*(1+SUMPRODUCT(SIGN(((ACT_DOOR_SCOPE="ALL")+(ACT_DOOR_SCOPE="TIER_"&amp;$F66)+(ACT_DOOR_SCOPE=$B66)))*SIGN(((ACT_SKU_SCOPE="ALL")+(ACT_SKU_SCOPE=$G66)))*(ACT_START&lt;=7)*(ACT_END&gt;=7)*IFERROR(ACT_UPLIFT-1,0)))*(1+SUMPRODUCT(SIGN(((ACT_DOOR_SCOPE="ALL")+(ACT_DOOR_SCOPE="TIER_"&amp;$F66)+(ACT_DOOR_SCOPE=$B66)))*SIGN(((ACT_SKU_SCOPE="ALL")+(ACT_SKU_SCOPE=$G66)))*(7&gt;ACT_END)*(ACT_END&gt;0)*IFERROR(ACT_POSTLIFT,0))),0)))</f>
        <v/>
      </c>
      <c r="Q66" s="10">
        <f>IF(OR($H66&lt;&gt;"Y",8&lt;$I66),0,IF(SUMPRODUCT(((BULK_ENABLED="Y")*((BULK_TIER="ALL")+(BULK_TIER=$F66))*((BULK_SKU="ALL")+(BULK_SKU=$G66))*(BULK_START&lt;=8)*(BULK_END&gt;=8)))&gt;0,IFERROR(SUMPRODUCT(((BULK_ENABLED="Y")*((BULK_TIER="ALL")+(BULK_TIER=$F66))*((BULK_SKU="ALL")+(BULK_SKU=$G66))*(BULK_START&lt;=8)*(BULK_END&gt;=8))*IFERROR(BULK_VALUE,0))/MAX(1,SUMPRODUCT(((BULK_ENABLED="Y")*((BULK_TIER="ALL")+(BULK_TIER=$F66))*((BULK_SKU="ALL")+(BULK_SKU=$G66))*(BULK_START&lt;=8)*(BULK_END&gt;=8)))),0),ROUND((INDEX(VELOCITY_TABLE,MATCH($F66,TIER_LIST,0),2))*(IF((8-$I66+1)&lt;=0,0,IF((8-$I66+1)=1,RAMP_W1,IF((8-$I66+1)=2,RAMP_W2,IF((8-$I66+1)=3,RAMP_W3,RAMP_W4PLUS)))))*(INDEX(ACTIVE_MULT_TABLE,2,1))*(1+SUMPRODUCT(SIGN(((ACT_DOOR_SCOPE="ALL")+(ACT_DOOR_SCOPE="TIER_"&amp;$F66)+(ACT_DOOR_SCOPE=$B66)))*SIGN(((ACT_SKU_SCOPE="ALL")+(ACT_SKU_SCOPE=$G66)))*(ACT_START&lt;=8)*(ACT_END&gt;=8)*IFERROR(ACT_UPLIFT-1,0)))*(1+SUMPRODUCT(SIGN(((ACT_DOOR_SCOPE="ALL")+(ACT_DOOR_SCOPE="TIER_"&amp;$F66)+(ACT_DOOR_SCOPE=$B66)))*SIGN(((ACT_SKU_SCOPE="ALL")+(ACT_SKU_SCOPE=$G66)))*(8&gt;ACT_END)*(ACT_END&gt;0)*IFERROR(ACT_POSTLIFT,0))),0)))</f>
        <v/>
      </c>
      <c r="R66" s="10">
        <f>IF(OR($H66&lt;&gt;"Y",9&lt;$I66),0,IF(SUMPRODUCT(((BULK_ENABLED="Y")*((BULK_TIER="ALL")+(BULK_TIER=$F66))*((BULK_SKU="ALL")+(BULK_SKU=$G66))*(BULK_START&lt;=9)*(BULK_END&gt;=9)))&gt;0,IFERROR(SUMPRODUCT(((BULK_ENABLED="Y")*((BULK_TIER="ALL")+(BULK_TIER=$F66))*((BULK_SKU="ALL")+(BULK_SKU=$G66))*(BULK_START&lt;=9)*(BULK_END&gt;=9))*IFERROR(BULK_VALUE,0))/MAX(1,SUMPRODUCT(((BULK_ENABLED="Y")*((BULK_TIER="ALL")+(BULK_TIER=$F66))*((BULK_SKU="ALL")+(BULK_SKU=$G66))*(BULK_START&lt;=9)*(BULK_END&gt;=9)))),0),ROUND((INDEX(VELOCITY_TABLE,MATCH($F66,TIER_LIST,0),2))*(IF((9-$I66+1)&lt;=0,0,IF((9-$I66+1)=1,RAMP_W1,IF((9-$I66+1)=2,RAMP_W2,IF((9-$I66+1)=3,RAMP_W3,RAMP_W4PLUS)))))*(INDEX(ACTIVE_MULT_TABLE,2,1))*(1+SUMPRODUCT(SIGN(((ACT_DOOR_SCOPE="ALL")+(ACT_DOOR_SCOPE="TIER_"&amp;$F66)+(ACT_DOOR_SCOPE=$B66)))*SIGN(((ACT_SKU_SCOPE="ALL")+(ACT_SKU_SCOPE=$G66)))*(ACT_START&lt;=9)*(ACT_END&gt;=9)*IFERROR(ACT_UPLIFT-1,0)))*(1+SUMPRODUCT(SIGN(((ACT_DOOR_SCOPE="ALL")+(ACT_DOOR_SCOPE="TIER_"&amp;$F66)+(ACT_DOOR_SCOPE=$B66)))*SIGN(((ACT_SKU_SCOPE="ALL")+(ACT_SKU_SCOPE=$G66)))*(9&gt;ACT_END)*(ACT_END&gt;0)*IFERROR(ACT_POSTLIFT,0))),0)))</f>
        <v/>
      </c>
      <c r="S66" s="10">
        <f>IF(OR($H66&lt;&gt;"Y",10&lt;$I66),0,IF(SUMPRODUCT(((BULK_ENABLED="Y")*((BULK_TIER="ALL")+(BULK_TIER=$F66))*((BULK_SKU="ALL")+(BULK_SKU=$G66))*(BULK_START&lt;=10)*(BULK_END&gt;=10)))&gt;0,IFERROR(SUMPRODUCT(((BULK_ENABLED="Y")*((BULK_TIER="ALL")+(BULK_TIER=$F66))*((BULK_SKU="ALL")+(BULK_SKU=$G66))*(BULK_START&lt;=10)*(BULK_END&gt;=10))*IFERROR(BULK_VALUE,0))/MAX(1,SUMPRODUCT(((BULK_ENABLED="Y")*((BULK_TIER="ALL")+(BULK_TIER=$F66))*((BULK_SKU="ALL")+(BULK_SKU=$G66))*(BULK_START&lt;=10)*(BULK_END&gt;=10)))),0),ROUND((INDEX(VELOCITY_TABLE,MATCH($F66,TIER_LIST,0),2))*(IF((10-$I66+1)&lt;=0,0,IF((10-$I66+1)=1,RAMP_W1,IF((10-$I66+1)=2,RAMP_W2,IF((10-$I66+1)=3,RAMP_W3,RAMP_W4PLUS)))))*(INDEX(ACTIVE_MULT_TABLE,2,1))*(1+SUMPRODUCT(SIGN(((ACT_DOOR_SCOPE="ALL")+(ACT_DOOR_SCOPE="TIER_"&amp;$F66)+(ACT_DOOR_SCOPE=$B66)))*SIGN(((ACT_SKU_SCOPE="ALL")+(ACT_SKU_SCOPE=$G66)))*(ACT_START&lt;=10)*(ACT_END&gt;=10)*IFERROR(ACT_UPLIFT-1,0)))*(1+SUMPRODUCT(SIGN(((ACT_DOOR_SCOPE="ALL")+(ACT_DOOR_SCOPE="TIER_"&amp;$F66)+(ACT_DOOR_SCOPE=$B66)))*SIGN(((ACT_SKU_SCOPE="ALL")+(ACT_SKU_SCOPE=$G66)))*(10&gt;ACT_END)*(ACT_END&gt;0)*IFERROR(ACT_POSTLIFT,0))),0)))</f>
        <v/>
      </c>
      <c r="T66" s="10">
        <f>IF(OR($H66&lt;&gt;"Y",11&lt;$I66),0,IF(SUMPRODUCT(((BULK_ENABLED="Y")*((BULK_TIER="ALL")+(BULK_TIER=$F66))*((BULK_SKU="ALL")+(BULK_SKU=$G66))*(BULK_START&lt;=11)*(BULK_END&gt;=11)))&gt;0,IFERROR(SUMPRODUCT(((BULK_ENABLED="Y")*((BULK_TIER="ALL")+(BULK_TIER=$F66))*((BULK_SKU="ALL")+(BULK_SKU=$G66))*(BULK_START&lt;=11)*(BULK_END&gt;=11))*IFERROR(BULK_VALUE,0))/MAX(1,SUMPRODUCT(((BULK_ENABLED="Y")*((BULK_TIER="ALL")+(BULK_TIER=$F66))*((BULK_SKU="ALL")+(BULK_SKU=$G66))*(BULK_START&lt;=11)*(BULK_END&gt;=11)))),0),ROUND((INDEX(VELOCITY_TABLE,MATCH($F66,TIER_LIST,0),2))*(IF((11-$I66+1)&lt;=0,0,IF((11-$I66+1)=1,RAMP_W1,IF((11-$I66+1)=2,RAMP_W2,IF((11-$I66+1)=3,RAMP_W3,RAMP_W4PLUS)))))*(INDEX(ACTIVE_MULT_TABLE,2,1))*(1+SUMPRODUCT(SIGN(((ACT_DOOR_SCOPE="ALL")+(ACT_DOOR_SCOPE="TIER_"&amp;$F66)+(ACT_DOOR_SCOPE=$B66)))*SIGN(((ACT_SKU_SCOPE="ALL")+(ACT_SKU_SCOPE=$G66)))*(ACT_START&lt;=11)*(ACT_END&gt;=11)*IFERROR(ACT_UPLIFT-1,0)))*(1+SUMPRODUCT(SIGN(((ACT_DOOR_SCOPE="ALL")+(ACT_DOOR_SCOPE="TIER_"&amp;$F66)+(ACT_DOOR_SCOPE=$B66)))*SIGN(((ACT_SKU_SCOPE="ALL")+(ACT_SKU_SCOPE=$G66)))*(11&gt;ACT_END)*(ACT_END&gt;0)*IFERROR(ACT_POSTLIFT,0))),0)))</f>
        <v/>
      </c>
      <c r="U66" s="10">
        <f>IF(OR($H66&lt;&gt;"Y",12&lt;$I66),0,IF(SUMPRODUCT(((BULK_ENABLED="Y")*((BULK_TIER="ALL")+(BULK_TIER=$F66))*((BULK_SKU="ALL")+(BULK_SKU=$G66))*(BULK_START&lt;=12)*(BULK_END&gt;=12)))&gt;0,IFERROR(SUMPRODUCT(((BULK_ENABLED="Y")*((BULK_TIER="ALL")+(BULK_TIER=$F66))*((BULK_SKU="ALL")+(BULK_SKU=$G66))*(BULK_START&lt;=12)*(BULK_END&gt;=12))*IFERROR(BULK_VALUE,0))/MAX(1,SUMPRODUCT(((BULK_ENABLED="Y")*((BULK_TIER="ALL")+(BULK_TIER=$F66))*((BULK_SKU="ALL")+(BULK_SKU=$G66))*(BULK_START&lt;=12)*(BULK_END&gt;=12)))),0),ROUND((INDEX(VELOCITY_TABLE,MATCH($F66,TIER_LIST,0),2))*(IF((12-$I66+1)&lt;=0,0,IF((12-$I66+1)=1,RAMP_W1,IF((12-$I66+1)=2,RAMP_W2,IF((12-$I66+1)=3,RAMP_W3,RAMP_W4PLUS)))))*(INDEX(ACTIVE_MULT_TABLE,2,1))*(1+SUMPRODUCT(SIGN(((ACT_DOOR_SCOPE="ALL")+(ACT_DOOR_SCOPE="TIER_"&amp;$F66)+(ACT_DOOR_SCOPE=$B66)))*SIGN(((ACT_SKU_SCOPE="ALL")+(ACT_SKU_SCOPE=$G66)))*(ACT_START&lt;=12)*(ACT_END&gt;=12)*IFERROR(ACT_UPLIFT-1,0)))*(1+SUMPRODUCT(SIGN(((ACT_DOOR_SCOPE="ALL")+(ACT_DOOR_SCOPE="TIER_"&amp;$F66)+(ACT_DOOR_SCOPE=$B66)))*SIGN(((ACT_SKU_SCOPE="ALL")+(ACT_SKU_SCOPE=$G66)))*(12&gt;ACT_END)*(ACT_END&gt;0)*IFERROR(ACT_POSTLIFT,0))),0)))</f>
        <v/>
      </c>
      <c r="V66" s="10">
        <f>IF(OR($H66&lt;&gt;"Y",13&lt;$I66),0,IF(SUMPRODUCT(((BULK_ENABLED="Y")*((BULK_TIER="ALL")+(BULK_TIER=$F66))*((BULK_SKU="ALL")+(BULK_SKU=$G66))*(BULK_START&lt;=13)*(BULK_END&gt;=13)))&gt;0,IFERROR(SUMPRODUCT(((BULK_ENABLED="Y")*((BULK_TIER="ALL")+(BULK_TIER=$F66))*((BULK_SKU="ALL")+(BULK_SKU=$G66))*(BULK_START&lt;=13)*(BULK_END&gt;=13))*IFERROR(BULK_VALUE,0))/MAX(1,SUMPRODUCT(((BULK_ENABLED="Y")*((BULK_TIER="ALL")+(BULK_TIER=$F66))*((BULK_SKU="ALL")+(BULK_SKU=$G66))*(BULK_START&lt;=13)*(BULK_END&gt;=13)))),0),ROUND((INDEX(VELOCITY_TABLE,MATCH($F66,TIER_LIST,0),2))*(IF((13-$I66+1)&lt;=0,0,IF((13-$I66+1)=1,RAMP_W1,IF((13-$I66+1)=2,RAMP_W2,IF((13-$I66+1)=3,RAMP_W3,RAMP_W4PLUS)))))*(INDEX(ACTIVE_MULT_TABLE,2,1))*(1+SUMPRODUCT(SIGN(((ACT_DOOR_SCOPE="ALL")+(ACT_DOOR_SCOPE="TIER_"&amp;$F66)+(ACT_DOOR_SCOPE=$B66)))*SIGN(((ACT_SKU_SCOPE="ALL")+(ACT_SKU_SCOPE=$G66)))*(ACT_START&lt;=13)*(ACT_END&gt;=13)*IFERROR(ACT_UPLIFT-1,0)))*(1+SUMPRODUCT(SIGN(((ACT_DOOR_SCOPE="ALL")+(ACT_DOOR_SCOPE="TIER_"&amp;$F66)+(ACT_DOOR_SCOPE=$B66)))*SIGN(((ACT_SKU_SCOPE="ALL")+(ACT_SKU_SCOPE=$G66)))*(13&gt;ACT_END)*(ACT_END&gt;0)*IFERROR(ACT_POSTLIFT,0))),0)))</f>
        <v/>
      </c>
    </row>
    <row r="67">
      <c r="A67" t="inlineStr">
        <is>
          <t>R0063</t>
        </is>
      </c>
      <c r="B67">
        <f>Doors!$A$25</f>
        <v/>
      </c>
      <c r="C67">
        <f>Doors!$C$25</f>
        <v/>
      </c>
      <c r="D67">
        <f>Doors!$B$25</f>
        <v/>
      </c>
      <c r="E67">
        <f>Doors!$E$25</f>
        <v/>
      </c>
      <c r="F67">
        <f>Doors!$F$25</f>
        <v/>
      </c>
      <c r="G67" t="inlineStr">
        <is>
          <t>Raspberry</t>
        </is>
      </c>
      <c r="H67">
        <f>Doors!$I$25</f>
        <v/>
      </c>
      <c r="I67">
        <f>Doors!$J$25</f>
        <v/>
      </c>
      <c r="J67" s="10">
        <f>IF(OR($H67&lt;&gt;"Y",1&lt;$I67),0,IF(SUMPRODUCT(((BULK_ENABLED="Y")*((BULK_TIER="ALL")+(BULK_TIER=$F67))*((BULK_SKU="ALL")+(BULK_SKU=$G67))*(BULK_START&lt;=1)*(BULK_END&gt;=1)))&gt;0,IFERROR(SUMPRODUCT(((BULK_ENABLED="Y")*((BULK_TIER="ALL")+(BULK_TIER=$F67))*((BULK_SKU="ALL")+(BULK_SKU=$G67))*(BULK_START&lt;=1)*(BULK_END&gt;=1))*IFERROR(BULK_VALUE,0))/MAX(1,SUMPRODUCT(((BULK_ENABLED="Y")*((BULK_TIER="ALL")+(BULK_TIER=$F67))*((BULK_SKU="ALL")+(BULK_SKU=$G67))*(BULK_START&lt;=1)*(BULK_END&gt;=1)))),0),ROUND((INDEX(VELOCITY_TABLE,MATCH($F67,TIER_LIST,0),3))*(IF((1-$I67+1)&lt;=0,0,IF((1-$I67+1)=1,RAMP_W1,IF((1-$I67+1)=2,RAMP_W2,IF((1-$I67+1)=3,RAMP_W3,RAMP_W4PLUS)))))*(INDEX(ACTIVE_MULT_TABLE,3,1))*(1+SUMPRODUCT(SIGN(((ACT_DOOR_SCOPE="ALL")+(ACT_DOOR_SCOPE="TIER_"&amp;$F67)+(ACT_DOOR_SCOPE=$B67)))*SIGN(((ACT_SKU_SCOPE="ALL")+(ACT_SKU_SCOPE=$G67)))*(ACT_START&lt;=1)*(ACT_END&gt;=1)*IFERROR(ACT_UPLIFT-1,0)))*(1+SUMPRODUCT(SIGN(((ACT_DOOR_SCOPE="ALL")+(ACT_DOOR_SCOPE="TIER_"&amp;$F67)+(ACT_DOOR_SCOPE=$B67)))*SIGN(((ACT_SKU_SCOPE="ALL")+(ACT_SKU_SCOPE=$G67)))*(1&gt;ACT_END)*(ACT_END&gt;0)*IFERROR(ACT_POSTLIFT,0))),0)))</f>
        <v/>
      </c>
      <c r="K67" s="10">
        <f>IF(OR($H67&lt;&gt;"Y",2&lt;$I67),0,IF(SUMPRODUCT(((BULK_ENABLED="Y")*((BULK_TIER="ALL")+(BULK_TIER=$F67))*((BULK_SKU="ALL")+(BULK_SKU=$G67))*(BULK_START&lt;=2)*(BULK_END&gt;=2)))&gt;0,IFERROR(SUMPRODUCT(((BULK_ENABLED="Y")*((BULK_TIER="ALL")+(BULK_TIER=$F67))*((BULK_SKU="ALL")+(BULK_SKU=$G67))*(BULK_START&lt;=2)*(BULK_END&gt;=2))*IFERROR(BULK_VALUE,0))/MAX(1,SUMPRODUCT(((BULK_ENABLED="Y")*((BULK_TIER="ALL")+(BULK_TIER=$F67))*((BULK_SKU="ALL")+(BULK_SKU=$G67))*(BULK_START&lt;=2)*(BULK_END&gt;=2)))),0),ROUND((INDEX(VELOCITY_TABLE,MATCH($F67,TIER_LIST,0),3))*(IF((2-$I67+1)&lt;=0,0,IF((2-$I67+1)=1,RAMP_W1,IF((2-$I67+1)=2,RAMP_W2,IF((2-$I67+1)=3,RAMP_W3,RAMP_W4PLUS)))))*(INDEX(ACTIVE_MULT_TABLE,3,1))*(1+SUMPRODUCT(SIGN(((ACT_DOOR_SCOPE="ALL")+(ACT_DOOR_SCOPE="TIER_"&amp;$F67)+(ACT_DOOR_SCOPE=$B67)))*SIGN(((ACT_SKU_SCOPE="ALL")+(ACT_SKU_SCOPE=$G67)))*(ACT_START&lt;=2)*(ACT_END&gt;=2)*IFERROR(ACT_UPLIFT-1,0)))*(1+SUMPRODUCT(SIGN(((ACT_DOOR_SCOPE="ALL")+(ACT_DOOR_SCOPE="TIER_"&amp;$F67)+(ACT_DOOR_SCOPE=$B67)))*SIGN(((ACT_SKU_SCOPE="ALL")+(ACT_SKU_SCOPE=$G67)))*(2&gt;ACT_END)*(ACT_END&gt;0)*IFERROR(ACT_POSTLIFT,0))),0)))</f>
        <v/>
      </c>
      <c r="L67" s="10">
        <f>IF(OR($H67&lt;&gt;"Y",3&lt;$I67),0,IF(SUMPRODUCT(((BULK_ENABLED="Y")*((BULK_TIER="ALL")+(BULK_TIER=$F67))*((BULK_SKU="ALL")+(BULK_SKU=$G67))*(BULK_START&lt;=3)*(BULK_END&gt;=3)))&gt;0,IFERROR(SUMPRODUCT(((BULK_ENABLED="Y")*((BULK_TIER="ALL")+(BULK_TIER=$F67))*((BULK_SKU="ALL")+(BULK_SKU=$G67))*(BULK_START&lt;=3)*(BULK_END&gt;=3))*IFERROR(BULK_VALUE,0))/MAX(1,SUMPRODUCT(((BULK_ENABLED="Y")*((BULK_TIER="ALL")+(BULK_TIER=$F67))*((BULK_SKU="ALL")+(BULK_SKU=$G67))*(BULK_START&lt;=3)*(BULK_END&gt;=3)))),0),ROUND((INDEX(VELOCITY_TABLE,MATCH($F67,TIER_LIST,0),3))*(IF((3-$I67+1)&lt;=0,0,IF((3-$I67+1)=1,RAMP_W1,IF((3-$I67+1)=2,RAMP_W2,IF((3-$I67+1)=3,RAMP_W3,RAMP_W4PLUS)))))*(INDEX(ACTIVE_MULT_TABLE,3,1))*(1+SUMPRODUCT(SIGN(((ACT_DOOR_SCOPE="ALL")+(ACT_DOOR_SCOPE="TIER_"&amp;$F67)+(ACT_DOOR_SCOPE=$B67)))*SIGN(((ACT_SKU_SCOPE="ALL")+(ACT_SKU_SCOPE=$G67)))*(ACT_START&lt;=3)*(ACT_END&gt;=3)*IFERROR(ACT_UPLIFT-1,0)))*(1+SUMPRODUCT(SIGN(((ACT_DOOR_SCOPE="ALL")+(ACT_DOOR_SCOPE="TIER_"&amp;$F67)+(ACT_DOOR_SCOPE=$B67)))*SIGN(((ACT_SKU_SCOPE="ALL")+(ACT_SKU_SCOPE=$G67)))*(3&gt;ACT_END)*(ACT_END&gt;0)*IFERROR(ACT_POSTLIFT,0))),0)))</f>
        <v/>
      </c>
      <c r="M67" s="10">
        <f>IF(OR($H67&lt;&gt;"Y",4&lt;$I67),0,IF(SUMPRODUCT(((BULK_ENABLED="Y")*((BULK_TIER="ALL")+(BULK_TIER=$F67))*((BULK_SKU="ALL")+(BULK_SKU=$G67))*(BULK_START&lt;=4)*(BULK_END&gt;=4)))&gt;0,IFERROR(SUMPRODUCT(((BULK_ENABLED="Y")*((BULK_TIER="ALL")+(BULK_TIER=$F67))*((BULK_SKU="ALL")+(BULK_SKU=$G67))*(BULK_START&lt;=4)*(BULK_END&gt;=4))*IFERROR(BULK_VALUE,0))/MAX(1,SUMPRODUCT(((BULK_ENABLED="Y")*((BULK_TIER="ALL")+(BULK_TIER=$F67))*((BULK_SKU="ALL")+(BULK_SKU=$G67))*(BULK_START&lt;=4)*(BULK_END&gt;=4)))),0),ROUND((INDEX(VELOCITY_TABLE,MATCH($F67,TIER_LIST,0),3))*(IF((4-$I67+1)&lt;=0,0,IF((4-$I67+1)=1,RAMP_W1,IF((4-$I67+1)=2,RAMP_W2,IF((4-$I67+1)=3,RAMP_W3,RAMP_W4PLUS)))))*(INDEX(ACTIVE_MULT_TABLE,3,1))*(1+SUMPRODUCT(SIGN(((ACT_DOOR_SCOPE="ALL")+(ACT_DOOR_SCOPE="TIER_"&amp;$F67)+(ACT_DOOR_SCOPE=$B67)))*SIGN(((ACT_SKU_SCOPE="ALL")+(ACT_SKU_SCOPE=$G67)))*(ACT_START&lt;=4)*(ACT_END&gt;=4)*IFERROR(ACT_UPLIFT-1,0)))*(1+SUMPRODUCT(SIGN(((ACT_DOOR_SCOPE="ALL")+(ACT_DOOR_SCOPE="TIER_"&amp;$F67)+(ACT_DOOR_SCOPE=$B67)))*SIGN(((ACT_SKU_SCOPE="ALL")+(ACT_SKU_SCOPE=$G67)))*(4&gt;ACT_END)*(ACT_END&gt;0)*IFERROR(ACT_POSTLIFT,0))),0)))</f>
        <v/>
      </c>
      <c r="N67" s="10">
        <f>IF(OR($H67&lt;&gt;"Y",5&lt;$I67),0,IF(SUMPRODUCT(((BULK_ENABLED="Y")*((BULK_TIER="ALL")+(BULK_TIER=$F67))*((BULK_SKU="ALL")+(BULK_SKU=$G67))*(BULK_START&lt;=5)*(BULK_END&gt;=5)))&gt;0,IFERROR(SUMPRODUCT(((BULK_ENABLED="Y")*((BULK_TIER="ALL")+(BULK_TIER=$F67))*((BULK_SKU="ALL")+(BULK_SKU=$G67))*(BULK_START&lt;=5)*(BULK_END&gt;=5))*IFERROR(BULK_VALUE,0))/MAX(1,SUMPRODUCT(((BULK_ENABLED="Y")*((BULK_TIER="ALL")+(BULK_TIER=$F67))*((BULK_SKU="ALL")+(BULK_SKU=$G67))*(BULK_START&lt;=5)*(BULK_END&gt;=5)))),0),ROUND((INDEX(VELOCITY_TABLE,MATCH($F67,TIER_LIST,0),3))*(IF((5-$I67+1)&lt;=0,0,IF((5-$I67+1)=1,RAMP_W1,IF((5-$I67+1)=2,RAMP_W2,IF((5-$I67+1)=3,RAMP_W3,RAMP_W4PLUS)))))*(INDEX(ACTIVE_MULT_TABLE,3,1))*(1+SUMPRODUCT(SIGN(((ACT_DOOR_SCOPE="ALL")+(ACT_DOOR_SCOPE="TIER_"&amp;$F67)+(ACT_DOOR_SCOPE=$B67)))*SIGN(((ACT_SKU_SCOPE="ALL")+(ACT_SKU_SCOPE=$G67)))*(ACT_START&lt;=5)*(ACT_END&gt;=5)*IFERROR(ACT_UPLIFT-1,0)))*(1+SUMPRODUCT(SIGN(((ACT_DOOR_SCOPE="ALL")+(ACT_DOOR_SCOPE="TIER_"&amp;$F67)+(ACT_DOOR_SCOPE=$B67)))*SIGN(((ACT_SKU_SCOPE="ALL")+(ACT_SKU_SCOPE=$G67)))*(5&gt;ACT_END)*(ACT_END&gt;0)*IFERROR(ACT_POSTLIFT,0))),0)))</f>
        <v/>
      </c>
      <c r="O67" s="10">
        <f>IF(OR($H67&lt;&gt;"Y",6&lt;$I67),0,IF(SUMPRODUCT(((BULK_ENABLED="Y")*((BULK_TIER="ALL")+(BULK_TIER=$F67))*((BULK_SKU="ALL")+(BULK_SKU=$G67))*(BULK_START&lt;=6)*(BULK_END&gt;=6)))&gt;0,IFERROR(SUMPRODUCT(((BULK_ENABLED="Y")*((BULK_TIER="ALL")+(BULK_TIER=$F67))*((BULK_SKU="ALL")+(BULK_SKU=$G67))*(BULK_START&lt;=6)*(BULK_END&gt;=6))*IFERROR(BULK_VALUE,0))/MAX(1,SUMPRODUCT(((BULK_ENABLED="Y")*((BULK_TIER="ALL")+(BULK_TIER=$F67))*((BULK_SKU="ALL")+(BULK_SKU=$G67))*(BULK_START&lt;=6)*(BULK_END&gt;=6)))),0),ROUND((INDEX(VELOCITY_TABLE,MATCH($F67,TIER_LIST,0),3))*(IF((6-$I67+1)&lt;=0,0,IF((6-$I67+1)=1,RAMP_W1,IF((6-$I67+1)=2,RAMP_W2,IF((6-$I67+1)=3,RAMP_W3,RAMP_W4PLUS)))))*(INDEX(ACTIVE_MULT_TABLE,3,1))*(1+SUMPRODUCT(SIGN(((ACT_DOOR_SCOPE="ALL")+(ACT_DOOR_SCOPE="TIER_"&amp;$F67)+(ACT_DOOR_SCOPE=$B67)))*SIGN(((ACT_SKU_SCOPE="ALL")+(ACT_SKU_SCOPE=$G67)))*(ACT_START&lt;=6)*(ACT_END&gt;=6)*IFERROR(ACT_UPLIFT-1,0)))*(1+SUMPRODUCT(SIGN(((ACT_DOOR_SCOPE="ALL")+(ACT_DOOR_SCOPE="TIER_"&amp;$F67)+(ACT_DOOR_SCOPE=$B67)))*SIGN(((ACT_SKU_SCOPE="ALL")+(ACT_SKU_SCOPE=$G67)))*(6&gt;ACT_END)*(ACT_END&gt;0)*IFERROR(ACT_POSTLIFT,0))),0)))</f>
        <v/>
      </c>
      <c r="P67" s="10">
        <f>IF(OR($H67&lt;&gt;"Y",7&lt;$I67),0,IF(SUMPRODUCT(((BULK_ENABLED="Y")*((BULK_TIER="ALL")+(BULK_TIER=$F67))*((BULK_SKU="ALL")+(BULK_SKU=$G67))*(BULK_START&lt;=7)*(BULK_END&gt;=7)))&gt;0,IFERROR(SUMPRODUCT(((BULK_ENABLED="Y")*((BULK_TIER="ALL")+(BULK_TIER=$F67))*((BULK_SKU="ALL")+(BULK_SKU=$G67))*(BULK_START&lt;=7)*(BULK_END&gt;=7))*IFERROR(BULK_VALUE,0))/MAX(1,SUMPRODUCT(((BULK_ENABLED="Y")*((BULK_TIER="ALL")+(BULK_TIER=$F67))*((BULK_SKU="ALL")+(BULK_SKU=$G67))*(BULK_START&lt;=7)*(BULK_END&gt;=7)))),0),ROUND((INDEX(VELOCITY_TABLE,MATCH($F67,TIER_LIST,0),3))*(IF((7-$I67+1)&lt;=0,0,IF((7-$I67+1)=1,RAMP_W1,IF((7-$I67+1)=2,RAMP_W2,IF((7-$I67+1)=3,RAMP_W3,RAMP_W4PLUS)))))*(INDEX(ACTIVE_MULT_TABLE,3,1))*(1+SUMPRODUCT(SIGN(((ACT_DOOR_SCOPE="ALL")+(ACT_DOOR_SCOPE="TIER_"&amp;$F67)+(ACT_DOOR_SCOPE=$B67)))*SIGN(((ACT_SKU_SCOPE="ALL")+(ACT_SKU_SCOPE=$G67)))*(ACT_START&lt;=7)*(ACT_END&gt;=7)*IFERROR(ACT_UPLIFT-1,0)))*(1+SUMPRODUCT(SIGN(((ACT_DOOR_SCOPE="ALL")+(ACT_DOOR_SCOPE="TIER_"&amp;$F67)+(ACT_DOOR_SCOPE=$B67)))*SIGN(((ACT_SKU_SCOPE="ALL")+(ACT_SKU_SCOPE=$G67)))*(7&gt;ACT_END)*(ACT_END&gt;0)*IFERROR(ACT_POSTLIFT,0))),0)))</f>
        <v/>
      </c>
      <c r="Q67" s="10">
        <f>IF(OR($H67&lt;&gt;"Y",8&lt;$I67),0,IF(SUMPRODUCT(((BULK_ENABLED="Y")*((BULK_TIER="ALL")+(BULK_TIER=$F67))*((BULK_SKU="ALL")+(BULK_SKU=$G67))*(BULK_START&lt;=8)*(BULK_END&gt;=8)))&gt;0,IFERROR(SUMPRODUCT(((BULK_ENABLED="Y")*((BULK_TIER="ALL")+(BULK_TIER=$F67))*((BULK_SKU="ALL")+(BULK_SKU=$G67))*(BULK_START&lt;=8)*(BULK_END&gt;=8))*IFERROR(BULK_VALUE,0))/MAX(1,SUMPRODUCT(((BULK_ENABLED="Y")*((BULK_TIER="ALL")+(BULK_TIER=$F67))*((BULK_SKU="ALL")+(BULK_SKU=$G67))*(BULK_START&lt;=8)*(BULK_END&gt;=8)))),0),ROUND((INDEX(VELOCITY_TABLE,MATCH($F67,TIER_LIST,0),3))*(IF((8-$I67+1)&lt;=0,0,IF((8-$I67+1)=1,RAMP_W1,IF((8-$I67+1)=2,RAMP_W2,IF((8-$I67+1)=3,RAMP_W3,RAMP_W4PLUS)))))*(INDEX(ACTIVE_MULT_TABLE,3,1))*(1+SUMPRODUCT(SIGN(((ACT_DOOR_SCOPE="ALL")+(ACT_DOOR_SCOPE="TIER_"&amp;$F67)+(ACT_DOOR_SCOPE=$B67)))*SIGN(((ACT_SKU_SCOPE="ALL")+(ACT_SKU_SCOPE=$G67)))*(ACT_START&lt;=8)*(ACT_END&gt;=8)*IFERROR(ACT_UPLIFT-1,0)))*(1+SUMPRODUCT(SIGN(((ACT_DOOR_SCOPE="ALL")+(ACT_DOOR_SCOPE="TIER_"&amp;$F67)+(ACT_DOOR_SCOPE=$B67)))*SIGN(((ACT_SKU_SCOPE="ALL")+(ACT_SKU_SCOPE=$G67)))*(8&gt;ACT_END)*(ACT_END&gt;0)*IFERROR(ACT_POSTLIFT,0))),0)))</f>
        <v/>
      </c>
      <c r="R67" s="10">
        <f>IF(OR($H67&lt;&gt;"Y",9&lt;$I67),0,IF(SUMPRODUCT(((BULK_ENABLED="Y")*((BULK_TIER="ALL")+(BULK_TIER=$F67))*((BULK_SKU="ALL")+(BULK_SKU=$G67))*(BULK_START&lt;=9)*(BULK_END&gt;=9)))&gt;0,IFERROR(SUMPRODUCT(((BULK_ENABLED="Y")*((BULK_TIER="ALL")+(BULK_TIER=$F67))*((BULK_SKU="ALL")+(BULK_SKU=$G67))*(BULK_START&lt;=9)*(BULK_END&gt;=9))*IFERROR(BULK_VALUE,0))/MAX(1,SUMPRODUCT(((BULK_ENABLED="Y")*((BULK_TIER="ALL")+(BULK_TIER=$F67))*((BULK_SKU="ALL")+(BULK_SKU=$G67))*(BULK_START&lt;=9)*(BULK_END&gt;=9)))),0),ROUND((INDEX(VELOCITY_TABLE,MATCH($F67,TIER_LIST,0),3))*(IF((9-$I67+1)&lt;=0,0,IF((9-$I67+1)=1,RAMP_W1,IF((9-$I67+1)=2,RAMP_W2,IF((9-$I67+1)=3,RAMP_W3,RAMP_W4PLUS)))))*(INDEX(ACTIVE_MULT_TABLE,3,1))*(1+SUMPRODUCT(SIGN(((ACT_DOOR_SCOPE="ALL")+(ACT_DOOR_SCOPE="TIER_"&amp;$F67)+(ACT_DOOR_SCOPE=$B67)))*SIGN(((ACT_SKU_SCOPE="ALL")+(ACT_SKU_SCOPE=$G67)))*(ACT_START&lt;=9)*(ACT_END&gt;=9)*IFERROR(ACT_UPLIFT-1,0)))*(1+SUMPRODUCT(SIGN(((ACT_DOOR_SCOPE="ALL")+(ACT_DOOR_SCOPE="TIER_"&amp;$F67)+(ACT_DOOR_SCOPE=$B67)))*SIGN(((ACT_SKU_SCOPE="ALL")+(ACT_SKU_SCOPE=$G67)))*(9&gt;ACT_END)*(ACT_END&gt;0)*IFERROR(ACT_POSTLIFT,0))),0)))</f>
        <v/>
      </c>
      <c r="S67" s="10">
        <f>IF(OR($H67&lt;&gt;"Y",10&lt;$I67),0,IF(SUMPRODUCT(((BULK_ENABLED="Y")*((BULK_TIER="ALL")+(BULK_TIER=$F67))*((BULK_SKU="ALL")+(BULK_SKU=$G67))*(BULK_START&lt;=10)*(BULK_END&gt;=10)))&gt;0,IFERROR(SUMPRODUCT(((BULK_ENABLED="Y")*((BULK_TIER="ALL")+(BULK_TIER=$F67))*((BULK_SKU="ALL")+(BULK_SKU=$G67))*(BULK_START&lt;=10)*(BULK_END&gt;=10))*IFERROR(BULK_VALUE,0))/MAX(1,SUMPRODUCT(((BULK_ENABLED="Y")*((BULK_TIER="ALL")+(BULK_TIER=$F67))*((BULK_SKU="ALL")+(BULK_SKU=$G67))*(BULK_START&lt;=10)*(BULK_END&gt;=10)))),0),ROUND((INDEX(VELOCITY_TABLE,MATCH($F67,TIER_LIST,0),3))*(IF((10-$I67+1)&lt;=0,0,IF((10-$I67+1)=1,RAMP_W1,IF((10-$I67+1)=2,RAMP_W2,IF((10-$I67+1)=3,RAMP_W3,RAMP_W4PLUS)))))*(INDEX(ACTIVE_MULT_TABLE,3,1))*(1+SUMPRODUCT(SIGN(((ACT_DOOR_SCOPE="ALL")+(ACT_DOOR_SCOPE="TIER_"&amp;$F67)+(ACT_DOOR_SCOPE=$B67)))*SIGN(((ACT_SKU_SCOPE="ALL")+(ACT_SKU_SCOPE=$G67)))*(ACT_START&lt;=10)*(ACT_END&gt;=10)*IFERROR(ACT_UPLIFT-1,0)))*(1+SUMPRODUCT(SIGN(((ACT_DOOR_SCOPE="ALL")+(ACT_DOOR_SCOPE="TIER_"&amp;$F67)+(ACT_DOOR_SCOPE=$B67)))*SIGN(((ACT_SKU_SCOPE="ALL")+(ACT_SKU_SCOPE=$G67)))*(10&gt;ACT_END)*(ACT_END&gt;0)*IFERROR(ACT_POSTLIFT,0))),0)))</f>
        <v/>
      </c>
      <c r="T67" s="10">
        <f>IF(OR($H67&lt;&gt;"Y",11&lt;$I67),0,IF(SUMPRODUCT(((BULK_ENABLED="Y")*((BULK_TIER="ALL")+(BULK_TIER=$F67))*((BULK_SKU="ALL")+(BULK_SKU=$G67))*(BULK_START&lt;=11)*(BULK_END&gt;=11)))&gt;0,IFERROR(SUMPRODUCT(((BULK_ENABLED="Y")*((BULK_TIER="ALL")+(BULK_TIER=$F67))*((BULK_SKU="ALL")+(BULK_SKU=$G67))*(BULK_START&lt;=11)*(BULK_END&gt;=11))*IFERROR(BULK_VALUE,0))/MAX(1,SUMPRODUCT(((BULK_ENABLED="Y")*((BULK_TIER="ALL")+(BULK_TIER=$F67))*((BULK_SKU="ALL")+(BULK_SKU=$G67))*(BULK_START&lt;=11)*(BULK_END&gt;=11)))),0),ROUND((INDEX(VELOCITY_TABLE,MATCH($F67,TIER_LIST,0),3))*(IF((11-$I67+1)&lt;=0,0,IF((11-$I67+1)=1,RAMP_W1,IF((11-$I67+1)=2,RAMP_W2,IF((11-$I67+1)=3,RAMP_W3,RAMP_W4PLUS)))))*(INDEX(ACTIVE_MULT_TABLE,3,1))*(1+SUMPRODUCT(SIGN(((ACT_DOOR_SCOPE="ALL")+(ACT_DOOR_SCOPE="TIER_"&amp;$F67)+(ACT_DOOR_SCOPE=$B67)))*SIGN(((ACT_SKU_SCOPE="ALL")+(ACT_SKU_SCOPE=$G67)))*(ACT_START&lt;=11)*(ACT_END&gt;=11)*IFERROR(ACT_UPLIFT-1,0)))*(1+SUMPRODUCT(SIGN(((ACT_DOOR_SCOPE="ALL")+(ACT_DOOR_SCOPE="TIER_"&amp;$F67)+(ACT_DOOR_SCOPE=$B67)))*SIGN(((ACT_SKU_SCOPE="ALL")+(ACT_SKU_SCOPE=$G67)))*(11&gt;ACT_END)*(ACT_END&gt;0)*IFERROR(ACT_POSTLIFT,0))),0)))</f>
        <v/>
      </c>
      <c r="U67" s="10">
        <f>IF(OR($H67&lt;&gt;"Y",12&lt;$I67),0,IF(SUMPRODUCT(((BULK_ENABLED="Y")*((BULK_TIER="ALL")+(BULK_TIER=$F67))*((BULK_SKU="ALL")+(BULK_SKU=$G67))*(BULK_START&lt;=12)*(BULK_END&gt;=12)))&gt;0,IFERROR(SUMPRODUCT(((BULK_ENABLED="Y")*((BULK_TIER="ALL")+(BULK_TIER=$F67))*((BULK_SKU="ALL")+(BULK_SKU=$G67))*(BULK_START&lt;=12)*(BULK_END&gt;=12))*IFERROR(BULK_VALUE,0))/MAX(1,SUMPRODUCT(((BULK_ENABLED="Y")*((BULK_TIER="ALL")+(BULK_TIER=$F67))*((BULK_SKU="ALL")+(BULK_SKU=$G67))*(BULK_START&lt;=12)*(BULK_END&gt;=12)))),0),ROUND((INDEX(VELOCITY_TABLE,MATCH($F67,TIER_LIST,0),3))*(IF((12-$I67+1)&lt;=0,0,IF((12-$I67+1)=1,RAMP_W1,IF((12-$I67+1)=2,RAMP_W2,IF((12-$I67+1)=3,RAMP_W3,RAMP_W4PLUS)))))*(INDEX(ACTIVE_MULT_TABLE,3,1))*(1+SUMPRODUCT(SIGN(((ACT_DOOR_SCOPE="ALL")+(ACT_DOOR_SCOPE="TIER_"&amp;$F67)+(ACT_DOOR_SCOPE=$B67)))*SIGN(((ACT_SKU_SCOPE="ALL")+(ACT_SKU_SCOPE=$G67)))*(ACT_START&lt;=12)*(ACT_END&gt;=12)*IFERROR(ACT_UPLIFT-1,0)))*(1+SUMPRODUCT(SIGN(((ACT_DOOR_SCOPE="ALL")+(ACT_DOOR_SCOPE="TIER_"&amp;$F67)+(ACT_DOOR_SCOPE=$B67)))*SIGN(((ACT_SKU_SCOPE="ALL")+(ACT_SKU_SCOPE=$G67)))*(12&gt;ACT_END)*(ACT_END&gt;0)*IFERROR(ACT_POSTLIFT,0))),0)))</f>
        <v/>
      </c>
      <c r="V67" s="10">
        <f>IF(OR($H67&lt;&gt;"Y",13&lt;$I67),0,IF(SUMPRODUCT(((BULK_ENABLED="Y")*((BULK_TIER="ALL")+(BULK_TIER=$F67))*((BULK_SKU="ALL")+(BULK_SKU=$G67))*(BULK_START&lt;=13)*(BULK_END&gt;=13)))&gt;0,IFERROR(SUMPRODUCT(((BULK_ENABLED="Y")*((BULK_TIER="ALL")+(BULK_TIER=$F67))*((BULK_SKU="ALL")+(BULK_SKU=$G67))*(BULK_START&lt;=13)*(BULK_END&gt;=13))*IFERROR(BULK_VALUE,0))/MAX(1,SUMPRODUCT(((BULK_ENABLED="Y")*((BULK_TIER="ALL")+(BULK_TIER=$F67))*((BULK_SKU="ALL")+(BULK_SKU=$G67))*(BULK_START&lt;=13)*(BULK_END&gt;=13)))),0),ROUND((INDEX(VELOCITY_TABLE,MATCH($F67,TIER_LIST,0),3))*(IF((13-$I67+1)&lt;=0,0,IF((13-$I67+1)=1,RAMP_W1,IF((13-$I67+1)=2,RAMP_W2,IF((13-$I67+1)=3,RAMP_W3,RAMP_W4PLUS)))))*(INDEX(ACTIVE_MULT_TABLE,3,1))*(1+SUMPRODUCT(SIGN(((ACT_DOOR_SCOPE="ALL")+(ACT_DOOR_SCOPE="TIER_"&amp;$F67)+(ACT_DOOR_SCOPE=$B67)))*SIGN(((ACT_SKU_SCOPE="ALL")+(ACT_SKU_SCOPE=$G67)))*(ACT_START&lt;=13)*(ACT_END&gt;=13)*IFERROR(ACT_UPLIFT-1,0)))*(1+SUMPRODUCT(SIGN(((ACT_DOOR_SCOPE="ALL")+(ACT_DOOR_SCOPE="TIER_"&amp;$F67)+(ACT_DOOR_SCOPE=$B67)))*SIGN(((ACT_SKU_SCOPE="ALL")+(ACT_SKU_SCOPE=$G67)))*(13&gt;ACT_END)*(ACT_END&gt;0)*IFERROR(ACT_POSTLIFT,0))),0)))</f>
        <v/>
      </c>
    </row>
    <row r="68">
      <c r="A68" t="inlineStr">
        <is>
          <t>R0064</t>
        </is>
      </c>
      <c r="B68">
        <f>Doors!$A$26</f>
        <v/>
      </c>
      <c r="C68">
        <f>Doors!$C$26</f>
        <v/>
      </c>
      <c r="D68">
        <f>Doors!$B$26</f>
        <v/>
      </c>
      <c r="E68">
        <f>Doors!$E$26</f>
        <v/>
      </c>
      <c r="F68">
        <f>Doors!$F$26</f>
        <v/>
      </c>
      <c r="G68" t="inlineStr">
        <is>
          <t>Lime Lemon</t>
        </is>
      </c>
      <c r="H68">
        <f>Doors!$G$26</f>
        <v/>
      </c>
      <c r="I68">
        <f>Doors!$J$26</f>
        <v/>
      </c>
      <c r="J68" s="10">
        <f>IF(OR($H68&lt;&gt;"Y",1&lt;$I68),0,IF(SUMPRODUCT(((BULK_ENABLED="Y")*((BULK_TIER="ALL")+(BULK_TIER=$F68))*((BULK_SKU="ALL")+(BULK_SKU=$G68))*(BULK_START&lt;=1)*(BULK_END&gt;=1)))&gt;0,IFERROR(SUMPRODUCT(((BULK_ENABLED="Y")*((BULK_TIER="ALL")+(BULK_TIER=$F68))*((BULK_SKU="ALL")+(BULK_SKU=$G68))*(BULK_START&lt;=1)*(BULK_END&gt;=1))*IFERROR(BULK_VALUE,0))/MAX(1,SUMPRODUCT(((BULK_ENABLED="Y")*((BULK_TIER="ALL")+(BULK_TIER=$F68))*((BULK_SKU="ALL")+(BULK_SKU=$G68))*(BULK_START&lt;=1)*(BULK_END&gt;=1)))),0),ROUND((INDEX(VELOCITY_TABLE,MATCH($F68,TIER_LIST,0),1))*(IF((1-$I68+1)&lt;=0,0,IF((1-$I68+1)=1,RAMP_W1,IF((1-$I68+1)=2,RAMP_W2,IF((1-$I68+1)=3,RAMP_W3,RAMP_W4PLUS)))))*(INDEX(ACTIVE_MULT_TABLE,1,1))*(1+SUMPRODUCT(SIGN(((ACT_DOOR_SCOPE="ALL")+(ACT_DOOR_SCOPE="TIER_"&amp;$F68)+(ACT_DOOR_SCOPE=$B68)))*SIGN(((ACT_SKU_SCOPE="ALL")+(ACT_SKU_SCOPE=$G68)))*(ACT_START&lt;=1)*(ACT_END&gt;=1)*IFERROR(ACT_UPLIFT-1,0)))*(1+SUMPRODUCT(SIGN(((ACT_DOOR_SCOPE="ALL")+(ACT_DOOR_SCOPE="TIER_"&amp;$F68)+(ACT_DOOR_SCOPE=$B68)))*SIGN(((ACT_SKU_SCOPE="ALL")+(ACT_SKU_SCOPE=$G68)))*(1&gt;ACT_END)*(ACT_END&gt;0)*IFERROR(ACT_POSTLIFT,0))),0)))</f>
        <v/>
      </c>
      <c r="K68" s="10">
        <f>IF(OR($H68&lt;&gt;"Y",2&lt;$I68),0,IF(SUMPRODUCT(((BULK_ENABLED="Y")*((BULK_TIER="ALL")+(BULK_TIER=$F68))*((BULK_SKU="ALL")+(BULK_SKU=$G68))*(BULK_START&lt;=2)*(BULK_END&gt;=2)))&gt;0,IFERROR(SUMPRODUCT(((BULK_ENABLED="Y")*((BULK_TIER="ALL")+(BULK_TIER=$F68))*((BULK_SKU="ALL")+(BULK_SKU=$G68))*(BULK_START&lt;=2)*(BULK_END&gt;=2))*IFERROR(BULK_VALUE,0))/MAX(1,SUMPRODUCT(((BULK_ENABLED="Y")*((BULK_TIER="ALL")+(BULK_TIER=$F68))*((BULK_SKU="ALL")+(BULK_SKU=$G68))*(BULK_START&lt;=2)*(BULK_END&gt;=2)))),0),ROUND((INDEX(VELOCITY_TABLE,MATCH($F68,TIER_LIST,0),1))*(IF((2-$I68+1)&lt;=0,0,IF((2-$I68+1)=1,RAMP_W1,IF((2-$I68+1)=2,RAMP_W2,IF((2-$I68+1)=3,RAMP_W3,RAMP_W4PLUS)))))*(INDEX(ACTIVE_MULT_TABLE,1,1))*(1+SUMPRODUCT(SIGN(((ACT_DOOR_SCOPE="ALL")+(ACT_DOOR_SCOPE="TIER_"&amp;$F68)+(ACT_DOOR_SCOPE=$B68)))*SIGN(((ACT_SKU_SCOPE="ALL")+(ACT_SKU_SCOPE=$G68)))*(ACT_START&lt;=2)*(ACT_END&gt;=2)*IFERROR(ACT_UPLIFT-1,0)))*(1+SUMPRODUCT(SIGN(((ACT_DOOR_SCOPE="ALL")+(ACT_DOOR_SCOPE="TIER_"&amp;$F68)+(ACT_DOOR_SCOPE=$B68)))*SIGN(((ACT_SKU_SCOPE="ALL")+(ACT_SKU_SCOPE=$G68)))*(2&gt;ACT_END)*(ACT_END&gt;0)*IFERROR(ACT_POSTLIFT,0))),0)))</f>
        <v/>
      </c>
      <c r="L68" s="10">
        <f>IF(OR($H68&lt;&gt;"Y",3&lt;$I68),0,IF(SUMPRODUCT(((BULK_ENABLED="Y")*((BULK_TIER="ALL")+(BULK_TIER=$F68))*((BULK_SKU="ALL")+(BULK_SKU=$G68))*(BULK_START&lt;=3)*(BULK_END&gt;=3)))&gt;0,IFERROR(SUMPRODUCT(((BULK_ENABLED="Y")*((BULK_TIER="ALL")+(BULK_TIER=$F68))*((BULK_SKU="ALL")+(BULK_SKU=$G68))*(BULK_START&lt;=3)*(BULK_END&gt;=3))*IFERROR(BULK_VALUE,0))/MAX(1,SUMPRODUCT(((BULK_ENABLED="Y")*((BULK_TIER="ALL")+(BULK_TIER=$F68))*((BULK_SKU="ALL")+(BULK_SKU=$G68))*(BULK_START&lt;=3)*(BULK_END&gt;=3)))),0),ROUND((INDEX(VELOCITY_TABLE,MATCH($F68,TIER_LIST,0),1))*(IF((3-$I68+1)&lt;=0,0,IF((3-$I68+1)=1,RAMP_W1,IF((3-$I68+1)=2,RAMP_W2,IF((3-$I68+1)=3,RAMP_W3,RAMP_W4PLUS)))))*(INDEX(ACTIVE_MULT_TABLE,1,1))*(1+SUMPRODUCT(SIGN(((ACT_DOOR_SCOPE="ALL")+(ACT_DOOR_SCOPE="TIER_"&amp;$F68)+(ACT_DOOR_SCOPE=$B68)))*SIGN(((ACT_SKU_SCOPE="ALL")+(ACT_SKU_SCOPE=$G68)))*(ACT_START&lt;=3)*(ACT_END&gt;=3)*IFERROR(ACT_UPLIFT-1,0)))*(1+SUMPRODUCT(SIGN(((ACT_DOOR_SCOPE="ALL")+(ACT_DOOR_SCOPE="TIER_"&amp;$F68)+(ACT_DOOR_SCOPE=$B68)))*SIGN(((ACT_SKU_SCOPE="ALL")+(ACT_SKU_SCOPE=$G68)))*(3&gt;ACT_END)*(ACT_END&gt;0)*IFERROR(ACT_POSTLIFT,0))),0)))</f>
        <v/>
      </c>
      <c r="M68" s="10">
        <f>IF(OR($H68&lt;&gt;"Y",4&lt;$I68),0,IF(SUMPRODUCT(((BULK_ENABLED="Y")*((BULK_TIER="ALL")+(BULK_TIER=$F68))*((BULK_SKU="ALL")+(BULK_SKU=$G68))*(BULK_START&lt;=4)*(BULK_END&gt;=4)))&gt;0,IFERROR(SUMPRODUCT(((BULK_ENABLED="Y")*((BULK_TIER="ALL")+(BULK_TIER=$F68))*((BULK_SKU="ALL")+(BULK_SKU=$G68))*(BULK_START&lt;=4)*(BULK_END&gt;=4))*IFERROR(BULK_VALUE,0))/MAX(1,SUMPRODUCT(((BULK_ENABLED="Y")*((BULK_TIER="ALL")+(BULK_TIER=$F68))*((BULK_SKU="ALL")+(BULK_SKU=$G68))*(BULK_START&lt;=4)*(BULK_END&gt;=4)))),0),ROUND((INDEX(VELOCITY_TABLE,MATCH($F68,TIER_LIST,0),1))*(IF((4-$I68+1)&lt;=0,0,IF((4-$I68+1)=1,RAMP_W1,IF((4-$I68+1)=2,RAMP_W2,IF((4-$I68+1)=3,RAMP_W3,RAMP_W4PLUS)))))*(INDEX(ACTIVE_MULT_TABLE,1,1))*(1+SUMPRODUCT(SIGN(((ACT_DOOR_SCOPE="ALL")+(ACT_DOOR_SCOPE="TIER_"&amp;$F68)+(ACT_DOOR_SCOPE=$B68)))*SIGN(((ACT_SKU_SCOPE="ALL")+(ACT_SKU_SCOPE=$G68)))*(ACT_START&lt;=4)*(ACT_END&gt;=4)*IFERROR(ACT_UPLIFT-1,0)))*(1+SUMPRODUCT(SIGN(((ACT_DOOR_SCOPE="ALL")+(ACT_DOOR_SCOPE="TIER_"&amp;$F68)+(ACT_DOOR_SCOPE=$B68)))*SIGN(((ACT_SKU_SCOPE="ALL")+(ACT_SKU_SCOPE=$G68)))*(4&gt;ACT_END)*(ACT_END&gt;0)*IFERROR(ACT_POSTLIFT,0))),0)))</f>
        <v/>
      </c>
      <c r="N68" s="10">
        <f>IF(OR($H68&lt;&gt;"Y",5&lt;$I68),0,IF(SUMPRODUCT(((BULK_ENABLED="Y")*((BULK_TIER="ALL")+(BULK_TIER=$F68))*((BULK_SKU="ALL")+(BULK_SKU=$G68))*(BULK_START&lt;=5)*(BULK_END&gt;=5)))&gt;0,IFERROR(SUMPRODUCT(((BULK_ENABLED="Y")*((BULK_TIER="ALL")+(BULK_TIER=$F68))*((BULK_SKU="ALL")+(BULK_SKU=$G68))*(BULK_START&lt;=5)*(BULK_END&gt;=5))*IFERROR(BULK_VALUE,0))/MAX(1,SUMPRODUCT(((BULK_ENABLED="Y")*((BULK_TIER="ALL")+(BULK_TIER=$F68))*((BULK_SKU="ALL")+(BULK_SKU=$G68))*(BULK_START&lt;=5)*(BULK_END&gt;=5)))),0),ROUND((INDEX(VELOCITY_TABLE,MATCH($F68,TIER_LIST,0),1))*(IF((5-$I68+1)&lt;=0,0,IF((5-$I68+1)=1,RAMP_W1,IF((5-$I68+1)=2,RAMP_W2,IF((5-$I68+1)=3,RAMP_W3,RAMP_W4PLUS)))))*(INDEX(ACTIVE_MULT_TABLE,1,1))*(1+SUMPRODUCT(SIGN(((ACT_DOOR_SCOPE="ALL")+(ACT_DOOR_SCOPE="TIER_"&amp;$F68)+(ACT_DOOR_SCOPE=$B68)))*SIGN(((ACT_SKU_SCOPE="ALL")+(ACT_SKU_SCOPE=$G68)))*(ACT_START&lt;=5)*(ACT_END&gt;=5)*IFERROR(ACT_UPLIFT-1,0)))*(1+SUMPRODUCT(SIGN(((ACT_DOOR_SCOPE="ALL")+(ACT_DOOR_SCOPE="TIER_"&amp;$F68)+(ACT_DOOR_SCOPE=$B68)))*SIGN(((ACT_SKU_SCOPE="ALL")+(ACT_SKU_SCOPE=$G68)))*(5&gt;ACT_END)*(ACT_END&gt;0)*IFERROR(ACT_POSTLIFT,0))),0)))</f>
        <v/>
      </c>
      <c r="O68" s="10">
        <f>IF(OR($H68&lt;&gt;"Y",6&lt;$I68),0,IF(SUMPRODUCT(((BULK_ENABLED="Y")*((BULK_TIER="ALL")+(BULK_TIER=$F68))*((BULK_SKU="ALL")+(BULK_SKU=$G68))*(BULK_START&lt;=6)*(BULK_END&gt;=6)))&gt;0,IFERROR(SUMPRODUCT(((BULK_ENABLED="Y")*((BULK_TIER="ALL")+(BULK_TIER=$F68))*((BULK_SKU="ALL")+(BULK_SKU=$G68))*(BULK_START&lt;=6)*(BULK_END&gt;=6))*IFERROR(BULK_VALUE,0))/MAX(1,SUMPRODUCT(((BULK_ENABLED="Y")*((BULK_TIER="ALL")+(BULK_TIER=$F68))*((BULK_SKU="ALL")+(BULK_SKU=$G68))*(BULK_START&lt;=6)*(BULK_END&gt;=6)))),0),ROUND((INDEX(VELOCITY_TABLE,MATCH($F68,TIER_LIST,0),1))*(IF((6-$I68+1)&lt;=0,0,IF((6-$I68+1)=1,RAMP_W1,IF((6-$I68+1)=2,RAMP_W2,IF((6-$I68+1)=3,RAMP_W3,RAMP_W4PLUS)))))*(INDEX(ACTIVE_MULT_TABLE,1,1))*(1+SUMPRODUCT(SIGN(((ACT_DOOR_SCOPE="ALL")+(ACT_DOOR_SCOPE="TIER_"&amp;$F68)+(ACT_DOOR_SCOPE=$B68)))*SIGN(((ACT_SKU_SCOPE="ALL")+(ACT_SKU_SCOPE=$G68)))*(ACT_START&lt;=6)*(ACT_END&gt;=6)*IFERROR(ACT_UPLIFT-1,0)))*(1+SUMPRODUCT(SIGN(((ACT_DOOR_SCOPE="ALL")+(ACT_DOOR_SCOPE="TIER_"&amp;$F68)+(ACT_DOOR_SCOPE=$B68)))*SIGN(((ACT_SKU_SCOPE="ALL")+(ACT_SKU_SCOPE=$G68)))*(6&gt;ACT_END)*(ACT_END&gt;0)*IFERROR(ACT_POSTLIFT,0))),0)))</f>
        <v/>
      </c>
      <c r="P68" s="10">
        <f>IF(OR($H68&lt;&gt;"Y",7&lt;$I68),0,IF(SUMPRODUCT(((BULK_ENABLED="Y")*((BULK_TIER="ALL")+(BULK_TIER=$F68))*((BULK_SKU="ALL")+(BULK_SKU=$G68))*(BULK_START&lt;=7)*(BULK_END&gt;=7)))&gt;0,IFERROR(SUMPRODUCT(((BULK_ENABLED="Y")*((BULK_TIER="ALL")+(BULK_TIER=$F68))*((BULK_SKU="ALL")+(BULK_SKU=$G68))*(BULK_START&lt;=7)*(BULK_END&gt;=7))*IFERROR(BULK_VALUE,0))/MAX(1,SUMPRODUCT(((BULK_ENABLED="Y")*((BULK_TIER="ALL")+(BULK_TIER=$F68))*((BULK_SKU="ALL")+(BULK_SKU=$G68))*(BULK_START&lt;=7)*(BULK_END&gt;=7)))),0),ROUND((INDEX(VELOCITY_TABLE,MATCH($F68,TIER_LIST,0),1))*(IF((7-$I68+1)&lt;=0,0,IF((7-$I68+1)=1,RAMP_W1,IF((7-$I68+1)=2,RAMP_W2,IF((7-$I68+1)=3,RAMP_W3,RAMP_W4PLUS)))))*(INDEX(ACTIVE_MULT_TABLE,1,1))*(1+SUMPRODUCT(SIGN(((ACT_DOOR_SCOPE="ALL")+(ACT_DOOR_SCOPE="TIER_"&amp;$F68)+(ACT_DOOR_SCOPE=$B68)))*SIGN(((ACT_SKU_SCOPE="ALL")+(ACT_SKU_SCOPE=$G68)))*(ACT_START&lt;=7)*(ACT_END&gt;=7)*IFERROR(ACT_UPLIFT-1,0)))*(1+SUMPRODUCT(SIGN(((ACT_DOOR_SCOPE="ALL")+(ACT_DOOR_SCOPE="TIER_"&amp;$F68)+(ACT_DOOR_SCOPE=$B68)))*SIGN(((ACT_SKU_SCOPE="ALL")+(ACT_SKU_SCOPE=$G68)))*(7&gt;ACT_END)*(ACT_END&gt;0)*IFERROR(ACT_POSTLIFT,0))),0)))</f>
        <v/>
      </c>
      <c r="Q68" s="10">
        <f>IF(OR($H68&lt;&gt;"Y",8&lt;$I68),0,IF(SUMPRODUCT(((BULK_ENABLED="Y")*((BULK_TIER="ALL")+(BULK_TIER=$F68))*((BULK_SKU="ALL")+(BULK_SKU=$G68))*(BULK_START&lt;=8)*(BULK_END&gt;=8)))&gt;0,IFERROR(SUMPRODUCT(((BULK_ENABLED="Y")*((BULK_TIER="ALL")+(BULK_TIER=$F68))*((BULK_SKU="ALL")+(BULK_SKU=$G68))*(BULK_START&lt;=8)*(BULK_END&gt;=8))*IFERROR(BULK_VALUE,0))/MAX(1,SUMPRODUCT(((BULK_ENABLED="Y")*((BULK_TIER="ALL")+(BULK_TIER=$F68))*((BULK_SKU="ALL")+(BULK_SKU=$G68))*(BULK_START&lt;=8)*(BULK_END&gt;=8)))),0),ROUND((INDEX(VELOCITY_TABLE,MATCH($F68,TIER_LIST,0),1))*(IF((8-$I68+1)&lt;=0,0,IF((8-$I68+1)=1,RAMP_W1,IF((8-$I68+1)=2,RAMP_W2,IF((8-$I68+1)=3,RAMP_W3,RAMP_W4PLUS)))))*(INDEX(ACTIVE_MULT_TABLE,1,1))*(1+SUMPRODUCT(SIGN(((ACT_DOOR_SCOPE="ALL")+(ACT_DOOR_SCOPE="TIER_"&amp;$F68)+(ACT_DOOR_SCOPE=$B68)))*SIGN(((ACT_SKU_SCOPE="ALL")+(ACT_SKU_SCOPE=$G68)))*(ACT_START&lt;=8)*(ACT_END&gt;=8)*IFERROR(ACT_UPLIFT-1,0)))*(1+SUMPRODUCT(SIGN(((ACT_DOOR_SCOPE="ALL")+(ACT_DOOR_SCOPE="TIER_"&amp;$F68)+(ACT_DOOR_SCOPE=$B68)))*SIGN(((ACT_SKU_SCOPE="ALL")+(ACT_SKU_SCOPE=$G68)))*(8&gt;ACT_END)*(ACT_END&gt;0)*IFERROR(ACT_POSTLIFT,0))),0)))</f>
        <v/>
      </c>
      <c r="R68" s="10">
        <f>IF(OR($H68&lt;&gt;"Y",9&lt;$I68),0,IF(SUMPRODUCT(((BULK_ENABLED="Y")*((BULK_TIER="ALL")+(BULK_TIER=$F68))*((BULK_SKU="ALL")+(BULK_SKU=$G68))*(BULK_START&lt;=9)*(BULK_END&gt;=9)))&gt;0,IFERROR(SUMPRODUCT(((BULK_ENABLED="Y")*((BULK_TIER="ALL")+(BULK_TIER=$F68))*((BULK_SKU="ALL")+(BULK_SKU=$G68))*(BULK_START&lt;=9)*(BULK_END&gt;=9))*IFERROR(BULK_VALUE,0))/MAX(1,SUMPRODUCT(((BULK_ENABLED="Y")*((BULK_TIER="ALL")+(BULK_TIER=$F68))*((BULK_SKU="ALL")+(BULK_SKU=$G68))*(BULK_START&lt;=9)*(BULK_END&gt;=9)))),0),ROUND((INDEX(VELOCITY_TABLE,MATCH($F68,TIER_LIST,0),1))*(IF((9-$I68+1)&lt;=0,0,IF((9-$I68+1)=1,RAMP_W1,IF((9-$I68+1)=2,RAMP_W2,IF((9-$I68+1)=3,RAMP_W3,RAMP_W4PLUS)))))*(INDEX(ACTIVE_MULT_TABLE,1,1))*(1+SUMPRODUCT(SIGN(((ACT_DOOR_SCOPE="ALL")+(ACT_DOOR_SCOPE="TIER_"&amp;$F68)+(ACT_DOOR_SCOPE=$B68)))*SIGN(((ACT_SKU_SCOPE="ALL")+(ACT_SKU_SCOPE=$G68)))*(ACT_START&lt;=9)*(ACT_END&gt;=9)*IFERROR(ACT_UPLIFT-1,0)))*(1+SUMPRODUCT(SIGN(((ACT_DOOR_SCOPE="ALL")+(ACT_DOOR_SCOPE="TIER_"&amp;$F68)+(ACT_DOOR_SCOPE=$B68)))*SIGN(((ACT_SKU_SCOPE="ALL")+(ACT_SKU_SCOPE=$G68)))*(9&gt;ACT_END)*(ACT_END&gt;0)*IFERROR(ACT_POSTLIFT,0))),0)))</f>
        <v/>
      </c>
      <c r="S68" s="10">
        <f>IF(OR($H68&lt;&gt;"Y",10&lt;$I68),0,IF(SUMPRODUCT(((BULK_ENABLED="Y")*((BULK_TIER="ALL")+(BULK_TIER=$F68))*((BULK_SKU="ALL")+(BULK_SKU=$G68))*(BULK_START&lt;=10)*(BULK_END&gt;=10)))&gt;0,IFERROR(SUMPRODUCT(((BULK_ENABLED="Y")*((BULK_TIER="ALL")+(BULK_TIER=$F68))*((BULK_SKU="ALL")+(BULK_SKU=$G68))*(BULK_START&lt;=10)*(BULK_END&gt;=10))*IFERROR(BULK_VALUE,0))/MAX(1,SUMPRODUCT(((BULK_ENABLED="Y")*((BULK_TIER="ALL")+(BULK_TIER=$F68))*((BULK_SKU="ALL")+(BULK_SKU=$G68))*(BULK_START&lt;=10)*(BULK_END&gt;=10)))),0),ROUND((INDEX(VELOCITY_TABLE,MATCH($F68,TIER_LIST,0),1))*(IF((10-$I68+1)&lt;=0,0,IF((10-$I68+1)=1,RAMP_W1,IF((10-$I68+1)=2,RAMP_W2,IF((10-$I68+1)=3,RAMP_W3,RAMP_W4PLUS)))))*(INDEX(ACTIVE_MULT_TABLE,1,1))*(1+SUMPRODUCT(SIGN(((ACT_DOOR_SCOPE="ALL")+(ACT_DOOR_SCOPE="TIER_"&amp;$F68)+(ACT_DOOR_SCOPE=$B68)))*SIGN(((ACT_SKU_SCOPE="ALL")+(ACT_SKU_SCOPE=$G68)))*(ACT_START&lt;=10)*(ACT_END&gt;=10)*IFERROR(ACT_UPLIFT-1,0)))*(1+SUMPRODUCT(SIGN(((ACT_DOOR_SCOPE="ALL")+(ACT_DOOR_SCOPE="TIER_"&amp;$F68)+(ACT_DOOR_SCOPE=$B68)))*SIGN(((ACT_SKU_SCOPE="ALL")+(ACT_SKU_SCOPE=$G68)))*(10&gt;ACT_END)*(ACT_END&gt;0)*IFERROR(ACT_POSTLIFT,0))),0)))</f>
        <v/>
      </c>
      <c r="T68" s="10">
        <f>IF(OR($H68&lt;&gt;"Y",11&lt;$I68),0,IF(SUMPRODUCT(((BULK_ENABLED="Y")*((BULK_TIER="ALL")+(BULK_TIER=$F68))*((BULK_SKU="ALL")+(BULK_SKU=$G68))*(BULK_START&lt;=11)*(BULK_END&gt;=11)))&gt;0,IFERROR(SUMPRODUCT(((BULK_ENABLED="Y")*((BULK_TIER="ALL")+(BULK_TIER=$F68))*((BULK_SKU="ALL")+(BULK_SKU=$G68))*(BULK_START&lt;=11)*(BULK_END&gt;=11))*IFERROR(BULK_VALUE,0))/MAX(1,SUMPRODUCT(((BULK_ENABLED="Y")*((BULK_TIER="ALL")+(BULK_TIER=$F68))*((BULK_SKU="ALL")+(BULK_SKU=$G68))*(BULK_START&lt;=11)*(BULK_END&gt;=11)))),0),ROUND((INDEX(VELOCITY_TABLE,MATCH($F68,TIER_LIST,0),1))*(IF((11-$I68+1)&lt;=0,0,IF((11-$I68+1)=1,RAMP_W1,IF((11-$I68+1)=2,RAMP_W2,IF((11-$I68+1)=3,RAMP_W3,RAMP_W4PLUS)))))*(INDEX(ACTIVE_MULT_TABLE,1,1))*(1+SUMPRODUCT(SIGN(((ACT_DOOR_SCOPE="ALL")+(ACT_DOOR_SCOPE="TIER_"&amp;$F68)+(ACT_DOOR_SCOPE=$B68)))*SIGN(((ACT_SKU_SCOPE="ALL")+(ACT_SKU_SCOPE=$G68)))*(ACT_START&lt;=11)*(ACT_END&gt;=11)*IFERROR(ACT_UPLIFT-1,0)))*(1+SUMPRODUCT(SIGN(((ACT_DOOR_SCOPE="ALL")+(ACT_DOOR_SCOPE="TIER_"&amp;$F68)+(ACT_DOOR_SCOPE=$B68)))*SIGN(((ACT_SKU_SCOPE="ALL")+(ACT_SKU_SCOPE=$G68)))*(11&gt;ACT_END)*(ACT_END&gt;0)*IFERROR(ACT_POSTLIFT,0))),0)))</f>
        <v/>
      </c>
      <c r="U68" s="10">
        <f>IF(OR($H68&lt;&gt;"Y",12&lt;$I68),0,IF(SUMPRODUCT(((BULK_ENABLED="Y")*((BULK_TIER="ALL")+(BULK_TIER=$F68))*((BULK_SKU="ALL")+(BULK_SKU=$G68))*(BULK_START&lt;=12)*(BULK_END&gt;=12)))&gt;0,IFERROR(SUMPRODUCT(((BULK_ENABLED="Y")*((BULK_TIER="ALL")+(BULK_TIER=$F68))*((BULK_SKU="ALL")+(BULK_SKU=$G68))*(BULK_START&lt;=12)*(BULK_END&gt;=12))*IFERROR(BULK_VALUE,0))/MAX(1,SUMPRODUCT(((BULK_ENABLED="Y")*((BULK_TIER="ALL")+(BULK_TIER=$F68))*((BULK_SKU="ALL")+(BULK_SKU=$G68))*(BULK_START&lt;=12)*(BULK_END&gt;=12)))),0),ROUND((INDEX(VELOCITY_TABLE,MATCH($F68,TIER_LIST,0),1))*(IF((12-$I68+1)&lt;=0,0,IF((12-$I68+1)=1,RAMP_W1,IF((12-$I68+1)=2,RAMP_W2,IF((12-$I68+1)=3,RAMP_W3,RAMP_W4PLUS)))))*(INDEX(ACTIVE_MULT_TABLE,1,1))*(1+SUMPRODUCT(SIGN(((ACT_DOOR_SCOPE="ALL")+(ACT_DOOR_SCOPE="TIER_"&amp;$F68)+(ACT_DOOR_SCOPE=$B68)))*SIGN(((ACT_SKU_SCOPE="ALL")+(ACT_SKU_SCOPE=$G68)))*(ACT_START&lt;=12)*(ACT_END&gt;=12)*IFERROR(ACT_UPLIFT-1,0)))*(1+SUMPRODUCT(SIGN(((ACT_DOOR_SCOPE="ALL")+(ACT_DOOR_SCOPE="TIER_"&amp;$F68)+(ACT_DOOR_SCOPE=$B68)))*SIGN(((ACT_SKU_SCOPE="ALL")+(ACT_SKU_SCOPE=$G68)))*(12&gt;ACT_END)*(ACT_END&gt;0)*IFERROR(ACT_POSTLIFT,0))),0)))</f>
        <v/>
      </c>
      <c r="V68" s="10">
        <f>IF(OR($H68&lt;&gt;"Y",13&lt;$I68),0,IF(SUMPRODUCT(((BULK_ENABLED="Y")*((BULK_TIER="ALL")+(BULK_TIER=$F68))*((BULK_SKU="ALL")+(BULK_SKU=$G68))*(BULK_START&lt;=13)*(BULK_END&gt;=13)))&gt;0,IFERROR(SUMPRODUCT(((BULK_ENABLED="Y")*((BULK_TIER="ALL")+(BULK_TIER=$F68))*((BULK_SKU="ALL")+(BULK_SKU=$G68))*(BULK_START&lt;=13)*(BULK_END&gt;=13))*IFERROR(BULK_VALUE,0))/MAX(1,SUMPRODUCT(((BULK_ENABLED="Y")*((BULK_TIER="ALL")+(BULK_TIER=$F68))*((BULK_SKU="ALL")+(BULK_SKU=$G68))*(BULK_START&lt;=13)*(BULK_END&gt;=13)))),0),ROUND((INDEX(VELOCITY_TABLE,MATCH($F68,TIER_LIST,0),1))*(IF((13-$I68+1)&lt;=0,0,IF((13-$I68+1)=1,RAMP_W1,IF((13-$I68+1)=2,RAMP_W2,IF((13-$I68+1)=3,RAMP_W3,RAMP_W4PLUS)))))*(INDEX(ACTIVE_MULT_TABLE,1,1))*(1+SUMPRODUCT(SIGN(((ACT_DOOR_SCOPE="ALL")+(ACT_DOOR_SCOPE="TIER_"&amp;$F68)+(ACT_DOOR_SCOPE=$B68)))*SIGN(((ACT_SKU_SCOPE="ALL")+(ACT_SKU_SCOPE=$G68)))*(ACT_START&lt;=13)*(ACT_END&gt;=13)*IFERROR(ACT_UPLIFT-1,0)))*(1+SUMPRODUCT(SIGN(((ACT_DOOR_SCOPE="ALL")+(ACT_DOOR_SCOPE="TIER_"&amp;$F68)+(ACT_DOOR_SCOPE=$B68)))*SIGN(((ACT_SKU_SCOPE="ALL")+(ACT_SKU_SCOPE=$G68)))*(13&gt;ACT_END)*(ACT_END&gt;0)*IFERROR(ACT_POSTLIFT,0))),0)))</f>
        <v/>
      </c>
    </row>
    <row r="69">
      <c r="A69" t="inlineStr">
        <is>
          <t>R0065</t>
        </is>
      </c>
      <c r="B69">
        <f>Doors!$A$26</f>
        <v/>
      </c>
      <c r="C69">
        <f>Doors!$C$26</f>
        <v/>
      </c>
      <c r="D69">
        <f>Doors!$B$26</f>
        <v/>
      </c>
      <c r="E69">
        <f>Doors!$E$26</f>
        <v/>
      </c>
      <c r="F69">
        <f>Doors!$F$26</f>
        <v/>
      </c>
      <c r="G69" t="inlineStr">
        <is>
          <t>Pineapple Passion Fruit</t>
        </is>
      </c>
      <c r="H69">
        <f>Doors!$H$26</f>
        <v/>
      </c>
      <c r="I69">
        <f>Doors!$J$26</f>
        <v/>
      </c>
      <c r="J69" s="10">
        <f>IF(OR($H69&lt;&gt;"Y",1&lt;$I69),0,IF(SUMPRODUCT(((BULK_ENABLED="Y")*((BULK_TIER="ALL")+(BULK_TIER=$F69))*((BULK_SKU="ALL")+(BULK_SKU=$G69))*(BULK_START&lt;=1)*(BULK_END&gt;=1)))&gt;0,IFERROR(SUMPRODUCT(((BULK_ENABLED="Y")*((BULK_TIER="ALL")+(BULK_TIER=$F69))*((BULK_SKU="ALL")+(BULK_SKU=$G69))*(BULK_START&lt;=1)*(BULK_END&gt;=1))*IFERROR(BULK_VALUE,0))/MAX(1,SUMPRODUCT(((BULK_ENABLED="Y")*((BULK_TIER="ALL")+(BULK_TIER=$F69))*((BULK_SKU="ALL")+(BULK_SKU=$G69))*(BULK_START&lt;=1)*(BULK_END&gt;=1)))),0),ROUND((INDEX(VELOCITY_TABLE,MATCH($F69,TIER_LIST,0),2))*(IF((1-$I69+1)&lt;=0,0,IF((1-$I69+1)=1,RAMP_W1,IF((1-$I69+1)=2,RAMP_W2,IF((1-$I69+1)=3,RAMP_W3,RAMP_W4PLUS)))))*(INDEX(ACTIVE_MULT_TABLE,2,1))*(1+SUMPRODUCT(SIGN(((ACT_DOOR_SCOPE="ALL")+(ACT_DOOR_SCOPE="TIER_"&amp;$F69)+(ACT_DOOR_SCOPE=$B69)))*SIGN(((ACT_SKU_SCOPE="ALL")+(ACT_SKU_SCOPE=$G69)))*(ACT_START&lt;=1)*(ACT_END&gt;=1)*IFERROR(ACT_UPLIFT-1,0)))*(1+SUMPRODUCT(SIGN(((ACT_DOOR_SCOPE="ALL")+(ACT_DOOR_SCOPE="TIER_"&amp;$F69)+(ACT_DOOR_SCOPE=$B69)))*SIGN(((ACT_SKU_SCOPE="ALL")+(ACT_SKU_SCOPE=$G69)))*(1&gt;ACT_END)*(ACT_END&gt;0)*IFERROR(ACT_POSTLIFT,0))),0)))</f>
        <v/>
      </c>
      <c r="K69" s="10">
        <f>IF(OR($H69&lt;&gt;"Y",2&lt;$I69),0,IF(SUMPRODUCT(((BULK_ENABLED="Y")*((BULK_TIER="ALL")+(BULK_TIER=$F69))*((BULK_SKU="ALL")+(BULK_SKU=$G69))*(BULK_START&lt;=2)*(BULK_END&gt;=2)))&gt;0,IFERROR(SUMPRODUCT(((BULK_ENABLED="Y")*((BULK_TIER="ALL")+(BULK_TIER=$F69))*((BULK_SKU="ALL")+(BULK_SKU=$G69))*(BULK_START&lt;=2)*(BULK_END&gt;=2))*IFERROR(BULK_VALUE,0))/MAX(1,SUMPRODUCT(((BULK_ENABLED="Y")*((BULK_TIER="ALL")+(BULK_TIER=$F69))*((BULK_SKU="ALL")+(BULK_SKU=$G69))*(BULK_START&lt;=2)*(BULK_END&gt;=2)))),0),ROUND((INDEX(VELOCITY_TABLE,MATCH($F69,TIER_LIST,0),2))*(IF((2-$I69+1)&lt;=0,0,IF((2-$I69+1)=1,RAMP_W1,IF((2-$I69+1)=2,RAMP_W2,IF((2-$I69+1)=3,RAMP_W3,RAMP_W4PLUS)))))*(INDEX(ACTIVE_MULT_TABLE,2,1))*(1+SUMPRODUCT(SIGN(((ACT_DOOR_SCOPE="ALL")+(ACT_DOOR_SCOPE="TIER_"&amp;$F69)+(ACT_DOOR_SCOPE=$B69)))*SIGN(((ACT_SKU_SCOPE="ALL")+(ACT_SKU_SCOPE=$G69)))*(ACT_START&lt;=2)*(ACT_END&gt;=2)*IFERROR(ACT_UPLIFT-1,0)))*(1+SUMPRODUCT(SIGN(((ACT_DOOR_SCOPE="ALL")+(ACT_DOOR_SCOPE="TIER_"&amp;$F69)+(ACT_DOOR_SCOPE=$B69)))*SIGN(((ACT_SKU_SCOPE="ALL")+(ACT_SKU_SCOPE=$G69)))*(2&gt;ACT_END)*(ACT_END&gt;0)*IFERROR(ACT_POSTLIFT,0))),0)))</f>
        <v/>
      </c>
      <c r="L69" s="10">
        <f>IF(OR($H69&lt;&gt;"Y",3&lt;$I69),0,IF(SUMPRODUCT(((BULK_ENABLED="Y")*((BULK_TIER="ALL")+(BULK_TIER=$F69))*((BULK_SKU="ALL")+(BULK_SKU=$G69))*(BULK_START&lt;=3)*(BULK_END&gt;=3)))&gt;0,IFERROR(SUMPRODUCT(((BULK_ENABLED="Y")*((BULK_TIER="ALL")+(BULK_TIER=$F69))*((BULK_SKU="ALL")+(BULK_SKU=$G69))*(BULK_START&lt;=3)*(BULK_END&gt;=3))*IFERROR(BULK_VALUE,0))/MAX(1,SUMPRODUCT(((BULK_ENABLED="Y")*((BULK_TIER="ALL")+(BULK_TIER=$F69))*((BULK_SKU="ALL")+(BULK_SKU=$G69))*(BULK_START&lt;=3)*(BULK_END&gt;=3)))),0),ROUND((INDEX(VELOCITY_TABLE,MATCH($F69,TIER_LIST,0),2))*(IF((3-$I69+1)&lt;=0,0,IF((3-$I69+1)=1,RAMP_W1,IF((3-$I69+1)=2,RAMP_W2,IF((3-$I69+1)=3,RAMP_W3,RAMP_W4PLUS)))))*(INDEX(ACTIVE_MULT_TABLE,2,1))*(1+SUMPRODUCT(SIGN(((ACT_DOOR_SCOPE="ALL")+(ACT_DOOR_SCOPE="TIER_"&amp;$F69)+(ACT_DOOR_SCOPE=$B69)))*SIGN(((ACT_SKU_SCOPE="ALL")+(ACT_SKU_SCOPE=$G69)))*(ACT_START&lt;=3)*(ACT_END&gt;=3)*IFERROR(ACT_UPLIFT-1,0)))*(1+SUMPRODUCT(SIGN(((ACT_DOOR_SCOPE="ALL")+(ACT_DOOR_SCOPE="TIER_"&amp;$F69)+(ACT_DOOR_SCOPE=$B69)))*SIGN(((ACT_SKU_SCOPE="ALL")+(ACT_SKU_SCOPE=$G69)))*(3&gt;ACT_END)*(ACT_END&gt;0)*IFERROR(ACT_POSTLIFT,0))),0)))</f>
        <v/>
      </c>
      <c r="M69" s="10">
        <f>IF(OR($H69&lt;&gt;"Y",4&lt;$I69),0,IF(SUMPRODUCT(((BULK_ENABLED="Y")*((BULK_TIER="ALL")+(BULK_TIER=$F69))*((BULK_SKU="ALL")+(BULK_SKU=$G69))*(BULK_START&lt;=4)*(BULK_END&gt;=4)))&gt;0,IFERROR(SUMPRODUCT(((BULK_ENABLED="Y")*((BULK_TIER="ALL")+(BULK_TIER=$F69))*((BULK_SKU="ALL")+(BULK_SKU=$G69))*(BULK_START&lt;=4)*(BULK_END&gt;=4))*IFERROR(BULK_VALUE,0))/MAX(1,SUMPRODUCT(((BULK_ENABLED="Y")*((BULK_TIER="ALL")+(BULK_TIER=$F69))*((BULK_SKU="ALL")+(BULK_SKU=$G69))*(BULK_START&lt;=4)*(BULK_END&gt;=4)))),0),ROUND((INDEX(VELOCITY_TABLE,MATCH($F69,TIER_LIST,0),2))*(IF((4-$I69+1)&lt;=0,0,IF((4-$I69+1)=1,RAMP_W1,IF((4-$I69+1)=2,RAMP_W2,IF((4-$I69+1)=3,RAMP_W3,RAMP_W4PLUS)))))*(INDEX(ACTIVE_MULT_TABLE,2,1))*(1+SUMPRODUCT(SIGN(((ACT_DOOR_SCOPE="ALL")+(ACT_DOOR_SCOPE="TIER_"&amp;$F69)+(ACT_DOOR_SCOPE=$B69)))*SIGN(((ACT_SKU_SCOPE="ALL")+(ACT_SKU_SCOPE=$G69)))*(ACT_START&lt;=4)*(ACT_END&gt;=4)*IFERROR(ACT_UPLIFT-1,0)))*(1+SUMPRODUCT(SIGN(((ACT_DOOR_SCOPE="ALL")+(ACT_DOOR_SCOPE="TIER_"&amp;$F69)+(ACT_DOOR_SCOPE=$B69)))*SIGN(((ACT_SKU_SCOPE="ALL")+(ACT_SKU_SCOPE=$G69)))*(4&gt;ACT_END)*(ACT_END&gt;0)*IFERROR(ACT_POSTLIFT,0))),0)))</f>
        <v/>
      </c>
      <c r="N69" s="10">
        <f>IF(OR($H69&lt;&gt;"Y",5&lt;$I69),0,IF(SUMPRODUCT(((BULK_ENABLED="Y")*((BULK_TIER="ALL")+(BULK_TIER=$F69))*((BULK_SKU="ALL")+(BULK_SKU=$G69))*(BULK_START&lt;=5)*(BULK_END&gt;=5)))&gt;0,IFERROR(SUMPRODUCT(((BULK_ENABLED="Y")*((BULK_TIER="ALL")+(BULK_TIER=$F69))*((BULK_SKU="ALL")+(BULK_SKU=$G69))*(BULK_START&lt;=5)*(BULK_END&gt;=5))*IFERROR(BULK_VALUE,0))/MAX(1,SUMPRODUCT(((BULK_ENABLED="Y")*((BULK_TIER="ALL")+(BULK_TIER=$F69))*((BULK_SKU="ALL")+(BULK_SKU=$G69))*(BULK_START&lt;=5)*(BULK_END&gt;=5)))),0),ROUND((INDEX(VELOCITY_TABLE,MATCH($F69,TIER_LIST,0),2))*(IF((5-$I69+1)&lt;=0,0,IF((5-$I69+1)=1,RAMP_W1,IF((5-$I69+1)=2,RAMP_W2,IF((5-$I69+1)=3,RAMP_W3,RAMP_W4PLUS)))))*(INDEX(ACTIVE_MULT_TABLE,2,1))*(1+SUMPRODUCT(SIGN(((ACT_DOOR_SCOPE="ALL")+(ACT_DOOR_SCOPE="TIER_"&amp;$F69)+(ACT_DOOR_SCOPE=$B69)))*SIGN(((ACT_SKU_SCOPE="ALL")+(ACT_SKU_SCOPE=$G69)))*(ACT_START&lt;=5)*(ACT_END&gt;=5)*IFERROR(ACT_UPLIFT-1,0)))*(1+SUMPRODUCT(SIGN(((ACT_DOOR_SCOPE="ALL")+(ACT_DOOR_SCOPE="TIER_"&amp;$F69)+(ACT_DOOR_SCOPE=$B69)))*SIGN(((ACT_SKU_SCOPE="ALL")+(ACT_SKU_SCOPE=$G69)))*(5&gt;ACT_END)*(ACT_END&gt;0)*IFERROR(ACT_POSTLIFT,0))),0)))</f>
        <v/>
      </c>
      <c r="O69" s="10">
        <f>IF(OR($H69&lt;&gt;"Y",6&lt;$I69),0,IF(SUMPRODUCT(((BULK_ENABLED="Y")*((BULK_TIER="ALL")+(BULK_TIER=$F69))*((BULK_SKU="ALL")+(BULK_SKU=$G69))*(BULK_START&lt;=6)*(BULK_END&gt;=6)))&gt;0,IFERROR(SUMPRODUCT(((BULK_ENABLED="Y")*((BULK_TIER="ALL")+(BULK_TIER=$F69))*((BULK_SKU="ALL")+(BULK_SKU=$G69))*(BULK_START&lt;=6)*(BULK_END&gt;=6))*IFERROR(BULK_VALUE,0))/MAX(1,SUMPRODUCT(((BULK_ENABLED="Y")*((BULK_TIER="ALL")+(BULK_TIER=$F69))*((BULK_SKU="ALL")+(BULK_SKU=$G69))*(BULK_START&lt;=6)*(BULK_END&gt;=6)))),0),ROUND((INDEX(VELOCITY_TABLE,MATCH($F69,TIER_LIST,0),2))*(IF((6-$I69+1)&lt;=0,0,IF((6-$I69+1)=1,RAMP_W1,IF((6-$I69+1)=2,RAMP_W2,IF((6-$I69+1)=3,RAMP_W3,RAMP_W4PLUS)))))*(INDEX(ACTIVE_MULT_TABLE,2,1))*(1+SUMPRODUCT(SIGN(((ACT_DOOR_SCOPE="ALL")+(ACT_DOOR_SCOPE="TIER_"&amp;$F69)+(ACT_DOOR_SCOPE=$B69)))*SIGN(((ACT_SKU_SCOPE="ALL")+(ACT_SKU_SCOPE=$G69)))*(ACT_START&lt;=6)*(ACT_END&gt;=6)*IFERROR(ACT_UPLIFT-1,0)))*(1+SUMPRODUCT(SIGN(((ACT_DOOR_SCOPE="ALL")+(ACT_DOOR_SCOPE="TIER_"&amp;$F69)+(ACT_DOOR_SCOPE=$B69)))*SIGN(((ACT_SKU_SCOPE="ALL")+(ACT_SKU_SCOPE=$G69)))*(6&gt;ACT_END)*(ACT_END&gt;0)*IFERROR(ACT_POSTLIFT,0))),0)))</f>
        <v/>
      </c>
      <c r="P69" s="10">
        <f>IF(OR($H69&lt;&gt;"Y",7&lt;$I69),0,IF(SUMPRODUCT(((BULK_ENABLED="Y")*((BULK_TIER="ALL")+(BULK_TIER=$F69))*((BULK_SKU="ALL")+(BULK_SKU=$G69))*(BULK_START&lt;=7)*(BULK_END&gt;=7)))&gt;0,IFERROR(SUMPRODUCT(((BULK_ENABLED="Y")*((BULK_TIER="ALL")+(BULK_TIER=$F69))*((BULK_SKU="ALL")+(BULK_SKU=$G69))*(BULK_START&lt;=7)*(BULK_END&gt;=7))*IFERROR(BULK_VALUE,0))/MAX(1,SUMPRODUCT(((BULK_ENABLED="Y")*((BULK_TIER="ALL")+(BULK_TIER=$F69))*((BULK_SKU="ALL")+(BULK_SKU=$G69))*(BULK_START&lt;=7)*(BULK_END&gt;=7)))),0),ROUND((INDEX(VELOCITY_TABLE,MATCH($F69,TIER_LIST,0),2))*(IF((7-$I69+1)&lt;=0,0,IF((7-$I69+1)=1,RAMP_W1,IF((7-$I69+1)=2,RAMP_W2,IF((7-$I69+1)=3,RAMP_W3,RAMP_W4PLUS)))))*(INDEX(ACTIVE_MULT_TABLE,2,1))*(1+SUMPRODUCT(SIGN(((ACT_DOOR_SCOPE="ALL")+(ACT_DOOR_SCOPE="TIER_"&amp;$F69)+(ACT_DOOR_SCOPE=$B69)))*SIGN(((ACT_SKU_SCOPE="ALL")+(ACT_SKU_SCOPE=$G69)))*(ACT_START&lt;=7)*(ACT_END&gt;=7)*IFERROR(ACT_UPLIFT-1,0)))*(1+SUMPRODUCT(SIGN(((ACT_DOOR_SCOPE="ALL")+(ACT_DOOR_SCOPE="TIER_"&amp;$F69)+(ACT_DOOR_SCOPE=$B69)))*SIGN(((ACT_SKU_SCOPE="ALL")+(ACT_SKU_SCOPE=$G69)))*(7&gt;ACT_END)*(ACT_END&gt;0)*IFERROR(ACT_POSTLIFT,0))),0)))</f>
        <v/>
      </c>
      <c r="Q69" s="10">
        <f>IF(OR($H69&lt;&gt;"Y",8&lt;$I69),0,IF(SUMPRODUCT(((BULK_ENABLED="Y")*((BULK_TIER="ALL")+(BULK_TIER=$F69))*((BULK_SKU="ALL")+(BULK_SKU=$G69))*(BULK_START&lt;=8)*(BULK_END&gt;=8)))&gt;0,IFERROR(SUMPRODUCT(((BULK_ENABLED="Y")*((BULK_TIER="ALL")+(BULK_TIER=$F69))*((BULK_SKU="ALL")+(BULK_SKU=$G69))*(BULK_START&lt;=8)*(BULK_END&gt;=8))*IFERROR(BULK_VALUE,0))/MAX(1,SUMPRODUCT(((BULK_ENABLED="Y")*((BULK_TIER="ALL")+(BULK_TIER=$F69))*((BULK_SKU="ALL")+(BULK_SKU=$G69))*(BULK_START&lt;=8)*(BULK_END&gt;=8)))),0),ROUND((INDEX(VELOCITY_TABLE,MATCH($F69,TIER_LIST,0),2))*(IF((8-$I69+1)&lt;=0,0,IF((8-$I69+1)=1,RAMP_W1,IF((8-$I69+1)=2,RAMP_W2,IF((8-$I69+1)=3,RAMP_W3,RAMP_W4PLUS)))))*(INDEX(ACTIVE_MULT_TABLE,2,1))*(1+SUMPRODUCT(SIGN(((ACT_DOOR_SCOPE="ALL")+(ACT_DOOR_SCOPE="TIER_"&amp;$F69)+(ACT_DOOR_SCOPE=$B69)))*SIGN(((ACT_SKU_SCOPE="ALL")+(ACT_SKU_SCOPE=$G69)))*(ACT_START&lt;=8)*(ACT_END&gt;=8)*IFERROR(ACT_UPLIFT-1,0)))*(1+SUMPRODUCT(SIGN(((ACT_DOOR_SCOPE="ALL")+(ACT_DOOR_SCOPE="TIER_"&amp;$F69)+(ACT_DOOR_SCOPE=$B69)))*SIGN(((ACT_SKU_SCOPE="ALL")+(ACT_SKU_SCOPE=$G69)))*(8&gt;ACT_END)*(ACT_END&gt;0)*IFERROR(ACT_POSTLIFT,0))),0)))</f>
        <v/>
      </c>
      <c r="R69" s="10">
        <f>IF(OR($H69&lt;&gt;"Y",9&lt;$I69),0,IF(SUMPRODUCT(((BULK_ENABLED="Y")*((BULK_TIER="ALL")+(BULK_TIER=$F69))*((BULK_SKU="ALL")+(BULK_SKU=$G69))*(BULK_START&lt;=9)*(BULK_END&gt;=9)))&gt;0,IFERROR(SUMPRODUCT(((BULK_ENABLED="Y")*((BULK_TIER="ALL")+(BULK_TIER=$F69))*((BULK_SKU="ALL")+(BULK_SKU=$G69))*(BULK_START&lt;=9)*(BULK_END&gt;=9))*IFERROR(BULK_VALUE,0))/MAX(1,SUMPRODUCT(((BULK_ENABLED="Y")*((BULK_TIER="ALL")+(BULK_TIER=$F69))*((BULK_SKU="ALL")+(BULK_SKU=$G69))*(BULK_START&lt;=9)*(BULK_END&gt;=9)))),0),ROUND((INDEX(VELOCITY_TABLE,MATCH($F69,TIER_LIST,0),2))*(IF((9-$I69+1)&lt;=0,0,IF((9-$I69+1)=1,RAMP_W1,IF((9-$I69+1)=2,RAMP_W2,IF((9-$I69+1)=3,RAMP_W3,RAMP_W4PLUS)))))*(INDEX(ACTIVE_MULT_TABLE,2,1))*(1+SUMPRODUCT(SIGN(((ACT_DOOR_SCOPE="ALL")+(ACT_DOOR_SCOPE="TIER_"&amp;$F69)+(ACT_DOOR_SCOPE=$B69)))*SIGN(((ACT_SKU_SCOPE="ALL")+(ACT_SKU_SCOPE=$G69)))*(ACT_START&lt;=9)*(ACT_END&gt;=9)*IFERROR(ACT_UPLIFT-1,0)))*(1+SUMPRODUCT(SIGN(((ACT_DOOR_SCOPE="ALL")+(ACT_DOOR_SCOPE="TIER_"&amp;$F69)+(ACT_DOOR_SCOPE=$B69)))*SIGN(((ACT_SKU_SCOPE="ALL")+(ACT_SKU_SCOPE=$G69)))*(9&gt;ACT_END)*(ACT_END&gt;0)*IFERROR(ACT_POSTLIFT,0))),0)))</f>
        <v/>
      </c>
      <c r="S69" s="10">
        <f>IF(OR($H69&lt;&gt;"Y",10&lt;$I69),0,IF(SUMPRODUCT(((BULK_ENABLED="Y")*((BULK_TIER="ALL")+(BULK_TIER=$F69))*((BULK_SKU="ALL")+(BULK_SKU=$G69))*(BULK_START&lt;=10)*(BULK_END&gt;=10)))&gt;0,IFERROR(SUMPRODUCT(((BULK_ENABLED="Y")*((BULK_TIER="ALL")+(BULK_TIER=$F69))*((BULK_SKU="ALL")+(BULK_SKU=$G69))*(BULK_START&lt;=10)*(BULK_END&gt;=10))*IFERROR(BULK_VALUE,0))/MAX(1,SUMPRODUCT(((BULK_ENABLED="Y")*((BULK_TIER="ALL")+(BULK_TIER=$F69))*((BULK_SKU="ALL")+(BULK_SKU=$G69))*(BULK_START&lt;=10)*(BULK_END&gt;=10)))),0),ROUND((INDEX(VELOCITY_TABLE,MATCH($F69,TIER_LIST,0),2))*(IF((10-$I69+1)&lt;=0,0,IF((10-$I69+1)=1,RAMP_W1,IF((10-$I69+1)=2,RAMP_W2,IF((10-$I69+1)=3,RAMP_W3,RAMP_W4PLUS)))))*(INDEX(ACTIVE_MULT_TABLE,2,1))*(1+SUMPRODUCT(SIGN(((ACT_DOOR_SCOPE="ALL")+(ACT_DOOR_SCOPE="TIER_"&amp;$F69)+(ACT_DOOR_SCOPE=$B69)))*SIGN(((ACT_SKU_SCOPE="ALL")+(ACT_SKU_SCOPE=$G69)))*(ACT_START&lt;=10)*(ACT_END&gt;=10)*IFERROR(ACT_UPLIFT-1,0)))*(1+SUMPRODUCT(SIGN(((ACT_DOOR_SCOPE="ALL")+(ACT_DOOR_SCOPE="TIER_"&amp;$F69)+(ACT_DOOR_SCOPE=$B69)))*SIGN(((ACT_SKU_SCOPE="ALL")+(ACT_SKU_SCOPE=$G69)))*(10&gt;ACT_END)*(ACT_END&gt;0)*IFERROR(ACT_POSTLIFT,0))),0)))</f>
        <v/>
      </c>
      <c r="T69" s="10">
        <f>IF(OR($H69&lt;&gt;"Y",11&lt;$I69),0,IF(SUMPRODUCT(((BULK_ENABLED="Y")*((BULK_TIER="ALL")+(BULK_TIER=$F69))*((BULK_SKU="ALL")+(BULK_SKU=$G69))*(BULK_START&lt;=11)*(BULK_END&gt;=11)))&gt;0,IFERROR(SUMPRODUCT(((BULK_ENABLED="Y")*((BULK_TIER="ALL")+(BULK_TIER=$F69))*((BULK_SKU="ALL")+(BULK_SKU=$G69))*(BULK_START&lt;=11)*(BULK_END&gt;=11))*IFERROR(BULK_VALUE,0))/MAX(1,SUMPRODUCT(((BULK_ENABLED="Y")*((BULK_TIER="ALL")+(BULK_TIER=$F69))*((BULK_SKU="ALL")+(BULK_SKU=$G69))*(BULK_START&lt;=11)*(BULK_END&gt;=11)))),0),ROUND((INDEX(VELOCITY_TABLE,MATCH($F69,TIER_LIST,0),2))*(IF((11-$I69+1)&lt;=0,0,IF((11-$I69+1)=1,RAMP_W1,IF((11-$I69+1)=2,RAMP_W2,IF((11-$I69+1)=3,RAMP_W3,RAMP_W4PLUS)))))*(INDEX(ACTIVE_MULT_TABLE,2,1))*(1+SUMPRODUCT(SIGN(((ACT_DOOR_SCOPE="ALL")+(ACT_DOOR_SCOPE="TIER_"&amp;$F69)+(ACT_DOOR_SCOPE=$B69)))*SIGN(((ACT_SKU_SCOPE="ALL")+(ACT_SKU_SCOPE=$G69)))*(ACT_START&lt;=11)*(ACT_END&gt;=11)*IFERROR(ACT_UPLIFT-1,0)))*(1+SUMPRODUCT(SIGN(((ACT_DOOR_SCOPE="ALL")+(ACT_DOOR_SCOPE="TIER_"&amp;$F69)+(ACT_DOOR_SCOPE=$B69)))*SIGN(((ACT_SKU_SCOPE="ALL")+(ACT_SKU_SCOPE=$G69)))*(11&gt;ACT_END)*(ACT_END&gt;0)*IFERROR(ACT_POSTLIFT,0))),0)))</f>
        <v/>
      </c>
      <c r="U69" s="10">
        <f>IF(OR($H69&lt;&gt;"Y",12&lt;$I69),0,IF(SUMPRODUCT(((BULK_ENABLED="Y")*((BULK_TIER="ALL")+(BULK_TIER=$F69))*((BULK_SKU="ALL")+(BULK_SKU=$G69))*(BULK_START&lt;=12)*(BULK_END&gt;=12)))&gt;0,IFERROR(SUMPRODUCT(((BULK_ENABLED="Y")*((BULK_TIER="ALL")+(BULK_TIER=$F69))*((BULK_SKU="ALL")+(BULK_SKU=$G69))*(BULK_START&lt;=12)*(BULK_END&gt;=12))*IFERROR(BULK_VALUE,0))/MAX(1,SUMPRODUCT(((BULK_ENABLED="Y")*((BULK_TIER="ALL")+(BULK_TIER=$F69))*((BULK_SKU="ALL")+(BULK_SKU=$G69))*(BULK_START&lt;=12)*(BULK_END&gt;=12)))),0),ROUND((INDEX(VELOCITY_TABLE,MATCH($F69,TIER_LIST,0),2))*(IF((12-$I69+1)&lt;=0,0,IF((12-$I69+1)=1,RAMP_W1,IF((12-$I69+1)=2,RAMP_W2,IF((12-$I69+1)=3,RAMP_W3,RAMP_W4PLUS)))))*(INDEX(ACTIVE_MULT_TABLE,2,1))*(1+SUMPRODUCT(SIGN(((ACT_DOOR_SCOPE="ALL")+(ACT_DOOR_SCOPE="TIER_"&amp;$F69)+(ACT_DOOR_SCOPE=$B69)))*SIGN(((ACT_SKU_SCOPE="ALL")+(ACT_SKU_SCOPE=$G69)))*(ACT_START&lt;=12)*(ACT_END&gt;=12)*IFERROR(ACT_UPLIFT-1,0)))*(1+SUMPRODUCT(SIGN(((ACT_DOOR_SCOPE="ALL")+(ACT_DOOR_SCOPE="TIER_"&amp;$F69)+(ACT_DOOR_SCOPE=$B69)))*SIGN(((ACT_SKU_SCOPE="ALL")+(ACT_SKU_SCOPE=$G69)))*(12&gt;ACT_END)*(ACT_END&gt;0)*IFERROR(ACT_POSTLIFT,0))),0)))</f>
        <v/>
      </c>
      <c r="V69" s="10">
        <f>IF(OR($H69&lt;&gt;"Y",13&lt;$I69),0,IF(SUMPRODUCT(((BULK_ENABLED="Y")*((BULK_TIER="ALL")+(BULK_TIER=$F69))*((BULK_SKU="ALL")+(BULK_SKU=$G69))*(BULK_START&lt;=13)*(BULK_END&gt;=13)))&gt;0,IFERROR(SUMPRODUCT(((BULK_ENABLED="Y")*((BULK_TIER="ALL")+(BULK_TIER=$F69))*((BULK_SKU="ALL")+(BULK_SKU=$G69))*(BULK_START&lt;=13)*(BULK_END&gt;=13))*IFERROR(BULK_VALUE,0))/MAX(1,SUMPRODUCT(((BULK_ENABLED="Y")*((BULK_TIER="ALL")+(BULK_TIER=$F69))*((BULK_SKU="ALL")+(BULK_SKU=$G69))*(BULK_START&lt;=13)*(BULK_END&gt;=13)))),0),ROUND((INDEX(VELOCITY_TABLE,MATCH($F69,TIER_LIST,0),2))*(IF((13-$I69+1)&lt;=0,0,IF((13-$I69+1)=1,RAMP_W1,IF((13-$I69+1)=2,RAMP_W2,IF((13-$I69+1)=3,RAMP_W3,RAMP_W4PLUS)))))*(INDEX(ACTIVE_MULT_TABLE,2,1))*(1+SUMPRODUCT(SIGN(((ACT_DOOR_SCOPE="ALL")+(ACT_DOOR_SCOPE="TIER_"&amp;$F69)+(ACT_DOOR_SCOPE=$B69)))*SIGN(((ACT_SKU_SCOPE="ALL")+(ACT_SKU_SCOPE=$G69)))*(ACT_START&lt;=13)*(ACT_END&gt;=13)*IFERROR(ACT_UPLIFT-1,0)))*(1+SUMPRODUCT(SIGN(((ACT_DOOR_SCOPE="ALL")+(ACT_DOOR_SCOPE="TIER_"&amp;$F69)+(ACT_DOOR_SCOPE=$B69)))*SIGN(((ACT_SKU_SCOPE="ALL")+(ACT_SKU_SCOPE=$G69)))*(13&gt;ACT_END)*(ACT_END&gt;0)*IFERROR(ACT_POSTLIFT,0))),0)))</f>
        <v/>
      </c>
    </row>
    <row r="70">
      <c r="A70" t="inlineStr">
        <is>
          <t>R0066</t>
        </is>
      </c>
      <c r="B70">
        <f>Doors!$A$26</f>
        <v/>
      </c>
      <c r="C70">
        <f>Doors!$C$26</f>
        <v/>
      </c>
      <c r="D70">
        <f>Doors!$B$26</f>
        <v/>
      </c>
      <c r="E70">
        <f>Doors!$E$26</f>
        <v/>
      </c>
      <c r="F70">
        <f>Doors!$F$26</f>
        <v/>
      </c>
      <c r="G70" t="inlineStr">
        <is>
          <t>Raspberry</t>
        </is>
      </c>
      <c r="H70">
        <f>Doors!$I$26</f>
        <v/>
      </c>
      <c r="I70">
        <f>Doors!$J$26</f>
        <v/>
      </c>
      <c r="J70" s="10">
        <f>IF(OR($H70&lt;&gt;"Y",1&lt;$I70),0,IF(SUMPRODUCT(((BULK_ENABLED="Y")*((BULK_TIER="ALL")+(BULK_TIER=$F70))*((BULK_SKU="ALL")+(BULK_SKU=$G70))*(BULK_START&lt;=1)*(BULK_END&gt;=1)))&gt;0,IFERROR(SUMPRODUCT(((BULK_ENABLED="Y")*((BULK_TIER="ALL")+(BULK_TIER=$F70))*((BULK_SKU="ALL")+(BULK_SKU=$G70))*(BULK_START&lt;=1)*(BULK_END&gt;=1))*IFERROR(BULK_VALUE,0))/MAX(1,SUMPRODUCT(((BULK_ENABLED="Y")*((BULK_TIER="ALL")+(BULK_TIER=$F70))*((BULK_SKU="ALL")+(BULK_SKU=$G70))*(BULK_START&lt;=1)*(BULK_END&gt;=1)))),0),ROUND((INDEX(VELOCITY_TABLE,MATCH($F70,TIER_LIST,0),3))*(IF((1-$I70+1)&lt;=0,0,IF((1-$I70+1)=1,RAMP_W1,IF((1-$I70+1)=2,RAMP_W2,IF((1-$I70+1)=3,RAMP_W3,RAMP_W4PLUS)))))*(INDEX(ACTIVE_MULT_TABLE,3,1))*(1+SUMPRODUCT(SIGN(((ACT_DOOR_SCOPE="ALL")+(ACT_DOOR_SCOPE="TIER_"&amp;$F70)+(ACT_DOOR_SCOPE=$B70)))*SIGN(((ACT_SKU_SCOPE="ALL")+(ACT_SKU_SCOPE=$G70)))*(ACT_START&lt;=1)*(ACT_END&gt;=1)*IFERROR(ACT_UPLIFT-1,0)))*(1+SUMPRODUCT(SIGN(((ACT_DOOR_SCOPE="ALL")+(ACT_DOOR_SCOPE="TIER_"&amp;$F70)+(ACT_DOOR_SCOPE=$B70)))*SIGN(((ACT_SKU_SCOPE="ALL")+(ACT_SKU_SCOPE=$G70)))*(1&gt;ACT_END)*(ACT_END&gt;0)*IFERROR(ACT_POSTLIFT,0))),0)))</f>
        <v/>
      </c>
      <c r="K70" s="10">
        <f>IF(OR($H70&lt;&gt;"Y",2&lt;$I70),0,IF(SUMPRODUCT(((BULK_ENABLED="Y")*((BULK_TIER="ALL")+(BULK_TIER=$F70))*((BULK_SKU="ALL")+(BULK_SKU=$G70))*(BULK_START&lt;=2)*(BULK_END&gt;=2)))&gt;0,IFERROR(SUMPRODUCT(((BULK_ENABLED="Y")*((BULK_TIER="ALL")+(BULK_TIER=$F70))*((BULK_SKU="ALL")+(BULK_SKU=$G70))*(BULK_START&lt;=2)*(BULK_END&gt;=2))*IFERROR(BULK_VALUE,0))/MAX(1,SUMPRODUCT(((BULK_ENABLED="Y")*((BULK_TIER="ALL")+(BULK_TIER=$F70))*((BULK_SKU="ALL")+(BULK_SKU=$G70))*(BULK_START&lt;=2)*(BULK_END&gt;=2)))),0),ROUND((INDEX(VELOCITY_TABLE,MATCH($F70,TIER_LIST,0),3))*(IF((2-$I70+1)&lt;=0,0,IF((2-$I70+1)=1,RAMP_W1,IF((2-$I70+1)=2,RAMP_W2,IF((2-$I70+1)=3,RAMP_W3,RAMP_W4PLUS)))))*(INDEX(ACTIVE_MULT_TABLE,3,1))*(1+SUMPRODUCT(SIGN(((ACT_DOOR_SCOPE="ALL")+(ACT_DOOR_SCOPE="TIER_"&amp;$F70)+(ACT_DOOR_SCOPE=$B70)))*SIGN(((ACT_SKU_SCOPE="ALL")+(ACT_SKU_SCOPE=$G70)))*(ACT_START&lt;=2)*(ACT_END&gt;=2)*IFERROR(ACT_UPLIFT-1,0)))*(1+SUMPRODUCT(SIGN(((ACT_DOOR_SCOPE="ALL")+(ACT_DOOR_SCOPE="TIER_"&amp;$F70)+(ACT_DOOR_SCOPE=$B70)))*SIGN(((ACT_SKU_SCOPE="ALL")+(ACT_SKU_SCOPE=$G70)))*(2&gt;ACT_END)*(ACT_END&gt;0)*IFERROR(ACT_POSTLIFT,0))),0)))</f>
        <v/>
      </c>
      <c r="L70" s="10">
        <f>IF(OR($H70&lt;&gt;"Y",3&lt;$I70),0,IF(SUMPRODUCT(((BULK_ENABLED="Y")*((BULK_TIER="ALL")+(BULK_TIER=$F70))*((BULK_SKU="ALL")+(BULK_SKU=$G70))*(BULK_START&lt;=3)*(BULK_END&gt;=3)))&gt;0,IFERROR(SUMPRODUCT(((BULK_ENABLED="Y")*((BULK_TIER="ALL")+(BULK_TIER=$F70))*((BULK_SKU="ALL")+(BULK_SKU=$G70))*(BULK_START&lt;=3)*(BULK_END&gt;=3))*IFERROR(BULK_VALUE,0))/MAX(1,SUMPRODUCT(((BULK_ENABLED="Y")*((BULK_TIER="ALL")+(BULK_TIER=$F70))*((BULK_SKU="ALL")+(BULK_SKU=$G70))*(BULK_START&lt;=3)*(BULK_END&gt;=3)))),0),ROUND((INDEX(VELOCITY_TABLE,MATCH($F70,TIER_LIST,0),3))*(IF((3-$I70+1)&lt;=0,0,IF((3-$I70+1)=1,RAMP_W1,IF((3-$I70+1)=2,RAMP_W2,IF((3-$I70+1)=3,RAMP_W3,RAMP_W4PLUS)))))*(INDEX(ACTIVE_MULT_TABLE,3,1))*(1+SUMPRODUCT(SIGN(((ACT_DOOR_SCOPE="ALL")+(ACT_DOOR_SCOPE="TIER_"&amp;$F70)+(ACT_DOOR_SCOPE=$B70)))*SIGN(((ACT_SKU_SCOPE="ALL")+(ACT_SKU_SCOPE=$G70)))*(ACT_START&lt;=3)*(ACT_END&gt;=3)*IFERROR(ACT_UPLIFT-1,0)))*(1+SUMPRODUCT(SIGN(((ACT_DOOR_SCOPE="ALL")+(ACT_DOOR_SCOPE="TIER_"&amp;$F70)+(ACT_DOOR_SCOPE=$B70)))*SIGN(((ACT_SKU_SCOPE="ALL")+(ACT_SKU_SCOPE=$G70)))*(3&gt;ACT_END)*(ACT_END&gt;0)*IFERROR(ACT_POSTLIFT,0))),0)))</f>
        <v/>
      </c>
      <c r="M70" s="10">
        <f>IF(OR($H70&lt;&gt;"Y",4&lt;$I70),0,IF(SUMPRODUCT(((BULK_ENABLED="Y")*((BULK_TIER="ALL")+(BULK_TIER=$F70))*((BULK_SKU="ALL")+(BULK_SKU=$G70))*(BULK_START&lt;=4)*(BULK_END&gt;=4)))&gt;0,IFERROR(SUMPRODUCT(((BULK_ENABLED="Y")*((BULK_TIER="ALL")+(BULK_TIER=$F70))*((BULK_SKU="ALL")+(BULK_SKU=$G70))*(BULK_START&lt;=4)*(BULK_END&gt;=4))*IFERROR(BULK_VALUE,0))/MAX(1,SUMPRODUCT(((BULK_ENABLED="Y")*((BULK_TIER="ALL")+(BULK_TIER=$F70))*((BULK_SKU="ALL")+(BULK_SKU=$G70))*(BULK_START&lt;=4)*(BULK_END&gt;=4)))),0),ROUND((INDEX(VELOCITY_TABLE,MATCH($F70,TIER_LIST,0),3))*(IF((4-$I70+1)&lt;=0,0,IF((4-$I70+1)=1,RAMP_W1,IF((4-$I70+1)=2,RAMP_W2,IF((4-$I70+1)=3,RAMP_W3,RAMP_W4PLUS)))))*(INDEX(ACTIVE_MULT_TABLE,3,1))*(1+SUMPRODUCT(SIGN(((ACT_DOOR_SCOPE="ALL")+(ACT_DOOR_SCOPE="TIER_"&amp;$F70)+(ACT_DOOR_SCOPE=$B70)))*SIGN(((ACT_SKU_SCOPE="ALL")+(ACT_SKU_SCOPE=$G70)))*(ACT_START&lt;=4)*(ACT_END&gt;=4)*IFERROR(ACT_UPLIFT-1,0)))*(1+SUMPRODUCT(SIGN(((ACT_DOOR_SCOPE="ALL")+(ACT_DOOR_SCOPE="TIER_"&amp;$F70)+(ACT_DOOR_SCOPE=$B70)))*SIGN(((ACT_SKU_SCOPE="ALL")+(ACT_SKU_SCOPE=$G70)))*(4&gt;ACT_END)*(ACT_END&gt;0)*IFERROR(ACT_POSTLIFT,0))),0)))</f>
        <v/>
      </c>
      <c r="N70" s="10">
        <f>IF(OR($H70&lt;&gt;"Y",5&lt;$I70),0,IF(SUMPRODUCT(((BULK_ENABLED="Y")*((BULK_TIER="ALL")+(BULK_TIER=$F70))*((BULK_SKU="ALL")+(BULK_SKU=$G70))*(BULK_START&lt;=5)*(BULK_END&gt;=5)))&gt;0,IFERROR(SUMPRODUCT(((BULK_ENABLED="Y")*((BULK_TIER="ALL")+(BULK_TIER=$F70))*((BULK_SKU="ALL")+(BULK_SKU=$G70))*(BULK_START&lt;=5)*(BULK_END&gt;=5))*IFERROR(BULK_VALUE,0))/MAX(1,SUMPRODUCT(((BULK_ENABLED="Y")*((BULK_TIER="ALL")+(BULK_TIER=$F70))*((BULK_SKU="ALL")+(BULK_SKU=$G70))*(BULK_START&lt;=5)*(BULK_END&gt;=5)))),0),ROUND((INDEX(VELOCITY_TABLE,MATCH($F70,TIER_LIST,0),3))*(IF((5-$I70+1)&lt;=0,0,IF((5-$I70+1)=1,RAMP_W1,IF((5-$I70+1)=2,RAMP_W2,IF((5-$I70+1)=3,RAMP_W3,RAMP_W4PLUS)))))*(INDEX(ACTIVE_MULT_TABLE,3,1))*(1+SUMPRODUCT(SIGN(((ACT_DOOR_SCOPE="ALL")+(ACT_DOOR_SCOPE="TIER_"&amp;$F70)+(ACT_DOOR_SCOPE=$B70)))*SIGN(((ACT_SKU_SCOPE="ALL")+(ACT_SKU_SCOPE=$G70)))*(ACT_START&lt;=5)*(ACT_END&gt;=5)*IFERROR(ACT_UPLIFT-1,0)))*(1+SUMPRODUCT(SIGN(((ACT_DOOR_SCOPE="ALL")+(ACT_DOOR_SCOPE="TIER_"&amp;$F70)+(ACT_DOOR_SCOPE=$B70)))*SIGN(((ACT_SKU_SCOPE="ALL")+(ACT_SKU_SCOPE=$G70)))*(5&gt;ACT_END)*(ACT_END&gt;0)*IFERROR(ACT_POSTLIFT,0))),0)))</f>
        <v/>
      </c>
      <c r="O70" s="10">
        <f>IF(OR($H70&lt;&gt;"Y",6&lt;$I70),0,IF(SUMPRODUCT(((BULK_ENABLED="Y")*((BULK_TIER="ALL")+(BULK_TIER=$F70))*((BULK_SKU="ALL")+(BULK_SKU=$G70))*(BULK_START&lt;=6)*(BULK_END&gt;=6)))&gt;0,IFERROR(SUMPRODUCT(((BULK_ENABLED="Y")*((BULK_TIER="ALL")+(BULK_TIER=$F70))*((BULK_SKU="ALL")+(BULK_SKU=$G70))*(BULK_START&lt;=6)*(BULK_END&gt;=6))*IFERROR(BULK_VALUE,0))/MAX(1,SUMPRODUCT(((BULK_ENABLED="Y")*((BULK_TIER="ALL")+(BULK_TIER=$F70))*((BULK_SKU="ALL")+(BULK_SKU=$G70))*(BULK_START&lt;=6)*(BULK_END&gt;=6)))),0),ROUND((INDEX(VELOCITY_TABLE,MATCH($F70,TIER_LIST,0),3))*(IF((6-$I70+1)&lt;=0,0,IF((6-$I70+1)=1,RAMP_W1,IF((6-$I70+1)=2,RAMP_W2,IF((6-$I70+1)=3,RAMP_W3,RAMP_W4PLUS)))))*(INDEX(ACTIVE_MULT_TABLE,3,1))*(1+SUMPRODUCT(SIGN(((ACT_DOOR_SCOPE="ALL")+(ACT_DOOR_SCOPE="TIER_"&amp;$F70)+(ACT_DOOR_SCOPE=$B70)))*SIGN(((ACT_SKU_SCOPE="ALL")+(ACT_SKU_SCOPE=$G70)))*(ACT_START&lt;=6)*(ACT_END&gt;=6)*IFERROR(ACT_UPLIFT-1,0)))*(1+SUMPRODUCT(SIGN(((ACT_DOOR_SCOPE="ALL")+(ACT_DOOR_SCOPE="TIER_"&amp;$F70)+(ACT_DOOR_SCOPE=$B70)))*SIGN(((ACT_SKU_SCOPE="ALL")+(ACT_SKU_SCOPE=$G70)))*(6&gt;ACT_END)*(ACT_END&gt;0)*IFERROR(ACT_POSTLIFT,0))),0)))</f>
        <v/>
      </c>
      <c r="P70" s="10">
        <f>IF(OR($H70&lt;&gt;"Y",7&lt;$I70),0,IF(SUMPRODUCT(((BULK_ENABLED="Y")*((BULK_TIER="ALL")+(BULK_TIER=$F70))*((BULK_SKU="ALL")+(BULK_SKU=$G70))*(BULK_START&lt;=7)*(BULK_END&gt;=7)))&gt;0,IFERROR(SUMPRODUCT(((BULK_ENABLED="Y")*((BULK_TIER="ALL")+(BULK_TIER=$F70))*((BULK_SKU="ALL")+(BULK_SKU=$G70))*(BULK_START&lt;=7)*(BULK_END&gt;=7))*IFERROR(BULK_VALUE,0))/MAX(1,SUMPRODUCT(((BULK_ENABLED="Y")*((BULK_TIER="ALL")+(BULK_TIER=$F70))*((BULK_SKU="ALL")+(BULK_SKU=$G70))*(BULK_START&lt;=7)*(BULK_END&gt;=7)))),0),ROUND((INDEX(VELOCITY_TABLE,MATCH($F70,TIER_LIST,0),3))*(IF((7-$I70+1)&lt;=0,0,IF((7-$I70+1)=1,RAMP_W1,IF((7-$I70+1)=2,RAMP_W2,IF((7-$I70+1)=3,RAMP_W3,RAMP_W4PLUS)))))*(INDEX(ACTIVE_MULT_TABLE,3,1))*(1+SUMPRODUCT(SIGN(((ACT_DOOR_SCOPE="ALL")+(ACT_DOOR_SCOPE="TIER_"&amp;$F70)+(ACT_DOOR_SCOPE=$B70)))*SIGN(((ACT_SKU_SCOPE="ALL")+(ACT_SKU_SCOPE=$G70)))*(ACT_START&lt;=7)*(ACT_END&gt;=7)*IFERROR(ACT_UPLIFT-1,0)))*(1+SUMPRODUCT(SIGN(((ACT_DOOR_SCOPE="ALL")+(ACT_DOOR_SCOPE="TIER_"&amp;$F70)+(ACT_DOOR_SCOPE=$B70)))*SIGN(((ACT_SKU_SCOPE="ALL")+(ACT_SKU_SCOPE=$G70)))*(7&gt;ACT_END)*(ACT_END&gt;0)*IFERROR(ACT_POSTLIFT,0))),0)))</f>
        <v/>
      </c>
      <c r="Q70" s="10">
        <f>IF(OR($H70&lt;&gt;"Y",8&lt;$I70),0,IF(SUMPRODUCT(((BULK_ENABLED="Y")*((BULK_TIER="ALL")+(BULK_TIER=$F70))*((BULK_SKU="ALL")+(BULK_SKU=$G70))*(BULK_START&lt;=8)*(BULK_END&gt;=8)))&gt;0,IFERROR(SUMPRODUCT(((BULK_ENABLED="Y")*((BULK_TIER="ALL")+(BULK_TIER=$F70))*((BULK_SKU="ALL")+(BULK_SKU=$G70))*(BULK_START&lt;=8)*(BULK_END&gt;=8))*IFERROR(BULK_VALUE,0))/MAX(1,SUMPRODUCT(((BULK_ENABLED="Y")*((BULK_TIER="ALL")+(BULK_TIER=$F70))*((BULK_SKU="ALL")+(BULK_SKU=$G70))*(BULK_START&lt;=8)*(BULK_END&gt;=8)))),0),ROUND((INDEX(VELOCITY_TABLE,MATCH($F70,TIER_LIST,0),3))*(IF((8-$I70+1)&lt;=0,0,IF((8-$I70+1)=1,RAMP_W1,IF((8-$I70+1)=2,RAMP_W2,IF((8-$I70+1)=3,RAMP_W3,RAMP_W4PLUS)))))*(INDEX(ACTIVE_MULT_TABLE,3,1))*(1+SUMPRODUCT(SIGN(((ACT_DOOR_SCOPE="ALL")+(ACT_DOOR_SCOPE="TIER_"&amp;$F70)+(ACT_DOOR_SCOPE=$B70)))*SIGN(((ACT_SKU_SCOPE="ALL")+(ACT_SKU_SCOPE=$G70)))*(ACT_START&lt;=8)*(ACT_END&gt;=8)*IFERROR(ACT_UPLIFT-1,0)))*(1+SUMPRODUCT(SIGN(((ACT_DOOR_SCOPE="ALL")+(ACT_DOOR_SCOPE="TIER_"&amp;$F70)+(ACT_DOOR_SCOPE=$B70)))*SIGN(((ACT_SKU_SCOPE="ALL")+(ACT_SKU_SCOPE=$G70)))*(8&gt;ACT_END)*(ACT_END&gt;0)*IFERROR(ACT_POSTLIFT,0))),0)))</f>
        <v/>
      </c>
      <c r="R70" s="10">
        <f>IF(OR($H70&lt;&gt;"Y",9&lt;$I70),0,IF(SUMPRODUCT(((BULK_ENABLED="Y")*((BULK_TIER="ALL")+(BULK_TIER=$F70))*((BULK_SKU="ALL")+(BULK_SKU=$G70))*(BULK_START&lt;=9)*(BULK_END&gt;=9)))&gt;0,IFERROR(SUMPRODUCT(((BULK_ENABLED="Y")*((BULK_TIER="ALL")+(BULK_TIER=$F70))*((BULK_SKU="ALL")+(BULK_SKU=$G70))*(BULK_START&lt;=9)*(BULK_END&gt;=9))*IFERROR(BULK_VALUE,0))/MAX(1,SUMPRODUCT(((BULK_ENABLED="Y")*((BULK_TIER="ALL")+(BULK_TIER=$F70))*((BULK_SKU="ALL")+(BULK_SKU=$G70))*(BULK_START&lt;=9)*(BULK_END&gt;=9)))),0),ROUND((INDEX(VELOCITY_TABLE,MATCH($F70,TIER_LIST,0),3))*(IF((9-$I70+1)&lt;=0,0,IF((9-$I70+1)=1,RAMP_W1,IF((9-$I70+1)=2,RAMP_W2,IF((9-$I70+1)=3,RAMP_W3,RAMP_W4PLUS)))))*(INDEX(ACTIVE_MULT_TABLE,3,1))*(1+SUMPRODUCT(SIGN(((ACT_DOOR_SCOPE="ALL")+(ACT_DOOR_SCOPE="TIER_"&amp;$F70)+(ACT_DOOR_SCOPE=$B70)))*SIGN(((ACT_SKU_SCOPE="ALL")+(ACT_SKU_SCOPE=$G70)))*(ACT_START&lt;=9)*(ACT_END&gt;=9)*IFERROR(ACT_UPLIFT-1,0)))*(1+SUMPRODUCT(SIGN(((ACT_DOOR_SCOPE="ALL")+(ACT_DOOR_SCOPE="TIER_"&amp;$F70)+(ACT_DOOR_SCOPE=$B70)))*SIGN(((ACT_SKU_SCOPE="ALL")+(ACT_SKU_SCOPE=$G70)))*(9&gt;ACT_END)*(ACT_END&gt;0)*IFERROR(ACT_POSTLIFT,0))),0)))</f>
        <v/>
      </c>
      <c r="S70" s="10">
        <f>IF(OR($H70&lt;&gt;"Y",10&lt;$I70),0,IF(SUMPRODUCT(((BULK_ENABLED="Y")*((BULK_TIER="ALL")+(BULK_TIER=$F70))*((BULK_SKU="ALL")+(BULK_SKU=$G70))*(BULK_START&lt;=10)*(BULK_END&gt;=10)))&gt;0,IFERROR(SUMPRODUCT(((BULK_ENABLED="Y")*((BULK_TIER="ALL")+(BULK_TIER=$F70))*((BULK_SKU="ALL")+(BULK_SKU=$G70))*(BULK_START&lt;=10)*(BULK_END&gt;=10))*IFERROR(BULK_VALUE,0))/MAX(1,SUMPRODUCT(((BULK_ENABLED="Y")*((BULK_TIER="ALL")+(BULK_TIER=$F70))*((BULK_SKU="ALL")+(BULK_SKU=$G70))*(BULK_START&lt;=10)*(BULK_END&gt;=10)))),0),ROUND((INDEX(VELOCITY_TABLE,MATCH($F70,TIER_LIST,0),3))*(IF((10-$I70+1)&lt;=0,0,IF((10-$I70+1)=1,RAMP_W1,IF((10-$I70+1)=2,RAMP_W2,IF((10-$I70+1)=3,RAMP_W3,RAMP_W4PLUS)))))*(INDEX(ACTIVE_MULT_TABLE,3,1))*(1+SUMPRODUCT(SIGN(((ACT_DOOR_SCOPE="ALL")+(ACT_DOOR_SCOPE="TIER_"&amp;$F70)+(ACT_DOOR_SCOPE=$B70)))*SIGN(((ACT_SKU_SCOPE="ALL")+(ACT_SKU_SCOPE=$G70)))*(ACT_START&lt;=10)*(ACT_END&gt;=10)*IFERROR(ACT_UPLIFT-1,0)))*(1+SUMPRODUCT(SIGN(((ACT_DOOR_SCOPE="ALL")+(ACT_DOOR_SCOPE="TIER_"&amp;$F70)+(ACT_DOOR_SCOPE=$B70)))*SIGN(((ACT_SKU_SCOPE="ALL")+(ACT_SKU_SCOPE=$G70)))*(10&gt;ACT_END)*(ACT_END&gt;0)*IFERROR(ACT_POSTLIFT,0))),0)))</f>
        <v/>
      </c>
      <c r="T70" s="10">
        <f>IF(OR($H70&lt;&gt;"Y",11&lt;$I70),0,IF(SUMPRODUCT(((BULK_ENABLED="Y")*((BULK_TIER="ALL")+(BULK_TIER=$F70))*((BULK_SKU="ALL")+(BULK_SKU=$G70))*(BULK_START&lt;=11)*(BULK_END&gt;=11)))&gt;0,IFERROR(SUMPRODUCT(((BULK_ENABLED="Y")*((BULK_TIER="ALL")+(BULK_TIER=$F70))*((BULK_SKU="ALL")+(BULK_SKU=$G70))*(BULK_START&lt;=11)*(BULK_END&gt;=11))*IFERROR(BULK_VALUE,0))/MAX(1,SUMPRODUCT(((BULK_ENABLED="Y")*((BULK_TIER="ALL")+(BULK_TIER=$F70))*((BULK_SKU="ALL")+(BULK_SKU=$G70))*(BULK_START&lt;=11)*(BULK_END&gt;=11)))),0),ROUND((INDEX(VELOCITY_TABLE,MATCH($F70,TIER_LIST,0),3))*(IF((11-$I70+1)&lt;=0,0,IF((11-$I70+1)=1,RAMP_W1,IF((11-$I70+1)=2,RAMP_W2,IF((11-$I70+1)=3,RAMP_W3,RAMP_W4PLUS)))))*(INDEX(ACTIVE_MULT_TABLE,3,1))*(1+SUMPRODUCT(SIGN(((ACT_DOOR_SCOPE="ALL")+(ACT_DOOR_SCOPE="TIER_"&amp;$F70)+(ACT_DOOR_SCOPE=$B70)))*SIGN(((ACT_SKU_SCOPE="ALL")+(ACT_SKU_SCOPE=$G70)))*(ACT_START&lt;=11)*(ACT_END&gt;=11)*IFERROR(ACT_UPLIFT-1,0)))*(1+SUMPRODUCT(SIGN(((ACT_DOOR_SCOPE="ALL")+(ACT_DOOR_SCOPE="TIER_"&amp;$F70)+(ACT_DOOR_SCOPE=$B70)))*SIGN(((ACT_SKU_SCOPE="ALL")+(ACT_SKU_SCOPE=$G70)))*(11&gt;ACT_END)*(ACT_END&gt;0)*IFERROR(ACT_POSTLIFT,0))),0)))</f>
        <v/>
      </c>
      <c r="U70" s="10">
        <f>IF(OR($H70&lt;&gt;"Y",12&lt;$I70),0,IF(SUMPRODUCT(((BULK_ENABLED="Y")*((BULK_TIER="ALL")+(BULK_TIER=$F70))*((BULK_SKU="ALL")+(BULK_SKU=$G70))*(BULK_START&lt;=12)*(BULK_END&gt;=12)))&gt;0,IFERROR(SUMPRODUCT(((BULK_ENABLED="Y")*((BULK_TIER="ALL")+(BULK_TIER=$F70))*((BULK_SKU="ALL")+(BULK_SKU=$G70))*(BULK_START&lt;=12)*(BULK_END&gt;=12))*IFERROR(BULK_VALUE,0))/MAX(1,SUMPRODUCT(((BULK_ENABLED="Y")*((BULK_TIER="ALL")+(BULK_TIER=$F70))*((BULK_SKU="ALL")+(BULK_SKU=$G70))*(BULK_START&lt;=12)*(BULK_END&gt;=12)))),0),ROUND((INDEX(VELOCITY_TABLE,MATCH($F70,TIER_LIST,0),3))*(IF((12-$I70+1)&lt;=0,0,IF((12-$I70+1)=1,RAMP_W1,IF((12-$I70+1)=2,RAMP_W2,IF((12-$I70+1)=3,RAMP_W3,RAMP_W4PLUS)))))*(INDEX(ACTIVE_MULT_TABLE,3,1))*(1+SUMPRODUCT(SIGN(((ACT_DOOR_SCOPE="ALL")+(ACT_DOOR_SCOPE="TIER_"&amp;$F70)+(ACT_DOOR_SCOPE=$B70)))*SIGN(((ACT_SKU_SCOPE="ALL")+(ACT_SKU_SCOPE=$G70)))*(ACT_START&lt;=12)*(ACT_END&gt;=12)*IFERROR(ACT_UPLIFT-1,0)))*(1+SUMPRODUCT(SIGN(((ACT_DOOR_SCOPE="ALL")+(ACT_DOOR_SCOPE="TIER_"&amp;$F70)+(ACT_DOOR_SCOPE=$B70)))*SIGN(((ACT_SKU_SCOPE="ALL")+(ACT_SKU_SCOPE=$G70)))*(12&gt;ACT_END)*(ACT_END&gt;0)*IFERROR(ACT_POSTLIFT,0))),0)))</f>
        <v/>
      </c>
      <c r="V70" s="10">
        <f>IF(OR($H70&lt;&gt;"Y",13&lt;$I70),0,IF(SUMPRODUCT(((BULK_ENABLED="Y")*((BULK_TIER="ALL")+(BULK_TIER=$F70))*((BULK_SKU="ALL")+(BULK_SKU=$G70))*(BULK_START&lt;=13)*(BULK_END&gt;=13)))&gt;0,IFERROR(SUMPRODUCT(((BULK_ENABLED="Y")*((BULK_TIER="ALL")+(BULK_TIER=$F70))*((BULK_SKU="ALL")+(BULK_SKU=$G70))*(BULK_START&lt;=13)*(BULK_END&gt;=13))*IFERROR(BULK_VALUE,0))/MAX(1,SUMPRODUCT(((BULK_ENABLED="Y")*((BULK_TIER="ALL")+(BULK_TIER=$F70))*((BULK_SKU="ALL")+(BULK_SKU=$G70))*(BULK_START&lt;=13)*(BULK_END&gt;=13)))),0),ROUND((INDEX(VELOCITY_TABLE,MATCH($F70,TIER_LIST,0),3))*(IF((13-$I70+1)&lt;=0,0,IF((13-$I70+1)=1,RAMP_W1,IF((13-$I70+1)=2,RAMP_W2,IF((13-$I70+1)=3,RAMP_W3,RAMP_W4PLUS)))))*(INDEX(ACTIVE_MULT_TABLE,3,1))*(1+SUMPRODUCT(SIGN(((ACT_DOOR_SCOPE="ALL")+(ACT_DOOR_SCOPE="TIER_"&amp;$F70)+(ACT_DOOR_SCOPE=$B70)))*SIGN(((ACT_SKU_SCOPE="ALL")+(ACT_SKU_SCOPE=$G70)))*(ACT_START&lt;=13)*(ACT_END&gt;=13)*IFERROR(ACT_UPLIFT-1,0)))*(1+SUMPRODUCT(SIGN(((ACT_DOOR_SCOPE="ALL")+(ACT_DOOR_SCOPE="TIER_"&amp;$F70)+(ACT_DOOR_SCOPE=$B70)))*SIGN(((ACT_SKU_SCOPE="ALL")+(ACT_SKU_SCOPE=$G70)))*(13&gt;ACT_END)*(ACT_END&gt;0)*IFERROR(ACT_POSTLIFT,0))),0)))</f>
        <v/>
      </c>
    </row>
    <row r="71">
      <c r="A71" t="inlineStr">
        <is>
          <t>R0067</t>
        </is>
      </c>
      <c r="B71">
        <f>Doors!$A$27</f>
        <v/>
      </c>
      <c r="C71">
        <f>Doors!$C$27</f>
        <v/>
      </c>
      <c r="D71">
        <f>Doors!$B$27</f>
        <v/>
      </c>
      <c r="E71">
        <f>Doors!$E$27</f>
        <v/>
      </c>
      <c r="F71">
        <f>Doors!$F$27</f>
        <v/>
      </c>
      <c r="G71" t="inlineStr">
        <is>
          <t>Lime Lemon</t>
        </is>
      </c>
      <c r="H71">
        <f>Doors!$G$27</f>
        <v/>
      </c>
      <c r="I71">
        <f>Doors!$J$27</f>
        <v/>
      </c>
      <c r="J71" s="10">
        <f>IF(OR($H71&lt;&gt;"Y",1&lt;$I71),0,IF(SUMPRODUCT(((BULK_ENABLED="Y")*((BULK_TIER="ALL")+(BULK_TIER=$F71))*((BULK_SKU="ALL")+(BULK_SKU=$G71))*(BULK_START&lt;=1)*(BULK_END&gt;=1)))&gt;0,IFERROR(SUMPRODUCT(((BULK_ENABLED="Y")*((BULK_TIER="ALL")+(BULK_TIER=$F71))*((BULK_SKU="ALL")+(BULK_SKU=$G71))*(BULK_START&lt;=1)*(BULK_END&gt;=1))*IFERROR(BULK_VALUE,0))/MAX(1,SUMPRODUCT(((BULK_ENABLED="Y")*((BULK_TIER="ALL")+(BULK_TIER=$F71))*((BULK_SKU="ALL")+(BULK_SKU=$G71))*(BULK_START&lt;=1)*(BULK_END&gt;=1)))),0),ROUND((INDEX(VELOCITY_TABLE,MATCH($F71,TIER_LIST,0),1))*(IF((1-$I71+1)&lt;=0,0,IF((1-$I71+1)=1,RAMP_W1,IF((1-$I71+1)=2,RAMP_W2,IF((1-$I71+1)=3,RAMP_W3,RAMP_W4PLUS)))))*(INDEX(ACTIVE_MULT_TABLE,1,1))*(1+SUMPRODUCT(SIGN(((ACT_DOOR_SCOPE="ALL")+(ACT_DOOR_SCOPE="TIER_"&amp;$F71)+(ACT_DOOR_SCOPE=$B71)))*SIGN(((ACT_SKU_SCOPE="ALL")+(ACT_SKU_SCOPE=$G71)))*(ACT_START&lt;=1)*(ACT_END&gt;=1)*IFERROR(ACT_UPLIFT-1,0)))*(1+SUMPRODUCT(SIGN(((ACT_DOOR_SCOPE="ALL")+(ACT_DOOR_SCOPE="TIER_"&amp;$F71)+(ACT_DOOR_SCOPE=$B71)))*SIGN(((ACT_SKU_SCOPE="ALL")+(ACT_SKU_SCOPE=$G71)))*(1&gt;ACT_END)*(ACT_END&gt;0)*IFERROR(ACT_POSTLIFT,0))),0)))</f>
        <v/>
      </c>
      <c r="K71" s="10">
        <f>IF(OR($H71&lt;&gt;"Y",2&lt;$I71),0,IF(SUMPRODUCT(((BULK_ENABLED="Y")*((BULK_TIER="ALL")+(BULK_TIER=$F71))*((BULK_SKU="ALL")+(BULK_SKU=$G71))*(BULK_START&lt;=2)*(BULK_END&gt;=2)))&gt;0,IFERROR(SUMPRODUCT(((BULK_ENABLED="Y")*((BULK_TIER="ALL")+(BULK_TIER=$F71))*((BULK_SKU="ALL")+(BULK_SKU=$G71))*(BULK_START&lt;=2)*(BULK_END&gt;=2))*IFERROR(BULK_VALUE,0))/MAX(1,SUMPRODUCT(((BULK_ENABLED="Y")*((BULK_TIER="ALL")+(BULK_TIER=$F71))*((BULK_SKU="ALL")+(BULK_SKU=$G71))*(BULK_START&lt;=2)*(BULK_END&gt;=2)))),0),ROUND((INDEX(VELOCITY_TABLE,MATCH($F71,TIER_LIST,0),1))*(IF((2-$I71+1)&lt;=0,0,IF((2-$I71+1)=1,RAMP_W1,IF((2-$I71+1)=2,RAMP_W2,IF((2-$I71+1)=3,RAMP_W3,RAMP_W4PLUS)))))*(INDEX(ACTIVE_MULT_TABLE,1,1))*(1+SUMPRODUCT(SIGN(((ACT_DOOR_SCOPE="ALL")+(ACT_DOOR_SCOPE="TIER_"&amp;$F71)+(ACT_DOOR_SCOPE=$B71)))*SIGN(((ACT_SKU_SCOPE="ALL")+(ACT_SKU_SCOPE=$G71)))*(ACT_START&lt;=2)*(ACT_END&gt;=2)*IFERROR(ACT_UPLIFT-1,0)))*(1+SUMPRODUCT(SIGN(((ACT_DOOR_SCOPE="ALL")+(ACT_DOOR_SCOPE="TIER_"&amp;$F71)+(ACT_DOOR_SCOPE=$B71)))*SIGN(((ACT_SKU_SCOPE="ALL")+(ACT_SKU_SCOPE=$G71)))*(2&gt;ACT_END)*(ACT_END&gt;0)*IFERROR(ACT_POSTLIFT,0))),0)))</f>
        <v/>
      </c>
      <c r="L71" s="10">
        <f>IF(OR($H71&lt;&gt;"Y",3&lt;$I71),0,IF(SUMPRODUCT(((BULK_ENABLED="Y")*((BULK_TIER="ALL")+(BULK_TIER=$F71))*((BULK_SKU="ALL")+(BULK_SKU=$G71))*(BULK_START&lt;=3)*(BULK_END&gt;=3)))&gt;0,IFERROR(SUMPRODUCT(((BULK_ENABLED="Y")*((BULK_TIER="ALL")+(BULK_TIER=$F71))*((BULK_SKU="ALL")+(BULK_SKU=$G71))*(BULK_START&lt;=3)*(BULK_END&gt;=3))*IFERROR(BULK_VALUE,0))/MAX(1,SUMPRODUCT(((BULK_ENABLED="Y")*((BULK_TIER="ALL")+(BULK_TIER=$F71))*((BULK_SKU="ALL")+(BULK_SKU=$G71))*(BULK_START&lt;=3)*(BULK_END&gt;=3)))),0),ROUND((INDEX(VELOCITY_TABLE,MATCH($F71,TIER_LIST,0),1))*(IF((3-$I71+1)&lt;=0,0,IF((3-$I71+1)=1,RAMP_W1,IF((3-$I71+1)=2,RAMP_W2,IF((3-$I71+1)=3,RAMP_W3,RAMP_W4PLUS)))))*(INDEX(ACTIVE_MULT_TABLE,1,1))*(1+SUMPRODUCT(SIGN(((ACT_DOOR_SCOPE="ALL")+(ACT_DOOR_SCOPE="TIER_"&amp;$F71)+(ACT_DOOR_SCOPE=$B71)))*SIGN(((ACT_SKU_SCOPE="ALL")+(ACT_SKU_SCOPE=$G71)))*(ACT_START&lt;=3)*(ACT_END&gt;=3)*IFERROR(ACT_UPLIFT-1,0)))*(1+SUMPRODUCT(SIGN(((ACT_DOOR_SCOPE="ALL")+(ACT_DOOR_SCOPE="TIER_"&amp;$F71)+(ACT_DOOR_SCOPE=$B71)))*SIGN(((ACT_SKU_SCOPE="ALL")+(ACT_SKU_SCOPE=$G71)))*(3&gt;ACT_END)*(ACT_END&gt;0)*IFERROR(ACT_POSTLIFT,0))),0)))</f>
        <v/>
      </c>
      <c r="M71" s="10">
        <f>IF(OR($H71&lt;&gt;"Y",4&lt;$I71),0,IF(SUMPRODUCT(((BULK_ENABLED="Y")*((BULK_TIER="ALL")+(BULK_TIER=$F71))*((BULK_SKU="ALL")+(BULK_SKU=$G71))*(BULK_START&lt;=4)*(BULK_END&gt;=4)))&gt;0,IFERROR(SUMPRODUCT(((BULK_ENABLED="Y")*((BULK_TIER="ALL")+(BULK_TIER=$F71))*((BULK_SKU="ALL")+(BULK_SKU=$G71))*(BULK_START&lt;=4)*(BULK_END&gt;=4))*IFERROR(BULK_VALUE,0))/MAX(1,SUMPRODUCT(((BULK_ENABLED="Y")*((BULK_TIER="ALL")+(BULK_TIER=$F71))*((BULK_SKU="ALL")+(BULK_SKU=$G71))*(BULK_START&lt;=4)*(BULK_END&gt;=4)))),0),ROUND((INDEX(VELOCITY_TABLE,MATCH($F71,TIER_LIST,0),1))*(IF((4-$I71+1)&lt;=0,0,IF((4-$I71+1)=1,RAMP_W1,IF((4-$I71+1)=2,RAMP_W2,IF((4-$I71+1)=3,RAMP_W3,RAMP_W4PLUS)))))*(INDEX(ACTIVE_MULT_TABLE,1,1))*(1+SUMPRODUCT(SIGN(((ACT_DOOR_SCOPE="ALL")+(ACT_DOOR_SCOPE="TIER_"&amp;$F71)+(ACT_DOOR_SCOPE=$B71)))*SIGN(((ACT_SKU_SCOPE="ALL")+(ACT_SKU_SCOPE=$G71)))*(ACT_START&lt;=4)*(ACT_END&gt;=4)*IFERROR(ACT_UPLIFT-1,0)))*(1+SUMPRODUCT(SIGN(((ACT_DOOR_SCOPE="ALL")+(ACT_DOOR_SCOPE="TIER_"&amp;$F71)+(ACT_DOOR_SCOPE=$B71)))*SIGN(((ACT_SKU_SCOPE="ALL")+(ACT_SKU_SCOPE=$G71)))*(4&gt;ACT_END)*(ACT_END&gt;0)*IFERROR(ACT_POSTLIFT,0))),0)))</f>
        <v/>
      </c>
      <c r="N71" s="10">
        <f>IF(OR($H71&lt;&gt;"Y",5&lt;$I71),0,IF(SUMPRODUCT(((BULK_ENABLED="Y")*((BULK_TIER="ALL")+(BULK_TIER=$F71))*((BULK_SKU="ALL")+(BULK_SKU=$G71))*(BULK_START&lt;=5)*(BULK_END&gt;=5)))&gt;0,IFERROR(SUMPRODUCT(((BULK_ENABLED="Y")*((BULK_TIER="ALL")+(BULK_TIER=$F71))*((BULK_SKU="ALL")+(BULK_SKU=$G71))*(BULK_START&lt;=5)*(BULK_END&gt;=5))*IFERROR(BULK_VALUE,0))/MAX(1,SUMPRODUCT(((BULK_ENABLED="Y")*((BULK_TIER="ALL")+(BULK_TIER=$F71))*((BULK_SKU="ALL")+(BULK_SKU=$G71))*(BULK_START&lt;=5)*(BULK_END&gt;=5)))),0),ROUND((INDEX(VELOCITY_TABLE,MATCH($F71,TIER_LIST,0),1))*(IF((5-$I71+1)&lt;=0,0,IF((5-$I71+1)=1,RAMP_W1,IF((5-$I71+1)=2,RAMP_W2,IF((5-$I71+1)=3,RAMP_W3,RAMP_W4PLUS)))))*(INDEX(ACTIVE_MULT_TABLE,1,1))*(1+SUMPRODUCT(SIGN(((ACT_DOOR_SCOPE="ALL")+(ACT_DOOR_SCOPE="TIER_"&amp;$F71)+(ACT_DOOR_SCOPE=$B71)))*SIGN(((ACT_SKU_SCOPE="ALL")+(ACT_SKU_SCOPE=$G71)))*(ACT_START&lt;=5)*(ACT_END&gt;=5)*IFERROR(ACT_UPLIFT-1,0)))*(1+SUMPRODUCT(SIGN(((ACT_DOOR_SCOPE="ALL")+(ACT_DOOR_SCOPE="TIER_"&amp;$F71)+(ACT_DOOR_SCOPE=$B71)))*SIGN(((ACT_SKU_SCOPE="ALL")+(ACT_SKU_SCOPE=$G71)))*(5&gt;ACT_END)*(ACT_END&gt;0)*IFERROR(ACT_POSTLIFT,0))),0)))</f>
        <v/>
      </c>
      <c r="O71" s="10">
        <f>IF(OR($H71&lt;&gt;"Y",6&lt;$I71),0,IF(SUMPRODUCT(((BULK_ENABLED="Y")*((BULK_TIER="ALL")+(BULK_TIER=$F71))*((BULK_SKU="ALL")+(BULK_SKU=$G71))*(BULK_START&lt;=6)*(BULK_END&gt;=6)))&gt;0,IFERROR(SUMPRODUCT(((BULK_ENABLED="Y")*((BULK_TIER="ALL")+(BULK_TIER=$F71))*((BULK_SKU="ALL")+(BULK_SKU=$G71))*(BULK_START&lt;=6)*(BULK_END&gt;=6))*IFERROR(BULK_VALUE,0))/MAX(1,SUMPRODUCT(((BULK_ENABLED="Y")*((BULK_TIER="ALL")+(BULK_TIER=$F71))*((BULK_SKU="ALL")+(BULK_SKU=$G71))*(BULK_START&lt;=6)*(BULK_END&gt;=6)))),0),ROUND((INDEX(VELOCITY_TABLE,MATCH($F71,TIER_LIST,0),1))*(IF((6-$I71+1)&lt;=0,0,IF((6-$I71+1)=1,RAMP_W1,IF((6-$I71+1)=2,RAMP_W2,IF((6-$I71+1)=3,RAMP_W3,RAMP_W4PLUS)))))*(INDEX(ACTIVE_MULT_TABLE,1,1))*(1+SUMPRODUCT(SIGN(((ACT_DOOR_SCOPE="ALL")+(ACT_DOOR_SCOPE="TIER_"&amp;$F71)+(ACT_DOOR_SCOPE=$B71)))*SIGN(((ACT_SKU_SCOPE="ALL")+(ACT_SKU_SCOPE=$G71)))*(ACT_START&lt;=6)*(ACT_END&gt;=6)*IFERROR(ACT_UPLIFT-1,0)))*(1+SUMPRODUCT(SIGN(((ACT_DOOR_SCOPE="ALL")+(ACT_DOOR_SCOPE="TIER_"&amp;$F71)+(ACT_DOOR_SCOPE=$B71)))*SIGN(((ACT_SKU_SCOPE="ALL")+(ACT_SKU_SCOPE=$G71)))*(6&gt;ACT_END)*(ACT_END&gt;0)*IFERROR(ACT_POSTLIFT,0))),0)))</f>
        <v/>
      </c>
      <c r="P71" s="10">
        <f>IF(OR($H71&lt;&gt;"Y",7&lt;$I71),0,IF(SUMPRODUCT(((BULK_ENABLED="Y")*((BULK_TIER="ALL")+(BULK_TIER=$F71))*((BULK_SKU="ALL")+(BULK_SKU=$G71))*(BULK_START&lt;=7)*(BULK_END&gt;=7)))&gt;0,IFERROR(SUMPRODUCT(((BULK_ENABLED="Y")*((BULK_TIER="ALL")+(BULK_TIER=$F71))*((BULK_SKU="ALL")+(BULK_SKU=$G71))*(BULK_START&lt;=7)*(BULK_END&gt;=7))*IFERROR(BULK_VALUE,0))/MAX(1,SUMPRODUCT(((BULK_ENABLED="Y")*((BULK_TIER="ALL")+(BULK_TIER=$F71))*((BULK_SKU="ALL")+(BULK_SKU=$G71))*(BULK_START&lt;=7)*(BULK_END&gt;=7)))),0),ROUND((INDEX(VELOCITY_TABLE,MATCH($F71,TIER_LIST,0),1))*(IF((7-$I71+1)&lt;=0,0,IF((7-$I71+1)=1,RAMP_W1,IF((7-$I71+1)=2,RAMP_W2,IF((7-$I71+1)=3,RAMP_W3,RAMP_W4PLUS)))))*(INDEX(ACTIVE_MULT_TABLE,1,1))*(1+SUMPRODUCT(SIGN(((ACT_DOOR_SCOPE="ALL")+(ACT_DOOR_SCOPE="TIER_"&amp;$F71)+(ACT_DOOR_SCOPE=$B71)))*SIGN(((ACT_SKU_SCOPE="ALL")+(ACT_SKU_SCOPE=$G71)))*(ACT_START&lt;=7)*(ACT_END&gt;=7)*IFERROR(ACT_UPLIFT-1,0)))*(1+SUMPRODUCT(SIGN(((ACT_DOOR_SCOPE="ALL")+(ACT_DOOR_SCOPE="TIER_"&amp;$F71)+(ACT_DOOR_SCOPE=$B71)))*SIGN(((ACT_SKU_SCOPE="ALL")+(ACT_SKU_SCOPE=$G71)))*(7&gt;ACT_END)*(ACT_END&gt;0)*IFERROR(ACT_POSTLIFT,0))),0)))</f>
        <v/>
      </c>
      <c r="Q71" s="10">
        <f>IF(OR($H71&lt;&gt;"Y",8&lt;$I71),0,IF(SUMPRODUCT(((BULK_ENABLED="Y")*((BULK_TIER="ALL")+(BULK_TIER=$F71))*((BULK_SKU="ALL")+(BULK_SKU=$G71))*(BULK_START&lt;=8)*(BULK_END&gt;=8)))&gt;0,IFERROR(SUMPRODUCT(((BULK_ENABLED="Y")*((BULK_TIER="ALL")+(BULK_TIER=$F71))*((BULK_SKU="ALL")+(BULK_SKU=$G71))*(BULK_START&lt;=8)*(BULK_END&gt;=8))*IFERROR(BULK_VALUE,0))/MAX(1,SUMPRODUCT(((BULK_ENABLED="Y")*((BULK_TIER="ALL")+(BULK_TIER=$F71))*((BULK_SKU="ALL")+(BULK_SKU=$G71))*(BULK_START&lt;=8)*(BULK_END&gt;=8)))),0),ROUND((INDEX(VELOCITY_TABLE,MATCH($F71,TIER_LIST,0),1))*(IF((8-$I71+1)&lt;=0,0,IF((8-$I71+1)=1,RAMP_W1,IF((8-$I71+1)=2,RAMP_W2,IF((8-$I71+1)=3,RAMP_W3,RAMP_W4PLUS)))))*(INDEX(ACTIVE_MULT_TABLE,1,1))*(1+SUMPRODUCT(SIGN(((ACT_DOOR_SCOPE="ALL")+(ACT_DOOR_SCOPE="TIER_"&amp;$F71)+(ACT_DOOR_SCOPE=$B71)))*SIGN(((ACT_SKU_SCOPE="ALL")+(ACT_SKU_SCOPE=$G71)))*(ACT_START&lt;=8)*(ACT_END&gt;=8)*IFERROR(ACT_UPLIFT-1,0)))*(1+SUMPRODUCT(SIGN(((ACT_DOOR_SCOPE="ALL")+(ACT_DOOR_SCOPE="TIER_"&amp;$F71)+(ACT_DOOR_SCOPE=$B71)))*SIGN(((ACT_SKU_SCOPE="ALL")+(ACT_SKU_SCOPE=$G71)))*(8&gt;ACT_END)*(ACT_END&gt;0)*IFERROR(ACT_POSTLIFT,0))),0)))</f>
        <v/>
      </c>
      <c r="R71" s="10">
        <f>IF(OR($H71&lt;&gt;"Y",9&lt;$I71),0,IF(SUMPRODUCT(((BULK_ENABLED="Y")*((BULK_TIER="ALL")+(BULK_TIER=$F71))*((BULK_SKU="ALL")+(BULK_SKU=$G71))*(BULK_START&lt;=9)*(BULK_END&gt;=9)))&gt;0,IFERROR(SUMPRODUCT(((BULK_ENABLED="Y")*((BULK_TIER="ALL")+(BULK_TIER=$F71))*((BULK_SKU="ALL")+(BULK_SKU=$G71))*(BULK_START&lt;=9)*(BULK_END&gt;=9))*IFERROR(BULK_VALUE,0))/MAX(1,SUMPRODUCT(((BULK_ENABLED="Y")*((BULK_TIER="ALL")+(BULK_TIER=$F71))*((BULK_SKU="ALL")+(BULK_SKU=$G71))*(BULK_START&lt;=9)*(BULK_END&gt;=9)))),0),ROUND((INDEX(VELOCITY_TABLE,MATCH($F71,TIER_LIST,0),1))*(IF((9-$I71+1)&lt;=0,0,IF((9-$I71+1)=1,RAMP_W1,IF((9-$I71+1)=2,RAMP_W2,IF((9-$I71+1)=3,RAMP_W3,RAMP_W4PLUS)))))*(INDEX(ACTIVE_MULT_TABLE,1,1))*(1+SUMPRODUCT(SIGN(((ACT_DOOR_SCOPE="ALL")+(ACT_DOOR_SCOPE="TIER_"&amp;$F71)+(ACT_DOOR_SCOPE=$B71)))*SIGN(((ACT_SKU_SCOPE="ALL")+(ACT_SKU_SCOPE=$G71)))*(ACT_START&lt;=9)*(ACT_END&gt;=9)*IFERROR(ACT_UPLIFT-1,0)))*(1+SUMPRODUCT(SIGN(((ACT_DOOR_SCOPE="ALL")+(ACT_DOOR_SCOPE="TIER_"&amp;$F71)+(ACT_DOOR_SCOPE=$B71)))*SIGN(((ACT_SKU_SCOPE="ALL")+(ACT_SKU_SCOPE=$G71)))*(9&gt;ACT_END)*(ACT_END&gt;0)*IFERROR(ACT_POSTLIFT,0))),0)))</f>
        <v/>
      </c>
      <c r="S71" s="10">
        <f>IF(OR($H71&lt;&gt;"Y",10&lt;$I71),0,IF(SUMPRODUCT(((BULK_ENABLED="Y")*((BULK_TIER="ALL")+(BULK_TIER=$F71))*((BULK_SKU="ALL")+(BULK_SKU=$G71))*(BULK_START&lt;=10)*(BULK_END&gt;=10)))&gt;0,IFERROR(SUMPRODUCT(((BULK_ENABLED="Y")*((BULK_TIER="ALL")+(BULK_TIER=$F71))*((BULK_SKU="ALL")+(BULK_SKU=$G71))*(BULK_START&lt;=10)*(BULK_END&gt;=10))*IFERROR(BULK_VALUE,0))/MAX(1,SUMPRODUCT(((BULK_ENABLED="Y")*((BULK_TIER="ALL")+(BULK_TIER=$F71))*((BULK_SKU="ALL")+(BULK_SKU=$G71))*(BULK_START&lt;=10)*(BULK_END&gt;=10)))),0),ROUND((INDEX(VELOCITY_TABLE,MATCH($F71,TIER_LIST,0),1))*(IF((10-$I71+1)&lt;=0,0,IF((10-$I71+1)=1,RAMP_W1,IF((10-$I71+1)=2,RAMP_W2,IF((10-$I71+1)=3,RAMP_W3,RAMP_W4PLUS)))))*(INDEX(ACTIVE_MULT_TABLE,1,1))*(1+SUMPRODUCT(SIGN(((ACT_DOOR_SCOPE="ALL")+(ACT_DOOR_SCOPE="TIER_"&amp;$F71)+(ACT_DOOR_SCOPE=$B71)))*SIGN(((ACT_SKU_SCOPE="ALL")+(ACT_SKU_SCOPE=$G71)))*(ACT_START&lt;=10)*(ACT_END&gt;=10)*IFERROR(ACT_UPLIFT-1,0)))*(1+SUMPRODUCT(SIGN(((ACT_DOOR_SCOPE="ALL")+(ACT_DOOR_SCOPE="TIER_"&amp;$F71)+(ACT_DOOR_SCOPE=$B71)))*SIGN(((ACT_SKU_SCOPE="ALL")+(ACT_SKU_SCOPE=$G71)))*(10&gt;ACT_END)*(ACT_END&gt;0)*IFERROR(ACT_POSTLIFT,0))),0)))</f>
        <v/>
      </c>
      <c r="T71" s="10">
        <f>IF(OR($H71&lt;&gt;"Y",11&lt;$I71),0,IF(SUMPRODUCT(((BULK_ENABLED="Y")*((BULK_TIER="ALL")+(BULK_TIER=$F71))*((BULK_SKU="ALL")+(BULK_SKU=$G71))*(BULK_START&lt;=11)*(BULK_END&gt;=11)))&gt;0,IFERROR(SUMPRODUCT(((BULK_ENABLED="Y")*((BULK_TIER="ALL")+(BULK_TIER=$F71))*((BULK_SKU="ALL")+(BULK_SKU=$G71))*(BULK_START&lt;=11)*(BULK_END&gt;=11))*IFERROR(BULK_VALUE,0))/MAX(1,SUMPRODUCT(((BULK_ENABLED="Y")*((BULK_TIER="ALL")+(BULK_TIER=$F71))*((BULK_SKU="ALL")+(BULK_SKU=$G71))*(BULK_START&lt;=11)*(BULK_END&gt;=11)))),0),ROUND((INDEX(VELOCITY_TABLE,MATCH($F71,TIER_LIST,0),1))*(IF((11-$I71+1)&lt;=0,0,IF((11-$I71+1)=1,RAMP_W1,IF((11-$I71+1)=2,RAMP_W2,IF((11-$I71+1)=3,RAMP_W3,RAMP_W4PLUS)))))*(INDEX(ACTIVE_MULT_TABLE,1,1))*(1+SUMPRODUCT(SIGN(((ACT_DOOR_SCOPE="ALL")+(ACT_DOOR_SCOPE="TIER_"&amp;$F71)+(ACT_DOOR_SCOPE=$B71)))*SIGN(((ACT_SKU_SCOPE="ALL")+(ACT_SKU_SCOPE=$G71)))*(ACT_START&lt;=11)*(ACT_END&gt;=11)*IFERROR(ACT_UPLIFT-1,0)))*(1+SUMPRODUCT(SIGN(((ACT_DOOR_SCOPE="ALL")+(ACT_DOOR_SCOPE="TIER_"&amp;$F71)+(ACT_DOOR_SCOPE=$B71)))*SIGN(((ACT_SKU_SCOPE="ALL")+(ACT_SKU_SCOPE=$G71)))*(11&gt;ACT_END)*(ACT_END&gt;0)*IFERROR(ACT_POSTLIFT,0))),0)))</f>
        <v/>
      </c>
      <c r="U71" s="10">
        <f>IF(OR($H71&lt;&gt;"Y",12&lt;$I71),0,IF(SUMPRODUCT(((BULK_ENABLED="Y")*((BULK_TIER="ALL")+(BULK_TIER=$F71))*((BULK_SKU="ALL")+(BULK_SKU=$G71))*(BULK_START&lt;=12)*(BULK_END&gt;=12)))&gt;0,IFERROR(SUMPRODUCT(((BULK_ENABLED="Y")*((BULK_TIER="ALL")+(BULK_TIER=$F71))*((BULK_SKU="ALL")+(BULK_SKU=$G71))*(BULK_START&lt;=12)*(BULK_END&gt;=12))*IFERROR(BULK_VALUE,0))/MAX(1,SUMPRODUCT(((BULK_ENABLED="Y")*((BULK_TIER="ALL")+(BULK_TIER=$F71))*((BULK_SKU="ALL")+(BULK_SKU=$G71))*(BULK_START&lt;=12)*(BULK_END&gt;=12)))),0),ROUND((INDEX(VELOCITY_TABLE,MATCH($F71,TIER_LIST,0),1))*(IF((12-$I71+1)&lt;=0,0,IF((12-$I71+1)=1,RAMP_W1,IF((12-$I71+1)=2,RAMP_W2,IF((12-$I71+1)=3,RAMP_W3,RAMP_W4PLUS)))))*(INDEX(ACTIVE_MULT_TABLE,1,1))*(1+SUMPRODUCT(SIGN(((ACT_DOOR_SCOPE="ALL")+(ACT_DOOR_SCOPE="TIER_"&amp;$F71)+(ACT_DOOR_SCOPE=$B71)))*SIGN(((ACT_SKU_SCOPE="ALL")+(ACT_SKU_SCOPE=$G71)))*(ACT_START&lt;=12)*(ACT_END&gt;=12)*IFERROR(ACT_UPLIFT-1,0)))*(1+SUMPRODUCT(SIGN(((ACT_DOOR_SCOPE="ALL")+(ACT_DOOR_SCOPE="TIER_"&amp;$F71)+(ACT_DOOR_SCOPE=$B71)))*SIGN(((ACT_SKU_SCOPE="ALL")+(ACT_SKU_SCOPE=$G71)))*(12&gt;ACT_END)*(ACT_END&gt;0)*IFERROR(ACT_POSTLIFT,0))),0)))</f>
        <v/>
      </c>
      <c r="V71" s="10">
        <f>IF(OR($H71&lt;&gt;"Y",13&lt;$I71),0,IF(SUMPRODUCT(((BULK_ENABLED="Y")*((BULK_TIER="ALL")+(BULK_TIER=$F71))*((BULK_SKU="ALL")+(BULK_SKU=$G71))*(BULK_START&lt;=13)*(BULK_END&gt;=13)))&gt;0,IFERROR(SUMPRODUCT(((BULK_ENABLED="Y")*((BULK_TIER="ALL")+(BULK_TIER=$F71))*((BULK_SKU="ALL")+(BULK_SKU=$G71))*(BULK_START&lt;=13)*(BULK_END&gt;=13))*IFERROR(BULK_VALUE,0))/MAX(1,SUMPRODUCT(((BULK_ENABLED="Y")*((BULK_TIER="ALL")+(BULK_TIER=$F71))*((BULK_SKU="ALL")+(BULK_SKU=$G71))*(BULK_START&lt;=13)*(BULK_END&gt;=13)))),0),ROUND((INDEX(VELOCITY_TABLE,MATCH($F71,TIER_LIST,0),1))*(IF((13-$I71+1)&lt;=0,0,IF((13-$I71+1)=1,RAMP_W1,IF((13-$I71+1)=2,RAMP_W2,IF((13-$I71+1)=3,RAMP_W3,RAMP_W4PLUS)))))*(INDEX(ACTIVE_MULT_TABLE,1,1))*(1+SUMPRODUCT(SIGN(((ACT_DOOR_SCOPE="ALL")+(ACT_DOOR_SCOPE="TIER_"&amp;$F71)+(ACT_DOOR_SCOPE=$B71)))*SIGN(((ACT_SKU_SCOPE="ALL")+(ACT_SKU_SCOPE=$G71)))*(ACT_START&lt;=13)*(ACT_END&gt;=13)*IFERROR(ACT_UPLIFT-1,0)))*(1+SUMPRODUCT(SIGN(((ACT_DOOR_SCOPE="ALL")+(ACT_DOOR_SCOPE="TIER_"&amp;$F71)+(ACT_DOOR_SCOPE=$B71)))*SIGN(((ACT_SKU_SCOPE="ALL")+(ACT_SKU_SCOPE=$G71)))*(13&gt;ACT_END)*(ACT_END&gt;0)*IFERROR(ACT_POSTLIFT,0))),0)))</f>
        <v/>
      </c>
    </row>
    <row r="72">
      <c r="A72" t="inlineStr">
        <is>
          <t>R0068</t>
        </is>
      </c>
      <c r="B72">
        <f>Doors!$A$27</f>
        <v/>
      </c>
      <c r="C72">
        <f>Doors!$C$27</f>
        <v/>
      </c>
      <c r="D72">
        <f>Doors!$B$27</f>
        <v/>
      </c>
      <c r="E72">
        <f>Doors!$E$27</f>
        <v/>
      </c>
      <c r="F72">
        <f>Doors!$F$27</f>
        <v/>
      </c>
      <c r="G72" t="inlineStr">
        <is>
          <t>Pineapple Passion Fruit</t>
        </is>
      </c>
      <c r="H72">
        <f>Doors!$H$27</f>
        <v/>
      </c>
      <c r="I72">
        <f>Doors!$J$27</f>
        <v/>
      </c>
      <c r="J72" s="10">
        <f>IF(OR($H72&lt;&gt;"Y",1&lt;$I72),0,IF(SUMPRODUCT(((BULK_ENABLED="Y")*((BULK_TIER="ALL")+(BULK_TIER=$F72))*((BULK_SKU="ALL")+(BULK_SKU=$G72))*(BULK_START&lt;=1)*(BULK_END&gt;=1)))&gt;0,IFERROR(SUMPRODUCT(((BULK_ENABLED="Y")*((BULK_TIER="ALL")+(BULK_TIER=$F72))*((BULK_SKU="ALL")+(BULK_SKU=$G72))*(BULK_START&lt;=1)*(BULK_END&gt;=1))*IFERROR(BULK_VALUE,0))/MAX(1,SUMPRODUCT(((BULK_ENABLED="Y")*((BULK_TIER="ALL")+(BULK_TIER=$F72))*((BULK_SKU="ALL")+(BULK_SKU=$G72))*(BULK_START&lt;=1)*(BULK_END&gt;=1)))),0),ROUND((INDEX(VELOCITY_TABLE,MATCH($F72,TIER_LIST,0),2))*(IF((1-$I72+1)&lt;=0,0,IF((1-$I72+1)=1,RAMP_W1,IF((1-$I72+1)=2,RAMP_W2,IF((1-$I72+1)=3,RAMP_W3,RAMP_W4PLUS)))))*(INDEX(ACTIVE_MULT_TABLE,2,1))*(1+SUMPRODUCT(SIGN(((ACT_DOOR_SCOPE="ALL")+(ACT_DOOR_SCOPE="TIER_"&amp;$F72)+(ACT_DOOR_SCOPE=$B72)))*SIGN(((ACT_SKU_SCOPE="ALL")+(ACT_SKU_SCOPE=$G72)))*(ACT_START&lt;=1)*(ACT_END&gt;=1)*IFERROR(ACT_UPLIFT-1,0)))*(1+SUMPRODUCT(SIGN(((ACT_DOOR_SCOPE="ALL")+(ACT_DOOR_SCOPE="TIER_"&amp;$F72)+(ACT_DOOR_SCOPE=$B72)))*SIGN(((ACT_SKU_SCOPE="ALL")+(ACT_SKU_SCOPE=$G72)))*(1&gt;ACT_END)*(ACT_END&gt;0)*IFERROR(ACT_POSTLIFT,0))),0)))</f>
        <v/>
      </c>
      <c r="K72" s="10">
        <f>IF(OR($H72&lt;&gt;"Y",2&lt;$I72),0,IF(SUMPRODUCT(((BULK_ENABLED="Y")*((BULK_TIER="ALL")+(BULK_TIER=$F72))*((BULK_SKU="ALL")+(BULK_SKU=$G72))*(BULK_START&lt;=2)*(BULK_END&gt;=2)))&gt;0,IFERROR(SUMPRODUCT(((BULK_ENABLED="Y")*((BULK_TIER="ALL")+(BULK_TIER=$F72))*((BULK_SKU="ALL")+(BULK_SKU=$G72))*(BULK_START&lt;=2)*(BULK_END&gt;=2))*IFERROR(BULK_VALUE,0))/MAX(1,SUMPRODUCT(((BULK_ENABLED="Y")*((BULK_TIER="ALL")+(BULK_TIER=$F72))*((BULK_SKU="ALL")+(BULK_SKU=$G72))*(BULK_START&lt;=2)*(BULK_END&gt;=2)))),0),ROUND((INDEX(VELOCITY_TABLE,MATCH($F72,TIER_LIST,0),2))*(IF((2-$I72+1)&lt;=0,0,IF((2-$I72+1)=1,RAMP_W1,IF((2-$I72+1)=2,RAMP_W2,IF((2-$I72+1)=3,RAMP_W3,RAMP_W4PLUS)))))*(INDEX(ACTIVE_MULT_TABLE,2,1))*(1+SUMPRODUCT(SIGN(((ACT_DOOR_SCOPE="ALL")+(ACT_DOOR_SCOPE="TIER_"&amp;$F72)+(ACT_DOOR_SCOPE=$B72)))*SIGN(((ACT_SKU_SCOPE="ALL")+(ACT_SKU_SCOPE=$G72)))*(ACT_START&lt;=2)*(ACT_END&gt;=2)*IFERROR(ACT_UPLIFT-1,0)))*(1+SUMPRODUCT(SIGN(((ACT_DOOR_SCOPE="ALL")+(ACT_DOOR_SCOPE="TIER_"&amp;$F72)+(ACT_DOOR_SCOPE=$B72)))*SIGN(((ACT_SKU_SCOPE="ALL")+(ACT_SKU_SCOPE=$G72)))*(2&gt;ACT_END)*(ACT_END&gt;0)*IFERROR(ACT_POSTLIFT,0))),0)))</f>
        <v/>
      </c>
      <c r="L72" s="10">
        <f>IF(OR($H72&lt;&gt;"Y",3&lt;$I72),0,IF(SUMPRODUCT(((BULK_ENABLED="Y")*((BULK_TIER="ALL")+(BULK_TIER=$F72))*((BULK_SKU="ALL")+(BULK_SKU=$G72))*(BULK_START&lt;=3)*(BULK_END&gt;=3)))&gt;0,IFERROR(SUMPRODUCT(((BULK_ENABLED="Y")*((BULK_TIER="ALL")+(BULK_TIER=$F72))*((BULK_SKU="ALL")+(BULK_SKU=$G72))*(BULK_START&lt;=3)*(BULK_END&gt;=3))*IFERROR(BULK_VALUE,0))/MAX(1,SUMPRODUCT(((BULK_ENABLED="Y")*((BULK_TIER="ALL")+(BULK_TIER=$F72))*((BULK_SKU="ALL")+(BULK_SKU=$G72))*(BULK_START&lt;=3)*(BULK_END&gt;=3)))),0),ROUND((INDEX(VELOCITY_TABLE,MATCH($F72,TIER_LIST,0),2))*(IF((3-$I72+1)&lt;=0,0,IF((3-$I72+1)=1,RAMP_W1,IF((3-$I72+1)=2,RAMP_W2,IF((3-$I72+1)=3,RAMP_W3,RAMP_W4PLUS)))))*(INDEX(ACTIVE_MULT_TABLE,2,1))*(1+SUMPRODUCT(SIGN(((ACT_DOOR_SCOPE="ALL")+(ACT_DOOR_SCOPE="TIER_"&amp;$F72)+(ACT_DOOR_SCOPE=$B72)))*SIGN(((ACT_SKU_SCOPE="ALL")+(ACT_SKU_SCOPE=$G72)))*(ACT_START&lt;=3)*(ACT_END&gt;=3)*IFERROR(ACT_UPLIFT-1,0)))*(1+SUMPRODUCT(SIGN(((ACT_DOOR_SCOPE="ALL")+(ACT_DOOR_SCOPE="TIER_"&amp;$F72)+(ACT_DOOR_SCOPE=$B72)))*SIGN(((ACT_SKU_SCOPE="ALL")+(ACT_SKU_SCOPE=$G72)))*(3&gt;ACT_END)*(ACT_END&gt;0)*IFERROR(ACT_POSTLIFT,0))),0)))</f>
        <v/>
      </c>
      <c r="M72" s="10">
        <f>IF(OR($H72&lt;&gt;"Y",4&lt;$I72),0,IF(SUMPRODUCT(((BULK_ENABLED="Y")*((BULK_TIER="ALL")+(BULK_TIER=$F72))*((BULK_SKU="ALL")+(BULK_SKU=$G72))*(BULK_START&lt;=4)*(BULK_END&gt;=4)))&gt;0,IFERROR(SUMPRODUCT(((BULK_ENABLED="Y")*((BULK_TIER="ALL")+(BULK_TIER=$F72))*((BULK_SKU="ALL")+(BULK_SKU=$G72))*(BULK_START&lt;=4)*(BULK_END&gt;=4))*IFERROR(BULK_VALUE,0))/MAX(1,SUMPRODUCT(((BULK_ENABLED="Y")*((BULK_TIER="ALL")+(BULK_TIER=$F72))*((BULK_SKU="ALL")+(BULK_SKU=$G72))*(BULK_START&lt;=4)*(BULK_END&gt;=4)))),0),ROUND((INDEX(VELOCITY_TABLE,MATCH($F72,TIER_LIST,0),2))*(IF((4-$I72+1)&lt;=0,0,IF((4-$I72+1)=1,RAMP_W1,IF((4-$I72+1)=2,RAMP_W2,IF((4-$I72+1)=3,RAMP_W3,RAMP_W4PLUS)))))*(INDEX(ACTIVE_MULT_TABLE,2,1))*(1+SUMPRODUCT(SIGN(((ACT_DOOR_SCOPE="ALL")+(ACT_DOOR_SCOPE="TIER_"&amp;$F72)+(ACT_DOOR_SCOPE=$B72)))*SIGN(((ACT_SKU_SCOPE="ALL")+(ACT_SKU_SCOPE=$G72)))*(ACT_START&lt;=4)*(ACT_END&gt;=4)*IFERROR(ACT_UPLIFT-1,0)))*(1+SUMPRODUCT(SIGN(((ACT_DOOR_SCOPE="ALL")+(ACT_DOOR_SCOPE="TIER_"&amp;$F72)+(ACT_DOOR_SCOPE=$B72)))*SIGN(((ACT_SKU_SCOPE="ALL")+(ACT_SKU_SCOPE=$G72)))*(4&gt;ACT_END)*(ACT_END&gt;0)*IFERROR(ACT_POSTLIFT,0))),0)))</f>
        <v/>
      </c>
      <c r="N72" s="10">
        <f>IF(OR($H72&lt;&gt;"Y",5&lt;$I72),0,IF(SUMPRODUCT(((BULK_ENABLED="Y")*((BULK_TIER="ALL")+(BULK_TIER=$F72))*((BULK_SKU="ALL")+(BULK_SKU=$G72))*(BULK_START&lt;=5)*(BULK_END&gt;=5)))&gt;0,IFERROR(SUMPRODUCT(((BULK_ENABLED="Y")*((BULK_TIER="ALL")+(BULK_TIER=$F72))*((BULK_SKU="ALL")+(BULK_SKU=$G72))*(BULK_START&lt;=5)*(BULK_END&gt;=5))*IFERROR(BULK_VALUE,0))/MAX(1,SUMPRODUCT(((BULK_ENABLED="Y")*((BULK_TIER="ALL")+(BULK_TIER=$F72))*((BULK_SKU="ALL")+(BULK_SKU=$G72))*(BULK_START&lt;=5)*(BULK_END&gt;=5)))),0),ROUND((INDEX(VELOCITY_TABLE,MATCH($F72,TIER_LIST,0),2))*(IF((5-$I72+1)&lt;=0,0,IF((5-$I72+1)=1,RAMP_W1,IF((5-$I72+1)=2,RAMP_W2,IF((5-$I72+1)=3,RAMP_W3,RAMP_W4PLUS)))))*(INDEX(ACTIVE_MULT_TABLE,2,1))*(1+SUMPRODUCT(SIGN(((ACT_DOOR_SCOPE="ALL")+(ACT_DOOR_SCOPE="TIER_"&amp;$F72)+(ACT_DOOR_SCOPE=$B72)))*SIGN(((ACT_SKU_SCOPE="ALL")+(ACT_SKU_SCOPE=$G72)))*(ACT_START&lt;=5)*(ACT_END&gt;=5)*IFERROR(ACT_UPLIFT-1,0)))*(1+SUMPRODUCT(SIGN(((ACT_DOOR_SCOPE="ALL")+(ACT_DOOR_SCOPE="TIER_"&amp;$F72)+(ACT_DOOR_SCOPE=$B72)))*SIGN(((ACT_SKU_SCOPE="ALL")+(ACT_SKU_SCOPE=$G72)))*(5&gt;ACT_END)*(ACT_END&gt;0)*IFERROR(ACT_POSTLIFT,0))),0)))</f>
        <v/>
      </c>
      <c r="O72" s="10">
        <f>IF(OR($H72&lt;&gt;"Y",6&lt;$I72),0,IF(SUMPRODUCT(((BULK_ENABLED="Y")*((BULK_TIER="ALL")+(BULK_TIER=$F72))*((BULK_SKU="ALL")+(BULK_SKU=$G72))*(BULK_START&lt;=6)*(BULK_END&gt;=6)))&gt;0,IFERROR(SUMPRODUCT(((BULK_ENABLED="Y")*((BULK_TIER="ALL")+(BULK_TIER=$F72))*((BULK_SKU="ALL")+(BULK_SKU=$G72))*(BULK_START&lt;=6)*(BULK_END&gt;=6))*IFERROR(BULK_VALUE,0))/MAX(1,SUMPRODUCT(((BULK_ENABLED="Y")*((BULK_TIER="ALL")+(BULK_TIER=$F72))*((BULK_SKU="ALL")+(BULK_SKU=$G72))*(BULK_START&lt;=6)*(BULK_END&gt;=6)))),0),ROUND((INDEX(VELOCITY_TABLE,MATCH($F72,TIER_LIST,0),2))*(IF((6-$I72+1)&lt;=0,0,IF((6-$I72+1)=1,RAMP_W1,IF((6-$I72+1)=2,RAMP_W2,IF((6-$I72+1)=3,RAMP_W3,RAMP_W4PLUS)))))*(INDEX(ACTIVE_MULT_TABLE,2,1))*(1+SUMPRODUCT(SIGN(((ACT_DOOR_SCOPE="ALL")+(ACT_DOOR_SCOPE="TIER_"&amp;$F72)+(ACT_DOOR_SCOPE=$B72)))*SIGN(((ACT_SKU_SCOPE="ALL")+(ACT_SKU_SCOPE=$G72)))*(ACT_START&lt;=6)*(ACT_END&gt;=6)*IFERROR(ACT_UPLIFT-1,0)))*(1+SUMPRODUCT(SIGN(((ACT_DOOR_SCOPE="ALL")+(ACT_DOOR_SCOPE="TIER_"&amp;$F72)+(ACT_DOOR_SCOPE=$B72)))*SIGN(((ACT_SKU_SCOPE="ALL")+(ACT_SKU_SCOPE=$G72)))*(6&gt;ACT_END)*(ACT_END&gt;0)*IFERROR(ACT_POSTLIFT,0))),0)))</f>
        <v/>
      </c>
      <c r="P72" s="10">
        <f>IF(OR($H72&lt;&gt;"Y",7&lt;$I72),0,IF(SUMPRODUCT(((BULK_ENABLED="Y")*((BULK_TIER="ALL")+(BULK_TIER=$F72))*((BULK_SKU="ALL")+(BULK_SKU=$G72))*(BULK_START&lt;=7)*(BULK_END&gt;=7)))&gt;0,IFERROR(SUMPRODUCT(((BULK_ENABLED="Y")*((BULK_TIER="ALL")+(BULK_TIER=$F72))*((BULK_SKU="ALL")+(BULK_SKU=$G72))*(BULK_START&lt;=7)*(BULK_END&gt;=7))*IFERROR(BULK_VALUE,0))/MAX(1,SUMPRODUCT(((BULK_ENABLED="Y")*((BULK_TIER="ALL")+(BULK_TIER=$F72))*((BULK_SKU="ALL")+(BULK_SKU=$G72))*(BULK_START&lt;=7)*(BULK_END&gt;=7)))),0),ROUND((INDEX(VELOCITY_TABLE,MATCH($F72,TIER_LIST,0),2))*(IF((7-$I72+1)&lt;=0,0,IF((7-$I72+1)=1,RAMP_W1,IF((7-$I72+1)=2,RAMP_W2,IF((7-$I72+1)=3,RAMP_W3,RAMP_W4PLUS)))))*(INDEX(ACTIVE_MULT_TABLE,2,1))*(1+SUMPRODUCT(SIGN(((ACT_DOOR_SCOPE="ALL")+(ACT_DOOR_SCOPE="TIER_"&amp;$F72)+(ACT_DOOR_SCOPE=$B72)))*SIGN(((ACT_SKU_SCOPE="ALL")+(ACT_SKU_SCOPE=$G72)))*(ACT_START&lt;=7)*(ACT_END&gt;=7)*IFERROR(ACT_UPLIFT-1,0)))*(1+SUMPRODUCT(SIGN(((ACT_DOOR_SCOPE="ALL")+(ACT_DOOR_SCOPE="TIER_"&amp;$F72)+(ACT_DOOR_SCOPE=$B72)))*SIGN(((ACT_SKU_SCOPE="ALL")+(ACT_SKU_SCOPE=$G72)))*(7&gt;ACT_END)*(ACT_END&gt;0)*IFERROR(ACT_POSTLIFT,0))),0)))</f>
        <v/>
      </c>
      <c r="Q72" s="10">
        <f>IF(OR($H72&lt;&gt;"Y",8&lt;$I72),0,IF(SUMPRODUCT(((BULK_ENABLED="Y")*((BULK_TIER="ALL")+(BULK_TIER=$F72))*((BULK_SKU="ALL")+(BULK_SKU=$G72))*(BULK_START&lt;=8)*(BULK_END&gt;=8)))&gt;0,IFERROR(SUMPRODUCT(((BULK_ENABLED="Y")*((BULK_TIER="ALL")+(BULK_TIER=$F72))*((BULK_SKU="ALL")+(BULK_SKU=$G72))*(BULK_START&lt;=8)*(BULK_END&gt;=8))*IFERROR(BULK_VALUE,0))/MAX(1,SUMPRODUCT(((BULK_ENABLED="Y")*((BULK_TIER="ALL")+(BULK_TIER=$F72))*((BULK_SKU="ALL")+(BULK_SKU=$G72))*(BULK_START&lt;=8)*(BULK_END&gt;=8)))),0),ROUND((INDEX(VELOCITY_TABLE,MATCH($F72,TIER_LIST,0),2))*(IF((8-$I72+1)&lt;=0,0,IF((8-$I72+1)=1,RAMP_W1,IF((8-$I72+1)=2,RAMP_W2,IF((8-$I72+1)=3,RAMP_W3,RAMP_W4PLUS)))))*(INDEX(ACTIVE_MULT_TABLE,2,1))*(1+SUMPRODUCT(SIGN(((ACT_DOOR_SCOPE="ALL")+(ACT_DOOR_SCOPE="TIER_"&amp;$F72)+(ACT_DOOR_SCOPE=$B72)))*SIGN(((ACT_SKU_SCOPE="ALL")+(ACT_SKU_SCOPE=$G72)))*(ACT_START&lt;=8)*(ACT_END&gt;=8)*IFERROR(ACT_UPLIFT-1,0)))*(1+SUMPRODUCT(SIGN(((ACT_DOOR_SCOPE="ALL")+(ACT_DOOR_SCOPE="TIER_"&amp;$F72)+(ACT_DOOR_SCOPE=$B72)))*SIGN(((ACT_SKU_SCOPE="ALL")+(ACT_SKU_SCOPE=$G72)))*(8&gt;ACT_END)*(ACT_END&gt;0)*IFERROR(ACT_POSTLIFT,0))),0)))</f>
        <v/>
      </c>
      <c r="R72" s="10">
        <f>IF(OR($H72&lt;&gt;"Y",9&lt;$I72),0,IF(SUMPRODUCT(((BULK_ENABLED="Y")*((BULK_TIER="ALL")+(BULK_TIER=$F72))*((BULK_SKU="ALL")+(BULK_SKU=$G72))*(BULK_START&lt;=9)*(BULK_END&gt;=9)))&gt;0,IFERROR(SUMPRODUCT(((BULK_ENABLED="Y")*((BULK_TIER="ALL")+(BULK_TIER=$F72))*((BULK_SKU="ALL")+(BULK_SKU=$G72))*(BULK_START&lt;=9)*(BULK_END&gt;=9))*IFERROR(BULK_VALUE,0))/MAX(1,SUMPRODUCT(((BULK_ENABLED="Y")*((BULK_TIER="ALL")+(BULK_TIER=$F72))*((BULK_SKU="ALL")+(BULK_SKU=$G72))*(BULK_START&lt;=9)*(BULK_END&gt;=9)))),0),ROUND((INDEX(VELOCITY_TABLE,MATCH($F72,TIER_LIST,0),2))*(IF((9-$I72+1)&lt;=0,0,IF((9-$I72+1)=1,RAMP_W1,IF((9-$I72+1)=2,RAMP_W2,IF((9-$I72+1)=3,RAMP_W3,RAMP_W4PLUS)))))*(INDEX(ACTIVE_MULT_TABLE,2,1))*(1+SUMPRODUCT(SIGN(((ACT_DOOR_SCOPE="ALL")+(ACT_DOOR_SCOPE="TIER_"&amp;$F72)+(ACT_DOOR_SCOPE=$B72)))*SIGN(((ACT_SKU_SCOPE="ALL")+(ACT_SKU_SCOPE=$G72)))*(ACT_START&lt;=9)*(ACT_END&gt;=9)*IFERROR(ACT_UPLIFT-1,0)))*(1+SUMPRODUCT(SIGN(((ACT_DOOR_SCOPE="ALL")+(ACT_DOOR_SCOPE="TIER_"&amp;$F72)+(ACT_DOOR_SCOPE=$B72)))*SIGN(((ACT_SKU_SCOPE="ALL")+(ACT_SKU_SCOPE=$G72)))*(9&gt;ACT_END)*(ACT_END&gt;0)*IFERROR(ACT_POSTLIFT,0))),0)))</f>
        <v/>
      </c>
      <c r="S72" s="10">
        <f>IF(OR($H72&lt;&gt;"Y",10&lt;$I72),0,IF(SUMPRODUCT(((BULK_ENABLED="Y")*((BULK_TIER="ALL")+(BULK_TIER=$F72))*((BULK_SKU="ALL")+(BULK_SKU=$G72))*(BULK_START&lt;=10)*(BULK_END&gt;=10)))&gt;0,IFERROR(SUMPRODUCT(((BULK_ENABLED="Y")*((BULK_TIER="ALL")+(BULK_TIER=$F72))*((BULK_SKU="ALL")+(BULK_SKU=$G72))*(BULK_START&lt;=10)*(BULK_END&gt;=10))*IFERROR(BULK_VALUE,0))/MAX(1,SUMPRODUCT(((BULK_ENABLED="Y")*((BULK_TIER="ALL")+(BULK_TIER=$F72))*((BULK_SKU="ALL")+(BULK_SKU=$G72))*(BULK_START&lt;=10)*(BULK_END&gt;=10)))),0),ROUND((INDEX(VELOCITY_TABLE,MATCH($F72,TIER_LIST,0),2))*(IF((10-$I72+1)&lt;=0,0,IF((10-$I72+1)=1,RAMP_W1,IF((10-$I72+1)=2,RAMP_W2,IF((10-$I72+1)=3,RAMP_W3,RAMP_W4PLUS)))))*(INDEX(ACTIVE_MULT_TABLE,2,1))*(1+SUMPRODUCT(SIGN(((ACT_DOOR_SCOPE="ALL")+(ACT_DOOR_SCOPE="TIER_"&amp;$F72)+(ACT_DOOR_SCOPE=$B72)))*SIGN(((ACT_SKU_SCOPE="ALL")+(ACT_SKU_SCOPE=$G72)))*(ACT_START&lt;=10)*(ACT_END&gt;=10)*IFERROR(ACT_UPLIFT-1,0)))*(1+SUMPRODUCT(SIGN(((ACT_DOOR_SCOPE="ALL")+(ACT_DOOR_SCOPE="TIER_"&amp;$F72)+(ACT_DOOR_SCOPE=$B72)))*SIGN(((ACT_SKU_SCOPE="ALL")+(ACT_SKU_SCOPE=$G72)))*(10&gt;ACT_END)*(ACT_END&gt;0)*IFERROR(ACT_POSTLIFT,0))),0)))</f>
        <v/>
      </c>
      <c r="T72" s="10">
        <f>IF(OR($H72&lt;&gt;"Y",11&lt;$I72),0,IF(SUMPRODUCT(((BULK_ENABLED="Y")*((BULK_TIER="ALL")+(BULK_TIER=$F72))*((BULK_SKU="ALL")+(BULK_SKU=$G72))*(BULK_START&lt;=11)*(BULK_END&gt;=11)))&gt;0,IFERROR(SUMPRODUCT(((BULK_ENABLED="Y")*((BULK_TIER="ALL")+(BULK_TIER=$F72))*((BULK_SKU="ALL")+(BULK_SKU=$G72))*(BULK_START&lt;=11)*(BULK_END&gt;=11))*IFERROR(BULK_VALUE,0))/MAX(1,SUMPRODUCT(((BULK_ENABLED="Y")*((BULK_TIER="ALL")+(BULK_TIER=$F72))*((BULK_SKU="ALL")+(BULK_SKU=$G72))*(BULK_START&lt;=11)*(BULK_END&gt;=11)))),0),ROUND((INDEX(VELOCITY_TABLE,MATCH($F72,TIER_LIST,0),2))*(IF((11-$I72+1)&lt;=0,0,IF((11-$I72+1)=1,RAMP_W1,IF((11-$I72+1)=2,RAMP_W2,IF((11-$I72+1)=3,RAMP_W3,RAMP_W4PLUS)))))*(INDEX(ACTIVE_MULT_TABLE,2,1))*(1+SUMPRODUCT(SIGN(((ACT_DOOR_SCOPE="ALL")+(ACT_DOOR_SCOPE="TIER_"&amp;$F72)+(ACT_DOOR_SCOPE=$B72)))*SIGN(((ACT_SKU_SCOPE="ALL")+(ACT_SKU_SCOPE=$G72)))*(ACT_START&lt;=11)*(ACT_END&gt;=11)*IFERROR(ACT_UPLIFT-1,0)))*(1+SUMPRODUCT(SIGN(((ACT_DOOR_SCOPE="ALL")+(ACT_DOOR_SCOPE="TIER_"&amp;$F72)+(ACT_DOOR_SCOPE=$B72)))*SIGN(((ACT_SKU_SCOPE="ALL")+(ACT_SKU_SCOPE=$G72)))*(11&gt;ACT_END)*(ACT_END&gt;0)*IFERROR(ACT_POSTLIFT,0))),0)))</f>
        <v/>
      </c>
      <c r="U72" s="10">
        <f>IF(OR($H72&lt;&gt;"Y",12&lt;$I72),0,IF(SUMPRODUCT(((BULK_ENABLED="Y")*((BULK_TIER="ALL")+(BULK_TIER=$F72))*((BULK_SKU="ALL")+(BULK_SKU=$G72))*(BULK_START&lt;=12)*(BULK_END&gt;=12)))&gt;0,IFERROR(SUMPRODUCT(((BULK_ENABLED="Y")*((BULK_TIER="ALL")+(BULK_TIER=$F72))*((BULK_SKU="ALL")+(BULK_SKU=$G72))*(BULK_START&lt;=12)*(BULK_END&gt;=12))*IFERROR(BULK_VALUE,0))/MAX(1,SUMPRODUCT(((BULK_ENABLED="Y")*((BULK_TIER="ALL")+(BULK_TIER=$F72))*((BULK_SKU="ALL")+(BULK_SKU=$G72))*(BULK_START&lt;=12)*(BULK_END&gt;=12)))),0),ROUND((INDEX(VELOCITY_TABLE,MATCH($F72,TIER_LIST,0),2))*(IF((12-$I72+1)&lt;=0,0,IF((12-$I72+1)=1,RAMP_W1,IF((12-$I72+1)=2,RAMP_W2,IF((12-$I72+1)=3,RAMP_W3,RAMP_W4PLUS)))))*(INDEX(ACTIVE_MULT_TABLE,2,1))*(1+SUMPRODUCT(SIGN(((ACT_DOOR_SCOPE="ALL")+(ACT_DOOR_SCOPE="TIER_"&amp;$F72)+(ACT_DOOR_SCOPE=$B72)))*SIGN(((ACT_SKU_SCOPE="ALL")+(ACT_SKU_SCOPE=$G72)))*(ACT_START&lt;=12)*(ACT_END&gt;=12)*IFERROR(ACT_UPLIFT-1,0)))*(1+SUMPRODUCT(SIGN(((ACT_DOOR_SCOPE="ALL")+(ACT_DOOR_SCOPE="TIER_"&amp;$F72)+(ACT_DOOR_SCOPE=$B72)))*SIGN(((ACT_SKU_SCOPE="ALL")+(ACT_SKU_SCOPE=$G72)))*(12&gt;ACT_END)*(ACT_END&gt;0)*IFERROR(ACT_POSTLIFT,0))),0)))</f>
        <v/>
      </c>
      <c r="V72" s="10">
        <f>IF(OR($H72&lt;&gt;"Y",13&lt;$I72),0,IF(SUMPRODUCT(((BULK_ENABLED="Y")*((BULK_TIER="ALL")+(BULK_TIER=$F72))*((BULK_SKU="ALL")+(BULK_SKU=$G72))*(BULK_START&lt;=13)*(BULK_END&gt;=13)))&gt;0,IFERROR(SUMPRODUCT(((BULK_ENABLED="Y")*((BULK_TIER="ALL")+(BULK_TIER=$F72))*((BULK_SKU="ALL")+(BULK_SKU=$G72))*(BULK_START&lt;=13)*(BULK_END&gt;=13))*IFERROR(BULK_VALUE,0))/MAX(1,SUMPRODUCT(((BULK_ENABLED="Y")*((BULK_TIER="ALL")+(BULK_TIER=$F72))*((BULK_SKU="ALL")+(BULK_SKU=$G72))*(BULK_START&lt;=13)*(BULK_END&gt;=13)))),0),ROUND((INDEX(VELOCITY_TABLE,MATCH($F72,TIER_LIST,0),2))*(IF((13-$I72+1)&lt;=0,0,IF((13-$I72+1)=1,RAMP_W1,IF((13-$I72+1)=2,RAMP_W2,IF((13-$I72+1)=3,RAMP_W3,RAMP_W4PLUS)))))*(INDEX(ACTIVE_MULT_TABLE,2,1))*(1+SUMPRODUCT(SIGN(((ACT_DOOR_SCOPE="ALL")+(ACT_DOOR_SCOPE="TIER_"&amp;$F72)+(ACT_DOOR_SCOPE=$B72)))*SIGN(((ACT_SKU_SCOPE="ALL")+(ACT_SKU_SCOPE=$G72)))*(ACT_START&lt;=13)*(ACT_END&gt;=13)*IFERROR(ACT_UPLIFT-1,0)))*(1+SUMPRODUCT(SIGN(((ACT_DOOR_SCOPE="ALL")+(ACT_DOOR_SCOPE="TIER_"&amp;$F72)+(ACT_DOOR_SCOPE=$B72)))*SIGN(((ACT_SKU_SCOPE="ALL")+(ACT_SKU_SCOPE=$G72)))*(13&gt;ACT_END)*(ACT_END&gt;0)*IFERROR(ACT_POSTLIFT,0))),0)))</f>
        <v/>
      </c>
    </row>
    <row r="73">
      <c r="A73" t="inlineStr">
        <is>
          <t>R0069</t>
        </is>
      </c>
      <c r="B73">
        <f>Doors!$A$27</f>
        <v/>
      </c>
      <c r="C73">
        <f>Doors!$C$27</f>
        <v/>
      </c>
      <c r="D73">
        <f>Doors!$B$27</f>
        <v/>
      </c>
      <c r="E73">
        <f>Doors!$E$27</f>
        <v/>
      </c>
      <c r="F73">
        <f>Doors!$F$27</f>
        <v/>
      </c>
      <c r="G73" t="inlineStr">
        <is>
          <t>Raspberry</t>
        </is>
      </c>
      <c r="H73">
        <f>Doors!$I$27</f>
        <v/>
      </c>
      <c r="I73">
        <f>Doors!$J$27</f>
        <v/>
      </c>
      <c r="J73" s="10">
        <f>IF(OR($H73&lt;&gt;"Y",1&lt;$I73),0,IF(SUMPRODUCT(((BULK_ENABLED="Y")*((BULK_TIER="ALL")+(BULK_TIER=$F73))*((BULK_SKU="ALL")+(BULK_SKU=$G73))*(BULK_START&lt;=1)*(BULK_END&gt;=1)))&gt;0,IFERROR(SUMPRODUCT(((BULK_ENABLED="Y")*((BULK_TIER="ALL")+(BULK_TIER=$F73))*((BULK_SKU="ALL")+(BULK_SKU=$G73))*(BULK_START&lt;=1)*(BULK_END&gt;=1))*IFERROR(BULK_VALUE,0))/MAX(1,SUMPRODUCT(((BULK_ENABLED="Y")*((BULK_TIER="ALL")+(BULK_TIER=$F73))*((BULK_SKU="ALL")+(BULK_SKU=$G73))*(BULK_START&lt;=1)*(BULK_END&gt;=1)))),0),ROUND((INDEX(VELOCITY_TABLE,MATCH($F73,TIER_LIST,0),3))*(IF((1-$I73+1)&lt;=0,0,IF((1-$I73+1)=1,RAMP_W1,IF((1-$I73+1)=2,RAMP_W2,IF((1-$I73+1)=3,RAMP_W3,RAMP_W4PLUS)))))*(INDEX(ACTIVE_MULT_TABLE,3,1))*(1+SUMPRODUCT(SIGN(((ACT_DOOR_SCOPE="ALL")+(ACT_DOOR_SCOPE="TIER_"&amp;$F73)+(ACT_DOOR_SCOPE=$B73)))*SIGN(((ACT_SKU_SCOPE="ALL")+(ACT_SKU_SCOPE=$G73)))*(ACT_START&lt;=1)*(ACT_END&gt;=1)*IFERROR(ACT_UPLIFT-1,0)))*(1+SUMPRODUCT(SIGN(((ACT_DOOR_SCOPE="ALL")+(ACT_DOOR_SCOPE="TIER_"&amp;$F73)+(ACT_DOOR_SCOPE=$B73)))*SIGN(((ACT_SKU_SCOPE="ALL")+(ACT_SKU_SCOPE=$G73)))*(1&gt;ACT_END)*(ACT_END&gt;0)*IFERROR(ACT_POSTLIFT,0))),0)))</f>
        <v/>
      </c>
      <c r="K73" s="10">
        <f>IF(OR($H73&lt;&gt;"Y",2&lt;$I73),0,IF(SUMPRODUCT(((BULK_ENABLED="Y")*((BULK_TIER="ALL")+(BULK_TIER=$F73))*((BULK_SKU="ALL")+(BULK_SKU=$G73))*(BULK_START&lt;=2)*(BULK_END&gt;=2)))&gt;0,IFERROR(SUMPRODUCT(((BULK_ENABLED="Y")*((BULK_TIER="ALL")+(BULK_TIER=$F73))*((BULK_SKU="ALL")+(BULK_SKU=$G73))*(BULK_START&lt;=2)*(BULK_END&gt;=2))*IFERROR(BULK_VALUE,0))/MAX(1,SUMPRODUCT(((BULK_ENABLED="Y")*((BULK_TIER="ALL")+(BULK_TIER=$F73))*((BULK_SKU="ALL")+(BULK_SKU=$G73))*(BULK_START&lt;=2)*(BULK_END&gt;=2)))),0),ROUND((INDEX(VELOCITY_TABLE,MATCH($F73,TIER_LIST,0),3))*(IF((2-$I73+1)&lt;=0,0,IF((2-$I73+1)=1,RAMP_W1,IF((2-$I73+1)=2,RAMP_W2,IF((2-$I73+1)=3,RAMP_W3,RAMP_W4PLUS)))))*(INDEX(ACTIVE_MULT_TABLE,3,1))*(1+SUMPRODUCT(SIGN(((ACT_DOOR_SCOPE="ALL")+(ACT_DOOR_SCOPE="TIER_"&amp;$F73)+(ACT_DOOR_SCOPE=$B73)))*SIGN(((ACT_SKU_SCOPE="ALL")+(ACT_SKU_SCOPE=$G73)))*(ACT_START&lt;=2)*(ACT_END&gt;=2)*IFERROR(ACT_UPLIFT-1,0)))*(1+SUMPRODUCT(SIGN(((ACT_DOOR_SCOPE="ALL")+(ACT_DOOR_SCOPE="TIER_"&amp;$F73)+(ACT_DOOR_SCOPE=$B73)))*SIGN(((ACT_SKU_SCOPE="ALL")+(ACT_SKU_SCOPE=$G73)))*(2&gt;ACT_END)*(ACT_END&gt;0)*IFERROR(ACT_POSTLIFT,0))),0)))</f>
        <v/>
      </c>
      <c r="L73" s="10">
        <f>IF(OR($H73&lt;&gt;"Y",3&lt;$I73),0,IF(SUMPRODUCT(((BULK_ENABLED="Y")*((BULK_TIER="ALL")+(BULK_TIER=$F73))*((BULK_SKU="ALL")+(BULK_SKU=$G73))*(BULK_START&lt;=3)*(BULK_END&gt;=3)))&gt;0,IFERROR(SUMPRODUCT(((BULK_ENABLED="Y")*((BULK_TIER="ALL")+(BULK_TIER=$F73))*((BULK_SKU="ALL")+(BULK_SKU=$G73))*(BULK_START&lt;=3)*(BULK_END&gt;=3))*IFERROR(BULK_VALUE,0))/MAX(1,SUMPRODUCT(((BULK_ENABLED="Y")*((BULK_TIER="ALL")+(BULK_TIER=$F73))*((BULK_SKU="ALL")+(BULK_SKU=$G73))*(BULK_START&lt;=3)*(BULK_END&gt;=3)))),0),ROUND((INDEX(VELOCITY_TABLE,MATCH($F73,TIER_LIST,0),3))*(IF((3-$I73+1)&lt;=0,0,IF((3-$I73+1)=1,RAMP_W1,IF((3-$I73+1)=2,RAMP_W2,IF((3-$I73+1)=3,RAMP_W3,RAMP_W4PLUS)))))*(INDEX(ACTIVE_MULT_TABLE,3,1))*(1+SUMPRODUCT(SIGN(((ACT_DOOR_SCOPE="ALL")+(ACT_DOOR_SCOPE="TIER_"&amp;$F73)+(ACT_DOOR_SCOPE=$B73)))*SIGN(((ACT_SKU_SCOPE="ALL")+(ACT_SKU_SCOPE=$G73)))*(ACT_START&lt;=3)*(ACT_END&gt;=3)*IFERROR(ACT_UPLIFT-1,0)))*(1+SUMPRODUCT(SIGN(((ACT_DOOR_SCOPE="ALL")+(ACT_DOOR_SCOPE="TIER_"&amp;$F73)+(ACT_DOOR_SCOPE=$B73)))*SIGN(((ACT_SKU_SCOPE="ALL")+(ACT_SKU_SCOPE=$G73)))*(3&gt;ACT_END)*(ACT_END&gt;0)*IFERROR(ACT_POSTLIFT,0))),0)))</f>
        <v/>
      </c>
      <c r="M73" s="10">
        <f>IF(OR($H73&lt;&gt;"Y",4&lt;$I73),0,IF(SUMPRODUCT(((BULK_ENABLED="Y")*((BULK_TIER="ALL")+(BULK_TIER=$F73))*((BULK_SKU="ALL")+(BULK_SKU=$G73))*(BULK_START&lt;=4)*(BULK_END&gt;=4)))&gt;0,IFERROR(SUMPRODUCT(((BULK_ENABLED="Y")*((BULK_TIER="ALL")+(BULK_TIER=$F73))*((BULK_SKU="ALL")+(BULK_SKU=$G73))*(BULK_START&lt;=4)*(BULK_END&gt;=4))*IFERROR(BULK_VALUE,0))/MAX(1,SUMPRODUCT(((BULK_ENABLED="Y")*((BULK_TIER="ALL")+(BULK_TIER=$F73))*((BULK_SKU="ALL")+(BULK_SKU=$G73))*(BULK_START&lt;=4)*(BULK_END&gt;=4)))),0),ROUND((INDEX(VELOCITY_TABLE,MATCH($F73,TIER_LIST,0),3))*(IF((4-$I73+1)&lt;=0,0,IF((4-$I73+1)=1,RAMP_W1,IF((4-$I73+1)=2,RAMP_W2,IF((4-$I73+1)=3,RAMP_W3,RAMP_W4PLUS)))))*(INDEX(ACTIVE_MULT_TABLE,3,1))*(1+SUMPRODUCT(SIGN(((ACT_DOOR_SCOPE="ALL")+(ACT_DOOR_SCOPE="TIER_"&amp;$F73)+(ACT_DOOR_SCOPE=$B73)))*SIGN(((ACT_SKU_SCOPE="ALL")+(ACT_SKU_SCOPE=$G73)))*(ACT_START&lt;=4)*(ACT_END&gt;=4)*IFERROR(ACT_UPLIFT-1,0)))*(1+SUMPRODUCT(SIGN(((ACT_DOOR_SCOPE="ALL")+(ACT_DOOR_SCOPE="TIER_"&amp;$F73)+(ACT_DOOR_SCOPE=$B73)))*SIGN(((ACT_SKU_SCOPE="ALL")+(ACT_SKU_SCOPE=$G73)))*(4&gt;ACT_END)*(ACT_END&gt;0)*IFERROR(ACT_POSTLIFT,0))),0)))</f>
        <v/>
      </c>
      <c r="N73" s="10">
        <f>IF(OR($H73&lt;&gt;"Y",5&lt;$I73),0,IF(SUMPRODUCT(((BULK_ENABLED="Y")*((BULK_TIER="ALL")+(BULK_TIER=$F73))*((BULK_SKU="ALL")+(BULK_SKU=$G73))*(BULK_START&lt;=5)*(BULK_END&gt;=5)))&gt;0,IFERROR(SUMPRODUCT(((BULK_ENABLED="Y")*((BULK_TIER="ALL")+(BULK_TIER=$F73))*((BULK_SKU="ALL")+(BULK_SKU=$G73))*(BULK_START&lt;=5)*(BULK_END&gt;=5))*IFERROR(BULK_VALUE,0))/MAX(1,SUMPRODUCT(((BULK_ENABLED="Y")*((BULK_TIER="ALL")+(BULK_TIER=$F73))*((BULK_SKU="ALL")+(BULK_SKU=$G73))*(BULK_START&lt;=5)*(BULK_END&gt;=5)))),0),ROUND((INDEX(VELOCITY_TABLE,MATCH($F73,TIER_LIST,0),3))*(IF((5-$I73+1)&lt;=0,0,IF((5-$I73+1)=1,RAMP_W1,IF((5-$I73+1)=2,RAMP_W2,IF((5-$I73+1)=3,RAMP_W3,RAMP_W4PLUS)))))*(INDEX(ACTIVE_MULT_TABLE,3,1))*(1+SUMPRODUCT(SIGN(((ACT_DOOR_SCOPE="ALL")+(ACT_DOOR_SCOPE="TIER_"&amp;$F73)+(ACT_DOOR_SCOPE=$B73)))*SIGN(((ACT_SKU_SCOPE="ALL")+(ACT_SKU_SCOPE=$G73)))*(ACT_START&lt;=5)*(ACT_END&gt;=5)*IFERROR(ACT_UPLIFT-1,0)))*(1+SUMPRODUCT(SIGN(((ACT_DOOR_SCOPE="ALL")+(ACT_DOOR_SCOPE="TIER_"&amp;$F73)+(ACT_DOOR_SCOPE=$B73)))*SIGN(((ACT_SKU_SCOPE="ALL")+(ACT_SKU_SCOPE=$G73)))*(5&gt;ACT_END)*(ACT_END&gt;0)*IFERROR(ACT_POSTLIFT,0))),0)))</f>
        <v/>
      </c>
      <c r="O73" s="10">
        <f>IF(OR($H73&lt;&gt;"Y",6&lt;$I73),0,IF(SUMPRODUCT(((BULK_ENABLED="Y")*((BULK_TIER="ALL")+(BULK_TIER=$F73))*((BULK_SKU="ALL")+(BULK_SKU=$G73))*(BULK_START&lt;=6)*(BULK_END&gt;=6)))&gt;0,IFERROR(SUMPRODUCT(((BULK_ENABLED="Y")*((BULK_TIER="ALL")+(BULK_TIER=$F73))*((BULK_SKU="ALL")+(BULK_SKU=$G73))*(BULK_START&lt;=6)*(BULK_END&gt;=6))*IFERROR(BULK_VALUE,0))/MAX(1,SUMPRODUCT(((BULK_ENABLED="Y")*((BULK_TIER="ALL")+(BULK_TIER=$F73))*((BULK_SKU="ALL")+(BULK_SKU=$G73))*(BULK_START&lt;=6)*(BULK_END&gt;=6)))),0),ROUND((INDEX(VELOCITY_TABLE,MATCH($F73,TIER_LIST,0),3))*(IF((6-$I73+1)&lt;=0,0,IF((6-$I73+1)=1,RAMP_W1,IF((6-$I73+1)=2,RAMP_W2,IF((6-$I73+1)=3,RAMP_W3,RAMP_W4PLUS)))))*(INDEX(ACTIVE_MULT_TABLE,3,1))*(1+SUMPRODUCT(SIGN(((ACT_DOOR_SCOPE="ALL")+(ACT_DOOR_SCOPE="TIER_"&amp;$F73)+(ACT_DOOR_SCOPE=$B73)))*SIGN(((ACT_SKU_SCOPE="ALL")+(ACT_SKU_SCOPE=$G73)))*(ACT_START&lt;=6)*(ACT_END&gt;=6)*IFERROR(ACT_UPLIFT-1,0)))*(1+SUMPRODUCT(SIGN(((ACT_DOOR_SCOPE="ALL")+(ACT_DOOR_SCOPE="TIER_"&amp;$F73)+(ACT_DOOR_SCOPE=$B73)))*SIGN(((ACT_SKU_SCOPE="ALL")+(ACT_SKU_SCOPE=$G73)))*(6&gt;ACT_END)*(ACT_END&gt;0)*IFERROR(ACT_POSTLIFT,0))),0)))</f>
        <v/>
      </c>
      <c r="P73" s="10">
        <f>IF(OR($H73&lt;&gt;"Y",7&lt;$I73),0,IF(SUMPRODUCT(((BULK_ENABLED="Y")*((BULK_TIER="ALL")+(BULK_TIER=$F73))*((BULK_SKU="ALL")+(BULK_SKU=$G73))*(BULK_START&lt;=7)*(BULK_END&gt;=7)))&gt;0,IFERROR(SUMPRODUCT(((BULK_ENABLED="Y")*((BULK_TIER="ALL")+(BULK_TIER=$F73))*((BULK_SKU="ALL")+(BULK_SKU=$G73))*(BULK_START&lt;=7)*(BULK_END&gt;=7))*IFERROR(BULK_VALUE,0))/MAX(1,SUMPRODUCT(((BULK_ENABLED="Y")*((BULK_TIER="ALL")+(BULK_TIER=$F73))*((BULK_SKU="ALL")+(BULK_SKU=$G73))*(BULK_START&lt;=7)*(BULK_END&gt;=7)))),0),ROUND((INDEX(VELOCITY_TABLE,MATCH($F73,TIER_LIST,0),3))*(IF((7-$I73+1)&lt;=0,0,IF((7-$I73+1)=1,RAMP_W1,IF((7-$I73+1)=2,RAMP_W2,IF((7-$I73+1)=3,RAMP_W3,RAMP_W4PLUS)))))*(INDEX(ACTIVE_MULT_TABLE,3,1))*(1+SUMPRODUCT(SIGN(((ACT_DOOR_SCOPE="ALL")+(ACT_DOOR_SCOPE="TIER_"&amp;$F73)+(ACT_DOOR_SCOPE=$B73)))*SIGN(((ACT_SKU_SCOPE="ALL")+(ACT_SKU_SCOPE=$G73)))*(ACT_START&lt;=7)*(ACT_END&gt;=7)*IFERROR(ACT_UPLIFT-1,0)))*(1+SUMPRODUCT(SIGN(((ACT_DOOR_SCOPE="ALL")+(ACT_DOOR_SCOPE="TIER_"&amp;$F73)+(ACT_DOOR_SCOPE=$B73)))*SIGN(((ACT_SKU_SCOPE="ALL")+(ACT_SKU_SCOPE=$G73)))*(7&gt;ACT_END)*(ACT_END&gt;0)*IFERROR(ACT_POSTLIFT,0))),0)))</f>
        <v/>
      </c>
      <c r="Q73" s="10">
        <f>IF(OR($H73&lt;&gt;"Y",8&lt;$I73),0,IF(SUMPRODUCT(((BULK_ENABLED="Y")*((BULK_TIER="ALL")+(BULK_TIER=$F73))*((BULK_SKU="ALL")+(BULK_SKU=$G73))*(BULK_START&lt;=8)*(BULK_END&gt;=8)))&gt;0,IFERROR(SUMPRODUCT(((BULK_ENABLED="Y")*((BULK_TIER="ALL")+(BULK_TIER=$F73))*((BULK_SKU="ALL")+(BULK_SKU=$G73))*(BULK_START&lt;=8)*(BULK_END&gt;=8))*IFERROR(BULK_VALUE,0))/MAX(1,SUMPRODUCT(((BULK_ENABLED="Y")*((BULK_TIER="ALL")+(BULK_TIER=$F73))*((BULK_SKU="ALL")+(BULK_SKU=$G73))*(BULK_START&lt;=8)*(BULK_END&gt;=8)))),0),ROUND((INDEX(VELOCITY_TABLE,MATCH($F73,TIER_LIST,0),3))*(IF((8-$I73+1)&lt;=0,0,IF((8-$I73+1)=1,RAMP_W1,IF((8-$I73+1)=2,RAMP_W2,IF((8-$I73+1)=3,RAMP_W3,RAMP_W4PLUS)))))*(INDEX(ACTIVE_MULT_TABLE,3,1))*(1+SUMPRODUCT(SIGN(((ACT_DOOR_SCOPE="ALL")+(ACT_DOOR_SCOPE="TIER_"&amp;$F73)+(ACT_DOOR_SCOPE=$B73)))*SIGN(((ACT_SKU_SCOPE="ALL")+(ACT_SKU_SCOPE=$G73)))*(ACT_START&lt;=8)*(ACT_END&gt;=8)*IFERROR(ACT_UPLIFT-1,0)))*(1+SUMPRODUCT(SIGN(((ACT_DOOR_SCOPE="ALL")+(ACT_DOOR_SCOPE="TIER_"&amp;$F73)+(ACT_DOOR_SCOPE=$B73)))*SIGN(((ACT_SKU_SCOPE="ALL")+(ACT_SKU_SCOPE=$G73)))*(8&gt;ACT_END)*(ACT_END&gt;0)*IFERROR(ACT_POSTLIFT,0))),0)))</f>
        <v/>
      </c>
      <c r="R73" s="10">
        <f>IF(OR($H73&lt;&gt;"Y",9&lt;$I73),0,IF(SUMPRODUCT(((BULK_ENABLED="Y")*((BULK_TIER="ALL")+(BULK_TIER=$F73))*((BULK_SKU="ALL")+(BULK_SKU=$G73))*(BULK_START&lt;=9)*(BULK_END&gt;=9)))&gt;0,IFERROR(SUMPRODUCT(((BULK_ENABLED="Y")*((BULK_TIER="ALL")+(BULK_TIER=$F73))*((BULK_SKU="ALL")+(BULK_SKU=$G73))*(BULK_START&lt;=9)*(BULK_END&gt;=9))*IFERROR(BULK_VALUE,0))/MAX(1,SUMPRODUCT(((BULK_ENABLED="Y")*((BULK_TIER="ALL")+(BULK_TIER=$F73))*((BULK_SKU="ALL")+(BULK_SKU=$G73))*(BULK_START&lt;=9)*(BULK_END&gt;=9)))),0),ROUND((INDEX(VELOCITY_TABLE,MATCH($F73,TIER_LIST,0),3))*(IF((9-$I73+1)&lt;=0,0,IF((9-$I73+1)=1,RAMP_W1,IF((9-$I73+1)=2,RAMP_W2,IF((9-$I73+1)=3,RAMP_W3,RAMP_W4PLUS)))))*(INDEX(ACTIVE_MULT_TABLE,3,1))*(1+SUMPRODUCT(SIGN(((ACT_DOOR_SCOPE="ALL")+(ACT_DOOR_SCOPE="TIER_"&amp;$F73)+(ACT_DOOR_SCOPE=$B73)))*SIGN(((ACT_SKU_SCOPE="ALL")+(ACT_SKU_SCOPE=$G73)))*(ACT_START&lt;=9)*(ACT_END&gt;=9)*IFERROR(ACT_UPLIFT-1,0)))*(1+SUMPRODUCT(SIGN(((ACT_DOOR_SCOPE="ALL")+(ACT_DOOR_SCOPE="TIER_"&amp;$F73)+(ACT_DOOR_SCOPE=$B73)))*SIGN(((ACT_SKU_SCOPE="ALL")+(ACT_SKU_SCOPE=$G73)))*(9&gt;ACT_END)*(ACT_END&gt;0)*IFERROR(ACT_POSTLIFT,0))),0)))</f>
        <v/>
      </c>
      <c r="S73" s="10">
        <f>IF(OR($H73&lt;&gt;"Y",10&lt;$I73),0,IF(SUMPRODUCT(((BULK_ENABLED="Y")*((BULK_TIER="ALL")+(BULK_TIER=$F73))*((BULK_SKU="ALL")+(BULK_SKU=$G73))*(BULK_START&lt;=10)*(BULK_END&gt;=10)))&gt;0,IFERROR(SUMPRODUCT(((BULK_ENABLED="Y")*((BULK_TIER="ALL")+(BULK_TIER=$F73))*((BULK_SKU="ALL")+(BULK_SKU=$G73))*(BULK_START&lt;=10)*(BULK_END&gt;=10))*IFERROR(BULK_VALUE,0))/MAX(1,SUMPRODUCT(((BULK_ENABLED="Y")*((BULK_TIER="ALL")+(BULK_TIER=$F73))*((BULK_SKU="ALL")+(BULK_SKU=$G73))*(BULK_START&lt;=10)*(BULK_END&gt;=10)))),0),ROUND((INDEX(VELOCITY_TABLE,MATCH($F73,TIER_LIST,0),3))*(IF((10-$I73+1)&lt;=0,0,IF((10-$I73+1)=1,RAMP_W1,IF((10-$I73+1)=2,RAMP_W2,IF((10-$I73+1)=3,RAMP_W3,RAMP_W4PLUS)))))*(INDEX(ACTIVE_MULT_TABLE,3,1))*(1+SUMPRODUCT(SIGN(((ACT_DOOR_SCOPE="ALL")+(ACT_DOOR_SCOPE="TIER_"&amp;$F73)+(ACT_DOOR_SCOPE=$B73)))*SIGN(((ACT_SKU_SCOPE="ALL")+(ACT_SKU_SCOPE=$G73)))*(ACT_START&lt;=10)*(ACT_END&gt;=10)*IFERROR(ACT_UPLIFT-1,0)))*(1+SUMPRODUCT(SIGN(((ACT_DOOR_SCOPE="ALL")+(ACT_DOOR_SCOPE="TIER_"&amp;$F73)+(ACT_DOOR_SCOPE=$B73)))*SIGN(((ACT_SKU_SCOPE="ALL")+(ACT_SKU_SCOPE=$G73)))*(10&gt;ACT_END)*(ACT_END&gt;0)*IFERROR(ACT_POSTLIFT,0))),0)))</f>
        <v/>
      </c>
      <c r="T73" s="10">
        <f>IF(OR($H73&lt;&gt;"Y",11&lt;$I73),0,IF(SUMPRODUCT(((BULK_ENABLED="Y")*((BULK_TIER="ALL")+(BULK_TIER=$F73))*((BULK_SKU="ALL")+(BULK_SKU=$G73))*(BULK_START&lt;=11)*(BULK_END&gt;=11)))&gt;0,IFERROR(SUMPRODUCT(((BULK_ENABLED="Y")*((BULK_TIER="ALL")+(BULK_TIER=$F73))*((BULK_SKU="ALL")+(BULK_SKU=$G73))*(BULK_START&lt;=11)*(BULK_END&gt;=11))*IFERROR(BULK_VALUE,0))/MAX(1,SUMPRODUCT(((BULK_ENABLED="Y")*((BULK_TIER="ALL")+(BULK_TIER=$F73))*((BULK_SKU="ALL")+(BULK_SKU=$G73))*(BULK_START&lt;=11)*(BULK_END&gt;=11)))),0),ROUND((INDEX(VELOCITY_TABLE,MATCH($F73,TIER_LIST,0),3))*(IF((11-$I73+1)&lt;=0,0,IF((11-$I73+1)=1,RAMP_W1,IF((11-$I73+1)=2,RAMP_W2,IF((11-$I73+1)=3,RAMP_W3,RAMP_W4PLUS)))))*(INDEX(ACTIVE_MULT_TABLE,3,1))*(1+SUMPRODUCT(SIGN(((ACT_DOOR_SCOPE="ALL")+(ACT_DOOR_SCOPE="TIER_"&amp;$F73)+(ACT_DOOR_SCOPE=$B73)))*SIGN(((ACT_SKU_SCOPE="ALL")+(ACT_SKU_SCOPE=$G73)))*(ACT_START&lt;=11)*(ACT_END&gt;=11)*IFERROR(ACT_UPLIFT-1,0)))*(1+SUMPRODUCT(SIGN(((ACT_DOOR_SCOPE="ALL")+(ACT_DOOR_SCOPE="TIER_"&amp;$F73)+(ACT_DOOR_SCOPE=$B73)))*SIGN(((ACT_SKU_SCOPE="ALL")+(ACT_SKU_SCOPE=$G73)))*(11&gt;ACT_END)*(ACT_END&gt;0)*IFERROR(ACT_POSTLIFT,0))),0)))</f>
        <v/>
      </c>
      <c r="U73" s="10">
        <f>IF(OR($H73&lt;&gt;"Y",12&lt;$I73),0,IF(SUMPRODUCT(((BULK_ENABLED="Y")*((BULK_TIER="ALL")+(BULK_TIER=$F73))*((BULK_SKU="ALL")+(BULK_SKU=$G73))*(BULK_START&lt;=12)*(BULK_END&gt;=12)))&gt;0,IFERROR(SUMPRODUCT(((BULK_ENABLED="Y")*((BULK_TIER="ALL")+(BULK_TIER=$F73))*((BULK_SKU="ALL")+(BULK_SKU=$G73))*(BULK_START&lt;=12)*(BULK_END&gt;=12))*IFERROR(BULK_VALUE,0))/MAX(1,SUMPRODUCT(((BULK_ENABLED="Y")*((BULK_TIER="ALL")+(BULK_TIER=$F73))*((BULK_SKU="ALL")+(BULK_SKU=$G73))*(BULK_START&lt;=12)*(BULK_END&gt;=12)))),0),ROUND((INDEX(VELOCITY_TABLE,MATCH($F73,TIER_LIST,0),3))*(IF((12-$I73+1)&lt;=0,0,IF((12-$I73+1)=1,RAMP_W1,IF((12-$I73+1)=2,RAMP_W2,IF((12-$I73+1)=3,RAMP_W3,RAMP_W4PLUS)))))*(INDEX(ACTIVE_MULT_TABLE,3,1))*(1+SUMPRODUCT(SIGN(((ACT_DOOR_SCOPE="ALL")+(ACT_DOOR_SCOPE="TIER_"&amp;$F73)+(ACT_DOOR_SCOPE=$B73)))*SIGN(((ACT_SKU_SCOPE="ALL")+(ACT_SKU_SCOPE=$G73)))*(ACT_START&lt;=12)*(ACT_END&gt;=12)*IFERROR(ACT_UPLIFT-1,0)))*(1+SUMPRODUCT(SIGN(((ACT_DOOR_SCOPE="ALL")+(ACT_DOOR_SCOPE="TIER_"&amp;$F73)+(ACT_DOOR_SCOPE=$B73)))*SIGN(((ACT_SKU_SCOPE="ALL")+(ACT_SKU_SCOPE=$G73)))*(12&gt;ACT_END)*(ACT_END&gt;0)*IFERROR(ACT_POSTLIFT,0))),0)))</f>
        <v/>
      </c>
      <c r="V73" s="10">
        <f>IF(OR($H73&lt;&gt;"Y",13&lt;$I73),0,IF(SUMPRODUCT(((BULK_ENABLED="Y")*((BULK_TIER="ALL")+(BULK_TIER=$F73))*((BULK_SKU="ALL")+(BULK_SKU=$G73))*(BULK_START&lt;=13)*(BULK_END&gt;=13)))&gt;0,IFERROR(SUMPRODUCT(((BULK_ENABLED="Y")*((BULK_TIER="ALL")+(BULK_TIER=$F73))*((BULK_SKU="ALL")+(BULK_SKU=$G73))*(BULK_START&lt;=13)*(BULK_END&gt;=13))*IFERROR(BULK_VALUE,0))/MAX(1,SUMPRODUCT(((BULK_ENABLED="Y")*((BULK_TIER="ALL")+(BULK_TIER=$F73))*((BULK_SKU="ALL")+(BULK_SKU=$G73))*(BULK_START&lt;=13)*(BULK_END&gt;=13)))),0),ROUND((INDEX(VELOCITY_TABLE,MATCH($F73,TIER_LIST,0),3))*(IF((13-$I73+1)&lt;=0,0,IF((13-$I73+1)=1,RAMP_W1,IF((13-$I73+1)=2,RAMP_W2,IF((13-$I73+1)=3,RAMP_W3,RAMP_W4PLUS)))))*(INDEX(ACTIVE_MULT_TABLE,3,1))*(1+SUMPRODUCT(SIGN(((ACT_DOOR_SCOPE="ALL")+(ACT_DOOR_SCOPE="TIER_"&amp;$F73)+(ACT_DOOR_SCOPE=$B73)))*SIGN(((ACT_SKU_SCOPE="ALL")+(ACT_SKU_SCOPE=$G73)))*(ACT_START&lt;=13)*(ACT_END&gt;=13)*IFERROR(ACT_UPLIFT-1,0)))*(1+SUMPRODUCT(SIGN(((ACT_DOOR_SCOPE="ALL")+(ACT_DOOR_SCOPE="TIER_"&amp;$F73)+(ACT_DOOR_SCOPE=$B73)))*SIGN(((ACT_SKU_SCOPE="ALL")+(ACT_SKU_SCOPE=$G73)))*(13&gt;ACT_END)*(ACT_END&gt;0)*IFERROR(ACT_POSTLIFT,0))),0)))</f>
        <v/>
      </c>
    </row>
    <row r="74">
      <c r="A74" t="inlineStr">
        <is>
          <t>R0070</t>
        </is>
      </c>
      <c r="B74">
        <f>Doors!$A$28</f>
        <v/>
      </c>
      <c r="C74">
        <f>Doors!$C$28</f>
        <v/>
      </c>
      <c r="D74">
        <f>Doors!$B$28</f>
        <v/>
      </c>
      <c r="E74">
        <f>Doors!$E$28</f>
        <v/>
      </c>
      <c r="F74">
        <f>Doors!$F$28</f>
        <v/>
      </c>
      <c r="G74" t="inlineStr">
        <is>
          <t>Lime Lemon</t>
        </is>
      </c>
      <c r="H74">
        <f>Doors!$G$28</f>
        <v/>
      </c>
      <c r="I74">
        <f>Doors!$J$28</f>
        <v/>
      </c>
      <c r="J74" s="10">
        <f>IF(OR($H74&lt;&gt;"Y",1&lt;$I74),0,IF(SUMPRODUCT(((BULK_ENABLED="Y")*((BULK_TIER="ALL")+(BULK_TIER=$F74))*((BULK_SKU="ALL")+(BULK_SKU=$G74))*(BULK_START&lt;=1)*(BULK_END&gt;=1)))&gt;0,IFERROR(SUMPRODUCT(((BULK_ENABLED="Y")*((BULK_TIER="ALL")+(BULK_TIER=$F74))*((BULK_SKU="ALL")+(BULK_SKU=$G74))*(BULK_START&lt;=1)*(BULK_END&gt;=1))*IFERROR(BULK_VALUE,0))/MAX(1,SUMPRODUCT(((BULK_ENABLED="Y")*((BULK_TIER="ALL")+(BULK_TIER=$F74))*((BULK_SKU="ALL")+(BULK_SKU=$G74))*(BULK_START&lt;=1)*(BULK_END&gt;=1)))),0),ROUND((INDEX(VELOCITY_TABLE,MATCH($F74,TIER_LIST,0),1))*(IF((1-$I74+1)&lt;=0,0,IF((1-$I74+1)=1,RAMP_W1,IF((1-$I74+1)=2,RAMP_W2,IF((1-$I74+1)=3,RAMP_W3,RAMP_W4PLUS)))))*(INDEX(ACTIVE_MULT_TABLE,1,1))*(1+SUMPRODUCT(SIGN(((ACT_DOOR_SCOPE="ALL")+(ACT_DOOR_SCOPE="TIER_"&amp;$F74)+(ACT_DOOR_SCOPE=$B74)))*SIGN(((ACT_SKU_SCOPE="ALL")+(ACT_SKU_SCOPE=$G74)))*(ACT_START&lt;=1)*(ACT_END&gt;=1)*IFERROR(ACT_UPLIFT-1,0)))*(1+SUMPRODUCT(SIGN(((ACT_DOOR_SCOPE="ALL")+(ACT_DOOR_SCOPE="TIER_"&amp;$F74)+(ACT_DOOR_SCOPE=$B74)))*SIGN(((ACT_SKU_SCOPE="ALL")+(ACT_SKU_SCOPE=$G74)))*(1&gt;ACT_END)*(ACT_END&gt;0)*IFERROR(ACT_POSTLIFT,0))),0)))</f>
        <v/>
      </c>
      <c r="K74" s="10">
        <f>IF(OR($H74&lt;&gt;"Y",2&lt;$I74),0,IF(SUMPRODUCT(((BULK_ENABLED="Y")*((BULK_TIER="ALL")+(BULK_TIER=$F74))*((BULK_SKU="ALL")+(BULK_SKU=$G74))*(BULK_START&lt;=2)*(BULK_END&gt;=2)))&gt;0,IFERROR(SUMPRODUCT(((BULK_ENABLED="Y")*((BULK_TIER="ALL")+(BULK_TIER=$F74))*((BULK_SKU="ALL")+(BULK_SKU=$G74))*(BULK_START&lt;=2)*(BULK_END&gt;=2))*IFERROR(BULK_VALUE,0))/MAX(1,SUMPRODUCT(((BULK_ENABLED="Y")*((BULK_TIER="ALL")+(BULK_TIER=$F74))*((BULK_SKU="ALL")+(BULK_SKU=$G74))*(BULK_START&lt;=2)*(BULK_END&gt;=2)))),0),ROUND((INDEX(VELOCITY_TABLE,MATCH($F74,TIER_LIST,0),1))*(IF((2-$I74+1)&lt;=0,0,IF((2-$I74+1)=1,RAMP_W1,IF((2-$I74+1)=2,RAMP_W2,IF((2-$I74+1)=3,RAMP_W3,RAMP_W4PLUS)))))*(INDEX(ACTIVE_MULT_TABLE,1,1))*(1+SUMPRODUCT(SIGN(((ACT_DOOR_SCOPE="ALL")+(ACT_DOOR_SCOPE="TIER_"&amp;$F74)+(ACT_DOOR_SCOPE=$B74)))*SIGN(((ACT_SKU_SCOPE="ALL")+(ACT_SKU_SCOPE=$G74)))*(ACT_START&lt;=2)*(ACT_END&gt;=2)*IFERROR(ACT_UPLIFT-1,0)))*(1+SUMPRODUCT(SIGN(((ACT_DOOR_SCOPE="ALL")+(ACT_DOOR_SCOPE="TIER_"&amp;$F74)+(ACT_DOOR_SCOPE=$B74)))*SIGN(((ACT_SKU_SCOPE="ALL")+(ACT_SKU_SCOPE=$G74)))*(2&gt;ACT_END)*(ACT_END&gt;0)*IFERROR(ACT_POSTLIFT,0))),0)))</f>
        <v/>
      </c>
      <c r="L74" s="10">
        <f>IF(OR($H74&lt;&gt;"Y",3&lt;$I74),0,IF(SUMPRODUCT(((BULK_ENABLED="Y")*((BULK_TIER="ALL")+(BULK_TIER=$F74))*((BULK_SKU="ALL")+(BULK_SKU=$G74))*(BULK_START&lt;=3)*(BULK_END&gt;=3)))&gt;0,IFERROR(SUMPRODUCT(((BULK_ENABLED="Y")*((BULK_TIER="ALL")+(BULK_TIER=$F74))*((BULK_SKU="ALL")+(BULK_SKU=$G74))*(BULK_START&lt;=3)*(BULK_END&gt;=3))*IFERROR(BULK_VALUE,0))/MAX(1,SUMPRODUCT(((BULK_ENABLED="Y")*((BULK_TIER="ALL")+(BULK_TIER=$F74))*((BULK_SKU="ALL")+(BULK_SKU=$G74))*(BULK_START&lt;=3)*(BULK_END&gt;=3)))),0),ROUND((INDEX(VELOCITY_TABLE,MATCH($F74,TIER_LIST,0),1))*(IF((3-$I74+1)&lt;=0,0,IF((3-$I74+1)=1,RAMP_W1,IF((3-$I74+1)=2,RAMP_W2,IF((3-$I74+1)=3,RAMP_W3,RAMP_W4PLUS)))))*(INDEX(ACTIVE_MULT_TABLE,1,1))*(1+SUMPRODUCT(SIGN(((ACT_DOOR_SCOPE="ALL")+(ACT_DOOR_SCOPE="TIER_"&amp;$F74)+(ACT_DOOR_SCOPE=$B74)))*SIGN(((ACT_SKU_SCOPE="ALL")+(ACT_SKU_SCOPE=$G74)))*(ACT_START&lt;=3)*(ACT_END&gt;=3)*IFERROR(ACT_UPLIFT-1,0)))*(1+SUMPRODUCT(SIGN(((ACT_DOOR_SCOPE="ALL")+(ACT_DOOR_SCOPE="TIER_"&amp;$F74)+(ACT_DOOR_SCOPE=$B74)))*SIGN(((ACT_SKU_SCOPE="ALL")+(ACT_SKU_SCOPE=$G74)))*(3&gt;ACT_END)*(ACT_END&gt;0)*IFERROR(ACT_POSTLIFT,0))),0)))</f>
        <v/>
      </c>
      <c r="M74" s="10">
        <f>IF(OR($H74&lt;&gt;"Y",4&lt;$I74),0,IF(SUMPRODUCT(((BULK_ENABLED="Y")*((BULK_TIER="ALL")+(BULK_TIER=$F74))*((BULK_SKU="ALL")+(BULK_SKU=$G74))*(BULK_START&lt;=4)*(BULK_END&gt;=4)))&gt;0,IFERROR(SUMPRODUCT(((BULK_ENABLED="Y")*((BULK_TIER="ALL")+(BULK_TIER=$F74))*((BULK_SKU="ALL")+(BULK_SKU=$G74))*(BULK_START&lt;=4)*(BULK_END&gt;=4))*IFERROR(BULK_VALUE,0))/MAX(1,SUMPRODUCT(((BULK_ENABLED="Y")*((BULK_TIER="ALL")+(BULK_TIER=$F74))*((BULK_SKU="ALL")+(BULK_SKU=$G74))*(BULK_START&lt;=4)*(BULK_END&gt;=4)))),0),ROUND((INDEX(VELOCITY_TABLE,MATCH($F74,TIER_LIST,0),1))*(IF((4-$I74+1)&lt;=0,0,IF((4-$I74+1)=1,RAMP_W1,IF((4-$I74+1)=2,RAMP_W2,IF((4-$I74+1)=3,RAMP_W3,RAMP_W4PLUS)))))*(INDEX(ACTIVE_MULT_TABLE,1,1))*(1+SUMPRODUCT(SIGN(((ACT_DOOR_SCOPE="ALL")+(ACT_DOOR_SCOPE="TIER_"&amp;$F74)+(ACT_DOOR_SCOPE=$B74)))*SIGN(((ACT_SKU_SCOPE="ALL")+(ACT_SKU_SCOPE=$G74)))*(ACT_START&lt;=4)*(ACT_END&gt;=4)*IFERROR(ACT_UPLIFT-1,0)))*(1+SUMPRODUCT(SIGN(((ACT_DOOR_SCOPE="ALL")+(ACT_DOOR_SCOPE="TIER_"&amp;$F74)+(ACT_DOOR_SCOPE=$B74)))*SIGN(((ACT_SKU_SCOPE="ALL")+(ACT_SKU_SCOPE=$G74)))*(4&gt;ACT_END)*(ACT_END&gt;0)*IFERROR(ACT_POSTLIFT,0))),0)))</f>
        <v/>
      </c>
      <c r="N74" s="10">
        <f>IF(OR($H74&lt;&gt;"Y",5&lt;$I74),0,IF(SUMPRODUCT(((BULK_ENABLED="Y")*((BULK_TIER="ALL")+(BULK_TIER=$F74))*((BULK_SKU="ALL")+(BULK_SKU=$G74))*(BULK_START&lt;=5)*(BULK_END&gt;=5)))&gt;0,IFERROR(SUMPRODUCT(((BULK_ENABLED="Y")*((BULK_TIER="ALL")+(BULK_TIER=$F74))*((BULK_SKU="ALL")+(BULK_SKU=$G74))*(BULK_START&lt;=5)*(BULK_END&gt;=5))*IFERROR(BULK_VALUE,0))/MAX(1,SUMPRODUCT(((BULK_ENABLED="Y")*((BULK_TIER="ALL")+(BULK_TIER=$F74))*((BULK_SKU="ALL")+(BULK_SKU=$G74))*(BULK_START&lt;=5)*(BULK_END&gt;=5)))),0),ROUND((INDEX(VELOCITY_TABLE,MATCH($F74,TIER_LIST,0),1))*(IF((5-$I74+1)&lt;=0,0,IF((5-$I74+1)=1,RAMP_W1,IF((5-$I74+1)=2,RAMP_W2,IF((5-$I74+1)=3,RAMP_W3,RAMP_W4PLUS)))))*(INDEX(ACTIVE_MULT_TABLE,1,1))*(1+SUMPRODUCT(SIGN(((ACT_DOOR_SCOPE="ALL")+(ACT_DOOR_SCOPE="TIER_"&amp;$F74)+(ACT_DOOR_SCOPE=$B74)))*SIGN(((ACT_SKU_SCOPE="ALL")+(ACT_SKU_SCOPE=$G74)))*(ACT_START&lt;=5)*(ACT_END&gt;=5)*IFERROR(ACT_UPLIFT-1,0)))*(1+SUMPRODUCT(SIGN(((ACT_DOOR_SCOPE="ALL")+(ACT_DOOR_SCOPE="TIER_"&amp;$F74)+(ACT_DOOR_SCOPE=$B74)))*SIGN(((ACT_SKU_SCOPE="ALL")+(ACT_SKU_SCOPE=$G74)))*(5&gt;ACT_END)*(ACT_END&gt;0)*IFERROR(ACT_POSTLIFT,0))),0)))</f>
        <v/>
      </c>
      <c r="O74" s="10">
        <f>IF(OR($H74&lt;&gt;"Y",6&lt;$I74),0,IF(SUMPRODUCT(((BULK_ENABLED="Y")*((BULK_TIER="ALL")+(BULK_TIER=$F74))*((BULK_SKU="ALL")+(BULK_SKU=$G74))*(BULK_START&lt;=6)*(BULK_END&gt;=6)))&gt;0,IFERROR(SUMPRODUCT(((BULK_ENABLED="Y")*((BULK_TIER="ALL")+(BULK_TIER=$F74))*((BULK_SKU="ALL")+(BULK_SKU=$G74))*(BULK_START&lt;=6)*(BULK_END&gt;=6))*IFERROR(BULK_VALUE,0))/MAX(1,SUMPRODUCT(((BULK_ENABLED="Y")*((BULK_TIER="ALL")+(BULK_TIER=$F74))*((BULK_SKU="ALL")+(BULK_SKU=$G74))*(BULK_START&lt;=6)*(BULK_END&gt;=6)))),0),ROUND((INDEX(VELOCITY_TABLE,MATCH($F74,TIER_LIST,0),1))*(IF((6-$I74+1)&lt;=0,0,IF((6-$I74+1)=1,RAMP_W1,IF((6-$I74+1)=2,RAMP_W2,IF((6-$I74+1)=3,RAMP_W3,RAMP_W4PLUS)))))*(INDEX(ACTIVE_MULT_TABLE,1,1))*(1+SUMPRODUCT(SIGN(((ACT_DOOR_SCOPE="ALL")+(ACT_DOOR_SCOPE="TIER_"&amp;$F74)+(ACT_DOOR_SCOPE=$B74)))*SIGN(((ACT_SKU_SCOPE="ALL")+(ACT_SKU_SCOPE=$G74)))*(ACT_START&lt;=6)*(ACT_END&gt;=6)*IFERROR(ACT_UPLIFT-1,0)))*(1+SUMPRODUCT(SIGN(((ACT_DOOR_SCOPE="ALL")+(ACT_DOOR_SCOPE="TIER_"&amp;$F74)+(ACT_DOOR_SCOPE=$B74)))*SIGN(((ACT_SKU_SCOPE="ALL")+(ACT_SKU_SCOPE=$G74)))*(6&gt;ACT_END)*(ACT_END&gt;0)*IFERROR(ACT_POSTLIFT,0))),0)))</f>
        <v/>
      </c>
      <c r="P74" s="10">
        <f>IF(OR($H74&lt;&gt;"Y",7&lt;$I74),0,IF(SUMPRODUCT(((BULK_ENABLED="Y")*((BULK_TIER="ALL")+(BULK_TIER=$F74))*((BULK_SKU="ALL")+(BULK_SKU=$G74))*(BULK_START&lt;=7)*(BULK_END&gt;=7)))&gt;0,IFERROR(SUMPRODUCT(((BULK_ENABLED="Y")*((BULK_TIER="ALL")+(BULK_TIER=$F74))*((BULK_SKU="ALL")+(BULK_SKU=$G74))*(BULK_START&lt;=7)*(BULK_END&gt;=7))*IFERROR(BULK_VALUE,0))/MAX(1,SUMPRODUCT(((BULK_ENABLED="Y")*((BULK_TIER="ALL")+(BULK_TIER=$F74))*((BULK_SKU="ALL")+(BULK_SKU=$G74))*(BULK_START&lt;=7)*(BULK_END&gt;=7)))),0),ROUND((INDEX(VELOCITY_TABLE,MATCH($F74,TIER_LIST,0),1))*(IF((7-$I74+1)&lt;=0,0,IF((7-$I74+1)=1,RAMP_W1,IF((7-$I74+1)=2,RAMP_W2,IF((7-$I74+1)=3,RAMP_W3,RAMP_W4PLUS)))))*(INDEX(ACTIVE_MULT_TABLE,1,1))*(1+SUMPRODUCT(SIGN(((ACT_DOOR_SCOPE="ALL")+(ACT_DOOR_SCOPE="TIER_"&amp;$F74)+(ACT_DOOR_SCOPE=$B74)))*SIGN(((ACT_SKU_SCOPE="ALL")+(ACT_SKU_SCOPE=$G74)))*(ACT_START&lt;=7)*(ACT_END&gt;=7)*IFERROR(ACT_UPLIFT-1,0)))*(1+SUMPRODUCT(SIGN(((ACT_DOOR_SCOPE="ALL")+(ACT_DOOR_SCOPE="TIER_"&amp;$F74)+(ACT_DOOR_SCOPE=$B74)))*SIGN(((ACT_SKU_SCOPE="ALL")+(ACT_SKU_SCOPE=$G74)))*(7&gt;ACT_END)*(ACT_END&gt;0)*IFERROR(ACT_POSTLIFT,0))),0)))</f>
        <v/>
      </c>
      <c r="Q74" s="10">
        <f>IF(OR($H74&lt;&gt;"Y",8&lt;$I74),0,IF(SUMPRODUCT(((BULK_ENABLED="Y")*((BULK_TIER="ALL")+(BULK_TIER=$F74))*((BULK_SKU="ALL")+(BULK_SKU=$G74))*(BULK_START&lt;=8)*(BULK_END&gt;=8)))&gt;0,IFERROR(SUMPRODUCT(((BULK_ENABLED="Y")*((BULK_TIER="ALL")+(BULK_TIER=$F74))*((BULK_SKU="ALL")+(BULK_SKU=$G74))*(BULK_START&lt;=8)*(BULK_END&gt;=8))*IFERROR(BULK_VALUE,0))/MAX(1,SUMPRODUCT(((BULK_ENABLED="Y")*((BULK_TIER="ALL")+(BULK_TIER=$F74))*((BULK_SKU="ALL")+(BULK_SKU=$G74))*(BULK_START&lt;=8)*(BULK_END&gt;=8)))),0),ROUND((INDEX(VELOCITY_TABLE,MATCH($F74,TIER_LIST,0),1))*(IF((8-$I74+1)&lt;=0,0,IF((8-$I74+1)=1,RAMP_W1,IF((8-$I74+1)=2,RAMP_W2,IF((8-$I74+1)=3,RAMP_W3,RAMP_W4PLUS)))))*(INDEX(ACTIVE_MULT_TABLE,1,1))*(1+SUMPRODUCT(SIGN(((ACT_DOOR_SCOPE="ALL")+(ACT_DOOR_SCOPE="TIER_"&amp;$F74)+(ACT_DOOR_SCOPE=$B74)))*SIGN(((ACT_SKU_SCOPE="ALL")+(ACT_SKU_SCOPE=$G74)))*(ACT_START&lt;=8)*(ACT_END&gt;=8)*IFERROR(ACT_UPLIFT-1,0)))*(1+SUMPRODUCT(SIGN(((ACT_DOOR_SCOPE="ALL")+(ACT_DOOR_SCOPE="TIER_"&amp;$F74)+(ACT_DOOR_SCOPE=$B74)))*SIGN(((ACT_SKU_SCOPE="ALL")+(ACT_SKU_SCOPE=$G74)))*(8&gt;ACT_END)*(ACT_END&gt;0)*IFERROR(ACT_POSTLIFT,0))),0)))</f>
        <v/>
      </c>
      <c r="R74" s="10">
        <f>IF(OR($H74&lt;&gt;"Y",9&lt;$I74),0,IF(SUMPRODUCT(((BULK_ENABLED="Y")*((BULK_TIER="ALL")+(BULK_TIER=$F74))*((BULK_SKU="ALL")+(BULK_SKU=$G74))*(BULK_START&lt;=9)*(BULK_END&gt;=9)))&gt;0,IFERROR(SUMPRODUCT(((BULK_ENABLED="Y")*((BULK_TIER="ALL")+(BULK_TIER=$F74))*((BULK_SKU="ALL")+(BULK_SKU=$G74))*(BULK_START&lt;=9)*(BULK_END&gt;=9))*IFERROR(BULK_VALUE,0))/MAX(1,SUMPRODUCT(((BULK_ENABLED="Y")*((BULK_TIER="ALL")+(BULK_TIER=$F74))*((BULK_SKU="ALL")+(BULK_SKU=$G74))*(BULK_START&lt;=9)*(BULK_END&gt;=9)))),0),ROUND((INDEX(VELOCITY_TABLE,MATCH($F74,TIER_LIST,0),1))*(IF((9-$I74+1)&lt;=0,0,IF((9-$I74+1)=1,RAMP_W1,IF((9-$I74+1)=2,RAMP_W2,IF((9-$I74+1)=3,RAMP_W3,RAMP_W4PLUS)))))*(INDEX(ACTIVE_MULT_TABLE,1,1))*(1+SUMPRODUCT(SIGN(((ACT_DOOR_SCOPE="ALL")+(ACT_DOOR_SCOPE="TIER_"&amp;$F74)+(ACT_DOOR_SCOPE=$B74)))*SIGN(((ACT_SKU_SCOPE="ALL")+(ACT_SKU_SCOPE=$G74)))*(ACT_START&lt;=9)*(ACT_END&gt;=9)*IFERROR(ACT_UPLIFT-1,0)))*(1+SUMPRODUCT(SIGN(((ACT_DOOR_SCOPE="ALL")+(ACT_DOOR_SCOPE="TIER_"&amp;$F74)+(ACT_DOOR_SCOPE=$B74)))*SIGN(((ACT_SKU_SCOPE="ALL")+(ACT_SKU_SCOPE=$G74)))*(9&gt;ACT_END)*(ACT_END&gt;0)*IFERROR(ACT_POSTLIFT,0))),0)))</f>
        <v/>
      </c>
      <c r="S74" s="10">
        <f>IF(OR($H74&lt;&gt;"Y",10&lt;$I74),0,IF(SUMPRODUCT(((BULK_ENABLED="Y")*((BULK_TIER="ALL")+(BULK_TIER=$F74))*((BULK_SKU="ALL")+(BULK_SKU=$G74))*(BULK_START&lt;=10)*(BULK_END&gt;=10)))&gt;0,IFERROR(SUMPRODUCT(((BULK_ENABLED="Y")*((BULK_TIER="ALL")+(BULK_TIER=$F74))*((BULK_SKU="ALL")+(BULK_SKU=$G74))*(BULK_START&lt;=10)*(BULK_END&gt;=10))*IFERROR(BULK_VALUE,0))/MAX(1,SUMPRODUCT(((BULK_ENABLED="Y")*((BULK_TIER="ALL")+(BULK_TIER=$F74))*((BULK_SKU="ALL")+(BULK_SKU=$G74))*(BULK_START&lt;=10)*(BULK_END&gt;=10)))),0),ROUND((INDEX(VELOCITY_TABLE,MATCH($F74,TIER_LIST,0),1))*(IF((10-$I74+1)&lt;=0,0,IF((10-$I74+1)=1,RAMP_W1,IF((10-$I74+1)=2,RAMP_W2,IF((10-$I74+1)=3,RAMP_W3,RAMP_W4PLUS)))))*(INDEX(ACTIVE_MULT_TABLE,1,1))*(1+SUMPRODUCT(SIGN(((ACT_DOOR_SCOPE="ALL")+(ACT_DOOR_SCOPE="TIER_"&amp;$F74)+(ACT_DOOR_SCOPE=$B74)))*SIGN(((ACT_SKU_SCOPE="ALL")+(ACT_SKU_SCOPE=$G74)))*(ACT_START&lt;=10)*(ACT_END&gt;=10)*IFERROR(ACT_UPLIFT-1,0)))*(1+SUMPRODUCT(SIGN(((ACT_DOOR_SCOPE="ALL")+(ACT_DOOR_SCOPE="TIER_"&amp;$F74)+(ACT_DOOR_SCOPE=$B74)))*SIGN(((ACT_SKU_SCOPE="ALL")+(ACT_SKU_SCOPE=$G74)))*(10&gt;ACT_END)*(ACT_END&gt;0)*IFERROR(ACT_POSTLIFT,0))),0)))</f>
        <v/>
      </c>
      <c r="T74" s="10">
        <f>IF(OR($H74&lt;&gt;"Y",11&lt;$I74),0,IF(SUMPRODUCT(((BULK_ENABLED="Y")*((BULK_TIER="ALL")+(BULK_TIER=$F74))*((BULK_SKU="ALL")+(BULK_SKU=$G74))*(BULK_START&lt;=11)*(BULK_END&gt;=11)))&gt;0,IFERROR(SUMPRODUCT(((BULK_ENABLED="Y")*((BULK_TIER="ALL")+(BULK_TIER=$F74))*((BULK_SKU="ALL")+(BULK_SKU=$G74))*(BULK_START&lt;=11)*(BULK_END&gt;=11))*IFERROR(BULK_VALUE,0))/MAX(1,SUMPRODUCT(((BULK_ENABLED="Y")*((BULK_TIER="ALL")+(BULK_TIER=$F74))*((BULK_SKU="ALL")+(BULK_SKU=$G74))*(BULK_START&lt;=11)*(BULK_END&gt;=11)))),0),ROUND((INDEX(VELOCITY_TABLE,MATCH($F74,TIER_LIST,0),1))*(IF((11-$I74+1)&lt;=0,0,IF((11-$I74+1)=1,RAMP_W1,IF((11-$I74+1)=2,RAMP_W2,IF((11-$I74+1)=3,RAMP_W3,RAMP_W4PLUS)))))*(INDEX(ACTIVE_MULT_TABLE,1,1))*(1+SUMPRODUCT(SIGN(((ACT_DOOR_SCOPE="ALL")+(ACT_DOOR_SCOPE="TIER_"&amp;$F74)+(ACT_DOOR_SCOPE=$B74)))*SIGN(((ACT_SKU_SCOPE="ALL")+(ACT_SKU_SCOPE=$G74)))*(ACT_START&lt;=11)*(ACT_END&gt;=11)*IFERROR(ACT_UPLIFT-1,0)))*(1+SUMPRODUCT(SIGN(((ACT_DOOR_SCOPE="ALL")+(ACT_DOOR_SCOPE="TIER_"&amp;$F74)+(ACT_DOOR_SCOPE=$B74)))*SIGN(((ACT_SKU_SCOPE="ALL")+(ACT_SKU_SCOPE=$G74)))*(11&gt;ACT_END)*(ACT_END&gt;0)*IFERROR(ACT_POSTLIFT,0))),0)))</f>
        <v/>
      </c>
      <c r="U74" s="10">
        <f>IF(OR($H74&lt;&gt;"Y",12&lt;$I74),0,IF(SUMPRODUCT(((BULK_ENABLED="Y")*((BULK_TIER="ALL")+(BULK_TIER=$F74))*((BULK_SKU="ALL")+(BULK_SKU=$G74))*(BULK_START&lt;=12)*(BULK_END&gt;=12)))&gt;0,IFERROR(SUMPRODUCT(((BULK_ENABLED="Y")*((BULK_TIER="ALL")+(BULK_TIER=$F74))*((BULK_SKU="ALL")+(BULK_SKU=$G74))*(BULK_START&lt;=12)*(BULK_END&gt;=12))*IFERROR(BULK_VALUE,0))/MAX(1,SUMPRODUCT(((BULK_ENABLED="Y")*((BULK_TIER="ALL")+(BULK_TIER=$F74))*((BULK_SKU="ALL")+(BULK_SKU=$G74))*(BULK_START&lt;=12)*(BULK_END&gt;=12)))),0),ROUND((INDEX(VELOCITY_TABLE,MATCH($F74,TIER_LIST,0),1))*(IF((12-$I74+1)&lt;=0,0,IF((12-$I74+1)=1,RAMP_W1,IF((12-$I74+1)=2,RAMP_W2,IF((12-$I74+1)=3,RAMP_W3,RAMP_W4PLUS)))))*(INDEX(ACTIVE_MULT_TABLE,1,1))*(1+SUMPRODUCT(SIGN(((ACT_DOOR_SCOPE="ALL")+(ACT_DOOR_SCOPE="TIER_"&amp;$F74)+(ACT_DOOR_SCOPE=$B74)))*SIGN(((ACT_SKU_SCOPE="ALL")+(ACT_SKU_SCOPE=$G74)))*(ACT_START&lt;=12)*(ACT_END&gt;=12)*IFERROR(ACT_UPLIFT-1,0)))*(1+SUMPRODUCT(SIGN(((ACT_DOOR_SCOPE="ALL")+(ACT_DOOR_SCOPE="TIER_"&amp;$F74)+(ACT_DOOR_SCOPE=$B74)))*SIGN(((ACT_SKU_SCOPE="ALL")+(ACT_SKU_SCOPE=$G74)))*(12&gt;ACT_END)*(ACT_END&gt;0)*IFERROR(ACT_POSTLIFT,0))),0)))</f>
        <v/>
      </c>
      <c r="V74" s="10">
        <f>IF(OR($H74&lt;&gt;"Y",13&lt;$I74),0,IF(SUMPRODUCT(((BULK_ENABLED="Y")*((BULK_TIER="ALL")+(BULK_TIER=$F74))*((BULK_SKU="ALL")+(BULK_SKU=$G74))*(BULK_START&lt;=13)*(BULK_END&gt;=13)))&gt;0,IFERROR(SUMPRODUCT(((BULK_ENABLED="Y")*((BULK_TIER="ALL")+(BULK_TIER=$F74))*((BULK_SKU="ALL")+(BULK_SKU=$G74))*(BULK_START&lt;=13)*(BULK_END&gt;=13))*IFERROR(BULK_VALUE,0))/MAX(1,SUMPRODUCT(((BULK_ENABLED="Y")*((BULK_TIER="ALL")+(BULK_TIER=$F74))*((BULK_SKU="ALL")+(BULK_SKU=$G74))*(BULK_START&lt;=13)*(BULK_END&gt;=13)))),0),ROUND((INDEX(VELOCITY_TABLE,MATCH($F74,TIER_LIST,0),1))*(IF((13-$I74+1)&lt;=0,0,IF((13-$I74+1)=1,RAMP_W1,IF((13-$I74+1)=2,RAMP_W2,IF((13-$I74+1)=3,RAMP_W3,RAMP_W4PLUS)))))*(INDEX(ACTIVE_MULT_TABLE,1,1))*(1+SUMPRODUCT(SIGN(((ACT_DOOR_SCOPE="ALL")+(ACT_DOOR_SCOPE="TIER_"&amp;$F74)+(ACT_DOOR_SCOPE=$B74)))*SIGN(((ACT_SKU_SCOPE="ALL")+(ACT_SKU_SCOPE=$G74)))*(ACT_START&lt;=13)*(ACT_END&gt;=13)*IFERROR(ACT_UPLIFT-1,0)))*(1+SUMPRODUCT(SIGN(((ACT_DOOR_SCOPE="ALL")+(ACT_DOOR_SCOPE="TIER_"&amp;$F74)+(ACT_DOOR_SCOPE=$B74)))*SIGN(((ACT_SKU_SCOPE="ALL")+(ACT_SKU_SCOPE=$G74)))*(13&gt;ACT_END)*(ACT_END&gt;0)*IFERROR(ACT_POSTLIFT,0))),0)))</f>
        <v/>
      </c>
    </row>
    <row r="75">
      <c r="A75" t="inlineStr">
        <is>
          <t>R0071</t>
        </is>
      </c>
      <c r="B75">
        <f>Doors!$A$28</f>
        <v/>
      </c>
      <c r="C75">
        <f>Doors!$C$28</f>
        <v/>
      </c>
      <c r="D75">
        <f>Doors!$B$28</f>
        <v/>
      </c>
      <c r="E75">
        <f>Doors!$E$28</f>
        <v/>
      </c>
      <c r="F75">
        <f>Doors!$F$28</f>
        <v/>
      </c>
      <c r="G75" t="inlineStr">
        <is>
          <t>Pineapple Passion Fruit</t>
        </is>
      </c>
      <c r="H75">
        <f>Doors!$H$28</f>
        <v/>
      </c>
      <c r="I75">
        <f>Doors!$J$28</f>
        <v/>
      </c>
      <c r="J75" s="10">
        <f>IF(OR($H75&lt;&gt;"Y",1&lt;$I75),0,IF(SUMPRODUCT(((BULK_ENABLED="Y")*((BULK_TIER="ALL")+(BULK_TIER=$F75))*((BULK_SKU="ALL")+(BULK_SKU=$G75))*(BULK_START&lt;=1)*(BULK_END&gt;=1)))&gt;0,IFERROR(SUMPRODUCT(((BULK_ENABLED="Y")*((BULK_TIER="ALL")+(BULK_TIER=$F75))*((BULK_SKU="ALL")+(BULK_SKU=$G75))*(BULK_START&lt;=1)*(BULK_END&gt;=1))*IFERROR(BULK_VALUE,0))/MAX(1,SUMPRODUCT(((BULK_ENABLED="Y")*((BULK_TIER="ALL")+(BULK_TIER=$F75))*((BULK_SKU="ALL")+(BULK_SKU=$G75))*(BULK_START&lt;=1)*(BULK_END&gt;=1)))),0),ROUND((INDEX(VELOCITY_TABLE,MATCH($F75,TIER_LIST,0),2))*(IF((1-$I75+1)&lt;=0,0,IF((1-$I75+1)=1,RAMP_W1,IF((1-$I75+1)=2,RAMP_W2,IF((1-$I75+1)=3,RAMP_W3,RAMP_W4PLUS)))))*(INDEX(ACTIVE_MULT_TABLE,2,1))*(1+SUMPRODUCT(SIGN(((ACT_DOOR_SCOPE="ALL")+(ACT_DOOR_SCOPE="TIER_"&amp;$F75)+(ACT_DOOR_SCOPE=$B75)))*SIGN(((ACT_SKU_SCOPE="ALL")+(ACT_SKU_SCOPE=$G75)))*(ACT_START&lt;=1)*(ACT_END&gt;=1)*IFERROR(ACT_UPLIFT-1,0)))*(1+SUMPRODUCT(SIGN(((ACT_DOOR_SCOPE="ALL")+(ACT_DOOR_SCOPE="TIER_"&amp;$F75)+(ACT_DOOR_SCOPE=$B75)))*SIGN(((ACT_SKU_SCOPE="ALL")+(ACT_SKU_SCOPE=$G75)))*(1&gt;ACT_END)*(ACT_END&gt;0)*IFERROR(ACT_POSTLIFT,0))),0)))</f>
        <v/>
      </c>
      <c r="K75" s="10">
        <f>IF(OR($H75&lt;&gt;"Y",2&lt;$I75),0,IF(SUMPRODUCT(((BULK_ENABLED="Y")*((BULK_TIER="ALL")+(BULK_TIER=$F75))*((BULK_SKU="ALL")+(BULK_SKU=$G75))*(BULK_START&lt;=2)*(BULK_END&gt;=2)))&gt;0,IFERROR(SUMPRODUCT(((BULK_ENABLED="Y")*((BULK_TIER="ALL")+(BULK_TIER=$F75))*((BULK_SKU="ALL")+(BULK_SKU=$G75))*(BULK_START&lt;=2)*(BULK_END&gt;=2))*IFERROR(BULK_VALUE,0))/MAX(1,SUMPRODUCT(((BULK_ENABLED="Y")*((BULK_TIER="ALL")+(BULK_TIER=$F75))*((BULK_SKU="ALL")+(BULK_SKU=$G75))*(BULK_START&lt;=2)*(BULK_END&gt;=2)))),0),ROUND((INDEX(VELOCITY_TABLE,MATCH($F75,TIER_LIST,0),2))*(IF((2-$I75+1)&lt;=0,0,IF((2-$I75+1)=1,RAMP_W1,IF((2-$I75+1)=2,RAMP_W2,IF((2-$I75+1)=3,RAMP_W3,RAMP_W4PLUS)))))*(INDEX(ACTIVE_MULT_TABLE,2,1))*(1+SUMPRODUCT(SIGN(((ACT_DOOR_SCOPE="ALL")+(ACT_DOOR_SCOPE="TIER_"&amp;$F75)+(ACT_DOOR_SCOPE=$B75)))*SIGN(((ACT_SKU_SCOPE="ALL")+(ACT_SKU_SCOPE=$G75)))*(ACT_START&lt;=2)*(ACT_END&gt;=2)*IFERROR(ACT_UPLIFT-1,0)))*(1+SUMPRODUCT(SIGN(((ACT_DOOR_SCOPE="ALL")+(ACT_DOOR_SCOPE="TIER_"&amp;$F75)+(ACT_DOOR_SCOPE=$B75)))*SIGN(((ACT_SKU_SCOPE="ALL")+(ACT_SKU_SCOPE=$G75)))*(2&gt;ACT_END)*(ACT_END&gt;0)*IFERROR(ACT_POSTLIFT,0))),0)))</f>
        <v/>
      </c>
      <c r="L75" s="10">
        <f>IF(OR($H75&lt;&gt;"Y",3&lt;$I75),0,IF(SUMPRODUCT(((BULK_ENABLED="Y")*((BULK_TIER="ALL")+(BULK_TIER=$F75))*((BULK_SKU="ALL")+(BULK_SKU=$G75))*(BULK_START&lt;=3)*(BULK_END&gt;=3)))&gt;0,IFERROR(SUMPRODUCT(((BULK_ENABLED="Y")*((BULK_TIER="ALL")+(BULK_TIER=$F75))*((BULK_SKU="ALL")+(BULK_SKU=$G75))*(BULK_START&lt;=3)*(BULK_END&gt;=3))*IFERROR(BULK_VALUE,0))/MAX(1,SUMPRODUCT(((BULK_ENABLED="Y")*((BULK_TIER="ALL")+(BULK_TIER=$F75))*((BULK_SKU="ALL")+(BULK_SKU=$G75))*(BULK_START&lt;=3)*(BULK_END&gt;=3)))),0),ROUND((INDEX(VELOCITY_TABLE,MATCH($F75,TIER_LIST,0),2))*(IF((3-$I75+1)&lt;=0,0,IF((3-$I75+1)=1,RAMP_W1,IF((3-$I75+1)=2,RAMP_W2,IF((3-$I75+1)=3,RAMP_W3,RAMP_W4PLUS)))))*(INDEX(ACTIVE_MULT_TABLE,2,1))*(1+SUMPRODUCT(SIGN(((ACT_DOOR_SCOPE="ALL")+(ACT_DOOR_SCOPE="TIER_"&amp;$F75)+(ACT_DOOR_SCOPE=$B75)))*SIGN(((ACT_SKU_SCOPE="ALL")+(ACT_SKU_SCOPE=$G75)))*(ACT_START&lt;=3)*(ACT_END&gt;=3)*IFERROR(ACT_UPLIFT-1,0)))*(1+SUMPRODUCT(SIGN(((ACT_DOOR_SCOPE="ALL")+(ACT_DOOR_SCOPE="TIER_"&amp;$F75)+(ACT_DOOR_SCOPE=$B75)))*SIGN(((ACT_SKU_SCOPE="ALL")+(ACT_SKU_SCOPE=$G75)))*(3&gt;ACT_END)*(ACT_END&gt;0)*IFERROR(ACT_POSTLIFT,0))),0)))</f>
        <v/>
      </c>
      <c r="M75" s="10">
        <f>IF(OR($H75&lt;&gt;"Y",4&lt;$I75),0,IF(SUMPRODUCT(((BULK_ENABLED="Y")*((BULK_TIER="ALL")+(BULK_TIER=$F75))*((BULK_SKU="ALL")+(BULK_SKU=$G75))*(BULK_START&lt;=4)*(BULK_END&gt;=4)))&gt;0,IFERROR(SUMPRODUCT(((BULK_ENABLED="Y")*((BULK_TIER="ALL")+(BULK_TIER=$F75))*((BULK_SKU="ALL")+(BULK_SKU=$G75))*(BULK_START&lt;=4)*(BULK_END&gt;=4))*IFERROR(BULK_VALUE,0))/MAX(1,SUMPRODUCT(((BULK_ENABLED="Y")*((BULK_TIER="ALL")+(BULK_TIER=$F75))*((BULK_SKU="ALL")+(BULK_SKU=$G75))*(BULK_START&lt;=4)*(BULK_END&gt;=4)))),0),ROUND((INDEX(VELOCITY_TABLE,MATCH($F75,TIER_LIST,0),2))*(IF((4-$I75+1)&lt;=0,0,IF((4-$I75+1)=1,RAMP_W1,IF((4-$I75+1)=2,RAMP_W2,IF((4-$I75+1)=3,RAMP_W3,RAMP_W4PLUS)))))*(INDEX(ACTIVE_MULT_TABLE,2,1))*(1+SUMPRODUCT(SIGN(((ACT_DOOR_SCOPE="ALL")+(ACT_DOOR_SCOPE="TIER_"&amp;$F75)+(ACT_DOOR_SCOPE=$B75)))*SIGN(((ACT_SKU_SCOPE="ALL")+(ACT_SKU_SCOPE=$G75)))*(ACT_START&lt;=4)*(ACT_END&gt;=4)*IFERROR(ACT_UPLIFT-1,0)))*(1+SUMPRODUCT(SIGN(((ACT_DOOR_SCOPE="ALL")+(ACT_DOOR_SCOPE="TIER_"&amp;$F75)+(ACT_DOOR_SCOPE=$B75)))*SIGN(((ACT_SKU_SCOPE="ALL")+(ACT_SKU_SCOPE=$G75)))*(4&gt;ACT_END)*(ACT_END&gt;0)*IFERROR(ACT_POSTLIFT,0))),0)))</f>
        <v/>
      </c>
      <c r="N75" s="10">
        <f>IF(OR($H75&lt;&gt;"Y",5&lt;$I75),0,IF(SUMPRODUCT(((BULK_ENABLED="Y")*((BULK_TIER="ALL")+(BULK_TIER=$F75))*((BULK_SKU="ALL")+(BULK_SKU=$G75))*(BULK_START&lt;=5)*(BULK_END&gt;=5)))&gt;0,IFERROR(SUMPRODUCT(((BULK_ENABLED="Y")*((BULK_TIER="ALL")+(BULK_TIER=$F75))*((BULK_SKU="ALL")+(BULK_SKU=$G75))*(BULK_START&lt;=5)*(BULK_END&gt;=5))*IFERROR(BULK_VALUE,0))/MAX(1,SUMPRODUCT(((BULK_ENABLED="Y")*((BULK_TIER="ALL")+(BULK_TIER=$F75))*((BULK_SKU="ALL")+(BULK_SKU=$G75))*(BULK_START&lt;=5)*(BULK_END&gt;=5)))),0),ROUND((INDEX(VELOCITY_TABLE,MATCH($F75,TIER_LIST,0),2))*(IF((5-$I75+1)&lt;=0,0,IF((5-$I75+1)=1,RAMP_W1,IF((5-$I75+1)=2,RAMP_W2,IF((5-$I75+1)=3,RAMP_W3,RAMP_W4PLUS)))))*(INDEX(ACTIVE_MULT_TABLE,2,1))*(1+SUMPRODUCT(SIGN(((ACT_DOOR_SCOPE="ALL")+(ACT_DOOR_SCOPE="TIER_"&amp;$F75)+(ACT_DOOR_SCOPE=$B75)))*SIGN(((ACT_SKU_SCOPE="ALL")+(ACT_SKU_SCOPE=$G75)))*(ACT_START&lt;=5)*(ACT_END&gt;=5)*IFERROR(ACT_UPLIFT-1,0)))*(1+SUMPRODUCT(SIGN(((ACT_DOOR_SCOPE="ALL")+(ACT_DOOR_SCOPE="TIER_"&amp;$F75)+(ACT_DOOR_SCOPE=$B75)))*SIGN(((ACT_SKU_SCOPE="ALL")+(ACT_SKU_SCOPE=$G75)))*(5&gt;ACT_END)*(ACT_END&gt;0)*IFERROR(ACT_POSTLIFT,0))),0)))</f>
        <v/>
      </c>
      <c r="O75" s="10">
        <f>IF(OR($H75&lt;&gt;"Y",6&lt;$I75),0,IF(SUMPRODUCT(((BULK_ENABLED="Y")*((BULK_TIER="ALL")+(BULK_TIER=$F75))*((BULK_SKU="ALL")+(BULK_SKU=$G75))*(BULK_START&lt;=6)*(BULK_END&gt;=6)))&gt;0,IFERROR(SUMPRODUCT(((BULK_ENABLED="Y")*((BULK_TIER="ALL")+(BULK_TIER=$F75))*((BULK_SKU="ALL")+(BULK_SKU=$G75))*(BULK_START&lt;=6)*(BULK_END&gt;=6))*IFERROR(BULK_VALUE,0))/MAX(1,SUMPRODUCT(((BULK_ENABLED="Y")*((BULK_TIER="ALL")+(BULK_TIER=$F75))*((BULK_SKU="ALL")+(BULK_SKU=$G75))*(BULK_START&lt;=6)*(BULK_END&gt;=6)))),0),ROUND((INDEX(VELOCITY_TABLE,MATCH($F75,TIER_LIST,0),2))*(IF((6-$I75+1)&lt;=0,0,IF((6-$I75+1)=1,RAMP_W1,IF((6-$I75+1)=2,RAMP_W2,IF((6-$I75+1)=3,RAMP_W3,RAMP_W4PLUS)))))*(INDEX(ACTIVE_MULT_TABLE,2,1))*(1+SUMPRODUCT(SIGN(((ACT_DOOR_SCOPE="ALL")+(ACT_DOOR_SCOPE="TIER_"&amp;$F75)+(ACT_DOOR_SCOPE=$B75)))*SIGN(((ACT_SKU_SCOPE="ALL")+(ACT_SKU_SCOPE=$G75)))*(ACT_START&lt;=6)*(ACT_END&gt;=6)*IFERROR(ACT_UPLIFT-1,0)))*(1+SUMPRODUCT(SIGN(((ACT_DOOR_SCOPE="ALL")+(ACT_DOOR_SCOPE="TIER_"&amp;$F75)+(ACT_DOOR_SCOPE=$B75)))*SIGN(((ACT_SKU_SCOPE="ALL")+(ACT_SKU_SCOPE=$G75)))*(6&gt;ACT_END)*(ACT_END&gt;0)*IFERROR(ACT_POSTLIFT,0))),0)))</f>
        <v/>
      </c>
      <c r="P75" s="10">
        <f>IF(OR($H75&lt;&gt;"Y",7&lt;$I75),0,IF(SUMPRODUCT(((BULK_ENABLED="Y")*((BULK_TIER="ALL")+(BULK_TIER=$F75))*((BULK_SKU="ALL")+(BULK_SKU=$G75))*(BULK_START&lt;=7)*(BULK_END&gt;=7)))&gt;0,IFERROR(SUMPRODUCT(((BULK_ENABLED="Y")*((BULK_TIER="ALL")+(BULK_TIER=$F75))*((BULK_SKU="ALL")+(BULK_SKU=$G75))*(BULK_START&lt;=7)*(BULK_END&gt;=7))*IFERROR(BULK_VALUE,0))/MAX(1,SUMPRODUCT(((BULK_ENABLED="Y")*((BULK_TIER="ALL")+(BULK_TIER=$F75))*((BULK_SKU="ALL")+(BULK_SKU=$G75))*(BULK_START&lt;=7)*(BULK_END&gt;=7)))),0),ROUND((INDEX(VELOCITY_TABLE,MATCH($F75,TIER_LIST,0),2))*(IF((7-$I75+1)&lt;=0,0,IF((7-$I75+1)=1,RAMP_W1,IF((7-$I75+1)=2,RAMP_W2,IF((7-$I75+1)=3,RAMP_W3,RAMP_W4PLUS)))))*(INDEX(ACTIVE_MULT_TABLE,2,1))*(1+SUMPRODUCT(SIGN(((ACT_DOOR_SCOPE="ALL")+(ACT_DOOR_SCOPE="TIER_"&amp;$F75)+(ACT_DOOR_SCOPE=$B75)))*SIGN(((ACT_SKU_SCOPE="ALL")+(ACT_SKU_SCOPE=$G75)))*(ACT_START&lt;=7)*(ACT_END&gt;=7)*IFERROR(ACT_UPLIFT-1,0)))*(1+SUMPRODUCT(SIGN(((ACT_DOOR_SCOPE="ALL")+(ACT_DOOR_SCOPE="TIER_"&amp;$F75)+(ACT_DOOR_SCOPE=$B75)))*SIGN(((ACT_SKU_SCOPE="ALL")+(ACT_SKU_SCOPE=$G75)))*(7&gt;ACT_END)*(ACT_END&gt;0)*IFERROR(ACT_POSTLIFT,0))),0)))</f>
        <v/>
      </c>
      <c r="Q75" s="10">
        <f>IF(OR($H75&lt;&gt;"Y",8&lt;$I75),0,IF(SUMPRODUCT(((BULK_ENABLED="Y")*((BULK_TIER="ALL")+(BULK_TIER=$F75))*((BULK_SKU="ALL")+(BULK_SKU=$G75))*(BULK_START&lt;=8)*(BULK_END&gt;=8)))&gt;0,IFERROR(SUMPRODUCT(((BULK_ENABLED="Y")*((BULK_TIER="ALL")+(BULK_TIER=$F75))*((BULK_SKU="ALL")+(BULK_SKU=$G75))*(BULK_START&lt;=8)*(BULK_END&gt;=8))*IFERROR(BULK_VALUE,0))/MAX(1,SUMPRODUCT(((BULK_ENABLED="Y")*((BULK_TIER="ALL")+(BULK_TIER=$F75))*((BULK_SKU="ALL")+(BULK_SKU=$G75))*(BULK_START&lt;=8)*(BULK_END&gt;=8)))),0),ROUND((INDEX(VELOCITY_TABLE,MATCH($F75,TIER_LIST,0),2))*(IF((8-$I75+1)&lt;=0,0,IF((8-$I75+1)=1,RAMP_W1,IF((8-$I75+1)=2,RAMP_W2,IF((8-$I75+1)=3,RAMP_W3,RAMP_W4PLUS)))))*(INDEX(ACTIVE_MULT_TABLE,2,1))*(1+SUMPRODUCT(SIGN(((ACT_DOOR_SCOPE="ALL")+(ACT_DOOR_SCOPE="TIER_"&amp;$F75)+(ACT_DOOR_SCOPE=$B75)))*SIGN(((ACT_SKU_SCOPE="ALL")+(ACT_SKU_SCOPE=$G75)))*(ACT_START&lt;=8)*(ACT_END&gt;=8)*IFERROR(ACT_UPLIFT-1,0)))*(1+SUMPRODUCT(SIGN(((ACT_DOOR_SCOPE="ALL")+(ACT_DOOR_SCOPE="TIER_"&amp;$F75)+(ACT_DOOR_SCOPE=$B75)))*SIGN(((ACT_SKU_SCOPE="ALL")+(ACT_SKU_SCOPE=$G75)))*(8&gt;ACT_END)*(ACT_END&gt;0)*IFERROR(ACT_POSTLIFT,0))),0)))</f>
        <v/>
      </c>
      <c r="R75" s="10">
        <f>IF(OR($H75&lt;&gt;"Y",9&lt;$I75),0,IF(SUMPRODUCT(((BULK_ENABLED="Y")*((BULK_TIER="ALL")+(BULK_TIER=$F75))*((BULK_SKU="ALL")+(BULK_SKU=$G75))*(BULK_START&lt;=9)*(BULK_END&gt;=9)))&gt;0,IFERROR(SUMPRODUCT(((BULK_ENABLED="Y")*((BULK_TIER="ALL")+(BULK_TIER=$F75))*((BULK_SKU="ALL")+(BULK_SKU=$G75))*(BULK_START&lt;=9)*(BULK_END&gt;=9))*IFERROR(BULK_VALUE,0))/MAX(1,SUMPRODUCT(((BULK_ENABLED="Y")*((BULK_TIER="ALL")+(BULK_TIER=$F75))*((BULK_SKU="ALL")+(BULK_SKU=$G75))*(BULK_START&lt;=9)*(BULK_END&gt;=9)))),0),ROUND((INDEX(VELOCITY_TABLE,MATCH($F75,TIER_LIST,0),2))*(IF((9-$I75+1)&lt;=0,0,IF((9-$I75+1)=1,RAMP_W1,IF((9-$I75+1)=2,RAMP_W2,IF((9-$I75+1)=3,RAMP_W3,RAMP_W4PLUS)))))*(INDEX(ACTIVE_MULT_TABLE,2,1))*(1+SUMPRODUCT(SIGN(((ACT_DOOR_SCOPE="ALL")+(ACT_DOOR_SCOPE="TIER_"&amp;$F75)+(ACT_DOOR_SCOPE=$B75)))*SIGN(((ACT_SKU_SCOPE="ALL")+(ACT_SKU_SCOPE=$G75)))*(ACT_START&lt;=9)*(ACT_END&gt;=9)*IFERROR(ACT_UPLIFT-1,0)))*(1+SUMPRODUCT(SIGN(((ACT_DOOR_SCOPE="ALL")+(ACT_DOOR_SCOPE="TIER_"&amp;$F75)+(ACT_DOOR_SCOPE=$B75)))*SIGN(((ACT_SKU_SCOPE="ALL")+(ACT_SKU_SCOPE=$G75)))*(9&gt;ACT_END)*(ACT_END&gt;0)*IFERROR(ACT_POSTLIFT,0))),0)))</f>
        <v/>
      </c>
      <c r="S75" s="10">
        <f>IF(OR($H75&lt;&gt;"Y",10&lt;$I75),0,IF(SUMPRODUCT(((BULK_ENABLED="Y")*((BULK_TIER="ALL")+(BULK_TIER=$F75))*((BULK_SKU="ALL")+(BULK_SKU=$G75))*(BULK_START&lt;=10)*(BULK_END&gt;=10)))&gt;0,IFERROR(SUMPRODUCT(((BULK_ENABLED="Y")*((BULK_TIER="ALL")+(BULK_TIER=$F75))*((BULK_SKU="ALL")+(BULK_SKU=$G75))*(BULK_START&lt;=10)*(BULK_END&gt;=10))*IFERROR(BULK_VALUE,0))/MAX(1,SUMPRODUCT(((BULK_ENABLED="Y")*((BULK_TIER="ALL")+(BULK_TIER=$F75))*((BULK_SKU="ALL")+(BULK_SKU=$G75))*(BULK_START&lt;=10)*(BULK_END&gt;=10)))),0),ROUND((INDEX(VELOCITY_TABLE,MATCH($F75,TIER_LIST,0),2))*(IF((10-$I75+1)&lt;=0,0,IF((10-$I75+1)=1,RAMP_W1,IF((10-$I75+1)=2,RAMP_W2,IF((10-$I75+1)=3,RAMP_W3,RAMP_W4PLUS)))))*(INDEX(ACTIVE_MULT_TABLE,2,1))*(1+SUMPRODUCT(SIGN(((ACT_DOOR_SCOPE="ALL")+(ACT_DOOR_SCOPE="TIER_"&amp;$F75)+(ACT_DOOR_SCOPE=$B75)))*SIGN(((ACT_SKU_SCOPE="ALL")+(ACT_SKU_SCOPE=$G75)))*(ACT_START&lt;=10)*(ACT_END&gt;=10)*IFERROR(ACT_UPLIFT-1,0)))*(1+SUMPRODUCT(SIGN(((ACT_DOOR_SCOPE="ALL")+(ACT_DOOR_SCOPE="TIER_"&amp;$F75)+(ACT_DOOR_SCOPE=$B75)))*SIGN(((ACT_SKU_SCOPE="ALL")+(ACT_SKU_SCOPE=$G75)))*(10&gt;ACT_END)*(ACT_END&gt;0)*IFERROR(ACT_POSTLIFT,0))),0)))</f>
        <v/>
      </c>
      <c r="T75" s="10">
        <f>IF(OR($H75&lt;&gt;"Y",11&lt;$I75),0,IF(SUMPRODUCT(((BULK_ENABLED="Y")*((BULK_TIER="ALL")+(BULK_TIER=$F75))*((BULK_SKU="ALL")+(BULK_SKU=$G75))*(BULK_START&lt;=11)*(BULK_END&gt;=11)))&gt;0,IFERROR(SUMPRODUCT(((BULK_ENABLED="Y")*((BULK_TIER="ALL")+(BULK_TIER=$F75))*((BULK_SKU="ALL")+(BULK_SKU=$G75))*(BULK_START&lt;=11)*(BULK_END&gt;=11))*IFERROR(BULK_VALUE,0))/MAX(1,SUMPRODUCT(((BULK_ENABLED="Y")*((BULK_TIER="ALL")+(BULK_TIER=$F75))*((BULK_SKU="ALL")+(BULK_SKU=$G75))*(BULK_START&lt;=11)*(BULK_END&gt;=11)))),0),ROUND((INDEX(VELOCITY_TABLE,MATCH($F75,TIER_LIST,0),2))*(IF((11-$I75+1)&lt;=0,0,IF((11-$I75+1)=1,RAMP_W1,IF((11-$I75+1)=2,RAMP_W2,IF((11-$I75+1)=3,RAMP_W3,RAMP_W4PLUS)))))*(INDEX(ACTIVE_MULT_TABLE,2,1))*(1+SUMPRODUCT(SIGN(((ACT_DOOR_SCOPE="ALL")+(ACT_DOOR_SCOPE="TIER_"&amp;$F75)+(ACT_DOOR_SCOPE=$B75)))*SIGN(((ACT_SKU_SCOPE="ALL")+(ACT_SKU_SCOPE=$G75)))*(ACT_START&lt;=11)*(ACT_END&gt;=11)*IFERROR(ACT_UPLIFT-1,0)))*(1+SUMPRODUCT(SIGN(((ACT_DOOR_SCOPE="ALL")+(ACT_DOOR_SCOPE="TIER_"&amp;$F75)+(ACT_DOOR_SCOPE=$B75)))*SIGN(((ACT_SKU_SCOPE="ALL")+(ACT_SKU_SCOPE=$G75)))*(11&gt;ACT_END)*(ACT_END&gt;0)*IFERROR(ACT_POSTLIFT,0))),0)))</f>
        <v/>
      </c>
      <c r="U75" s="10">
        <f>IF(OR($H75&lt;&gt;"Y",12&lt;$I75),0,IF(SUMPRODUCT(((BULK_ENABLED="Y")*((BULK_TIER="ALL")+(BULK_TIER=$F75))*((BULK_SKU="ALL")+(BULK_SKU=$G75))*(BULK_START&lt;=12)*(BULK_END&gt;=12)))&gt;0,IFERROR(SUMPRODUCT(((BULK_ENABLED="Y")*((BULK_TIER="ALL")+(BULK_TIER=$F75))*((BULK_SKU="ALL")+(BULK_SKU=$G75))*(BULK_START&lt;=12)*(BULK_END&gt;=12))*IFERROR(BULK_VALUE,0))/MAX(1,SUMPRODUCT(((BULK_ENABLED="Y")*((BULK_TIER="ALL")+(BULK_TIER=$F75))*((BULK_SKU="ALL")+(BULK_SKU=$G75))*(BULK_START&lt;=12)*(BULK_END&gt;=12)))),0),ROUND((INDEX(VELOCITY_TABLE,MATCH($F75,TIER_LIST,0),2))*(IF((12-$I75+1)&lt;=0,0,IF((12-$I75+1)=1,RAMP_W1,IF((12-$I75+1)=2,RAMP_W2,IF((12-$I75+1)=3,RAMP_W3,RAMP_W4PLUS)))))*(INDEX(ACTIVE_MULT_TABLE,2,1))*(1+SUMPRODUCT(SIGN(((ACT_DOOR_SCOPE="ALL")+(ACT_DOOR_SCOPE="TIER_"&amp;$F75)+(ACT_DOOR_SCOPE=$B75)))*SIGN(((ACT_SKU_SCOPE="ALL")+(ACT_SKU_SCOPE=$G75)))*(ACT_START&lt;=12)*(ACT_END&gt;=12)*IFERROR(ACT_UPLIFT-1,0)))*(1+SUMPRODUCT(SIGN(((ACT_DOOR_SCOPE="ALL")+(ACT_DOOR_SCOPE="TIER_"&amp;$F75)+(ACT_DOOR_SCOPE=$B75)))*SIGN(((ACT_SKU_SCOPE="ALL")+(ACT_SKU_SCOPE=$G75)))*(12&gt;ACT_END)*(ACT_END&gt;0)*IFERROR(ACT_POSTLIFT,0))),0)))</f>
        <v/>
      </c>
      <c r="V75" s="10">
        <f>IF(OR($H75&lt;&gt;"Y",13&lt;$I75),0,IF(SUMPRODUCT(((BULK_ENABLED="Y")*((BULK_TIER="ALL")+(BULK_TIER=$F75))*((BULK_SKU="ALL")+(BULK_SKU=$G75))*(BULK_START&lt;=13)*(BULK_END&gt;=13)))&gt;0,IFERROR(SUMPRODUCT(((BULK_ENABLED="Y")*((BULK_TIER="ALL")+(BULK_TIER=$F75))*((BULK_SKU="ALL")+(BULK_SKU=$G75))*(BULK_START&lt;=13)*(BULK_END&gt;=13))*IFERROR(BULK_VALUE,0))/MAX(1,SUMPRODUCT(((BULK_ENABLED="Y")*((BULK_TIER="ALL")+(BULK_TIER=$F75))*((BULK_SKU="ALL")+(BULK_SKU=$G75))*(BULK_START&lt;=13)*(BULK_END&gt;=13)))),0),ROUND((INDEX(VELOCITY_TABLE,MATCH($F75,TIER_LIST,0),2))*(IF((13-$I75+1)&lt;=0,0,IF((13-$I75+1)=1,RAMP_W1,IF((13-$I75+1)=2,RAMP_W2,IF((13-$I75+1)=3,RAMP_W3,RAMP_W4PLUS)))))*(INDEX(ACTIVE_MULT_TABLE,2,1))*(1+SUMPRODUCT(SIGN(((ACT_DOOR_SCOPE="ALL")+(ACT_DOOR_SCOPE="TIER_"&amp;$F75)+(ACT_DOOR_SCOPE=$B75)))*SIGN(((ACT_SKU_SCOPE="ALL")+(ACT_SKU_SCOPE=$G75)))*(ACT_START&lt;=13)*(ACT_END&gt;=13)*IFERROR(ACT_UPLIFT-1,0)))*(1+SUMPRODUCT(SIGN(((ACT_DOOR_SCOPE="ALL")+(ACT_DOOR_SCOPE="TIER_"&amp;$F75)+(ACT_DOOR_SCOPE=$B75)))*SIGN(((ACT_SKU_SCOPE="ALL")+(ACT_SKU_SCOPE=$G75)))*(13&gt;ACT_END)*(ACT_END&gt;0)*IFERROR(ACT_POSTLIFT,0))),0)))</f>
        <v/>
      </c>
    </row>
    <row r="76">
      <c r="A76" t="inlineStr">
        <is>
          <t>R0072</t>
        </is>
      </c>
      <c r="B76">
        <f>Doors!$A$28</f>
        <v/>
      </c>
      <c r="C76">
        <f>Doors!$C$28</f>
        <v/>
      </c>
      <c r="D76">
        <f>Doors!$B$28</f>
        <v/>
      </c>
      <c r="E76">
        <f>Doors!$E$28</f>
        <v/>
      </c>
      <c r="F76">
        <f>Doors!$F$28</f>
        <v/>
      </c>
      <c r="G76" t="inlineStr">
        <is>
          <t>Raspberry</t>
        </is>
      </c>
      <c r="H76">
        <f>Doors!$I$28</f>
        <v/>
      </c>
      <c r="I76">
        <f>Doors!$J$28</f>
        <v/>
      </c>
      <c r="J76" s="10">
        <f>IF(OR($H76&lt;&gt;"Y",1&lt;$I76),0,IF(SUMPRODUCT(((BULK_ENABLED="Y")*((BULK_TIER="ALL")+(BULK_TIER=$F76))*((BULK_SKU="ALL")+(BULK_SKU=$G76))*(BULK_START&lt;=1)*(BULK_END&gt;=1)))&gt;0,IFERROR(SUMPRODUCT(((BULK_ENABLED="Y")*((BULK_TIER="ALL")+(BULK_TIER=$F76))*((BULK_SKU="ALL")+(BULK_SKU=$G76))*(BULK_START&lt;=1)*(BULK_END&gt;=1))*IFERROR(BULK_VALUE,0))/MAX(1,SUMPRODUCT(((BULK_ENABLED="Y")*((BULK_TIER="ALL")+(BULK_TIER=$F76))*((BULK_SKU="ALL")+(BULK_SKU=$G76))*(BULK_START&lt;=1)*(BULK_END&gt;=1)))),0),ROUND((INDEX(VELOCITY_TABLE,MATCH($F76,TIER_LIST,0),3))*(IF((1-$I76+1)&lt;=0,0,IF((1-$I76+1)=1,RAMP_W1,IF((1-$I76+1)=2,RAMP_W2,IF((1-$I76+1)=3,RAMP_W3,RAMP_W4PLUS)))))*(INDEX(ACTIVE_MULT_TABLE,3,1))*(1+SUMPRODUCT(SIGN(((ACT_DOOR_SCOPE="ALL")+(ACT_DOOR_SCOPE="TIER_"&amp;$F76)+(ACT_DOOR_SCOPE=$B76)))*SIGN(((ACT_SKU_SCOPE="ALL")+(ACT_SKU_SCOPE=$G76)))*(ACT_START&lt;=1)*(ACT_END&gt;=1)*IFERROR(ACT_UPLIFT-1,0)))*(1+SUMPRODUCT(SIGN(((ACT_DOOR_SCOPE="ALL")+(ACT_DOOR_SCOPE="TIER_"&amp;$F76)+(ACT_DOOR_SCOPE=$B76)))*SIGN(((ACT_SKU_SCOPE="ALL")+(ACT_SKU_SCOPE=$G76)))*(1&gt;ACT_END)*(ACT_END&gt;0)*IFERROR(ACT_POSTLIFT,0))),0)))</f>
        <v/>
      </c>
      <c r="K76" s="10">
        <f>IF(OR($H76&lt;&gt;"Y",2&lt;$I76),0,IF(SUMPRODUCT(((BULK_ENABLED="Y")*((BULK_TIER="ALL")+(BULK_TIER=$F76))*((BULK_SKU="ALL")+(BULK_SKU=$G76))*(BULK_START&lt;=2)*(BULK_END&gt;=2)))&gt;0,IFERROR(SUMPRODUCT(((BULK_ENABLED="Y")*((BULK_TIER="ALL")+(BULK_TIER=$F76))*((BULK_SKU="ALL")+(BULK_SKU=$G76))*(BULK_START&lt;=2)*(BULK_END&gt;=2))*IFERROR(BULK_VALUE,0))/MAX(1,SUMPRODUCT(((BULK_ENABLED="Y")*((BULK_TIER="ALL")+(BULK_TIER=$F76))*((BULK_SKU="ALL")+(BULK_SKU=$G76))*(BULK_START&lt;=2)*(BULK_END&gt;=2)))),0),ROUND((INDEX(VELOCITY_TABLE,MATCH($F76,TIER_LIST,0),3))*(IF((2-$I76+1)&lt;=0,0,IF((2-$I76+1)=1,RAMP_W1,IF((2-$I76+1)=2,RAMP_W2,IF((2-$I76+1)=3,RAMP_W3,RAMP_W4PLUS)))))*(INDEX(ACTIVE_MULT_TABLE,3,1))*(1+SUMPRODUCT(SIGN(((ACT_DOOR_SCOPE="ALL")+(ACT_DOOR_SCOPE="TIER_"&amp;$F76)+(ACT_DOOR_SCOPE=$B76)))*SIGN(((ACT_SKU_SCOPE="ALL")+(ACT_SKU_SCOPE=$G76)))*(ACT_START&lt;=2)*(ACT_END&gt;=2)*IFERROR(ACT_UPLIFT-1,0)))*(1+SUMPRODUCT(SIGN(((ACT_DOOR_SCOPE="ALL")+(ACT_DOOR_SCOPE="TIER_"&amp;$F76)+(ACT_DOOR_SCOPE=$B76)))*SIGN(((ACT_SKU_SCOPE="ALL")+(ACT_SKU_SCOPE=$G76)))*(2&gt;ACT_END)*(ACT_END&gt;0)*IFERROR(ACT_POSTLIFT,0))),0)))</f>
        <v/>
      </c>
      <c r="L76" s="10">
        <f>IF(OR($H76&lt;&gt;"Y",3&lt;$I76),0,IF(SUMPRODUCT(((BULK_ENABLED="Y")*((BULK_TIER="ALL")+(BULK_TIER=$F76))*((BULK_SKU="ALL")+(BULK_SKU=$G76))*(BULK_START&lt;=3)*(BULK_END&gt;=3)))&gt;0,IFERROR(SUMPRODUCT(((BULK_ENABLED="Y")*((BULK_TIER="ALL")+(BULK_TIER=$F76))*((BULK_SKU="ALL")+(BULK_SKU=$G76))*(BULK_START&lt;=3)*(BULK_END&gt;=3))*IFERROR(BULK_VALUE,0))/MAX(1,SUMPRODUCT(((BULK_ENABLED="Y")*((BULK_TIER="ALL")+(BULK_TIER=$F76))*((BULK_SKU="ALL")+(BULK_SKU=$G76))*(BULK_START&lt;=3)*(BULK_END&gt;=3)))),0),ROUND((INDEX(VELOCITY_TABLE,MATCH($F76,TIER_LIST,0),3))*(IF((3-$I76+1)&lt;=0,0,IF((3-$I76+1)=1,RAMP_W1,IF((3-$I76+1)=2,RAMP_W2,IF((3-$I76+1)=3,RAMP_W3,RAMP_W4PLUS)))))*(INDEX(ACTIVE_MULT_TABLE,3,1))*(1+SUMPRODUCT(SIGN(((ACT_DOOR_SCOPE="ALL")+(ACT_DOOR_SCOPE="TIER_"&amp;$F76)+(ACT_DOOR_SCOPE=$B76)))*SIGN(((ACT_SKU_SCOPE="ALL")+(ACT_SKU_SCOPE=$G76)))*(ACT_START&lt;=3)*(ACT_END&gt;=3)*IFERROR(ACT_UPLIFT-1,0)))*(1+SUMPRODUCT(SIGN(((ACT_DOOR_SCOPE="ALL")+(ACT_DOOR_SCOPE="TIER_"&amp;$F76)+(ACT_DOOR_SCOPE=$B76)))*SIGN(((ACT_SKU_SCOPE="ALL")+(ACT_SKU_SCOPE=$G76)))*(3&gt;ACT_END)*(ACT_END&gt;0)*IFERROR(ACT_POSTLIFT,0))),0)))</f>
        <v/>
      </c>
      <c r="M76" s="10">
        <f>IF(OR($H76&lt;&gt;"Y",4&lt;$I76),0,IF(SUMPRODUCT(((BULK_ENABLED="Y")*((BULK_TIER="ALL")+(BULK_TIER=$F76))*((BULK_SKU="ALL")+(BULK_SKU=$G76))*(BULK_START&lt;=4)*(BULK_END&gt;=4)))&gt;0,IFERROR(SUMPRODUCT(((BULK_ENABLED="Y")*((BULK_TIER="ALL")+(BULK_TIER=$F76))*((BULK_SKU="ALL")+(BULK_SKU=$G76))*(BULK_START&lt;=4)*(BULK_END&gt;=4))*IFERROR(BULK_VALUE,0))/MAX(1,SUMPRODUCT(((BULK_ENABLED="Y")*((BULK_TIER="ALL")+(BULK_TIER=$F76))*((BULK_SKU="ALL")+(BULK_SKU=$G76))*(BULK_START&lt;=4)*(BULK_END&gt;=4)))),0),ROUND((INDEX(VELOCITY_TABLE,MATCH($F76,TIER_LIST,0),3))*(IF((4-$I76+1)&lt;=0,0,IF((4-$I76+1)=1,RAMP_W1,IF((4-$I76+1)=2,RAMP_W2,IF((4-$I76+1)=3,RAMP_W3,RAMP_W4PLUS)))))*(INDEX(ACTIVE_MULT_TABLE,3,1))*(1+SUMPRODUCT(SIGN(((ACT_DOOR_SCOPE="ALL")+(ACT_DOOR_SCOPE="TIER_"&amp;$F76)+(ACT_DOOR_SCOPE=$B76)))*SIGN(((ACT_SKU_SCOPE="ALL")+(ACT_SKU_SCOPE=$G76)))*(ACT_START&lt;=4)*(ACT_END&gt;=4)*IFERROR(ACT_UPLIFT-1,0)))*(1+SUMPRODUCT(SIGN(((ACT_DOOR_SCOPE="ALL")+(ACT_DOOR_SCOPE="TIER_"&amp;$F76)+(ACT_DOOR_SCOPE=$B76)))*SIGN(((ACT_SKU_SCOPE="ALL")+(ACT_SKU_SCOPE=$G76)))*(4&gt;ACT_END)*(ACT_END&gt;0)*IFERROR(ACT_POSTLIFT,0))),0)))</f>
        <v/>
      </c>
      <c r="N76" s="10">
        <f>IF(OR($H76&lt;&gt;"Y",5&lt;$I76),0,IF(SUMPRODUCT(((BULK_ENABLED="Y")*((BULK_TIER="ALL")+(BULK_TIER=$F76))*((BULK_SKU="ALL")+(BULK_SKU=$G76))*(BULK_START&lt;=5)*(BULK_END&gt;=5)))&gt;0,IFERROR(SUMPRODUCT(((BULK_ENABLED="Y")*((BULK_TIER="ALL")+(BULK_TIER=$F76))*((BULK_SKU="ALL")+(BULK_SKU=$G76))*(BULK_START&lt;=5)*(BULK_END&gt;=5))*IFERROR(BULK_VALUE,0))/MAX(1,SUMPRODUCT(((BULK_ENABLED="Y")*((BULK_TIER="ALL")+(BULK_TIER=$F76))*((BULK_SKU="ALL")+(BULK_SKU=$G76))*(BULK_START&lt;=5)*(BULK_END&gt;=5)))),0),ROUND((INDEX(VELOCITY_TABLE,MATCH($F76,TIER_LIST,0),3))*(IF((5-$I76+1)&lt;=0,0,IF((5-$I76+1)=1,RAMP_W1,IF((5-$I76+1)=2,RAMP_W2,IF((5-$I76+1)=3,RAMP_W3,RAMP_W4PLUS)))))*(INDEX(ACTIVE_MULT_TABLE,3,1))*(1+SUMPRODUCT(SIGN(((ACT_DOOR_SCOPE="ALL")+(ACT_DOOR_SCOPE="TIER_"&amp;$F76)+(ACT_DOOR_SCOPE=$B76)))*SIGN(((ACT_SKU_SCOPE="ALL")+(ACT_SKU_SCOPE=$G76)))*(ACT_START&lt;=5)*(ACT_END&gt;=5)*IFERROR(ACT_UPLIFT-1,0)))*(1+SUMPRODUCT(SIGN(((ACT_DOOR_SCOPE="ALL")+(ACT_DOOR_SCOPE="TIER_"&amp;$F76)+(ACT_DOOR_SCOPE=$B76)))*SIGN(((ACT_SKU_SCOPE="ALL")+(ACT_SKU_SCOPE=$G76)))*(5&gt;ACT_END)*(ACT_END&gt;0)*IFERROR(ACT_POSTLIFT,0))),0)))</f>
        <v/>
      </c>
      <c r="O76" s="10">
        <f>IF(OR($H76&lt;&gt;"Y",6&lt;$I76),0,IF(SUMPRODUCT(((BULK_ENABLED="Y")*((BULK_TIER="ALL")+(BULK_TIER=$F76))*((BULK_SKU="ALL")+(BULK_SKU=$G76))*(BULK_START&lt;=6)*(BULK_END&gt;=6)))&gt;0,IFERROR(SUMPRODUCT(((BULK_ENABLED="Y")*((BULK_TIER="ALL")+(BULK_TIER=$F76))*((BULK_SKU="ALL")+(BULK_SKU=$G76))*(BULK_START&lt;=6)*(BULK_END&gt;=6))*IFERROR(BULK_VALUE,0))/MAX(1,SUMPRODUCT(((BULK_ENABLED="Y")*((BULK_TIER="ALL")+(BULK_TIER=$F76))*((BULK_SKU="ALL")+(BULK_SKU=$G76))*(BULK_START&lt;=6)*(BULK_END&gt;=6)))),0),ROUND((INDEX(VELOCITY_TABLE,MATCH($F76,TIER_LIST,0),3))*(IF((6-$I76+1)&lt;=0,0,IF((6-$I76+1)=1,RAMP_W1,IF((6-$I76+1)=2,RAMP_W2,IF((6-$I76+1)=3,RAMP_W3,RAMP_W4PLUS)))))*(INDEX(ACTIVE_MULT_TABLE,3,1))*(1+SUMPRODUCT(SIGN(((ACT_DOOR_SCOPE="ALL")+(ACT_DOOR_SCOPE="TIER_"&amp;$F76)+(ACT_DOOR_SCOPE=$B76)))*SIGN(((ACT_SKU_SCOPE="ALL")+(ACT_SKU_SCOPE=$G76)))*(ACT_START&lt;=6)*(ACT_END&gt;=6)*IFERROR(ACT_UPLIFT-1,0)))*(1+SUMPRODUCT(SIGN(((ACT_DOOR_SCOPE="ALL")+(ACT_DOOR_SCOPE="TIER_"&amp;$F76)+(ACT_DOOR_SCOPE=$B76)))*SIGN(((ACT_SKU_SCOPE="ALL")+(ACT_SKU_SCOPE=$G76)))*(6&gt;ACT_END)*(ACT_END&gt;0)*IFERROR(ACT_POSTLIFT,0))),0)))</f>
        <v/>
      </c>
      <c r="P76" s="10">
        <f>IF(OR($H76&lt;&gt;"Y",7&lt;$I76),0,IF(SUMPRODUCT(((BULK_ENABLED="Y")*((BULK_TIER="ALL")+(BULK_TIER=$F76))*((BULK_SKU="ALL")+(BULK_SKU=$G76))*(BULK_START&lt;=7)*(BULK_END&gt;=7)))&gt;0,IFERROR(SUMPRODUCT(((BULK_ENABLED="Y")*((BULK_TIER="ALL")+(BULK_TIER=$F76))*((BULK_SKU="ALL")+(BULK_SKU=$G76))*(BULK_START&lt;=7)*(BULK_END&gt;=7))*IFERROR(BULK_VALUE,0))/MAX(1,SUMPRODUCT(((BULK_ENABLED="Y")*((BULK_TIER="ALL")+(BULK_TIER=$F76))*((BULK_SKU="ALL")+(BULK_SKU=$G76))*(BULK_START&lt;=7)*(BULK_END&gt;=7)))),0),ROUND((INDEX(VELOCITY_TABLE,MATCH($F76,TIER_LIST,0),3))*(IF((7-$I76+1)&lt;=0,0,IF((7-$I76+1)=1,RAMP_W1,IF((7-$I76+1)=2,RAMP_W2,IF((7-$I76+1)=3,RAMP_W3,RAMP_W4PLUS)))))*(INDEX(ACTIVE_MULT_TABLE,3,1))*(1+SUMPRODUCT(SIGN(((ACT_DOOR_SCOPE="ALL")+(ACT_DOOR_SCOPE="TIER_"&amp;$F76)+(ACT_DOOR_SCOPE=$B76)))*SIGN(((ACT_SKU_SCOPE="ALL")+(ACT_SKU_SCOPE=$G76)))*(ACT_START&lt;=7)*(ACT_END&gt;=7)*IFERROR(ACT_UPLIFT-1,0)))*(1+SUMPRODUCT(SIGN(((ACT_DOOR_SCOPE="ALL")+(ACT_DOOR_SCOPE="TIER_"&amp;$F76)+(ACT_DOOR_SCOPE=$B76)))*SIGN(((ACT_SKU_SCOPE="ALL")+(ACT_SKU_SCOPE=$G76)))*(7&gt;ACT_END)*(ACT_END&gt;0)*IFERROR(ACT_POSTLIFT,0))),0)))</f>
        <v/>
      </c>
      <c r="Q76" s="10">
        <f>IF(OR($H76&lt;&gt;"Y",8&lt;$I76),0,IF(SUMPRODUCT(((BULK_ENABLED="Y")*((BULK_TIER="ALL")+(BULK_TIER=$F76))*((BULK_SKU="ALL")+(BULK_SKU=$G76))*(BULK_START&lt;=8)*(BULK_END&gt;=8)))&gt;0,IFERROR(SUMPRODUCT(((BULK_ENABLED="Y")*((BULK_TIER="ALL")+(BULK_TIER=$F76))*((BULK_SKU="ALL")+(BULK_SKU=$G76))*(BULK_START&lt;=8)*(BULK_END&gt;=8))*IFERROR(BULK_VALUE,0))/MAX(1,SUMPRODUCT(((BULK_ENABLED="Y")*((BULK_TIER="ALL")+(BULK_TIER=$F76))*((BULK_SKU="ALL")+(BULK_SKU=$G76))*(BULK_START&lt;=8)*(BULK_END&gt;=8)))),0),ROUND((INDEX(VELOCITY_TABLE,MATCH($F76,TIER_LIST,0),3))*(IF((8-$I76+1)&lt;=0,0,IF((8-$I76+1)=1,RAMP_W1,IF((8-$I76+1)=2,RAMP_W2,IF((8-$I76+1)=3,RAMP_W3,RAMP_W4PLUS)))))*(INDEX(ACTIVE_MULT_TABLE,3,1))*(1+SUMPRODUCT(SIGN(((ACT_DOOR_SCOPE="ALL")+(ACT_DOOR_SCOPE="TIER_"&amp;$F76)+(ACT_DOOR_SCOPE=$B76)))*SIGN(((ACT_SKU_SCOPE="ALL")+(ACT_SKU_SCOPE=$G76)))*(ACT_START&lt;=8)*(ACT_END&gt;=8)*IFERROR(ACT_UPLIFT-1,0)))*(1+SUMPRODUCT(SIGN(((ACT_DOOR_SCOPE="ALL")+(ACT_DOOR_SCOPE="TIER_"&amp;$F76)+(ACT_DOOR_SCOPE=$B76)))*SIGN(((ACT_SKU_SCOPE="ALL")+(ACT_SKU_SCOPE=$G76)))*(8&gt;ACT_END)*(ACT_END&gt;0)*IFERROR(ACT_POSTLIFT,0))),0)))</f>
        <v/>
      </c>
      <c r="R76" s="10">
        <f>IF(OR($H76&lt;&gt;"Y",9&lt;$I76),0,IF(SUMPRODUCT(((BULK_ENABLED="Y")*((BULK_TIER="ALL")+(BULK_TIER=$F76))*((BULK_SKU="ALL")+(BULK_SKU=$G76))*(BULK_START&lt;=9)*(BULK_END&gt;=9)))&gt;0,IFERROR(SUMPRODUCT(((BULK_ENABLED="Y")*((BULK_TIER="ALL")+(BULK_TIER=$F76))*((BULK_SKU="ALL")+(BULK_SKU=$G76))*(BULK_START&lt;=9)*(BULK_END&gt;=9))*IFERROR(BULK_VALUE,0))/MAX(1,SUMPRODUCT(((BULK_ENABLED="Y")*((BULK_TIER="ALL")+(BULK_TIER=$F76))*((BULK_SKU="ALL")+(BULK_SKU=$G76))*(BULK_START&lt;=9)*(BULK_END&gt;=9)))),0),ROUND((INDEX(VELOCITY_TABLE,MATCH($F76,TIER_LIST,0),3))*(IF((9-$I76+1)&lt;=0,0,IF((9-$I76+1)=1,RAMP_W1,IF((9-$I76+1)=2,RAMP_W2,IF((9-$I76+1)=3,RAMP_W3,RAMP_W4PLUS)))))*(INDEX(ACTIVE_MULT_TABLE,3,1))*(1+SUMPRODUCT(SIGN(((ACT_DOOR_SCOPE="ALL")+(ACT_DOOR_SCOPE="TIER_"&amp;$F76)+(ACT_DOOR_SCOPE=$B76)))*SIGN(((ACT_SKU_SCOPE="ALL")+(ACT_SKU_SCOPE=$G76)))*(ACT_START&lt;=9)*(ACT_END&gt;=9)*IFERROR(ACT_UPLIFT-1,0)))*(1+SUMPRODUCT(SIGN(((ACT_DOOR_SCOPE="ALL")+(ACT_DOOR_SCOPE="TIER_"&amp;$F76)+(ACT_DOOR_SCOPE=$B76)))*SIGN(((ACT_SKU_SCOPE="ALL")+(ACT_SKU_SCOPE=$G76)))*(9&gt;ACT_END)*(ACT_END&gt;0)*IFERROR(ACT_POSTLIFT,0))),0)))</f>
        <v/>
      </c>
      <c r="S76" s="10">
        <f>IF(OR($H76&lt;&gt;"Y",10&lt;$I76),0,IF(SUMPRODUCT(((BULK_ENABLED="Y")*((BULK_TIER="ALL")+(BULK_TIER=$F76))*((BULK_SKU="ALL")+(BULK_SKU=$G76))*(BULK_START&lt;=10)*(BULK_END&gt;=10)))&gt;0,IFERROR(SUMPRODUCT(((BULK_ENABLED="Y")*((BULK_TIER="ALL")+(BULK_TIER=$F76))*((BULK_SKU="ALL")+(BULK_SKU=$G76))*(BULK_START&lt;=10)*(BULK_END&gt;=10))*IFERROR(BULK_VALUE,0))/MAX(1,SUMPRODUCT(((BULK_ENABLED="Y")*((BULK_TIER="ALL")+(BULK_TIER=$F76))*((BULK_SKU="ALL")+(BULK_SKU=$G76))*(BULK_START&lt;=10)*(BULK_END&gt;=10)))),0),ROUND((INDEX(VELOCITY_TABLE,MATCH($F76,TIER_LIST,0),3))*(IF((10-$I76+1)&lt;=0,0,IF((10-$I76+1)=1,RAMP_W1,IF((10-$I76+1)=2,RAMP_W2,IF((10-$I76+1)=3,RAMP_W3,RAMP_W4PLUS)))))*(INDEX(ACTIVE_MULT_TABLE,3,1))*(1+SUMPRODUCT(SIGN(((ACT_DOOR_SCOPE="ALL")+(ACT_DOOR_SCOPE="TIER_"&amp;$F76)+(ACT_DOOR_SCOPE=$B76)))*SIGN(((ACT_SKU_SCOPE="ALL")+(ACT_SKU_SCOPE=$G76)))*(ACT_START&lt;=10)*(ACT_END&gt;=10)*IFERROR(ACT_UPLIFT-1,0)))*(1+SUMPRODUCT(SIGN(((ACT_DOOR_SCOPE="ALL")+(ACT_DOOR_SCOPE="TIER_"&amp;$F76)+(ACT_DOOR_SCOPE=$B76)))*SIGN(((ACT_SKU_SCOPE="ALL")+(ACT_SKU_SCOPE=$G76)))*(10&gt;ACT_END)*(ACT_END&gt;0)*IFERROR(ACT_POSTLIFT,0))),0)))</f>
        <v/>
      </c>
      <c r="T76" s="10">
        <f>IF(OR($H76&lt;&gt;"Y",11&lt;$I76),0,IF(SUMPRODUCT(((BULK_ENABLED="Y")*((BULK_TIER="ALL")+(BULK_TIER=$F76))*((BULK_SKU="ALL")+(BULK_SKU=$G76))*(BULK_START&lt;=11)*(BULK_END&gt;=11)))&gt;0,IFERROR(SUMPRODUCT(((BULK_ENABLED="Y")*((BULK_TIER="ALL")+(BULK_TIER=$F76))*((BULK_SKU="ALL")+(BULK_SKU=$G76))*(BULK_START&lt;=11)*(BULK_END&gt;=11))*IFERROR(BULK_VALUE,0))/MAX(1,SUMPRODUCT(((BULK_ENABLED="Y")*((BULK_TIER="ALL")+(BULK_TIER=$F76))*((BULK_SKU="ALL")+(BULK_SKU=$G76))*(BULK_START&lt;=11)*(BULK_END&gt;=11)))),0),ROUND((INDEX(VELOCITY_TABLE,MATCH($F76,TIER_LIST,0),3))*(IF((11-$I76+1)&lt;=0,0,IF((11-$I76+1)=1,RAMP_W1,IF((11-$I76+1)=2,RAMP_W2,IF((11-$I76+1)=3,RAMP_W3,RAMP_W4PLUS)))))*(INDEX(ACTIVE_MULT_TABLE,3,1))*(1+SUMPRODUCT(SIGN(((ACT_DOOR_SCOPE="ALL")+(ACT_DOOR_SCOPE="TIER_"&amp;$F76)+(ACT_DOOR_SCOPE=$B76)))*SIGN(((ACT_SKU_SCOPE="ALL")+(ACT_SKU_SCOPE=$G76)))*(ACT_START&lt;=11)*(ACT_END&gt;=11)*IFERROR(ACT_UPLIFT-1,0)))*(1+SUMPRODUCT(SIGN(((ACT_DOOR_SCOPE="ALL")+(ACT_DOOR_SCOPE="TIER_"&amp;$F76)+(ACT_DOOR_SCOPE=$B76)))*SIGN(((ACT_SKU_SCOPE="ALL")+(ACT_SKU_SCOPE=$G76)))*(11&gt;ACT_END)*(ACT_END&gt;0)*IFERROR(ACT_POSTLIFT,0))),0)))</f>
        <v/>
      </c>
      <c r="U76" s="10">
        <f>IF(OR($H76&lt;&gt;"Y",12&lt;$I76),0,IF(SUMPRODUCT(((BULK_ENABLED="Y")*((BULK_TIER="ALL")+(BULK_TIER=$F76))*((BULK_SKU="ALL")+(BULK_SKU=$G76))*(BULK_START&lt;=12)*(BULK_END&gt;=12)))&gt;0,IFERROR(SUMPRODUCT(((BULK_ENABLED="Y")*((BULK_TIER="ALL")+(BULK_TIER=$F76))*((BULK_SKU="ALL")+(BULK_SKU=$G76))*(BULK_START&lt;=12)*(BULK_END&gt;=12))*IFERROR(BULK_VALUE,0))/MAX(1,SUMPRODUCT(((BULK_ENABLED="Y")*((BULK_TIER="ALL")+(BULK_TIER=$F76))*((BULK_SKU="ALL")+(BULK_SKU=$G76))*(BULK_START&lt;=12)*(BULK_END&gt;=12)))),0),ROUND((INDEX(VELOCITY_TABLE,MATCH($F76,TIER_LIST,0),3))*(IF((12-$I76+1)&lt;=0,0,IF((12-$I76+1)=1,RAMP_W1,IF((12-$I76+1)=2,RAMP_W2,IF((12-$I76+1)=3,RAMP_W3,RAMP_W4PLUS)))))*(INDEX(ACTIVE_MULT_TABLE,3,1))*(1+SUMPRODUCT(SIGN(((ACT_DOOR_SCOPE="ALL")+(ACT_DOOR_SCOPE="TIER_"&amp;$F76)+(ACT_DOOR_SCOPE=$B76)))*SIGN(((ACT_SKU_SCOPE="ALL")+(ACT_SKU_SCOPE=$G76)))*(ACT_START&lt;=12)*(ACT_END&gt;=12)*IFERROR(ACT_UPLIFT-1,0)))*(1+SUMPRODUCT(SIGN(((ACT_DOOR_SCOPE="ALL")+(ACT_DOOR_SCOPE="TIER_"&amp;$F76)+(ACT_DOOR_SCOPE=$B76)))*SIGN(((ACT_SKU_SCOPE="ALL")+(ACT_SKU_SCOPE=$G76)))*(12&gt;ACT_END)*(ACT_END&gt;0)*IFERROR(ACT_POSTLIFT,0))),0)))</f>
        <v/>
      </c>
      <c r="V76" s="10">
        <f>IF(OR($H76&lt;&gt;"Y",13&lt;$I76),0,IF(SUMPRODUCT(((BULK_ENABLED="Y")*((BULK_TIER="ALL")+(BULK_TIER=$F76))*((BULK_SKU="ALL")+(BULK_SKU=$G76))*(BULK_START&lt;=13)*(BULK_END&gt;=13)))&gt;0,IFERROR(SUMPRODUCT(((BULK_ENABLED="Y")*((BULK_TIER="ALL")+(BULK_TIER=$F76))*((BULK_SKU="ALL")+(BULK_SKU=$G76))*(BULK_START&lt;=13)*(BULK_END&gt;=13))*IFERROR(BULK_VALUE,0))/MAX(1,SUMPRODUCT(((BULK_ENABLED="Y")*((BULK_TIER="ALL")+(BULK_TIER=$F76))*((BULK_SKU="ALL")+(BULK_SKU=$G76))*(BULK_START&lt;=13)*(BULK_END&gt;=13)))),0),ROUND((INDEX(VELOCITY_TABLE,MATCH($F76,TIER_LIST,0),3))*(IF((13-$I76+1)&lt;=0,0,IF((13-$I76+1)=1,RAMP_W1,IF((13-$I76+1)=2,RAMP_W2,IF((13-$I76+1)=3,RAMP_W3,RAMP_W4PLUS)))))*(INDEX(ACTIVE_MULT_TABLE,3,1))*(1+SUMPRODUCT(SIGN(((ACT_DOOR_SCOPE="ALL")+(ACT_DOOR_SCOPE="TIER_"&amp;$F76)+(ACT_DOOR_SCOPE=$B76)))*SIGN(((ACT_SKU_SCOPE="ALL")+(ACT_SKU_SCOPE=$G76)))*(ACT_START&lt;=13)*(ACT_END&gt;=13)*IFERROR(ACT_UPLIFT-1,0)))*(1+SUMPRODUCT(SIGN(((ACT_DOOR_SCOPE="ALL")+(ACT_DOOR_SCOPE="TIER_"&amp;$F76)+(ACT_DOOR_SCOPE=$B76)))*SIGN(((ACT_SKU_SCOPE="ALL")+(ACT_SKU_SCOPE=$G76)))*(13&gt;ACT_END)*(ACT_END&gt;0)*IFERROR(ACT_POSTLIFT,0))),0)))</f>
        <v/>
      </c>
    </row>
    <row r="77">
      <c r="A77" t="inlineStr">
        <is>
          <t>R0073</t>
        </is>
      </c>
      <c r="B77">
        <f>Doors!$A$29</f>
        <v/>
      </c>
      <c r="C77">
        <f>Doors!$C$29</f>
        <v/>
      </c>
      <c r="D77">
        <f>Doors!$B$29</f>
        <v/>
      </c>
      <c r="E77">
        <f>Doors!$E$29</f>
        <v/>
      </c>
      <c r="F77">
        <f>Doors!$F$29</f>
        <v/>
      </c>
      <c r="G77" t="inlineStr">
        <is>
          <t>Lime Lemon</t>
        </is>
      </c>
      <c r="H77">
        <f>Doors!$G$29</f>
        <v/>
      </c>
      <c r="I77">
        <f>Doors!$J$29</f>
        <v/>
      </c>
      <c r="J77" s="10">
        <f>IF(OR($H77&lt;&gt;"Y",1&lt;$I77),0,IF(SUMPRODUCT(((BULK_ENABLED="Y")*((BULK_TIER="ALL")+(BULK_TIER=$F77))*((BULK_SKU="ALL")+(BULK_SKU=$G77))*(BULK_START&lt;=1)*(BULK_END&gt;=1)))&gt;0,IFERROR(SUMPRODUCT(((BULK_ENABLED="Y")*((BULK_TIER="ALL")+(BULK_TIER=$F77))*((BULK_SKU="ALL")+(BULK_SKU=$G77))*(BULK_START&lt;=1)*(BULK_END&gt;=1))*IFERROR(BULK_VALUE,0))/MAX(1,SUMPRODUCT(((BULK_ENABLED="Y")*((BULK_TIER="ALL")+(BULK_TIER=$F77))*((BULK_SKU="ALL")+(BULK_SKU=$G77))*(BULK_START&lt;=1)*(BULK_END&gt;=1)))),0),ROUND((INDEX(VELOCITY_TABLE,MATCH($F77,TIER_LIST,0),1))*(IF((1-$I77+1)&lt;=0,0,IF((1-$I77+1)=1,RAMP_W1,IF((1-$I77+1)=2,RAMP_W2,IF((1-$I77+1)=3,RAMP_W3,RAMP_W4PLUS)))))*(INDEX(ACTIVE_MULT_TABLE,1,1))*(1+SUMPRODUCT(SIGN(((ACT_DOOR_SCOPE="ALL")+(ACT_DOOR_SCOPE="TIER_"&amp;$F77)+(ACT_DOOR_SCOPE=$B77)))*SIGN(((ACT_SKU_SCOPE="ALL")+(ACT_SKU_SCOPE=$G77)))*(ACT_START&lt;=1)*(ACT_END&gt;=1)*IFERROR(ACT_UPLIFT-1,0)))*(1+SUMPRODUCT(SIGN(((ACT_DOOR_SCOPE="ALL")+(ACT_DOOR_SCOPE="TIER_"&amp;$F77)+(ACT_DOOR_SCOPE=$B77)))*SIGN(((ACT_SKU_SCOPE="ALL")+(ACT_SKU_SCOPE=$G77)))*(1&gt;ACT_END)*(ACT_END&gt;0)*IFERROR(ACT_POSTLIFT,0))),0)))</f>
        <v/>
      </c>
      <c r="K77" s="10">
        <f>IF(OR($H77&lt;&gt;"Y",2&lt;$I77),0,IF(SUMPRODUCT(((BULK_ENABLED="Y")*((BULK_TIER="ALL")+(BULK_TIER=$F77))*((BULK_SKU="ALL")+(BULK_SKU=$G77))*(BULK_START&lt;=2)*(BULK_END&gt;=2)))&gt;0,IFERROR(SUMPRODUCT(((BULK_ENABLED="Y")*((BULK_TIER="ALL")+(BULK_TIER=$F77))*((BULK_SKU="ALL")+(BULK_SKU=$G77))*(BULK_START&lt;=2)*(BULK_END&gt;=2))*IFERROR(BULK_VALUE,0))/MAX(1,SUMPRODUCT(((BULK_ENABLED="Y")*((BULK_TIER="ALL")+(BULK_TIER=$F77))*((BULK_SKU="ALL")+(BULK_SKU=$G77))*(BULK_START&lt;=2)*(BULK_END&gt;=2)))),0),ROUND((INDEX(VELOCITY_TABLE,MATCH($F77,TIER_LIST,0),1))*(IF((2-$I77+1)&lt;=0,0,IF((2-$I77+1)=1,RAMP_W1,IF((2-$I77+1)=2,RAMP_W2,IF((2-$I77+1)=3,RAMP_W3,RAMP_W4PLUS)))))*(INDEX(ACTIVE_MULT_TABLE,1,1))*(1+SUMPRODUCT(SIGN(((ACT_DOOR_SCOPE="ALL")+(ACT_DOOR_SCOPE="TIER_"&amp;$F77)+(ACT_DOOR_SCOPE=$B77)))*SIGN(((ACT_SKU_SCOPE="ALL")+(ACT_SKU_SCOPE=$G77)))*(ACT_START&lt;=2)*(ACT_END&gt;=2)*IFERROR(ACT_UPLIFT-1,0)))*(1+SUMPRODUCT(SIGN(((ACT_DOOR_SCOPE="ALL")+(ACT_DOOR_SCOPE="TIER_"&amp;$F77)+(ACT_DOOR_SCOPE=$B77)))*SIGN(((ACT_SKU_SCOPE="ALL")+(ACT_SKU_SCOPE=$G77)))*(2&gt;ACT_END)*(ACT_END&gt;0)*IFERROR(ACT_POSTLIFT,0))),0)))</f>
        <v/>
      </c>
      <c r="L77" s="10">
        <f>IF(OR($H77&lt;&gt;"Y",3&lt;$I77),0,IF(SUMPRODUCT(((BULK_ENABLED="Y")*((BULK_TIER="ALL")+(BULK_TIER=$F77))*((BULK_SKU="ALL")+(BULK_SKU=$G77))*(BULK_START&lt;=3)*(BULK_END&gt;=3)))&gt;0,IFERROR(SUMPRODUCT(((BULK_ENABLED="Y")*((BULK_TIER="ALL")+(BULK_TIER=$F77))*((BULK_SKU="ALL")+(BULK_SKU=$G77))*(BULK_START&lt;=3)*(BULK_END&gt;=3))*IFERROR(BULK_VALUE,0))/MAX(1,SUMPRODUCT(((BULK_ENABLED="Y")*((BULK_TIER="ALL")+(BULK_TIER=$F77))*((BULK_SKU="ALL")+(BULK_SKU=$G77))*(BULK_START&lt;=3)*(BULK_END&gt;=3)))),0),ROUND((INDEX(VELOCITY_TABLE,MATCH($F77,TIER_LIST,0),1))*(IF((3-$I77+1)&lt;=0,0,IF((3-$I77+1)=1,RAMP_W1,IF((3-$I77+1)=2,RAMP_W2,IF((3-$I77+1)=3,RAMP_W3,RAMP_W4PLUS)))))*(INDEX(ACTIVE_MULT_TABLE,1,1))*(1+SUMPRODUCT(SIGN(((ACT_DOOR_SCOPE="ALL")+(ACT_DOOR_SCOPE="TIER_"&amp;$F77)+(ACT_DOOR_SCOPE=$B77)))*SIGN(((ACT_SKU_SCOPE="ALL")+(ACT_SKU_SCOPE=$G77)))*(ACT_START&lt;=3)*(ACT_END&gt;=3)*IFERROR(ACT_UPLIFT-1,0)))*(1+SUMPRODUCT(SIGN(((ACT_DOOR_SCOPE="ALL")+(ACT_DOOR_SCOPE="TIER_"&amp;$F77)+(ACT_DOOR_SCOPE=$B77)))*SIGN(((ACT_SKU_SCOPE="ALL")+(ACT_SKU_SCOPE=$G77)))*(3&gt;ACT_END)*(ACT_END&gt;0)*IFERROR(ACT_POSTLIFT,0))),0)))</f>
        <v/>
      </c>
      <c r="M77" s="10">
        <f>IF(OR($H77&lt;&gt;"Y",4&lt;$I77),0,IF(SUMPRODUCT(((BULK_ENABLED="Y")*((BULK_TIER="ALL")+(BULK_TIER=$F77))*((BULK_SKU="ALL")+(BULK_SKU=$G77))*(BULK_START&lt;=4)*(BULK_END&gt;=4)))&gt;0,IFERROR(SUMPRODUCT(((BULK_ENABLED="Y")*((BULK_TIER="ALL")+(BULK_TIER=$F77))*((BULK_SKU="ALL")+(BULK_SKU=$G77))*(BULK_START&lt;=4)*(BULK_END&gt;=4))*IFERROR(BULK_VALUE,0))/MAX(1,SUMPRODUCT(((BULK_ENABLED="Y")*((BULK_TIER="ALL")+(BULK_TIER=$F77))*((BULK_SKU="ALL")+(BULK_SKU=$G77))*(BULK_START&lt;=4)*(BULK_END&gt;=4)))),0),ROUND((INDEX(VELOCITY_TABLE,MATCH($F77,TIER_LIST,0),1))*(IF((4-$I77+1)&lt;=0,0,IF((4-$I77+1)=1,RAMP_W1,IF((4-$I77+1)=2,RAMP_W2,IF((4-$I77+1)=3,RAMP_W3,RAMP_W4PLUS)))))*(INDEX(ACTIVE_MULT_TABLE,1,1))*(1+SUMPRODUCT(SIGN(((ACT_DOOR_SCOPE="ALL")+(ACT_DOOR_SCOPE="TIER_"&amp;$F77)+(ACT_DOOR_SCOPE=$B77)))*SIGN(((ACT_SKU_SCOPE="ALL")+(ACT_SKU_SCOPE=$G77)))*(ACT_START&lt;=4)*(ACT_END&gt;=4)*IFERROR(ACT_UPLIFT-1,0)))*(1+SUMPRODUCT(SIGN(((ACT_DOOR_SCOPE="ALL")+(ACT_DOOR_SCOPE="TIER_"&amp;$F77)+(ACT_DOOR_SCOPE=$B77)))*SIGN(((ACT_SKU_SCOPE="ALL")+(ACT_SKU_SCOPE=$G77)))*(4&gt;ACT_END)*(ACT_END&gt;0)*IFERROR(ACT_POSTLIFT,0))),0)))</f>
        <v/>
      </c>
      <c r="N77" s="10">
        <f>IF(OR($H77&lt;&gt;"Y",5&lt;$I77),0,IF(SUMPRODUCT(((BULK_ENABLED="Y")*((BULK_TIER="ALL")+(BULK_TIER=$F77))*((BULK_SKU="ALL")+(BULK_SKU=$G77))*(BULK_START&lt;=5)*(BULK_END&gt;=5)))&gt;0,IFERROR(SUMPRODUCT(((BULK_ENABLED="Y")*((BULK_TIER="ALL")+(BULK_TIER=$F77))*((BULK_SKU="ALL")+(BULK_SKU=$G77))*(BULK_START&lt;=5)*(BULK_END&gt;=5))*IFERROR(BULK_VALUE,0))/MAX(1,SUMPRODUCT(((BULK_ENABLED="Y")*((BULK_TIER="ALL")+(BULK_TIER=$F77))*((BULK_SKU="ALL")+(BULK_SKU=$G77))*(BULK_START&lt;=5)*(BULK_END&gt;=5)))),0),ROUND((INDEX(VELOCITY_TABLE,MATCH($F77,TIER_LIST,0),1))*(IF((5-$I77+1)&lt;=0,0,IF((5-$I77+1)=1,RAMP_W1,IF((5-$I77+1)=2,RAMP_W2,IF((5-$I77+1)=3,RAMP_W3,RAMP_W4PLUS)))))*(INDEX(ACTIVE_MULT_TABLE,1,1))*(1+SUMPRODUCT(SIGN(((ACT_DOOR_SCOPE="ALL")+(ACT_DOOR_SCOPE="TIER_"&amp;$F77)+(ACT_DOOR_SCOPE=$B77)))*SIGN(((ACT_SKU_SCOPE="ALL")+(ACT_SKU_SCOPE=$G77)))*(ACT_START&lt;=5)*(ACT_END&gt;=5)*IFERROR(ACT_UPLIFT-1,0)))*(1+SUMPRODUCT(SIGN(((ACT_DOOR_SCOPE="ALL")+(ACT_DOOR_SCOPE="TIER_"&amp;$F77)+(ACT_DOOR_SCOPE=$B77)))*SIGN(((ACT_SKU_SCOPE="ALL")+(ACT_SKU_SCOPE=$G77)))*(5&gt;ACT_END)*(ACT_END&gt;0)*IFERROR(ACT_POSTLIFT,0))),0)))</f>
        <v/>
      </c>
      <c r="O77" s="10">
        <f>IF(OR($H77&lt;&gt;"Y",6&lt;$I77),0,IF(SUMPRODUCT(((BULK_ENABLED="Y")*((BULK_TIER="ALL")+(BULK_TIER=$F77))*((BULK_SKU="ALL")+(BULK_SKU=$G77))*(BULK_START&lt;=6)*(BULK_END&gt;=6)))&gt;0,IFERROR(SUMPRODUCT(((BULK_ENABLED="Y")*((BULK_TIER="ALL")+(BULK_TIER=$F77))*((BULK_SKU="ALL")+(BULK_SKU=$G77))*(BULK_START&lt;=6)*(BULK_END&gt;=6))*IFERROR(BULK_VALUE,0))/MAX(1,SUMPRODUCT(((BULK_ENABLED="Y")*((BULK_TIER="ALL")+(BULK_TIER=$F77))*((BULK_SKU="ALL")+(BULK_SKU=$G77))*(BULK_START&lt;=6)*(BULK_END&gt;=6)))),0),ROUND((INDEX(VELOCITY_TABLE,MATCH($F77,TIER_LIST,0),1))*(IF((6-$I77+1)&lt;=0,0,IF((6-$I77+1)=1,RAMP_W1,IF((6-$I77+1)=2,RAMP_W2,IF((6-$I77+1)=3,RAMP_W3,RAMP_W4PLUS)))))*(INDEX(ACTIVE_MULT_TABLE,1,1))*(1+SUMPRODUCT(SIGN(((ACT_DOOR_SCOPE="ALL")+(ACT_DOOR_SCOPE="TIER_"&amp;$F77)+(ACT_DOOR_SCOPE=$B77)))*SIGN(((ACT_SKU_SCOPE="ALL")+(ACT_SKU_SCOPE=$G77)))*(ACT_START&lt;=6)*(ACT_END&gt;=6)*IFERROR(ACT_UPLIFT-1,0)))*(1+SUMPRODUCT(SIGN(((ACT_DOOR_SCOPE="ALL")+(ACT_DOOR_SCOPE="TIER_"&amp;$F77)+(ACT_DOOR_SCOPE=$B77)))*SIGN(((ACT_SKU_SCOPE="ALL")+(ACT_SKU_SCOPE=$G77)))*(6&gt;ACT_END)*(ACT_END&gt;0)*IFERROR(ACT_POSTLIFT,0))),0)))</f>
        <v/>
      </c>
      <c r="P77" s="10">
        <f>IF(OR($H77&lt;&gt;"Y",7&lt;$I77),0,IF(SUMPRODUCT(((BULK_ENABLED="Y")*((BULK_TIER="ALL")+(BULK_TIER=$F77))*((BULK_SKU="ALL")+(BULK_SKU=$G77))*(BULK_START&lt;=7)*(BULK_END&gt;=7)))&gt;0,IFERROR(SUMPRODUCT(((BULK_ENABLED="Y")*((BULK_TIER="ALL")+(BULK_TIER=$F77))*((BULK_SKU="ALL")+(BULK_SKU=$G77))*(BULK_START&lt;=7)*(BULK_END&gt;=7))*IFERROR(BULK_VALUE,0))/MAX(1,SUMPRODUCT(((BULK_ENABLED="Y")*((BULK_TIER="ALL")+(BULK_TIER=$F77))*((BULK_SKU="ALL")+(BULK_SKU=$G77))*(BULK_START&lt;=7)*(BULK_END&gt;=7)))),0),ROUND((INDEX(VELOCITY_TABLE,MATCH($F77,TIER_LIST,0),1))*(IF((7-$I77+1)&lt;=0,0,IF((7-$I77+1)=1,RAMP_W1,IF((7-$I77+1)=2,RAMP_W2,IF((7-$I77+1)=3,RAMP_W3,RAMP_W4PLUS)))))*(INDEX(ACTIVE_MULT_TABLE,1,1))*(1+SUMPRODUCT(SIGN(((ACT_DOOR_SCOPE="ALL")+(ACT_DOOR_SCOPE="TIER_"&amp;$F77)+(ACT_DOOR_SCOPE=$B77)))*SIGN(((ACT_SKU_SCOPE="ALL")+(ACT_SKU_SCOPE=$G77)))*(ACT_START&lt;=7)*(ACT_END&gt;=7)*IFERROR(ACT_UPLIFT-1,0)))*(1+SUMPRODUCT(SIGN(((ACT_DOOR_SCOPE="ALL")+(ACT_DOOR_SCOPE="TIER_"&amp;$F77)+(ACT_DOOR_SCOPE=$B77)))*SIGN(((ACT_SKU_SCOPE="ALL")+(ACT_SKU_SCOPE=$G77)))*(7&gt;ACT_END)*(ACT_END&gt;0)*IFERROR(ACT_POSTLIFT,0))),0)))</f>
        <v/>
      </c>
      <c r="Q77" s="10">
        <f>IF(OR($H77&lt;&gt;"Y",8&lt;$I77),0,IF(SUMPRODUCT(((BULK_ENABLED="Y")*((BULK_TIER="ALL")+(BULK_TIER=$F77))*((BULK_SKU="ALL")+(BULK_SKU=$G77))*(BULK_START&lt;=8)*(BULK_END&gt;=8)))&gt;0,IFERROR(SUMPRODUCT(((BULK_ENABLED="Y")*((BULK_TIER="ALL")+(BULK_TIER=$F77))*((BULK_SKU="ALL")+(BULK_SKU=$G77))*(BULK_START&lt;=8)*(BULK_END&gt;=8))*IFERROR(BULK_VALUE,0))/MAX(1,SUMPRODUCT(((BULK_ENABLED="Y")*((BULK_TIER="ALL")+(BULK_TIER=$F77))*((BULK_SKU="ALL")+(BULK_SKU=$G77))*(BULK_START&lt;=8)*(BULK_END&gt;=8)))),0),ROUND((INDEX(VELOCITY_TABLE,MATCH($F77,TIER_LIST,0),1))*(IF((8-$I77+1)&lt;=0,0,IF((8-$I77+1)=1,RAMP_W1,IF((8-$I77+1)=2,RAMP_W2,IF((8-$I77+1)=3,RAMP_W3,RAMP_W4PLUS)))))*(INDEX(ACTIVE_MULT_TABLE,1,1))*(1+SUMPRODUCT(SIGN(((ACT_DOOR_SCOPE="ALL")+(ACT_DOOR_SCOPE="TIER_"&amp;$F77)+(ACT_DOOR_SCOPE=$B77)))*SIGN(((ACT_SKU_SCOPE="ALL")+(ACT_SKU_SCOPE=$G77)))*(ACT_START&lt;=8)*(ACT_END&gt;=8)*IFERROR(ACT_UPLIFT-1,0)))*(1+SUMPRODUCT(SIGN(((ACT_DOOR_SCOPE="ALL")+(ACT_DOOR_SCOPE="TIER_"&amp;$F77)+(ACT_DOOR_SCOPE=$B77)))*SIGN(((ACT_SKU_SCOPE="ALL")+(ACT_SKU_SCOPE=$G77)))*(8&gt;ACT_END)*(ACT_END&gt;0)*IFERROR(ACT_POSTLIFT,0))),0)))</f>
        <v/>
      </c>
      <c r="R77" s="10">
        <f>IF(OR($H77&lt;&gt;"Y",9&lt;$I77),0,IF(SUMPRODUCT(((BULK_ENABLED="Y")*((BULK_TIER="ALL")+(BULK_TIER=$F77))*((BULK_SKU="ALL")+(BULK_SKU=$G77))*(BULK_START&lt;=9)*(BULK_END&gt;=9)))&gt;0,IFERROR(SUMPRODUCT(((BULK_ENABLED="Y")*((BULK_TIER="ALL")+(BULK_TIER=$F77))*((BULK_SKU="ALL")+(BULK_SKU=$G77))*(BULK_START&lt;=9)*(BULK_END&gt;=9))*IFERROR(BULK_VALUE,0))/MAX(1,SUMPRODUCT(((BULK_ENABLED="Y")*((BULK_TIER="ALL")+(BULK_TIER=$F77))*((BULK_SKU="ALL")+(BULK_SKU=$G77))*(BULK_START&lt;=9)*(BULK_END&gt;=9)))),0),ROUND((INDEX(VELOCITY_TABLE,MATCH($F77,TIER_LIST,0),1))*(IF((9-$I77+1)&lt;=0,0,IF((9-$I77+1)=1,RAMP_W1,IF((9-$I77+1)=2,RAMP_W2,IF((9-$I77+1)=3,RAMP_W3,RAMP_W4PLUS)))))*(INDEX(ACTIVE_MULT_TABLE,1,1))*(1+SUMPRODUCT(SIGN(((ACT_DOOR_SCOPE="ALL")+(ACT_DOOR_SCOPE="TIER_"&amp;$F77)+(ACT_DOOR_SCOPE=$B77)))*SIGN(((ACT_SKU_SCOPE="ALL")+(ACT_SKU_SCOPE=$G77)))*(ACT_START&lt;=9)*(ACT_END&gt;=9)*IFERROR(ACT_UPLIFT-1,0)))*(1+SUMPRODUCT(SIGN(((ACT_DOOR_SCOPE="ALL")+(ACT_DOOR_SCOPE="TIER_"&amp;$F77)+(ACT_DOOR_SCOPE=$B77)))*SIGN(((ACT_SKU_SCOPE="ALL")+(ACT_SKU_SCOPE=$G77)))*(9&gt;ACT_END)*(ACT_END&gt;0)*IFERROR(ACT_POSTLIFT,0))),0)))</f>
        <v/>
      </c>
      <c r="S77" s="10">
        <f>IF(OR($H77&lt;&gt;"Y",10&lt;$I77),0,IF(SUMPRODUCT(((BULK_ENABLED="Y")*((BULK_TIER="ALL")+(BULK_TIER=$F77))*((BULK_SKU="ALL")+(BULK_SKU=$G77))*(BULK_START&lt;=10)*(BULK_END&gt;=10)))&gt;0,IFERROR(SUMPRODUCT(((BULK_ENABLED="Y")*((BULK_TIER="ALL")+(BULK_TIER=$F77))*((BULK_SKU="ALL")+(BULK_SKU=$G77))*(BULK_START&lt;=10)*(BULK_END&gt;=10))*IFERROR(BULK_VALUE,0))/MAX(1,SUMPRODUCT(((BULK_ENABLED="Y")*((BULK_TIER="ALL")+(BULK_TIER=$F77))*((BULK_SKU="ALL")+(BULK_SKU=$G77))*(BULK_START&lt;=10)*(BULK_END&gt;=10)))),0),ROUND((INDEX(VELOCITY_TABLE,MATCH($F77,TIER_LIST,0),1))*(IF((10-$I77+1)&lt;=0,0,IF((10-$I77+1)=1,RAMP_W1,IF((10-$I77+1)=2,RAMP_W2,IF((10-$I77+1)=3,RAMP_W3,RAMP_W4PLUS)))))*(INDEX(ACTIVE_MULT_TABLE,1,1))*(1+SUMPRODUCT(SIGN(((ACT_DOOR_SCOPE="ALL")+(ACT_DOOR_SCOPE="TIER_"&amp;$F77)+(ACT_DOOR_SCOPE=$B77)))*SIGN(((ACT_SKU_SCOPE="ALL")+(ACT_SKU_SCOPE=$G77)))*(ACT_START&lt;=10)*(ACT_END&gt;=10)*IFERROR(ACT_UPLIFT-1,0)))*(1+SUMPRODUCT(SIGN(((ACT_DOOR_SCOPE="ALL")+(ACT_DOOR_SCOPE="TIER_"&amp;$F77)+(ACT_DOOR_SCOPE=$B77)))*SIGN(((ACT_SKU_SCOPE="ALL")+(ACT_SKU_SCOPE=$G77)))*(10&gt;ACT_END)*(ACT_END&gt;0)*IFERROR(ACT_POSTLIFT,0))),0)))</f>
        <v/>
      </c>
      <c r="T77" s="10">
        <f>IF(OR($H77&lt;&gt;"Y",11&lt;$I77),0,IF(SUMPRODUCT(((BULK_ENABLED="Y")*((BULK_TIER="ALL")+(BULK_TIER=$F77))*((BULK_SKU="ALL")+(BULK_SKU=$G77))*(BULK_START&lt;=11)*(BULK_END&gt;=11)))&gt;0,IFERROR(SUMPRODUCT(((BULK_ENABLED="Y")*((BULK_TIER="ALL")+(BULK_TIER=$F77))*((BULK_SKU="ALL")+(BULK_SKU=$G77))*(BULK_START&lt;=11)*(BULK_END&gt;=11))*IFERROR(BULK_VALUE,0))/MAX(1,SUMPRODUCT(((BULK_ENABLED="Y")*((BULK_TIER="ALL")+(BULK_TIER=$F77))*((BULK_SKU="ALL")+(BULK_SKU=$G77))*(BULK_START&lt;=11)*(BULK_END&gt;=11)))),0),ROUND((INDEX(VELOCITY_TABLE,MATCH($F77,TIER_LIST,0),1))*(IF((11-$I77+1)&lt;=0,0,IF((11-$I77+1)=1,RAMP_W1,IF((11-$I77+1)=2,RAMP_W2,IF((11-$I77+1)=3,RAMP_W3,RAMP_W4PLUS)))))*(INDEX(ACTIVE_MULT_TABLE,1,1))*(1+SUMPRODUCT(SIGN(((ACT_DOOR_SCOPE="ALL")+(ACT_DOOR_SCOPE="TIER_"&amp;$F77)+(ACT_DOOR_SCOPE=$B77)))*SIGN(((ACT_SKU_SCOPE="ALL")+(ACT_SKU_SCOPE=$G77)))*(ACT_START&lt;=11)*(ACT_END&gt;=11)*IFERROR(ACT_UPLIFT-1,0)))*(1+SUMPRODUCT(SIGN(((ACT_DOOR_SCOPE="ALL")+(ACT_DOOR_SCOPE="TIER_"&amp;$F77)+(ACT_DOOR_SCOPE=$B77)))*SIGN(((ACT_SKU_SCOPE="ALL")+(ACT_SKU_SCOPE=$G77)))*(11&gt;ACT_END)*(ACT_END&gt;0)*IFERROR(ACT_POSTLIFT,0))),0)))</f>
        <v/>
      </c>
      <c r="U77" s="10">
        <f>IF(OR($H77&lt;&gt;"Y",12&lt;$I77),0,IF(SUMPRODUCT(((BULK_ENABLED="Y")*((BULK_TIER="ALL")+(BULK_TIER=$F77))*((BULK_SKU="ALL")+(BULK_SKU=$G77))*(BULK_START&lt;=12)*(BULK_END&gt;=12)))&gt;0,IFERROR(SUMPRODUCT(((BULK_ENABLED="Y")*((BULK_TIER="ALL")+(BULK_TIER=$F77))*((BULK_SKU="ALL")+(BULK_SKU=$G77))*(BULK_START&lt;=12)*(BULK_END&gt;=12))*IFERROR(BULK_VALUE,0))/MAX(1,SUMPRODUCT(((BULK_ENABLED="Y")*((BULK_TIER="ALL")+(BULK_TIER=$F77))*((BULK_SKU="ALL")+(BULK_SKU=$G77))*(BULK_START&lt;=12)*(BULK_END&gt;=12)))),0),ROUND((INDEX(VELOCITY_TABLE,MATCH($F77,TIER_LIST,0),1))*(IF((12-$I77+1)&lt;=0,0,IF((12-$I77+1)=1,RAMP_W1,IF((12-$I77+1)=2,RAMP_W2,IF((12-$I77+1)=3,RAMP_W3,RAMP_W4PLUS)))))*(INDEX(ACTIVE_MULT_TABLE,1,1))*(1+SUMPRODUCT(SIGN(((ACT_DOOR_SCOPE="ALL")+(ACT_DOOR_SCOPE="TIER_"&amp;$F77)+(ACT_DOOR_SCOPE=$B77)))*SIGN(((ACT_SKU_SCOPE="ALL")+(ACT_SKU_SCOPE=$G77)))*(ACT_START&lt;=12)*(ACT_END&gt;=12)*IFERROR(ACT_UPLIFT-1,0)))*(1+SUMPRODUCT(SIGN(((ACT_DOOR_SCOPE="ALL")+(ACT_DOOR_SCOPE="TIER_"&amp;$F77)+(ACT_DOOR_SCOPE=$B77)))*SIGN(((ACT_SKU_SCOPE="ALL")+(ACT_SKU_SCOPE=$G77)))*(12&gt;ACT_END)*(ACT_END&gt;0)*IFERROR(ACT_POSTLIFT,0))),0)))</f>
        <v/>
      </c>
      <c r="V77" s="10">
        <f>IF(OR($H77&lt;&gt;"Y",13&lt;$I77),0,IF(SUMPRODUCT(((BULK_ENABLED="Y")*((BULK_TIER="ALL")+(BULK_TIER=$F77))*((BULK_SKU="ALL")+(BULK_SKU=$G77))*(BULK_START&lt;=13)*(BULK_END&gt;=13)))&gt;0,IFERROR(SUMPRODUCT(((BULK_ENABLED="Y")*((BULK_TIER="ALL")+(BULK_TIER=$F77))*((BULK_SKU="ALL")+(BULK_SKU=$G77))*(BULK_START&lt;=13)*(BULK_END&gt;=13))*IFERROR(BULK_VALUE,0))/MAX(1,SUMPRODUCT(((BULK_ENABLED="Y")*((BULK_TIER="ALL")+(BULK_TIER=$F77))*((BULK_SKU="ALL")+(BULK_SKU=$G77))*(BULK_START&lt;=13)*(BULK_END&gt;=13)))),0),ROUND((INDEX(VELOCITY_TABLE,MATCH($F77,TIER_LIST,0),1))*(IF((13-$I77+1)&lt;=0,0,IF((13-$I77+1)=1,RAMP_W1,IF((13-$I77+1)=2,RAMP_W2,IF((13-$I77+1)=3,RAMP_W3,RAMP_W4PLUS)))))*(INDEX(ACTIVE_MULT_TABLE,1,1))*(1+SUMPRODUCT(SIGN(((ACT_DOOR_SCOPE="ALL")+(ACT_DOOR_SCOPE="TIER_"&amp;$F77)+(ACT_DOOR_SCOPE=$B77)))*SIGN(((ACT_SKU_SCOPE="ALL")+(ACT_SKU_SCOPE=$G77)))*(ACT_START&lt;=13)*(ACT_END&gt;=13)*IFERROR(ACT_UPLIFT-1,0)))*(1+SUMPRODUCT(SIGN(((ACT_DOOR_SCOPE="ALL")+(ACT_DOOR_SCOPE="TIER_"&amp;$F77)+(ACT_DOOR_SCOPE=$B77)))*SIGN(((ACT_SKU_SCOPE="ALL")+(ACT_SKU_SCOPE=$G77)))*(13&gt;ACT_END)*(ACT_END&gt;0)*IFERROR(ACT_POSTLIFT,0))),0)))</f>
        <v/>
      </c>
    </row>
    <row r="78">
      <c r="A78" t="inlineStr">
        <is>
          <t>R0074</t>
        </is>
      </c>
      <c r="B78">
        <f>Doors!$A$29</f>
        <v/>
      </c>
      <c r="C78">
        <f>Doors!$C$29</f>
        <v/>
      </c>
      <c r="D78">
        <f>Doors!$B$29</f>
        <v/>
      </c>
      <c r="E78">
        <f>Doors!$E$29</f>
        <v/>
      </c>
      <c r="F78">
        <f>Doors!$F$29</f>
        <v/>
      </c>
      <c r="G78" t="inlineStr">
        <is>
          <t>Pineapple Passion Fruit</t>
        </is>
      </c>
      <c r="H78">
        <f>Doors!$H$29</f>
        <v/>
      </c>
      <c r="I78">
        <f>Doors!$J$29</f>
        <v/>
      </c>
      <c r="J78" s="10">
        <f>IF(OR($H78&lt;&gt;"Y",1&lt;$I78),0,IF(SUMPRODUCT(((BULK_ENABLED="Y")*((BULK_TIER="ALL")+(BULK_TIER=$F78))*((BULK_SKU="ALL")+(BULK_SKU=$G78))*(BULK_START&lt;=1)*(BULK_END&gt;=1)))&gt;0,IFERROR(SUMPRODUCT(((BULK_ENABLED="Y")*((BULK_TIER="ALL")+(BULK_TIER=$F78))*((BULK_SKU="ALL")+(BULK_SKU=$G78))*(BULK_START&lt;=1)*(BULK_END&gt;=1))*IFERROR(BULK_VALUE,0))/MAX(1,SUMPRODUCT(((BULK_ENABLED="Y")*((BULK_TIER="ALL")+(BULK_TIER=$F78))*((BULK_SKU="ALL")+(BULK_SKU=$G78))*(BULK_START&lt;=1)*(BULK_END&gt;=1)))),0),ROUND((INDEX(VELOCITY_TABLE,MATCH($F78,TIER_LIST,0),2))*(IF((1-$I78+1)&lt;=0,0,IF((1-$I78+1)=1,RAMP_W1,IF((1-$I78+1)=2,RAMP_W2,IF((1-$I78+1)=3,RAMP_W3,RAMP_W4PLUS)))))*(INDEX(ACTIVE_MULT_TABLE,2,1))*(1+SUMPRODUCT(SIGN(((ACT_DOOR_SCOPE="ALL")+(ACT_DOOR_SCOPE="TIER_"&amp;$F78)+(ACT_DOOR_SCOPE=$B78)))*SIGN(((ACT_SKU_SCOPE="ALL")+(ACT_SKU_SCOPE=$G78)))*(ACT_START&lt;=1)*(ACT_END&gt;=1)*IFERROR(ACT_UPLIFT-1,0)))*(1+SUMPRODUCT(SIGN(((ACT_DOOR_SCOPE="ALL")+(ACT_DOOR_SCOPE="TIER_"&amp;$F78)+(ACT_DOOR_SCOPE=$B78)))*SIGN(((ACT_SKU_SCOPE="ALL")+(ACT_SKU_SCOPE=$G78)))*(1&gt;ACT_END)*(ACT_END&gt;0)*IFERROR(ACT_POSTLIFT,0))),0)))</f>
        <v/>
      </c>
      <c r="K78" s="10">
        <f>IF(OR($H78&lt;&gt;"Y",2&lt;$I78),0,IF(SUMPRODUCT(((BULK_ENABLED="Y")*((BULK_TIER="ALL")+(BULK_TIER=$F78))*((BULK_SKU="ALL")+(BULK_SKU=$G78))*(BULK_START&lt;=2)*(BULK_END&gt;=2)))&gt;0,IFERROR(SUMPRODUCT(((BULK_ENABLED="Y")*((BULK_TIER="ALL")+(BULK_TIER=$F78))*((BULK_SKU="ALL")+(BULK_SKU=$G78))*(BULK_START&lt;=2)*(BULK_END&gt;=2))*IFERROR(BULK_VALUE,0))/MAX(1,SUMPRODUCT(((BULK_ENABLED="Y")*((BULK_TIER="ALL")+(BULK_TIER=$F78))*((BULK_SKU="ALL")+(BULK_SKU=$G78))*(BULK_START&lt;=2)*(BULK_END&gt;=2)))),0),ROUND((INDEX(VELOCITY_TABLE,MATCH($F78,TIER_LIST,0),2))*(IF((2-$I78+1)&lt;=0,0,IF((2-$I78+1)=1,RAMP_W1,IF((2-$I78+1)=2,RAMP_W2,IF((2-$I78+1)=3,RAMP_W3,RAMP_W4PLUS)))))*(INDEX(ACTIVE_MULT_TABLE,2,1))*(1+SUMPRODUCT(SIGN(((ACT_DOOR_SCOPE="ALL")+(ACT_DOOR_SCOPE="TIER_"&amp;$F78)+(ACT_DOOR_SCOPE=$B78)))*SIGN(((ACT_SKU_SCOPE="ALL")+(ACT_SKU_SCOPE=$G78)))*(ACT_START&lt;=2)*(ACT_END&gt;=2)*IFERROR(ACT_UPLIFT-1,0)))*(1+SUMPRODUCT(SIGN(((ACT_DOOR_SCOPE="ALL")+(ACT_DOOR_SCOPE="TIER_"&amp;$F78)+(ACT_DOOR_SCOPE=$B78)))*SIGN(((ACT_SKU_SCOPE="ALL")+(ACT_SKU_SCOPE=$G78)))*(2&gt;ACT_END)*(ACT_END&gt;0)*IFERROR(ACT_POSTLIFT,0))),0)))</f>
        <v/>
      </c>
      <c r="L78" s="10">
        <f>IF(OR($H78&lt;&gt;"Y",3&lt;$I78),0,IF(SUMPRODUCT(((BULK_ENABLED="Y")*((BULK_TIER="ALL")+(BULK_TIER=$F78))*((BULK_SKU="ALL")+(BULK_SKU=$G78))*(BULK_START&lt;=3)*(BULK_END&gt;=3)))&gt;0,IFERROR(SUMPRODUCT(((BULK_ENABLED="Y")*((BULK_TIER="ALL")+(BULK_TIER=$F78))*((BULK_SKU="ALL")+(BULK_SKU=$G78))*(BULK_START&lt;=3)*(BULK_END&gt;=3))*IFERROR(BULK_VALUE,0))/MAX(1,SUMPRODUCT(((BULK_ENABLED="Y")*((BULK_TIER="ALL")+(BULK_TIER=$F78))*((BULK_SKU="ALL")+(BULK_SKU=$G78))*(BULK_START&lt;=3)*(BULK_END&gt;=3)))),0),ROUND((INDEX(VELOCITY_TABLE,MATCH($F78,TIER_LIST,0),2))*(IF((3-$I78+1)&lt;=0,0,IF((3-$I78+1)=1,RAMP_W1,IF((3-$I78+1)=2,RAMP_W2,IF((3-$I78+1)=3,RAMP_W3,RAMP_W4PLUS)))))*(INDEX(ACTIVE_MULT_TABLE,2,1))*(1+SUMPRODUCT(SIGN(((ACT_DOOR_SCOPE="ALL")+(ACT_DOOR_SCOPE="TIER_"&amp;$F78)+(ACT_DOOR_SCOPE=$B78)))*SIGN(((ACT_SKU_SCOPE="ALL")+(ACT_SKU_SCOPE=$G78)))*(ACT_START&lt;=3)*(ACT_END&gt;=3)*IFERROR(ACT_UPLIFT-1,0)))*(1+SUMPRODUCT(SIGN(((ACT_DOOR_SCOPE="ALL")+(ACT_DOOR_SCOPE="TIER_"&amp;$F78)+(ACT_DOOR_SCOPE=$B78)))*SIGN(((ACT_SKU_SCOPE="ALL")+(ACT_SKU_SCOPE=$G78)))*(3&gt;ACT_END)*(ACT_END&gt;0)*IFERROR(ACT_POSTLIFT,0))),0)))</f>
        <v/>
      </c>
      <c r="M78" s="10">
        <f>IF(OR($H78&lt;&gt;"Y",4&lt;$I78),0,IF(SUMPRODUCT(((BULK_ENABLED="Y")*((BULK_TIER="ALL")+(BULK_TIER=$F78))*((BULK_SKU="ALL")+(BULK_SKU=$G78))*(BULK_START&lt;=4)*(BULK_END&gt;=4)))&gt;0,IFERROR(SUMPRODUCT(((BULK_ENABLED="Y")*((BULK_TIER="ALL")+(BULK_TIER=$F78))*((BULK_SKU="ALL")+(BULK_SKU=$G78))*(BULK_START&lt;=4)*(BULK_END&gt;=4))*IFERROR(BULK_VALUE,0))/MAX(1,SUMPRODUCT(((BULK_ENABLED="Y")*((BULK_TIER="ALL")+(BULK_TIER=$F78))*((BULK_SKU="ALL")+(BULK_SKU=$G78))*(BULK_START&lt;=4)*(BULK_END&gt;=4)))),0),ROUND((INDEX(VELOCITY_TABLE,MATCH($F78,TIER_LIST,0),2))*(IF((4-$I78+1)&lt;=0,0,IF((4-$I78+1)=1,RAMP_W1,IF((4-$I78+1)=2,RAMP_W2,IF((4-$I78+1)=3,RAMP_W3,RAMP_W4PLUS)))))*(INDEX(ACTIVE_MULT_TABLE,2,1))*(1+SUMPRODUCT(SIGN(((ACT_DOOR_SCOPE="ALL")+(ACT_DOOR_SCOPE="TIER_"&amp;$F78)+(ACT_DOOR_SCOPE=$B78)))*SIGN(((ACT_SKU_SCOPE="ALL")+(ACT_SKU_SCOPE=$G78)))*(ACT_START&lt;=4)*(ACT_END&gt;=4)*IFERROR(ACT_UPLIFT-1,0)))*(1+SUMPRODUCT(SIGN(((ACT_DOOR_SCOPE="ALL")+(ACT_DOOR_SCOPE="TIER_"&amp;$F78)+(ACT_DOOR_SCOPE=$B78)))*SIGN(((ACT_SKU_SCOPE="ALL")+(ACT_SKU_SCOPE=$G78)))*(4&gt;ACT_END)*(ACT_END&gt;0)*IFERROR(ACT_POSTLIFT,0))),0)))</f>
        <v/>
      </c>
      <c r="N78" s="10">
        <f>IF(OR($H78&lt;&gt;"Y",5&lt;$I78),0,IF(SUMPRODUCT(((BULK_ENABLED="Y")*((BULK_TIER="ALL")+(BULK_TIER=$F78))*((BULK_SKU="ALL")+(BULK_SKU=$G78))*(BULK_START&lt;=5)*(BULK_END&gt;=5)))&gt;0,IFERROR(SUMPRODUCT(((BULK_ENABLED="Y")*((BULK_TIER="ALL")+(BULK_TIER=$F78))*((BULK_SKU="ALL")+(BULK_SKU=$G78))*(BULK_START&lt;=5)*(BULK_END&gt;=5))*IFERROR(BULK_VALUE,0))/MAX(1,SUMPRODUCT(((BULK_ENABLED="Y")*((BULK_TIER="ALL")+(BULK_TIER=$F78))*((BULK_SKU="ALL")+(BULK_SKU=$G78))*(BULK_START&lt;=5)*(BULK_END&gt;=5)))),0),ROUND((INDEX(VELOCITY_TABLE,MATCH($F78,TIER_LIST,0),2))*(IF((5-$I78+1)&lt;=0,0,IF((5-$I78+1)=1,RAMP_W1,IF((5-$I78+1)=2,RAMP_W2,IF((5-$I78+1)=3,RAMP_W3,RAMP_W4PLUS)))))*(INDEX(ACTIVE_MULT_TABLE,2,1))*(1+SUMPRODUCT(SIGN(((ACT_DOOR_SCOPE="ALL")+(ACT_DOOR_SCOPE="TIER_"&amp;$F78)+(ACT_DOOR_SCOPE=$B78)))*SIGN(((ACT_SKU_SCOPE="ALL")+(ACT_SKU_SCOPE=$G78)))*(ACT_START&lt;=5)*(ACT_END&gt;=5)*IFERROR(ACT_UPLIFT-1,0)))*(1+SUMPRODUCT(SIGN(((ACT_DOOR_SCOPE="ALL")+(ACT_DOOR_SCOPE="TIER_"&amp;$F78)+(ACT_DOOR_SCOPE=$B78)))*SIGN(((ACT_SKU_SCOPE="ALL")+(ACT_SKU_SCOPE=$G78)))*(5&gt;ACT_END)*(ACT_END&gt;0)*IFERROR(ACT_POSTLIFT,0))),0)))</f>
        <v/>
      </c>
      <c r="O78" s="10">
        <f>IF(OR($H78&lt;&gt;"Y",6&lt;$I78),0,IF(SUMPRODUCT(((BULK_ENABLED="Y")*((BULK_TIER="ALL")+(BULK_TIER=$F78))*((BULK_SKU="ALL")+(BULK_SKU=$G78))*(BULK_START&lt;=6)*(BULK_END&gt;=6)))&gt;0,IFERROR(SUMPRODUCT(((BULK_ENABLED="Y")*((BULK_TIER="ALL")+(BULK_TIER=$F78))*((BULK_SKU="ALL")+(BULK_SKU=$G78))*(BULK_START&lt;=6)*(BULK_END&gt;=6))*IFERROR(BULK_VALUE,0))/MAX(1,SUMPRODUCT(((BULK_ENABLED="Y")*((BULK_TIER="ALL")+(BULK_TIER=$F78))*((BULK_SKU="ALL")+(BULK_SKU=$G78))*(BULK_START&lt;=6)*(BULK_END&gt;=6)))),0),ROUND((INDEX(VELOCITY_TABLE,MATCH($F78,TIER_LIST,0),2))*(IF((6-$I78+1)&lt;=0,0,IF((6-$I78+1)=1,RAMP_W1,IF((6-$I78+1)=2,RAMP_W2,IF((6-$I78+1)=3,RAMP_W3,RAMP_W4PLUS)))))*(INDEX(ACTIVE_MULT_TABLE,2,1))*(1+SUMPRODUCT(SIGN(((ACT_DOOR_SCOPE="ALL")+(ACT_DOOR_SCOPE="TIER_"&amp;$F78)+(ACT_DOOR_SCOPE=$B78)))*SIGN(((ACT_SKU_SCOPE="ALL")+(ACT_SKU_SCOPE=$G78)))*(ACT_START&lt;=6)*(ACT_END&gt;=6)*IFERROR(ACT_UPLIFT-1,0)))*(1+SUMPRODUCT(SIGN(((ACT_DOOR_SCOPE="ALL")+(ACT_DOOR_SCOPE="TIER_"&amp;$F78)+(ACT_DOOR_SCOPE=$B78)))*SIGN(((ACT_SKU_SCOPE="ALL")+(ACT_SKU_SCOPE=$G78)))*(6&gt;ACT_END)*(ACT_END&gt;0)*IFERROR(ACT_POSTLIFT,0))),0)))</f>
        <v/>
      </c>
      <c r="P78" s="10">
        <f>IF(OR($H78&lt;&gt;"Y",7&lt;$I78),0,IF(SUMPRODUCT(((BULK_ENABLED="Y")*((BULK_TIER="ALL")+(BULK_TIER=$F78))*((BULK_SKU="ALL")+(BULK_SKU=$G78))*(BULK_START&lt;=7)*(BULK_END&gt;=7)))&gt;0,IFERROR(SUMPRODUCT(((BULK_ENABLED="Y")*((BULK_TIER="ALL")+(BULK_TIER=$F78))*((BULK_SKU="ALL")+(BULK_SKU=$G78))*(BULK_START&lt;=7)*(BULK_END&gt;=7))*IFERROR(BULK_VALUE,0))/MAX(1,SUMPRODUCT(((BULK_ENABLED="Y")*((BULK_TIER="ALL")+(BULK_TIER=$F78))*((BULK_SKU="ALL")+(BULK_SKU=$G78))*(BULK_START&lt;=7)*(BULK_END&gt;=7)))),0),ROUND((INDEX(VELOCITY_TABLE,MATCH($F78,TIER_LIST,0),2))*(IF((7-$I78+1)&lt;=0,0,IF((7-$I78+1)=1,RAMP_W1,IF((7-$I78+1)=2,RAMP_W2,IF((7-$I78+1)=3,RAMP_W3,RAMP_W4PLUS)))))*(INDEX(ACTIVE_MULT_TABLE,2,1))*(1+SUMPRODUCT(SIGN(((ACT_DOOR_SCOPE="ALL")+(ACT_DOOR_SCOPE="TIER_"&amp;$F78)+(ACT_DOOR_SCOPE=$B78)))*SIGN(((ACT_SKU_SCOPE="ALL")+(ACT_SKU_SCOPE=$G78)))*(ACT_START&lt;=7)*(ACT_END&gt;=7)*IFERROR(ACT_UPLIFT-1,0)))*(1+SUMPRODUCT(SIGN(((ACT_DOOR_SCOPE="ALL")+(ACT_DOOR_SCOPE="TIER_"&amp;$F78)+(ACT_DOOR_SCOPE=$B78)))*SIGN(((ACT_SKU_SCOPE="ALL")+(ACT_SKU_SCOPE=$G78)))*(7&gt;ACT_END)*(ACT_END&gt;0)*IFERROR(ACT_POSTLIFT,0))),0)))</f>
        <v/>
      </c>
      <c r="Q78" s="10">
        <f>IF(OR($H78&lt;&gt;"Y",8&lt;$I78),0,IF(SUMPRODUCT(((BULK_ENABLED="Y")*((BULK_TIER="ALL")+(BULK_TIER=$F78))*((BULK_SKU="ALL")+(BULK_SKU=$G78))*(BULK_START&lt;=8)*(BULK_END&gt;=8)))&gt;0,IFERROR(SUMPRODUCT(((BULK_ENABLED="Y")*((BULK_TIER="ALL")+(BULK_TIER=$F78))*((BULK_SKU="ALL")+(BULK_SKU=$G78))*(BULK_START&lt;=8)*(BULK_END&gt;=8))*IFERROR(BULK_VALUE,0))/MAX(1,SUMPRODUCT(((BULK_ENABLED="Y")*((BULK_TIER="ALL")+(BULK_TIER=$F78))*((BULK_SKU="ALL")+(BULK_SKU=$G78))*(BULK_START&lt;=8)*(BULK_END&gt;=8)))),0),ROUND((INDEX(VELOCITY_TABLE,MATCH($F78,TIER_LIST,0),2))*(IF((8-$I78+1)&lt;=0,0,IF((8-$I78+1)=1,RAMP_W1,IF((8-$I78+1)=2,RAMP_W2,IF((8-$I78+1)=3,RAMP_W3,RAMP_W4PLUS)))))*(INDEX(ACTIVE_MULT_TABLE,2,1))*(1+SUMPRODUCT(SIGN(((ACT_DOOR_SCOPE="ALL")+(ACT_DOOR_SCOPE="TIER_"&amp;$F78)+(ACT_DOOR_SCOPE=$B78)))*SIGN(((ACT_SKU_SCOPE="ALL")+(ACT_SKU_SCOPE=$G78)))*(ACT_START&lt;=8)*(ACT_END&gt;=8)*IFERROR(ACT_UPLIFT-1,0)))*(1+SUMPRODUCT(SIGN(((ACT_DOOR_SCOPE="ALL")+(ACT_DOOR_SCOPE="TIER_"&amp;$F78)+(ACT_DOOR_SCOPE=$B78)))*SIGN(((ACT_SKU_SCOPE="ALL")+(ACT_SKU_SCOPE=$G78)))*(8&gt;ACT_END)*(ACT_END&gt;0)*IFERROR(ACT_POSTLIFT,0))),0)))</f>
        <v/>
      </c>
      <c r="R78" s="10">
        <f>IF(OR($H78&lt;&gt;"Y",9&lt;$I78),0,IF(SUMPRODUCT(((BULK_ENABLED="Y")*((BULK_TIER="ALL")+(BULK_TIER=$F78))*((BULK_SKU="ALL")+(BULK_SKU=$G78))*(BULK_START&lt;=9)*(BULK_END&gt;=9)))&gt;0,IFERROR(SUMPRODUCT(((BULK_ENABLED="Y")*((BULK_TIER="ALL")+(BULK_TIER=$F78))*((BULK_SKU="ALL")+(BULK_SKU=$G78))*(BULK_START&lt;=9)*(BULK_END&gt;=9))*IFERROR(BULK_VALUE,0))/MAX(1,SUMPRODUCT(((BULK_ENABLED="Y")*((BULK_TIER="ALL")+(BULK_TIER=$F78))*((BULK_SKU="ALL")+(BULK_SKU=$G78))*(BULK_START&lt;=9)*(BULK_END&gt;=9)))),0),ROUND((INDEX(VELOCITY_TABLE,MATCH($F78,TIER_LIST,0),2))*(IF((9-$I78+1)&lt;=0,0,IF((9-$I78+1)=1,RAMP_W1,IF((9-$I78+1)=2,RAMP_W2,IF((9-$I78+1)=3,RAMP_W3,RAMP_W4PLUS)))))*(INDEX(ACTIVE_MULT_TABLE,2,1))*(1+SUMPRODUCT(SIGN(((ACT_DOOR_SCOPE="ALL")+(ACT_DOOR_SCOPE="TIER_"&amp;$F78)+(ACT_DOOR_SCOPE=$B78)))*SIGN(((ACT_SKU_SCOPE="ALL")+(ACT_SKU_SCOPE=$G78)))*(ACT_START&lt;=9)*(ACT_END&gt;=9)*IFERROR(ACT_UPLIFT-1,0)))*(1+SUMPRODUCT(SIGN(((ACT_DOOR_SCOPE="ALL")+(ACT_DOOR_SCOPE="TIER_"&amp;$F78)+(ACT_DOOR_SCOPE=$B78)))*SIGN(((ACT_SKU_SCOPE="ALL")+(ACT_SKU_SCOPE=$G78)))*(9&gt;ACT_END)*(ACT_END&gt;0)*IFERROR(ACT_POSTLIFT,0))),0)))</f>
        <v/>
      </c>
      <c r="S78" s="10">
        <f>IF(OR($H78&lt;&gt;"Y",10&lt;$I78),0,IF(SUMPRODUCT(((BULK_ENABLED="Y")*((BULK_TIER="ALL")+(BULK_TIER=$F78))*((BULK_SKU="ALL")+(BULK_SKU=$G78))*(BULK_START&lt;=10)*(BULK_END&gt;=10)))&gt;0,IFERROR(SUMPRODUCT(((BULK_ENABLED="Y")*((BULK_TIER="ALL")+(BULK_TIER=$F78))*((BULK_SKU="ALL")+(BULK_SKU=$G78))*(BULK_START&lt;=10)*(BULK_END&gt;=10))*IFERROR(BULK_VALUE,0))/MAX(1,SUMPRODUCT(((BULK_ENABLED="Y")*((BULK_TIER="ALL")+(BULK_TIER=$F78))*((BULK_SKU="ALL")+(BULK_SKU=$G78))*(BULK_START&lt;=10)*(BULK_END&gt;=10)))),0),ROUND((INDEX(VELOCITY_TABLE,MATCH($F78,TIER_LIST,0),2))*(IF((10-$I78+1)&lt;=0,0,IF((10-$I78+1)=1,RAMP_W1,IF((10-$I78+1)=2,RAMP_W2,IF((10-$I78+1)=3,RAMP_W3,RAMP_W4PLUS)))))*(INDEX(ACTIVE_MULT_TABLE,2,1))*(1+SUMPRODUCT(SIGN(((ACT_DOOR_SCOPE="ALL")+(ACT_DOOR_SCOPE="TIER_"&amp;$F78)+(ACT_DOOR_SCOPE=$B78)))*SIGN(((ACT_SKU_SCOPE="ALL")+(ACT_SKU_SCOPE=$G78)))*(ACT_START&lt;=10)*(ACT_END&gt;=10)*IFERROR(ACT_UPLIFT-1,0)))*(1+SUMPRODUCT(SIGN(((ACT_DOOR_SCOPE="ALL")+(ACT_DOOR_SCOPE="TIER_"&amp;$F78)+(ACT_DOOR_SCOPE=$B78)))*SIGN(((ACT_SKU_SCOPE="ALL")+(ACT_SKU_SCOPE=$G78)))*(10&gt;ACT_END)*(ACT_END&gt;0)*IFERROR(ACT_POSTLIFT,0))),0)))</f>
        <v/>
      </c>
      <c r="T78" s="10">
        <f>IF(OR($H78&lt;&gt;"Y",11&lt;$I78),0,IF(SUMPRODUCT(((BULK_ENABLED="Y")*((BULK_TIER="ALL")+(BULK_TIER=$F78))*((BULK_SKU="ALL")+(BULK_SKU=$G78))*(BULK_START&lt;=11)*(BULK_END&gt;=11)))&gt;0,IFERROR(SUMPRODUCT(((BULK_ENABLED="Y")*((BULK_TIER="ALL")+(BULK_TIER=$F78))*((BULK_SKU="ALL")+(BULK_SKU=$G78))*(BULK_START&lt;=11)*(BULK_END&gt;=11))*IFERROR(BULK_VALUE,0))/MAX(1,SUMPRODUCT(((BULK_ENABLED="Y")*((BULK_TIER="ALL")+(BULK_TIER=$F78))*((BULK_SKU="ALL")+(BULK_SKU=$G78))*(BULK_START&lt;=11)*(BULK_END&gt;=11)))),0),ROUND((INDEX(VELOCITY_TABLE,MATCH($F78,TIER_LIST,0),2))*(IF((11-$I78+1)&lt;=0,0,IF((11-$I78+1)=1,RAMP_W1,IF((11-$I78+1)=2,RAMP_W2,IF((11-$I78+1)=3,RAMP_W3,RAMP_W4PLUS)))))*(INDEX(ACTIVE_MULT_TABLE,2,1))*(1+SUMPRODUCT(SIGN(((ACT_DOOR_SCOPE="ALL")+(ACT_DOOR_SCOPE="TIER_"&amp;$F78)+(ACT_DOOR_SCOPE=$B78)))*SIGN(((ACT_SKU_SCOPE="ALL")+(ACT_SKU_SCOPE=$G78)))*(ACT_START&lt;=11)*(ACT_END&gt;=11)*IFERROR(ACT_UPLIFT-1,0)))*(1+SUMPRODUCT(SIGN(((ACT_DOOR_SCOPE="ALL")+(ACT_DOOR_SCOPE="TIER_"&amp;$F78)+(ACT_DOOR_SCOPE=$B78)))*SIGN(((ACT_SKU_SCOPE="ALL")+(ACT_SKU_SCOPE=$G78)))*(11&gt;ACT_END)*(ACT_END&gt;0)*IFERROR(ACT_POSTLIFT,0))),0)))</f>
        <v/>
      </c>
      <c r="U78" s="10">
        <f>IF(OR($H78&lt;&gt;"Y",12&lt;$I78),0,IF(SUMPRODUCT(((BULK_ENABLED="Y")*((BULK_TIER="ALL")+(BULK_TIER=$F78))*((BULK_SKU="ALL")+(BULK_SKU=$G78))*(BULK_START&lt;=12)*(BULK_END&gt;=12)))&gt;0,IFERROR(SUMPRODUCT(((BULK_ENABLED="Y")*((BULK_TIER="ALL")+(BULK_TIER=$F78))*((BULK_SKU="ALL")+(BULK_SKU=$G78))*(BULK_START&lt;=12)*(BULK_END&gt;=12))*IFERROR(BULK_VALUE,0))/MAX(1,SUMPRODUCT(((BULK_ENABLED="Y")*((BULK_TIER="ALL")+(BULK_TIER=$F78))*((BULK_SKU="ALL")+(BULK_SKU=$G78))*(BULK_START&lt;=12)*(BULK_END&gt;=12)))),0),ROUND((INDEX(VELOCITY_TABLE,MATCH($F78,TIER_LIST,0),2))*(IF((12-$I78+1)&lt;=0,0,IF((12-$I78+1)=1,RAMP_W1,IF((12-$I78+1)=2,RAMP_W2,IF((12-$I78+1)=3,RAMP_W3,RAMP_W4PLUS)))))*(INDEX(ACTIVE_MULT_TABLE,2,1))*(1+SUMPRODUCT(SIGN(((ACT_DOOR_SCOPE="ALL")+(ACT_DOOR_SCOPE="TIER_"&amp;$F78)+(ACT_DOOR_SCOPE=$B78)))*SIGN(((ACT_SKU_SCOPE="ALL")+(ACT_SKU_SCOPE=$G78)))*(ACT_START&lt;=12)*(ACT_END&gt;=12)*IFERROR(ACT_UPLIFT-1,0)))*(1+SUMPRODUCT(SIGN(((ACT_DOOR_SCOPE="ALL")+(ACT_DOOR_SCOPE="TIER_"&amp;$F78)+(ACT_DOOR_SCOPE=$B78)))*SIGN(((ACT_SKU_SCOPE="ALL")+(ACT_SKU_SCOPE=$G78)))*(12&gt;ACT_END)*(ACT_END&gt;0)*IFERROR(ACT_POSTLIFT,0))),0)))</f>
        <v/>
      </c>
      <c r="V78" s="10">
        <f>IF(OR($H78&lt;&gt;"Y",13&lt;$I78),0,IF(SUMPRODUCT(((BULK_ENABLED="Y")*((BULK_TIER="ALL")+(BULK_TIER=$F78))*((BULK_SKU="ALL")+(BULK_SKU=$G78))*(BULK_START&lt;=13)*(BULK_END&gt;=13)))&gt;0,IFERROR(SUMPRODUCT(((BULK_ENABLED="Y")*((BULK_TIER="ALL")+(BULK_TIER=$F78))*((BULK_SKU="ALL")+(BULK_SKU=$G78))*(BULK_START&lt;=13)*(BULK_END&gt;=13))*IFERROR(BULK_VALUE,0))/MAX(1,SUMPRODUCT(((BULK_ENABLED="Y")*((BULK_TIER="ALL")+(BULK_TIER=$F78))*((BULK_SKU="ALL")+(BULK_SKU=$G78))*(BULK_START&lt;=13)*(BULK_END&gt;=13)))),0),ROUND((INDEX(VELOCITY_TABLE,MATCH($F78,TIER_LIST,0),2))*(IF((13-$I78+1)&lt;=0,0,IF((13-$I78+1)=1,RAMP_W1,IF((13-$I78+1)=2,RAMP_W2,IF((13-$I78+1)=3,RAMP_W3,RAMP_W4PLUS)))))*(INDEX(ACTIVE_MULT_TABLE,2,1))*(1+SUMPRODUCT(SIGN(((ACT_DOOR_SCOPE="ALL")+(ACT_DOOR_SCOPE="TIER_"&amp;$F78)+(ACT_DOOR_SCOPE=$B78)))*SIGN(((ACT_SKU_SCOPE="ALL")+(ACT_SKU_SCOPE=$G78)))*(ACT_START&lt;=13)*(ACT_END&gt;=13)*IFERROR(ACT_UPLIFT-1,0)))*(1+SUMPRODUCT(SIGN(((ACT_DOOR_SCOPE="ALL")+(ACT_DOOR_SCOPE="TIER_"&amp;$F78)+(ACT_DOOR_SCOPE=$B78)))*SIGN(((ACT_SKU_SCOPE="ALL")+(ACT_SKU_SCOPE=$G78)))*(13&gt;ACT_END)*(ACT_END&gt;0)*IFERROR(ACT_POSTLIFT,0))),0)))</f>
        <v/>
      </c>
    </row>
    <row r="79">
      <c r="A79" t="inlineStr">
        <is>
          <t>R0075</t>
        </is>
      </c>
      <c r="B79">
        <f>Doors!$A$29</f>
        <v/>
      </c>
      <c r="C79">
        <f>Doors!$C$29</f>
        <v/>
      </c>
      <c r="D79">
        <f>Doors!$B$29</f>
        <v/>
      </c>
      <c r="E79">
        <f>Doors!$E$29</f>
        <v/>
      </c>
      <c r="F79">
        <f>Doors!$F$29</f>
        <v/>
      </c>
      <c r="G79" t="inlineStr">
        <is>
          <t>Raspberry</t>
        </is>
      </c>
      <c r="H79">
        <f>Doors!$I$29</f>
        <v/>
      </c>
      <c r="I79">
        <f>Doors!$J$29</f>
        <v/>
      </c>
      <c r="J79" s="10">
        <f>IF(OR($H79&lt;&gt;"Y",1&lt;$I79),0,IF(SUMPRODUCT(((BULK_ENABLED="Y")*((BULK_TIER="ALL")+(BULK_TIER=$F79))*((BULK_SKU="ALL")+(BULK_SKU=$G79))*(BULK_START&lt;=1)*(BULK_END&gt;=1)))&gt;0,IFERROR(SUMPRODUCT(((BULK_ENABLED="Y")*((BULK_TIER="ALL")+(BULK_TIER=$F79))*((BULK_SKU="ALL")+(BULK_SKU=$G79))*(BULK_START&lt;=1)*(BULK_END&gt;=1))*IFERROR(BULK_VALUE,0))/MAX(1,SUMPRODUCT(((BULK_ENABLED="Y")*((BULK_TIER="ALL")+(BULK_TIER=$F79))*((BULK_SKU="ALL")+(BULK_SKU=$G79))*(BULK_START&lt;=1)*(BULK_END&gt;=1)))),0),ROUND((INDEX(VELOCITY_TABLE,MATCH($F79,TIER_LIST,0),3))*(IF((1-$I79+1)&lt;=0,0,IF((1-$I79+1)=1,RAMP_W1,IF((1-$I79+1)=2,RAMP_W2,IF((1-$I79+1)=3,RAMP_W3,RAMP_W4PLUS)))))*(INDEX(ACTIVE_MULT_TABLE,3,1))*(1+SUMPRODUCT(SIGN(((ACT_DOOR_SCOPE="ALL")+(ACT_DOOR_SCOPE="TIER_"&amp;$F79)+(ACT_DOOR_SCOPE=$B79)))*SIGN(((ACT_SKU_SCOPE="ALL")+(ACT_SKU_SCOPE=$G79)))*(ACT_START&lt;=1)*(ACT_END&gt;=1)*IFERROR(ACT_UPLIFT-1,0)))*(1+SUMPRODUCT(SIGN(((ACT_DOOR_SCOPE="ALL")+(ACT_DOOR_SCOPE="TIER_"&amp;$F79)+(ACT_DOOR_SCOPE=$B79)))*SIGN(((ACT_SKU_SCOPE="ALL")+(ACT_SKU_SCOPE=$G79)))*(1&gt;ACT_END)*(ACT_END&gt;0)*IFERROR(ACT_POSTLIFT,0))),0)))</f>
        <v/>
      </c>
      <c r="K79" s="10">
        <f>IF(OR($H79&lt;&gt;"Y",2&lt;$I79),0,IF(SUMPRODUCT(((BULK_ENABLED="Y")*((BULK_TIER="ALL")+(BULK_TIER=$F79))*((BULK_SKU="ALL")+(BULK_SKU=$G79))*(BULK_START&lt;=2)*(BULK_END&gt;=2)))&gt;0,IFERROR(SUMPRODUCT(((BULK_ENABLED="Y")*((BULK_TIER="ALL")+(BULK_TIER=$F79))*((BULK_SKU="ALL")+(BULK_SKU=$G79))*(BULK_START&lt;=2)*(BULK_END&gt;=2))*IFERROR(BULK_VALUE,0))/MAX(1,SUMPRODUCT(((BULK_ENABLED="Y")*((BULK_TIER="ALL")+(BULK_TIER=$F79))*((BULK_SKU="ALL")+(BULK_SKU=$G79))*(BULK_START&lt;=2)*(BULK_END&gt;=2)))),0),ROUND((INDEX(VELOCITY_TABLE,MATCH($F79,TIER_LIST,0),3))*(IF((2-$I79+1)&lt;=0,0,IF((2-$I79+1)=1,RAMP_W1,IF((2-$I79+1)=2,RAMP_W2,IF((2-$I79+1)=3,RAMP_W3,RAMP_W4PLUS)))))*(INDEX(ACTIVE_MULT_TABLE,3,1))*(1+SUMPRODUCT(SIGN(((ACT_DOOR_SCOPE="ALL")+(ACT_DOOR_SCOPE="TIER_"&amp;$F79)+(ACT_DOOR_SCOPE=$B79)))*SIGN(((ACT_SKU_SCOPE="ALL")+(ACT_SKU_SCOPE=$G79)))*(ACT_START&lt;=2)*(ACT_END&gt;=2)*IFERROR(ACT_UPLIFT-1,0)))*(1+SUMPRODUCT(SIGN(((ACT_DOOR_SCOPE="ALL")+(ACT_DOOR_SCOPE="TIER_"&amp;$F79)+(ACT_DOOR_SCOPE=$B79)))*SIGN(((ACT_SKU_SCOPE="ALL")+(ACT_SKU_SCOPE=$G79)))*(2&gt;ACT_END)*(ACT_END&gt;0)*IFERROR(ACT_POSTLIFT,0))),0)))</f>
        <v/>
      </c>
      <c r="L79" s="10">
        <f>IF(OR($H79&lt;&gt;"Y",3&lt;$I79),0,IF(SUMPRODUCT(((BULK_ENABLED="Y")*((BULK_TIER="ALL")+(BULK_TIER=$F79))*((BULK_SKU="ALL")+(BULK_SKU=$G79))*(BULK_START&lt;=3)*(BULK_END&gt;=3)))&gt;0,IFERROR(SUMPRODUCT(((BULK_ENABLED="Y")*((BULK_TIER="ALL")+(BULK_TIER=$F79))*((BULK_SKU="ALL")+(BULK_SKU=$G79))*(BULK_START&lt;=3)*(BULK_END&gt;=3))*IFERROR(BULK_VALUE,0))/MAX(1,SUMPRODUCT(((BULK_ENABLED="Y")*((BULK_TIER="ALL")+(BULK_TIER=$F79))*((BULK_SKU="ALL")+(BULK_SKU=$G79))*(BULK_START&lt;=3)*(BULK_END&gt;=3)))),0),ROUND((INDEX(VELOCITY_TABLE,MATCH($F79,TIER_LIST,0),3))*(IF((3-$I79+1)&lt;=0,0,IF((3-$I79+1)=1,RAMP_W1,IF((3-$I79+1)=2,RAMP_W2,IF((3-$I79+1)=3,RAMP_W3,RAMP_W4PLUS)))))*(INDEX(ACTIVE_MULT_TABLE,3,1))*(1+SUMPRODUCT(SIGN(((ACT_DOOR_SCOPE="ALL")+(ACT_DOOR_SCOPE="TIER_"&amp;$F79)+(ACT_DOOR_SCOPE=$B79)))*SIGN(((ACT_SKU_SCOPE="ALL")+(ACT_SKU_SCOPE=$G79)))*(ACT_START&lt;=3)*(ACT_END&gt;=3)*IFERROR(ACT_UPLIFT-1,0)))*(1+SUMPRODUCT(SIGN(((ACT_DOOR_SCOPE="ALL")+(ACT_DOOR_SCOPE="TIER_"&amp;$F79)+(ACT_DOOR_SCOPE=$B79)))*SIGN(((ACT_SKU_SCOPE="ALL")+(ACT_SKU_SCOPE=$G79)))*(3&gt;ACT_END)*(ACT_END&gt;0)*IFERROR(ACT_POSTLIFT,0))),0)))</f>
        <v/>
      </c>
      <c r="M79" s="10">
        <f>IF(OR($H79&lt;&gt;"Y",4&lt;$I79),0,IF(SUMPRODUCT(((BULK_ENABLED="Y")*((BULK_TIER="ALL")+(BULK_TIER=$F79))*((BULK_SKU="ALL")+(BULK_SKU=$G79))*(BULK_START&lt;=4)*(BULK_END&gt;=4)))&gt;0,IFERROR(SUMPRODUCT(((BULK_ENABLED="Y")*((BULK_TIER="ALL")+(BULK_TIER=$F79))*((BULK_SKU="ALL")+(BULK_SKU=$G79))*(BULK_START&lt;=4)*(BULK_END&gt;=4))*IFERROR(BULK_VALUE,0))/MAX(1,SUMPRODUCT(((BULK_ENABLED="Y")*((BULK_TIER="ALL")+(BULK_TIER=$F79))*((BULK_SKU="ALL")+(BULK_SKU=$G79))*(BULK_START&lt;=4)*(BULK_END&gt;=4)))),0),ROUND((INDEX(VELOCITY_TABLE,MATCH($F79,TIER_LIST,0),3))*(IF((4-$I79+1)&lt;=0,0,IF((4-$I79+1)=1,RAMP_W1,IF((4-$I79+1)=2,RAMP_W2,IF((4-$I79+1)=3,RAMP_W3,RAMP_W4PLUS)))))*(INDEX(ACTIVE_MULT_TABLE,3,1))*(1+SUMPRODUCT(SIGN(((ACT_DOOR_SCOPE="ALL")+(ACT_DOOR_SCOPE="TIER_"&amp;$F79)+(ACT_DOOR_SCOPE=$B79)))*SIGN(((ACT_SKU_SCOPE="ALL")+(ACT_SKU_SCOPE=$G79)))*(ACT_START&lt;=4)*(ACT_END&gt;=4)*IFERROR(ACT_UPLIFT-1,0)))*(1+SUMPRODUCT(SIGN(((ACT_DOOR_SCOPE="ALL")+(ACT_DOOR_SCOPE="TIER_"&amp;$F79)+(ACT_DOOR_SCOPE=$B79)))*SIGN(((ACT_SKU_SCOPE="ALL")+(ACT_SKU_SCOPE=$G79)))*(4&gt;ACT_END)*(ACT_END&gt;0)*IFERROR(ACT_POSTLIFT,0))),0)))</f>
        <v/>
      </c>
      <c r="N79" s="10">
        <f>IF(OR($H79&lt;&gt;"Y",5&lt;$I79),0,IF(SUMPRODUCT(((BULK_ENABLED="Y")*((BULK_TIER="ALL")+(BULK_TIER=$F79))*((BULK_SKU="ALL")+(BULK_SKU=$G79))*(BULK_START&lt;=5)*(BULK_END&gt;=5)))&gt;0,IFERROR(SUMPRODUCT(((BULK_ENABLED="Y")*((BULK_TIER="ALL")+(BULK_TIER=$F79))*((BULK_SKU="ALL")+(BULK_SKU=$G79))*(BULK_START&lt;=5)*(BULK_END&gt;=5))*IFERROR(BULK_VALUE,0))/MAX(1,SUMPRODUCT(((BULK_ENABLED="Y")*((BULK_TIER="ALL")+(BULK_TIER=$F79))*((BULK_SKU="ALL")+(BULK_SKU=$G79))*(BULK_START&lt;=5)*(BULK_END&gt;=5)))),0),ROUND((INDEX(VELOCITY_TABLE,MATCH($F79,TIER_LIST,0),3))*(IF((5-$I79+1)&lt;=0,0,IF((5-$I79+1)=1,RAMP_W1,IF((5-$I79+1)=2,RAMP_W2,IF((5-$I79+1)=3,RAMP_W3,RAMP_W4PLUS)))))*(INDEX(ACTIVE_MULT_TABLE,3,1))*(1+SUMPRODUCT(SIGN(((ACT_DOOR_SCOPE="ALL")+(ACT_DOOR_SCOPE="TIER_"&amp;$F79)+(ACT_DOOR_SCOPE=$B79)))*SIGN(((ACT_SKU_SCOPE="ALL")+(ACT_SKU_SCOPE=$G79)))*(ACT_START&lt;=5)*(ACT_END&gt;=5)*IFERROR(ACT_UPLIFT-1,0)))*(1+SUMPRODUCT(SIGN(((ACT_DOOR_SCOPE="ALL")+(ACT_DOOR_SCOPE="TIER_"&amp;$F79)+(ACT_DOOR_SCOPE=$B79)))*SIGN(((ACT_SKU_SCOPE="ALL")+(ACT_SKU_SCOPE=$G79)))*(5&gt;ACT_END)*(ACT_END&gt;0)*IFERROR(ACT_POSTLIFT,0))),0)))</f>
        <v/>
      </c>
      <c r="O79" s="10">
        <f>IF(OR($H79&lt;&gt;"Y",6&lt;$I79),0,IF(SUMPRODUCT(((BULK_ENABLED="Y")*((BULK_TIER="ALL")+(BULK_TIER=$F79))*((BULK_SKU="ALL")+(BULK_SKU=$G79))*(BULK_START&lt;=6)*(BULK_END&gt;=6)))&gt;0,IFERROR(SUMPRODUCT(((BULK_ENABLED="Y")*((BULK_TIER="ALL")+(BULK_TIER=$F79))*((BULK_SKU="ALL")+(BULK_SKU=$G79))*(BULK_START&lt;=6)*(BULK_END&gt;=6))*IFERROR(BULK_VALUE,0))/MAX(1,SUMPRODUCT(((BULK_ENABLED="Y")*((BULK_TIER="ALL")+(BULK_TIER=$F79))*((BULK_SKU="ALL")+(BULK_SKU=$G79))*(BULK_START&lt;=6)*(BULK_END&gt;=6)))),0),ROUND((INDEX(VELOCITY_TABLE,MATCH($F79,TIER_LIST,0),3))*(IF((6-$I79+1)&lt;=0,0,IF((6-$I79+1)=1,RAMP_W1,IF((6-$I79+1)=2,RAMP_W2,IF((6-$I79+1)=3,RAMP_W3,RAMP_W4PLUS)))))*(INDEX(ACTIVE_MULT_TABLE,3,1))*(1+SUMPRODUCT(SIGN(((ACT_DOOR_SCOPE="ALL")+(ACT_DOOR_SCOPE="TIER_"&amp;$F79)+(ACT_DOOR_SCOPE=$B79)))*SIGN(((ACT_SKU_SCOPE="ALL")+(ACT_SKU_SCOPE=$G79)))*(ACT_START&lt;=6)*(ACT_END&gt;=6)*IFERROR(ACT_UPLIFT-1,0)))*(1+SUMPRODUCT(SIGN(((ACT_DOOR_SCOPE="ALL")+(ACT_DOOR_SCOPE="TIER_"&amp;$F79)+(ACT_DOOR_SCOPE=$B79)))*SIGN(((ACT_SKU_SCOPE="ALL")+(ACT_SKU_SCOPE=$G79)))*(6&gt;ACT_END)*(ACT_END&gt;0)*IFERROR(ACT_POSTLIFT,0))),0)))</f>
        <v/>
      </c>
      <c r="P79" s="10">
        <f>IF(OR($H79&lt;&gt;"Y",7&lt;$I79),0,IF(SUMPRODUCT(((BULK_ENABLED="Y")*((BULK_TIER="ALL")+(BULK_TIER=$F79))*((BULK_SKU="ALL")+(BULK_SKU=$G79))*(BULK_START&lt;=7)*(BULK_END&gt;=7)))&gt;0,IFERROR(SUMPRODUCT(((BULK_ENABLED="Y")*((BULK_TIER="ALL")+(BULK_TIER=$F79))*((BULK_SKU="ALL")+(BULK_SKU=$G79))*(BULK_START&lt;=7)*(BULK_END&gt;=7))*IFERROR(BULK_VALUE,0))/MAX(1,SUMPRODUCT(((BULK_ENABLED="Y")*((BULK_TIER="ALL")+(BULK_TIER=$F79))*((BULK_SKU="ALL")+(BULK_SKU=$G79))*(BULK_START&lt;=7)*(BULK_END&gt;=7)))),0),ROUND((INDEX(VELOCITY_TABLE,MATCH($F79,TIER_LIST,0),3))*(IF((7-$I79+1)&lt;=0,0,IF((7-$I79+1)=1,RAMP_W1,IF((7-$I79+1)=2,RAMP_W2,IF((7-$I79+1)=3,RAMP_W3,RAMP_W4PLUS)))))*(INDEX(ACTIVE_MULT_TABLE,3,1))*(1+SUMPRODUCT(SIGN(((ACT_DOOR_SCOPE="ALL")+(ACT_DOOR_SCOPE="TIER_"&amp;$F79)+(ACT_DOOR_SCOPE=$B79)))*SIGN(((ACT_SKU_SCOPE="ALL")+(ACT_SKU_SCOPE=$G79)))*(ACT_START&lt;=7)*(ACT_END&gt;=7)*IFERROR(ACT_UPLIFT-1,0)))*(1+SUMPRODUCT(SIGN(((ACT_DOOR_SCOPE="ALL")+(ACT_DOOR_SCOPE="TIER_"&amp;$F79)+(ACT_DOOR_SCOPE=$B79)))*SIGN(((ACT_SKU_SCOPE="ALL")+(ACT_SKU_SCOPE=$G79)))*(7&gt;ACT_END)*(ACT_END&gt;0)*IFERROR(ACT_POSTLIFT,0))),0)))</f>
        <v/>
      </c>
      <c r="Q79" s="10">
        <f>IF(OR($H79&lt;&gt;"Y",8&lt;$I79),0,IF(SUMPRODUCT(((BULK_ENABLED="Y")*((BULK_TIER="ALL")+(BULK_TIER=$F79))*((BULK_SKU="ALL")+(BULK_SKU=$G79))*(BULK_START&lt;=8)*(BULK_END&gt;=8)))&gt;0,IFERROR(SUMPRODUCT(((BULK_ENABLED="Y")*((BULK_TIER="ALL")+(BULK_TIER=$F79))*((BULK_SKU="ALL")+(BULK_SKU=$G79))*(BULK_START&lt;=8)*(BULK_END&gt;=8))*IFERROR(BULK_VALUE,0))/MAX(1,SUMPRODUCT(((BULK_ENABLED="Y")*((BULK_TIER="ALL")+(BULK_TIER=$F79))*((BULK_SKU="ALL")+(BULK_SKU=$G79))*(BULK_START&lt;=8)*(BULK_END&gt;=8)))),0),ROUND((INDEX(VELOCITY_TABLE,MATCH($F79,TIER_LIST,0),3))*(IF((8-$I79+1)&lt;=0,0,IF((8-$I79+1)=1,RAMP_W1,IF((8-$I79+1)=2,RAMP_W2,IF((8-$I79+1)=3,RAMP_W3,RAMP_W4PLUS)))))*(INDEX(ACTIVE_MULT_TABLE,3,1))*(1+SUMPRODUCT(SIGN(((ACT_DOOR_SCOPE="ALL")+(ACT_DOOR_SCOPE="TIER_"&amp;$F79)+(ACT_DOOR_SCOPE=$B79)))*SIGN(((ACT_SKU_SCOPE="ALL")+(ACT_SKU_SCOPE=$G79)))*(ACT_START&lt;=8)*(ACT_END&gt;=8)*IFERROR(ACT_UPLIFT-1,0)))*(1+SUMPRODUCT(SIGN(((ACT_DOOR_SCOPE="ALL")+(ACT_DOOR_SCOPE="TIER_"&amp;$F79)+(ACT_DOOR_SCOPE=$B79)))*SIGN(((ACT_SKU_SCOPE="ALL")+(ACT_SKU_SCOPE=$G79)))*(8&gt;ACT_END)*(ACT_END&gt;0)*IFERROR(ACT_POSTLIFT,0))),0)))</f>
        <v/>
      </c>
      <c r="R79" s="10">
        <f>IF(OR($H79&lt;&gt;"Y",9&lt;$I79),0,IF(SUMPRODUCT(((BULK_ENABLED="Y")*((BULK_TIER="ALL")+(BULK_TIER=$F79))*((BULK_SKU="ALL")+(BULK_SKU=$G79))*(BULK_START&lt;=9)*(BULK_END&gt;=9)))&gt;0,IFERROR(SUMPRODUCT(((BULK_ENABLED="Y")*((BULK_TIER="ALL")+(BULK_TIER=$F79))*((BULK_SKU="ALL")+(BULK_SKU=$G79))*(BULK_START&lt;=9)*(BULK_END&gt;=9))*IFERROR(BULK_VALUE,0))/MAX(1,SUMPRODUCT(((BULK_ENABLED="Y")*((BULK_TIER="ALL")+(BULK_TIER=$F79))*((BULK_SKU="ALL")+(BULK_SKU=$G79))*(BULK_START&lt;=9)*(BULK_END&gt;=9)))),0),ROUND((INDEX(VELOCITY_TABLE,MATCH($F79,TIER_LIST,0),3))*(IF((9-$I79+1)&lt;=0,0,IF((9-$I79+1)=1,RAMP_W1,IF((9-$I79+1)=2,RAMP_W2,IF((9-$I79+1)=3,RAMP_W3,RAMP_W4PLUS)))))*(INDEX(ACTIVE_MULT_TABLE,3,1))*(1+SUMPRODUCT(SIGN(((ACT_DOOR_SCOPE="ALL")+(ACT_DOOR_SCOPE="TIER_"&amp;$F79)+(ACT_DOOR_SCOPE=$B79)))*SIGN(((ACT_SKU_SCOPE="ALL")+(ACT_SKU_SCOPE=$G79)))*(ACT_START&lt;=9)*(ACT_END&gt;=9)*IFERROR(ACT_UPLIFT-1,0)))*(1+SUMPRODUCT(SIGN(((ACT_DOOR_SCOPE="ALL")+(ACT_DOOR_SCOPE="TIER_"&amp;$F79)+(ACT_DOOR_SCOPE=$B79)))*SIGN(((ACT_SKU_SCOPE="ALL")+(ACT_SKU_SCOPE=$G79)))*(9&gt;ACT_END)*(ACT_END&gt;0)*IFERROR(ACT_POSTLIFT,0))),0)))</f>
        <v/>
      </c>
      <c r="S79" s="10">
        <f>IF(OR($H79&lt;&gt;"Y",10&lt;$I79),0,IF(SUMPRODUCT(((BULK_ENABLED="Y")*((BULK_TIER="ALL")+(BULK_TIER=$F79))*((BULK_SKU="ALL")+(BULK_SKU=$G79))*(BULK_START&lt;=10)*(BULK_END&gt;=10)))&gt;0,IFERROR(SUMPRODUCT(((BULK_ENABLED="Y")*((BULK_TIER="ALL")+(BULK_TIER=$F79))*((BULK_SKU="ALL")+(BULK_SKU=$G79))*(BULK_START&lt;=10)*(BULK_END&gt;=10))*IFERROR(BULK_VALUE,0))/MAX(1,SUMPRODUCT(((BULK_ENABLED="Y")*((BULK_TIER="ALL")+(BULK_TIER=$F79))*((BULK_SKU="ALL")+(BULK_SKU=$G79))*(BULK_START&lt;=10)*(BULK_END&gt;=10)))),0),ROUND((INDEX(VELOCITY_TABLE,MATCH($F79,TIER_LIST,0),3))*(IF((10-$I79+1)&lt;=0,0,IF((10-$I79+1)=1,RAMP_W1,IF((10-$I79+1)=2,RAMP_W2,IF((10-$I79+1)=3,RAMP_W3,RAMP_W4PLUS)))))*(INDEX(ACTIVE_MULT_TABLE,3,1))*(1+SUMPRODUCT(SIGN(((ACT_DOOR_SCOPE="ALL")+(ACT_DOOR_SCOPE="TIER_"&amp;$F79)+(ACT_DOOR_SCOPE=$B79)))*SIGN(((ACT_SKU_SCOPE="ALL")+(ACT_SKU_SCOPE=$G79)))*(ACT_START&lt;=10)*(ACT_END&gt;=10)*IFERROR(ACT_UPLIFT-1,0)))*(1+SUMPRODUCT(SIGN(((ACT_DOOR_SCOPE="ALL")+(ACT_DOOR_SCOPE="TIER_"&amp;$F79)+(ACT_DOOR_SCOPE=$B79)))*SIGN(((ACT_SKU_SCOPE="ALL")+(ACT_SKU_SCOPE=$G79)))*(10&gt;ACT_END)*(ACT_END&gt;0)*IFERROR(ACT_POSTLIFT,0))),0)))</f>
        <v/>
      </c>
      <c r="T79" s="10">
        <f>IF(OR($H79&lt;&gt;"Y",11&lt;$I79),0,IF(SUMPRODUCT(((BULK_ENABLED="Y")*((BULK_TIER="ALL")+(BULK_TIER=$F79))*((BULK_SKU="ALL")+(BULK_SKU=$G79))*(BULK_START&lt;=11)*(BULK_END&gt;=11)))&gt;0,IFERROR(SUMPRODUCT(((BULK_ENABLED="Y")*((BULK_TIER="ALL")+(BULK_TIER=$F79))*((BULK_SKU="ALL")+(BULK_SKU=$G79))*(BULK_START&lt;=11)*(BULK_END&gt;=11))*IFERROR(BULK_VALUE,0))/MAX(1,SUMPRODUCT(((BULK_ENABLED="Y")*((BULK_TIER="ALL")+(BULK_TIER=$F79))*((BULK_SKU="ALL")+(BULK_SKU=$G79))*(BULK_START&lt;=11)*(BULK_END&gt;=11)))),0),ROUND((INDEX(VELOCITY_TABLE,MATCH($F79,TIER_LIST,0),3))*(IF((11-$I79+1)&lt;=0,0,IF((11-$I79+1)=1,RAMP_W1,IF((11-$I79+1)=2,RAMP_W2,IF((11-$I79+1)=3,RAMP_W3,RAMP_W4PLUS)))))*(INDEX(ACTIVE_MULT_TABLE,3,1))*(1+SUMPRODUCT(SIGN(((ACT_DOOR_SCOPE="ALL")+(ACT_DOOR_SCOPE="TIER_"&amp;$F79)+(ACT_DOOR_SCOPE=$B79)))*SIGN(((ACT_SKU_SCOPE="ALL")+(ACT_SKU_SCOPE=$G79)))*(ACT_START&lt;=11)*(ACT_END&gt;=11)*IFERROR(ACT_UPLIFT-1,0)))*(1+SUMPRODUCT(SIGN(((ACT_DOOR_SCOPE="ALL")+(ACT_DOOR_SCOPE="TIER_"&amp;$F79)+(ACT_DOOR_SCOPE=$B79)))*SIGN(((ACT_SKU_SCOPE="ALL")+(ACT_SKU_SCOPE=$G79)))*(11&gt;ACT_END)*(ACT_END&gt;0)*IFERROR(ACT_POSTLIFT,0))),0)))</f>
        <v/>
      </c>
      <c r="U79" s="10">
        <f>IF(OR($H79&lt;&gt;"Y",12&lt;$I79),0,IF(SUMPRODUCT(((BULK_ENABLED="Y")*((BULK_TIER="ALL")+(BULK_TIER=$F79))*((BULK_SKU="ALL")+(BULK_SKU=$G79))*(BULK_START&lt;=12)*(BULK_END&gt;=12)))&gt;0,IFERROR(SUMPRODUCT(((BULK_ENABLED="Y")*((BULK_TIER="ALL")+(BULK_TIER=$F79))*((BULK_SKU="ALL")+(BULK_SKU=$G79))*(BULK_START&lt;=12)*(BULK_END&gt;=12))*IFERROR(BULK_VALUE,0))/MAX(1,SUMPRODUCT(((BULK_ENABLED="Y")*((BULK_TIER="ALL")+(BULK_TIER=$F79))*((BULK_SKU="ALL")+(BULK_SKU=$G79))*(BULK_START&lt;=12)*(BULK_END&gt;=12)))),0),ROUND((INDEX(VELOCITY_TABLE,MATCH($F79,TIER_LIST,0),3))*(IF((12-$I79+1)&lt;=0,0,IF((12-$I79+1)=1,RAMP_W1,IF((12-$I79+1)=2,RAMP_W2,IF((12-$I79+1)=3,RAMP_W3,RAMP_W4PLUS)))))*(INDEX(ACTIVE_MULT_TABLE,3,1))*(1+SUMPRODUCT(SIGN(((ACT_DOOR_SCOPE="ALL")+(ACT_DOOR_SCOPE="TIER_"&amp;$F79)+(ACT_DOOR_SCOPE=$B79)))*SIGN(((ACT_SKU_SCOPE="ALL")+(ACT_SKU_SCOPE=$G79)))*(ACT_START&lt;=12)*(ACT_END&gt;=12)*IFERROR(ACT_UPLIFT-1,0)))*(1+SUMPRODUCT(SIGN(((ACT_DOOR_SCOPE="ALL")+(ACT_DOOR_SCOPE="TIER_"&amp;$F79)+(ACT_DOOR_SCOPE=$B79)))*SIGN(((ACT_SKU_SCOPE="ALL")+(ACT_SKU_SCOPE=$G79)))*(12&gt;ACT_END)*(ACT_END&gt;0)*IFERROR(ACT_POSTLIFT,0))),0)))</f>
        <v/>
      </c>
      <c r="V79" s="10">
        <f>IF(OR($H79&lt;&gt;"Y",13&lt;$I79),0,IF(SUMPRODUCT(((BULK_ENABLED="Y")*((BULK_TIER="ALL")+(BULK_TIER=$F79))*((BULK_SKU="ALL")+(BULK_SKU=$G79))*(BULK_START&lt;=13)*(BULK_END&gt;=13)))&gt;0,IFERROR(SUMPRODUCT(((BULK_ENABLED="Y")*((BULK_TIER="ALL")+(BULK_TIER=$F79))*((BULK_SKU="ALL")+(BULK_SKU=$G79))*(BULK_START&lt;=13)*(BULK_END&gt;=13))*IFERROR(BULK_VALUE,0))/MAX(1,SUMPRODUCT(((BULK_ENABLED="Y")*((BULK_TIER="ALL")+(BULK_TIER=$F79))*((BULK_SKU="ALL")+(BULK_SKU=$G79))*(BULK_START&lt;=13)*(BULK_END&gt;=13)))),0),ROUND((INDEX(VELOCITY_TABLE,MATCH($F79,TIER_LIST,0),3))*(IF((13-$I79+1)&lt;=0,0,IF((13-$I79+1)=1,RAMP_W1,IF((13-$I79+1)=2,RAMP_W2,IF((13-$I79+1)=3,RAMP_W3,RAMP_W4PLUS)))))*(INDEX(ACTIVE_MULT_TABLE,3,1))*(1+SUMPRODUCT(SIGN(((ACT_DOOR_SCOPE="ALL")+(ACT_DOOR_SCOPE="TIER_"&amp;$F79)+(ACT_DOOR_SCOPE=$B79)))*SIGN(((ACT_SKU_SCOPE="ALL")+(ACT_SKU_SCOPE=$G79)))*(ACT_START&lt;=13)*(ACT_END&gt;=13)*IFERROR(ACT_UPLIFT-1,0)))*(1+SUMPRODUCT(SIGN(((ACT_DOOR_SCOPE="ALL")+(ACT_DOOR_SCOPE="TIER_"&amp;$F79)+(ACT_DOOR_SCOPE=$B79)))*SIGN(((ACT_SKU_SCOPE="ALL")+(ACT_SKU_SCOPE=$G79)))*(13&gt;ACT_END)*(ACT_END&gt;0)*IFERROR(ACT_POSTLIFT,0))),0)))</f>
        <v/>
      </c>
    </row>
    <row r="80">
      <c r="A80" t="inlineStr">
        <is>
          <t>R0076</t>
        </is>
      </c>
      <c r="B80">
        <f>Doors!$A$30</f>
        <v/>
      </c>
      <c r="C80">
        <f>Doors!$C$30</f>
        <v/>
      </c>
      <c r="D80">
        <f>Doors!$B$30</f>
        <v/>
      </c>
      <c r="E80">
        <f>Doors!$E$30</f>
        <v/>
      </c>
      <c r="F80">
        <f>Doors!$F$30</f>
        <v/>
      </c>
      <c r="G80" t="inlineStr">
        <is>
          <t>Lime Lemon</t>
        </is>
      </c>
      <c r="H80">
        <f>Doors!$G$30</f>
        <v/>
      </c>
      <c r="I80">
        <f>Doors!$J$30</f>
        <v/>
      </c>
      <c r="J80" s="10">
        <f>IF(OR($H80&lt;&gt;"Y",1&lt;$I80),0,IF(SUMPRODUCT(((BULK_ENABLED="Y")*((BULK_TIER="ALL")+(BULK_TIER=$F80))*((BULK_SKU="ALL")+(BULK_SKU=$G80))*(BULK_START&lt;=1)*(BULK_END&gt;=1)))&gt;0,IFERROR(SUMPRODUCT(((BULK_ENABLED="Y")*((BULK_TIER="ALL")+(BULK_TIER=$F80))*((BULK_SKU="ALL")+(BULK_SKU=$G80))*(BULK_START&lt;=1)*(BULK_END&gt;=1))*IFERROR(BULK_VALUE,0))/MAX(1,SUMPRODUCT(((BULK_ENABLED="Y")*((BULK_TIER="ALL")+(BULK_TIER=$F80))*((BULK_SKU="ALL")+(BULK_SKU=$G80))*(BULK_START&lt;=1)*(BULK_END&gt;=1)))),0),ROUND((INDEX(VELOCITY_TABLE,MATCH($F80,TIER_LIST,0),1))*(IF((1-$I80+1)&lt;=0,0,IF((1-$I80+1)=1,RAMP_W1,IF((1-$I80+1)=2,RAMP_W2,IF((1-$I80+1)=3,RAMP_W3,RAMP_W4PLUS)))))*(INDEX(ACTIVE_MULT_TABLE,1,1))*(1+SUMPRODUCT(SIGN(((ACT_DOOR_SCOPE="ALL")+(ACT_DOOR_SCOPE="TIER_"&amp;$F80)+(ACT_DOOR_SCOPE=$B80)))*SIGN(((ACT_SKU_SCOPE="ALL")+(ACT_SKU_SCOPE=$G80)))*(ACT_START&lt;=1)*(ACT_END&gt;=1)*IFERROR(ACT_UPLIFT-1,0)))*(1+SUMPRODUCT(SIGN(((ACT_DOOR_SCOPE="ALL")+(ACT_DOOR_SCOPE="TIER_"&amp;$F80)+(ACT_DOOR_SCOPE=$B80)))*SIGN(((ACT_SKU_SCOPE="ALL")+(ACT_SKU_SCOPE=$G80)))*(1&gt;ACT_END)*(ACT_END&gt;0)*IFERROR(ACT_POSTLIFT,0))),0)))</f>
        <v/>
      </c>
      <c r="K80" s="10">
        <f>IF(OR($H80&lt;&gt;"Y",2&lt;$I80),0,IF(SUMPRODUCT(((BULK_ENABLED="Y")*((BULK_TIER="ALL")+(BULK_TIER=$F80))*((BULK_SKU="ALL")+(BULK_SKU=$G80))*(BULK_START&lt;=2)*(BULK_END&gt;=2)))&gt;0,IFERROR(SUMPRODUCT(((BULK_ENABLED="Y")*((BULK_TIER="ALL")+(BULK_TIER=$F80))*((BULK_SKU="ALL")+(BULK_SKU=$G80))*(BULK_START&lt;=2)*(BULK_END&gt;=2))*IFERROR(BULK_VALUE,0))/MAX(1,SUMPRODUCT(((BULK_ENABLED="Y")*((BULK_TIER="ALL")+(BULK_TIER=$F80))*((BULK_SKU="ALL")+(BULK_SKU=$G80))*(BULK_START&lt;=2)*(BULK_END&gt;=2)))),0),ROUND((INDEX(VELOCITY_TABLE,MATCH($F80,TIER_LIST,0),1))*(IF((2-$I80+1)&lt;=0,0,IF((2-$I80+1)=1,RAMP_W1,IF((2-$I80+1)=2,RAMP_W2,IF((2-$I80+1)=3,RAMP_W3,RAMP_W4PLUS)))))*(INDEX(ACTIVE_MULT_TABLE,1,1))*(1+SUMPRODUCT(SIGN(((ACT_DOOR_SCOPE="ALL")+(ACT_DOOR_SCOPE="TIER_"&amp;$F80)+(ACT_DOOR_SCOPE=$B80)))*SIGN(((ACT_SKU_SCOPE="ALL")+(ACT_SKU_SCOPE=$G80)))*(ACT_START&lt;=2)*(ACT_END&gt;=2)*IFERROR(ACT_UPLIFT-1,0)))*(1+SUMPRODUCT(SIGN(((ACT_DOOR_SCOPE="ALL")+(ACT_DOOR_SCOPE="TIER_"&amp;$F80)+(ACT_DOOR_SCOPE=$B80)))*SIGN(((ACT_SKU_SCOPE="ALL")+(ACT_SKU_SCOPE=$G80)))*(2&gt;ACT_END)*(ACT_END&gt;0)*IFERROR(ACT_POSTLIFT,0))),0)))</f>
        <v/>
      </c>
      <c r="L80" s="10">
        <f>IF(OR($H80&lt;&gt;"Y",3&lt;$I80),0,IF(SUMPRODUCT(((BULK_ENABLED="Y")*((BULK_TIER="ALL")+(BULK_TIER=$F80))*((BULK_SKU="ALL")+(BULK_SKU=$G80))*(BULK_START&lt;=3)*(BULK_END&gt;=3)))&gt;0,IFERROR(SUMPRODUCT(((BULK_ENABLED="Y")*((BULK_TIER="ALL")+(BULK_TIER=$F80))*((BULK_SKU="ALL")+(BULK_SKU=$G80))*(BULK_START&lt;=3)*(BULK_END&gt;=3))*IFERROR(BULK_VALUE,0))/MAX(1,SUMPRODUCT(((BULK_ENABLED="Y")*((BULK_TIER="ALL")+(BULK_TIER=$F80))*((BULK_SKU="ALL")+(BULK_SKU=$G80))*(BULK_START&lt;=3)*(BULK_END&gt;=3)))),0),ROUND((INDEX(VELOCITY_TABLE,MATCH($F80,TIER_LIST,0),1))*(IF((3-$I80+1)&lt;=0,0,IF((3-$I80+1)=1,RAMP_W1,IF((3-$I80+1)=2,RAMP_W2,IF((3-$I80+1)=3,RAMP_W3,RAMP_W4PLUS)))))*(INDEX(ACTIVE_MULT_TABLE,1,1))*(1+SUMPRODUCT(SIGN(((ACT_DOOR_SCOPE="ALL")+(ACT_DOOR_SCOPE="TIER_"&amp;$F80)+(ACT_DOOR_SCOPE=$B80)))*SIGN(((ACT_SKU_SCOPE="ALL")+(ACT_SKU_SCOPE=$G80)))*(ACT_START&lt;=3)*(ACT_END&gt;=3)*IFERROR(ACT_UPLIFT-1,0)))*(1+SUMPRODUCT(SIGN(((ACT_DOOR_SCOPE="ALL")+(ACT_DOOR_SCOPE="TIER_"&amp;$F80)+(ACT_DOOR_SCOPE=$B80)))*SIGN(((ACT_SKU_SCOPE="ALL")+(ACT_SKU_SCOPE=$G80)))*(3&gt;ACT_END)*(ACT_END&gt;0)*IFERROR(ACT_POSTLIFT,0))),0)))</f>
        <v/>
      </c>
      <c r="M80" s="10">
        <f>IF(OR($H80&lt;&gt;"Y",4&lt;$I80),0,IF(SUMPRODUCT(((BULK_ENABLED="Y")*((BULK_TIER="ALL")+(BULK_TIER=$F80))*((BULK_SKU="ALL")+(BULK_SKU=$G80))*(BULK_START&lt;=4)*(BULK_END&gt;=4)))&gt;0,IFERROR(SUMPRODUCT(((BULK_ENABLED="Y")*((BULK_TIER="ALL")+(BULK_TIER=$F80))*((BULK_SKU="ALL")+(BULK_SKU=$G80))*(BULK_START&lt;=4)*(BULK_END&gt;=4))*IFERROR(BULK_VALUE,0))/MAX(1,SUMPRODUCT(((BULK_ENABLED="Y")*((BULK_TIER="ALL")+(BULK_TIER=$F80))*((BULK_SKU="ALL")+(BULK_SKU=$G80))*(BULK_START&lt;=4)*(BULK_END&gt;=4)))),0),ROUND((INDEX(VELOCITY_TABLE,MATCH($F80,TIER_LIST,0),1))*(IF((4-$I80+1)&lt;=0,0,IF((4-$I80+1)=1,RAMP_W1,IF((4-$I80+1)=2,RAMP_W2,IF((4-$I80+1)=3,RAMP_W3,RAMP_W4PLUS)))))*(INDEX(ACTIVE_MULT_TABLE,1,1))*(1+SUMPRODUCT(SIGN(((ACT_DOOR_SCOPE="ALL")+(ACT_DOOR_SCOPE="TIER_"&amp;$F80)+(ACT_DOOR_SCOPE=$B80)))*SIGN(((ACT_SKU_SCOPE="ALL")+(ACT_SKU_SCOPE=$G80)))*(ACT_START&lt;=4)*(ACT_END&gt;=4)*IFERROR(ACT_UPLIFT-1,0)))*(1+SUMPRODUCT(SIGN(((ACT_DOOR_SCOPE="ALL")+(ACT_DOOR_SCOPE="TIER_"&amp;$F80)+(ACT_DOOR_SCOPE=$B80)))*SIGN(((ACT_SKU_SCOPE="ALL")+(ACT_SKU_SCOPE=$G80)))*(4&gt;ACT_END)*(ACT_END&gt;0)*IFERROR(ACT_POSTLIFT,0))),0)))</f>
        <v/>
      </c>
      <c r="N80" s="10">
        <f>IF(OR($H80&lt;&gt;"Y",5&lt;$I80),0,IF(SUMPRODUCT(((BULK_ENABLED="Y")*((BULK_TIER="ALL")+(BULK_TIER=$F80))*((BULK_SKU="ALL")+(BULK_SKU=$G80))*(BULK_START&lt;=5)*(BULK_END&gt;=5)))&gt;0,IFERROR(SUMPRODUCT(((BULK_ENABLED="Y")*((BULK_TIER="ALL")+(BULK_TIER=$F80))*((BULK_SKU="ALL")+(BULK_SKU=$G80))*(BULK_START&lt;=5)*(BULK_END&gt;=5))*IFERROR(BULK_VALUE,0))/MAX(1,SUMPRODUCT(((BULK_ENABLED="Y")*((BULK_TIER="ALL")+(BULK_TIER=$F80))*((BULK_SKU="ALL")+(BULK_SKU=$G80))*(BULK_START&lt;=5)*(BULK_END&gt;=5)))),0),ROUND((INDEX(VELOCITY_TABLE,MATCH($F80,TIER_LIST,0),1))*(IF((5-$I80+1)&lt;=0,0,IF((5-$I80+1)=1,RAMP_W1,IF((5-$I80+1)=2,RAMP_W2,IF((5-$I80+1)=3,RAMP_W3,RAMP_W4PLUS)))))*(INDEX(ACTIVE_MULT_TABLE,1,1))*(1+SUMPRODUCT(SIGN(((ACT_DOOR_SCOPE="ALL")+(ACT_DOOR_SCOPE="TIER_"&amp;$F80)+(ACT_DOOR_SCOPE=$B80)))*SIGN(((ACT_SKU_SCOPE="ALL")+(ACT_SKU_SCOPE=$G80)))*(ACT_START&lt;=5)*(ACT_END&gt;=5)*IFERROR(ACT_UPLIFT-1,0)))*(1+SUMPRODUCT(SIGN(((ACT_DOOR_SCOPE="ALL")+(ACT_DOOR_SCOPE="TIER_"&amp;$F80)+(ACT_DOOR_SCOPE=$B80)))*SIGN(((ACT_SKU_SCOPE="ALL")+(ACT_SKU_SCOPE=$G80)))*(5&gt;ACT_END)*(ACT_END&gt;0)*IFERROR(ACT_POSTLIFT,0))),0)))</f>
        <v/>
      </c>
      <c r="O80" s="10">
        <f>IF(OR($H80&lt;&gt;"Y",6&lt;$I80),0,IF(SUMPRODUCT(((BULK_ENABLED="Y")*((BULK_TIER="ALL")+(BULK_TIER=$F80))*((BULK_SKU="ALL")+(BULK_SKU=$G80))*(BULK_START&lt;=6)*(BULK_END&gt;=6)))&gt;0,IFERROR(SUMPRODUCT(((BULK_ENABLED="Y")*((BULK_TIER="ALL")+(BULK_TIER=$F80))*((BULK_SKU="ALL")+(BULK_SKU=$G80))*(BULK_START&lt;=6)*(BULK_END&gt;=6))*IFERROR(BULK_VALUE,0))/MAX(1,SUMPRODUCT(((BULK_ENABLED="Y")*((BULK_TIER="ALL")+(BULK_TIER=$F80))*((BULK_SKU="ALL")+(BULK_SKU=$G80))*(BULK_START&lt;=6)*(BULK_END&gt;=6)))),0),ROUND((INDEX(VELOCITY_TABLE,MATCH($F80,TIER_LIST,0),1))*(IF((6-$I80+1)&lt;=0,0,IF((6-$I80+1)=1,RAMP_W1,IF((6-$I80+1)=2,RAMP_W2,IF((6-$I80+1)=3,RAMP_W3,RAMP_W4PLUS)))))*(INDEX(ACTIVE_MULT_TABLE,1,1))*(1+SUMPRODUCT(SIGN(((ACT_DOOR_SCOPE="ALL")+(ACT_DOOR_SCOPE="TIER_"&amp;$F80)+(ACT_DOOR_SCOPE=$B80)))*SIGN(((ACT_SKU_SCOPE="ALL")+(ACT_SKU_SCOPE=$G80)))*(ACT_START&lt;=6)*(ACT_END&gt;=6)*IFERROR(ACT_UPLIFT-1,0)))*(1+SUMPRODUCT(SIGN(((ACT_DOOR_SCOPE="ALL")+(ACT_DOOR_SCOPE="TIER_"&amp;$F80)+(ACT_DOOR_SCOPE=$B80)))*SIGN(((ACT_SKU_SCOPE="ALL")+(ACT_SKU_SCOPE=$G80)))*(6&gt;ACT_END)*(ACT_END&gt;0)*IFERROR(ACT_POSTLIFT,0))),0)))</f>
        <v/>
      </c>
      <c r="P80" s="10">
        <f>IF(OR($H80&lt;&gt;"Y",7&lt;$I80),0,IF(SUMPRODUCT(((BULK_ENABLED="Y")*((BULK_TIER="ALL")+(BULK_TIER=$F80))*((BULK_SKU="ALL")+(BULK_SKU=$G80))*(BULK_START&lt;=7)*(BULK_END&gt;=7)))&gt;0,IFERROR(SUMPRODUCT(((BULK_ENABLED="Y")*((BULK_TIER="ALL")+(BULK_TIER=$F80))*((BULK_SKU="ALL")+(BULK_SKU=$G80))*(BULK_START&lt;=7)*(BULK_END&gt;=7))*IFERROR(BULK_VALUE,0))/MAX(1,SUMPRODUCT(((BULK_ENABLED="Y")*((BULK_TIER="ALL")+(BULK_TIER=$F80))*((BULK_SKU="ALL")+(BULK_SKU=$G80))*(BULK_START&lt;=7)*(BULK_END&gt;=7)))),0),ROUND((INDEX(VELOCITY_TABLE,MATCH($F80,TIER_LIST,0),1))*(IF((7-$I80+1)&lt;=0,0,IF((7-$I80+1)=1,RAMP_W1,IF((7-$I80+1)=2,RAMP_W2,IF((7-$I80+1)=3,RAMP_W3,RAMP_W4PLUS)))))*(INDEX(ACTIVE_MULT_TABLE,1,1))*(1+SUMPRODUCT(SIGN(((ACT_DOOR_SCOPE="ALL")+(ACT_DOOR_SCOPE="TIER_"&amp;$F80)+(ACT_DOOR_SCOPE=$B80)))*SIGN(((ACT_SKU_SCOPE="ALL")+(ACT_SKU_SCOPE=$G80)))*(ACT_START&lt;=7)*(ACT_END&gt;=7)*IFERROR(ACT_UPLIFT-1,0)))*(1+SUMPRODUCT(SIGN(((ACT_DOOR_SCOPE="ALL")+(ACT_DOOR_SCOPE="TIER_"&amp;$F80)+(ACT_DOOR_SCOPE=$B80)))*SIGN(((ACT_SKU_SCOPE="ALL")+(ACT_SKU_SCOPE=$G80)))*(7&gt;ACT_END)*(ACT_END&gt;0)*IFERROR(ACT_POSTLIFT,0))),0)))</f>
        <v/>
      </c>
      <c r="Q80" s="10">
        <f>IF(OR($H80&lt;&gt;"Y",8&lt;$I80),0,IF(SUMPRODUCT(((BULK_ENABLED="Y")*((BULK_TIER="ALL")+(BULK_TIER=$F80))*((BULK_SKU="ALL")+(BULK_SKU=$G80))*(BULK_START&lt;=8)*(BULK_END&gt;=8)))&gt;0,IFERROR(SUMPRODUCT(((BULK_ENABLED="Y")*((BULK_TIER="ALL")+(BULK_TIER=$F80))*((BULK_SKU="ALL")+(BULK_SKU=$G80))*(BULK_START&lt;=8)*(BULK_END&gt;=8))*IFERROR(BULK_VALUE,0))/MAX(1,SUMPRODUCT(((BULK_ENABLED="Y")*((BULK_TIER="ALL")+(BULK_TIER=$F80))*((BULK_SKU="ALL")+(BULK_SKU=$G80))*(BULK_START&lt;=8)*(BULK_END&gt;=8)))),0),ROUND((INDEX(VELOCITY_TABLE,MATCH($F80,TIER_LIST,0),1))*(IF((8-$I80+1)&lt;=0,0,IF((8-$I80+1)=1,RAMP_W1,IF((8-$I80+1)=2,RAMP_W2,IF((8-$I80+1)=3,RAMP_W3,RAMP_W4PLUS)))))*(INDEX(ACTIVE_MULT_TABLE,1,1))*(1+SUMPRODUCT(SIGN(((ACT_DOOR_SCOPE="ALL")+(ACT_DOOR_SCOPE="TIER_"&amp;$F80)+(ACT_DOOR_SCOPE=$B80)))*SIGN(((ACT_SKU_SCOPE="ALL")+(ACT_SKU_SCOPE=$G80)))*(ACT_START&lt;=8)*(ACT_END&gt;=8)*IFERROR(ACT_UPLIFT-1,0)))*(1+SUMPRODUCT(SIGN(((ACT_DOOR_SCOPE="ALL")+(ACT_DOOR_SCOPE="TIER_"&amp;$F80)+(ACT_DOOR_SCOPE=$B80)))*SIGN(((ACT_SKU_SCOPE="ALL")+(ACT_SKU_SCOPE=$G80)))*(8&gt;ACT_END)*(ACT_END&gt;0)*IFERROR(ACT_POSTLIFT,0))),0)))</f>
        <v/>
      </c>
      <c r="R80" s="10">
        <f>IF(OR($H80&lt;&gt;"Y",9&lt;$I80),0,IF(SUMPRODUCT(((BULK_ENABLED="Y")*((BULK_TIER="ALL")+(BULK_TIER=$F80))*((BULK_SKU="ALL")+(BULK_SKU=$G80))*(BULK_START&lt;=9)*(BULK_END&gt;=9)))&gt;0,IFERROR(SUMPRODUCT(((BULK_ENABLED="Y")*((BULK_TIER="ALL")+(BULK_TIER=$F80))*((BULK_SKU="ALL")+(BULK_SKU=$G80))*(BULK_START&lt;=9)*(BULK_END&gt;=9))*IFERROR(BULK_VALUE,0))/MAX(1,SUMPRODUCT(((BULK_ENABLED="Y")*((BULK_TIER="ALL")+(BULK_TIER=$F80))*((BULK_SKU="ALL")+(BULK_SKU=$G80))*(BULK_START&lt;=9)*(BULK_END&gt;=9)))),0),ROUND((INDEX(VELOCITY_TABLE,MATCH($F80,TIER_LIST,0),1))*(IF((9-$I80+1)&lt;=0,0,IF((9-$I80+1)=1,RAMP_W1,IF((9-$I80+1)=2,RAMP_W2,IF((9-$I80+1)=3,RAMP_W3,RAMP_W4PLUS)))))*(INDEX(ACTIVE_MULT_TABLE,1,1))*(1+SUMPRODUCT(SIGN(((ACT_DOOR_SCOPE="ALL")+(ACT_DOOR_SCOPE="TIER_"&amp;$F80)+(ACT_DOOR_SCOPE=$B80)))*SIGN(((ACT_SKU_SCOPE="ALL")+(ACT_SKU_SCOPE=$G80)))*(ACT_START&lt;=9)*(ACT_END&gt;=9)*IFERROR(ACT_UPLIFT-1,0)))*(1+SUMPRODUCT(SIGN(((ACT_DOOR_SCOPE="ALL")+(ACT_DOOR_SCOPE="TIER_"&amp;$F80)+(ACT_DOOR_SCOPE=$B80)))*SIGN(((ACT_SKU_SCOPE="ALL")+(ACT_SKU_SCOPE=$G80)))*(9&gt;ACT_END)*(ACT_END&gt;0)*IFERROR(ACT_POSTLIFT,0))),0)))</f>
        <v/>
      </c>
      <c r="S80" s="10">
        <f>IF(OR($H80&lt;&gt;"Y",10&lt;$I80),0,IF(SUMPRODUCT(((BULK_ENABLED="Y")*((BULK_TIER="ALL")+(BULK_TIER=$F80))*((BULK_SKU="ALL")+(BULK_SKU=$G80))*(BULK_START&lt;=10)*(BULK_END&gt;=10)))&gt;0,IFERROR(SUMPRODUCT(((BULK_ENABLED="Y")*((BULK_TIER="ALL")+(BULK_TIER=$F80))*((BULK_SKU="ALL")+(BULK_SKU=$G80))*(BULK_START&lt;=10)*(BULK_END&gt;=10))*IFERROR(BULK_VALUE,0))/MAX(1,SUMPRODUCT(((BULK_ENABLED="Y")*((BULK_TIER="ALL")+(BULK_TIER=$F80))*((BULK_SKU="ALL")+(BULK_SKU=$G80))*(BULK_START&lt;=10)*(BULK_END&gt;=10)))),0),ROUND((INDEX(VELOCITY_TABLE,MATCH($F80,TIER_LIST,0),1))*(IF((10-$I80+1)&lt;=0,0,IF((10-$I80+1)=1,RAMP_W1,IF((10-$I80+1)=2,RAMP_W2,IF((10-$I80+1)=3,RAMP_W3,RAMP_W4PLUS)))))*(INDEX(ACTIVE_MULT_TABLE,1,1))*(1+SUMPRODUCT(SIGN(((ACT_DOOR_SCOPE="ALL")+(ACT_DOOR_SCOPE="TIER_"&amp;$F80)+(ACT_DOOR_SCOPE=$B80)))*SIGN(((ACT_SKU_SCOPE="ALL")+(ACT_SKU_SCOPE=$G80)))*(ACT_START&lt;=10)*(ACT_END&gt;=10)*IFERROR(ACT_UPLIFT-1,0)))*(1+SUMPRODUCT(SIGN(((ACT_DOOR_SCOPE="ALL")+(ACT_DOOR_SCOPE="TIER_"&amp;$F80)+(ACT_DOOR_SCOPE=$B80)))*SIGN(((ACT_SKU_SCOPE="ALL")+(ACT_SKU_SCOPE=$G80)))*(10&gt;ACT_END)*(ACT_END&gt;0)*IFERROR(ACT_POSTLIFT,0))),0)))</f>
        <v/>
      </c>
      <c r="T80" s="10">
        <f>IF(OR($H80&lt;&gt;"Y",11&lt;$I80),0,IF(SUMPRODUCT(((BULK_ENABLED="Y")*((BULK_TIER="ALL")+(BULK_TIER=$F80))*((BULK_SKU="ALL")+(BULK_SKU=$G80))*(BULK_START&lt;=11)*(BULK_END&gt;=11)))&gt;0,IFERROR(SUMPRODUCT(((BULK_ENABLED="Y")*((BULK_TIER="ALL")+(BULK_TIER=$F80))*((BULK_SKU="ALL")+(BULK_SKU=$G80))*(BULK_START&lt;=11)*(BULK_END&gt;=11))*IFERROR(BULK_VALUE,0))/MAX(1,SUMPRODUCT(((BULK_ENABLED="Y")*((BULK_TIER="ALL")+(BULK_TIER=$F80))*((BULK_SKU="ALL")+(BULK_SKU=$G80))*(BULK_START&lt;=11)*(BULK_END&gt;=11)))),0),ROUND((INDEX(VELOCITY_TABLE,MATCH($F80,TIER_LIST,0),1))*(IF((11-$I80+1)&lt;=0,0,IF((11-$I80+1)=1,RAMP_W1,IF((11-$I80+1)=2,RAMP_W2,IF((11-$I80+1)=3,RAMP_W3,RAMP_W4PLUS)))))*(INDEX(ACTIVE_MULT_TABLE,1,1))*(1+SUMPRODUCT(SIGN(((ACT_DOOR_SCOPE="ALL")+(ACT_DOOR_SCOPE="TIER_"&amp;$F80)+(ACT_DOOR_SCOPE=$B80)))*SIGN(((ACT_SKU_SCOPE="ALL")+(ACT_SKU_SCOPE=$G80)))*(ACT_START&lt;=11)*(ACT_END&gt;=11)*IFERROR(ACT_UPLIFT-1,0)))*(1+SUMPRODUCT(SIGN(((ACT_DOOR_SCOPE="ALL")+(ACT_DOOR_SCOPE="TIER_"&amp;$F80)+(ACT_DOOR_SCOPE=$B80)))*SIGN(((ACT_SKU_SCOPE="ALL")+(ACT_SKU_SCOPE=$G80)))*(11&gt;ACT_END)*(ACT_END&gt;0)*IFERROR(ACT_POSTLIFT,0))),0)))</f>
        <v/>
      </c>
      <c r="U80" s="10">
        <f>IF(OR($H80&lt;&gt;"Y",12&lt;$I80),0,IF(SUMPRODUCT(((BULK_ENABLED="Y")*((BULK_TIER="ALL")+(BULK_TIER=$F80))*((BULK_SKU="ALL")+(BULK_SKU=$G80))*(BULK_START&lt;=12)*(BULK_END&gt;=12)))&gt;0,IFERROR(SUMPRODUCT(((BULK_ENABLED="Y")*((BULK_TIER="ALL")+(BULK_TIER=$F80))*((BULK_SKU="ALL")+(BULK_SKU=$G80))*(BULK_START&lt;=12)*(BULK_END&gt;=12))*IFERROR(BULK_VALUE,0))/MAX(1,SUMPRODUCT(((BULK_ENABLED="Y")*((BULK_TIER="ALL")+(BULK_TIER=$F80))*((BULK_SKU="ALL")+(BULK_SKU=$G80))*(BULK_START&lt;=12)*(BULK_END&gt;=12)))),0),ROUND((INDEX(VELOCITY_TABLE,MATCH($F80,TIER_LIST,0),1))*(IF((12-$I80+1)&lt;=0,0,IF((12-$I80+1)=1,RAMP_W1,IF((12-$I80+1)=2,RAMP_W2,IF((12-$I80+1)=3,RAMP_W3,RAMP_W4PLUS)))))*(INDEX(ACTIVE_MULT_TABLE,1,1))*(1+SUMPRODUCT(SIGN(((ACT_DOOR_SCOPE="ALL")+(ACT_DOOR_SCOPE="TIER_"&amp;$F80)+(ACT_DOOR_SCOPE=$B80)))*SIGN(((ACT_SKU_SCOPE="ALL")+(ACT_SKU_SCOPE=$G80)))*(ACT_START&lt;=12)*(ACT_END&gt;=12)*IFERROR(ACT_UPLIFT-1,0)))*(1+SUMPRODUCT(SIGN(((ACT_DOOR_SCOPE="ALL")+(ACT_DOOR_SCOPE="TIER_"&amp;$F80)+(ACT_DOOR_SCOPE=$B80)))*SIGN(((ACT_SKU_SCOPE="ALL")+(ACT_SKU_SCOPE=$G80)))*(12&gt;ACT_END)*(ACT_END&gt;0)*IFERROR(ACT_POSTLIFT,0))),0)))</f>
        <v/>
      </c>
      <c r="V80" s="10">
        <f>IF(OR($H80&lt;&gt;"Y",13&lt;$I80),0,IF(SUMPRODUCT(((BULK_ENABLED="Y")*((BULK_TIER="ALL")+(BULK_TIER=$F80))*((BULK_SKU="ALL")+(BULK_SKU=$G80))*(BULK_START&lt;=13)*(BULK_END&gt;=13)))&gt;0,IFERROR(SUMPRODUCT(((BULK_ENABLED="Y")*((BULK_TIER="ALL")+(BULK_TIER=$F80))*((BULK_SKU="ALL")+(BULK_SKU=$G80))*(BULK_START&lt;=13)*(BULK_END&gt;=13))*IFERROR(BULK_VALUE,0))/MAX(1,SUMPRODUCT(((BULK_ENABLED="Y")*((BULK_TIER="ALL")+(BULK_TIER=$F80))*((BULK_SKU="ALL")+(BULK_SKU=$G80))*(BULK_START&lt;=13)*(BULK_END&gt;=13)))),0),ROUND((INDEX(VELOCITY_TABLE,MATCH($F80,TIER_LIST,0),1))*(IF((13-$I80+1)&lt;=0,0,IF((13-$I80+1)=1,RAMP_W1,IF((13-$I80+1)=2,RAMP_W2,IF((13-$I80+1)=3,RAMP_W3,RAMP_W4PLUS)))))*(INDEX(ACTIVE_MULT_TABLE,1,1))*(1+SUMPRODUCT(SIGN(((ACT_DOOR_SCOPE="ALL")+(ACT_DOOR_SCOPE="TIER_"&amp;$F80)+(ACT_DOOR_SCOPE=$B80)))*SIGN(((ACT_SKU_SCOPE="ALL")+(ACT_SKU_SCOPE=$G80)))*(ACT_START&lt;=13)*(ACT_END&gt;=13)*IFERROR(ACT_UPLIFT-1,0)))*(1+SUMPRODUCT(SIGN(((ACT_DOOR_SCOPE="ALL")+(ACT_DOOR_SCOPE="TIER_"&amp;$F80)+(ACT_DOOR_SCOPE=$B80)))*SIGN(((ACT_SKU_SCOPE="ALL")+(ACT_SKU_SCOPE=$G80)))*(13&gt;ACT_END)*(ACT_END&gt;0)*IFERROR(ACT_POSTLIFT,0))),0)))</f>
        <v/>
      </c>
    </row>
    <row r="81">
      <c r="A81" t="inlineStr">
        <is>
          <t>R0077</t>
        </is>
      </c>
      <c r="B81">
        <f>Doors!$A$30</f>
        <v/>
      </c>
      <c r="C81">
        <f>Doors!$C$30</f>
        <v/>
      </c>
      <c r="D81">
        <f>Doors!$B$30</f>
        <v/>
      </c>
      <c r="E81">
        <f>Doors!$E$30</f>
        <v/>
      </c>
      <c r="F81">
        <f>Doors!$F$30</f>
        <v/>
      </c>
      <c r="G81" t="inlineStr">
        <is>
          <t>Pineapple Passion Fruit</t>
        </is>
      </c>
      <c r="H81">
        <f>Doors!$H$30</f>
        <v/>
      </c>
      <c r="I81">
        <f>Doors!$J$30</f>
        <v/>
      </c>
      <c r="J81" s="10">
        <f>IF(OR($H81&lt;&gt;"Y",1&lt;$I81),0,IF(SUMPRODUCT(((BULK_ENABLED="Y")*((BULK_TIER="ALL")+(BULK_TIER=$F81))*((BULK_SKU="ALL")+(BULK_SKU=$G81))*(BULK_START&lt;=1)*(BULK_END&gt;=1)))&gt;0,IFERROR(SUMPRODUCT(((BULK_ENABLED="Y")*((BULK_TIER="ALL")+(BULK_TIER=$F81))*((BULK_SKU="ALL")+(BULK_SKU=$G81))*(BULK_START&lt;=1)*(BULK_END&gt;=1))*IFERROR(BULK_VALUE,0))/MAX(1,SUMPRODUCT(((BULK_ENABLED="Y")*((BULK_TIER="ALL")+(BULK_TIER=$F81))*((BULK_SKU="ALL")+(BULK_SKU=$G81))*(BULK_START&lt;=1)*(BULK_END&gt;=1)))),0),ROUND((INDEX(VELOCITY_TABLE,MATCH($F81,TIER_LIST,0),2))*(IF((1-$I81+1)&lt;=0,0,IF((1-$I81+1)=1,RAMP_W1,IF((1-$I81+1)=2,RAMP_W2,IF((1-$I81+1)=3,RAMP_W3,RAMP_W4PLUS)))))*(INDEX(ACTIVE_MULT_TABLE,2,1))*(1+SUMPRODUCT(SIGN(((ACT_DOOR_SCOPE="ALL")+(ACT_DOOR_SCOPE="TIER_"&amp;$F81)+(ACT_DOOR_SCOPE=$B81)))*SIGN(((ACT_SKU_SCOPE="ALL")+(ACT_SKU_SCOPE=$G81)))*(ACT_START&lt;=1)*(ACT_END&gt;=1)*IFERROR(ACT_UPLIFT-1,0)))*(1+SUMPRODUCT(SIGN(((ACT_DOOR_SCOPE="ALL")+(ACT_DOOR_SCOPE="TIER_"&amp;$F81)+(ACT_DOOR_SCOPE=$B81)))*SIGN(((ACT_SKU_SCOPE="ALL")+(ACT_SKU_SCOPE=$G81)))*(1&gt;ACT_END)*(ACT_END&gt;0)*IFERROR(ACT_POSTLIFT,0))),0)))</f>
        <v/>
      </c>
      <c r="K81" s="10">
        <f>IF(OR($H81&lt;&gt;"Y",2&lt;$I81),0,IF(SUMPRODUCT(((BULK_ENABLED="Y")*((BULK_TIER="ALL")+(BULK_TIER=$F81))*((BULK_SKU="ALL")+(BULK_SKU=$G81))*(BULK_START&lt;=2)*(BULK_END&gt;=2)))&gt;0,IFERROR(SUMPRODUCT(((BULK_ENABLED="Y")*((BULK_TIER="ALL")+(BULK_TIER=$F81))*((BULK_SKU="ALL")+(BULK_SKU=$G81))*(BULK_START&lt;=2)*(BULK_END&gt;=2))*IFERROR(BULK_VALUE,0))/MAX(1,SUMPRODUCT(((BULK_ENABLED="Y")*((BULK_TIER="ALL")+(BULK_TIER=$F81))*((BULK_SKU="ALL")+(BULK_SKU=$G81))*(BULK_START&lt;=2)*(BULK_END&gt;=2)))),0),ROUND((INDEX(VELOCITY_TABLE,MATCH($F81,TIER_LIST,0),2))*(IF((2-$I81+1)&lt;=0,0,IF((2-$I81+1)=1,RAMP_W1,IF((2-$I81+1)=2,RAMP_W2,IF((2-$I81+1)=3,RAMP_W3,RAMP_W4PLUS)))))*(INDEX(ACTIVE_MULT_TABLE,2,1))*(1+SUMPRODUCT(SIGN(((ACT_DOOR_SCOPE="ALL")+(ACT_DOOR_SCOPE="TIER_"&amp;$F81)+(ACT_DOOR_SCOPE=$B81)))*SIGN(((ACT_SKU_SCOPE="ALL")+(ACT_SKU_SCOPE=$G81)))*(ACT_START&lt;=2)*(ACT_END&gt;=2)*IFERROR(ACT_UPLIFT-1,0)))*(1+SUMPRODUCT(SIGN(((ACT_DOOR_SCOPE="ALL")+(ACT_DOOR_SCOPE="TIER_"&amp;$F81)+(ACT_DOOR_SCOPE=$B81)))*SIGN(((ACT_SKU_SCOPE="ALL")+(ACT_SKU_SCOPE=$G81)))*(2&gt;ACT_END)*(ACT_END&gt;0)*IFERROR(ACT_POSTLIFT,0))),0)))</f>
        <v/>
      </c>
      <c r="L81" s="10">
        <f>IF(OR($H81&lt;&gt;"Y",3&lt;$I81),0,IF(SUMPRODUCT(((BULK_ENABLED="Y")*((BULK_TIER="ALL")+(BULK_TIER=$F81))*((BULK_SKU="ALL")+(BULK_SKU=$G81))*(BULK_START&lt;=3)*(BULK_END&gt;=3)))&gt;0,IFERROR(SUMPRODUCT(((BULK_ENABLED="Y")*((BULK_TIER="ALL")+(BULK_TIER=$F81))*((BULK_SKU="ALL")+(BULK_SKU=$G81))*(BULK_START&lt;=3)*(BULK_END&gt;=3))*IFERROR(BULK_VALUE,0))/MAX(1,SUMPRODUCT(((BULK_ENABLED="Y")*((BULK_TIER="ALL")+(BULK_TIER=$F81))*((BULK_SKU="ALL")+(BULK_SKU=$G81))*(BULK_START&lt;=3)*(BULK_END&gt;=3)))),0),ROUND((INDEX(VELOCITY_TABLE,MATCH($F81,TIER_LIST,0),2))*(IF((3-$I81+1)&lt;=0,0,IF((3-$I81+1)=1,RAMP_W1,IF((3-$I81+1)=2,RAMP_W2,IF((3-$I81+1)=3,RAMP_W3,RAMP_W4PLUS)))))*(INDEX(ACTIVE_MULT_TABLE,2,1))*(1+SUMPRODUCT(SIGN(((ACT_DOOR_SCOPE="ALL")+(ACT_DOOR_SCOPE="TIER_"&amp;$F81)+(ACT_DOOR_SCOPE=$B81)))*SIGN(((ACT_SKU_SCOPE="ALL")+(ACT_SKU_SCOPE=$G81)))*(ACT_START&lt;=3)*(ACT_END&gt;=3)*IFERROR(ACT_UPLIFT-1,0)))*(1+SUMPRODUCT(SIGN(((ACT_DOOR_SCOPE="ALL")+(ACT_DOOR_SCOPE="TIER_"&amp;$F81)+(ACT_DOOR_SCOPE=$B81)))*SIGN(((ACT_SKU_SCOPE="ALL")+(ACT_SKU_SCOPE=$G81)))*(3&gt;ACT_END)*(ACT_END&gt;0)*IFERROR(ACT_POSTLIFT,0))),0)))</f>
        <v/>
      </c>
      <c r="M81" s="10">
        <f>IF(OR($H81&lt;&gt;"Y",4&lt;$I81),0,IF(SUMPRODUCT(((BULK_ENABLED="Y")*((BULK_TIER="ALL")+(BULK_TIER=$F81))*((BULK_SKU="ALL")+(BULK_SKU=$G81))*(BULK_START&lt;=4)*(BULK_END&gt;=4)))&gt;0,IFERROR(SUMPRODUCT(((BULK_ENABLED="Y")*((BULK_TIER="ALL")+(BULK_TIER=$F81))*((BULK_SKU="ALL")+(BULK_SKU=$G81))*(BULK_START&lt;=4)*(BULK_END&gt;=4))*IFERROR(BULK_VALUE,0))/MAX(1,SUMPRODUCT(((BULK_ENABLED="Y")*((BULK_TIER="ALL")+(BULK_TIER=$F81))*((BULK_SKU="ALL")+(BULK_SKU=$G81))*(BULK_START&lt;=4)*(BULK_END&gt;=4)))),0),ROUND((INDEX(VELOCITY_TABLE,MATCH($F81,TIER_LIST,0),2))*(IF((4-$I81+1)&lt;=0,0,IF((4-$I81+1)=1,RAMP_W1,IF((4-$I81+1)=2,RAMP_W2,IF((4-$I81+1)=3,RAMP_W3,RAMP_W4PLUS)))))*(INDEX(ACTIVE_MULT_TABLE,2,1))*(1+SUMPRODUCT(SIGN(((ACT_DOOR_SCOPE="ALL")+(ACT_DOOR_SCOPE="TIER_"&amp;$F81)+(ACT_DOOR_SCOPE=$B81)))*SIGN(((ACT_SKU_SCOPE="ALL")+(ACT_SKU_SCOPE=$G81)))*(ACT_START&lt;=4)*(ACT_END&gt;=4)*IFERROR(ACT_UPLIFT-1,0)))*(1+SUMPRODUCT(SIGN(((ACT_DOOR_SCOPE="ALL")+(ACT_DOOR_SCOPE="TIER_"&amp;$F81)+(ACT_DOOR_SCOPE=$B81)))*SIGN(((ACT_SKU_SCOPE="ALL")+(ACT_SKU_SCOPE=$G81)))*(4&gt;ACT_END)*(ACT_END&gt;0)*IFERROR(ACT_POSTLIFT,0))),0)))</f>
        <v/>
      </c>
      <c r="N81" s="10">
        <f>IF(OR($H81&lt;&gt;"Y",5&lt;$I81),0,IF(SUMPRODUCT(((BULK_ENABLED="Y")*((BULK_TIER="ALL")+(BULK_TIER=$F81))*((BULK_SKU="ALL")+(BULK_SKU=$G81))*(BULK_START&lt;=5)*(BULK_END&gt;=5)))&gt;0,IFERROR(SUMPRODUCT(((BULK_ENABLED="Y")*((BULK_TIER="ALL")+(BULK_TIER=$F81))*((BULK_SKU="ALL")+(BULK_SKU=$G81))*(BULK_START&lt;=5)*(BULK_END&gt;=5))*IFERROR(BULK_VALUE,0))/MAX(1,SUMPRODUCT(((BULK_ENABLED="Y")*((BULK_TIER="ALL")+(BULK_TIER=$F81))*((BULK_SKU="ALL")+(BULK_SKU=$G81))*(BULK_START&lt;=5)*(BULK_END&gt;=5)))),0),ROUND((INDEX(VELOCITY_TABLE,MATCH($F81,TIER_LIST,0),2))*(IF((5-$I81+1)&lt;=0,0,IF((5-$I81+1)=1,RAMP_W1,IF((5-$I81+1)=2,RAMP_W2,IF((5-$I81+1)=3,RAMP_W3,RAMP_W4PLUS)))))*(INDEX(ACTIVE_MULT_TABLE,2,1))*(1+SUMPRODUCT(SIGN(((ACT_DOOR_SCOPE="ALL")+(ACT_DOOR_SCOPE="TIER_"&amp;$F81)+(ACT_DOOR_SCOPE=$B81)))*SIGN(((ACT_SKU_SCOPE="ALL")+(ACT_SKU_SCOPE=$G81)))*(ACT_START&lt;=5)*(ACT_END&gt;=5)*IFERROR(ACT_UPLIFT-1,0)))*(1+SUMPRODUCT(SIGN(((ACT_DOOR_SCOPE="ALL")+(ACT_DOOR_SCOPE="TIER_"&amp;$F81)+(ACT_DOOR_SCOPE=$B81)))*SIGN(((ACT_SKU_SCOPE="ALL")+(ACT_SKU_SCOPE=$G81)))*(5&gt;ACT_END)*(ACT_END&gt;0)*IFERROR(ACT_POSTLIFT,0))),0)))</f>
        <v/>
      </c>
      <c r="O81" s="10">
        <f>IF(OR($H81&lt;&gt;"Y",6&lt;$I81),0,IF(SUMPRODUCT(((BULK_ENABLED="Y")*((BULK_TIER="ALL")+(BULK_TIER=$F81))*((BULK_SKU="ALL")+(BULK_SKU=$G81))*(BULK_START&lt;=6)*(BULK_END&gt;=6)))&gt;0,IFERROR(SUMPRODUCT(((BULK_ENABLED="Y")*((BULK_TIER="ALL")+(BULK_TIER=$F81))*((BULK_SKU="ALL")+(BULK_SKU=$G81))*(BULK_START&lt;=6)*(BULK_END&gt;=6))*IFERROR(BULK_VALUE,0))/MAX(1,SUMPRODUCT(((BULK_ENABLED="Y")*((BULK_TIER="ALL")+(BULK_TIER=$F81))*((BULK_SKU="ALL")+(BULK_SKU=$G81))*(BULK_START&lt;=6)*(BULK_END&gt;=6)))),0),ROUND((INDEX(VELOCITY_TABLE,MATCH($F81,TIER_LIST,0),2))*(IF((6-$I81+1)&lt;=0,0,IF((6-$I81+1)=1,RAMP_W1,IF((6-$I81+1)=2,RAMP_W2,IF((6-$I81+1)=3,RAMP_W3,RAMP_W4PLUS)))))*(INDEX(ACTIVE_MULT_TABLE,2,1))*(1+SUMPRODUCT(SIGN(((ACT_DOOR_SCOPE="ALL")+(ACT_DOOR_SCOPE="TIER_"&amp;$F81)+(ACT_DOOR_SCOPE=$B81)))*SIGN(((ACT_SKU_SCOPE="ALL")+(ACT_SKU_SCOPE=$G81)))*(ACT_START&lt;=6)*(ACT_END&gt;=6)*IFERROR(ACT_UPLIFT-1,0)))*(1+SUMPRODUCT(SIGN(((ACT_DOOR_SCOPE="ALL")+(ACT_DOOR_SCOPE="TIER_"&amp;$F81)+(ACT_DOOR_SCOPE=$B81)))*SIGN(((ACT_SKU_SCOPE="ALL")+(ACT_SKU_SCOPE=$G81)))*(6&gt;ACT_END)*(ACT_END&gt;0)*IFERROR(ACT_POSTLIFT,0))),0)))</f>
        <v/>
      </c>
      <c r="P81" s="10">
        <f>IF(OR($H81&lt;&gt;"Y",7&lt;$I81),0,IF(SUMPRODUCT(((BULK_ENABLED="Y")*((BULK_TIER="ALL")+(BULK_TIER=$F81))*((BULK_SKU="ALL")+(BULK_SKU=$G81))*(BULK_START&lt;=7)*(BULK_END&gt;=7)))&gt;0,IFERROR(SUMPRODUCT(((BULK_ENABLED="Y")*((BULK_TIER="ALL")+(BULK_TIER=$F81))*((BULK_SKU="ALL")+(BULK_SKU=$G81))*(BULK_START&lt;=7)*(BULK_END&gt;=7))*IFERROR(BULK_VALUE,0))/MAX(1,SUMPRODUCT(((BULK_ENABLED="Y")*((BULK_TIER="ALL")+(BULK_TIER=$F81))*((BULK_SKU="ALL")+(BULK_SKU=$G81))*(BULK_START&lt;=7)*(BULK_END&gt;=7)))),0),ROUND((INDEX(VELOCITY_TABLE,MATCH($F81,TIER_LIST,0),2))*(IF((7-$I81+1)&lt;=0,0,IF((7-$I81+1)=1,RAMP_W1,IF((7-$I81+1)=2,RAMP_W2,IF((7-$I81+1)=3,RAMP_W3,RAMP_W4PLUS)))))*(INDEX(ACTIVE_MULT_TABLE,2,1))*(1+SUMPRODUCT(SIGN(((ACT_DOOR_SCOPE="ALL")+(ACT_DOOR_SCOPE="TIER_"&amp;$F81)+(ACT_DOOR_SCOPE=$B81)))*SIGN(((ACT_SKU_SCOPE="ALL")+(ACT_SKU_SCOPE=$G81)))*(ACT_START&lt;=7)*(ACT_END&gt;=7)*IFERROR(ACT_UPLIFT-1,0)))*(1+SUMPRODUCT(SIGN(((ACT_DOOR_SCOPE="ALL")+(ACT_DOOR_SCOPE="TIER_"&amp;$F81)+(ACT_DOOR_SCOPE=$B81)))*SIGN(((ACT_SKU_SCOPE="ALL")+(ACT_SKU_SCOPE=$G81)))*(7&gt;ACT_END)*(ACT_END&gt;0)*IFERROR(ACT_POSTLIFT,0))),0)))</f>
        <v/>
      </c>
      <c r="Q81" s="10">
        <f>IF(OR($H81&lt;&gt;"Y",8&lt;$I81),0,IF(SUMPRODUCT(((BULK_ENABLED="Y")*((BULK_TIER="ALL")+(BULK_TIER=$F81))*((BULK_SKU="ALL")+(BULK_SKU=$G81))*(BULK_START&lt;=8)*(BULK_END&gt;=8)))&gt;0,IFERROR(SUMPRODUCT(((BULK_ENABLED="Y")*((BULK_TIER="ALL")+(BULK_TIER=$F81))*((BULK_SKU="ALL")+(BULK_SKU=$G81))*(BULK_START&lt;=8)*(BULK_END&gt;=8))*IFERROR(BULK_VALUE,0))/MAX(1,SUMPRODUCT(((BULK_ENABLED="Y")*((BULK_TIER="ALL")+(BULK_TIER=$F81))*((BULK_SKU="ALL")+(BULK_SKU=$G81))*(BULK_START&lt;=8)*(BULK_END&gt;=8)))),0),ROUND((INDEX(VELOCITY_TABLE,MATCH($F81,TIER_LIST,0),2))*(IF((8-$I81+1)&lt;=0,0,IF((8-$I81+1)=1,RAMP_W1,IF((8-$I81+1)=2,RAMP_W2,IF((8-$I81+1)=3,RAMP_W3,RAMP_W4PLUS)))))*(INDEX(ACTIVE_MULT_TABLE,2,1))*(1+SUMPRODUCT(SIGN(((ACT_DOOR_SCOPE="ALL")+(ACT_DOOR_SCOPE="TIER_"&amp;$F81)+(ACT_DOOR_SCOPE=$B81)))*SIGN(((ACT_SKU_SCOPE="ALL")+(ACT_SKU_SCOPE=$G81)))*(ACT_START&lt;=8)*(ACT_END&gt;=8)*IFERROR(ACT_UPLIFT-1,0)))*(1+SUMPRODUCT(SIGN(((ACT_DOOR_SCOPE="ALL")+(ACT_DOOR_SCOPE="TIER_"&amp;$F81)+(ACT_DOOR_SCOPE=$B81)))*SIGN(((ACT_SKU_SCOPE="ALL")+(ACT_SKU_SCOPE=$G81)))*(8&gt;ACT_END)*(ACT_END&gt;0)*IFERROR(ACT_POSTLIFT,0))),0)))</f>
        <v/>
      </c>
      <c r="R81" s="10">
        <f>IF(OR($H81&lt;&gt;"Y",9&lt;$I81),0,IF(SUMPRODUCT(((BULK_ENABLED="Y")*((BULK_TIER="ALL")+(BULK_TIER=$F81))*((BULK_SKU="ALL")+(BULK_SKU=$G81))*(BULK_START&lt;=9)*(BULK_END&gt;=9)))&gt;0,IFERROR(SUMPRODUCT(((BULK_ENABLED="Y")*((BULK_TIER="ALL")+(BULK_TIER=$F81))*((BULK_SKU="ALL")+(BULK_SKU=$G81))*(BULK_START&lt;=9)*(BULK_END&gt;=9))*IFERROR(BULK_VALUE,0))/MAX(1,SUMPRODUCT(((BULK_ENABLED="Y")*((BULK_TIER="ALL")+(BULK_TIER=$F81))*((BULK_SKU="ALL")+(BULK_SKU=$G81))*(BULK_START&lt;=9)*(BULK_END&gt;=9)))),0),ROUND((INDEX(VELOCITY_TABLE,MATCH($F81,TIER_LIST,0),2))*(IF((9-$I81+1)&lt;=0,0,IF((9-$I81+1)=1,RAMP_W1,IF((9-$I81+1)=2,RAMP_W2,IF((9-$I81+1)=3,RAMP_W3,RAMP_W4PLUS)))))*(INDEX(ACTIVE_MULT_TABLE,2,1))*(1+SUMPRODUCT(SIGN(((ACT_DOOR_SCOPE="ALL")+(ACT_DOOR_SCOPE="TIER_"&amp;$F81)+(ACT_DOOR_SCOPE=$B81)))*SIGN(((ACT_SKU_SCOPE="ALL")+(ACT_SKU_SCOPE=$G81)))*(ACT_START&lt;=9)*(ACT_END&gt;=9)*IFERROR(ACT_UPLIFT-1,0)))*(1+SUMPRODUCT(SIGN(((ACT_DOOR_SCOPE="ALL")+(ACT_DOOR_SCOPE="TIER_"&amp;$F81)+(ACT_DOOR_SCOPE=$B81)))*SIGN(((ACT_SKU_SCOPE="ALL")+(ACT_SKU_SCOPE=$G81)))*(9&gt;ACT_END)*(ACT_END&gt;0)*IFERROR(ACT_POSTLIFT,0))),0)))</f>
        <v/>
      </c>
      <c r="S81" s="10">
        <f>IF(OR($H81&lt;&gt;"Y",10&lt;$I81),0,IF(SUMPRODUCT(((BULK_ENABLED="Y")*((BULK_TIER="ALL")+(BULK_TIER=$F81))*((BULK_SKU="ALL")+(BULK_SKU=$G81))*(BULK_START&lt;=10)*(BULK_END&gt;=10)))&gt;0,IFERROR(SUMPRODUCT(((BULK_ENABLED="Y")*((BULK_TIER="ALL")+(BULK_TIER=$F81))*((BULK_SKU="ALL")+(BULK_SKU=$G81))*(BULK_START&lt;=10)*(BULK_END&gt;=10))*IFERROR(BULK_VALUE,0))/MAX(1,SUMPRODUCT(((BULK_ENABLED="Y")*((BULK_TIER="ALL")+(BULK_TIER=$F81))*((BULK_SKU="ALL")+(BULK_SKU=$G81))*(BULK_START&lt;=10)*(BULK_END&gt;=10)))),0),ROUND((INDEX(VELOCITY_TABLE,MATCH($F81,TIER_LIST,0),2))*(IF((10-$I81+1)&lt;=0,0,IF((10-$I81+1)=1,RAMP_W1,IF((10-$I81+1)=2,RAMP_W2,IF((10-$I81+1)=3,RAMP_W3,RAMP_W4PLUS)))))*(INDEX(ACTIVE_MULT_TABLE,2,1))*(1+SUMPRODUCT(SIGN(((ACT_DOOR_SCOPE="ALL")+(ACT_DOOR_SCOPE="TIER_"&amp;$F81)+(ACT_DOOR_SCOPE=$B81)))*SIGN(((ACT_SKU_SCOPE="ALL")+(ACT_SKU_SCOPE=$G81)))*(ACT_START&lt;=10)*(ACT_END&gt;=10)*IFERROR(ACT_UPLIFT-1,0)))*(1+SUMPRODUCT(SIGN(((ACT_DOOR_SCOPE="ALL")+(ACT_DOOR_SCOPE="TIER_"&amp;$F81)+(ACT_DOOR_SCOPE=$B81)))*SIGN(((ACT_SKU_SCOPE="ALL")+(ACT_SKU_SCOPE=$G81)))*(10&gt;ACT_END)*(ACT_END&gt;0)*IFERROR(ACT_POSTLIFT,0))),0)))</f>
        <v/>
      </c>
      <c r="T81" s="10">
        <f>IF(OR($H81&lt;&gt;"Y",11&lt;$I81),0,IF(SUMPRODUCT(((BULK_ENABLED="Y")*((BULK_TIER="ALL")+(BULK_TIER=$F81))*((BULK_SKU="ALL")+(BULK_SKU=$G81))*(BULK_START&lt;=11)*(BULK_END&gt;=11)))&gt;0,IFERROR(SUMPRODUCT(((BULK_ENABLED="Y")*((BULK_TIER="ALL")+(BULK_TIER=$F81))*((BULK_SKU="ALL")+(BULK_SKU=$G81))*(BULK_START&lt;=11)*(BULK_END&gt;=11))*IFERROR(BULK_VALUE,0))/MAX(1,SUMPRODUCT(((BULK_ENABLED="Y")*((BULK_TIER="ALL")+(BULK_TIER=$F81))*((BULK_SKU="ALL")+(BULK_SKU=$G81))*(BULK_START&lt;=11)*(BULK_END&gt;=11)))),0),ROUND((INDEX(VELOCITY_TABLE,MATCH($F81,TIER_LIST,0),2))*(IF((11-$I81+1)&lt;=0,0,IF((11-$I81+1)=1,RAMP_W1,IF((11-$I81+1)=2,RAMP_W2,IF((11-$I81+1)=3,RAMP_W3,RAMP_W4PLUS)))))*(INDEX(ACTIVE_MULT_TABLE,2,1))*(1+SUMPRODUCT(SIGN(((ACT_DOOR_SCOPE="ALL")+(ACT_DOOR_SCOPE="TIER_"&amp;$F81)+(ACT_DOOR_SCOPE=$B81)))*SIGN(((ACT_SKU_SCOPE="ALL")+(ACT_SKU_SCOPE=$G81)))*(ACT_START&lt;=11)*(ACT_END&gt;=11)*IFERROR(ACT_UPLIFT-1,0)))*(1+SUMPRODUCT(SIGN(((ACT_DOOR_SCOPE="ALL")+(ACT_DOOR_SCOPE="TIER_"&amp;$F81)+(ACT_DOOR_SCOPE=$B81)))*SIGN(((ACT_SKU_SCOPE="ALL")+(ACT_SKU_SCOPE=$G81)))*(11&gt;ACT_END)*(ACT_END&gt;0)*IFERROR(ACT_POSTLIFT,0))),0)))</f>
        <v/>
      </c>
      <c r="U81" s="10">
        <f>IF(OR($H81&lt;&gt;"Y",12&lt;$I81),0,IF(SUMPRODUCT(((BULK_ENABLED="Y")*((BULK_TIER="ALL")+(BULK_TIER=$F81))*((BULK_SKU="ALL")+(BULK_SKU=$G81))*(BULK_START&lt;=12)*(BULK_END&gt;=12)))&gt;0,IFERROR(SUMPRODUCT(((BULK_ENABLED="Y")*((BULK_TIER="ALL")+(BULK_TIER=$F81))*((BULK_SKU="ALL")+(BULK_SKU=$G81))*(BULK_START&lt;=12)*(BULK_END&gt;=12))*IFERROR(BULK_VALUE,0))/MAX(1,SUMPRODUCT(((BULK_ENABLED="Y")*((BULK_TIER="ALL")+(BULK_TIER=$F81))*((BULK_SKU="ALL")+(BULK_SKU=$G81))*(BULK_START&lt;=12)*(BULK_END&gt;=12)))),0),ROUND((INDEX(VELOCITY_TABLE,MATCH($F81,TIER_LIST,0),2))*(IF((12-$I81+1)&lt;=0,0,IF((12-$I81+1)=1,RAMP_W1,IF((12-$I81+1)=2,RAMP_W2,IF((12-$I81+1)=3,RAMP_W3,RAMP_W4PLUS)))))*(INDEX(ACTIVE_MULT_TABLE,2,1))*(1+SUMPRODUCT(SIGN(((ACT_DOOR_SCOPE="ALL")+(ACT_DOOR_SCOPE="TIER_"&amp;$F81)+(ACT_DOOR_SCOPE=$B81)))*SIGN(((ACT_SKU_SCOPE="ALL")+(ACT_SKU_SCOPE=$G81)))*(ACT_START&lt;=12)*(ACT_END&gt;=12)*IFERROR(ACT_UPLIFT-1,0)))*(1+SUMPRODUCT(SIGN(((ACT_DOOR_SCOPE="ALL")+(ACT_DOOR_SCOPE="TIER_"&amp;$F81)+(ACT_DOOR_SCOPE=$B81)))*SIGN(((ACT_SKU_SCOPE="ALL")+(ACT_SKU_SCOPE=$G81)))*(12&gt;ACT_END)*(ACT_END&gt;0)*IFERROR(ACT_POSTLIFT,0))),0)))</f>
        <v/>
      </c>
      <c r="V81" s="10">
        <f>IF(OR($H81&lt;&gt;"Y",13&lt;$I81),0,IF(SUMPRODUCT(((BULK_ENABLED="Y")*((BULK_TIER="ALL")+(BULK_TIER=$F81))*((BULK_SKU="ALL")+(BULK_SKU=$G81))*(BULK_START&lt;=13)*(BULK_END&gt;=13)))&gt;0,IFERROR(SUMPRODUCT(((BULK_ENABLED="Y")*((BULK_TIER="ALL")+(BULK_TIER=$F81))*((BULK_SKU="ALL")+(BULK_SKU=$G81))*(BULK_START&lt;=13)*(BULK_END&gt;=13))*IFERROR(BULK_VALUE,0))/MAX(1,SUMPRODUCT(((BULK_ENABLED="Y")*((BULK_TIER="ALL")+(BULK_TIER=$F81))*((BULK_SKU="ALL")+(BULK_SKU=$G81))*(BULK_START&lt;=13)*(BULK_END&gt;=13)))),0),ROUND((INDEX(VELOCITY_TABLE,MATCH($F81,TIER_LIST,0),2))*(IF((13-$I81+1)&lt;=0,0,IF((13-$I81+1)=1,RAMP_W1,IF((13-$I81+1)=2,RAMP_W2,IF((13-$I81+1)=3,RAMP_W3,RAMP_W4PLUS)))))*(INDEX(ACTIVE_MULT_TABLE,2,1))*(1+SUMPRODUCT(SIGN(((ACT_DOOR_SCOPE="ALL")+(ACT_DOOR_SCOPE="TIER_"&amp;$F81)+(ACT_DOOR_SCOPE=$B81)))*SIGN(((ACT_SKU_SCOPE="ALL")+(ACT_SKU_SCOPE=$G81)))*(ACT_START&lt;=13)*(ACT_END&gt;=13)*IFERROR(ACT_UPLIFT-1,0)))*(1+SUMPRODUCT(SIGN(((ACT_DOOR_SCOPE="ALL")+(ACT_DOOR_SCOPE="TIER_"&amp;$F81)+(ACT_DOOR_SCOPE=$B81)))*SIGN(((ACT_SKU_SCOPE="ALL")+(ACT_SKU_SCOPE=$G81)))*(13&gt;ACT_END)*(ACT_END&gt;0)*IFERROR(ACT_POSTLIFT,0))),0)))</f>
        <v/>
      </c>
    </row>
    <row r="82">
      <c r="A82" t="inlineStr">
        <is>
          <t>R0078</t>
        </is>
      </c>
      <c r="B82">
        <f>Doors!$A$30</f>
        <v/>
      </c>
      <c r="C82">
        <f>Doors!$C$30</f>
        <v/>
      </c>
      <c r="D82">
        <f>Doors!$B$30</f>
        <v/>
      </c>
      <c r="E82">
        <f>Doors!$E$30</f>
        <v/>
      </c>
      <c r="F82">
        <f>Doors!$F$30</f>
        <v/>
      </c>
      <c r="G82" t="inlineStr">
        <is>
          <t>Raspberry</t>
        </is>
      </c>
      <c r="H82">
        <f>Doors!$I$30</f>
        <v/>
      </c>
      <c r="I82">
        <f>Doors!$J$30</f>
        <v/>
      </c>
      <c r="J82" s="10">
        <f>IF(OR($H82&lt;&gt;"Y",1&lt;$I82),0,IF(SUMPRODUCT(((BULK_ENABLED="Y")*((BULK_TIER="ALL")+(BULK_TIER=$F82))*((BULK_SKU="ALL")+(BULK_SKU=$G82))*(BULK_START&lt;=1)*(BULK_END&gt;=1)))&gt;0,IFERROR(SUMPRODUCT(((BULK_ENABLED="Y")*((BULK_TIER="ALL")+(BULK_TIER=$F82))*((BULK_SKU="ALL")+(BULK_SKU=$G82))*(BULK_START&lt;=1)*(BULK_END&gt;=1))*IFERROR(BULK_VALUE,0))/MAX(1,SUMPRODUCT(((BULK_ENABLED="Y")*((BULK_TIER="ALL")+(BULK_TIER=$F82))*((BULK_SKU="ALL")+(BULK_SKU=$G82))*(BULK_START&lt;=1)*(BULK_END&gt;=1)))),0),ROUND((INDEX(VELOCITY_TABLE,MATCH($F82,TIER_LIST,0),3))*(IF((1-$I82+1)&lt;=0,0,IF((1-$I82+1)=1,RAMP_W1,IF((1-$I82+1)=2,RAMP_W2,IF((1-$I82+1)=3,RAMP_W3,RAMP_W4PLUS)))))*(INDEX(ACTIVE_MULT_TABLE,3,1))*(1+SUMPRODUCT(SIGN(((ACT_DOOR_SCOPE="ALL")+(ACT_DOOR_SCOPE="TIER_"&amp;$F82)+(ACT_DOOR_SCOPE=$B82)))*SIGN(((ACT_SKU_SCOPE="ALL")+(ACT_SKU_SCOPE=$G82)))*(ACT_START&lt;=1)*(ACT_END&gt;=1)*IFERROR(ACT_UPLIFT-1,0)))*(1+SUMPRODUCT(SIGN(((ACT_DOOR_SCOPE="ALL")+(ACT_DOOR_SCOPE="TIER_"&amp;$F82)+(ACT_DOOR_SCOPE=$B82)))*SIGN(((ACT_SKU_SCOPE="ALL")+(ACT_SKU_SCOPE=$G82)))*(1&gt;ACT_END)*(ACT_END&gt;0)*IFERROR(ACT_POSTLIFT,0))),0)))</f>
        <v/>
      </c>
      <c r="K82" s="10">
        <f>IF(OR($H82&lt;&gt;"Y",2&lt;$I82),0,IF(SUMPRODUCT(((BULK_ENABLED="Y")*((BULK_TIER="ALL")+(BULK_TIER=$F82))*((BULK_SKU="ALL")+(BULK_SKU=$G82))*(BULK_START&lt;=2)*(BULK_END&gt;=2)))&gt;0,IFERROR(SUMPRODUCT(((BULK_ENABLED="Y")*((BULK_TIER="ALL")+(BULK_TIER=$F82))*((BULK_SKU="ALL")+(BULK_SKU=$G82))*(BULK_START&lt;=2)*(BULK_END&gt;=2))*IFERROR(BULK_VALUE,0))/MAX(1,SUMPRODUCT(((BULK_ENABLED="Y")*((BULK_TIER="ALL")+(BULK_TIER=$F82))*((BULK_SKU="ALL")+(BULK_SKU=$G82))*(BULK_START&lt;=2)*(BULK_END&gt;=2)))),0),ROUND((INDEX(VELOCITY_TABLE,MATCH($F82,TIER_LIST,0),3))*(IF((2-$I82+1)&lt;=0,0,IF((2-$I82+1)=1,RAMP_W1,IF((2-$I82+1)=2,RAMP_W2,IF((2-$I82+1)=3,RAMP_W3,RAMP_W4PLUS)))))*(INDEX(ACTIVE_MULT_TABLE,3,1))*(1+SUMPRODUCT(SIGN(((ACT_DOOR_SCOPE="ALL")+(ACT_DOOR_SCOPE="TIER_"&amp;$F82)+(ACT_DOOR_SCOPE=$B82)))*SIGN(((ACT_SKU_SCOPE="ALL")+(ACT_SKU_SCOPE=$G82)))*(ACT_START&lt;=2)*(ACT_END&gt;=2)*IFERROR(ACT_UPLIFT-1,0)))*(1+SUMPRODUCT(SIGN(((ACT_DOOR_SCOPE="ALL")+(ACT_DOOR_SCOPE="TIER_"&amp;$F82)+(ACT_DOOR_SCOPE=$B82)))*SIGN(((ACT_SKU_SCOPE="ALL")+(ACT_SKU_SCOPE=$G82)))*(2&gt;ACT_END)*(ACT_END&gt;0)*IFERROR(ACT_POSTLIFT,0))),0)))</f>
        <v/>
      </c>
      <c r="L82" s="10">
        <f>IF(OR($H82&lt;&gt;"Y",3&lt;$I82),0,IF(SUMPRODUCT(((BULK_ENABLED="Y")*((BULK_TIER="ALL")+(BULK_TIER=$F82))*((BULK_SKU="ALL")+(BULK_SKU=$G82))*(BULK_START&lt;=3)*(BULK_END&gt;=3)))&gt;0,IFERROR(SUMPRODUCT(((BULK_ENABLED="Y")*((BULK_TIER="ALL")+(BULK_TIER=$F82))*((BULK_SKU="ALL")+(BULK_SKU=$G82))*(BULK_START&lt;=3)*(BULK_END&gt;=3))*IFERROR(BULK_VALUE,0))/MAX(1,SUMPRODUCT(((BULK_ENABLED="Y")*((BULK_TIER="ALL")+(BULK_TIER=$F82))*((BULK_SKU="ALL")+(BULK_SKU=$G82))*(BULK_START&lt;=3)*(BULK_END&gt;=3)))),0),ROUND((INDEX(VELOCITY_TABLE,MATCH($F82,TIER_LIST,0),3))*(IF((3-$I82+1)&lt;=0,0,IF((3-$I82+1)=1,RAMP_W1,IF((3-$I82+1)=2,RAMP_W2,IF((3-$I82+1)=3,RAMP_W3,RAMP_W4PLUS)))))*(INDEX(ACTIVE_MULT_TABLE,3,1))*(1+SUMPRODUCT(SIGN(((ACT_DOOR_SCOPE="ALL")+(ACT_DOOR_SCOPE="TIER_"&amp;$F82)+(ACT_DOOR_SCOPE=$B82)))*SIGN(((ACT_SKU_SCOPE="ALL")+(ACT_SKU_SCOPE=$G82)))*(ACT_START&lt;=3)*(ACT_END&gt;=3)*IFERROR(ACT_UPLIFT-1,0)))*(1+SUMPRODUCT(SIGN(((ACT_DOOR_SCOPE="ALL")+(ACT_DOOR_SCOPE="TIER_"&amp;$F82)+(ACT_DOOR_SCOPE=$B82)))*SIGN(((ACT_SKU_SCOPE="ALL")+(ACT_SKU_SCOPE=$G82)))*(3&gt;ACT_END)*(ACT_END&gt;0)*IFERROR(ACT_POSTLIFT,0))),0)))</f>
        <v/>
      </c>
      <c r="M82" s="10">
        <f>IF(OR($H82&lt;&gt;"Y",4&lt;$I82),0,IF(SUMPRODUCT(((BULK_ENABLED="Y")*((BULK_TIER="ALL")+(BULK_TIER=$F82))*((BULK_SKU="ALL")+(BULK_SKU=$G82))*(BULK_START&lt;=4)*(BULK_END&gt;=4)))&gt;0,IFERROR(SUMPRODUCT(((BULK_ENABLED="Y")*((BULK_TIER="ALL")+(BULK_TIER=$F82))*((BULK_SKU="ALL")+(BULK_SKU=$G82))*(BULK_START&lt;=4)*(BULK_END&gt;=4))*IFERROR(BULK_VALUE,0))/MAX(1,SUMPRODUCT(((BULK_ENABLED="Y")*((BULK_TIER="ALL")+(BULK_TIER=$F82))*((BULK_SKU="ALL")+(BULK_SKU=$G82))*(BULK_START&lt;=4)*(BULK_END&gt;=4)))),0),ROUND((INDEX(VELOCITY_TABLE,MATCH($F82,TIER_LIST,0),3))*(IF((4-$I82+1)&lt;=0,0,IF((4-$I82+1)=1,RAMP_W1,IF((4-$I82+1)=2,RAMP_W2,IF((4-$I82+1)=3,RAMP_W3,RAMP_W4PLUS)))))*(INDEX(ACTIVE_MULT_TABLE,3,1))*(1+SUMPRODUCT(SIGN(((ACT_DOOR_SCOPE="ALL")+(ACT_DOOR_SCOPE="TIER_"&amp;$F82)+(ACT_DOOR_SCOPE=$B82)))*SIGN(((ACT_SKU_SCOPE="ALL")+(ACT_SKU_SCOPE=$G82)))*(ACT_START&lt;=4)*(ACT_END&gt;=4)*IFERROR(ACT_UPLIFT-1,0)))*(1+SUMPRODUCT(SIGN(((ACT_DOOR_SCOPE="ALL")+(ACT_DOOR_SCOPE="TIER_"&amp;$F82)+(ACT_DOOR_SCOPE=$B82)))*SIGN(((ACT_SKU_SCOPE="ALL")+(ACT_SKU_SCOPE=$G82)))*(4&gt;ACT_END)*(ACT_END&gt;0)*IFERROR(ACT_POSTLIFT,0))),0)))</f>
        <v/>
      </c>
      <c r="N82" s="10">
        <f>IF(OR($H82&lt;&gt;"Y",5&lt;$I82),0,IF(SUMPRODUCT(((BULK_ENABLED="Y")*((BULK_TIER="ALL")+(BULK_TIER=$F82))*((BULK_SKU="ALL")+(BULK_SKU=$G82))*(BULK_START&lt;=5)*(BULK_END&gt;=5)))&gt;0,IFERROR(SUMPRODUCT(((BULK_ENABLED="Y")*((BULK_TIER="ALL")+(BULK_TIER=$F82))*((BULK_SKU="ALL")+(BULK_SKU=$G82))*(BULK_START&lt;=5)*(BULK_END&gt;=5))*IFERROR(BULK_VALUE,0))/MAX(1,SUMPRODUCT(((BULK_ENABLED="Y")*((BULK_TIER="ALL")+(BULK_TIER=$F82))*((BULK_SKU="ALL")+(BULK_SKU=$G82))*(BULK_START&lt;=5)*(BULK_END&gt;=5)))),0),ROUND((INDEX(VELOCITY_TABLE,MATCH($F82,TIER_LIST,0),3))*(IF((5-$I82+1)&lt;=0,0,IF((5-$I82+1)=1,RAMP_W1,IF((5-$I82+1)=2,RAMP_W2,IF((5-$I82+1)=3,RAMP_W3,RAMP_W4PLUS)))))*(INDEX(ACTIVE_MULT_TABLE,3,1))*(1+SUMPRODUCT(SIGN(((ACT_DOOR_SCOPE="ALL")+(ACT_DOOR_SCOPE="TIER_"&amp;$F82)+(ACT_DOOR_SCOPE=$B82)))*SIGN(((ACT_SKU_SCOPE="ALL")+(ACT_SKU_SCOPE=$G82)))*(ACT_START&lt;=5)*(ACT_END&gt;=5)*IFERROR(ACT_UPLIFT-1,0)))*(1+SUMPRODUCT(SIGN(((ACT_DOOR_SCOPE="ALL")+(ACT_DOOR_SCOPE="TIER_"&amp;$F82)+(ACT_DOOR_SCOPE=$B82)))*SIGN(((ACT_SKU_SCOPE="ALL")+(ACT_SKU_SCOPE=$G82)))*(5&gt;ACT_END)*(ACT_END&gt;0)*IFERROR(ACT_POSTLIFT,0))),0)))</f>
        <v/>
      </c>
      <c r="O82" s="10">
        <f>IF(OR($H82&lt;&gt;"Y",6&lt;$I82),0,IF(SUMPRODUCT(((BULK_ENABLED="Y")*((BULK_TIER="ALL")+(BULK_TIER=$F82))*((BULK_SKU="ALL")+(BULK_SKU=$G82))*(BULK_START&lt;=6)*(BULK_END&gt;=6)))&gt;0,IFERROR(SUMPRODUCT(((BULK_ENABLED="Y")*((BULK_TIER="ALL")+(BULK_TIER=$F82))*((BULK_SKU="ALL")+(BULK_SKU=$G82))*(BULK_START&lt;=6)*(BULK_END&gt;=6))*IFERROR(BULK_VALUE,0))/MAX(1,SUMPRODUCT(((BULK_ENABLED="Y")*((BULK_TIER="ALL")+(BULK_TIER=$F82))*((BULK_SKU="ALL")+(BULK_SKU=$G82))*(BULK_START&lt;=6)*(BULK_END&gt;=6)))),0),ROUND((INDEX(VELOCITY_TABLE,MATCH($F82,TIER_LIST,0),3))*(IF((6-$I82+1)&lt;=0,0,IF((6-$I82+1)=1,RAMP_W1,IF((6-$I82+1)=2,RAMP_W2,IF((6-$I82+1)=3,RAMP_W3,RAMP_W4PLUS)))))*(INDEX(ACTIVE_MULT_TABLE,3,1))*(1+SUMPRODUCT(SIGN(((ACT_DOOR_SCOPE="ALL")+(ACT_DOOR_SCOPE="TIER_"&amp;$F82)+(ACT_DOOR_SCOPE=$B82)))*SIGN(((ACT_SKU_SCOPE="ALL")+(ACT_SKU_SCOPE=$G82)))*(ACT_START&lt;=6)*(ACT_END&gt;=6)*IFERROR(ACT_UPLIFT-1,0)))*(1+SUMPRODUCT(SIGN(((ACT_DOOR_SCOPE="ALL")+(ACT_DOOR_SCOPE="TIER_"&amp;$F82)+(ACT_DOOR_SCOPE=$B82)))*SIGN(((ACT_SKU_SCOPE="ALL")+(ACT_SKU_SCOPE=$G82)))*(6&gt;ACT_END)*(ACT_END&gt;0)*IFERROR(ACT_POSTLIFT,0))),0)))</f>
        <v/>
      </c>
      <c r="P82" s="10">
        <f>IF(OR($H82&lt;&gt;"Y",7&lt;$I82),0,IF(SUMPRODUCT(((BULK_ENABLED="Y")*((BULK_TIER="ALL")+(BULK_TIER=$F82))*((BULK_SKU="ALL")+(BULK_SKU=$G82))*(BULK_START&lt;=7)*(BULK_END&gt;=7)))&gt;0,IFERROR(SUMPRODUCT(((BULK_ENABLED="Y")*((BULK_TIER="ALL")+(BULK_TIER=$F82))*((BULK_SKU="ALL")+(BULK_SKU=$G82))*(BULK_START&lt;=7)*(BULK_END&gt;=7))*IFERROR(BULK_VALUE,0))/MAX(1,SUMPRODUCT(((BULK_ENABLED="Y")*((BULK_TIER="ALL")+(BULK_TIER=$F82))*((BULK_SKU="ALL")+(BULK_SKU=$G82))*(BULK_START&lt;=7)*(BULK_END&gt;=7)))),0),ROUND((INDEX(VELOCITY_TABLE,MATCH($F82,TIER_LIST,0),3))*(IF((7-$I82+1)&lt;=0,0,IF((7-$I82+1)=1,RAMP_W1,IF((7-$I82+1)=2,RAMP_W2,IF((7-$I82+1)=3,RAMP_W3,RAMP_W4PLUS)))))*(INDEX(ACTIVE_MULT_TABLE,3,1))*(1+SUMPRODUCT(SIGN(((ACT_DOOR_SCOPE="ALL")+(ACT_DOOR_SCOPE="TIER_"&amp;$F82)+(ACT_DOOR_SCOPE=$B82)))*SIGN(((ACT_SKU_SCOPE="ALL")+(ACT_SKU_SCOPE=$G82)))*(ACT_START&lt;=7)*(ACT_END&gt;=7)*IFERROR(ACT_UPLIFT-1,0)))*(1+SUMPRODUCT(SIGN(((ACT_DOOR_SCOPE="ALL")+(ACT_DOOR_SCOPE="TIER_"&amp;$F82)+(ACT_DOOR_SCOPE=$B82)))*SIGN(((ACT_SKU_SCOPE="ALL")+(ACT_SKU_SCOPE=$G82)))*(7&gt;ACT_END)*(ACT_END&gt;0)*IFERROR(ACT_POSTLIFT,0))),0)))</f>
        <v/>
      </c>
      <c r="Q82" s="10">
        <f>IF(OR($H82&lt;&gt;"Y",8&lt;$I82),0,IF(SUMPRODUCT(((BULK_ENABLED="Y")*((BULK_TIER="ALL")+(BULK_TIER=$F82))*((BULK_SKU="ALL")+(BULK_SKU=$G82))*(BULK_START&lt;=8)*(BULK_END&gt;=8)))&gt;0,IFERROR(SUMPRODUCT(((BULK_ENABLED="Y")*((BULK_TIER="ALL")+(BULK_TIER=$F82))*((BULK_SKU="ALL")+(BULK_SKU=$G82))*(BULK_START&lt;=8)*(BULK_END&gt;=8))*IFERROR(BULK_VALUE,0))/MAX(1,SUMPRODUCT(((BULK_ENABLED="Y")*((BULK_TIER="ALL")+(BULK_TIER=$F82))*((BULK_SKU="ALL")+(BULK_SKU=$G82))*(BULK_START&lt;=8)*(BULK_END&gt;=8)))),0),ROUND((INDEX(VELOCITY_TABLE,MATCH($F82,TIER_LIST,0),3))*(IF((8-$I82+1)&lt;=0,0,IF((8-$I82+1)=1,RAMP_W1,IF((8-$I82+1)=2,RAMP_W2,IF((8-$I82+1)=3,RAMP_W3,RAMP_W4PLUS)))))*(INDEX(ACTIVE_MULT_TABLE,3,1))*(1+SUMPRODUCT(SIGN(((ACT_DOOR_SCOPE="ALL")+(ACT_DOOR_SCOPE="TIER_"&amp;$F82)+(ACT_DOOR_SCOPE=$B82)))*SIGN(((ACT_SKU_SCOPE="ALL")+(ACT_SKU_SCOPE=$G82)))*(ACT_START&lt;=8)*(ACT_END&gt;=8)*IFERROR(ACT_UPLIFT-1,0)))*(1+SUMPRODUCT(SIGN(((ACT_DOOR_SCOPE="ALL")+(ACT_DOOR_SCOPE="TIER_"&amp;$F82)+(ACT_DOOR_SCOPE=$B82)))*SIGN(((ACT_SKU_SCOPE="ALL")+(ACT_SKU_SCOPE=$G82)))*(8&gt;ACT_END)*(ACT_END&gt;0)*IFERROR(ACT_POSTLIFT,0))),0)))</f>
        <v/>
      </c>
      <c r="R82" s="10">
        <f>IF(OR($H82&lt;&gt;"Y",9&lt;$I82),0,IF(SUMPRODUCT(((BULK_ENABLED="Y")*((BULK_TIER="ALL")+(BULK_TIER=$F82))*((BULK_SKU="ALL")+(BULK_SKU=$G82))*(BULK_START&lt;=9)*(BULK_END&gt;=9)))&gt;0,IFERROR(SUMPRODUCT(((BULK_ENABLED="Y")*((BULK_TIER="ALL")+(BULK_TIER=$F82))*((BULK_SKU="ALL")+(BULK_SKU=$G82))*(BULK_START&lt;=9)*(BULK_END&gt;=9))*IFERROR(BULK_VALUE,0))/MAX(1,SUMPRODUCT(((BULK_ENABLED="Y")*((BULK_TIER="ALL")+(BULK_TIER=$F82))*((BULK_SKU="ALL")+(BULK_SKU=$G82))*(BULK_START&lt;=9)*(BULK_END&gt;=9)))),0),ROUND((INDEX(VELOCITY_TABLE,MATCH($F82,TIER_LIST,0),3))*(IF((9-$I82+1)&lt;=0,0,IF((9-$I82+1)=1,RAMP_W1,IF((9-$I82+1)=2,RAMP_W2,IF((9-$I82+1)=3,RAMP_W3,RAMP_W4PLUS)))))*(INDEX(ACTIVE_MULT_TABLE,3,1))*(1+SUMPRODUCT(SIGN(((ACT_DOOR_SCOPE="ALL")+(ACT_DOOR_SCOPE="TIER_"&amp;$F82)+(ACT_DOOR_SCOPE=$B82)))*SIGN(((ACT_SKU_SCOPE="ALL")+(ACT_SKU_SCOPE=$G82)))*(ACT_START&lt;=9)*(ACT_END&gt;=9)*IFERROR(ACT_UPLIFT-1,0)))*(1+SUMPRODUCT(SIGN(((ACT_DOOR_SCOPE="ALL")+(ACT_DOOR_SCOPE="TIER_"&amp;$F82)+(ACT_DOOR_SCOPE=$B82)))*SIGN(((ACT_SKU_SCOPE="ALL")+(ACT_SKU_SCOPE=$G82)))*(9&gt;ACT_END)*(ACT_END&gt;0)*IFERROR(ACT_POSTLIFT,0))),0)))</f>
        <v/>
      </c>
      <c r="S82" s="10">
        <f>IF(OR($H82&lt;&gt;"Y",10&lt;$I82),0,IF(SUMPRODUCT(((BULK_ENABLED="Y")*((BULK_TIER="ALL")+(BULK_TIER=$F82))*((BULK_SKU="ALL")+(BULK_SKU=$G82))*(BULK_START&lt;=10)*(BULK_END&gt;=10)))&gt;0,IFERROR(SUMPRODUCT(((BULK_ENABLED="Y")*((BULK_TIER="ALL")+(BULK_TIER=$F82))*((BULK_SKU="ALL")+(BULK_SKU=$G82))*(BULK_START&lt;=10)*(BULK_END&gt;=10))*IFERROR(BULK_VALUE,0))/MAX(1,SUMPRODUCT(((BULK_ENABLED="Y")*((BULK_TIER="ALL")+(BULK_TIER=$F82))*((BULK_SKU="ALL")+(BULK_SKU=$G82))*(BULK_START&lt;=10)*(BULK_END&gt;=10)))),0),ROUND((INDEX(VELOCITY_TABLE,MATCH($F82,TIER_LIST,0),3))*(IF((10-$I82+1)&lt;=0,0,IF((10-$I82+1)=1,RAMP_W1,IF((10-$I82+1)=2,RAMP_W2,IF((10-$I82+1)=3,RAMP_W3,RAMP_W4PLUS)))))*(INDEX(ACTIVE_MULT_TABLE,3,1))*(1+SUMPRODUCT(SIGN(((ACT_DOOR_SCOPE="ALL")+(ACT_DOOR_SCOPE="TIER_"&amp;$F82)+(ACT_DOOR_SCOPE=$B82)))*SIGN(((ACT_SKU_SCOPE="ALL")+(ACT_SKU_SCOPE=$G82)))*(ACT_START&lt;=10)*(ACT_END&gt;=10)*IFERROR(ACT_UPLIFT-1,0)))*(1+SUMPRODUCT(SIGN(((ACT_DOOR_SCOPE="ALL")+(ACT_DOOR_SCOPE="TIER_"&amp;$F82)+(ACT_DOOR_SCOPE=$B82)))*SIGN(((ACT_SKU_SCOPE="ALL")+(ACT_SKU_SCOPE=$G82)))*(10&gt;ACT_END)*(ACT_END&gt;0)*IFERROR(ACT_POSTLIFT,0))),0)))</f>
        <v/>
      </c>
      <c r="T82" s="10">
        <f>IF(OR($H82&lt;&gt;"Y",11&lt;$I82),0,IF(SUMPRODUCT(((BULK_ENABLED="Y")*((BULK_TIER="ALL")+(BULK_TIER=$F82))*((BULK_SKU="ALL")+(BULK_SKU=$G82))*(BULK_START&lt;=11)*(BULK_END&gt;=11)))&gt;0,IFERROR(SUMPRODUCT(((BULK_ENABLED="Y")*((BULK_TIER="ALL")+(BULK_TIER=$F82))*((BULK_SKU="ALL")+(BULK_SKU=$G82))*(BULK_START&lt;=11)*(BULK_END&gt;=11))*IFERROR(BULK_VALUE,0))/MAX(1,SUMPRODUCT(((BULK_ENABLED="Y")*((BULK_TIER="ALL")+(BULK_TIER=$F82))*((BULK_SKU="ALL")+(BULK_SKU=$G82))*(BULK_START&lt;=11)*(BULK_END&gt;=11)))),0),ROUND((INDEX(VELOCITY_TABLE,MATCH($F82,TIER_LIST,0),3))*(IF((11-$I82+1)&lt;=0,0,IF((11-$I82+1)=1,RAMP_W1,IF((11-$I82+1)=2,RAMP_W2,IF((11-$I82+1)=3,RAMP_W3,RAMP_W4PLUS)))))*(INDEX(ACTIVE_MULT_TABLE,3,1))*(1+SUMPRODUCT(SIGN(((ACT_DOOR_SCOPE="ALL")+(ACT_DOOR_SCOPE="TIER_"&amp;$F82)+(ACT_DOOR_SCOPE=$B82)))*SIGN(((ACT_SKU_SCOPE="ALL")+(ACT_SKU_SCOPE=$G82)))*(ACT_START&lt;=11)*(ACT_END&gt;=11)*IFERROR(ACT_UPLIFT-1,0)))*(1+SUMPRODUCT(SIGN(((ACT_DOOR_SCOPE="ALL")+(ACT_DOOR_SCOPE="TIER_"&amp;$F82)+(ACT_DOOR_SCOPE=$B82)))*SIGN(((ACT_SKU_SCOPE="ALL")+(ACT_SKU_SCOPE=$G82)))*(11&gt;ACT_END)*(ACT_END&gt;0)*IFERROR(ACT_POSTLIFT,0))),0)))</f>
        <v/>
      </c>
      <c r="U82" s="10">
        <f>IF(OR($H82&lt;&gt;"Y",12&lt;$I82),0,IF(SUMPRODUCT(((BULK_ENABLED="Y")*((BULK_TIER="ALL")+(BULK_TIER=$F82))*((BULK_SKU="ALL")+(BULK_SKU=$G82))*(BULK_START&lt;=12)*(BULK_END&gt;=12)))&gt;0,IFERROR(SUMPRODUCT(((BULK_ENABLED="Y")*((BULK_TIER="ALL")+(BULK_TIER=$F82))*((BULK_SKU="ALL")+(BULK_SKU=$G82))*(BULK_START&lt;=12)*(BULK_END&gt;=12))*IFERROR(BULK_VALUE,0))/MAX(1,SUMPRODUCT(((BULK_ENABLED="Y")*((BULK_TIER="ALL")+(BULK_TIER=$F82))*((BULK_SKU="ALL")+(BULK_SKU=$G82))*(BULK_START&lt;=12)*(BULK_END&gt;=12)))),0),ROUND((INDEX(VELOCITY_TABLE,MATCH($F82,TIER_LIST,0),3))*(IF((12-$I82+1)&lt;=0,0,IF((12-$I82+1)=1,RAMP_W1,IF((12-$I82+1)=2,RAMP_W2,IF((12-$I82+1)=3,RAMP_W3,RAMP_W4PLUS)))))*(INDEX(ACTIVE_MULT_TABLE,3,1))*(1+SUMPRODUCT(SIGN(((ACT_DOOR_SCOPE="ALL")+(ACT_DOOR_SCOPE="TIER_"&amp;$F82)+(ACT_DOOR_SCOPE=$B82)))*SIGN(((ACT_SKU_SCOPE="ALL")+(ACT_SKU_SCOPE=$G82)))*(ACT_START&lt;=12)*(ACT_END&gt;=12)*IFERROR(ACT_UPLIFT-1,0)))*(1+SUMPRODUCT(SIGN(((ACT_DOOR_SCOPE="ALL")+(ACT_DOOR_SCOPE="TIER_"&amp;$F82)+(ACT_DOOR_SCOPE=$B82)))*SIGN(((ACT_SKU_SCOPE="ALL")+(ACT_SKU_SCOPE=$G82)))*(12&gt;ACT_END)*(ACT_END&gt;0)*IFERROR(ACT_POSTLIFT,0))),0)))</f>
        <v/>
      </c>
      <c r="V82" s="10">
        <f>IF(OR($H82&lt;&gt;"Y",13&lt;$I82),0,IF(SUMPRODUCT(((BULK_ENABLED="Y")*((BULK_TIER="ALL")+(BULK_TIER=$F82))*((BULK_SKU="ALL")+(BULK_SKU=$G82))*(BULK_START&lt;=13)*(BULK_END&gt;=13)))&gt;0,IFERROR(SUMPRODUCT(((BULK_ENABLED="Y")*((BULK_TIER="ALL")+(BULK_TIER=$F82))*((BULK_SKU="ALL")+(BULK_SKU=$G82))*(BULK_START&lt;=13)*(BULK_END&gt;=13))*IFERROR(BULK_VALUE,0))/MAX(1,SUMPRODUCT(((BULK_ENABLED="Y")*((BULK_TIER="ALL")+(BULK_TIER=$F82))*((BULK_SKU="ALL")+(BULK_SKU=$G82))*(BULK_START&lt;=13)*(BULK_END&gt;=13)))),0),ROUND((INDEX(VELOCITY_TABLE,MATCH($F82,TIER_LIST,0),3))*(IF((13-$I82+1)&lt;=0,0,IF((13-$I82+1)=1,RAMP_W1,IF((13-$I82+1)=2,RAMP_W2,IF((13-$I82+1)=3,RAMP_W3,RAMP_W4PLUS)))))*(INDEX(ACTIVE_MULT_TABLE,3,1))*(1+SUMPRODUCT(SIGN(((ACT_DOOR_SCOPE="ALL")+(ACT_DOOR_SCOPE="TIER_"&amp;$F82)+(ACT_DOOR_SCOPE=$B82)))*SIGN(((ACT_SKU_SCOPE="ALL")+(ACT_SKU_SCOPE=$G82)))*(ACT_START&lt;=13)*(ACT_END&gt;=13)*IFERROR(ACT_UPLIFT-1,0)))*(1+SUMPRODUCT(SIGN(((ACT_DOOR_SCOPE="ALL")+(ACT_DOOR_SCOPE="TIER_"&amp;$F82)+(ACT_DOOR_SCOPE=$B82)))*SIGN(((ACT_SKU_SCOPE="ALL")+(ACT_SKU_SCOPE=$G82)))*(13&gt;ACT_END)*(ACT_END&gt;0)*IFERROR(ACT_POSTLIFT,0))),0)))</f>
        <v/>
      </c>
    </row>
    <row r="83">
      <c r="A83" t="inlineStr">
        <is>
          <t>R0079</t>
        </is>
      </c>
      <c r="B83">
        <f>Doors!$A$31</f>
        <v/>
      </c>
      <c r="C83">
        <f>Doors!$C$31</f>
        <v/>
      </c>
      <c r="D83">
        <f>Doors!$B$31</f>
        <v/>
      </c>
      <c r="E83">
        <f>Doors!$E$31</f>
        <v/>
      </c>
      <c r="F83">
        <f>Doors!$F$31</f>
        <v/>
      </c>
      <c r="G83" t="inlineStr">
        <is>
          <t>Lime Lemon</t>
        </is>
      </c>
      <c r="H83">
        <f>Doors!$G$31</f>
        <v/>
      </c>
      <c r="I83">
        <f>Doors!$J$31</f>
        <v/>
      </c>
      <c r="J83" s="10">
        <f>IF(OR($H83&lt;&gt;"Y",1&lt;$I83),0,IF(SUMPRODUCT(((BULK_ENABLED="Y")*((BULK_TIER="ALL")+(BULK_TIER=$F83))*((BULK_SKU="ALL")+(BULK_SKU=$G83))*(BULK_START&lt;=1)*(BULK_END&gt;=1)))&gt;0,IFERROR(SUMPRODUCT(((BULK_ENABLED="Y")*((BULK_TIER="ALL")+(BULK_TIER=$F83))*((BULK_SKU="ALL")+(BULK_SKU=$G83))*(BULK_START&lt;=1)*(BULK_END&gt;=1))*IFERROR(BULK_VALUE,0))/MAX(1,SUMPRODUCT(((BULK_ENABLED="Y")*((BULK_TIER="ALL")+(BULK_TIER=$F83))*((BULK_SKU="ALL")+(BULK_SKU=$G83))*(BULK_START&lt;=1)*(BULK_END&gt;=1)))),0),ROUND((INDEX(VELOCITY_TABLE,MATCH($F83,TIER_LIST,0),1))*(IF((1-$I83+1)&lt;=0,0,IF((1-$I83+1)=1,RAMP_W1,IF((1-$I83+1)=2,RAMP_W2,IF((1-$I83+1)=3,RAMP_W3,RAMP_W4PLUS)))))*(INDEX(ACTIVE_MULT_TABLE,1,1))*(1+SUMPRODUCT(SIGN(((ACT_DOOR_SCOPE="ALL")+(ACT_DOOR_SCOPE="TIER_"&amp;$F83)+(ACT_DOOR_SCOPE=$B83)))*SIGN(((ACT_SKU_SCOPE="ALL")+(ACT_SKU_SCOPE=$G83)))*(ACT_START&lt;=1)*(ACT_END&gt;=1)*IFERROR(ACT_UPLIFT-1,0)))*(1+SUMPRODUCT(SIGN(((ACT_DOOR_SCOPE="ALL")+(ACT_DOOR_SCOPE="TIER_"&amp;$F83)+(ACT_DOOR_SCOPE=$B83)))*SIGN(((ACT_SKU_SCOPE="ALL")+(ACT_SKU_SCOPE=$G83)))*(1&gt;ACT_END)*(ACT_END&gt;0)*IFERROR(ACT_POSTLIFT,0))),0)))</f>
        <v/>
      </c>
      <c r="K83" s="10">
        <f>IF(OR($H83&lt;&gt;"Y",2&lt;$I83),0,IF(SUMPRODUCT(((BULK_ENABLED="Y")*((BULK_TIER="ALL")+(BULK_TIER=$F83))*((BULK_SKU="ALL")+(BULK_SKU=$G83))*(BULK_START&lt;=2)*(BULK_END&gt;=2)))&gt;0,IFERROR(SUMPRODUCT(((BULK_ENABLED="Y")*((BULK_TIER="ALL")+(BULK_TIER=$F83))*((BULK_SKU="ALL")+(BULK_SKU=$G83))*(BULK_START&lt;=2)*(BULK_END&gt;=2))*IFERROR(BULK_VALUE,0))/MAX(1,SUMPRODUCT(((BULK_ENABLED="Y")*((BULK_TIER="ALL")+(BULK_TIER=$F83))*((BULK_SKU="ALL")+(BULK_SKU=$G83))*(BULK_START&lt;=2)*(BULK_END&gt;=2)))),0),ROUND((INDEX(VELOCITY_TABLE,MATCH($F83,TIER_LIST,0),1))*(IF((2-$I83+1)&lt;=0,0,IF((2-$I83+1)=1,RAMP_W1,IF((2-$I83+1)=2,RAMP_W2,IF((2-$I83+1)=3,RAMP_W3,RAMP_W4PLUS)))))*(INDEX(ACTIVE_MULT_TABLE,1,1))*(1+SUMPRODUCT(SIGN(((ACT_DOOR_SCOPE="ALL")+(ACT_DOOR_SCOPE="TIER_"&amp;$F83)+(ACT_DOOR_SCOPE=$B83)))*SIGN(((ACT_SKU_SCOPE="ALL")+(ACT_SKU_SCOPE=$G83)))*(ACT_START&lt;=2)*(ACT_END&gt;=2)*IFERROR(ACT_UPLIFT-1,0)))*(1+SUMPRODUCT(SIGN(((ACT_DOOR_SCOPE="ALL")+(ACT_DOOR_SCOPE="TIER_"&amp;$F83)+(ACT_DOOR_SCOPE=$B83)))*SIGN(((ACT_SKU_SCOPE="ALL")+(ACT_SKU_SCOPE=$G83)))*(2&gt;ACT_END)*(ACT_END&gt;0)*IFERROR(ACT_POSTLIFT,0))),0)))</f>
        <v/>
      </c>
      <c r="L83" s="10">
        <f>IF(OR($H83&lt;&gt;"Y",3&lt;$I83),0,IF(SUMPRODUCT(((BULK_ENABLED="Y")*((BULK_TIER="ALL")+(BULK_TIER=$F83))*((BULK_SKU="ALL")+(BULK_SKU=$G83))*(BULK_START&lt;=3)*(BULK_END&gt;=3)))&gt;0,IFERROR(SUMPRODUCT(((BULK_ENABLED="Y")*((BULK_TIER="ALL")+(BULK_TIER=$F83))*((BULK_SKU="ALL")+(BULK_SKU=$G83))*(BULK_START&lt;=3)*(BULK_END&gt;=3))*IFERROR(BULK_VALUE,0))/MAX(1,SUMPRODUCT(((BULK_ENABLED="Y")*((BULK_TIER="ALL")+(BULK_TIER=$F83))*((BULK_SKU="ALL")+(BULK_SKU=$G83))*(BULK_START&lt;=3)*(BULK_END&gt;=3)))),0),ROUND((INDEX(VELOCITY_TABLE,MATCH($F83,TIER_LIST,0),1))*(IF((3-$I83+1)&lt;=0,0,IF((3-$I83+1)=1,RAMP_W1,IF((3-$I83+1)=2,RAMP_W2,IF((3-$I83+1)=3,RAMP_W3,RAMP_W4PLUS)))))*(INDEX(ACTIVE_MULT_TABLE,1,1))*(1+SUMPRODUCT(SIGN(((ACT_DOOR_SCOPE="ALL")+(ACT_DOOR_SCOPE="TIER_"&amp;$F83)+(ACT_DOOR_SCOPE=$B83)))*SIGN(((ACT_SKU_SCOPE="ALL")+(ACT_SKU_SCOPE=$G83)))*(ACT_START&lt;=3)*(ACT_END&gt;=3)*IFERROR(ACT_UPLIFT-1,0)))*(1+SUMPRODUCT(SIGN(((ACT_DOOR_SCOPE="ALL")+(ACT_DOOR_SCOPE="TIER_"&amp;$F83)+(ACT_DOOR_SCOPE=$B83)))*SIGN(((ACT_SKU_SCOPE="ALL")+(ACT_SKU_SCOPE=$G83)))*(3&gt;ACT_END)*(ACT_END&gt;0)*IFERROR(ACT_POSTLIFT,0))),0)))</f>
        <v/>
      </c>
      <c r="M83" s="10">
        <f>IF(OR($H83&lt;&gt;"Y",4&lt;$I83),0,IF(SUMPRODUCT(((BULK_ENABLED="Y")*((BULK_TIER="ALL")+(BULK_TIER=$F83))*((BULK_SKU="ALL")+(BULK_SKU=$G83))*(BULK_START&lt;=4)*(BULK_END&gt;=4)))&gt;0,IFERROR(SUMPRODUCT(((BULK_ENABLED="Y")*((BULK_TIER="ALL")+(BULK_TIER=$F83))*((BULK_SKU="ALL")+(BULK_SKU=$G83))*(BULK_START&lt;=4)*(BULK_END&gt;=4))*IFERROR(BULK_VALUE,0))/MAX(1,SUMPRODUCT(((BULK_ENABLED="Y")*((BULK_TIER="ALL")+(BULK_TIER=$F83))*((BULK_SKU="ALL")+(BULK_SKU=$G83))*(BULK_START&lt;=4)*(BULK_END&gt;=4)))),0),ROUND((INDEX(VELOCITY_TABLE,MATCH($F83,TIER_LIST,0),1))*(IF((4-$I83+1)&lt;=0,0,IF((4-$I83+1)=1,RAMP_W1,IF((4-$I83+1)=2,RAMP_W2,IF((4-$I83+1)=3,RAMP_W3,RAMP_W4PLUS)))))*(INDEX(ACTIVE_MULT_TABLE,1,1))*(1+SUMPRODUCT(SIGN(((ACT_DOOR_SCOPE="ALL")+(ACT_DOOR_SCOPE="TIER_"&amp;$F83)+(ACT_DOOR_SCOPE=$B83)))*SIGN(((ACT_SKU_SCOPE="ALL")+(ACT_SKU_SCOPE=$G83)))*(ACT_START&lt;=4)*(ACT_END&gt;=4)*IFERROR(ACT_UPLIFT-1,0)))*(1+SUMPRODUCT(SIGN(((ACT_DOOR_SCOPE="ALL")+(ACT_DOOR_SCOPE="TIER_"&amp;$F83)+(ACT_DOOR_SCOPE=$B83)))*SIGN(((ACT_SKU_SCOPE="ALL")+(ACT_SKU_SCOPE=$G83)))*(4&gt;ACT_END)*(ACT_END&gt;0)*IFERROR(ACT_POSTLIFT,0))),0)))</f>
        <v/>
      </c>
      <c r="N83" s="10">
        <f>IF(OR($H83&lt;&gt;"Y",5&lt;$I83),0,IF(SUMPRODUCT(((BULK_ENABLED="Y")*((BULK_TIER="ALL")+(BULK_TIER=$F83))*((BULK_SKU="ALL")+(BULK_SKU=$G83))*(BULK_START&lt;=5)*(BULK_END&gt;=5)))&gt;0,IFERROR(SUMPRODUCT(((BULK_ENABLED="Y")*((BULK_TIER="ALL")+(BULK_TIER=$F83))*((BULK_SKU="ALL")+(BULK_SKU=$G83))*(BULK_START&lt;=5)*(BULK_END&gt;=5))*IFERROR(BULK_VALUE,0))/MAX(1,SUMPRODUCT(((BULK_ENABLED="Y")*((BULK_TIER="ALL")+(BULK_TIER=$F83))*((BULK_SKU="ALL")+(BULK_SKU=$G83))*(BULK_START&lt;=5)*(BULK_END&gt;=5)))),0),ROUND((INDEX(VELOCITY_TABLE,MATCH($F83,TIER_LIST,0),1))*(IF((5-$I83+1)&lt;=0,0,IF((5-$I83+1)=1,RAMP_W1,IF((5-$I83+1)=2,RAMP_W2,IF((5-$I83+1)=3,RAMP_W3,RAMP_W4PLUS)))))*(INDEX(ACTIVE_MULT_TABLE,1,1))*(1+SUMPRODUCT(SIGN(((ACT_DOOR_SCOPE="ALL")+(ACT_DOOR_SCOPE="TIER_"&amp;$F83)+(ACT_DOOR_SCOPE=$B83)))*SIGN(((ACT_SKU_SCOPE="ALL")+(ACT_SKU_SCOPE=$G83)))*(ACT_START&lt;=5)*(ACT_END&gt;=5)*IFERROR(ACT_UPLIFT-1,0)))*(1+SUMPRODUCT(SIGN(((ACT_DOOR_SCOPE="ALL")+(ACT_DOOR_SCOPE="TIER_"&amp;$F83)+(ACT_DOOR_SCOPE=$B83)))*SIGN(((ACT_SKU_SCOPE="ALL")+(ACT_SKU_SCOPE=$G83)))*(5&gt;ACT_END)*(ACT_END&gt;0)*IFERROR(ACT_POSTLIFT,0))),0)))</f>
        <v/>
      </c>
      <c r="O83" s="10">
        <f>IF(OR($H83&lt;&gt;"Y",6&lt;$I83),0,IF(SUMPRODUCT(((BULK_ENABLED="Y")*((BULK_TIER="ALL")+(BULK_TIER=$F83))*((BULK_SKU="ALL")+(BULK_SKU=$G83))*(BULK_START&lt;=6)*(BULK_END&gt;=6)))&gt;0,IFERROR(SUMPRODUCT(((BULK_ENABLED="Y")*((BULK_TIER="ALL")+(BULK_TIER=$F83))*((BULK_SKU="ALL")+(BULK_SKU=$G83))*(BULK_START&lt;=6)*(BULK_END&gt;=6))*IFERROR(BULK_VALUE,0))/MAX(1,SUMPRODUCT(((BULK_ENABLED="Y")*((BULK_TIER="ALL")+(BULK_TIER=$F83))*((BULK_SKU="ALL")+(BULK_SKU=$G83))*(BULK_START&lt;=6)*(BULK_END&gt;=6)))),0),ROUND((INDEX(VELOCITY_TABLE,MATCH($F83,TIER_LIST,0),1))*(IF((6-$I83+1)&lt;=0,0,IF((6-$I83+1)=1,RAMP_W1,IF((6-$I83+1)=2,RAMP_W2,IF((6-$I83+1)=3,RAMP_W3,RAMP_W4PLUS)))))*(INDEX(ACTIVE_MULT_TABLE,1,1))*(1+SUMPRODUCT(SIGN(((ACT_DOOR_SCOPE="ALL")+(ACT_DOOR_SCOPE="TIER_"&amp;$F83)+(ACT_DOOR_SCOPE=$B83)))*SIGN(((ACT_SKU_SCOPE="ALL")+(ACT_SKU_SCOPE=$G83)))*(ACT_START&lt;=6)*(ACT_END&gt;=6)*IFERROR(ACT_UPLIFT-1,0)))*(1+SUMPRODUCT(SIGN(((ACT_DOOR_SCOPE="ALL")+(ACT_DOOR_SCOPE="TIER_"&amp;$F83)+(ACT_DOOR_SCOPE=$B83)))*SIGN(((ACT_SKU_SCOPE="ALL")+(ACT_SKU_SCOPE=$G83)))*(6&gt;ACT_END)*(ACT_END&gt;0)*IFERROR(ACT_POSTLIFT,0))),0)))</f>
        <v/>
      </c>
      <c r="P83" s="10">
        <f>IF(OR($H83&lt;&gt;"Y",7&lt;$I83),0,IF(SUMPRODUCT(((BULK_ENABLED="Y")*((BULK_TIER="ALL")+(BULK_TIER=$F83))*((BULK_SKU="ALL")+(BULK_SKU=$G83))*(BULK_START&lt;=7)*(BULK_END&gt;=7)))&gt;0,IFERROR(SUMPRODUCT(((BULK_ENABLED="Y")*((BULK_TIER="ALL")+(BULK_TIER=$F83))*((BULK_SKU="ALL")+(BULK_SKU=$G83))*(BULK_START&lt;=7)*(BULK_END&gt;=7))*IFERROR(BULK_VALUE,0))/MAX(1,SUMPRODUCT(((BULK_ENABLED="Y")*((BULK_TIER="ALL")+(BULK_TIER=$F83))*((BULK_SKU="ALL")+(BULK_SKU=$G83))*(BULK_START&lt;=7)*(BULK_END&gt;=7)))),0),ROUND((INDEX(VELOCITY_TABLE,MATCH($F83,TIER_LIST,0),1))*(IF((7-$I83+1)&lt;=0,0,IF((7-$I83+1)=1,RAMP_W1,IF((7-$I83+1)=2,RAMP_W2,IF((7-$I83+1)=3,RAMP_W3,RAMP_W4PLUS)))))*(INDEX(ACTIVE_MULT_TABLE,1,1))*(1+SUMPRODUCT(SIGN(((ACT_DOOR_SCOPE="ALL")+(ACT_DOOR_SCOPE="TIER_"&amp;$F83)+(ACT_DOOR_SCOPE=$B83)))*SIGN(((ACT_SKU_SCOPE="ALL")+(ACT_SKU_SCOPE=$G83)))*(ACT_START&lt;=7)*(ACT_END&gt;=7)*IFERROR(ACT_UPLIFT-1,0)))*(1+SUMPRODUCT(SIGN(((ACT_DOOR_SCOPE="ALL")+(ACT_DOOR_SCOPE="TIER_"&amp;$F83)+(ACT_DOOR_SCOPE=$B83)))*SIGN(((ACT_SKU_SCOPE="ALL")+(ACT_SKU_SCOPE=$G83)))*(7&gt;ACT_END)*(ACT_END&gt;0)*IFERROR(ACT_POSTLIFT,0))),0)))</f>
        <v/>
      </c>
      <c r="Q83" s="10">
        <f>IF(OR($H83&lt;&gt;"Y",8&lt;$I83),0,IF(SUMPRODUCT(((BULK_ENABLED="Y")*((BULK_TIER="ALL")+(BULK_TIER=$F83))*((BULK_SKU="ALL")+(BULK_SKU=$G83))*(BULK_START&lt;=8)*(BULK_END&gt;=8)))&gt;0,IFERROR(SUMPRODUCT(((BULK_ENABLED="Y")*((BULK_TIER="ALL")+(BULK_TIER=$F83))*((BULK_SKU="ALL")+(BULK_SKU=$G83))*(BULK_START&lt;=8)*(BULK_END&gt;=8))*IFERROR(BULK_VALUE,0))/MAX(1,SUMPRODUCT(((BULK_ENABLED="Y")*((BULK_TIER="ALL")+(BULK_TIER=$F83))*((BULK_SKU="ALL")+(BULK_SKU=$G83))*(BULK_START&lt;=8)*(BULK_END&gt;=8)))),0),ROUND((INDEX(VELOCITY_TABLE,MATCH($F83,TIER_LIST,0),1))*(IF((8-$I83+1)&lt;=0,0,IF((8-$I83+1)=1,RAMP_W1,IF((8-$I83+1)=2,RAMP_W2,IF((8-$I83+1)=3,RAMP_W3,RAMP_W4PLUS)))))*(INDEX(ACTIVE_MULT_TABLE,1,1))*(1+SUMPRODUCT(SIGN(((ACT_DOOR_SCOPE="ALL")+(ACT_DOOR_SCOPE="TIER_"&amp;$F83)+(ACT_DOOR_SCOPE=$B83)))*SIGN(((ACT_SKU_SCOPE="ALL")+(ACT_SKU_SCOPE=$G83)))*(ACT_START&lt;=8)*(ACT_END&gt;=8)*IFERROR(ACT_UPLIFT-1,0)))*(1+SUMPRODUCT(SIGN(((ACT_DOOR_SCOPE="ALL")+(ACT_DOOR_SCOPE="TIER_"&amp;$F83)+(ACT_DOOR_SCOPE=$B83)))*SIGN(((ACT_SKU_SCOPE="ALL")+(ACT_SKU_SCOPE=$G83)))*(8&gt;ACT_END)*(ACT_END&gt;0)*IFERROR(ACT_POSTLIFT,0))),0)))</f>
        <v/>
      </c>
      <c r="R83" s="10">
        <f>IF(OR($H83&lt;&gt;"Y",9&lt;$I83),0,IF(SUMPRODUCT(((BULK_ENABLED="Y")*((BULK_TIER="ALL")+(BULK_TIER=$F83))*((BULK_SKU="ALL")+(BULK_SKU=$G83))*(BULK_START&lt;=9)*(BULK_END&gt;=9)))&gt;0,IFERROR(SUMPRODUCT(((BULK_ENABLED="Y")*((BULK_TIER="ALL")+(BULK_TIER=$F83))*((BULK_SKU="ALL")+(BULK_SKU=$G83))*(BULK_START&lt;=9)*(BULK_END&gt;=9))*IFERROR(BULK_VALUE,0))/MAX(1,SUMPRODUCT(((BULK_ENABLED="Y")*((BULK_TIER="ALL")+(BULK_TIER=$F83))*((BULK_SKU="ALL")+(BULK_SKU=$G83))*(BULK_START&lt;=9)*(BULK_END&gt;=9)))),0),ROUND((INDEX(VELOCITY_TABLE,MATCH($F83,TIER_LIST,0),1))*(IF((9-$I83+1)&lt;=0,0,IF((9-$I83+1)=1,RAMP_W1,IF((9-$I83+1)=2,RAMP_W2,IF((9-$I83+1)=3,RAMP_W3,RAMP_W4PLUS)))))*(INDEX(ACTIVE_MULT_TABLE,1,1))*(1+SUMPRODUCT(SIGN(((ACT_DOOR_SCOPE="ALL")+(ACT_DOOR_SCOPE="TIER_"&amp;$F83)+(ACT_DOOR_SCOPE=$B83)))*SIGN(((ACT_SKU_SCOPE="ALL")+(ACT_SKU_SCOPE=$G83)))*(ACT_START&lt;=9)*(ACT_END&gt;=9)*IFERROR(ACT_UPLIFT-1,0)))*(1+SUMPRODUCT(SIGN(((ACT_DOOR_SCOPE="ALL")+(ACT_DOOR_SCOPE="TIER_"&amp;$F83)+(ACT_DOOR_SCOPE=$B83)))*SIGN(((ACT_SKU_SCOPE="ALL")+(ACT_SKU_SCOPE=$G83)))*(9&gt;ACT_END)*(ACT_END&gt;0)*IFERROR(ACT_POSTLIFT,0))),0)))</f>
        <v/>
      </c>
      <c r="S83" s="10">
        <f>IF(OR($H83&lt;&gt;"Y",10&lt;$I83),0,IF(SUMPRODUCT(((BULK_ENABLED="Y")*((BULK_TIER="ALL")+(BULK_TIER=$F83))*((BULK_SKU="ALL")+(BULK_SKU=$G83))*(BULK_START&lt;=10)*(BULK_END&gt;=10)))&gt;0,IFERROR(SUMPRODUCT(((BULK_ENABLED="Y")*((BULK_TIER="ALL")+(BULK_TIER=$F83))*((BULK_SKU="ALL")+(BULK_SKU=$G83))*(BULK_START&lt;=10)*(BULK_END&gt;=10))*IFERROR(BULK_VALUE,0))/MAX(1,SUMPRODUCT(((BULK_ENABLED="Y")*((BULK_TIER="ALL")+(BULK_TIER=$F83))*((BULK_SKU="ALL")+(BULK_SKU=$G83))*(BULK_START&lt;=10)*(BULK_END&gt;=10)))),0),ROUND((INDEX(VELOCITY_TABLE,MATCH($F83,TIER_LIST,0),1))*(IF((10-$I83+1)&lt;=0,0,IF((10-$I83+1)=1,RAMP_W1,IF((10-$I83+1)=2,RAMP_W2,IF((10-$I83+1)=3,RAMP_W3,RAMP_W4PLUS)))))*(INDEX(ACTIVE_MULT_TABLE,1,1))*(1+SUMPRODUCT(SIGN(((ACT_DOOR_SCOPE="ALL")+(ACT_DOOR_SCOPE="TIER_"&amp;$F83)+(ACT_DOOR_SCOPE=$B83)))*SIGN(((ACT_SKU_SCOPE="ALL")+(ACT_SKU_SCOPE=$G83)))*(ACT_START&lt;=10)*(ACT_END&gt;=10)*IFERROR(ACT_UPLIFT-1,0)))*(1+SUMPRODUCT(SIGN(((ACT_DOOR_SCOPE="ALL")+(ACT_DOOR_SCOPE="TIER_"&amp;$F83)+(ACT_DOOR_SCOPE=$B83)))*SIGN(((ACT_SKU_SCOPE="ALL")+(ACT_SKU_SCOPE=$G83)))*(10&gt;ACT_END)*(ACT_END&gt;0)*IFERROR(ACT_POSTLIFT,0))),0)))</f>
        <v/>
      </c>
      <c r="T83" s="10">
        <f>IF(OR($H83&lt;&gt;"Y",11&lt;$I83),0,IF(SUMPRODUCT(((BULK_ENABLED="Y")*((BULK_TIER="ALL")+(BULK_TIER=$F83))*((BULK_SKU="ALL")+(BULK_SKU=$G83))*(BULK_START&lt;=11)*(BULK_END&gt;=11)))&gt;0,IFERROR(SUMPRODUCT(((BULK_ENABLED="Y")*((BULK_TIER="ALL")+(BULK_TIER=$F83))*((BULK_SKU="ALL")+(BULK_SKU=$G83))*(BULK_START&lt;=11)*(BULK_END&gt;=11))*IFERROR(BULK_VALUE,0))/MAX(1,SUMPRODUCT(((BULK_ENABLED="Y")*((BULK_TIER="ALL")+(BULK_TIER=$F83))*((BULK_SKU="ALL")+(BULK_SKU=$G83))*(BULK_START&lt;=11)*(BULK_END&gt;=11)))),0),ROUND((INDEX(VELOCITY_TABLE,MATCH($F83,TIER_LIST,0),1))*(IF((11-$I83+1)&lt;=0,0,IF((11-$I83+1)=1,RAMP_W1,IF((11-$I83+1)=2,RAMP_W2,IF((11-$I83+1)=3,RAMP_W3,RAMP_W4PLUS)))))*(INDEX(ACTIVE_MULT_TABLE,1,1))*(1+SUMPRODUCT(SIGN(((ACT_DOOR_SCOPE="ALL")+(ACT_DOOR_SCOPE="TIER_"&amp;$F83)+(ACT_DOOR_SCOPE=$B83)))*SIGN(((ACT_SKU_SCOPE="ALL")+(ACT_SKU_SCOPE=$G83)))*(ACT_START&lt;=11)*(ACT_END&gt;=11)*IFERROR(ACT_UPLIFT-1,0)))*(1+SUMPRODUCT(SIGN(((ACT_DOOR_SCOPE="ALL")+(ACT_DOOR_SCOPE="TIER_"&amp;$F83)+(ACT_DOOR_SCOPE=$B83)))*SIGN(((ACT_SKU_SCOPE="ALL")+(ACT_SKU_SCOPE=$G83)))*(11&gt;ACT_END)*(ACT_END&gt;0)*IFERROR(ACT_POSTLIFT,0))),0)))</f>
        <v/>
      </c>
      <c r="U83" s="10">
        <f>IF(OR($H83&lt;&gt;"Y",12&lt;$I83),0,IF(SUMPRODUCT(((BULK_ENABLED="Y")*((BULK_TIER="ALL")+(BULK_TIER=$F83))*((BULK_SKU="ALL")+(BULK_SKU=$G83))*(BULK_START&lt;=12)*(BULK_END&gt;=12)))&gt;0,IFERROR(SUMPRODUCT(((BULK_ENABLED="Y")*((BULK_TIER="ALL")+(BULK_TIER=$F83))*((BULK_SKU="ALL")+(BULK_SKU=$G83))*(BULK_START&lt;=12)*(BULK_END&gt;=12))*IFERROR(BULK_VALUE,0))/MAX(1,SUMPRODUCT(((BULK_ENABLED="Y")*((BULK_TIER="ALL")+(BULK_TIER=$F83))*((BULK_SKU="ALL")+(BULK_SKU=$G83))*(BULK_START&lt;=12)*(BULK_END&gt;=12)))),0),ROUND((INDEX(VELOCITY_TABLE,MATCH($F83,TIER_LIST,0),1))*(IF((12-$I83+1)&lt;=0,0,IF((12-$I83+1)=1,RAMP_W1,IF((12-$I83+1)=2,RAMP_W2,IF((12-$I83+1)=3,RAMP_W3,RAMP_W4PLUS)))))*(INDEX(ACTIVE_MULT_TABLE,1,1))*(1+SUMPRODUCT(SIGN(((ACT_DOOR_SCOPE="ALL")+(ACT_DOOR_SCOPE="TIER_"&amp;$F83)+(ACT_DOOR_SCOPE=$B83)))*SIGN(((ACT_SKU_SCOPE="ALL")+(ACT_SKU_SCOPE=$G83)))*(ACT_START&lt;=12)*(ACT_END&gt;=12)*IFERROR(ACT_UPLIFT-1,0)))*(1+SUMPRODUCT(SIGN(((ACT_DOOR_SCOPE="ALL")+(ACT_DOOR_SCOPE="TIER_"&amp;$F83)+(ACT_DOOR_SCOPE=$B83)))*SIGN(((ACT_SKU_SCOPE="ALL")+(ACT_SKU_SCOPE=$G83)))*(12&gt;ACT_END)*(ACT_END&gt;0)*IFERROR(ACT_POSTLIFT,0))),0)))</f>
        <v/>
      </c>
      <c r="V83" s="10">
        <f>IF(OR($H83&lt;&gt;"Y",13&lt;$I83),0,IF(SUMPRODUCT(((BULK_ENABLED="Y")*((BULK_TIER="ALL")+(BULK_TIER=$F83))*((BULK_SKU="ALL")+(BULK_SKU=$G83))*(BULK_START&lt;=13)*(BULK_END&gt;=13)))&gt;0,IFERROR(SUMPRODUCT(((BULK_ENABLED="Y")*((BULK_TIER="ALL")+(BULK_TIER=$F83))*((BULK_SKU="ALL")+(BULK_SKU=$G83))*(BULK_START&lt;=13)*(BULK_END&gt;=13))*IFERROR(BULK_VALUE,0))/MAX(1,SUMPRODUCT(((BULK_ENABLED="Y")*((BULK_TIER="ALL")+(BULK_TIER=$F83))*((BULK_SKU="ALL")+(BULK_SKU=$G83))*(BULK_START&lt;=13)*(BULK_END&gt;=13)))),0),ROUND((INDEX(VELOCITY_TABLE,MATCH($F83,TIER_LIST,0),1))*(IF((13-$I83+1)&lt;=0,0,IF((13-$I83+1)=1,RAMP_W1,IF((13-$I83+1)=2,RAMP_W2,IF((13-$I83+1)=3,RAMP_W3,RAMP_W4PLUS)))))*(INDEX(ACTIVE_MULT_TABLE,1,1))*(1+SUMPRODUCT(SIGN(((ACT_DOOR_SCOPE="ALL")+(ACT_DOOR_SCOPE="TIER_"&amp;$F83)+(ACT_DOOR_SCOPE=$B83)))*SIGN(((ACT_SKU_SCOPE="ALL")+(ACT_SKU_SCOPE=$G83)))*(ACT_START&lt;=13)*(ACT_END&gt;=13)*IFERROR(ACT_UPLIFT-1,0)))*(1+SUMPRODUCT(SIGN(((ACT_DOOR_SCOPE="ALL")+(ACT_DOOR_SCOPE="TIER_"&amp;$F83)+(ACT_DOOR_SCOPE=$B83)))*SIGN(((ACT_SKU_SCOPE="ALL")+(ACT_SKU_SCOPE=$G83)))*(13&gt;ACT_END)*(ACT_END&gt;0)*IFERROR(ACT_POSTLIFT,0))),0)))</f>
        <v/>
      </c>
    </row>
    <row r="84">
      <c r="A84" t="inlineStr">
        <is>
          <t>R0080</t>
        </is>
      </c>
      <c r="B84">
        <f>Doors!$A$31</f>
        <v/>
      </c>
      <c r="C84">
        <f>Doors!$C$31</f>
        <v/>
      </c>
      <c r="D84">
        <f>Doors!$B$31</f>
        <v/>
      </c>
      <c r="E84">
        <f>Doors!$E$31</f>
        <v/>
      </c>
      <c r="F84">
        <f>Doors!$F$31</f>
        <v/>
      </c>
      <c r="G84" t="inlineStr">
        <is>
          <t>Pineapple Passion Fruit</t>
        </is>
      </c>
      <c r="H84">
        <f>Doors!$H$31</f>
        <v/>
      </c>
      <c r="I84">
        <f>Doors!$J$31</f>
        <v/>
      </c>
      <c r="J84" s="10">
        <f>IF(OR($H84&lt;&gt;"Y",1&lt;$I84),0,IF(SUMPRODUCT(((BULK_ENABLED="Y")*((BULK_TIER="ALL")+(BULK_TIER=$F84))*((BULK_SKU="ALL")+(BULK_SKU=$G84))*(BULK_START&lt;=1)*(BULK_END&gt;=1)))&gt;0,IFERROR(SUMPRODUCT(((BULK_ENABLED="Y")*((BULK_TIER="ALL")+(BULK_TIER=$F84))*((BULK_SKU="ALL")+(BULK_SKU=$G84))*(BULK_START&lt;=1)*(BULK_END&gt;=1))*IFERROR(BULK_VALUE,0))/MAX(1,SUMPRODUCT(((BULK_ENABLED="Y")*((BULK_TIER="ALL")+(BULK_TIER=$F84))*((BULK_SKU="ALL")+(BULK_SKU=$G84))*(BULK_START&lt;=1)*(BULK_END&gt;=1)))),0),ROUND((INDEX(VELOCITY_TABLE,MATCH($F84,TIER_LIST,0),2))*(IF((1-$I84+1)&lt;=0,0,IF((1-$I84+1)=1,RAMP_W1,IF((1-$I84+1)=2,RAMP_W2,IF((1-$I84+1)=3,RAMP_W3,RAMP_W4PLUS)))))*(INDEX(ACTIVE_MULT_TABLE,2,1))*(1+SUMPRODUCT(SIGN(((ACT_DOOR_SCOPE="ALL")+(ACT_DOOR_SCOPE="TIER_"&amp;$F84)+(ACT_DOOR_SCOPE=$B84)))*SIGN(((ACT_SKU_SCOPE="ALL")+(ACT_SKU_SCOPE=$G84)))*(ACT_START&lt;=1)*(ACT_END&gt;=1)*IFERROR(ACT_UPLIFT-1,0)))*(1+SUMPRODUCT(SIGN(((ACT_DOOR_SCOPE="ALL")+(ACT_DOOR_SCOPE="TIER_"&amp;$F84)+(ACT_DOOR_SCOPE=$B84)))*SIGN(((ACT_SKU_SCOPE="ALL")+(ACT_SKU_SCOPE=$G84)))*(1&gt;ACT_END)*(ACT_END&gt;0)*IFERROR(ACT_POSTLIFT,0))),0)))</f>
        <v/>
      </c>
      <c r="K84" s="10">
        <f>IF(OR($H84&lt;&gt;"Y",2&lt;$I84),0,IF(SUMPRODUCT(((BULK_ENABLED="Y")*((BULK_TIER="ALL")+(BULK_TIER=$F84))*((BULK_SKU="ALL")+(BULK_SKU=$G84))*(BULK_START&lt;=2)*(BULK_END&gt;=2)))&gt;0,IFERROR(SUMPRODUCT(((BULK_ENABLED="Y")*((BULK_TIER="ALL")+(BULK_TIER=$F84))*((BULK_SKU="ALL")+(BULK_SKU=$G84))*(BULK_START&lt;=2)*(BULK_END&gt;=2))*IFERROR(BULK_VALUE,0))/MAX(1,SUMPRODUCT(((BULK_ENABLED="Y")*((BULK_TIER="ALL")+(BULK_TIER=$F84))*((BULK_SKU="ALL")+(BULK_SKU=$G84))*(BULK_START&lt;=2)*(BULK_END&gt;=2)))),0),ROUND((INDEX(VELOCITY_TABLE,MATCH($F84,TIER_LIST,0),2))*(IF((2-$I84+1)&lt;=0,0,IF((2-$I84+1)=1,RAMP_W1,IF((2-$I84+1)=2,RAMP_W2,IF((2-$I84+1)=3,RAMP_W3,RAMP_W4PLUS)))))*(INDEX(ACTIVE_MULT_TABLE,2,1))*(1+SUMPRODUCT(SIGN(((ACT_DOOR_SCOPE="ALL")+(ACT_DOOR_SCOPE="TIER_"&amp;$F84)+(ACT_DOOR_SCOPE=$B84)))*SIGN(((ACT_SKU_SCOPE="ALL")+(ACT_SKU_SCOPE=$G84)))*(ACT_START&lt;=2)*(ACT_END&gt;=2)*IFERROR(ACT_UPLIFT-1,0)))*(1+SUMPRODUCT(SIGN(((ACT_DOOR_SCOPE="ALL")+(ACT_DOOR_SCOPE="TIER_"&amp;$F84)+(ACT_DOOR_SCOPE=$B84)))*SIGN(((ACT_SKU_SCOPE="ALL")+(ACT_SKU_SCOPE=$G84)))*(2&gt;ACT_END)*(ACT_END&gt;0)*IFERROR(ACT_POSTLIFT,0))),0)))</f>
        <v/>
      </c>
      <c r="L84" s="10">
        <f>IF(OR($H84&lt;&gt;"Y",3&lt;$I84),0,IF(SUMPRODUCT(((BULK_ENABLED="Y")*((BULK_TIER="ALL")+(BULK_TIER=$F84))*((BULK_SKU="ALL")+(BULK_SKU=$G84))*(BULK_START&lt;=3)*(BULK_END&gt;=3)))&gt;0,IFERROR(SUMPRODUCT(((BULK_ENABLED="Y")*((BULK_TIER="ALL")+(BULK_TIER=$F84))*((BULK_SKU="ALL")+(BULK_SKU=$G84))*(BULK_START&lt;=3)*(BULK_END&gt;=3))*IFERROR(BULK_VALUE,0))/MAX(1,SUMPRODUCT(((BULK_ENABLED="Y")*((BULK_TIER="ALL")+(BULK_TIER=$F84))*((BULK_SKU="ALL")+(BULK_SKU=$G84))*(BULK_START&lt;=3)*(BULK_END&gt;=3)))),0),ROUND((INDEX(VELOCITY_TABLE,MATCH($F84,TIER_LIST,0),2))*(IF((3-$I84+1)&lt;=0,0,IF((3-$I84+1)=1,RAMP_W1,IF((3-$I84+1)=2,RAMP_W2,IF((3-$I84+1)=3,RAMP_W3,RAMP_W4PLUS)))))*(INDEX(ACTIVE_MULT_TABLE,2,1))*(1+SUMPRODUCT(SIGN(((ACT_DOOR_SCOPE="ALL")+(ACT_DOOR_SCOPE="TIER_"&amp;$F84)+(ACT_DOOR_SCOPE=$B84)))*SIGN(((ACT_SKU_SCOPE="ALL")+(ACT_SKU_SCOPE=$G84)))*(ACT_START&lt;=3)*(ACT_END&gt;=3)*IFERROR(ACT_UPLIFT-1,0)))*(1+SUMPRODUCT(SIGN(((ACT_DOOR_SCOPE="ALL")+(ACT_DOOR_SCOPE="TIER_"&amp;$F84)+(ACT_DOOR_SCOPE=$B84)))*SIGN(((ACT_SKU_SCOPE="ALL")+(ACT_SKU_SCOPE=$G84)))*(3&gt;ACT_END)*(ACT_END&gt;0)*IFERROR(ACT_POSTLIFT,0))),0)))</f>
        <v/>
      </c>
      <c r="M84" s="10">
        <f>IF(OR($H84&lt;&gt;"Y",4&lt;$I84),0,IF(SUMPRODUCT(((BULK_ENABLED="Y")*((BULK_TIER="ALL")+(BULK_TIER=$F84))*((BULK_SKU="ALL")+(BULK_SKU=$G84))*(BULK_START&lt;=4)*(BULK_END&gt;=4)))&gt;0,IFERROR(SUMPRODUCT(((BULK_ENABLED="Y")*((BULK_TIER="ALL")+(BULK_TIER=$F84))*((BULK_SKU="ALL")+(BULK_SKU=$G84))*(BULK_START&lt;=4)*(BULK_END&gt;=4))*IFERROR(BULK_VALUE,0))/MAX(1,SUMPRODUCT(((BULK_ENABLED="Y")*((BULK_TIER="ALL")+(BULK_TIER=$F84))*((BULK_SKU="ALL")+(BULK_SKU=$G84))*(BULK_START&lt;=4)*(BULK_END&gt;=4)))),0),ROUND((INDEX(VELOCITY_TABLE,MATCH($F84,TIER_LIST,0),2))*(IF((4-$I84+1)&lt;=0,0,IF((4-$I84+1)=1,RAMP_W1,IF((4-$I84+1)=2,RAMP_W2,IF((4-$I84+1)=3,RAMP_W3,RAMP_W4PLUS)))))*(INDEX(ACTIVE_MULT_TABLE,2,1))*(1+SUMPRODUCT(SIGN(((ACT_DOOR_SCOPE="ALL")+(ACT_DOOR_SCOPE="TIER_"&amp;$F84)+(ACT_DOOR_SCOPE=$B84)))*SIGN(((ACT_SKU_SCOPE="ALL")+(ACT_SKU_SCOPE=$G84)))*(ACT_START&lt;=4)*(ACT_END&gt;=4)*IFERROR(ACT_UPLIFT-1,0)))*(1+SUMPRODUCT(SIGN(((ACT_DOOR_SCOPE="ALL")+(ACT_DOOR_SCOPE="TIER_"&amp;$F84)+(ACT_DOOR_SCOPE=$B84)))*SIGN(((ACT_SKU_SCOPE="ALL")+(ACT_SKU_SCOPE=$G84)))*(4&gt;ACT_END)*(ACT_END&gt;0)*IFERROR(ACT_POSTLIFT,0))),0)))</f>
        <v/>
      </c>
      <c r="N84" s="10">
        <f>IF(OR($H84&lt;&gt;"Y",5&lt;$I84),0,IF(SUMPRODUCT(((BULK_ENABLED="Y")*((BULK_TIER="ALL")+(BULK_TIER=$F84))*((BULK_SKU="ALL")+(BULK_SKU=$G84))*(BULK_START&lt;=5)*(BULK_END&gt;=5)))&gt;0,IFERROR(SUMPRODUCT(((BULK_ENABLED="Y")*((BULK_TIER="ALL")+(BULK_TIER=$F84))*((BULK_SKU="ALL")+(BULK_SKU=$G84))*(BULK_START&lt;=5)*(BULK_END&gt;=5))*IFERROR(BULK_VALUE,0))/MAX(1,SUMPRODUCT(((BULK_ENABLED="Y")*((BULK_TIER="ALL")+(BULK_TIER=$F84))*((BULK_SKU="ALL")+(BULK_SKU=$G84))*(BULK_START&lt;=5)*(BULK_END&gt;=5)))),0),ROUND((INDEX(VELOCITY_TABLE,MATCH($F84,TIER_LIST,0),2))*(IF((5-$I84+1)&lt;=0,0,IF((5-$I84+1)=1,RAMP_W1,IF((5-$I84+1)=2,RAMP_W2,IF((5-$I84+1)=3,RAMP_W3,RAMP_W4PLUS)))))*(INDEX(ACTIVE_MULT_TABLE,2,1))*(1+SUMPRODUCT(SIGN(((ACT_DOOR_SCOPE="ALL")+(ACT_DOOR_SCOPE="TIER_"&amp;$F84)+(ACT_DOOR_SCOPE=$B84)))*SIGN(((ACT_SKU_SCOPE="ALL")+(ACT_SKU_SCOPE=$G84)))*(ACT_START&lt;=5)*(ACT_END&gt;=5)*IFERROR(ACT_UPLIFT-1,0)))*(1+SUMPRODUCT(SIGN(((ACT_DOOR_SCOPE="ALL")+(ACT_DOOR_SCOPE="TIER_"&amp;$F84)+(ACT_DOOR_SCOPE=$B84)))*SIGN(((ACT_SKU_SCOPE="ALL")+(ACT_SKU_SCOPE=$G84)))*(5&gt;ACT_END)*(ACT_END&gt;0)*IFERROR(ACT_POSTLIFT,0))),0)))</f>
        <v/>
      </c>
      <c r="O84" s="10">
        <f>IF(OR($H84&lt;&gt;"Y",6&lt;$I84),0,IF(SUMPRODUCT(((BULK_ENABLED="Y")*((BULK_TIER="ALL")+(BULK_TIER=$F84))*((BULK_SKU="ALL")+(BULK_SKU=$G84))*(BULK_START&lt;=6)*(BULK_END&gt;=6)))&gt;0,IFERROR(SUMPRODUCT(((BULK_ENABLED="Y")*((BULK_TIER="ALL")+(BULK_TIER=$F84))*((BULK_SKU="ALL")+(BULK_SKU=$G84))*(BULK_START&lt;=6)*(BULK_END&gt;=6))*IFERROR(BULK_VALUE,0))/MAX(1,SUMPRODUCT(((BULK_ENABLED="Y")*((BULK_TIER="ALL")+(BULK_TIER=$F84))*((BULK_SKU="ALL")+(BULK_SKU=$G84))*(BULK_START&lt;=6)*(BULK_END&gt;=6)))),0),ROUND((INDEX(VELOCITY_TABLE,MATCH($F84,TIER_LIST,0),2))*(IF((6-$I84+1)&lt;=0,0,IF((6-$I84+1)=1,RAMP_W1,IF((6-$I84+1)=2,RAMP_W2,IF((6-$I84+1)=3,RAMP_W3,RAMP_W4PLUS)))))*(INDEX(ACTIVE_MULT_TABLE,2,1))*(1+SUMPRODUCT(SIGN(((ACT_DOOR_SCOPE="ALL")+(ACT_DOOR_SCOPE="TIER_"&amp;$F84)+(ACT_DOOR_SCOPE=$B84)))*SIGN(((ACT_SKU_SCOPE="ALL")+(ACT_SKU_SCOPE=$G84)))*(ACT_START&lt;=6)*(ACT_END&gt;=6)*IFERROR(ACT_UPLIFT-1,0)))*(1+SUMPRODUCT(SIGN(((ACT_DOOR_SCOPE="ALL")+(ACT_DOOR_SCOPE="TIER_"&amp;$F84)+(ACT_DOOR_SCOPE=$B84)))*SIGN(((ACT_SKU_SCOPE="ALL")+(ACT_SKU_SCOPE=$G84)))*(6&gt;ACT_END)*(ACT_END&gt;0)*IFERROR(ACT_POSTLIFT,0))),0)))</f>
        <v/>
      </c>
      <c r="P84" s="10">
        <f>IF(OR($H84&lt;&gt;"Y",7&lt;$I84),0,IF(SUMPRODUCT(((BULK_ENABLED="Y")*((BULK_TIER="ALL")+(BULK_TIER=$F84))*((BULK_SKU="ALL")+(BULK_SKU=$G84))*(BULK_START&lt;=7)*(BULK_END&gt;=7)))&gt;0,IFERROR(SUMPRODUCT(((BULK_ENABLED="Y")*((BULK_TIER="ALL")+(BULK_TIER=$F84))*((BULK_SKU="ALL")+(BULK_SKU=$G84))*(BULK_START&lt;=7)*(BULK_END&gt;=7))*IFERROR(BULK_VALUE,0))/MAX(1,SUMPRODUCT(((BULK_ENABLED="Y")*((BULK_TIER="ALL")+(BULK_TIER=$F84))*((BULK_SKU="ALL")+(BULK_SKU=$G84))*(BULK_START&lt;=7)*(BULK_END&gt;=7)))),0),ROUND((INDEX(VELOCITY_TABLE,MATCH($F84,TIER_LIST,0),2))*(IF((7-$I84+1)&lt;=0,0,IF((7-$I84+1)=1,RAMP_W1,IF((7-$I84+1)=2,RAMP_W2,IF((7-$I84+1)=3,RAMP_W3,RAMP_W4PLUS)))))*(INDEX(ACTIVE_MULT_TABLE,2,1))*(1+SUMPRODUCT(SIGN(((ACT_DOOR_SCOPE="ALL")+(ACT_DOOR_SCOPE="TIER_"&amp;$F84)+(ACT_DOOR_SCOPE=$B84)))*SIGN(((ACT_SKU_SCOPE="ALL")+(ACT_SKU_SCOPE=$G84)))*(ACT_START&lt;=7)*(ACT_END&gt;=7)*IFERROR(ACT_UPLIFT-1,0)))*(1+SUMPRODUCT(SIGN(((ACT_DOOR_SCOPE="ALL")+(ACT_DOOR_SCOPE="TIER_"&amp;$F84)+(ACT_DOOR_SCOPE=$B84)))*SIGN(((ACT_SKU_SCOPE="ALL")+(ACT_SKU_SCOPE=$G84)))*(7&gt;ACT_END)*(ACT_END&gt;0)*IFERROR(ACT_POSTLIFT,0))),0)))</f>
        <v/>
      </c>
      <c r="Q84" s="10">
        <f>IF(OR($H84&lt;&gt;"Y",8&lt;$I84),0,IF(SUMPRODUCT(((BULK_ENABLED="Y")*((BULK_TIER="ALL")+(BULK_TIER=$F84))*((BULK_SKU="ALL")+(BULK_SKU=$G84))*(BULK_START&lt;=8)*(BULK_END&gt;=8)))&gt;0,IFERROR(SUMPRODUCT(((BULK_ENABLED="Y")*((BULK_TIER="ALL")+(BULK_TIER=$F84))*((BULK_SKU="ALL")+(BULK_SKU=$G84))*(BULK_START&lt;=8)*(BULK_END&gt;=8))*IFERROR(BULK_VALUE,0))/MAX(1,SUMPRODUCT(((BULK_ENABLED="Y")*((BULK_TIER="ALL")+(BULK_TIER=$F84))*((BULK_SKU="ALL")+(BULK_SKU=$G84))*(BULK_START&lt;=8)*(BULK_END&gt;=8)))),0),ROUND((INDEX(VELOCITY_TABLE,MATCH($F84,TIER_LIST,0),2))*(IF((8-$I84+1)&lt;=0,0,IF((8-$I84+1)=1,RAMP_W1,IF((8-$I84+1)=2,RAMP_W2,IF((8-$I84+1)=3,RAMP_W3,RAMP_W4PLUS)))))*(INDEX(ACTIVE_MULT_TABLE,2,1))*(1+SUMPRODUCT(SIGN(((ACT_DOOR_SCOPE="ALL")+(ACT_DOOR_SCOPE="TIER_"&amp;$F84)+(ACT_DOOR_SCOPE=$B84)))*SIGN(((ACT_SKU_SCOPE="ALL")+(ACT_SKU_SCOPE=$G84)))*(ACT_START&lt;=8)*(ACT_END&gt;=8)*IFERROR(ACT_UPLIFT-1,0)))*(1+SUMPRODUCT(SIGN(((ACT_DOOR_SCOPE="ALL")+(ACT_DOOR_SCOPE="TIER_"&amp;$F84)+(ACT_DOOR_SCOPE=$B84)))*SIGN(((ACT_SKU_SCOPE="ALL")+(ACT_SKU_SCOPE=$G84)))*(8&gt;ACT_END)*(ACT_END&gt;0)*IFERROR(ACT_POSTLIFT,0))),0)))</f>
        <v/>
      </c>
      <c r="R84" s="10">
        <f>IF(OR($H84&lt;&gt;"Y",9&lt;$I84),0,IF(SUMPRODUCT(((BULK_ENABLED="Y")*((BULK_TIER="ALL")+(BULK_TIER=$F84))*((BULK_SKU="ALL")+(BULK_SKU=$G84))*(BULK_START&lt;=9)*(BULK_END&gt;=9)))&gt;0,IFERROR(SUMPRODUCT(((BULK_ENABLED="Y")*((BULK_TIER="ALL")+(BULK_TIER=$F84))*((BULK_SKU="ALL")+(BULK_SKU=$G84))*(BULK_START&lt;=9)*(BULK_END&gt;=9))*IFERROR(BULK_VALUE,0))/MAX(1,SUMPRODUCT(((BULK_ENABLED="Y")*((BULK_TIER="ALL")+(BULK_TIER=$F84))*((BULK_SKU="ALL")+(BULK_SKU=$G84))*(BULK_START&lt;=9)*(BULK_END&gt;=9)))),0),ROUND((INDEX(VELOCITY_TABLE,MATCH($F84,TIER_LIST,0),2))*(IF((9-$I84+1)&lt;=0,0,IF((9-$I84+1)=1,RAMP_W1,IF((9-$I84+1)=2,RAMP_W2,IF((9-$I84+1)=3,RAMP_W3,RAMP_W4PLUS)))))*(INDEX(ACTIVE_MULT_TABLE,2,1))*(1+SUMPRODUCT(SIGN(((ACT_DOOR_SCOPE="ALL")+(ACT_DOOR_SCOPE="TIER_"&amp;$F84)+(ACT_DOOR_SCOPE=$B84)))*SIGN(((ACT_SKU_SCOPE="ALL")+(ACT_SKU_SCOPE=$G84)))*(ACT_START&lt;=9)*(ACT_END&gt;=9)*IFERROR(ACT_UPLIFT-1,0)))*(1+SUMPRODUCT(SIGN(((ACT_DOOR_SCOPE="ALL")+(ACT_DOOR_SCOPE="TIER_"&amp;$F84)+(ACT_DOOR_SCOPE=$B84)))*SIGN(((ACT_SKU_SCOPE="ALL")+(ACT_SKU_SCOPE=$G84)))*(9&gt;ACT_END)*(ACT_END&gt;0)*IFERROR(ACT_POSTLIFT,0))),0)))</f>
        <v/>
      </c>
      <c r="S84" s="10">
        <f>IF(OR($H84&lt;&gt;"Y",10&lt;$I84),0,IF(SUMPRODUCT(((BULK_ENABLED="Y")*((BULK_TIER="ALL")+(BULK_TIER=$F84))*((BULK_SKU="ALL")+(BULK_SKU=$G84))*(BULK_START&lt;=10)*(BULK_END&gt;=10)))&gt;0,IFERROR(SUMPRODUCT(((BULK_ENABLED="Y")*((BULK_TIER="ALL")+(BULK_TIER=$F84))*((BULK_SKU="ALL")+(BULK_SKU=$G84))*(BULK_START&lt;=10)*(BULK_END&gt;=10))*IFERROR(BULK_VALUE,0))/MAX(1,SUMPRODUCT(((BULK_ENABLED="Y")*((BULK_TIER="ALL")+(BULK_TIER=$F84))*((BULK_SKU="ALL")+(BULK_SKU=$G84))*(BULK_START&lt;=10)*(BULK_END&gt;=10)))),0),ROUND((INDEX(VELOCITY_TABLE,MATCH($F84,TIER_LIST,0),2))*(IF((10-$I84+1)&lt;=0,0,IF((10-$I84+1)=1,RAMP_W1,IF((10-$I84+1)=2,RAMP_W2,IF((10-$I84+1)=3,RAMP_W3,RAMP_W4PLUS)))))*(INDEX(ACTIVE_MULT_TABLE,2,1))*(1+SUMPRODUCT(SIGN(((ACT_DOOR_SCOPE="ALL")+(ACT_DOOR_SCOPE="TIER_"&amp;$F84)+(ACT_DOOR_SCOPE=$B84)))*SIGN(((ACT_SKU_SCOPE="ALL")+(ACT_SKU_SCOPE=$G84)))*(ACT_START&lt;=10)*(ACT_END&gt;=10)*IFERROR(ACT_UPLIFT-1,0)))*(1+SUMPRODUCT(SIGN(((ACT_DOOR_SCOPE="ALL")+(ACT_DOOR_SCOPE="TIER_"&amp;$F84)+(ACT_DOOR_SCOPE=$B84)))*SIGN(((ACT_SKU_SCOPE="ALL")+(ACT_SKU_SCOPE=$G84)))*(10&gt;ACT_END)*(ACT_END&gt;0)*IFERROR(ACT_POSTLIFT,0))),0)))</f>
        <v/>
      </c>
      <c r="T84" s="10">
        <f>IF(OR($H84&lt;&gt;"Y",11&lt;$I84),0,IF(SUMPRODUCT(((BULK_ENABLED="Y")*((BULK_TIER="ALL")+(BULK_TIER=$F84))*((BULK_SKU="ALL")+(BULK_SKU=$G84))*(BULK_START&lt;=11)*(BULK_END&gt;=11)))&gt;0,IFERROR(SUMPRODUCT(((BULK_ENABLED="Y")*((BULK_TIER="ALL")+(BULK_TIER=$F84))*((BULK_SKU="ALL")+(BULK_SKU=$G84))*(BULK_START&lt;=11)*(BULK_END&gt;=11))*IFERROR(BULK_VALUE,0))/MAX(1,SUMPRODUCT(((BULK_ENABLED="Y")*((BULK_TIER="ALL")+(BULK_TIER=$F84))*((BULK_SKU="ALL")+(BULK_SKU=$G84))*(BULK_START&lt;=11)*(BULK_END&gt;=11)))),0),ROUND((INDEX(VELOCITY_TABLE,MATCH($F84,TIER_LIST,0),2))*(IF((11-$I84+1)&lt;=0,0,IF((11-$I84+1)=1,RAMP_W1,IF((11-$I84+1)=2,RAMP_W2,IF((11-$I84+1)=3,RAMP_W3,RAMP_W4PLUS)))))*(INDEX(ACTIVE_MULT_TABLE,2,1))*(1+SUMPRODUCT(SIGN(((ACT_DOOR_SCOPE="ALL")+(ACT_DOOR_SCOPE="TIER_"&amp;$F84)+(ACT_DOOR_SCOPE=$B84)))*SIGN(((ACT_SKU_SCOPE="ALL")+(ACT_SKU_SCOPE=$G84)))*(ACT_START&lt;=11)*(ACT_END&gt;=11)*IFERROR(ACT_UPLIFT-1,0)))*(1+SUMPRODUCT(SIGN(((ACT_DOOR_SCOPE="ALL")+(ACT_DOOR_SCOPE="TIER_"&amp;$F84)+(ACT_DOOR_SCOPE=$B84)))*SIGN(((ACT_SKU_SCOPE="ALL")+(ACT_SKU_SCOPE=$G84)))*(11&gt;ACT_END)*(ACT_END&gt;0)*IFERROR(ACT_POSTLIFT,0))),0)))</f>
        <v/>
      </c>
      <c r="U84" s="10">
        <f>IF(OR($H84&lt;&gt;"Y",12&lt;$I84),0,IF(SUMPRODUCT(((BULK_ENABLED="Y")*((BULK_TIER="ALL")+(BULK_TIER=$F84))*((BULK_SKU="ALL")+(BULK_SKU=$G84))*(BULK_START&lt;=12)*(BULK_END&gt;=12)))&gt;0,IFERROR(SUMPRODUCT(((BULK_ENABLED="Y")*((BULK_TIER="ALL")+(BULK_TIER=$F84))*((BULK_SKU="ALL")+(BULK_SKU=$G84))*(BULK_START&lt;=12)*(BULK_END&gt;=12))*IFERROR(BULK_VALUE,0))/MAX(1,SUMPRODUCT(((BULK_ENABLED="Y")*((BULK_TIER="ALL")+(BULK_TIER=$F84))*((BULK_SKU="ALL")+(BULK_SKU=$G84))*(BULK_START&lt;=12)*(BULK_END&gt;=12)))),0),ROUND((INDEX(VELOCITY_TABLE,MATCH($F84,TIER_LIST,0),2))*(IF((12-$I84+1)&lt;=0,0,IF((12-$I84+1)=1,RAMP_W1,IF((12-$I84+1)=2,RAMP_W2,IF((12-$I84+1)=3,RAMP_W3,RAMP_W4PLUS)))))*(INDEX(ACTIVE_MULT_TABLE,2,1))*(1+SUMPRODUCT(SIGN(((ACT_DOOR_SCOPE="ALL")+(ACT_DOOR_SCOPE="TIER_"&amp;$F84)+(ACT_DOOR_SCOPE=$B84)))*SIGN(((ACT_SKU_SCOPE="ALL")+(ACT_SKU_SCOPE=$G84)))*(ACT_START&lt;=12)*(ACT_END&gt;=12)*IFERROR(ACT_UPLIFT-1,0)))*(1+SUMPRODUCT(SIGN(((ACT_DOOR_SCOPE="ALL")+(ACT_DOOR_SCOPE="TIER_"&amp;$F84)+(ACT_DOOR_SCOPE=$B84)))*SIGN(((ACT_SKU_SCOPE="ALL")+(ACT_SKU_SCOPE=$G84)))*(12&gt;ACT_END)*(ACT_END&gt;0)*IFERROR(ACT_POSTLIFT,0))),0)))</f>
        <v/>
      </c>
      <c r="V84" s="10">
        <f>IF(OR($H84&lt;&gt;"Y",13&lt;$I84),0,IF(SUMPRODUCT(((BULK_ENABLED="Y")*((BULK_TIER="ALL")+(BULK_TIER=$F84))*((BULK_SKU="ALL")+(BULK_SKU=$G84))*(BULK_START&lt;=13)*(BULK_END&gt;=13)))&gt;0,IFERROR(SUMPRODUCT(((BULK_ENABLED="Y")*((BULK_TIER="ALL")+(BULK_TIER=$F84))*((BULK_SKU="ALL")+(BULK_SKU=$G84))*(BULK_START&lt;=13)*(BULK_END&gt;=13))*IFERROR(BULK_VALUE,0))/MAX(1,SUMPRODUCT(((BULK_ENABLED="Y")*((BULK_TIER="ALL")+(BULK_TIER=$F84))*((BULK_SKU="ALL")+(BULK_SKU=$G84))*(BULK_START&lt;=13)*(BULK_END&gt;=13)))),0),ROUND((INDEX(VELOCITY_TABLE,MATCH($F84,TIER_LIST,0),2))*(IF((13-$I84+1)&lt;=0,0,IF((13-$I84+1)=1,RAMP_W1,IF((13-$I84+1)=2,RAMP_W2,IF((13-$I84+1)=3,RAMP_W3,RAMP_W4PLUS)))))*(INDEX(ACTIVE_MULT_TABLE,2,1))*(1+SUMPRODUCT(SIGN(((ACT_DOOR_SCOPE="ALL")+(ACT_DOOR_SCOPE="TIER_"&amp;$F84)+(ACT_DOOR_SCOPE=$B84)))*SIGN(((ACT_SKU_SCOPE="ALL")+(ACT_SKU_SCOPE=$G84)))*(ACT_START&lt;=13)*(ACT_END&gt;=13)*IFERROR(ACT_UPLIFT-1,0)))*(1+SUMPRODUCT(SIGN(((ACT_DOOR_SCOPE="ALL")+(ACT_DOOR_SCOPE="TIER_"&amp;$F84)+(ACT_DOOR_SCOPE=$B84)))*SIGN(((ACT_SKU_SCOPE="ALL")+(ACT_SKU_SCOPE=$G84)))*(13&gt;ACT_END)*(ACT_END&gt;0)*IFERROR(ACT_POSTLIFT,0))),0)))</f>
        <v/>
      </c>
    </row>
    <row r="85">
      <c r="A85" t="inlineStr">
        <is>
          <t>R0081</t>
        </is>
      </c>
      <c r="B85">
        <f>Doors!$A$31</f>
        <v/>
      </c>
      <c r="C85">
        <f>Doors!$C$31</f>
        <v/>
      </c>
      <c r="D85">
        <f>Doors!$B$31</f>
        <v/>
      </c>
      <c r="E85">
        <f>Doors!$E$31</f>
        <v/>
      </c>
      <c r="F85">
        <f>Doors!$F$31</f>
        <v/>
      </c>
      <c r="G85" t="inlineStr">
        <is>
          <t>Raspberry</t>
        </is>
      </c>
      <c r="H85">
        <f>Doors!$I$31</f>
        <v/>
      </c>
      <c r="I85">
        <f>Doors!$J$31</f>
        <v/>
      </c>
      <c r="J85" s="10">
        <f>IF(OR($H85&lt;&gt;"Y",1&lt;$I85),0,IF(SUMPRODUCT(((BULK_ENABLED="Y")*((BULK_TIER="ALL")+(BULK_TIER=$F85))*((BULK_SKU="ALL")+(BULK_SKU=$G85))*(BULK_START&lt;=1)*(BULK_END&gt;=1)))&gt;0,IFERROR(SUMPRODUCT(((BULK_ENABLED="Y")*((BULK_TIER="ALL")+(BULK_TIER=$F85))*((BULK_SKU="ALL")+(BULK_SKU=$G85))*(BULK_START&lt;=1)*(BULK_END&gt;=1))*IFERROR(BULK_VALUE,0))/MAX(1,SUMPRODUCT(((BULK_ENABLED="Y")*((BULK_TIER="ALL")+(BULK_TIER=$F85))*((BULK_SKU="ALL")+(BULK_SKU=$G85))*(BULK_START&lt;=1)*(BULK_END&gt;=1)))),0),ROUND((INDEX(VELOCITY_TABLE,MATCH($F85,TIER_LIST,0),3))*(IF((1-$I85+1)&lt;=0,0,IF((1-$I85+1)=1,RAMP_W1,IF((1-$I85+1)=2,RAMP_W2,IF((1-$I85+1)=3,RAMP_W3,RAMP_W4PLUS)))))*(INDEX(ACTIVE_MULT_TABLE,3,1))*(1+SUMPRODUCT(SIGN(((ACT_DOOR_SCOPE="ALL")+(ACT_DOOR_SCOPE="TIER_"&amp;$F85)+(ACT_DOOR_SCOPE=$B85)))*SIGN(((ACT_SKU_SCOPE="ALL")+(ACT_SKU_SCOPE=$G85)))*(ACT_START&lt;=1)*(ACT_END&gt;=1)*IFERROR(ACT_UPLIFT-1,0)))*(1+SUMPRODUCT(SIGN(((ACT_DOOR_SCOPE="ALL")+(ACT_DOOR_SCOPE="TIER_"&amp;$F85)+(ACT_DOOR_SCOPE=$B85)))*SIGN(((ACT_SKU_SCOPE="ALL")+(ACT_SKU_SCOPE=$G85)))*(1&gt;ACT_END)*(ACT_END&gt;0)*IFERROR(ACT_POSTLIFT,0))),0)))</f>
        <v/>
      </c>
      <c r="K85" s="10">
        <f>IF(OR($H85&lt;&gt;"Y",2&lt;$I85),0,IF(SUMPRODUCT(((BULK_ENABLED="Y")*((BULK_TIER="ALL")+(BULK_TIER=$F85))*((BULK_SKU="ALL")+(BULK_SKU=$G85))*(BULK_START&lt;=2)*(BULK_END&gt;=2)))&gt;0,IFERROR(SUMPRODUCT(((BULK_ENABLED="Y")*((BULK_TIER="ALL")+(BULK_TIER=$F85))*((BULK_SKU="ALL")+(BULK_SKU=$G85))*(BULK_START&lt;=2)*(BULK_END&gt;=2))*IFERROR(BULK_VALUE,0))/MAX(1,SUMPRODUCT(((BULK_ENABLED="Y")*((BULK_TIER="ALL")+(BULK_TIER=$F85))*((BULK_SKU="ALL")+(BULK_SKU=$G85))*(BULK_START&lt;=2)*(BULK_END&gt;=2)))),0),ROUND((INDEX(VELOCITY_TABLE,MATCH($F85,TIER_LIST,0),3))*(IF((2-$I85+1)&lt;=0,0,IF((2-$I85+1)=1,RAMP_W1,IF((2-$I85+1)=2,RAMP_W2,IF((2-$I85+1)=3,RAMP_W3,RAMP_W4PLUS)))))*(INDEX(ACTIVE_MULT_TABLE,3,1))*(1+SUMPRODUCT(SIGN(((ACT_DOOR_SCOPE="ALL")+(ACT_DOOR_SCOPE="TIER_"&amp;$F85)+(ACT_DOOR_SCOPE=$B85)))*SIGN(((ACT_SKU_SCOPE="ALL")+(ACT_SKU_SCOPE=$G85)))*(ACT_START&lt;=2)*(ACT_END&gt;=2)*IFERROR(ACT_UPLIFT-1,0)))*(1+SUMPRODUCT(SIGN(((ACT_DOOR_SCOPE="ALL")+(ACT_DOOR_SCOPE="TIER_"&amp;$F85)+(ACT_DOOR_SCOPE=$B85)))*SIGN(((ACT_SKU_SCOPE="ALL")+(ACT_SKU_SCOPE=$G85)))*(2&gt;ACT_END)*(ACT_END&gt;0)*IFERROR(ACT_POSTLIFT,0))),0)))</f>
        <v/>
      </c>
      <c r="L85" s="10">
        <f>IF(OR($H85&lt;&gt;"Y",3&lt;$I85),0,IF(SUMPRODUCT(((BULK_ENABLED="Y")*((BULK_TIER="ALL")+(BULK_TIER=$F85))*((BULK_SKU="ALL")+(BULK_SKU=$G85))*(BULK_START&lt;=3)*(BULK_END&gt;=3)))&gt;0,IFERROR(SUMPRODUCT(((BULK_ENABLED="Y")*((BULK_TIER="ALL")+(BULK_TIER=$F85))*((BULK_SKU="ALL")+(BULK_SKU=$G85))*(BULK_START&lt;=3)*(BULK_END&gt;=3))*IFERROR(BULK_VALUE,0))/MAX(1,SUMPRODUCT(((BULK_ENABLED="Y")*((BULK_TIER="ALL")+(BULK_TIER=$F85))*((BULK_SKU="ALL")+(BULK_SKU=$G85))*(BULK_START&lt;=3)*(BULK_END&gt;=3)))),0),ROUND((INDEX(VELOCITY_TABLE,MATCH($F85,TIER_LIST,0),3))*(IF((3-$I85+1)&lt;=0,0,IF((3-$I85+1)=1,RAMP_W1,IF((3-$I85+1)=2,RAMP_W2,IF((3-$I85+1)=3,RAMP_W3,RAMP_W4PLUS)))))*(INDEX(ACTIVE_MULT_TABLE,3,1))*(1+SUMPRODUCT(SIGN(((ACT_DOOR_SCOPE="ALL")+(ACT_DOOR_SCOPE="TIER_"&amp;$F85)+(ACT_DOOR_SCOPE=$B85)))*SIGN(((ACT_SKU_SCOPE="ALL")+(ACT_SKU_SCOPE=$G85)))*(ACT_START&lt;=3)*(ACT_END&gt;=3)*IFERROR(ACT_UPLIFT-1,0)))*(1+SUMPRODUCT(SIGN(((ACT_DOOR_SCOPE="ALL")+(ACT_DOOR_SCOPE="TIER_"&amp;$F85)+(ACT_DOOR_SCOPE=$B85)))*SIGN(((ACT_SKU_SCOPE="ALL")+(ACT_SKU_SCOPE=$G85)))*(3&gt;ACT_END)*(ACT_END&gt;0)*IFERROR(ACT_POSTLIFT,0))),0)))</f>
        <v/>
      </c>
      <c r="M85" s="10">
        <f>IF(OR($H85&lt;&gt;"Y",4&lt;$I85),0,IF(SUMPRODUCT(((BULK_ENABLED="Y")*((BULK_TIER="ALL")+(BULK_TIER=$F85))*((BULK_SKU="ALL")+(BULK_SKU=$G85))*(BULK_START&lt;=4)*(BULK_END&gt;=4)))&gt;0,IFERROR(SUMPRODUCT(((BULK_ENABLED="Y")*((BULK_TIER="ALL")+(BULK_TIER=$F85))*((BULK_SKU="ALL")+(BULK_SKU=$G85))*(BULK_START&lt;=4)*(BULK_END&gt;=4))*IFERROR(BULK_VALUE,0))/MAX(1,SUMPRODUCT(((BULK_ENABLED="Y")*((BULK_TIER="ALL")+(BULK_TIER=$F85))*((BULK_SKU="ALL")+(BULK_SKU=$G85))*(BULK_START&lt;=4)*(BULK_END&gt;=4)))),0),ROUND((INDEX(VELOCITY_TABLE,MATCH($F85,TIER_LIST,0),3))*(IF((4-$I85+1)&lt;=0,0,IF((4-$I85+1)=1,RAMP_W1,IF((4-$I85+1)=2,RAMP_W2,IF((4-$I85+1)=3,RAMP_W3,RAMP_W4PLUS)))))*(INDEX(ACTIVE_MULT_TABLE,3,1))*(1+SUMPRODUCT(SIGN(((ACT_DOOR_SCOPE="ALL")+(ACT_DOOR_SCOPE="TIER_"&amp;$F85)+(ACT_DOOR_SCOPE=$B85)))*SIGN(((ACT_SKU_SCOPE="ALL")+(ACT_SKU_SCOPE=$G85)))*(ACT_START&lt;=4)*(ACT_END&gt;=4)*IFERROR(ACT_UPLIFT-1,0)))*(1+SUMPRODUCT(SIGN(((ACT_DOOR_SCOPE="ALL")+(ACT_DOOR_SCOPE="TIER_"&amp;$F85)+(ACT_DOOR_SCOPE=$B85)))*SIGN(((ACT_SKU_SCOPE="ALL")+(ACT_SKU_SCOPE=$G85)))*(4&gt;ACT_END)*(ACT_END&gt;0)*IFERROR(ACT_POSTLIFT,0))),0)))</f>
        <v/>
      </c>
      <c r="N85" s="10">
        <f>IF(OR($H85&lt;&gt;"Y",5&lt;$I85),0,IF(SUMPRODUCT(((BULK_ENABLED="Y")*((BULK_TIER="ALL")+(BULK_TIER=$F85))*((BULK_SKU="ALL")+(BULK_SKU=$G85))*(BULK_START&lt;=5)*(BULK_END&gt;=5)))&gt;0,IFERROR(SUMPRODUCT(((BULK_ENABLED="Y")*((BULK_TIER="ALL")+(BULK_TIER=$F85))*((BULK_SKU="ALL")+(BULK_SKU=$G85))*(BULK_START&lt;=5)*(BULK_END&gt;=5))*IFERROR(BULK_VALUE,0))/MAX(1,SUMPRODUCT(((BULK_ENABLED="Y")*((BULK_TIER="ALL")+(BULK_TIER=$F85))*((BULK_SKU="ALL")+(BULK_SKU=$G85))*(BULK_START&lt;=5)*(BULK_END&gt;=5)))),0),ROUND((INDEX(VELOCITY_TABLE,MATCH($F85,TIER_LIST,0),3))*(IF((5-$I85+1)&lt;=0,0,IF((5-$I85+1)=1,RAMP_W1,IF((5-$I85+1)=2,RAMP_W2,IF((5-$I85+1)=3,RAMP_W3,RAMP_W4PLUS)))))*(INDEX(ACTIVE_MULT_TABLE,3,1))*(1+SUMPRODUCT(SIGN(((ACT_DOOR_SCOPE="ALL")+(ACT_DOOR_SCOPE="TIER_"&amp;$F85)+(ACT_DOOR_SCOPE=$B85)))*SIGN(((ACT_SKU_SCOPE="ALL")+(ACT_SKU_SCOPE=$G85)))*(ACT_START&lt;=5)*(ACT_END&gt;=5)*IFERROR(ACT_UPLIFT-1,0)))*(1+SUMPRODUCT(SIGN(((ACT_DOOR_SCOPE="ALL")+(ACT_DOOR_SCOPE="TIER_"&amp;$F85)+(ACT_DOOR_SCOPE=$B85)))*SIGN(((ACT_SKU_SCOPE="ALL")+(ACT_SKU_SCOPE=$G85)))*(5&gt;ACT_END)*(ACT_END&gt;0)*IFERROR(ACT_POSTLIFT,0))),0)))</f>
        <v/>
      </c>
      <c r="O85" s="10">
        <f>IF(OR($H85&lt;&gt;"Y",6&lt;$I85),0,IF(SUMPRODUCT(((BULK_ENABLED="Y")*((BULK_TIER="ALL")+(BULK_TIER=$F85))*((BULK_SKU="ALL")+(BULK_SKU=$G85))*(BULK_START&lt;=6)*(BULK_END&gt;=6)))&gt;0,IFERROR(SUMPRODUCT(((BULK_ENABLED="Y")*((BULK_TIER="ALL")+(BULK_TIER=$F85))*((BULK_SKU="ALL")+(BULK_SKU=$G85))*(BULK_START&lt;=6)*(BULK_END&gt;=6))*IFERROR(BULK_VALUE,0))/MAX(1,SUMPRODUCT(((BULK_ENABLED="Y")*((BULK_TIER="ALL")+(BULK_TIER=$F85))*((BULK_SKU="ALL")+(BULK_SKU=$G85))*(BULK_START&lt;=6)*(BULK_END&gt;=6)))),0),ROUND((INDEX(VELOCITY_TABLE,MATCH($F85,TIER_LIST,0),3))*(IF((6-$I85+1)&lt;=0,0,IF((6-$I85+1)=1,RAMP_W1,IF((6-$I85+1)=2,RAMP_W2,IF((6-$I85+1)=3,RAMP_W3,RAMP_W4PLUS)))))*(INDEX(ACTIVE_MULT_TABLE,3,1))*(1+SUMPRODUCT(SIGN(((ACT_DOOR_SCOPE="ALL")+(ACT_DOOR_SCOPE="TIER_"&amp;$F85)+(ACT_DOOR_SCOPE=$B85)))*SIGN(((ACT_SKU_SCOPE="ALL")+(ACT_SKU_SCOPE=$G85)))*(ACT_START&lt;=6)*(ACT_END&gt;=6)*IFERROR(ACT_UPLIFT-1,0)))*(1+SUMPRODUCT(SIGN(((ACT_DOOR_SCOPE="ALL")+(ACT_DOOR_SCOPE="TIER_"&amp;$F85)+(ACT_DOOR_SCOPE=$B85)))*SIGN(((ACT_SKU_SCOPE="ALL")+(ACT_SKU_SCOPE=$G85)))*(6&gt;ACT_END)*(ACT_END&gt;0)*IFERROR(ACT_POSTLIFT,0))),0)))</f>
        <v/>
      </c>
      <c r="P85" s="10">
        <f>IF(OR($H85&lt;&gt;"Y",7&lt;$I85),0,IF(SUMPRODUCT(((BULK_ENABLED="Y")*((BULK_TIER="ALL")+(BULK_TIER=$F85))*((BULK_SKU="ALL")+(BULK_SKU=$G85))*(BULK_START&lt;=7)*(BULK_END&gt;=7)))&gt;0,IFERROR(SUMPRODUCT(((BULK_ENABLED="Y")*((BULK_TIER="ALL")+(BULK_TIER=$F85))*((BULK_SKU="ALL")+(BULK_SKU=$G85))*(BULK_START&lt;=7)*(BULK_END&gt;=7))*IFERROR(BULK_VALUE,0))/MAX(1,SUMPRODUCT(((BULK_ENABLED="Y")*((BULK_TIER="ALL")+(BULK_TIER=$F85))*((BULK_SKU="ALL")+(BULK_SKU=$G85))*(BULK_START&lt;=7)*(BULK_END&gt;=7)))),0),ROUND((INDEX(VELOCITY_TABLE,MATCH($F85,TIER_LIST,0),3))*(IF((7-$I85+1)&lt;=0,0,IF((7-$I85+1)=1,RAMP_W1,IF((7-$I85+1)=2,RAMP_W2,IF((7-$I85+1)=3,RAMP_W3,RAMP_W4PLUS)))))*(INDEX(ACTIVE_MULT_TABLE,3,1))*(1+SUMPRODUCT(SIGN(((ACT_DOOR_SCOPE="ALL")+(ACT_DOOR_SCOPE="TIER_"&amp;$F85)+(ACT_DOOR_SCOPE=$B85)))*SIGN(((ACT_SKU_SCOPE="ALL")+(ACT_SKU_SCOPE=$G85)))*(ACT_START&lt;=7)*(ACT_END&gt;=7)*IFERROR(ACT_UPLIFT-1,0)))*(1+SUMPRODUCT(SIGN(((ACT_DOOR_SCOPE="ALL")+(ACT_DOOR_SCOPE="TIER_"&amp;$F85)+(ACT_DOOR_SCOPE=$B85)))*SIGN(((ACT_SKU_SCOPE="ALL")+(ACT_SKU_SCOPE=$G85)))*(7&gt;ACT_END)*(ACT_END&gt;0)*IFERROR(ACT_POSTLIFT,0))),0)))</f>
        <v/>
      </c>
      <c r="Q85" s="10">
        <f>IF(OR($H85&lt;&gt;"Y",8&lt;$I85),0,IF(SUMPRODUCT(((BULK_ENABLED="Y")*((BULK_TIER="ALL")+(BULK_TIER=$F85))*((BULK_SKU="ALL")+(BULK_SKU=$G85))*(BULK_START&lt;=8)*(BULK_END&gt;=8)))&gt;0,IFERROR(SUMPRODUCT(((BULK_ENABLED="Y")*((BULK_TIER="ALL")+(BULK_TIER=$F85))*((BULK_SKU="ALL")+(BULK_SKU=$G85))*(BULK_START&lt;=8)*(BULK_END&gt;=8))*IFERROR(BULK_VALUE,0))/MAX(1,SUMPRODUCT(((BULK_ENABLED="Y")*((BULK_TIER="ALL")+(BULK_TIER=$F85))*((BULK_SKU="ALL")+(BULK_SKU=$G85))*(BULK_START&lt;=8)*(BULK_END&gt;=8)))),0),ROUND((INDEX(VELOCITY_TABLE,MATCH($F85,TIER_LIST,0),3))*(IF((8-$I85+1)&lt;=0,0,IF((8-$I85+1)=1,RAMP_W1,IF((8-$I85+1)=2,RAMP_W2,IF((8-$I85+1)=3,RAMP_W3,RAMP_W4PLUS)))))*(INDEX(ACTIVE_MULT_TABLE,3,1))*(1+SUMPRODUCT(SIGN(((ACT_DOOR_SCOPE="ALL")+(ACT_DOOR_SCOPE="TIER_"&amp;$F85)+(ACT_DOOR_SCOPE=$B85)))*SIGN(((ACT_SKU_SCOPE="ALL")+(ACT_SKU_SCOPE=$G85)))*(ACT_START&lt;=8)*(ACT_END&gt;=8)*IFERROR(ACT_UPLIFT-1,0)))*(1+SUMPRODUCT(SIGN(((ACT_DOOR_SCOPE="ALL")+(ACT_DOOR_SCOPE="TIER_"&amp;$F85)+(ACT_DOOR_SCOPE=$B85)))*SIGN(((ACT_SKU_SCOPE="ALL")+(ACT_SKU_SCOPE=$G85)))*(8&gt;ACT_END)*(ACT_END&gt;0)*IFERROR(ACT_POSTLIFT,0))),0)))</f>
        <v/>
      </c>
      <c r="R85" s="10">
        <f>IF(OR($H85&lt;&gt;"Y",9&lt;$I85),0,IF(SUMPRODUCT(((BULK_ENABLED="Y")*((BULK_TIER="ALL")+(BULK_TIER=$F85))*((BULK_SKU="ALL")+(BULK_SKU=$G85))*(BULK_START&lt;=9)*(BULK_END&gt;=9)))&gt;0,IFERROR(SUMPRODUCT(((BULK_ENABLED="Y")*((BULK_TIER="ALL")+(BULK_TIER=$F85))*((BULK_SKU="ALL")+(BULK_SKU=$G85))*(BULK_START&lt;=9)*(BULK_END&gt;=9))*IFERROR(BULK_VALUE,0))/MAX(1,SUMPRODUCT(((BULK_ENABLED="Y")*((BULK_TIER="ALL")+(BULK_TIER=$F85))*((BULK_SKU="ALL")+(BULK_SKU=$G85))*(BULK_START&lt;=9)*(BULK_END&gt;=9)))),0),ROUND((INDEX(VELOCITY_TABLE,MATCH($F85,TIER_LIST,0),3))*(IF((9-$I85+1)&lt;=0,0,IF((9-$I85+1)=1,RAMP_W1,IF((9-$I85+1)=2,RAMP_W2,IF((9-$I85+1)=3,RAMP_W3,RAMP_W4PLUS)))))*(INDEX(ACTIVE_MULT_TABLE,3,1))*(1+SUMPRODUCT(SIGN(((ACT_DOOR_SCOPE="ALL")+(ACT_DOOR_SCOPE="TIER_"&amp;$F85)+(ACT_DOOR_SCOPE=$B85)))*SIGN(((ACT_SKU_SCOPE="ALL")+(ACT_SKU_SCOPE=$G85)))*(ACT_START&lt;=9)*(ACT_END&gt;=9)*IFERROR(ACT_UPLIFT-1,0)))*(1+SUMPRODUCT(SIGN(((ACT_DOOR_SCOPE="ALL")+(ACT_DOOR_SCOPE="TIER_"&amp;$F85)+(ACT_DOOR_SCOPE=$B85)))*SIGN(((ACT_SKU_SCOPE="ALL")+(ACT_SKU_SCOPE=$G85)))*(9&gt;ACT_END)*(ACT_END&gt;0)*IFERROR(ACT_POSTLIFT,0))),0)))</f>
        <v/>
      </c>
      <c r="S85" s="10">
        <f>IF(OR($H85&lt;&gt;"Y",10&lt;$I85),0,IF(SUMPRODUCT(((BULK_ENABLED="Y")*((BULK_TIER="ALL")+(BULK_TIER=$F85))*((BULK_SKU="ALL")+(BULK_SKU=$G85))*(BULK_START&lt;=10)*(BULK_END&gt;=10)))&gt;0,IFERROR(SUMPRODUCT(((BULK_ENABLED="Y")*((BULK_TIER="ALL")+(BULK_TIER=$F85))*((BULK_SKU="ALL")+(BULK_SKU=$G85))*(BULK_START&lt;=10)*(BULK_END&gt;=10))*IFERROR(BULK_VALUE,0))/MAX(1,SUMPRODUCT(((BULK_ENABLED="Y")*((BULK_TIER="ALL")+(BULK_TIER=$F85))*((BULK_SKU="ALL")+(BULK_SKU=$G85))*(BULK_START&lt;=10)*(BULK_END&gt;=10)))),0),ROUND((INDEX(VELOCITY_TABLE,MATCH($F85,TIER_LIST,0),3))*(IF((10-$I85+1)&lt;=0,0,IF((10-$I85+1)=1,RAMP_W1,IF((10-$I85+1)=2,RAMP_W2,IF((10-$I85+1)=3,RAMP_W3,RAMP_W4PLUS)))))*(INDEX(ACTIVE_MULT_TABLE,3,1))*(1+SUMPRODUCT(SIGN(((ACT_DOOR_SCOPE="ALL")+(ACT_DOOR_SCOPE="TIER_"&amp;$F85)+(ACT_DOOR_SCOPE=$B85)))*SIGN(((ACT_SKU_SCOPE="ALL")+(ACT_SKU_SCOPE=$G85)))*(ACT_START&lt;=10)*(ACT_END&gt;=10)*IFERROR(ACT_UPLIFT-1,0)))*(1+SUMPRODUCT(SIGN(((ACT_DOOR_SCOPE="ALL")+(ACT_DOOR_SCOPE="TIER_"&amp;$F85)+(ACT_DOOR_SCOPE=$B85)))*SIGN(((ACT_SKU_SCOPE="ALL")+(ACT_SKU_SCOPE=$G85)))*(10&gt;ACT_END)*(ACT_END&gt;0)*IFERROR(ACT_POSTLIFT,0))),0)))</f>
        <v/>
      </c>
      <c r="T85" s="10">
        <f>IF(OR($H85&lt;&gt;"Y",11&lt;$I85),0,IF(SUMPRODUCT(((BULK_ENABLED="Y")*((BULK_TIER="ALL")+(BULK_TIER=$F85))*((BULK_SKU="ALL")+(BULK_SKU=$G85))*(BULK_START&lt;=11)*(BULK_END&gt;=11)))&gt;0,IFERROR(SUMPRODUCT(((BULK_ENABLED="Y")*((BULK_TIER="ALL")+(BULK_TIER=$F85))*((BULK_SKU="ALL")+(BULK_SKU=$G85))*(BULK_START&lt;=11)*(BULK_END&gt;=11))*IFERROR(BULK_VALUE,0))/MAX(1,SUMPRODUCT(((BULK_ENABLED="Y")*((BULK_TIER="ALL")+(BULK_TIER=$F85))*((BULK_SKU="ALL")+(BULK_SKU=$G85))*(BULK_START&lt;=11)*(BULK_END&gt;=11)))),0),ROUND((INDEX(VELOCITY_TABLE,MATCH($F85,TIER_LIST,0),3))*(IF((11-$I85+1)&lt;=0,0,IF((11-$I85+1)=1,RAMP_W1,IF((11-$I85+1)=2,RAMP_W2,IF((11-$I85+1)=3,RAMP_W3,RAMP_W4PLUS)))))*(INDEX(ACTIVE_MULT_TABLE,3,1))*(1+SUMPRODUCT(SIGN(((ACT_DOOR_SCOPE="ALL")+(ACT_DOOR_SCOPE="TIER_"&amp;$F85)+(ACT_DOOR_SCOPE=$B85)))*SIGN(((ACT_SKU_SCOPE="ALL")+(ACT_SKU_SCOPE=$G85)))*(ACT_START&lt;=11)*(ACT_END&gt;=11)*IFERROR(ACT_UPLIFT-1,0)))*(1+SUMPRODUCT(SIGN(((ACT_DOOR_SCOPE="ALL")+(ACT_DOOR_SCOPE="TIER_"&amp;$F85)+(ACT_DOOR_SCOPE=$B85)))*SIGN(((ACT_SKU_SCOPE="ALL")+(ACT_SKU_SCOPE=$G85)))*(11&gt;ACT_END)*(ACT_END&gt;0)*IFERROR(ACT_POSTLIFT,0))),0)))</f>
        <v/>
      </c>
      <c r="U85" s="10">
        <f>IF(OR($H85&lt;&gt;"Y",12&lt;$I85),0,IF(SUMPRODUCT(((BULK_ENABLED="Y")*((BULK_TIER="ALL")+(BULK_TIER=$F85))*((BULK_SKU="ALL")+(BULK_SKU=$G85))*(BULK_START&lt;=12)*(BULK_END&gt;=12)))&gt;0,IFERROR(SUMPRODUCT(((BULK_ENABLED="Y")*((BULK_TIER="ALL")+(BULK_TIER=$F85))*((BULK_SKU="ALL")+(BULK_SKU=$G85))*(BULK_START&lt;=12)*(BULK_END&gt;=12))*IFERROR(BULK_VALUE,0))/MAX(1,SUMPRODUCT(((BULK_ENABLED="Y")*((BULK_TIER="ALL")+(BULK_TIER=$F85))*((BULK_SKU="ALL")+(BULK_SKU=$G85))*(BULK_START&lt;=12)*(BULK_END&gt;=12)))),0),ROUND((INDEX(VELOCITY_TABLE,MATCH($F85,TIER_LIST,0),3))*(IF((12-$I85+1)&lt;=0,0,IF((12-$I85+1)=1,RAMP_W1,IF((12-$I85+1)=2,RAMP_W2,IF((12-$I85+1)=3,RAMP_W3,RAMP_W4PLUS)))))*(INDEX(ACTIVE_MULT_TABLE,3,1))*(1+SUMPRODUCT(SIGN(((ACT_DOOR_SCOPE="ALL")+(ACT_DOOR_SCOPE="TIER_"&amp;$F85)+(ACT_DOOR_SCOPE=$B85)))*SIGN(((ACT_SKU_SCOPE="ALL")+(ACT_SKU_SCOPE=$G85)))*(ACT_START&lt;=12)*(ACT_END&gt;=12)*IFERROR(ACT_UPLIFT-1,0)))*(1+SUMPRODUCT(SIGN(((ACT_DOOR_SCOPE="ALL")+(ACT_DOOR_SCOPE="TIER_"&amp;$F85)+(ACT_DOOR_SCOPE=$B85)))*SIGN(((ACT_SKU_SCOPE="ALL")+(ACT_SKU_SCOPE=$G85)))*(12&gt;ACT_END)*(ACT_END&gt;0)*IFERROR(ACT_POSTLIFT,0))),0)))</f>
        <v/>
      </c>
      <c r="V85" s="10">
        <f>IF(OR($H85&lt;&gt;"Y",13&lt;$I85),0,IF(SUMPRODUCT(((BULK_ENABLED="Y")*((BULK_TIER="ALL")+(BULK_TIER=$F85))*((BULK_SKU="ALL")+(BULK_SKU=$G85))*(BULK_START&lt;=13)*(BULK_END&gt;=13)))&gt;0,IFERROR(SUMPRODUCT(((BULK_ENABLED="Y")*((BULK_TIER="ALL")+(BULK_TIER=$F85))*((BULK_SKU="ALL")+(BULK_SKU=$G85))*(BULK_START&lt;=13)*(BULK_END&gt;=13))*IFERROR(BULK_VALUE,0))/MAX(1,SUMPRODUCT(((BULK_ENABLED="Y")*((BULK_TIER="ALL")+(BULK_TIER=$F85))*((BULK_SKU="ALL")+(BULK_SKU=$G85))*(BULK_START&lt;=13)*(BULK_END&gt;=13)))),0),ROUND((INDEX(VELOCITY_TABLE,MATCH($F85,TIER_LIST,0),3))*(IF((13-$I85+1)&lt;=0,0,IF((13-$I85+1)=1,RAMP_W1,IF((13-$I85+1)=2,RAMP_W2,IF((13-$I85+1)=3,RAMP_W3,RAMP_W4PLUS)))))*(INDEX(ACTIVE_MULT_TABLE,3,1))*(1+SUMPRODUCT(SIGN(((ACT_DOOR_SCOPE="ALL")+(ACT_DOOR_SCOPE="TIER_"&amp;$F85)+(ACT_DOOR_SCOPE=$B85)))*SIGN(((ACT_SKU_SCOPE="ALL")+(ACT_SKU_SCOPE=$G85)))*(ACT_START&lt;=13)*(ACT_END&gt;=13)*IFERROR(ACT_UPLIFT-1,0)))*(1+SUMPRODUCT(SIGN(((ACT_DOOR_SCOPE="ALL")+(ACT_DOOR_SCOPE="TIER_"&amp;$F85)+(ACT_DOOR_SCOPE=$B85)))*SIGN(((ACT_SKU_SCOPE="ALL")+(ACT_SKU_SCOPE=$G85)))*(13&gt;ACT_END)*(ACT_END&gt;0)*IFERROR(ACT_POSTLIFT,0))),0)))</f>
        <v/>
      </c>
    </row>
    <row r="86">
      <c r="A86" t="inlineStr">
        <is>
          <t>R0082</t>
        </is>
      </c>
      <c r="B86">
        <f>Doors!$A$32</f>
        <v/>
      </c>
      <c r="C86">
        <f>Doors!$C$32</f>
        <v/>
      </c>
      <c r="D86">
        <f>Doors!$B$32</f>
        <v/>
      </c>
      <c r="E86">
        <f>Doors!$E$32</f>
        <v/>
      </c>
      <c r="F86">
        <f>Doors!$F$32</f>
        <v/>
      </c>
      <c r="G86" t="inlineStr">
        <is>
          <t>Lime Lemon</t>
        </is>
      </c>
      <c r="H86">
        <f>Doors!$G$32</f>
        <v/>
      </c>
      <c r="I86">
        <f>Doors!$J$32</f>
        <v/>
      </c>
      <c r="J86" s="10">
        <f>IF(OR($H86&lt;&gt;"Y",1&lt;$I86),0,IF(SUMPRODUCT(((BULK_ENABLED="Y")*((BULK_TIER="ALL")+(BULK_TIER=$F86))*((BULK_SKU="ALL")+(BULK_SKU=$G86))*(BULK_START&lt;=1)*(BULK_END&gt;=1)))&gt;0,IFERROR(SUMPRODUCT(((BULK_ENABLED="Y")*((BULK_TIER="ALL")+(BULK_TIER=$F86))*((BULK_SKU="ALL")+(BULK_SKU=$G86))*(BULK_START&lt;=1)*(BULK_END&gt;=1))*IFERROR(BULK_VALUE,0))/MAX(1,SUMPRODUCT(((BULK_ENABLED="Y")*((BULK_TIER="ALL")+(BULK_TIER=$F86))*((BULK_SKU="ALL")+(BULK_SKU=$G86))*(BULK_START&lt;=1)*(BULK_END&gt;=1)))),0),ROUND((INDEX(VELOCITY_TABLE,MATCH($F86,TIER_LIST,0),1))*(IF((1-$I86+1)&lt;=0,0,IF((1-$I86+1)=1,RAMP_W1,IF((1-$I86+1)=2,RAMP_W2,IF((1-$I86+1)=3,RAMP_W3,RAMP_W4PLUS)))))*(INDEX(ACTIVE_MULT_TABLE,1,1))*(1+SUMPRODUCT(SIGN(((ACT_DOOR_SCOPE="ALL")+(ACT_DOOR_SCOPE="TIER_"&amp;$F86)+(ACT_DOOR_SCOPE=$B86)))*SIGN(((ACT_SKU_SCOPE="ALL")+(ACT_SKU_SCOPE=$G86)))*(ACT_START&lt;=1)*(ACT_END&gt;=1)*IFERROR(ACT_UPLIFT-1,0)))*(1+SUMPRODUCT(SIGN(((ACT_DOOR_SCOPE="ALL")+(ACT_DOOR_SCOPE="TIER_"&amp;$F86)+(ACT_DOOR_SCOPE=$B86)))*SIGN(((ACT_SKU_SCOPE="ALL")+(ACT_SKU_SCOPE=$G86)))*(1&gt;ACT_END)*(ACT_END&gt;0)*IFERROR(ACT_POSTLIFT,0))),0)))</f>
        <v/>
      </c>
      <c r="K86" s="10">
        <f>IF(OR($H86&lt;&gt;"Y",2&lt;$I86),0,IF(SUMPRODUCT(((BULK_ENABLED="Y")*((BULK_TIER="ALL")+(BULK_TIER=$F86))*((BULK_SKU="ALL")+(BULK_SKU=$G86))*(BULK_START&lt;=2)*(BULK_END&gt;=2)))&gt;0,IFERROR(SUMPRODUCT(((BULK_ENABLED="Y")*((BULK_TIER="ALL")+(BULK_TIER=$F86))*((BULK_SKU="ALL")+(BULK_SKU=$G86))*(BULK_START&lt;=2)*(BULK_END&gt;=2))*IFERROR(BULK_VALUE,0))/MAX(1,SUMPRODUCT(((BULK_ENABLED="Y")*((BULK_TIER="ALL")+(BULK_TIER=$F86))*((BULK_SKU="ALL")+(BULK_SKU=$G86))*(BULK_START&lt;=2)*(BULK_END&gt;=2)))),0),ROUND((INDEX(VELOCITY_TABLE,MATCH($F86,TIER_LIST,0),1))*(IF((2-$I86+1)&lt;=0,0,IF((2-$I86+1)=1,RAMP_W1,IF((2-$I86+1)=2,RAMP_W2,IF((2-$I86+1)=3,RAMP_W3,RAMP_W4PLUS)))))*(INDEX(ACTIVE_MULT_TABLE,1,1))*(1+SUMPRODUCT(SIGN(((ACT_DOOR_SCOPE="ALL")+(ACT_DOOR_SCOPE="TIER_"&amp;$F86)+(ACT_DOOR_SCOPE=$B86)))*SIGN(((ACT_SKU_SCOPE="ALL")+(ACT_SKU_SCOPE=$G86)))*(ACT_START&lt;=2)*(ACT_END&gt;=2)*IFERROR(ACT_UPLIFT-1,0)))*(1+SUMPRODUCT(SIGN(((ACT_DOOR_SCOPE="ALL")+(ACT_DOOR_SCOPE="TIER_"&amp;$F86)+(ACT_DOOR_SCOPE=$B86)))*SIGN(((ACT_SKU_SCOPE="ALL")+(ACT_SKU_SCOPE=$G86)))*(2&gt;ACT_END)*(ACT_END&gt;0)*IFERROR(ACT_POSTLIFT,0))),0)))</f>
        <v/>
      </c>
      <c r="L86" s="10">
        <f>IF(OR($H86&lt;&gt;"Y",3&lt;$I86),0,IF(SUMPRODUCT(((BULK_ENABLED="Y")*((BULK_TIER="ALL")+(BULK_TIER=$F86))*((BULK_SKU="ALL")+(BULK_SKU=$G86))*(BULK_START&lt;=3)*(BULK_END&gt;=3)))&gt;0,IFERROR(SUMPRODUCT(((BULK_ENABLED="Y")*((BULK_TIER="ALL")+(BULK_TIER=$F86))*((BULK_SKU="ALL")+(BULK_SKU=$G86))*(BULK_START&lt;=3)*(BULK_END&gt;=3))*IFERROR(BULK_VALUE,0))/MAX(1,SUMPRODUCT(((BULK_ENABLED="Y")*((BULK_TIER="ALL")+(BULK_TIER=$F86))*((BULK_SKU="ALL")+(BULK_SKU=$G86))*(BULK_START&lt;=3)*(BULK_END&gt;=3)))),0),ROUND((INDEX(VELOCITY_TABLE,MATCH($F86,TIER_LIST,0),1))*(IF((3-$I86+1)&lt;=0,0,IF((3-$I86+1)=1,RAMP_W1,IF((3-$I86+1)=2,RAMP_W2,IF((3-$I86+1)=3,RAMP_W3,RAMP_W4PLUS)))))*(INDEX(ACTIVE_MULT_TABLE,1,1))*(1+SUMPRODUCT(SIGN(((ACT_DOOR_SCOPE="ALL")+(ACT_DOOR_SCOPE="TIER_"&amp;$F86)+(ACT_DOOR_SCOPE=$B86)))*SIGN(((ACT_SKU_SCOPE="ALL")+(ACT_SKU_SCOPE=$G86)))*(ACT_START&lt;=3)*(ACT_END&gt;=3)*IFERROR(ACT_UPLIFT-1,0)))*(1+SUMPRODUCT(SIGN(((ACT_DOOR_SCOPE="ALL")+(ACT_DOOR_SCOPE="TIER_"&amp;$F86)+(ACT_DOOR_SCOPE=$B86)))*SIGN(((ACT_SKU_SCOPE="ALL")+(ACT_SKU_SCOPE=$G86)))*(3&gt;ACT_END)*(ACT_END&gt;0)*IFERROR(ACT_POSTLIFT,0))),0)))</f>
        <v/>
      </c>
      <c r="M86" s="10">
        <f>IF(OR($H86&lt;&gt;"Y",4&lt;$I86),0,IF(SUMPRODUCT(((BULK_ENABLED="Y")*((BULK_TIER="ALL")+(BULK_TIER=$F86))*((BULK_SKU="ALL")+(BULK_SKU=$G86))*(BULK_START&lt;=4)*(BULK_END&gt;=4)))&gt;0,IFERROR(SUMPRODUCT(((BULK_ENABLED="Y")*((BULK_TIER="ALL")+(BULK_TIER=$F86))*((BULK_SKU="ALL")+(BULK_SKU=$G86))*(BULK_START&lt;=4)*(BULK_END&gt;=4))*IFERROR(BULK_VALUE,0))/MAX(1,SUMPRODUCT(((BULK_ENABLED="Y")*((BULK_TIER="ALL")+(BULK_TIER=$F86))*((BULK_SKU="ALL")+(BULK_SKU=$G86))*(BULK_START&lt;=4)*(BULK_END&gt;=4)))),0),ROUND((INDEX(VELOCITY_TABLE,MATCH($F86,TIER_LIST,0),1))*(IF((4-$I86+1)&lt;=0,0,IF((4-$I86+1)=1,RAMP_W1,IF((4-$I86+1)=2,RAMP_W2,IF((4-$I86+1)=3,RAMP_W3,RAMP_W4PLUS)))))*(INDEX(ACTIVE_MULT_TABLE,1,1))*(1+SUMPRODUCT(SIGN(((ACT_DOOR_SCOPE="ALL")+(ACT_DOOR_SCOPE="TIER_"&amp;$F86)+(ACT_DOOR_SCOPE=$B86)))*SIGN(((ACT_SKU_SCOPE="ALL")+(ACT_SKU_SCOPE=$G86)))*(ACT_START&lt;=4)*(ACT_END&gt;=4)*IFERROR(ACT_UPLIFT-1,0)))*(1+SUMPRODUCT(SIGN(((ACT_DOOR_SCOPE="ALL")+(ACT_DOOR_SCOPE="TIER_"&amp;$F86)+(ACT_DOOR_SCOPE=$B86)))*SIGN(((ACT_SKU_SCOPE="ALL")+(ACT_SKU_SCOPE=$G86)))*(4&gt;ACT_END)*(ACT_END&gt;0)*IFERROR(ACT_POSTLIFT,0))),0)))</f>
        <v/>
      </c>
      <c r="N86" s="10">
        <f>IF(OR($H86&lt;&gt;"Y",5&lt;$I86),0,IF(SUMPRODUCT(((BULK_ENABLED="Y")*((BULK_TIER="ALL")+(BULK_TIER=$F86))*((BULK_SKU="ALL")+(BULK_SKU=$G86))*(BULK_START&lt;=5)*(BULK_END&gt;=5)))&gt;0,IFERROR(SUMPRODUCT(((BULK_ENABLED="Y")*((BULK_TIER="ALL")+(BULK_TIER=$F86))*((BULK_SKU="ALL")+(BULK_SKU=$G86))*(BULK_START&lt;=5)*(BULK_END&gt;=5))*IFERROR(BULK_VALUE,0))/MAX(1,SUMPRODUCT(((BULK_ENABLED="Y")*((BULK_TIER="ALL")+(BULK_TIER=$F86))*((BULK_SKU="ALL")+(BULK_SKU=$G86))*(BULK_START&lt;=5)*(BULK_END&gt;=5)))),0),ROUND((INDEX(VELOCITY_TABLE,MATCH($F86,TIER_LIST,0),1))*(IF((5-$I86+1)&lt;=0,0,IF((5-$I86+1)=1,RAMP_W1,IF((5-$I86+1)=2,RAMP_W2,IF((5-$I86+1)=3,RAMP_W3,RAMP_W4PLUS)))))*(INDEX(ACTIVE_MULT_TABLE,1,1))*(1+SUMPRODUCT(SIGN(((ACT_DOOR_SCOPE="ALL")+(ACT_DOOR_SCOPE="TIER_"&amp;$F86)+(ACT_DOOR_SCOPE=$B86)))*SIGN(((ACT_SKU_SCOPE="ALL")+(ACT_SKU_SCOPE=$G86)))*(ACT_START&lt;=5)*(ACT_END&gt;=5)*IFERROR(ACT_UPLIFT-1,0)))*(1+SUMPRODUCT(SIGN(((ACT_DOOR_SCOPE="ALL")+(ACT_DOOR_SCOPE="TIER_"&amp;$F86)+(ACT_DOOR_SCOPE=$B86)))*SIGN(((ACT_SKU_SCOPE="ALL")+(ACT_SKU_SCOPE=$G86)))*(5&gt;ACT_END)*(ACT_END&gt;0)*IFERROR(ACT_POSTLIFT,0))),0)))</f>
        <v/>
      </c>
      <c r="O86" s="10">
        <f>IF(OR($H86&lt;&gt;"Y",6&lt;$I86),0,IF(SUMPRODUCT(((BULK_ENABLED="Y")*((BULK_TIER="ALL")+(BULK_TIER=$F86))*((BULK_SKU="ALL")+(BULK_SKU=$G86))*(BULK_START&lt;=6)*(BULK_END&gt;=6)))&gt;0,IFERROR(SUMPRODUCT(((BULK_ENABLED="Y")*((BULK_TIER="ALL")+(BULK_TIER=$F86))*((BULK_SKU="ALL")+(BULK_SKU=$G86))*(BULK_START&lt;=6)*(BULK_END&gt;=6))*IFERROR(BULK_VALUE,0))/MAX(1,SUMPRODUCT(((BULK_ENABLED="Y")*((BULK_TIER="ALL")+(BULK_TIER=$F86))*((BULK_SKU="ALL")+(BULK_SKU=$G86))*(BULK_START&lt;=6)*(BULK_END&gt;=6)))),0),ROUND((INDEX(VELOCITY_TABLE,MATCH($F86,TIER_LIST,0),1))*(IF((6-$I86+1)&lt;=0,0,IF((6-$I86+1)=1,RAMP_W1,IF((6-$I86+1)=2,RAMP_W2,IF((6-$I86+1)=3,RAMP_W3,RAMP_W4PLUS)))))*(INDEX(ACTIVE_MULT_TABLE,1,1))*(1+SUMPRODUCT(SIGN(((ACT_DOOR_SCOPE="ALL")+(ACT_DOOR_SCOPE="TIER_"&amp;$F86)+(ACT_DOOR_SCOPE=$B86)))*SIGN(((ACT_SKU_SCOPE="ALL")+(ACT_SKU_SCOPE=$G86)))*(ACT_START&lt;=6)*(ACT_END&gt;=6)*IFERROR(ACT_UPLIFT-1,0)))*(1+SUMPRODUCT(SIGN(((ACT_DOOR_SCOPE="ALL")+(ACT_DOOR_SCOPE="TIER_"&amp;$F86)+(ACT_DOOR_SCOPE=$B86)))*SIGN(((ACT_SKU_SCOPE="ALL")+(ACT_SKU_SCOPE=$G86)))*(6&gt;ACT_END)*(ACT_END&gt;0)*IFERROR(ACT_POSTLIFT,0))),0)))</f>
        <v/>
      </c>
      <c r="P86" s="10">
        <f>IF(OR($H86&lt;&gt;"Y",7&lt;$I86),0,IF(SUMPRODUCT(((BULK_ENABLED="Y")*((BULK_TIER="ALL")+(BULK_TIER=$F86))*((BULK_SKU="ALL")+(BULK_SKU=$G86))*(BULK_START&lt;=7)*(BULK_END&gt;=7)))&gt;0,IFERROR(SUMPRODUCT(((BULK_ENABLED="Y")*((BULK_TIER="ALL")+(BULK_TIER=$F86))*((BULK_SKU="ALL")+(BULK_SKU=$G86))*(BULK_START&lt;=7)*(BULK_END&gt;=7))*IFERROR(BULK_VALUE,0))/MAX(1,SUMPRODUCT(((BULK_ENABLED="Y")*((BULK_TIER="ALL")+(BULK_TIER=$F86))*((BULK_SKU="ALL")+(BULK_SKU=$G86))*(BULK_START&lt;=7)*(BULK_END&gt;=7)))),0),ROUND((INDEX(VELOCITY_TABLE,MATCH($F86,TIER_LIST,0),1))*(IF((7-$I86+1)&lt;=0,0,IF((7-$I86+1)=1,RAMP_W1,IF((7-$I86+1)=2,RAMP_W2,IF((7-$I86+1)=3,RAMP_W3,RAMP_W4PLUS)))))*(INDEX(ACTIVE_MULT_TABLE,1,1))*(1+SUMPRODUCT(SIGN(((ACT_DOOR_SCOPE="ALL")+(ACT_DOOR_SCOPE="TIER_"&amp;$F86)+(ACT_DOOR_SCOPE=$B86)))*SIGN(((ACT_SKU_SCOPE="ALL")+(ACT_SKU_SCOPE=$G86)))*(ACT_START&lt;=7)*(ACT_END&gt;=7)*IFERROR(ACT_UPLIFT-1,0)))*(1+SUMPRODUCT(SIGN(((ACT_DOOR_SCOPE="ALL")+(ACT_DOOR_SCOPE="TIER_"&amp;$F86)+(ACT_DOOR_SCOPE=$B86)))*SIGN(((ACT_SKU_SCOPE="ALL")+(ACT_SKU_SCOPE=$G86)))*(7&gt;ACT_END)*(ACT_END&gt;0)*IFERROR(ACT_POSTLIFT,0))),0)))</f>
        <v/>
      </c>
      <c r="Q86" s="10">
        <f>IF(OR($H86&lt;&gt;"Y",8&lt;$I86),0,IF(SUMPRODUCT(((BULK_ENABLED="Y")*((BULK_TIER="ALL")+(BULK_TIER=$F86))*((BULK_SKU="ALL")+(BULK_SKU=$G86))*(BULK_START&lt;=8)*(BULK_END&gt;=8)))&gt;0,IFERROR(SUMPRODUCT(((BULK_ENABLED="Y")*((BULK_TIER="ALL")+(BULK_TIER=$F86))*((BULK_SKU="ALL")+(BULK_SKU=$G86))*(BULK_START&lt;=8)*(BULK_END&gt;=8))*IFERROR(BULK_VALUE,0))/MAX(1,SUMPRODUCT(((BULK_ENABLED="Y")*((BULK_TIER="ALL")+(BULK_TIER=$F86))*((BULK_SKU="ALL")+(BULK_SKU=$G86))*(BULK_START&lt;=8)*(BULK_END&gt;=8)))),0),ROUND((INDEX(VELOCITY_TABLE,MATCH($F86,TIER_LIST,0),1))*(IF((8-$I86+1)&lt;=0,0,IF((8-$I86+1)=1,RAMP_W1,IF((8-$I86+1)=2,RAMP_W2,IF((8-$I86+1)=3,RAMP_W3,RAMP_W4PLUS)))))*(INDEX(ACTIVE_MULT_TABLE,1,1))*(1+SUMPRODUCT(SIGN(((ACT_DOOR_SCOPE="ALL")+(ACT_DOOR_SCOPE="TIER_"&amp;$F86)+(ACT_DOOR_SCOPE=$B86)))*SIGN(((ACT_SKU_SCOPE="ALL")+(ACT_SKU_SCOPE=$G86)))*(ACT_START&lt;=8)*(ACT_END&gt;=8)*IFERROR(ACT_UPLIFT-1,0)))*(1+SUMPRODUCT(SIGN(((ACT_DOOR_SCOPE="ALL")+(ACT_DOOR_SCOPE="TIER_"&amp;$F86)+(ACT_DOOR_SCOPE=$B86)))*SIGN(((ACT_SKU_SCOPE="ALL")+(ACT_SKU_SCOPE=$G86)))*(8&gt;ACT_END)*(ACT_END&gt;0)*IFERROR(ACT_POSTLIFT,0))),0)))</f>
        <v/>
      </c>
      <c r="R86" s="10">
        <f>IF(OR($H86&lt;&gt;"Y",9&lt;$I86),0,IF(SUMPRODUCT(((BULK_ENABLED="Y")*((BULK_TIER="ALL")+(BULK_TIER=$F86))*((BULK_SKU="ALL")+(BULK_SKU=$G86))*(BULK_START&lt;=9)*(BULK_END&gt;=9)))&gt;0,IFERROR(SUMPRODUCT(((BULK_ENABLED="Y")*((BULK_TIER="ALL")+(BULK_TIER=$F86))*((BULK_SKU="ALL")+(BULK_SKU=$G86))*(BULK_START&lt;=9)*(BULK_END&gt;=9))*IFERROR(BULK_VALUE,0))/MAX(1,SUMPRODUCT(((BULK_ENABLED="Y")*((BULK_TIER="ALL")+(BULK_TIER=$F86))*((BULK_SKU="ALL")+(BULK_SKU=$G86))*(BULK_START&lt;=9)*(BULK_END&gt;=9)))),0),ROUND((INDEX(VELOCITY_TABLE,MATCH($F86,TIER_LIST,0),1))*(IF((9-$I86+1)&lt;=0,0,IF((9-$I86+1)=1,RAMP_W1,IF((9-$I86+1)=2,RAMP_W2,IF((9-$I86+1)=3,RAMP_W3,RAMP_W4PLUS)))))*(INDEX(ACTIVE_MULT_TABLE,1,1))*(1+SUMPRODUCT(SIGN(((ACT_DOOR_SCOPE="ALL")+(ACT_DOOR_SCOPE="TIER_"&amp;$F86)+(ACT_DOOR_SCOPE=$B86)))*SIGN(((ACT_SKU_SCOPE="ALL")+(ACT_SKU_SCOPE=$G86)))*(ACT_START&lt;=9)*(ACT_END&gt;=9)*IFERROR(ACT_UPLIFT-1,0)))*(1+SUMPRODUCT(SIGN(((ACT_DOOR_SCOPE="ALL")+(ACT_DOOR_SCOPE="TIER_"&amp;$F86)+(ACT_DOOR_SCOPE=$B86)))*SIGN(((ACT_SKU_SCOPE="ALL")+(ACT_SKU_SCOPE=$G86)))*(9&gt;ACT_END)*(ACT_END&gt;0)*IFERROR(ACT_POSTLIFT,0))),0)))</f>
        <v/>
      </c>
      <c r="S86" s="10">
        <f>IF(OR($H86&lt;&gt;"Y",10&lt;$I86),0,IF(SUMPRODUCT(((BULK_ENABLED="Y")*((BULK_TIER="ALL")+(BULK_TIER=$F86))*((BULK_SKU="ALL")+(BULK_SKU=$G86))*(BULK_START&lt;=10)*(BULK_END&gt;=10)))&gt;0,IFERROR(SUMPRODUCT(((BULK_ENABLED="Y")*((BULK_TIER="ALL")+(BULK_TIER=$F86))*((BULK_SKU="ALL")+(BULK_SKU=$G86))*(BULK_START&lt;=10)*(BULK_END&gt;=10))*IFERROR(BULK_VALUE,0))/MAX(1,SUMPRODUCT(((BULK_ENABLED="Y")*((BULK_TIER="ALL")+(BULK_TIER=$F86))*((BULK_SKU="ALL")+(BULK_SKU=$G86))*(BULK_START&lt;=10)*(BULK_END&gt;=10)))),0),ROUND((INDEX(VELOCITY_TABLE,MATCH($F86,TIER_LIST,0),1))*(IF((10-$I86+1)&lt;=0,0,IF((10-$I86+1)=1,RAMP_W1,IF((10-$I86+1)=2,RAMP_W2,IF((10-$I86+1)=3,RAMP_W3,RAMP_W4PLUS)))))*(INDEX(ACTIVE_MULT_TABLE,1,1))*(1+SUMPRODUCT(SIGN(((ACT_DOOR_SCOPE="ALL")+(ACT_DOOR_SCOPE="TIER_"&amp;$F86)+(ACT_DOOR_SCOPE=$B86)))*SIGN(((ACT_SKU_SCOPE="ALL")+(ACT_SKU_SCOPE=$G86)))*(ACT_START&lt;=10)*(ACT_END&gt;=10)*IFERROR(ACT_UPLIFT-1,0)))*(1+SUMPRODUCT(SIGN(((ACT_DOOR_SCOPE="ALL")+(ACT_DOOR_SCOPE="TIER_"&amp;$F86)+(ACT_DOOR_SCOPE=$B86)))*SIGN(((ACT_SKU_SCOPE="ALL")+(ACT_SKU_SCOPE=$G86)))*(10&gt;ACT_END)*(ACT_END&gt;0)*IFERROR(ACT_POSTLIFT,0))),0)))</f>
        <v/>
      </c>
      <c r="T86" s="10">
        <f>IF(OR($H86&lt;&gt;"Y",11&lt;$I86),0,IF(SUMPRODUCT(((BULK_ENABLED="Y")*((BULK_TIER="ALL")+(BULK_TIER=$F86))*((BULK_SKU="ALL")+(BULK_SKU=$G86))*(BULK_START&lt;=11)*(BULK_END&gt;=11)))&gt;0,IFERROR(SUMPRODUCT(((BULK_ENABLED="Y")*((BULK_TIER="ALL")+(BULK_TIER=$F86))*((BULK_SKU="ALL")+(BULK_SKU=$G86))*(BULK_START&lt;=11)*(BULK_END&gt;=11))*IFERROR(BULK_VALUE,0))/MAX(1,SUMPRODUCT(((BULK_ENABLED="Y")*((BULK_TIER="ALL")+(BULK_TIER=$F86))*((BULK_SKU="ALL")+(BULK_SKU=$G86))*(BULK_START&lt;=11)*(BULK_END&gt;=11)))),0),ROUND((INDEX(VELOCITY_TABLE,MATCH($F86,TIER_LIST,0),1))*(IF((11-$I86+1)&lt;=0,0,IF((11-$I86+1)=1,RAMP_W1,IF((11-$I86+1)=2,RAMP_W2,IF((11-$I86+1)=3,RAMP_W3,RAMP_W4PLUS)))))*(INDEX(ACTIVE_MULT_TABLE,1,1))*(1+SUMPRODUCT(SIGN(((ACT_DOOR_SCOPE="ALL")+(ACT_DOOR_SCOPE="TIER_"&amp;$F86)+(ACT_DOOR_SCOPE=$B86)))*SIGN(((ACT_SKU_SCOPE="ALL")+(ACT_SKU_SCOPE=$G86)))*(ACT_START&lt;=11)*(ACT_END&gt;=11)*IFERROR(ACT_UPLIFT-1,0)))*(1+SUMPRODUCT(SIGN(((ACT_DOOR_SCOPE="ALL")+(ACT_DOOR_SCOPE="TIER_"&amp;$F86)+(ACT_DOOR_SCOPE=$B86)))*SIGN(((ACT_SKU_SCOPE="ALL")+(ACT_SKU_SCOPE=$G86)))*(11&gt;ACT_END)*(ACT_END&gt;0)*IFERROR(ACT_POSTLIFT,0))),0)))</f>
        <v/>
      </c>
      <c r="U86" s="10">
        <f>IF(OR($H86&lt;&gt;"Y",12&lt;$I86),0,IF(SUMPRODUCT(((BULK_ENABLED="Y")*((BULK_TIER="ALL")+(BULK_TIER=$F86))*((BULK_SKU="ALL")+(BULK_SKU=$G86))*(BULK_START&lt;=12)*(BULK_END&gt;=12)))&gt;0,IFERROR(SUMPRODUCT(((BULK_ENABLED="Y")*((BULK_TIER="ALL")+(BULK_TIER=$F86))*((BULK_SKU="ALL")+(BULK_SKU=$G86))*(BULK_START&lt;=12)*(BULK_END&gt;=12))*IFERROR(BULK_VALUE,0))/MAX(1,SUMPRODUCT(((BULK_ENABLED="Y")*((BULK_TIER="ALL")+(BULK_TIER=$F86))*((BULK_SKU="ALL")+(BULK_SKU=$G86))*(BULK_START&lt;=12)*(BULK_END&gt;=12)))),0),ROUND((INDEX(VELOCITY_TABLE,MATCH($F86,TIER_LIST,0),1))*(IF((12-$I86+1)&lt;=0,0,IF((12-$I86+1)=1,RAMP_W1,IF((12-$I86+1)=2,RAMP_W2,IF((12-$I86+1)=3,RAMP_W3,RAMP_W4PLUS)))))*(INDEX(ACTIVE_MULT_TABLE,1,1))*(1+SUMPRODUCT(SIGN(((ACT_DOOR_SCOPE="ALL")+(ACT_DOOR_SCOPE="TIER_"&amp;$F86)+(ACT_DOOR_SCOPE=$B86)))*SIGN(((ACT_SKU_SCOPE="ALL")+(ACT_SKU_SCOPE=$G86)))*(ACT_START&lt;=12)*(ACT_END&gt;=12)*IFERROR(ACT_UPLIFT-1,0)))*(1+SUMPRODUCT(SIGN(((ACT_DOOR_SCOPE="ALL")+(ACT_DOOR_SCOPE="TIER_"&amp;$F86)+(ACT_DOOR_SCOPE=$B86)))*SIGN(((ACT_SKU_SCOPE="ALL")+(ACT_SKU_SCOPE=$G86)))*(12&gt;ACT_END)*(ACT_END&gt;0)*IFERROR(ACT_POSTLIFT,0))),0)))</f>
        <v/>
      </c>
      <c r="V86" s="10">
        <f>IF(OR($H86&lt;&gt;"Y",13&lt;$I86),0,IF(SUMPRODUCT(((BULK_ENABLED="Y")*((BULK_TIER="ALL")+(BULK_TIER=$F86))*((BULK_SKU="ALL")+(BULK_SKU=$G86))*(BULK_START&lt;=13)*(BULK_END&gt;=13)))&gt;0,IFERROR(SUMPRODUCT(((BULK_ENABLED="Y")*((BULK_TIER="ALL")+(BULK_TIER=$F86))*((BULK_SKU="ALL")+(BULK_SKU=$G86))*(BULK_START&lt;=13)*(BULK_END&gt;=13))*IFERROR(BULK_VALUE,0))/MAX(1,SUMPRODUCT(((BULK_ENABLED="Y")*((BULK_TIER="ALL")+(BULK_TIER=$F86))*((BULK_SKU="ALL")+(BULK_SKU=$G86))*(BULK_START&lt;=13)*(BULK_END&gt;=13)))),0),ROUND((INDEX(VELOCITY_TABLE,MATCH($F86,TIER_LIST,0),1))*(IF((13-$I86+1)&lt;=0,0,IF((13-$I86+1)=1,RAMP_W1,IF((13-$I86+1)=2,RAMP_W2,IF((13-$I86+1)=3,RAMP_W3,RAMP_W4PLUS)))))*(INDEX(ACTIVE_MULT_TABLE,1,1))*(1+SUMPRODUCT(SIGN(((ACT_DOOR_SCOPE="ALL")+(ACT_DOOR_SCOPE="TIER_"&amp;$F86)+(ACT_DOOR_SCOPE=$B86)))*SIGN(((ACT_SKU_SCOPE="ALL")+(ACT_SKU_SCOPE=$G86)))*(ACT_START&lt;=13)*(ACT_END&gt;=13)*IFERROR(ACT_UPLIFT-1,0)))*(1+SUMPRODUCT(SIGN(((ACT_DOOR_SCOPE="ALL")+(ACT_DOOR_SCOPE="TIER_"&amp;$F86)+(ACT_DOOR_SCOPE=$B86)))*SIGN(((ACT_SKU_SCOPE="ALL")+(ACT_SKU_SCOPE=$G86)))*(13&gt;ACT_END)*(ACT_END&gt;0)*IFERROR(ACT_POSTLIFT,0))),0)))</f>
        <v/>
      </c>
    </row>
    <row r="87">
      <c r="A87" t="inlineStr">
        <is>
          <t>R0083</t>
        </is>
      </c>
      <c r="B87">
        <f>Doors!$A$32</f>
        <v/>
      </c>
      <c r="C87">
        <f>Doors!$C$32</f>
        <v/>
      </c>
      <c r="D87">
        <f>Doors!$B$32</f>
        <v/>
      </c>
      <c r="E87">
        <f>Doors!$E$32</f>
        <v/>
      </c>
      <c r="F87">
        <f>Doors!$F$32</f>
        <v/>
      </c>
      <c r="G87" t="inlineStr">
        <is>
          <t>Pineapple Passion Fruit</t>
        </is>
      </c>
      <c r="H87">
        <f>Doors!$H$32</f>
        <v/>
      </c>
      <c r="I87">
        <f>Doors!$J$32</f>
        <v/>
      </c>
      <c r="J87" s="10">
        <f>IF(OR($H87&lt;&gt;"Y",1&lt;$I87),0,IF(SUMPRODUCT(((BULK_ENABLED="Y")*((BULK_TIER="ALL")+(BULK_TIER=$F87))*((BULK_SKU="ALL")+(BULK_SKU=$G87))*(BULK_START&lt;=1)*(BULK_END&gt;=1)))&gt;0,IFERROR(SUMPRODUCT(((BULK_ENABLED="Y")*((BULK_TIER="ALL")+(BULK_TIER=$F87))*((BULK_SKU="ALL")+(BULK_SKU=$G87))*(BULK_START&lt;=1)*(BULK_END&gt;=1))*IFERROR(BULK_VALUE,0))/MAX(1,SUMPRODUCT(((BULK_ENABLED="Y")*((BULK_TIER="ALL")+(BULK_TIER=$F87))*((BULK_SKU="ALL")+(BULK_SKU=$G87))*(BULK_START&lt;=1)*(BULK_END&gt;=1)))),0),ROUND((INDEX(VELOCITY_TABLE,MATCH($F87,TIER_LIST,0),2))*(IF((1-$I87+1)&lt;=0,0,IF((1-$I87+1)=1,RAMP_W1,IF((1-$I87+1)=2,RAMP_W2,IF((1-$I87+1)=3,RAMP_W3,RAMP_W4PLUS)))))*(INDEX(ACTIVE_MULT_TABLE,2,1))*(1+SUMPRODUCT(SIGN(((ACT_DOOR_SCOPE="ALL")+(ACT_DOOR_SCOPE="TIER_"&amp;$F87)+(ACT_DOOR_SCOPE=$B87)))*SIGN(((ACT_SKU_SCOPE="ALL")+(ACT_SKU_SCOPE=$G87)))*(ACT_START&lt;=1)*(ACT_END&gt;=1)*IFERROR(ACT_UPLIFT-1,0)))*(1+SUMPRODUCT(SIGN(((ACT_DOOR_SCOPE="ALL")+(ACT_DOOR_SCOPE="TIER_"&amp;$F87)+(ACT_DOOR_SCOPE=$B87)))*SIGN(((ACT_SKU_SCOPE="ALL")+(ACT_SKU_SCOPE=$G87)))*(1&gt;ACT_END)*(ACT_END&gt;0)*IFERROR(ACT_POSTLIFT,0))),0)))</f>
        <v/>
      </c>
      <c r="K87" s="10">
        <f>IF(OR($H87&lt;&gt;"Y",2&lt;$I87),0,IF(SUMPRODUCT(((BULK_ENABLED="Y")*((BULK_TIER="ALL")+(BULK_TIER=$F87))*((BULK_SKU="ALL")+(BULK_SKU=$G87))*(BULK_START&lt;=2)*(BULK_END&gt;=2)))&gt;0,IFERROR(SUMPRODUCT(((BULK_ENABLED="Y")*((BULK_TIER="ALL")+(BULK_TIER=$F87))*((BULK_SKU="ALL")+(BULK_SKU=$G87))*(BULK_START&lt;=2)*(BULK_END&gt;=2))*IFERROR(BULK_VALUE,0))/MAX(1,SUMPRODUCT(((BULK_ENABLED="Y")*((BULK_TIER="ALL")+(BULK_TIER=$F87))*((BULK_SKU="ALL")+(BULK_SKU=$G87))*(BULK_START&lt;=2)*(BULK_END&gt;=2)))),0),ROUND((INDEX(VELOCITY_TABLE,MATCH($F87,TIER_LIST,0),2))*(IF((2-$I87+1)&lt;=0,0,IF((2-$I87+1)=1,RAMP_W1,IF((2-$I87+1)=2,RAMP_W2,IF((2-$I87+1)=3,RAMP_W3,RAMP_W4PLUS)))))*(INDEX(ACTIVE_MULT_TABLE,2,1))*(1+SUMPRODUCT(SIGN(((ACT_DOOR_SCOPE="ALL")+(ACT_DOOR_SCOPE="TIER_"&amp;$F87)+(ACT_DOOR_SCOPE=$B87)))*SIGN(((ACT_SKU_SCOPE="ALL")+(ACT_SKU_SCOPE=$G87)))*(ACT_START&lt;=2)*(ACT_END&gt;=2)*IFERROR(ACT_UPLIFT-1,0)))*(1+SUMPRODUCT(SIGN(((ACT_DOOR_SCOPE="ALL")+(ACT_DOOR_SCOPE="TIER_"&amp;$F87)+(ACT_DOOR_SCOPE=$B87)))*SIGN(((ACT_SKU_SCOPE="ALL")+(ACT_SKU_SCOPE=$G87)))*(2&gt;ACT_END)*(ACT_END&gt;0)*IFERROR(ACT_POSTLIFT,0))),0)))</f>
        <v/>
      </c>
      <c r="L87" s="10">
        <f>IF(OR($H87&lt;&gt;"Y",3&lt;$I87),0,IF(SUMPRODUCT(((BULK_ENABLED="Y")*((BULK_TIER="ALL")+(BULK_TIER=$F87))*((BULK_SKU="ALL")+(BULK_SKU=$G87))*(BULK_START&lt;=3)*(BULK_END&gt;=3)))&gt;0,IFERROR(SUMPRODUCT(((BULK_ENABLED="Y")*((BULK_TIER="ALL")+(BULK_TIER=$F87))*((BULK_SKU="ALL")+(BULK_SKU=$G87))*(BULK_START&lt;=3)*(BULK_END&gt;=3))*IFERROR(BULK_VALUE,0))/MAX(1,SUMPRODUCT(((BULK_ENABLED="Y")*((BULK_TIER="ALL")+(BULK_TIER=$F87))*((BULK_SKU="ALL")+(BULK_SKU=$G87))*(BULK_START&lt;=3)*(BULK_END&gt;=3)))),0),ROUND((INDEX(VELOCITY_TABLE,MATCH($F87,TIER_LIST,0),2))*(IF((3-$I87+1)&lt;=0,0,IF((3-$I87+1)=1,RAMP_W1,IF((3-$I87+1)=2,RAMP_W2,IF((3-$I87+1)=3,RAMP_W3,RAMP_W4PLUS)))))*(INDEX(ACTIVE_MULT_TABLE,2,1))*(1+SUMPRODUCT(SIGN(((ACT_DOOR_SCOPE="ALL")+(ACT_DOOR_SCOPE="TIER_"&amp;$F87)+(ACT_DOOR_SCOPE=$B87)))*SIGN(((ACT_SKU_SCOPE="ALL")+(ACT_SKU_SCOPE=$G87)))*(ACT_START&lt;=3)*(ACT_END&gt;=3)*IFERROR(ACT_UPLIFT-1,0)))*(1+SUMPRODUCT(SIGN(((ACT_DOOR_SCOPE="ALL")+(ACT_DOOR_SCOPE="TIER_"&amp;$F87)+(ACT_DOOR_SCOPE=$B87)))*SIGN(((ACT_SKU_SCOPE="ALL")+(ACT_SKU_SCOPE=$G87)))*(3&gt;ACT_END)*(ACT_END&gt;0)*IFERROR(ACT_POSTLIFT,0))),0)))</f>
        <v/>
      </c>
      <c r="M87" s="10">
        <f>IF(OR($H87&lt;&gt;"Y",4&lt;$I87),0,IF(SUMPRODUCT(((BULK_ENABLED="Y")*((BULK_TIER="ALL")+(BULK_TIER=$F87))*((BULK_SKU="ALL")+(BULK_SKU=$G87))*(BULK_START&lt;=4)*(BULK_END&gt;=4)))&gt;0,IFERROR(SUMPRODUCT(((BULK_ENABLED="Y")*((BULK_TIER="ALL")+(BULK_TIER=$F87))*((BULK_SKU="ALL")+(BULK_SKU=$G87))*(BULK_START&lt;=4)*(BULK_END&gt;=4))*IFERROR(BULK_VALUE,0))/MAX(1,SUMPRODUCT(((BULK_ENABLED="Y")*((BULK_TIER="ALL")+(BULK_TIER=$F87))*((BULK_SKU="ALL")+(BULK_SKU=$G87))*(BULK_START&lt;=4)*(BULK_END&gt;=4)))),0),ROUND((INDEX(VELOCITY_TABLE,MATCH($F87,TIER_LIST,0),2))*(IF((4-$I87+1)&lt;=0,0,IF((4-$I87+1)=1,RAMP_W1,IF((4-$I87+1)=2,RAMP_W2,IF((4-$I87+1)=3,RAMP_W3,RAMP_W4PLUS)))))*(INDEX(ACTIVE_MULT_TABLE,2,1))*(1+SUMPRODUCT(SIGN(((ACT_DOOR_SCOPE="ALL")+(ACT_DOOR_SCOPE="TIER_"&amp;$F87)+(ACT_DOOR_SCOPE=$B87)))*SIGN(((ACT_SKU_SCOPE="ALL")+(ACT_SKU_SCOPE=$G87)))*(ACT_START&lt;=4)*(ACT_END&gt;=4)*IFERROR(ACT_UPLIFT-1,0)))*(1+SUMPRODUCT(SIGN(((ACT_DOOR_SCOPE="ALL")+(ACT_DOOR_SCOPE="TIER_"&amp;$F87)+(ACT_DOOR_SCOPE=$B87)))*SIGN(((ACT_SKU_SCOPE="ALL")+(ACT_SKU_SCOPE=$G87)))*(4&gt;ACT_END)*(ACT_END&gt;0)*IFERROR(ACT_POSTLIFT,0))),0)))</f>
        <v/>
      </c>
      <c r="N87" s="10">
        <f>IF(OR($H87&lt;&gt;"Y",5&lt;$I87),0,IF(SUMPRODUCT(((BULK_ENABLED="Y")*((BULK_TIER="ALL")+(BULK_TIER=$F87))*((BULK_SKU="ALL")+(BULK_SKU=$G87))*(BULK_START&lt;=5)*(BULK_END&gt;=5)))&gt;0,IFERROR(SUMPRODUCT(((BULK_ENABLED="Y")*((BULK_TIER="ALL")+(BULK_TIER=$F87))*((BULK_SKU="ALL")+(BULK_SKU=$G87))*(BULK_START&lt;=5)*(BULK_END&gt;=5))*IFERROR(BULK_VALUE,0))/MAX(1,SUMPRODUCT(((BULK_ENABLED="Y")*((BULK_TIER="ALL")+(BULK_TIER=$F87))*((BULK_SKU="ALL")+(BULK_SKU=$G87))*(BULK_START&lt;=5)*(BULK_END&gt;=5)))),0),ROUND((INDEX(VELOCITY_TABLE,MATCH($F87,TIER_LIST,0),2))*(IF((5-$I87+1)&lt;=0,0,IF((5-$I87+1)=1,RAMP_W1,IF((5-$I87+1)=2,RAMP_W2,IF((5-$I87+1)=3,RAMP_W3,RAMP_W4PLUS)))))*(INDEX(ACTIVE_MULT_TABLE,2,1))*(1+SUMPRODUCT(SIGN(((ACT_DOOR_SCOPE="ALL")+(ACT_DOOR_SCOPE="TIER_"&amp;$F87)+(ACT_DOOR_SCOPE=$B87)))*SIGN(((ACT_SKU_SCOPE="ALL")+(ACT_SKU_SCOPE=$G87)))*(ACT_START&lt;=5)*(ACT_END&gt;=5)*IFERROR(ACT_UPLIFT-1,0)))*(1+SUMPRODUCT(SIGN(((ACT_DOOR_SCOPE="ALL")+(ACT_DOOR_SCOPE="TIER_"&amp;$F87)+(ACT_DOOR_SCOPE=$B87)))*SIGN(((ACT_SKU_SCOPE="ALL")+(ACT_SKU_SCOPE=$G87)))*(5&gt;ACT_END)*(ACT_END&gt;0)*IFERROR(ACT_POSTLIFT,0))),0)))</f>
        <v/>
      </c>
      <c r="O87" s="10">
        <f>IF(OR($H87&lt;&gt;"Y",6&lt;$I87),0,IF(SUMPRODUCT(((BULK_ENABLED="Y")*((BULK_TIER="ALL")+(BULK_TIER=$F87))*((BULK_SKU="ALL")+(BULK_SKU=$G87))*(BULK_START&lt;=6)*(BULK_END&gt;=6)))&gt;0,IFERROR(SUMPRODUCT(((BULK_ENABLED="Y")*((BULK_TIER="ALL")+(BULK_TIER=$F87))*((BULK_SKU="ALL")+(BULK_SKU=$G87))*(BULK_START&lt;=6)*(BULK_END&gt;=6))*IFERROR(BULK_VALUE,0))/MAX(1,SUMPRODUCT(((BULK_ENABLED="Y")*((BULK_TIER="ALL")+(BULK_TIER=$F87))*((BULK_SKU="ALL")+(BULK_SKU=$G87))*(BULK_START&lt;=6)*(BULK_END&gt;=6)))),0),ROUND((INDEX(VELOCITY_TABLE,MATCH($F87,TIER_LIST,0),2))*(IF((6-$I87+1)&lt;=0,0,IF((6-$I87+1)=1,RAMP_W1,IF((6-$I87+1)=2,RAMP_W2,IF((6-$I87+1)=3,RAMP_W3,RAMP_W4PLUS)))))*(INDEX(ACTIVE_MULT_TABLE,2,1))*(1+SUMPRODUCT(SIGN(((ACT_DOOR_SCOPE="ALL")+(ACT_DOOR_SCOPE="TIER_"&amp;$F87)+(ACT_DOOR_SCOPE=$B87)))*SIGN(((ACT_SKU_SCOPE="ALL")+(ACT_SKU_SCOPE=$G87)))*(ACT_START&lt;=6)*(ACT_END&gt;=6)*IFERROR(ACT_UPLIFT-1,0)))*(1+SUMPRODUCT(SIGN(((ACT_DOOR_SCOPE="ALL")+(ACT_DOOR_SCOPE="TIER_"&amp;$F87)+(ACT_DOOR_SCOPE=$B87)))*SIGN(((ACT_SKU_SCOPE="ALL")+(ACT_SKU_SCOPE=$G87)))*(6&gt;ACT_END)*(ACT_END&gt;0)*IFERROR(ACT_POSTLIFT,0))),0)))</f>
        <v/>
      </c>
      <c r="P87" s="10">
        <f>IF(OR($H87&lt;&gt;"Y",7&lt;$I87),0,IF(SUMPRODUCT(((BULK_ENABLED="Y")*((BULK_TIER="ALL")+(BULK_TIER=$F87))*((BULK_SKU="ALL")+(BULK_SKU=$G87))*(BULK_START&lt;=7)*(BULK_END&gt;=7)))&gt;0,IFERROR(SUMPRODUCT(((BULK_ENABLED="Y")*((BULK_TIER="ALL")+(BULK_TIER=$F87))*((BULK_SKU="ALL")+(BULK_SKU=$G87))*(BULK_START&lt;=7)*(BULK_END&gt;=7))*IFERROR(BULK_VALUE,0))/MAX(1,SUMPRODUCT(((BULK_ENABLED="Y")*((BULK_TIER="ALL")+(BULK_TIER=$F87))*((BULK_SKU="ALL")+(BULK_SKU=$G87))*(BULK_START&lt;=7)*(BULK_END&gt;=7)))),0),ROUND((INDEX(VELOCITY_TABLE,MATCH($F87,TIER_LIST,0),2))*(IF((7-$I87+1)&lt;=0,0,IF((7-$I87+1)=1,RAMP_W1,IF((7-$I87+1)=2,RAMP_W2,IF((7-$I87+1)=3,RAMP_W3,RAMP_W4PLUS)))))*(INDEX(ACTIVE_MULT_TABLE,2,1))*(1+SUMPRODUCT(SIGN(((ACT_DOOR_SCOPE="ALL")+(ACT_DOOR_SCOPE="TIER_"&amp;$F87)+(ACT_DOOR_SCOPE=$B87)))*SIGN(((ACT_SKU_SCOPE="ALL")+(ACT_SKU_SCOPE=$G87)))*(ACT_START&lt;=7)*(ACT_END&gt;=7)*IFERROR(ACT_UPLIFT-1,0)))*(1+SUMPRODUCT(SIGN(((ACT_DOOR_SCOPE="ALL")+(ACT_DOOR_SCOPE="TIER_"&amp;$F87)+(ACT_DOOR_SCOPE=$B87)))*SIGN(((ACT_SKU_SCOPE="ALL")+(ACT_SKU_SCOPE=$G87)))*(7&gt;ACT_END)*(ACT_END&gt;0)*IFERROR(ACT_POSTLIFT,0))),0)))</f>
        <v/>
      </c>
      <c r="Q87" s="10">
        <f>IF(OR($H87&lt;&gt;"Y",8&lt;$I87),0,IF(SUMPRODUCT(((BULK_ENABLED="Y")*((BULK_TIER="ALL")+(BULK_TIER=$F87))*((BULK_SKU="ALL")+(BULK_SKU=$G87))*(BULK_START&lt;=8)*(BULK_END&gt;=8)))&gt;0,IFERROR(SUMPRODUCT(((BULK_ENABLED="Y")*((BULK_TIER="ALL")+(BULK_TIER=$F87))*((BULK_SKU="ALL")+(BULK_SKU=$G87))*(BULK_START&lt;=8)*(BULK_END&gt;=8))*IFERROR(BULK_VALUE,0))/MAX(1,SUMPRODUCT(((BULK_ENABLED="Y")*((BULK_TIER="ALL")+(BULK_TIER=$F87))*((BULK_SKU="ALL")+(BULK_SKU=$G87))*(BULK_START&lt;=8)*(BULK_END&gt;=8)))),0),ROUND((INDEX(VELOCITY_TABLE,MATCH($F87,TIER_LIST,0),2))*(IF((8-$I87+1)&lt;=0,0,IF((8-$I87+1)=1,RAMP_W1,IF((8-$I87+1)=2,RAMP_W2,IF((8-$I87+1)=3,RAMP_W3,RAMP_W4PLUS)))))*(INDEX(ACTIVE_MULT_TABLE,2,1))*(1+SUMPRODUCT(SIGN(((ACT_DOOR_SCOPE="ALL")+(ACT_DOOR_SCOPE="TIER_"&amp;$F87)+(ACT_DOOR_SCOPE=$B87)))*SIGN(((ACT_SKU_SCOPE="ALL")+(ACT_SKU_SCOPE=$G87)))*(ACT_START&lt;=8)*(ACT_END&gt;=8)*IFERROR(ACT_UPLIFT-1,0)))*(1+SUMPRODUCT(SIGN(((ACT_DOOR_SCOPE="ALL")+(ACT_DOOR_SCOPE="TIER_"&amp;$F87)+(ACT_DOOR_SCOPE=$B87)))*SIGN(((ACT_SKU_SCOPE="ALL")+(ACT_SKU_SCOPE=$G87)))*(8&gt;ACT_END)*(ACT_END&gt;0)*IFERROR(ACT_POSTLIFT,0))),0)))</f>
        <v/>
      </c>
      <c r="R87" s="10">
        <f>IF(OR($H87&lt;&gt;"Y",9&lt;$I87),0,IF(SUMPRODUCT(((BULK_ENABLED="Y")*((BULK_TIER="ALL")+(BULK_TIER=$F87))*((BULK_SKU="ALL")+(BULK_SKU=$G87))*(BULK_START&lt;=9)*(BULK_END&gt;=9)))&gt;0,IFERROR(SUMPRODUCT(((BULK_ENABLED="Y")*((BULK_TIER="ALL")+(BULK_TIER=$F87))*((BULK_SKU="ALL")+(BULK_SKU=$G87))*(BULK_START&lt;=9)*(BULK_END&gt;=9))*IFERROR(BULK_VALUE,0))/MAX(1,SUMPRODUCT(((BULK_ENABLED="Y")*((BULK_TIER="ALL")+(BULK_TIER=$F87))*((BULK_SKU="ALL")+(BULK_SKU=$G87))*(BULK_START&lt;=9)*(BULK_END&gt;=9)))),0),ROUND((INDEX(VELOCITY_TABLE,MATCH($F87,TIER_LIST,0),2))*(IF((9-$I87+1)&lt;=0,0,IF((9-$I87+1)=1,RAMP_W1,IF((9-$I87+1)=2,RAMP_W2,IF((9-$I87+1)=3,RAMP_W3,RAMP_W4PLUS)))))*(INDEX(ACTIVE_MULT_TABLE,2,1))*(1+SUMPRODUCT(SIGN(((ACT_DOOR_SCOPE="ALL")+(ACT_DOOR_SCOPE="TIER_"&amp;$F87)+(ACT_DOOR_SCOPE=$B87)))*SIGN(((ACT_SKU_SCOPE="ALL")+(ACT_SKU_SCOPE=$G87)))*(ACT_START&lt;=9)*(ACT_END&gt;=9)*IFERROR(ACT_UPLIFT-1,0)))*(1+SUMPRODUCT(SIGN(((ACT_DOOR_SCOPE="ALL")+(ACT_DOOR_SCOPE="TIER_"&amp;$F87)+(ACT_DOOR_SCOPE=$B87)))*SIGN(((ACT_SKU_SCOPE="ALL")+(ACT_SKU_SCOPE=$G87)))*(9&gt;ACT_END)*(ACT_END&gt;0)*IFERROR(ACT_POSTLIFT,0))),0)))</f>
        <v/>
      </c>
      <c r="S87" s="10">
        <f>IF(OR($H87&lt;&gt;"Y",10&lt;$I87),0,IF(SUMPRODUCT(((BULK_ENABLED="Y")*((BULK_TIER="ALL")+(BULK_TIER=$F87))*((BULK_SKU="ALL")+(BULK_SKU=$G87))*(BULK_START&lt;=10)*(BULK_END&gt;=10)))&gt;0,IFERROR(SUMPRODUCT(((BULK_ENABLED="Y")*((BULK_TIER="ALL")+(BULK_TIER=$F87))*((BULK_SKU="ALL")+(BULK_SKU=$G87))*(BULK_START&lt;=10)*(BULK_END&gt;=10))*IFERROR(BULK_VALUE,0))/MAX(1,SUMPRODUCT(((BULK_ENABLED="Y")*((BULK_TIER="ALL")+(BULK_TIER=$F87))*((BULK_SKU="ALL")+(BULK_SKU=$G87))*(BULK_START&lt;=10)*(BULK_END&gt;=10)))),0),ROUND((INDEX(VELOCITY_TABLE,MATCH($F87,TIER_LIST,0),2))*(IF((10-$I87+1)&lt;=0,0,IF((10-$I87+1)=1,RAMP_W1,IF((10-$I87+1)=2,RAMP_W2,IF((10-$I87+1)=3,RAMP_W3,RAMP_W4PLUS)))))*(INDEX(ACTIVE_MULT_TABLE,2,1))*(1+SUMPRODUCT(SIGN(((ACT_DOOR_SCOPE="ALL")+(ACT_DOOR_SCOPE="TIER_"&amp;$F87)+(ACT_DOOR_SCOPE=$B87)))*SIGN(((ACT_SKU_SCOPE="ALL")+(ACT_SKU_SCOPE=$G87)))*(ACT_START&lt;=10)*(ACT_END&gt;=10)*IFERROR(ACT_UPLIFT-1,0)))*(1+SUMPRODUCT(SIGN(((ACT_DOOR_SCOPE="ALL")+(ACT_DOOR_SCOPE="TIER_"&amp;$F87)+(ACT_DOOR_SCOPE=$B87)))*SIGN(((ACT_SKU_SCOPE="ALL")+(ACT_SKU_SCOPE=$G87)))*(10&gt;ACT_END)*(ACT_END&gt;0)*IFERROR(ACT_POSTLIFT,0))),0)))</f>
        <v/>
      </c>
      <c r="T87" s="10">
        <f>IF(OR($H87&lt;&gt;"Y",11&lt;$I87),0,IF(SUMPRODUCT(((BULK_ENABLED="Y")*((BULK_TIER="ALL")+(BULK_TIER=$F87))*((BULK_SKU="ALL")+(BULK_SKU=$G87))*(BULK_START&lt;=11)*(BULK_END&gt;=11)))&gt;0,IFERROR(SUMPRODUCT(((BULK_ENABLED="Y")*((BULK_TIER="ALL")+(BULK_TIER=$F87))*((BULK_SKU="ALL")+(BULK_SKU=$G87))*(BULK_START&lt;=11)*(BULK_END&gt;=11))*IFERROR(BULK_VALUE,0))/MAX(1,SUMPRODUCT(((BULK_ENABLED="Y")*((BULK_TIER="ALL")+(BULK_TIER=$F87))*((BULK_SKU="ALL")+(BULK_SKU=$G87))*(BULK_START&lt;=11)*(BULK_END&gt;=11)))),0),ROUND((INDEX(VELOCITY_TABLE,MATCH($F87,TIER_LIST,0),2))*(IF((11-$I87+1)&lt;=0,0,IF((11-$I87+1)=1,RAMP_W1,IF((11-$I87+1)=2,RAMP_W2,IF((11-$I87+1)=3,RAMP_W3,RAMP_W4PLUS)))))*(INDEX(ACTIVE_MULT_TABLE,2,1))*(1+SUMPRODUCT(SIGN(((ACT_DOOR_SCOPE="ALL")+(ACT_DOOR_SCOPE="TIER_"&amp;$F87)+(ACT_DOOR_SCOPE=$B87)))*SIGN(((ACT_SKU_SCOPE="ALL")+(ACT_SKU_SCOPE=$G87)))*(ACT_START&lt;=11)*(ACT_END&gt;=11)*IFERROR(ACT_UPLIFT-1,0)))*(1+SUMPRODUCT(SIGN(((ACT_DOOR_SCOPE="ALL")+(ACT_DOOR_SCOPE="TIER_"&amp;$F87)+(ACT_DOOR_SCOPE=$B87)))*SIGN(((ACT_SKU_SCOPE="ALL")+(ACT_SKU_SCOPE=$G87)))*(11&gt;ACT_END)*(ACT_END&gt;0)*IFERROR(ACT_POSTLIFT,0))),0)))</f>
        <v/>
      </c>
      <c r="U87" s="10">
        <f>IF(OR($H87&lt;&gt;"Y",12&lt;$I87),0,IF(SUMPRODUCT(((BULK_ENABLED="Y")*((BULK_TIER="ALL")+(BULK_TIER=$F87))*((BULK_SKU="ALL")+(BULK_SKU=$G87))*(BULK_START&lt;=12)*(BULK_END&gt;=12)))&gt;0,IFERROR(SUMPRODUCT(((BULK_ENABLED="Y")*((BULK_TIER="ALL")+(BULK_TIER=$F87))*((BULK_SKU="ALL")+(BULK_SKU=$G87))*(BULK_START&lt;=12)*(BULK_END&gt;=12))*IFERROR(BULK_VALUE,0))/MAX(1,SUMPRODUCT(((BULK_ENABLED="Y")*((BULK_TIER="ALL")+(BULK_TIER=$F87))*((BULK_SKU="ALL")+(BULK_SKU=$G87))*(BULK_START&lt;=12)*(BULK_END&gt;=12)))),0),ROUND((INDEX(VELOCITY_TABLE,MATCH($F87,TIER_LIST,0),2))*(IF((12-$I87+1)&lt;=0,0,IF((12-$I87+1)=1,RAMP_W1,IF((12-$I87+1)=2,RAMP_W2,IF((12-$I87+1)=3,RAMP_W3,RAMP_W4PLUS)))))*(INDEX(ACTIVE_MULT_TABLE,2,1))*(1+SUMPRODUCT(SIGN(((ACT_DOOR_SCOPE="ALL")+(ACT_DOOR_SCOPE="TIER_"&amp;$F87)+(ACT_DOOR_SCOPE=$B87)))*SIGN(((ACT_SKU_SCOPE="ALL")+(ACT_SKU_SCOPE=$G87)))*(ACT_START&lt;=12)*(ACT_END&gt;=12)*IFERROR(ACT_UPLIFT-1,0)))*(1+SUMPRODUCT(SIGN(((ACT_DOOR_SCOPE="ALL")+(ACT_DOOR_SCOPE="TIER_"&amp;$F87)+(ACT_DOOR_SCOPE=$B87)))*SIGN(((ACT_SKU_SCOPE="ALL")+(ACT_SKU_SCOPE=$G87)))*(12&gt;ACT_END)*(ACT_END&gt;0)*IFERROR(ACT_POSTLIFT,0))),0)))</f>
        <v/>
      </c>
      <c r="V87" s="10">
        <f>IF(OR($H87&lt;&gt;"Y",13&lt;$I87),0,IF(SUMPRODUCT(((BULK_ENABLED="Y")*((BULK_TIER="ALL")+(BULK_TIER=$F87))*((BULK_SKU="ALL")+(BULK_SKU=$G87))*(BULK_START&lt;=13)*(BULK_END&gt;=13)))&gt;0,IFERROR(SUMPRODUCT(((BULK_ENABLED="Y")*((BULK_TIER="ALL")+(BULK_TIER=$F87))*((BULK_SKU="ALL")+(BULK_SKU=$G87))*(BULK_START&lt;=13)*(BULK_END&gt;=13))*IFERROR(BULK_VALUE,0))/MAX(1,SUMPRODUCT(((BULK_ENABLED="Y")*((BULK_TIER="ALL")+(BULK_TIER=$F87))*((BULK_SKU="ALL")+(BULK_SKU=$G87))*(BULK_START&lt;=13)*(BULK_END&gt;=13)))),0),ROUND((INDEX(VELOCITY_TABLE,MATCH($F87,TIER_LIST,0),2))*(IF((13-$I87+1)&lt;=0,0,IF((13-$I87+1)=1,RAMP_W1,IF((13-$I87+1)=2,RAMP_W2,IF((13-$I87+1)=3,RAMP_W3,RAMP_W4PLUS)))))*(INDEX(ACTIVE_MULT_TABLE,2,1))*(1+SUMPRODUCT(SIGN(((ACT_DOOR_SCOPE="ALL")+(ACT_DOOR_SCOPE="TIER_"&amp;$F87)+(ACT_DOOR_SCOPE=$B87)))*SIGN(((ACT_SKU_SCOPE="ALL")+(ACT_SKU_SCOPE=$G87)))*(ACT_START&lt;=13)*(ACT_END&gt;=13)*IFERROR(ACT_UPLIFT-1,0)))*(1+SUMPRODUCT(SIGN(((ACT_DOOR_SCOPE="ALL")+(ACT_DOOR_SCOPE="TIER_"&amp;$F87)+(ACT_DOOR_SCOPE=$B87)))*SIGN(((ACT_SKU_SCOPE="ALL")+(ACT_SKU_SCOPE=$G87)))*(13&gt;ACT_END)*(ACT_END&gt;0)*IFERROR(ACT_POSTLIFT,0))),0)))</f>
        <v/>
      </c>
    </row>
    <row r="88">
      <c r="A88" t="inlineStr">
        <is>
          <t>R0084</t>
        </is>
      </c>
      <c r="B88">
        <f>Doors!$A$32</f>
        <v/>
      </c>
      <c r="C88">
        <f>Doors!$C$32</f>
        <v/>
      </c>
      <c r="D88">
        <f>Doors!$B$32</f>
        <v/>
      </c>
      <c r="E88">
        <f>Doors!$E$32</f>
        <v/>
      </c>
      <c r="F88">
        <f>Doors!$F$32</f>
        <v/>
      </c>
      <c r="G88" t="inlineStr">
        <is>
          <t>Raspberry</t>
        </is>
      </c>
      <c r="H88">
        <f>Doors!$I$32</f>
        <v/>
      </c>
      <c r="I88">
        <f>Doors!$J$32</f>
        <v/>
      </c>
      <c r="J88" s="10">
        <f>IF(OR($H88&lt;&gt;"Y",1&lt;$I88),0,IF(SUMPRODUCT(((BULK_ENABLED="Y")*((BULK_TIER="ALL")+(BULK_TIER=$F88))*((BULK_SKU="ALL")+(BULK_SKU=$G88))*(BULK_START&lt;=1)*(BULK_END&gt;=1)))&gt;0,IFERROR(SUMPRODUCT(((BULK_ENABLED="Y")*((BULK_TIER="ALL")+(BULK_TIER=$F88))*((BULK_SKU="ALL")+(BULK_SKU=$G88))*(BULK_START&lt;=1)*(BULK_END&gt;=1))*IFERROR(BULK_VALUE,0))/MAX(1,SUMPRODUCT(((BULK_ENABLED="Y")*((BULK_TIER="ALL")+(BULK_TIER=$F88))*((BULK_SKU="ALL")+(BULK_SKU=$G88))*(BULK_START&lt;=1)*(BULK_END&gt;=1)))),0),ROUND((INDEX(VELOCITY_TABLE,MATCH($F88,TIER_LIST,0),3))*(IF((1-$I88+1)&lt;=0,0,IF((1-$I88+1)=1,RAMP_W1,IF((1-$I88+1)=2,RAMP_W2,IF((1-$I88+1)=3,RAMP_W3,RAMP_W4PLUS)))))*(INDEX(ACTIVE_MULT_TABLE,3,1))*(1+SUMPRODUCT(SIGN(((ACT_DOOR_SCOPE="ALL")+(ACT_DOOR_SCOPE="TIER_"&amp;$F88)+(ACT_DOOR_SCOPE=$B88)))*SIGN(((ACT_SKU_SCOPE="ALL")+(ACT_SKU_SCOPE=$G88)))*(ACT_START&lt;=1)*(ACT_END&gt;=1)*IFERROR(ACT_UPLIFT-1,0)))*(1+SUMPRODUCT(SIGN(((ACT_DOOR_SCOPE="ALL")+(ACT_DOOR_SCOPE="TIER_"&amp;$F88)+(ACT_DOOR_SCOPE=$B88)))*SIGN(((ACT_SKU_SCOPE="ALL")+(ACT_SKU_SCOPE=$G88)))*(1&gt;ACT_END)*(ACT_END&gt;0)*IFERROR(ACT_POSTLIFT,0))),0)))</f>
        <v/>
      </c>
      <c r="K88" s="10">
        <f>IF(OR($H88&lt;&gt;"Y",2&lt;$I88),0,IF(SUMPRODUCT(((BULK_ENABLED="Y")*((BULK_TIER="ALL")+(BULK_TIER=$F88))*((BULK_SKU="ALL")+(BULK_SKU=$G88))*(BULK_START&lt;=2)*(BULK_END&gt;=2)))&gt;0,IFERROR(SUMPRODUCT(((BULK_ENABLED="Y")*((BULK_TIER="ALL")+(BULK_TIER=$F88))*((BULK_SKU="ALL")+(BULK_SKU=$G88))*(BULK_START&lt;=2)*(BULK_END&gt;=2))*IFERROR(BULK_VALUE,0))/MAX(1,SUMPRODUCT(((BULK_ENABLED="Y")*((BULK_TIER="ALL")+(BULK_TIER=$F88))*((BULK_SKU="ALL")+(BULK_SKU=$G88))*(BULK_START&lt;=2)*(BULK_END&gt;=2)))),0),ROUND((INDEX(VELOCITY_TABLE,MATCH($F88,TIER_LIST,0),3))*(IF((2-$I88+1)&lt;=0,0,IF((2-$I88+1)=1,RAMP_W1,IF((2-$I88+1)=2,RAMP_W2,IF((2-$I88+1)=3,RAMP_W3,RAMP_W4PLUS)))))*(INDEX(ACTIVE_MULT_TABLE,3,1))*(1+SUMPRODUCT(SIGN(((ACT_DOOR_SCOPE="ALL")+(ACT_DOOR_SCOPE="TIER_"&amp;$F88)+(ACT_DOOR_SCOPE=$B88)))*SIGN(((ACT_SKU_SCOPE="ALL")+(ACT_SKU_SCOPE=$G88)))*(ACT_START&lt;=2)*(ACT_END&gt;=2)*IFERROR(ACT_UPLIFT-1,0)))*(1+SUMPRODUCT(SIGN(((ACT_DOOR_SCOPE="ALL")+(ACT_DOOR_SCOPE="TIER_"&amp;$F88)+(ACT_DOOR_SCOPE=$B88)))*SIGN(((ACT_SKU_SCOPE="ALL")+(ACT_SKU_SCOPE=$G88)))*(2&gt;ACT_END)*(ACT_END&gt;0)*IFERROR(ACT_POSTLIFT,0))),0)))</f>
        <v/>
      </c>
      <c r="L88" s="10">
        <f>IF(OR($H88&lt;&gt;"Y",3&lt;$I88),0,IF(SUMPRODUCT(((BULK_ENABLED="Y")*((BULK_TIER="ALL")+(BULK_TIER=$F88))*((BULK_SKU="ALL")+(BULK_SKU=$G88))*(BULK_START&lt;=3)*(BULK_END&gt;=3)))&gt;0,IFERROR(SUMPRODUCT(((BULK_ENABLED="Y")*((BULK_TIER="ALL")+(BULK_TIER=$F88))*((BULK_SKU="ALL")+(BULK_SKU=$G88))*(BULK_START&lt;=3)*(BULK_END&gt;=3))*IFERROR(BULK_VALUE,0))/MAX(1,SUMPRODUCT(((BULK_ENABLED="Y")*((BULK_TIER="ALL")+(BULK_TIER=$F88))*((BULK_SKU="ALL")+(BULK_SKU=$G88))*(BULK_START&lt;=3)*(BULK_END&gt;=3)))),0),ROUND((INDEX(VELOCITY_TABLE,MATCH($F88,TIER_LIST,0),3))*(IF((3-$I88+1)&lt;=0,0,IF((3-$I88+1)=1,RAMP_W1,IF((3-$I88+1)=2,RAMP_W2,IF((3-$I88+1)=3,RAMP_W3,RAMP_W4PLUS)))))*(INDEX(ACTIVE_MULT_TABLE,3,1))*(1+SUMPRODUCT(SIGN(((ACT_DOOR_SCOPE="ALL")+(ACT_DOOR_SCOPE="TIER_"&amp;$F88)+(ACT_DOOR_SCOPE=$B88)))*SIGN(((ACT_SKU_SCOPE="ALL")+(ACT_SKU_SCOPE=$G88)))*(ACT_START&lt;=3)*(ACT_END&gt;=3)*IFERROR(ACT_UPLIFT-1,0)))*(1+SUMPRODUCT(SIGN(((ACT_DOOR_SCOPE="ALL")+(ACT_DOOR_SCOPE="TIER_"&amp;$F88)+(ACT_DOOR_SCOPE=$B88)))*SIGN(((ACT_SKU_SCOPE="ALL")+(ACT_SKU_SCOPE=$G88)))*(3&gt;ACT_END)*(ACT_END&gt;0)*IFERROR(ACT_POSTLIFT,0))),0)))</f>
        <v/>
      </c>
      <c r="M88" s="10">
        <f>IF(OR($H88&lt;&gt;"Y",4&lt;$I88),0,IF(SUMPRODUCT(((BULK_ENABLED="Y")*((BULK_TIER="ALL")+(BULK_TIER=$F88))*((BULK_SKU="ALL")+(BULK_SKU=$G88))*(BULK_START&lt;=4)*(BULK_END&gt;=4)))&gt;0,IFERROR(SUMPRODUCT(((BULK_ENABLED="Y")*((BULK_TIER="ALL")+(BULK_TIER=$F88))*((BULK_SKU="ALL")+(BULK_SKU=$G88))*(BULK_START&lt;=4)*(BULK_END&gt;=4))*IFERROR(BULK_VALUE,0))/MAX(1,SUMPRODUCT(((BULK_ENABLED="Y")*((BULK_TIER="ALL")+(BULK_TIER=$F88))*((BULK_SKU="ALL")+(BULK_SKU=$G88))*(BULK_START&lt;=4)*(BULK_END&gt;=4)))),0),ROUND((INDEX(VELOCITY_TABLE,MATCH($F88,TIER_LIST,0),3))*(IF((4-$I88+1)&lt;=0,0,IF((4-$I88+1)=1,RAMP_W1,IF((4-$I88+1)=2,RAMP_W2,IF((4-$I88+1)=3,RAMP_W3,RAMP_W4PLUS)))))*(INDEX(ACTIVE_MULT_TABLE,3,1))*(1+SUMPRODUCT(SIGN(((ACT_DOOR_SCOPE="ALL")+(ACT_DOOR_SCOPE="TIER_"&amp;$F88)+(ACT_DOOR_SCOPE=$B88)))*SIGN(((ACT_SKU_SCOPE="ALL")+(ACT_SKU_SCOPE=$G88)))*(ACT_START&lt;=4)*(ACT_END&gt;=4)*IFERROR(ACT_UPLIFT-1,0)))*(1+SUMPRODUCT(SIGN(((ACT_DOOR_SCOPE="ALL")+(ACT_DOOR_SCOPE="TIER_"&amp;$F88)+(ACT_DOOR_SCOPE=$B88)))*SIGN(((ACT_SKU_SCOPE="ALL")+(ACT_SKU_SCOPE=$G88)))*(4&gt;ACT_END)*(ACT_END&gt;0)*IFERROR(ACT_POSTLIFT,0))),0)))</f>
        <v/>
      </c>
      <c r="N88" s="10">
        <f>IF(OR($H88&lt;&gt;"Y",5&lt;$I88),0,IF(SUMPRODUCT(((BULK_ENABLED="Y")*((BULK_TIER="ALL")+(BULK_TIER=$F88))*((BULK_SKU="ALL")+(BULK_SKU=$G88))*(BULK_START&lt;=5)*(BULK_END&gt;=5)))&gt;0,IFERROR(SUMPRODUCT(((BULK_ENABLED="Y")*((BULK_TIER="ALL")+(BULK_TIER=$F88))*((BULK_SKU="ALL")+(BULK_SKU=$G88))*(BULK_START&lt;=5)*(BULK_END&gt;=5))*IFERROR(BULK_VALUE,0))/MAX(1,SUMPRODUCT(((BULK_ENABLED="Y")*((BULK_TIER="ALL")+(BULK_TIER=$F88))*((BULK_SKU="ALL")+(BULK_SKU=$G88))*(BULK_START&lt;=5)*(BULK_END&gt;=5)))),0),ROUND((INDEX(VELOCITY_TABLE,MATCH($F88,TIER_LIST,0),3))*(IF((5-$I88+1)&lt;=0,0,IF((5-$I88+1)=1,RAMP_W1,IF((5-$I88+1)=2,RAMP_W2,IF((5-$I88+1)=3,RAMP_W3,RAMP_W4PLUS)))))*(INDEX(ACTIVE_MULT_TABLE,3,1))*(1+SUMPRODUCT(SIGN(((ACT_DOOR_SCOPE="ALL")+(ACT_DOOR_SCOPE="TIER_"&amp;$F88)+(ACT_DOOR_SCOPE=$B88)))*SIGN(((ACT_SKU_SCOPE="ALL")+(ACT_SKU_SCOPE=$G88)))*(ACT_START&lt;=5)*(ACT_END&gt;=5)*IFERROR(ACT_UPLIFT-1,0)))*(1+SUMPRODUCT(SIGN(((ACT_DOOR_SCOPE="ALL")+(ACT_DOOR_SCOPE="TIER_"&amp;$F88)+(ACT_DOOR_SCOPE=$B88)))*SIGN(((ACT_SKU_SCOPE="ALL")+(ACT_SKU_SCOPE=$G88)))*(5&gt;ACT_END)*(ACT_END&gt;0)*IFERROR(ACT_POSTLIFT,0))),0)))</f>
        <v/>
      </c>
      <c r="O88" s="10">
        <f>IF(OR($H88&lt;&gt;"Y",6&lt;$I88),0,IF(SUMPRODUCT(((BULK_ENABLED="Y")*((BULK_TIER="ALL")+(BULK_TIER=$F88))*((BULK_SKU="ALL")+(BULK_SKU=$G88))*(BULK_START&lt;=6)*(BULK_END&gt;=6)))&gt;0,IFERROR(SUMPRODUCT(((BULK_ENABLED="Y")*((BULK_TIER="ALL")+(BULK_TIER=$F88))*((BULK_SKU="ALL")+(BULK_SKU=$G88))*(BULK_START&lt;=6)*(BULK_END&gt;=6))*IFERROR(BULK_VALUE,0))/MAX(1,SUMPRODUCT(((BULK_ENABLED="Y")*((BULK_TIER="ALL")+(BULK_TIER=$F88))*((BULK_SKU="ALL")+(BULK_SKU=$G88))*(BULK_START&lt;=6)*(BULK_END&gt;=6)))),0),ROUND((INDEX(VELOCITY_TABLE,MATCH($F88,TIER_LIST,0),3))*(IF((6-$I88+1)&lt;=0,0,IF((6-$I88+1)=1,RAMP_W1,IF((6-$I88+1)=2,RAMP_W2,IF((6-$I88+1)=3,RAMP_W3,RAMP_W4PLUS)))))*(INDEX(ACTIVE_MULT_TABLE,3,1))*(1+SUMPRODUCT(SIGN(((ACT_DOOR_SCOPE="ALL")+(ACT_DOOR_SCOPE="TIER_"&amp;$F88)+(ACT_DOOR_SCOPE=$B88)))*SIGN(((ACT_SKU_SCOPE="ALL")+(ACT_SKU_SCOPE=$G88)))*(ACT_START&lt;=6)*(ACT_END&gt;=6)*IFERROR(ACT_UPLIFT-1,0)))*(1+SUMPRODUCT(SIGN(((ACT_DOOR_SCOPE="ALL")+(ACT_DOOR_SCOPE="TIER_"&amp;$F88)+(ACT_DOOR_SCOPE=$B88)))*SIGN(((ACT_SKU_SCOPE="ALL")+(ACT_SKU_SCOPE=$G88)))*(6&gt;ACT_END)*(ACT_END&gt;0)*IFERROR(ACT_POSTLIFT,0))),0)))</f>
        <v/>
      </c>
      <c r="P88" s="10">
        <f>IF(OR($H88&lt;&gt;"Y",7&lt;$I88),0,IF(SUMPRODUCT(((BULK_ENABLED="Y")*((BULK_TIER="ALL")+(BULK_TIER=$F88))*((BULK_SKU="ALL")+(BULK_SKU=$G88))*(BULK_START&lt;=7)*(BULK_END&gt;=7)))&gt;0,IFERROR(SUMPRODUCT(((BULK_ENABLED="Y")*((BULK_TIER="ALL")+(BULK_TIER=$F88))*((BULK_SKU="ALL")+(BULK_SKU=$G88))*(BULK_START&lt;=7)*(BULK_END&gt;=7))*IFERROR(BULK_VALUE,0))/MAX(1,SUMPRODUCT(((BULK_ENABLED="Y")*((BULK_TIER="ALL")+(BULK_TIER=$F88))*((BULK_SKU="ALL")+(BULK_SKU=$G88))*(BULK_START&lt;=7)*(BULK_END&gt;=7)))),0),ROUND((INDEX(VELOCITY_TABLE,MATCH($F88,TIER_LIST,0),3))*(IF((7-$I88+1)&lt;=0,0,IF((7-$I88+1)=1,RAMP_W1,IF((7-$I88+1)=2,RAMP_W2,IF((7-$I88+1)=3,RAMP_W3,RAMP_W4PLUS)))))*(INDEX(ACTIVE_MULT_TABLE,3,1))*(1+SUMPRODUCT(SIGN(((ACT_DOOR_SCOPE="ALL")+(ACT_DOOR_SCOPE="TIER_"&amp;$F88)+(ACT_DOOR_SCOPE=$B88)))*SIGN(((ACT_SKU_SCOPE="ALL")+(ACT_SKU_SCOPE=$G88)))*(ACT_START&lt;=7)*(ACT_END&gt;=7)*IFERROR(ACT_UPLIFT-1,0)))*(1+SUMPRODUCT(SIGN(((ACT_DOOR_SCOPE="ALL")+(ACT_DOOR_SCOPE="TIER_"&amp;$F88)+(ACT_DOOR_SCOPE=$B88)))*SIGN(((ACT_SKU_SCOPE="ALL")+(ACT_SKU_SCOPE=$G88)))*(7&gt;ACT_END)*(ACT_END&gt;0)*IFERROR(ACT_POSTLIFT,0))),0)))</f>
        <v/>
      </c>
      <c r="Q88" s="10">
        <f>IF(OR($H88&lt;&gt;"Y",8&lt;$I88),0,IF(SUMPRODUCT(((BULK_ENABLED="Y")*((BULK_TIER="ALL")+(BULK_TIER=$F88))*((BULK_SKU="ALL")+(BULK_SKU=$G88))*(BULK_START&lt;=8)*(BULK_END&gt;=8)))&gt;0,IFERROR(SUMPRODUCT(((BULK_ENABLED="Y")*((BULK_TIER="ALL")+(BULK_TIER=$F88))*((BULK_SKU="ALL")+(BULK_SKU=$G88))*(BULK_START&lt;=8)*(BULK_END&gt;=8))*IFERROR(BULK_VALUE,0))/MAX(1,SUMPRODUCT(((BULK_ENABLED="Y")*((BULK_TIER="ALL")+(BULK_TIER=$F88))*((BULK_SKU="ALL")+(BULK_SKU=$G88))*(BULK_START&lt;=8)*(BULK_END&gt;=8)))),0),ROUND((INDEX(VELOCITY_TABLE,MATCH($F88,TIER_LIST,0),3))*(IF((8-$I88+1)&lt;=0,0,IF((8-$I88+1)=1,RAMP_W1,IF((8-$I88+1)=2,RAMP_W2,IF((8-$I88+1)=3,RAMP_W3,RAMP_W4PLUS)))))*(INDEX(ACTIVE_MULT_TABLE,3,1))*(1+SUMPRODUCT(SIGN(((ACT_DOOR_SCOPE="ALL")+(ACT_DOOR_SCOPE="TIER_"&amp;$F88)+(ACT_DOOR_SCOPE=$B88)))*SIGN(((ACT_SKU_SCOPE="ALL")+(ACT_SKU_SCOPE=$G88)))*(ACT_START&lt;=8)*(ACT_END&gt;=8)*IFERROR(ACT_UPLIFT-1,0)))*(1+SUMPRODUCT(SIGN(((ACT_DOOR_SCOPE="ALL")+(ACT_DOOR_SCOPE="TIER_"&amp;$F88)+(ACT_DOOR_SCOPE=$B88)))*SIGN(((ACT_SKU_SCOPE="ALL")+(ACT_SKU_SCOPE=$G88)))*(8&gt;ACT_END)*(ACT_END&gt;0)*IFERROR(ACT_POSTLIFT,0))),0)))</f>
        <v/>
      </c>
      <c r="R88" s="10">
        <f>IF(OR($H88&lt;&gt;"Y",9&lt;$I88),0,IF(SUMPRODUCT(((BULK_ENABLED="Y")*((BULK_TIER="ALL")+(BULK_TIER=$F88))*((BULK_SKU="ALL")+(BULK_SKU=$G88))*(BULK_START&lt;=9)*(BULK_END&gt;=9)))&gt;0,IFERROR(SUMPRODUCT(((BULK_ENABLED="Y")*((BULK_TIER="ALL")+(BULK_TIER=$F88))*((BULK_SKU="ALL")+(BULK_SKU=$G88))*(BULK_START&lt;=9)*(BULK_END&gt;=9))*IFERROR(BULK_VALUE,0))/MAX(1,SUMPRODUCT(((BULK_ENABLED="Y")*((BULK_TIER="ALL")+(BULK_TIER=$F88))*((BULK_SKU="ALL")+(BULK_SKU=$G88))*(BULK_START&lt;=9)*(BULK_END&gt;=9)))),0),ROUND((INDEX(VELOCITY_TABLE,MATCH($F88,TIER_LIST,0),3))*(IF((9-$I88+1)&lt;=0,0,IF((9-$I88+1)=1,RAMP_W1,IF((9-$I88+1)=2,RAMP_W2,IF((9-$I88+1)=3,RAMP_W3,RAMP_W4PLUS)))))*(INDEX(ACTIVE_MULT_TABLE,3,1))*(1+SUMPRODUCT(SIGN(((ACT_DOOR_SCOPE="ALL")+(ACT_DOOR_SCOPE="TIER_"&amp;$F88)+(ACT_DOOR_SCOPE=$B88)))*SIGN(((ACT_SKU_SCOPE="ALL")+(ACT_SKU_SCOPE=$G88)))*(ACT_START&lt;=9)*(ACT_END&gt;=9)*IFERROR(ACT_UPLIFT-1,0)))*(1+SUMPRODUCT(SIGN(((ACT_DOOR_SCOPE="ALL")+(ACT_DOOR_SCOPE="TIER_"&amp;$F88)+(ACT_DOOR_SCOPE=$B88)))*SIGN(((ACT_SKU_SCOPE="ALL")+(ACT_SKU_SCOPE=$G88)))*(9&gt;ACT_END)*(ACT_END&gt;0)*IFERROR(ACT_POSTLIFT,0))),0)))</f>
        <v/>
      </c>
      <c r="S88" s="10">
        <f>IF(OR($H88&lt;&gt;"Y",10&lt;$I88),0,IF(SUMPRODUCT(((BULK_ENABLED="Y")*((BULK_TIER="ALL")+(BULK_TIER=$F88))*((BULK_SKU="ALL")+(BULK_SKU=$G88))*(BULK_START&lt;=10)*(BULK_END&gt;=10)))&gt;0,IFERROR(SUMPRODUCT(((BULK_ENABLED="Y")*((BULK_TIER="ALL")+(BULK_TIER=$F88))*((BULK_SKU="ALL")+(BULK_SKU=$G88))*(BULK_START&lt;=10)*(BULK_END&gt;=10))*IFERROR(BULK_VALUE,0))/MAX(1,SUMPRODUCT(((BULK_ENABLED="Y")*((BULK_TIER="ALL")+(BULK_TIER=$F88))*((BULK_SKU="ALL")+(BULK_SKU=$G88))*(BULK_START&lt;=10)*(BULK_END&gt;=10)))),0),ROUND((INDEX(VELOCITY_TABLE,MATCH($F88,TIER_LIST,0),3))*(IF((10-$I88+1)&lt;=0,0,IF((10-$I88+1)=1,RAMP_W1,IF((10-$I88+1)=2,RAMP_W2,IF((10-$I88+1)=3,RAMP_W3,RAMP_W4PLUS)))))*(INDEX(ACTIVE_MULT_TABLE,3,1))*(1+SUMPRODUCT(SIGN(((ACT_DOOR_SCOPE="ALL")+(ACT_DOOR_SCOPE="TIER_"&amp;$F88)+(ACT_DOOR_SCOPE=$B88)))*SIGN(((ACT_SKU_SCOPE="ALL")+(ACT_SKU_SCOPE=$G88)))*(ACT_START&lt;=10)*(ACT_END&gt;=10)*IFERROR(ACT_UPLIFT-1,0)))*(1+SUMPRODUCT(SIGN(((ACT_DOOR_SCOPE="ALL")+(ACT_DOOR_SCOPE="TIER_"&amp;$F88)+(ACT_DOOR_SCOPE=$B88)))*SIGN(((ACT_SKU_SCOPE="ALL")+(ACT_SKU_SCOPE=$G88)))*(10&gt;ACT_END)*(ACT_END&gt;0)*IFERROR(ACT_POSTLIFT,0))),0)))</f>
        <v/>
      </c>
      <c r="T88" s="10">
        <f>IF(OR($H88&lt;&gt;"Y",11&lt;$I88),0,IF(SUMPRODUCT(((BULK_ENABLED="Y")*((BULK_TIER="ALL")+(BULK_TIER=$F88))*((BULK_SKU="ALL")+(BULK_SKU=$G88))*(BULK_START&lt;=11)*(BULK_END&gt;=11)))&gt;0,IFERROR(SUMPRODUCT(((BULK_ENABLED="Y")*((BULK_TIER="ALL")+(BULK_TIER=$F88))*((BULK_SKU="ALL")+(BULK_SKU=$G88))*(BULK_START&lt;=11)*(BULK_END&gt;=11))*IFERROR(BULK_VALUE,0))/MAX(1,SUMPRODUCT(((BULK_ENABLED="Y")*((BULK_TIER="ALL")+(BULK_TIER=$F88))*((BULK_SKU="ALL")+(BULK_SKU=$G88))*(BULK_START&lt;=11)*(BULK_END&gt;=11)))),0),ROUND((INDEX(VELOCITY_TABLE,MATCH($F88,TIER_LIST,0),3))*(IF((11-$I88+1)&lt;=0,0,IF((11-$I88+1)=1,RAMP_W1,IF((11-$I88+1)=2,RAMP_W2,IF((11-$I88+1)=3,RAMP_W3,RAMP_W4PLUS)))))*(INDEX(ACTIVE_MULT_TABLE,3,1))*(1+SUMPRODUCT(SIGN(((ACT_DOOR_SCOPE="ALL")+(ACT_DOOR_SCOPE="TIER_"&amp;$F88)+(ACT_DOOR_SCOPE=$B88)))*SIGN(((ACT_SKU_SCOPE="ALL")+(ACT_SKU_SCOPE=$G88)))*(ACT_START&lt;=11)*(ACT_END&gt;=11)*IFERROR(ACT_UPLIFT-1,0)))*(1+SUMPRODUCT(SIGN(((ACT_DOOR_SCOPE="ALL")+(ACT_DOOR_SCOPE="TIER_"&amp;$F88)+(ACT_DOOR_SCOPE=$B88)))*SIGN(((ACT_SKU_SCOPE="ALL")+(ACT_SKU_SCOPE=$G88)))*(11&gt;ACT_END)*(ACT_END&gt;0)*IFERROR(ACT_POSTLIFT,0))),0)))</f>
        <v/>
      </c>
      <c r="U88" s="10">
        <f>IF(OR($H88&lt;&gt;"Y",12&lt;$I88),0,IF(SUMPRODUCT(((BULK_ENABLED="Y")*((BULK_TIER="ALL")+(BULK_TIER=$F88))*((BULK_SKU="ALL")+(BULK_SKU=$G88))*(BULK_START&lt;=12)*(BULK_END&gt;=12)))&gt;0,IFERROR(SUMPRODUCT(((BULK_ENABLED="Y")*((BULK_TIER="ALL")+(BULK_TIER=$F88))*((BULK_SKU="ALL")+(BULK_SKU=$G88))*(BULK_START&lt;=12)*(BULK_END&gt;=12))*IFERROR(BULK_VALUE,0))/MAX(1,SUMPRODUCT(((BULK_ENABLED="Y")*((BULK_TIER="ALL")+(BULK_TIER=$F88))*((BULK_SKU="ALL")+(BULK_SKU=$G88))*(BULK_START&lt;=12)*(BULK_END&gt;=12)))),0),ROUND((INDEX(VELOCITY_TABLE,MATCH($F88,TIER_LIST,0),3))*(IF((12-$I88+1)&lt;=0,0,IF((12-$I88+1)=1,RAMP_W1,IF((12-$I88+1)=2,RAMP_W2,IF((12-$I88+1)=3,RAMP_W3,RAMP_W4PLUS)))))*(INDEX(ACTIVE_MULT_TABLE,3,1))*(1+SUMPRODUCT(SIGN(((ACT_DOOR_SCOPE="ALL")+(ACT_DOOR_SCOPE="TIER_"&amp;$F88)+(ACT_DOOR_SCOPE=$B88)))*SIGN(((ACT_SKU_SCOPE="ALL")+(ACT_SKU_SCOPE=$G88)))*(ACT_START&lt;=12)*(ACT_END&gt;=12)*IFERROR(ACT_UPLIFT-1,0)))*(1+SUMPRODUCT(SIGN(((ACT_DOOR_SCOPE="ALL")+(ACT_DOOR_SCOPE="TIER_"&amp;$F88)+(ACT_DOOR_SCOPE=$B88)))*SIGN(((ACT_SKU_SCOPE="ALL")+(ACT_SKU_SCOPE=$G88)))*(12&gt;ACT_END)*(ACT_END&gt;0)*IFERROR(ACT_POSTLIFT,0))),0)))</f>
        <v/>
      </c>
      <c r="V88" s="10">
        <f>IF(OR($H88&lt;&gt;"Y",13&lt;$I88),0,IF(SUMPRODUCT(((BULK_ENABLED="Y")*((BULK_TIER="ALL")+(BULK_TIER=$F88))*((BULK_SKU="ALL")+(BULK_SKU=$G88))*(BULK_START&lt;=13)*(BULK_END&gt;=13)))&gt;0,IFERROR(SUMPRODUCT(((BULK_ENABLED="Y")*((BULK_TIER="ALL")+(BULK_TIER=$F88))*((BULK_SKU="ALL")+(BULK_SKU=$G88))*(BULK_START&lt;=13)*(BULK_END&gt;=13))*IFERROR(BULK_VALUE,0))/MAX(1,SUMPRODUCT(((BULK_ENABLED="Y")*((BULK_TIER="ALL")+(BULK_TIER=$F88))*((BULK_SKU="ALL")+(BULK_SKU=$G88))*(BULK_START&lt;=13)*(BULK_END&gt;=13)))),0),ROUND((INDEX(VELOCITY_TABLE,MATCH($F88,TIER_LIST,0),3))*(IF((13-$I88+1)&lt;=0,0,IF((13-$I88+1)=1,RAMP_W1,IF((13-$I88+1)=2,RAMP_W2,IF((13-$I88+1)=3,RAMP_W3,RAMP_W4PLUS)))))*(INDEX(ACTIVE_MULT_TABLE,3,1))*(1+SUMPRODUCT(SIGN(((ACT_DOOR_SCOPE="ALL")+(ACT_DOOR_SCOPE="TIER_"&amp;$F88)+(ACT_DOOR_SCOPE=$B88)))*SIGN(((ACT_SKU_SCOPE="ALL")+(ACT_SKU_SCOPE=$G88)))*(ACT_START&lt;=13)*(ACT_END&gt;=13)*IFERROR(ACT_UPLIFT-1,0)))*(1+SUMPRODUCT(SIGN(((ACT_DOOR_SCOPE="ALL")+(ACT_DOOR_SCOPE="TIER_"&amp;$F88)+(ACT_DOOR_SCOPE=$B88)))*SIGN(((ACT_SKU_SCOPE="ALL")+(ACT_SKU_SCOPE=$G88)))*(13&gt;ACT_END)*(ACT_END&gt;0)*IFERROR(ACT_POSTLIFT,0))),0)))</f>
        <v/>
      </c>
    </row>
    <row r="89">
      <c r="A89" t="inlineStr">
        <is>
          <t>R0085</t>
        </is>
      </c>
      <c r="B89">
        <f>Doors!$A$33</f>
        <v/>
      </c>
      <c r="C89">
        <f>Doors!$C$33</f>
        <v/>
      </c>
      <c r="D89">
        <f>Doors!$B$33</f>
        <v/>
      </c>
      <c r="E89">
        <f>Doors!$E$33</f>
        <v/>
      </c>
      <c r="F89">
        <f>Doors!$F$33</f>
        <v/>
      </c>
      <c r="G89" t="inlineStr">
        <is>
          <t>Lime Lemon</t>
        </is>
      </c>
      <c r="H89">
        <f>Doors!$G$33</f>
        <v/>
      </c>
      <c r="I89">
        <f>Doors!$J$33</f>
        <v/>
      </c>
      <c r="J89" s="10">
        <f>IF(OR($H89&lt;&gt;"Y",1&lt;$I89),0,IF(SUMPRODUCT(((BULK_ENABLED="Y")*((BULK_TIER="ALL")+(BULK_TIER=$F89))*((BULK_SKU="ALL")+(BULK_SKU=$G89))*(BULK_START&lt;=1)*(BULK_END&gt;=1)))&gt;0,IFERROR(SUMPRODUCT(((BULK_ENABLED="Y")*((BULK_TIER="ALL")+(BULK_TIER=$F89))*((BULK_SKU="ALL")+(BULK_SKU=$G89))*(BULK_START&lt;=1)*(BULK_END&gt;=1))*IFERROR(BULK_VALUE,0))/MAX(1,SUMPRODUCT(((BULK_ENABLED="Y")*((BULK_TIER="ALL")+(BULK_TIER=$F89))*((BULK_SKU="ALL")+(BULK_SKU=$G89))*(BULK_START&lt;=1)*(BULK_END&gt;=1)))),0),ROUND((INDEX(VELOCITY_TABLE,MATCH($F89,TIER_LIST,0),1))*(IF((1-$I89+1)&lt;=0,0,IF((1-$I89+1)=1,RAMP_W1,IF((1-$I89+1)=2,RAMP_W2,IF((1-$I89+1)=3,RAMP_W3,RAMP_W4PLUS)))))*(INDEX(ACTIVE_MULT_TABLE,1,1))*(1+SUMPRODUCT(SIGN(((ACT_DOOR_SCOPE="ALL")+(ACT_DOOR_SCOPE="TIER_"&amp;$F89)+(ACT_DOOR_SCOPE=$B89)))*SIGN(((ACT_SKU_SCOPE="ALL")+(ACT_SKU_SCOPE=$G89)))*(ACT_START&lt;=1)*(ACT_END&gt;=1)*IFERROR(ACT_UPLIFT-1,0)))*(1+SUMPRODUCT(SIGN(((ACT_DOOR_SCOPE="ALL")+(ACT_DOOR_SCOPE="TIER_"&amp;$F89)+(ACT_DOOR_SCOPE=$B89)))*SIGN(((ACT_SKU_SCOPE="ALL")+(ACT_SKU_SCOPE=$G89)))*(1&gt;ACT_END)*(ACT_END&gt;0)*IFERROR(ACT_POSTLIFT,0))),0)))</f>
        <v/>
      </c>
      <c r="K89" s="10">
        <f>IF(OR($H89&lt;&gt;"Y",2&lt;$I89),0,IF(SUMPRODUCT(((BULK_ENABLED="Y")*((BULK_TIER="ALL")+(BULK_TIER=$F89))*((BULK_SKU="ALL")+(BULK_SKU=$G89))*(BULK_START&lt;=2)*(BULK_END&gt;=2)))&gt;0,IFERROR(SUMPRODUCT(((BULK_ENABLED="Y")*((BULK_TIER="ALL")+(BULK_TIER=$F89))*((BULK_SKU="ALL")+(BULK_SKU=$G89))*(BULK_START&lt;=2)*(BULK_END&gt;=2))*IFERROR(BULK_VALUE,0))/MAX(1,SUMPRODUCT(((BULK_ENABLED="Y")*((BULK_TIER="ALL")+(BULK_TIER=$F89))*((BULK_SKU="ALL")+(BULK_SKU=$G89))*(BULK_START&lt;=2)*(BULK_END&gt;=2)))),0),ROUND((INDEX(VELOCITY_TABLE,MATCH($F89,TIER_LIST,0),1))*(IF((2-$I89+1)&lt;=0,0,IF((2-$I89+1)=1,RAMP_W1,IF((2-$I89+1)=2,RAMP_W2,IF((2-$I89+1)=3,RAMP_W3,RAMP_W4PLUS)))))*(INDEX(ACTIVE_MULT_TABLE,1,1))*(1+SUMPRODUCT(SIGN(((ACT_DOOR_SCOPE="ALL")+(ACT_DOOR_SCOPE="TIER_"&amp;$F89)+(ACT_DOOR_SCOPE=$B89)))*SIGN(((ACT_SKU_SCOPE="ALL")+(ACT_SKU_SCOPE=$G89)))*(ACT_START&lt;=2)*(ACT_END&gt;=2)*IFERROR(ACT_UPLIFT-1,0)))*(1+SUMPRODUCT(SIGN(((ACT_DOOR_SCOPE="ALL")+(ACT_DOOR_SCOPE="TIER_"&amp;$F89)+(ACT_DOOR_SCOPE=$B89)))*SIGN(((ACT_SKU_SCOPE="ALL")+(ACT_SKU_SCOPE=$G89)))*(2&gt;ACT_END)*(ACT_END&gt;0)*IFERROR(ACT_POSTLIFT,0))),0)))</f>
        <v/>
      </c>
      <c r="L89" s="10">
        <f>IF(OR($H89&lt;&gt;"Y",3&lt;$I89),0,IF(SUMPRODUCT(((BULK_ENABLED="Y")*((BULK_TIER="ALL")+(BULK_TIER=$F89))*((BULK_SKU="ALL")+(BULK_SKU=$G89))*(BULK_START&lt;=3)*(BULK_END&gt;=3)))&gt;0,IFERROR(SUMPRODUCT(((BULK_ENABLED="Y")*((BULK_TIER="ALL")+(BULK_TIER=$F89))*((BULK_SKU="ALL")+(BULK_SKU=$G89))*(BULK_START&lt;=3)*(BULK_END&gt;=3))*IFERROR(BULK_VALUE,0))/MAX(1,SUMPRODUCT(((BULK_ENABLED="Y")*((BULK_TIER="ALL")+(BULK_TIER=$F89))*((BULK_SKU="ALL")+(BULK_SKU=$G89))*(BULK_START&lt;=3)*(BULK_END&gt;=3)))),0),ROUND((INDEX(VELOCITY_TABLE,MATCH($F89,TIER_LIST,0),1))*(IF((3-$I89+1)&lt;=0,0,IF((3-$I89+1)=1,RAMP_W1,IF((3-$I89+1)=2,RAMP_W2,IF((3-$I89+1)=3,RAMP_W3,RAMP_W4PLUS)))))*(INDEX(ACTIVE_MULT_TABLE,1,1))*(1+SUMPRODUCT(SIGN(((ACT_DOOR_SCOPE="ALL")+(ACT_DOOR_SCOPE="TIER_"&amp;$F89)+(ACT_DOOR_SCOPE=$B89)))*SIGN(((ACT_SKU_SCOPE="ALL")+(ACT_SKU_SCOPE=$G89)))*(ACT_START&lt;=3)*(ACT_END&gt;=3)*IFERROR(ACT_UPLIFT-1,0)))*(1+SUMPRODUCT(SIGN(((ACT_DOOR_SCOPE="ALL")+(ACT_DOOR_SCOPE="TIER_"&amp;$F89)+(ACT_DOOR_SCOPE=$B89)))*SIGN(((ACT_SKU_SCOPE="ALL")+(ACT_SKU_SCOPE=$G89)))*(3&gt;ACT_END)*(ACT_END&gt;0)*IFERROR(ACT_POSTLIFT,0))),0)))</f>
        <v/>
      </c>
      <c r="M89" s="10">
        <f>IF(OR($H89&lt;&gt;"Y",4&lt;$I89),0,IF(SUMPRODUCT(((BULK_ENABLED="Y")*((BULK_TIER="ALL")+(BULK_TIER=$F89))*((BULK_SKU="ALL")+(BULK_SKU=$G89))*(BULK_START&lt;=4)*(BULK_END&gt;=4)))&gt;0,IFERROR(SUMPRODUCT(((BULK_ENABLED="Y")*((BULK_TIER="ALL")+(BULK_TIER=$F89))*((BULK_SKU="ALL")+(BULK_SKU=$G89))*(BULK_START&lt;=4)*(BULK_END&gt;=4))*IFERROR(BULK_VALUE,0))/MAX(1,SUMPRODUCT(((BULK_ENABLED="Y")*((BULK_TIER="ALL")+(BULK_TIER=$F89))*((BULK_SKU="ALL")+(BULK_SKU=$G89))*(BULK_START&lt;=4)*(BULK_END&gt;=4)))),0),ROUND((INDEX(VELOCITY_TABLE,MATCH($F89,TIER_LIST,0),1))*(IF((4-$I89+1)&lt;=0,0,IF((4-$I89+1)=1,RAMP_W1,IF((4-$I89+1)=2,RAMP_W2,IF((4-$I89+1)=3,RAMP_W3,RAMP_W4PLUS)))))*(INDEX(ACTIVE_MULT_TABLE,1,1))*(1+SUMPRODUCT(SIGN(((ACT_DOOR_SCOPE="ALL")+(ACT_DOOR_SCOPE="TIER_"&amp;$F89)+(ACT_DOOR_SCOPE=$B89)))*SIGN(((ACT_SKU_SCOPE="ALL")+(ACT_SKU_SCOPE=$G89)))*(ACT_START&lt;=4)*(ACT_END&gt;=4)*IFERROR(ACT_UPLIFT-1,0)))*(1+SUMPRODUCT(SIGN(((ACT_DOOR_SCOPE="ALL")+(ACT_DOOR_SCOPE="TIER_"&amp;$F89)+(ACT_DOOR_SCOPE=$B89)))*SIGN(((ACT_SKU_SCOPE="ALL")+(ACT_SKU_SCOPE=$G89)))*(4&gt;ACT_END)*(ACT_END&gt;0)*IFERROR(ACT_POSTLIFT,0))),0)))</f>
        <v/>
      </c>
      <c r="N89" s="10">
        <f>IF(OR($H89&lt;&gt;"Y",5&lt;$I89),0,IF(SUMPRODUCT(((BULK_ENABLED="Y")*((BULK_TIER="ALL")+(BULK_TIER=$F89))*((BULK_SKU="ALL")+(BULK_SKU=$G89))*(BULK_START&lt;=5)*(BULK_END&gt;=5)))&gt;0,IFERROR(SUMPRODUCT(((BULK_ENABLED="Y")*((BULK_TIER="ALL")+(BULK_TIER=$F89))*((BULK_SKU="ALL")+(BULK_SKU=$G89))*(BULK_START&lt;=5)*(BULK_END&gt;=5))*IFERROR(BULK_VALUE,0))/MAX(1,SUMPRODUCT(((BULK_ENABLED="Y")*((BULK_TIER="ALL")+(BULK_TIER=$F89))*((BULK_SKU="ALL")+(BULK_SKU=$G89))*(BULK_START&lt;=5)*(BULK_END&gt;=5)))),0),ROUND((INDEX(VELOCITY_TABLE,MATCH($F89,TIER_LIST,0),1))*(IF((5-$I89+1)&lt;=0,0,IF((5-$I89+1)=1,RAMP_W1,IF((5-$I89+1)=2,RAMP_W2,IF((5-$I89+1)=3,RAMP_W3,RAMP_W4PLUS)))))*(INDEX(ACTIVE_MULT_TABLE,1,1))*(1+SUMPRODUCT(SIGN(((ACT_DOOR_SCOPE="ALL")+(ACT_DOOR_SCOPE="TIER_"&amp;$F89)+(ACT_DOOR_SCOPE=$B89)))*SIGN(((ACT_SKU_SCOPE="ALL")+(ACT_SKU_SCOPE=$G89)))*(ACT_START&lt;=5)*(ACT_END&gt;=5)*IFERROR(ACT_UPLIFT-1,0)))*(1+SUMPRODUCT(SIGN(((ACT_DOOR_SCOPE="ALL")+(ACT_DOOR_SCOPE="TIER_"&amp;$F89)+(ACT_DOOR_SCOPE=$B89)))*SIGN(((ACT_SKU_SCOPE="ALL")+(ACT_SKU_SCOPE=$G89)))*(5&gt;ACT_END)*(ACT_END&gt;0)*IFERROR(ACT_POSTLIFT,0))),0)))</f>
        <v/>
      </c>
      <c r="O89" s="10">
        <f>IF(OR($H89&lt;&gt;"Y",6&lt;$I89),0,IF(SUMPRODUCT(((BULK_ENABLED="Y")*((BULK_TIER="ALL")+(BULK_TIER=$F89))*((BULK_SKU="ALL")+(BULK_SKU=$G89))*(BULK_START&lt;=6)*(BULK_END&gt;=6)))&gt;0,IFERROR(SUMPRODUCT(((BULK_ENABLED="Y")*((BULK_TIER="ALL")+(BULK_TIER=$F89))*((BULK_SKU="ALL")+(BULK_SKU=$G89))*(BULK_START&lt;=6)*(BULK_END&gt;=6))*IFERROR(BULK_VALUE,0))/MAX(1,SUMPRODUCT(((BULK_ENABLED="Y")*((BULK_TIER="ALL")+(BULK_TIER=$F89))*((BULK_SKU="ALL")+(BULK_SKU=$G89))*(BULK_START&lt;=6)*(BULK_END&gt;=6)))),0),ROUND((INDEX(VELOCITY_TABLE,MATCH($F89,TIER_LIST,0),1))*(IF((6-$I89+1)&lt;=0,0,IF((6-$I89+1)=1,RAMP_W1,IF((6-$I89+1)=2,RAMP_W2,IF((6-$I89+1)=3,RAMP_W3,RAMP_W4PLUS)))))*(INDEX(ACTIVE_MULT_TABLE,1,1))*(1+SUMPRODUCT(SIGN(((ACT_DOOR_SCOPE="ALL")+(ACT_DOOR_SCOPE="TIER_"&amp;$F89)+(ACT_DOOR_SCOPE=$B89)))*SIGN(((ACT_SKU_SCOPE="ALL")+(ACT_SKU_SCOPE=$G89)))*(ACT_START&lt;=6)*(ACT_END&gt;=6)*IFERROR(ACT_UPLIFT-1,0)))*(1+SUMPRODUCT(SIGN(((ACT_DOOR_SCOPE="ALL")+(ACT_DOOR_SCOPE="TIER_"&amp;$F89)+(ACT_DOOR_SCOPE=$B89)))*SIGN(((ACT_SKU_SCOPE="ALL")+(ACT_SKU_SCOPE=$G89)))*(6&gt;ACT_END)*(ACT_END&gt;0)*IFERROR(ACT_POSTLIFT,0))),0)))</f>
        <v/>
      </c>
      <c r="P89" s="10">
        <f>IF(OR($H89&lt;&gt;"Y",7&lt;$I89),0,IF(SUMPRODUCT(((BULK_ENABLED="Y")*((BULK_TIER="ALL")+(BULK_TIER=$F89))*((BULK_SKU="ALL")+(BULK_SKU=$G89))*(BULK_START&lt;=7)*(BULK_END&gt;=7)))&gt;0,IFERROR(SUMPRODUCT(((BULK_ENABLED="Y")*((BULK_TIER="ALL")+(BULK_TIER=$F89))*((BULK_SKU="ALL")+(BULK_SKU=$G89))*(BULK_START&lt;=7)*(BULK_END&gt;=7))*IFERROR(BULK_VALUE,0))/MAX(1,SUMPRODUCT(((BULK_ENABLED="Y")*((BULK_TIER="ALL")+(BULK_TIER=$F89))*((BULK_SKU="ALL")+(BULK_SKU=$G89))*(BULK_START&lt;=7)*(BULK_END&gt;=7)))),0),ROUND((INDEX(VELOCITY_TABLE,MATCH($F89,TIER_LIST,0),1))*(IF((7-$I89+1)&lt;=0,0,IF((7-$I89+1)=1,RAMP_W1,IF((7-$I89+1)=2,RAMP_W2,IF((7-$I89+1)=3,RAMP_W3,RAMP_W4PLUS)))))*(INDEX(ACTIVE_MULT_TABLE,1,1))*(1+SUMPRODUCT(SIGN(((ACT_DOOR_SCOPE="ALL")+(ACT_DOOR_SCOPE="TIER_"&amp;$F89)+(ACT_DOOR_SCOPE=$B89)))*SIGN(((ACT_SKU_SCOPE="ALL")+(ACT_SKU_SCOPE=$G89)))*(ACT_START&lt;=7)*(ACT_END&gt;=7)*IFERROR(ACT_UPLIFT-1,0)))*(1+SUMPRODUCT(SIGN(((ACT_DOOR_SCOPE="ALL")+(ACT_DOOR_SCOPE="TIER_"&amp;$F89)+(ACT_DOOR_SCOPE=$B89)))*SIGN(((ACT_SKU_SCOPE="ALL")+(ACT_SKU_SCOPE=$G89)))*(7&gt;ACT_END)*(ACT_END&gt;0)*IFERROR(ACT_POSTLIFT,0))),0)))</f>
        <v/>
      </c>
      <c r="Q89" s="10">
        <f>IF(OR($H89&lt;&gt;"Y",8&lt;$I89),0,IF(SUMPRODUCT(((BULK_ENABLED="Y")*((BULK_TIER="ALL")+(BULK_TIER=$F89))*((BULK_SKU="ALL")+(BULK_SKU=$G89))*(BULK_START&lt;=8)*(BULK_END&gt;=8)))&gt;0,IFERROR(SUMPRODUCT(((BULK_ENABLED="Y")*((BULK_TIER="ALL")+(BULK_TIER=$F89))*((BULK_SKU="ALL")+(BULK_SKU=$G89))*(BULK_START&lt;=8)*(BULK_END&gt;=8))*IFERROR(BULK_VALUE,0))/MAX(1,SUMPRODUCT(((BULK_ENABLED="Y")*((BULK_TIER="ALL")+(BULK_TIER=$F89))*((BULK_SKU="ALL")+(BULK_SKU=$G89))*(BULK_START&lt;=8)*(BULK_END&gt;=8)))),0),ROUND((INDEX(VELOCITY_TABLE,MATCH($F89,TIER_LIST,0),1))*(IF((8-$I89+1)&lt;=0,0,IF((8-$I89+1)=1,RAMP_W1,IF((8-$I89+1)=2,RAMP_W2,IF((8-$I89+1)=3,RAMP_W3,RAMP_W4PLUS)))))*(INDEX(ACTIVE_MULT_TABLE,1,1))*(1+SUMPRODUCT(SIGN(((ACT_DOOR_SCOPE="ALL")+(ACT_DOOR_SCOPE="TIER_"&amp;$F89)+(ACT_DOOR_SCOPE=$B89)))*SIGN(((ACT_SKU_SCOPE="ALL")+(ACT_SKU_SCOPE=$G89)))*(ACT_START&lt;=8)*(ACT_END&gt;=8)*IFERROR(ACT_UPLIFT-1,0)))*(1+SUMPRODUCT(SIGN(((ACT_DOOR_SCOPE="ALL")+(ACT_DOOR_SCOPE="TIER_"&amp;$F89)+(ACT_DOOR_SCOPE=$B89)))*SIGN(((ACT_SKU_SCOPE="ALL")+(ACT_SKU_SCOPE=$G89)))*(8&gt;ACT_END)*(ACT_END&gt;0)*IFERROR(ACT_POSTLIFT,0))),0)))</f>
        <v/>
      </c>
      <c r="R89" s="10">
        <f>IF(OR($H89&lt;&gt;"Y",9&lt;$I89),0,IF(SUMPRODUCT(((BULK_ENABLED="Y")*((BULK_TIER="ALL")+(BULK_TIER=$F89))*((BULK_SKU="ALL")+(BULK_SKU=$G89))*(BULK_START&lt;=9)*(BULK_END&gt;=9)))&gt;0,IFERROR(SUMPRODUCT(((BULK_ENABLED="Y")*((BULK_TIER="ALL")+(BULK_TIER=$F89))*((BULK_SKU="ALL")+(BULK_SKU=$G89))*(BULK_START&lt;=9)*(BULK_END&gt;=9))*IFERROR(BULK_VALUE,0))/MAX(1,SUMPRODUCT(((BULK_ENABLED="Y")*((BULK_TIER="ALL")+(BULK_TIER=$F89))*((BULK_SKU="ALL")+(BULK_SKU=$G89))*(BULK_START&lt;=9)*(BULK_END&gt;=9)))),0),ROUND((INDEX(VELOCITY_TABLE,MATCH($F89,TIER_LIST,0),1))*(IF((9-$I89+1)&lt;=0,0,IF((9-$I89+1)=1,RAMP_W1,IF((9-$I89+1)=2,RAMP_W2,IF((9-$I89+1)=3,RAMP_W3,RAMP_W4PLUS)))))*(INDEX(ACTIVE_MULT_TABLE,1,1))*(1+SUMPRODUCT(SIGN(((ACT_DOOR_SCOPE="ALL")+(ACT_DOOR_SCOPE="TIER_"&amp;$F89)+(ACT_DOOR_SCOPE=$B89)))*SIGN(((ACT_SKU_SCOPE="ALL")+(ACT_SKU_SCOPE=$G89)))*(ACT_START&lt;=9)*(ACT_END&gt;=9)*IFERROR(ACT_UPLIFT-1,0)))*(1+SUMPRODUCT(SIGN(((ACT_DOOR_SCOPE="ALL")+(ACT_DOOR_SCOPE="TIER_"&amp;$F89)+(ACT_DOOR_SCOPE=$B89)))*SIGN(((ACT_SKU_SCOPE="ALL")+(ACT_SKU_SCOPE=$G89)))*(9&gt;ACT_END)*(ACT_END&gt;0)*IFERROR(ACT_POSTLIFT,0))),0)))</f>
        <v/>
      </c>
      <c r="S89" s="10">
        <f>IF(OR($H89&lt;&gt;"Y",10&lt;$I89),0,IF(SUMPRODUCT(((BULK_ENABLED="Y")*((BULK_TIER="ALL")+(BULK_TIER=$F89))*((BULK_SKU="ALL")+(BULK_SKU=$G89))*(BULK_START&lt;=10)*(BULK_END&gt;=10)))&gt;0,IFERROR(SUMPRODUCT(((BULK_ENABLED="Y")*((BULK_TIER="ALL")+(BULK_TIER=$F89))*((BULK_SKU="ALL")+(BULK_SKU=$G89))*(BULK_START&lt;=10)*(BULK_END&gt;=10))*IFERROR(BULK_VALUE,0))/MAX(1,SUMPRODUCT(((BULK_ENABLED="Y")*((BULK_TIER="ALL")+(BULK_TIER=$F89))*((BULK_SKU="ALL")+(BULK_SKU=$G89))*(BULK_START&lt;=10)*(BULK_END&gt;=10)))),0),ROUND((INDEX(VELOCITY_TABLE,MATCH($F89,TIER_LIST,0),1))*(IF((10-$I89+1)&lt;=0,0,IF((10-$I89+1)=1,RAMP_W1,IF((10-$I89+1)=2,RAMP_W2,IF((10-$I89+1)=3,RAMP_W3,RAMP_W4PLUS)))))*(INDEX(ACTIVE_MULT_TABLE,1,1))*(1+SUMPRODUCT(SIGN(((ACT_DOOR_SCOPE="ALL")+(ACT_DOOR_SCOPE="TIER_"&amp;$F89)+(ACT_DOOR_SCOPE=$B89)))*SIGN(((ACT_SKU_SCOPE="ALL")+(ACT_SKU_SCOPE=$G89)))*(ACT_START&lt;=10)*(ACT_END&gt;=10)*IFERROR(ACT_UPLIFT-1,0)))*(1+SUMPRODUCT(SIGN(((ACT_DOOR_SCOPE="ALL")+(ACT_DOOR_SCOPE="TIER_"&amp;$F89)+(ACT_DOOR_SCOPE=$B89)))*SIGN(((ACT_SKU_SCOPE="ALL")+(ACT_SKU_SCOPE=$G89)))*(10&gt;ACT_END)*(ACT_END&gt;0)*IFERROR(ACT_POSTLIFT,0))),0)))</f>
        <v/>
      </c>
      <c r="T89" s="10">
        <f>IF(OR($H89&lt;&gt;"Y",11&lt;$I89),0,IF(SUMPRODUCT(((BULK_ENABLED="Y")*((BULK_TIER="ALL")+(BULK_TIER=$F89))*((BULK_SKU="ALL")+(BULK_SKU=$G89))*(BULK_START&lt;=11)*(BULK_END&gt;=11)))&gt;0,IFERROR(SUMPRODUCT(((BULK_ENABLED="Y")*((BULK_TIER="ALL")+(BULK_TIER=$F89))*((BULK_SKU="ALL")+(BULK_SKU=$G89))*(BULK_START&lt;=11)*(BULK_END&gt;=11))*IFERROR(BULK_VALUE,0))/MAX(1,SUMPRODUCT(((BULK_ENABLED="Y")*((BULK_TIER="ALL")+(BULK_TIER=$F89))*((BULK_SKU="ALL")+(BULK_SKU=$G89))*(BULK_START&lt;=11)*(BULK_END&gt;=11)))),0),ROUND((INDEX(VELOCITY_TABLE,MATCH($F89,TIER_LIST,0),1))*(IF((11-$I89+1)&lt;=0,0,IF((11-$I89+1)=1,RAMP_W1,IF((11-$I89+1)=2,RAMP_W2,IF((11-$I89+1)=3,RAMP_W3,RAMP_W4PLUS)))))*(INDEX(ACTIVE_MULT_TABLE,1,1))*(1+SUMPRODUCT(SIGN(((ACT_DOOR_SCOPE="ALL")+(ACT_DOOR_SCOPE="TIER_"&amp;$F89)+(ACT_DOOR_SCOPE=$B89)))*SIGN(((ACT_SKU_SCOPE="ALL")+(ACT_SKU_SCOPE=$G89)))*(ACT_START&lt;=11)*(ACT_END&gt;=11)*IFERROR(ACT_UPLIFT-1,0)))*(1+SUMPRODUCT(SIGN(((ACT_DOOR_SCOPE="ALL")+(ACT_DOOR_SCOPE="TIER_"&amp;$F89)+(ACT_DOOR_SCOPE=$B89)))*SIGN(((ACT_SKU_SCOPE="ALL")+(ACT_SKU_SCOPE=$G89)))*(11&gt;ACT_END)*(ACT_END&gt;0)*IFERROR(ACT_POSTLIFT,0))),0)))</f>
        <v/>
      </c>
      <c r="U89" s="10">
        <f>IF(OR($H89&lt;&gt;"Y",12&lt;$I89),0,IF(SUMPRODUCT(((BULK_ENABLED="Y")*((BULK_TIER="ALL")+(BULK_TIER=$F89))*((BULK_SKU="ALL")+(BULK_SKU=$G89))*(BULK_START&lt;=12)*(BULK_END&gt;=12)))&gt;0,IFERROR(SUMPRODUCT(((BULK_ENABLED="Y")*((BULK_TIER="ALL")+(BULK_TIER=$F89))*((BULK_SKU="ALL")+(BULK_SKU=$G89))*(BULK_START&lt;=12)*(BULK_END&gt;=12))*IFERROR(BULK_VALUE,0))/MAX(1,SUMPRODUCT(((BULK_ENABLED="Y")*((BULK_TIER="ALL")+(BULK_TIER=$F89))*((BULK_SKU="ALL")+(BULK_SKU=$G89))*(BULK_START&lt;=12)*(BULK_END&gt;=12)))),0),ROUND((INDEX(VELOCITY_TABLE,MATCH($F89,TIER_LIST,0),1))*(IF((12-$I89+1)&lt;=0,0,IF((12-$I89+1)=1,RAMP_W1,IF((12-$I89+1)=2,RAMP_W2,IF((12-$I89+1)=3,RAMP_W3,RAMP_W4PLUS)))))*(INDEX(ACTIVE_MULT_TABLE,1,1))*(1+SUMPRODUCT(SIGN(((ACT_DOOR_SCOPE="ALL")+(ACT_DOOR_SCOPE="TIER_"&amp;$F89)+(ACT_DOOR_SCOPE=$B89)))*SIGN(((ACT_SKU_SCOPE="ALL")+(ACT_SKU_SCOPE=$G89)))*(ACT_START&lt;=12)*(ACT_END&gt;=12)*IFERROR(ACT_UPLIFT-1,0)))*(1+SUMPRODUCT(SIGN(((ACT_DOOR_SCOPE="ALL")+(ACT_DOOR_SCOPE="TIER_"&amp;$F89)+(ACT_DOOR_SCOPE=$B89)))*SIGN(((ACT_SKU_SCOPE="ALL")+(ACT_SKU_SCOPE=$G89)))*(12&gt;ACT_END)*(ACT_END&gt;0)*IFERROR(ACT_POSTLIFT,0))),0)))</f>
        <v/>
      </c>
      <c r="V89" s="10">
        <f>IF(OR($H89&lt;&gt;"Y",13&lt;$I89),0,IF(SUMPRODUCT(((BULK_ENABLED="Y")*((BULK_TIER="ALL")+(BULK_TIER=$F89))*((BULK_SKU="ALL")+(BULK_SKU=$G89))*(BULK_START&lt;=13)*(BULK_END&gt;=13)))&gt;0,IFERROR(SUMPRODUCT(((BULK_ENABLED="Y")*((BULK_TIER="ALL")+(BULK_TIER=$F89))*((BULK_SKU="ALL")+(BULK_SKU=$G89))*(BULK_START&lt;=13)*(BULK_END&gt;=13))*IFERROR(BULK_VALUE,0))/MAX(1,SUMPRODUCT(((BULK_ENABLED="Y")*((BULK_TIER="ALL")+(BULK_TIER=$F89))*((BULK_SKU="ALL")+(BULK_SKU=$G89))*(BULK_START&lt;=13)*(BULK_END&gt;=13)))),0),ROUND((INDEX(VELOCITY_TABLE,MATCH($F89,TIER_LIST,0),1))*(IF((13-$I89+1)&lt;=0,0,IF((13-$I89+1)=1,RAMP_W1,IF((13-$I89+1)=2,RAMP_W2,IF((13-$I89+1)=3,RAMP_W3,RAMP_W4PLUS)))))*(INDEX(ACTIVE_MULT_TABLE,1,1))*(1+SUMPRODUCT(SIGN(((ACT_DOOR_SCOPE="ALL")+(ACT_DOOR_SCOPE="TIER_"&amp;$F89)+(ACT_DOOR_SCOPE=$B89)))*SIGN(((ACT_SKU_SCOPE="ALL")+(ACT_SKU_SCOPE=$G89)))*(ACT_START&lt;=13)*(ACT_END&gt;=13)*IFERROR(ACT_UPLIFT-1,0)))*(1+SUMPRODUCT(SIGN(((ACT_DOOR_SCOPE="ALL")+(ACT_DOOR_SCOPE="TIER_"&amp;$F89)+(ACT_DOOR_SCOPE=$B89)))*SIGN(((ACT_SKU_SCOPE="ALL")+(ACT_SKU_SCOPE=$G89)))*(13&gt;ACT_END)*(ACT_END&gt;0)*IFERROR(ACT_POSTLIFT,0))),0)))</f>
        <v/>
      </c>
    </row>
    <row r="90">
      <c r="A90" t="inlineStr">
        <is>
          <t>R0086</t>
        </is>
      </c>
      <c r="B90">
        <f>Doors!$A$33</f>
        <v/>
      </c>
      <c r="C90">
        <f>Doors!$C$33</f>
        <v/>
      </c>
      <c r="D90">
        <f>Doors!$B$33</f>
        <v/>
      </c>
      <c r="E90">
        <f>Doors!$E$33</f>
        <v/>
      </c>
      <c r="F90">
        <f>Doors!$F$33</f>
        <v/>
      </c>
      <c r="G90" t="inlineStr">
        <is>
          <t>Pineapple Passion Fruit</t>
        </is>
      </c>
      <c r="H90">
        <f>Doors!$H$33</f>
        <v/>
      </c>
      <c r="I90">
        <f>Doors!$J$33</f>
        <v/>
      </c>
      <c r="J90" s="10">
        <f>IF(OR($H90&lt;&gt;"Y",1&lt;$I90),0,IF(SUMPRODUCT(((BULK_ENABLED="Y")*((BULK_TIER="ALL")+(BULK_TIER=$F90))*((BULK_SKU="ALL")+(BULK_SKU=$G90))*(BULK_START&lt;=1)*(BULK_END&gt;=1)))&gt;0,IFERROR(SUMPRODUCT(((BULK_ENABLED="Y")*((BULK_TIER="ALL")+(BULK_TIER=$F90))*((BULK_SKU="ALL")+(BULK_SKU=$G90))*(BULK_START&lt;=1)*(BULK_END&gt;=1))*IFERROR(BULK_VALUE,0))/MAX(1,SUMPRODUCT(((BULK_ENABLED="Y")*((BULK_TIER="ALL")+(BULK_TIER=$F90))*((BULK_SKU="ALL")+(BULK_SKU=$G90))*(BULK_START&lt;=1)*(BULK_END&gt;=1)))),0),ROUND((INDEX(VELOCITY_TABLE,MATCH($F90,TIER_LIST,0),2))*(IF((1-$I90+1)&lt;=0,0,IF((1-$I90+1)=1,RAMP_W1,IF((1-$I90+1)=2,RAMP_W2,IF((1-$I90+1)=3,RAMP_W3,RAMP_W4PLUS)))))*(INDEX(ACTIVE_MULT_TABLE,2,1))*(1+SUMPRODUCT(SIGN(((ACT_DOOR_SCOPE="ALL")+(ACT_DOOR_SCOPE="TIER_"&amp;$F90)+(ACT_DOOR_SCOPE=$B90)))*SIGN(((ACT_SKU_SCOPE="ALL")+(ACT_SKU_SCOPE=$G90)))*(ACT_START&lt;=1)*(ACT_END&gt;=1)*IFERROR(ACT_UPLIFT-1,0)))*(1+SUMPRODUCT(SIGN(((ACT_DOOR_SCOPE="ALL")+(ACT_DOOR_SCOPE="TIER_"&amp;$F90)+(ACT_DOOR_SCOPE=$B90)))*SIGN(((ACT_SKU_SCOPE="ALL")+(ACT_SKU_SCOPE=$G90)))*(1&gt;ACT_END)*(ACT_END&gt;0)*IFERROR(ACT_POSTLIFT,0))),0)))</f>
        <v/>
      </c>
      <c r="K90" s="10">
        <f>IF(OR($H90&lt;&gt;"Y",2&lt;$I90),0,IF(SUMPRODUCT(((BULK_ENABLED="Y")*((BULK_TIER="ALL")+(BULK_TIER=$F90))*((BULK_SKU="ALL")+(BULK_SKU=$G90))*(BULK_START&lt;=2)*(BULK_END&gt;=2)))&gt;0,IFERROR(SUMPRODUCT(((BULK_ENABLED="Y")*((BULK_TIER="ALL")+(BULK_TIER=$F90))*((BULK_SKU="ALL")+(BULK_SKU=$G90))*(BULK_START&lt;=2)*(BULK_END&gt;=2))*IFERROR(BULK_VALUE,0))/MAX(1,SUMPRODUCT(((BULK_ENABLED="Y")*((BULK_TIER="ALL")+(BULK_TIER=$F90))*((BULK_SKU="ALL")+(BULK_SKU=$G90))*(BULK_START&lt;=2)*(BULK_END&gt;=2)))),0),ROUND((INDEX(VELOCITY_TABLE,MATCH($F90,TIER_LIST,0),2))*(IF((2-$I90+1)&lt;=0,0,IF((2-$I90+1)=1,RAMP_W1,IF((2-$I90+1)=2,RAMP_W2,IF((2-$I90+1)=3,RAMP_W3,RAMP_W4PLUS)))))*(INDEX(ACTIVE_MULT_TABLE,2,1))*(1+SUMPRODUCT(SIGN(((ACT_DOOR_SCOPE="ALL")+(ACT_DOOR_SCOPE="TIER_"&amp;$F90)+(ACT_DOOR_SCOPE=$B90)))*SIGN(((ACT_SKU_SCOPE="ALL")+(ACT_SKU_SCOPE=$G90)))*(ACT_START&lt;=2)*(ACT_END&gt;=2)*IFERROR(ACT_UPLIFT-1,0)))*(1+SUMPRODUCT(SIGN(((ACT_DOOR_SCOPE="ALL")+(ACT_DOOR_SCOPE="TIER_"&amp;$F90)+(ACT_DOOR_SCOPE=$B90)))*SIGN(((ACT_SKU_SCOPE="ALL")+(ACT_SKU_SCOPE=$G90)))*(2&gt;ACT_END)*(ACT_END&gt;0)*IFERROR(ACT_POSTLIFT,0))),0)))</f>
        <v/>
      </c>
      <c r="L90" s="10">
        <f>IF(OR($H90&lt;&gt;"Y",3&lt;$I90),0,IF(SUMPRODUCT(((BULK_ENABLED="Y")*((BULK_TIER="ALL")+(BULK_TIER=$F90))*((BULK_SKU="ALL")+(BULK_SKU=$G90))*(BULK_START&lt;=3)*(BULK_END&gt;=3)))&gt;0,IFERROR(SUMPRODUCT(((BULK_ENABLED="Y")*((BULK_TIER="ALL")+(BULK_TIER=$F90))*((BULK_SKU="ALL")+(BULK_SKU=$G90))*(BULK_START&lt;=3)*(BULK_END&gt;=3))*IFERROR(BULK_VALUE,0))/MAX(1,SUMPRODUCT(((BULK_ENABLED="Y")*((BULK_TIER="ALL")+(BULK_TIER=$F90))*((BULK_SKU="ALL")+(BULK_SKU=$G90))*(BULK_START&lt;=3)*(BULK_END&gt;=3)))),0),ROUND((INDEX(VELOCITY_TABLE,MATCH($F90,TIER_LIST,0),2))*(IF((3-$I90+1)&lt;=0,0,IF((3-$I90+1)=1,RAMP_W1,IF((3-$I90+1)=2,RAMP_W2,IF((3-$I90+1)=3,RAMP_W3,RAMP_W4PLUS)))))*(INDEX(ACTIVE_MULT_TABLE,2,1))*(1+SUMPRODUCT(SIGN(((ACT_DOOR_SCOPE="ALL")+(ACT_DOOR_SCOPE="TIER_"&amp;$F90)+(ACT_DOOR_SCOPE=$B90)))*SIGN(((ACT_SKU_SCOPE="ALL")+(ACT_SKU_SCOPE=$G90)))*(ACT_START&lt;=3)*(ACT_END&gt;=3)*IFERROR(ACT_UPLIFT-1,0)))*(1+SUMPRODUCT(SIGN(((ACT_DOOR_SCOPE="ALL")+(ACT_DOOR_SCOPE="TIER_"&amp;$F90)+(ACT_DOOR_SCOPE=$B90)))*SIGN(((ACT_SKU_SCOPE="ALL")+(ACT_SKU_SCOPE=$G90)))*(3&gt;ACT_END)*(ACT_END&gt;0)*IFERROR(ACT_POSTLIFT,0))),0)))</f>
        <v/>
      </c>
      <c r="M90" s="10">
        <f>IF(OR($H90&lt;&gt;"Y",4&lt;$I90),0,IF(SUMPRODUCT(((BULK_ENABLED="Y")*((BULK_TIER="ALL")+(BULK_TIER=$F90))*((BULK_SKU="ALL")+(BULK_SKU=$G90))*(BULK_START&lt;=4)*(BULK_END&gt;=4)))&gt;0,IFERROR(SUMPRODUCT(((BULK_ENABLED="Y")*((BULK_TIER="ALL")+(BULK_TIER=$F90))*((BULK_SKU="ALL")+(BULK_SKU=$G90))*(BULK_START&lt;=4)*(BULK_END&gt;=4))*IFERROR(BULK_VALUE,0))/MAX(1,SUMPRODUCT(((BULK_ENABLED="Y")*((BULK_TIER="ALL")+(BULK_TIER=$F90))*((BULK_SKU="ALL")+(BULK_SKU=$G90))*(BULK_START&lt;=4)*(BULK_END&gt;=4)))),0),ROUND((INDEX(VELOCITY_TABLE,MATCH($F90,TIER_LIST,0),2))*(IF((4-$I90+1)&lt;=0,0,IF((4-$I90+1)=1,RAMP_W1,IF((4-$I90+1)=2,RAMP_W2,IF((4-$I90+1)=3,RAMP_W3,RAMP_W4PLUS)))))*(INDEX(ACTIVE_MULT_TABLE,2,1))*(1+SUMPRODUCT(SIGN(((ACT_DOOR_SCOPE="ALL")+(ACT_DOOR_SCOPE="TIER_"&amp;$F90)+(ACT_DOOR_SCOPE=$B90)))*SIGN(((ACT_SKU_SCOPE="ALL")+(ACT_SKU_SCOPE=$G90)))*(ACT_START&lt;=4)*(ACT_END&gt;=4)*IFERROR(ACT_UPLIFT-1,0)))*(1+SUMPRODUCT(SIGN(((ACT_DOOR_SCOPE="ALL")+(ACT_DOOR_SCOPE="TIER_"&amp;$F90)+(ACT_DOOR_SCOPE=$B90)))*SIGN(((ACT_SKU_SCOPE="ALL")+(ACT_SKU_SCOPE=$G90)))*(4&gt;ACT_END)*(ACT_END&gt;0)*IFERROR(ACT_POSTLIFT,0))),0)))</f>
        <v/>
      </c>
      <c r="N90" s="10">
        <f>IF(OR($H90&lt;&gt;"Y",5&lt;$I90),0,IF(SUMPRODUCT(((BULK_ENABLED="Y")*((BULK_TIER="ALL")+(BULK_TIER=$F90))*((BULK_SKU="ALL")+(BULK_SKU=$G90))*(BULK_START&lt;=5)*(BULK_END&gt;=5)))&gt;0,IFERROR(SUMPRODUCT(((BULK_ENABLED="Y")*((BULK_TIER="ALL")+(BULK_TIER=$F90))*((BULK_SKU="ALL")+(BULK_SKU=$G90))*(BULK_START&lt;=5)*(BULK_END&gt;=5))*IFERROR(BULK_VALUE,0))/MAX(1,SUMPRODUCT(((BULK_ENABLED="Y")*((BULK_TIER="ALL")+(BULK_TIER=$F90))*((BULK_SKU="ALL")+(BULK_SKU=$G90))*(BULK_START&lt;=5)*(BULK_END&gt;=5)))),0),ROUND((INDEX(VELOCITY_TABLE,MATCH($F90,TIER_LIST,0),2))*(IF((5-$I90+1)&lt;=0,0,IF((5-$I90+1)=1,RAMP_W1,IF((5-$I90+1)=2,RAMP_W2,IF((5-$I90+1)=3,RAMP_W3,RAMP_W4PLUS)))))*(INDEX(ACTIVE_MULT_TABLE,2,1))*(1+SUMPRODUCT(SIGN(((ACT_DOOR_SCOPE="ALL")+(ACT_DOOR_SCOPE="TIER_"&amp;$F90)+(ACT_DOOR_SCOPE=$B90)))*SIGN(((ACT_SKU_SCOPE="ALL")+(ACT_SKU_SCOPE=$G90)))*(ACT_START&lt;=5)*(ACT_END&gt;=5)*IFERROR(ACT_UPLIFT-1,0)))*(1+SUMPRODUCT(SIGN(((ACT_DOOR_SCOPE="ALL")+(ACT_DOOR_SCOPE="TIER_"&amp;$F90)+(ACT_DOOR_SCOPE=$B90)))*SIGN(((ACT_SKU_SCOPE="ALL")+(ACT_SKU_SCOPE=$G90)))*(5&gt;ACT_END)*(ACT_END&gt;0)*IFERROR(ACT_POSTLIFT,0))),0)))</f>
        <v/>
      </c>
      <c r="O90" s="10">
        <f>IF(OR($H90&lt;&gt;"Y",6&lt;$I90),0,IF(SUMPRODUCT(((BULK_ENABLED="Y")*((BULK_TIER="ALL")+(BULK_TIER=$F90))*((BULK_SKU="ALL")+(BULK_SKU=$G90))*(BULK_START&lt;=6)*(BULK_END&gt;=6)))&gt;0,IFERROR(SUMPRODUCT(((BULK_ENABLED="Y")*((BULK_TIER="ALL")+(BULK_TIER=$F90))*((BULK_SKU="ALL")+(BULK_SKU=$G90))*(BULK_START&lt;=6)*(BULK_END&gt;=6))*IFERROR(BULK_VALUE,0))/MAX(1,SUMPRODUCT(((BULK_ENABLED="Y")*((BULK_TIER="ALL")+(BULK_TIER=$F90))*((BULK_SKU="ALL")+(BULK_SKU=$G90))*(BULK_START&lt;=6)*(BULK_END&gt;=6)))),0),ROUND((INDEX(VELOCITY_TABLE,MATCH($F90,TIER_LIST,0),2))*(IF((6-$I90+1)&lt;=0,0,IF((6-$I90+1)=1,RAMP_W1,IF((6-$I90+1)=2,RAMP_W2,IF((6-$I90+1)=3,RAMP_W3,RAMP_W4PLUS)))))*(INDEX(ACTIVE_MULT_TABLE,2,1))*(1+SUMPRODUCT(SIGN(((ACT_DOOR_SCOPE="ALL")+(ACT_DOOR_SCOPE="TIER_"&amp;$F90)+(ACT_DOOR_SCOPE=$B90)))*SIGN(((ACT_SKU_SCOPE="ALL")+(ACT_SKU_SCOPE=$G90)))*(ACT_START&lt;=6)*(ACT_END&gt;=6)*IFERROR(ACT_UPLIFT-1,0)))*(1+SUMPRODUCT(SIGN(((ACT_DOOR_SCOPE="ALL")+(ACT_DOOR_SCOPE="TIER_"&amp;$F90)+(ACT_DOOR_SCOPE=$B90)))*SIGN(((ACT_SKU_SCOPE="ALL")+(ACT_SKU_SCOPE=$G90)))*(6&gt;ACT_END)*(ACT_END&gt;0)*IFERROR(ACT_POSTLIFT,0))),0)))</f>
        <v/>
      </c>
      <c r="P90" s="10">
        <f>IF(OR($H90&lt;&gt;"Y",7&lt;$I90),0,IF(SUMPRODUCT(((BULK_ENABLED="Y")*((BULK_TIER="ALL")+(BULK_TIER=$F90))*((BULK_SKU="ALL")+(BULK_SKU=$G90))*(BULK_START&lt;=7)*(BULK_END&gt;=7)))&gt;0,IFERROR(SUMPRODUCT(((BULK_ENABLED="Y")*((BULK_TIER="ALL")+(BULK_TIER=$F90))*((BULK_SKU="ALL")+(BULK_SKU=$G90))*(BULK_START&lt;=7)*(BULK_END&gt;=7))*IFERROR(BULK_VALUE,0))/MAX(1,SUMPRODUCT(((BULK_ENABLED="Y")*((BULK_TIER="ALL")+(BULK_TIER=$F90))*((BULK_SKU="ALL")+(BULK_SKU=$G90))*(BULK_START&lt;=7)*(BULK_END&gt;=7)))),0),ROUND((INDEX(VELOCITY_TABLE,MATCH($F90,TIER_LIST,0),2))*(IF((7-$I90+1)&lt;=0,0,IF((7-$I90+1)=1,RAMP_W1,IF((7-$I90+1)=2,RAMP_W2,IF((7-$I90+1)=3,RAMP_W3,RAMP_W4PLUS)))))*(INDEX(ACTIVE_MULT_TABLE,2,1))*(1+SUMPRODUCT(SIGN(((ACT_DOOR_SCOPE="ALL")+(ACT_DOOR_SCOPE="TIER_"&amp;$F90)+(ACT_DOOR_SCOPE=$B90)))*SIGN(((ACT_SKU_SCOPE="ALL")+(ACT_SKU_SCOPE=$G90)))*(ACT_START&lt;=7)*(ACT_END&gt;=7)*IFERROR(ACT_UPLIFT-1,0)))*(1+SUMPRODUCT(SIGN(((ACT_DOOR_SCOPE="ALL")+(ACT_DOOR_SCOPE="TIER_"&amp;$F90)+(ACT_DOOR_SCOPE=$B90)))*SIGN(((ACT_SKU_SCOPE="ALL")+(ACT_SKU_SCOPE=$G90)))*(7&gt;ACT_END)*(ACT_END&gt;0)*IFERROR(ACT_POSTLIFT,0))),0)))</f>
        <v/>
      </c>
      <c r="Q90" s="10">
        <f>IF(OR($H90&lt;&gt;"Y",8&lt;$I90),0,IF(SUMPRODUCT(((BULK_ENABLED="Y")*((BULK_TIER="ALL")+(BULK_TIER=$F90))*((BULK_SKU="ALL")+(BULK_SKU=$G90))*(BULK_START&lt;=8)*(BULK_END&gt;=8)))&gt;0,IFERROR(SUMPRODUCT(((BULK_ENABLED="Y")*((BULK_TIER="ALL")+(BULK_TIER=$F90))*((BULK_SKU="ALL")+(BULK_SKU=$G90))*(BULK_START&lt;=8)*(BULK_END&gt;=8))*IFERROR(BULK_VALUE,0))/MAX(1,SUMPRODUCT(((BULK_ENABLED="Y")*((BULK_TIER="ALL")+(BULK_TIER=$F90))*((BULK_SKU="ALL")+(BULK_SKU=$G90))*(BULK_START&lt;=8)*(BULK_END&gt;=8)))),0),ROUND((INDEX(VELOCITY_TABLE,MATCH($F90,TIER_LIST,0),2))*(IF((8-$I90+1)&lt;=0,0,IF((8-$I90+1)=1,RAMP_W1,IF((8-$I90+1)=2,RAMP_W2,IF((8-$I90+1)=3,RAMP_W3,RAMP_W4PLUS)))))*(INDEX(ACTIVE_MULT_TABLE,2,1))*(1+SUMPRODUCT(SIGN(((ACT_DOOR_SCOPE="ALL")+(ACT_DOOR_SCOPE="TIER_"&amp;$F90)+(ACT_DOOR_SCOPE=$B90)))*SIGN(((ACT_SKU_SCOPE="ALL")+(ACT_SKU_SCOPE=$G90)))*(ACT_START&lt;=8)*(ACT_END&gt;=8)*IFERROR(ACT_UPLIFT-1,0)))*(1+SUMPRODUCT(SIGN(((ACT_DOOR_SCOPE="ALL")+(ACT_DOOR_SCOPE="TIER_"&amp;$F90)+(ACT_DOOR_SCOPE=$B90)))*SIGN(((ACT_SKU_SCOPE="ALL")+(ACT_SKU_SCOPE=$G90)))*(8&gt;ACT_END)*(ACT_END&gt;0)*IFERROR(ACT_POSTLIFT,0))),0)))</f>
        <v/>
      </c>
      <c r="R90" s="10">
        <f>IF(OR($H90&lt;&gt;"Y",9&lt;$I90),0,IF(SUMPRODUCT(((BULK_ENABLED="Y")*((BULK_TIER="ALL")+(BULK_TIER=$F90))*((BULK_SKU="ALL")+(BULK_SKU=$G90))*(BULK_START&lt;=9)*(BULK_END&gt;=9)))&gt;0,IFERROR(SUMPRODUCT(((BULK_ENABLED="Y")*((BULK_TIER="ALL")+(BULK_TIER=$F90))*((BULK_SKU="ALL")+(BULK_SKU=$G90))*(BULK_START&lt;=9)*(BULK_END&gt;=9))*IFERROR(BULK_VALUE,0))/MAX(1,SUMPRODUCT(((BULK_ENABLED="Y")*((BULK_TIER="ALL")+(BULK_TIER=$F90))*((BULK_SKU="ALL")+(BULK_SKU=$G90))*(BULK_START&lt;=9)*(BULK_END&gt;=9)))),0),ROUND((INDEX(VELOCITY_TABLE,MATCH($F90,TIER_LIST,0),2))*(IF((9-$I90+1)&lt;=0,0,IF((9-$I90+1)=1,RAMP_W1,IF((9-$I90+1)=2,RAMP_W2,IF((9-$I90+1)=3,RAMP_W3,RAMP_W4PLUS)))))*(INDEX(ACTIVE_MULT_TABLE,2,1))*(1+SUMPRODUCT(SIGN(((ACT_DOOR_SCOPE="ALL")+(ACT_DOOR_SCOPE="TIER_"&amp;$F90)+(ACT_DOOR_SCOPE=$B90)))*SIGN(((ACT_SKU_SCOPE="ALL")+(ACT_SKU_SCOPE=$G90)))*(ACT_START&lt;=9)*(ACT_END&gt;=9)*IFERROR(ACT_UPLIFT-1,0)))*(1+SUMPRODUCT(SIGN(((ACT_DOOR_SCOPE="ALL")+(ACT_DOOR_SCOPE="TIER_"&amp;$F90)+(ACT_DOOR_SCOPE=$B90)))*SIGN(((ACT_SKU_SCOPE="ALL")+(ACT_SKU_SCOPE=$G90)))*(9&gt;ACT_END)*(ACT_END&gt;0)*IFERROR(ACT_POSTLIFT,0))),0)))</f>
        <v/>
      </c>
      <c r="S90" s="10">
        <f>IF(OR($H90&lt;&gt;"Y",10&lt;$I90),0,IF(SUMPRODUCT(((BULK_ENABLED="Y")*((BULK_TIER="ALL")+(BULK_TIER=$F90))*((BULK_SKU="ALL")+(BULK_SKU=$G90))*(BULK_START&lt;=10)*(BULK_END&gt;=10)))&gt;0,IFERROR(SUMPRODUCT(((BULK_ENABLED="Y")*((BULK_TIER="ALL")+(BULK_TIER=$F90))*((BULK_SKU="ALL")+(BULK_SKU=$G90))*(BULK_START&lt;=10)*(BULK_END&gt;=10))*IFERROR(BULK_VALUE,0))/MAX(1,SUMPRODUCT(((BULK_ENABLED="Y")*((BULK_TIER="ALL")+(BULK_TIER=$F90))*((BULK_SKU="ALL")+(BULK_SKU=$G90))*(BULK_START&lt;=10)*(BULK_END&gt;=10)))),0),ROUND((INDEX(VELOCITY_TABLE,MATCH($F90,TIER_LIST,0),2))*(IF((10-$I90+1)&lt;=0,0,IF((10-$I90+1)=1,RAMP_W1,IF((10-$I90+1)=2,RAMP_W2,IF((10-$I90+1)=3,RAMP_W3,RAMP_W4PLUS)))))*(INDEX(ACTIVE_MULT_TABLE,2,1))*(1+SUMPRODUCT(SIGN(((ACT_DOOR_SCOPE="ALL")+(ACT_DOOR_SCOPE="TIER_"&amp;$F90)+(ACT_DOOR_SCOPE=$B90)))*SIGN(((ACT_SKU_SCOPE="ALL")+(ACT_SKU_SCOPE=$G90)))*(ACT_START&lt;=10)*(ACT_END&gt;=10)*IFERROR(ACT_UPLIFT-1,0)))*(1+SUMPRODUCT(SIGN(((ACT_DOOR_SCOPE="ALL")+(ACT_DOOR_SCOPE="TIER_"&amp;$F90)+(ACT_DOOR_SCOPE=$B90)))*SIGN(((ACT_SKU_SCOPE="ALL")+(ACT_SKU_SCOPE=$G90)))*(10&gt;ACT_END)*(ACT_END&gt;0)*IFERROR(ACT_POSTLIFT,0))),0)))</f>
        <v/>
      </c>
      <c r="T90" s="10">
        <f>IF(OR($H90&lt;&gt;"Y",11&lt;$I90),0,IF(SUMPRODUCT(((BULK_ENABLED="Y")*((BULK_TIER="ALL")+(BULK_TIER=$F90))*((BULK_SKU="ALL")+(BULK_SKU=$G90))*(BULK_START&lt;=11)*(BULK_END&gt;=11)))&gt;0,IFERROR(SUMPRODUCT(((BULK_ENABLED="Y")*((BULK_TIER="ALL")+(BULK_TIER=$F90))*((BULK_SKU="ALL")+(BULK_SKU=$G90))*(BULK_START&lt;=11)*(BULK_END&gt;=11))*IFERROR(BULK_VALUE,0))/MAX(1,SUMPRODUCT(((BULK_ENABLED="Y")*((BULK_TIER="ALL")+(BULK_TIER=$F90))*((BULK_SKU="ALL")+(BULK_SKU=$G90))*(BULK_START&lt;=11)*(BULK_END&gt;=11)))),0),ROUND((INDEX(VELOCITY_TABLE,MATCH($F90,TIER_LIST,0),2))*(IF((11-$I90+1)&lt;=0,0,IF((11-$I90+1)=1,RAMP_W1,IF((11-$I90+1)=2,RAMP_W2,IF((11-$I90+1)=3,RAMP_W3,RAMP_W4PLUS)))))*(INDEX(ACTIVE_MULT_TABLE,2,1))*(1+SUMPRODUCT(SIGN(((ACT_DOOR_SCOPE="ALL")+(ACT_DOOR_SCOPE="TIER_"&amp;$F90)+(ACT_DOOR_SCOPE=$B90)))*SIGN(((ACT_SKU_SCOPE="ALL")+(ACT_SKU_SCOPE=$G90)))*(ACT_START&lt;=11)*(ACT_END&gt;=11)*IFERROR(ACT_UPLIFT-1,0)))*(1+SUMPRODUCT(SIGN(((ACT_DOOR_SCOPE="ALL")+(ACT_DOOR_SCOPE="TIER_"&amp;$F90)+(ACT_DOOR_SCOPE=$B90)))*SIGN(((ACT_SKU_SCOPE="ALL")+(ACT_SKU_SCOPE=$G90)))*(11&gt;ACT_END)*(ACT_END&gt;0)*IFERROR(ACT_POSTLIFT,0))),0)))</f>
        <v/>
      </c>
      <c r="U90" s="10">
        <f>IF(OR($H90&lt;&gt;"Y",12&lt;$I90),0,IF(SUMPRODUCT(((BULK_ENABLED="Y")*((BULK_TIER="ALL")+(BULK_TIER=$F90))*((BULK_SKU="ALL")+(BULK_SKU=$G90))*(BULK_START&lt;=12)*(BULK_END&gt;=12)))&gt;0,IFERROR(SUMPRODUCT(((BULK_ENABLED="Y")*((BULK_TIER="ALL")+(BULK_TIER=$F90))*((BULK_SKU="ALL")+(BULK_SKU=$G90))*(BULK_START&lt;=12)*(BULK_END&gt;=12))*IFERROR(BULK_VALUE,0))/MAX(1,SUMPRODUCT(((BULK_ENABLED="Y")*((BULK_TIER="ALL")+(BULK_TIER=$F90))*((BULK_SKU="ALL")+(BULK_SKU=$G90))*(BULK_START&lt;=12)*(BULK_END&gt;=12)))),0),ROUND((INDEX(VELOCITY_TABLE,MATCH($F90,TIER_LIST,0),2))*(IF((12-$I90+1)&lt;=0,0,IF((12-$I90+1)=1,RAMP_W1,IF((12-$I90+1)=2,RAMP_W2,IF((12-$I90+1)=3,RAMP_W3,RAMP_W4PLUS)))))*(INDEX(ACTIVE_MULT_TABLE,2,1))*(1+SUMPRODUCT(SIGN(((ACT_DOOR_SCOPE="ALL")+(ACT_DOOR_SCOPE="TIER_"&amp;$F90)+(ACT_DOOR_SCOPE=$B90)))*SIGN(((ACT_SKU_SCOPE="ALL")+(ACT_SKU_SCOPE=$G90)))*(ACT_START&lt;=12)*(ACT_END&gt;=12)*IFERROR(ACT_UPLIFT-1,0)))*(1+SUMPRODUCT(SIGN(((ACT_DOOR_SCOPE="ALL")+(ACT_DOOR_SCOPE="TIER_"&amp;$F90)+(ACT_DOOR_SCOPE=$B90)))*SIGN(((ACT_SKU_SCOPE="ALL")+(ACT_SKU_SCOPE=$G90)))*(12&gt;ACT_END)*(ACT_END&gt;0)*IFERROR(ACT_POSTLIFT,0))),0)))</f>
        <v/>
      </c>
      <c r="V90" s="10">
        <f>IF(OR($H90&lt;&gt;"Y",13&lt;$I90),0,IF(SUMPRODUCT(((BULK_ENABLED="Y")*((BULK_TIER="ALL")+(BULK_TIER=$F90))*((BULK_SKU="ALL")+(BULK_SKU=$G90))*(BULK_START&lt;=13)*(BULK_END&gt;=13)))&gt;0,IFERROR(SUMPRODUCT(((BULK_ENABLED="Y")*((BULK_TIER="ALL")+(BULK_TIER=$F90))*((BULK_SKU="ALL")+(BULK_SKU=$G90))*(BULK_START&lt;=13)*(BULK_END&gt;=13))*IFERROR(BULK_VALUE,0))/MAX(1,SUMPRODUCT(((BULK_ENABLED="Y")*((BULK_TIER="ALL")+(BULK_TIER=$F90))*((BULK_SKU="ALL")+(BULK_SKU=$G90))*(BULK_START&lt;=13)*(BULK_END&gt;=13)))),0),ROUND((INDEX(VELOCITY_TABLE,MATCH($F90,TIER_LIST,0),2))*(IF((13-$I90+1)&lt;=0,0,IF((13-$I90+1)=1,RAMP_W1,IF((13-$I90+1)=2,RAMP_W2,IF((13-$I90+1)=3,RAMP_W3,RAMP_W4PLUS)))))*(INDEX(ACTIVE_MULT_TABLE,2,1))*(1+SUMPRODUCT(SIGN(((ACT_DOOR_SCOPE="ALL")+(ACT_DOOR_SCOPE="TIER_"&amp;$F90)+(ACT_DOOR_SCOPE=$B90)))*SIGN(((ACT_SKU_SCOPE="ALL")+(ACT_SKU_SCOPE=$G90)))*(ACT_START&lt;=13)*(ACT_END&gt;=13)*IFERROR(ACT_UPLIFT-1,0)))*(1+SUMPRODUCT(SIGN(((ACT_DOOR_SCOPE="ALL")+(ACT_DOOR_SCOPE="TIER_"&amp;$F90)+(ACT_DOOR_SCOPE=$B90)))*SIGN(((ACT_SKU_SCOPE="ALL")+(ACT_SKU_SCOPE=$G90)))*(13&gt;ACT_END)*(ACT_END&gt;0)*IFERROR(ACT_POSTLIFT,0))),0)))</f>
        <v/>
      </c>
    </row>
    <row r="91">
      <c r="A91" t="inlineStr">
        <is>
          <t>R0087</t>
        </is>
      </c>
      <c r="B91">
        <f>Doors!$A$33</f>
        <v/>
      </c>
      <c r="C91">
        <f>Doors!$C$33</f>
        <v/>
      </c>
      <c r="D91">
        <f>Doors!$B$33</f>
        <v/>
      </c>
      <c r="E91">
        <f>Doors!$E$33</f>
        <v/>
      </c>
      <c r="F91">
        <f>Doors!$F$33</f>
        <v/>
      </c>
      <c r="G91" t="inlineStr">
        <is>
          <t>Raspberry</t>
        </is>
      </c>
      <c r="H91">
        <f>Doors!$I$33</f>
        <v/>
      </c>
      <c r="I91">
        <f>Doors!$J$33</f>
        <v/>
      </c>
      <c r="J91" s="10">
        <f>IF(OR($H91&lt;&gt;"Y",1&lt;$I91),0,IF(SUMPRODUCT(((BULK_ENABLED="Y")*((BULK_TIER="ALL")+(BULK_TIER=$F91))*((BULK_SKU="ALL")+(BULK_SKU=$G91))*(BULK_START&lt;=1)*(BULK_END&gt;=1)))&gt;0,IFERROR(SUMPRODUCT(((BULK_ENABLED="Y")*((BULK_TIER="ALL")+(BULK_TIER=$F91))*((BULK_SKU="ALL")+(BULK_SKU=$G91))*(BULK_START&lt;=1)*(BULK_END&gt;=1))*IFERROR(BULK_VALUE,0))/MAX(1,SUMPRODUCT(((BULK_ENABLED="Y")*((BULK_TIER="ALL")+(BULK_TIER=$F91))*((BULK_SKU="ALL")+(BULK_SKU=$G91))*(BULK_START&lt;=1)*(BULK_END&gt;=1)))),0),ROUND((INDEX(VELOCITY_TABLE,MATCH($F91,TIER_LIST,0),3))*(IF((1-$I91+1)&lt;=0,0,IF((1-$I91+1)=1,RAMP_W1,IF((1-$I91+1)=2,RAMP_W2,IF((1-$I91+1)=3,RAMP_W3,RAMP_W4PLUS)))))*(INDEX(ACTIVE_MULT_TABLE,3,1))*(1+SUMPRODUCT(SIGN(((ACT_DOOR_SCOPE="ALL")+(ACT_DOOR_SCOPE="TIER_"&amp;$F91)+(ACT_DOOR_SCOPE=$B91)))*SIGN(((ACT_SKU_SCOPE="ALL")+(ACT_SKU_SCOPE=$G91)))*(ACT_START&lt;=1)*(ACT_END&gt;=1)*IFERROR(ACT_UPLIFT-1,0)))*(1+SUMPRODUCT(SIGN(((ACT_DOOR_SCOPE="ALL")+(ACT_DOOR_SCOPE="TIER_"&amp;$F91)+(ACT_DOOR_SCOPE=$B91)))*SIGN(((ACT_SKU_SCOPE="ALL")+(ACT_SKU_SCOPE=$G91)))*(1&gt;ACT_END)*(ACT_END&gt;0)*IFERROR(ACT_POSTLIFT,0))),0)))</f>
        <v/>
      </c>
      <c r="K91" s="10">
        <f>IF(OR($H91&lt;&gt;"Y",2&lt;$I91),0,IF(SUMPRODUCT(((BULK_ENABLED="Y")*((BULK_TIER="ALL")+(BULK_TIER=$F91))*((BULK_SKU="ALL")+(BULK_SKU=$G91))*(BULK_START&lt;=2)*(BULK_END&gt;=2)))&gt;0,IFERROR(SUMPRODUCT(((BULK_ENABLED="Y")*((BULK_TIER="ALL")+(BULK_TIER=$F91))*((BULK_SKU="ALL")+(BULK_SKU=$G91))*(BULK_START&lt;=2)*(BULK_END&gt;=2))*IFERROR(BULK_VALUE,0))/MAX(1,SUMPRODUCT(((BULK_ENABLED="Y")*((BULK_TIER="ALL")+(BULK_TIER=$F91))*((BULK_SKU="ALL")+(BULK_SKU=$G91))*(BULK_START&lt;=2)*(BULK_END&gt;=2)))),0),ROUND((INDEX(VELOCITY_TABLE,MATCH($F91,TIER_LIST,0),3))*(IF((2-$I91+1)&lt;=0,0,IF((2-$I91+1)=1,RAMP_W1,IF((2-$I91+1)=2,RAMP_W2,IF((2-$I91+1)=3,RAMP_W3,RAMP_W4PLUS)))))*(INDEX(ACTIVE_MULT_TABLE,3,1))*(1+SUMPRODUCT(SIGN(((ACT_DOOR_SCOPE="ALL")+(ACT_DOOR_SCOPE="TIER_"&amp;$F91)+(ACT_DOOR_SCOPE=$B91)))*SIGN(((ACT_SKU_SCOPE="ALL")+(ACT_SKU_SCOPE=$G91)))*(ACT_START&lt;=2)*(ACT_END&gt;=2)*IFERROR(ACT_UPLIFT-1,0)))*(1+SUMPRODUCT(SIGN(((ACT_DOOR_SCOPE="ALL")+(ACT_DOOR_SCOPE="TIER_"&amp;$F91)+(ACT_DOOR_SCOPE=$B91)))*SIGN(((ACT_SKU_SCOPE="ALL")+(ACT_SKU_SCOPE=$G91)))*(2&gt;ACT_END)*(ACT_END&gt;0)*IFERROR(ACT_POSTLIFT,0))),0)))</f>
        <v/>
      </c>
      <c r="L91" s="10">
        <f>IF(OR($H91&lt;&gt;"Y",3&lt;$I91),0,IF(SUMPRODUCT(((BULK_ENABLED="Y")*((BULK_TIER="ALL")+(BULK_TIER=$F91))*((BULK_SKU="ALL")+(BULK_SKU=$G91))*(BULK_START&lt;=3)*(BULK_END&gt;=3)))&gt;0,IFERROR(SUMPRODUCT(((BULK_ENABLED="Y")*((BULK_TIER="ALL")+(BULK_TIER=$F91))*((BULK_SKU="ALL")+(BULK_SKU=$G91))*(BULK_START&lt;=3)*(BULK_END&gt;=3))*IFERROR(BULK_VALUE,0))/MAX(1,SUMPRODUCT(((BULK_ENABLED="Y")*((BULK_TIER="ALL")+(BULK_TIER=$F91))*((BULK_SKU="ALL")+(BULK_SKU=$G91))*(BULK_START&lt;=3)*(BULK_END&gt;=3)))),0),ROUND((INDEX(VELOCITY_TABLE,MATCH($F91,TIER_LIST,0),3))*(IF((3-$I91+1)&lt;=0,0,IF((3-$I91+1)=1,RAMP_W1,IF((3-$I91+1)=2,RAMP_W2,IF((3-$I91+1)=3,RAMP_W3,RAMP_W4PLUS)))))*(INDEX(ACTIVE_MULT_TABLE,3,1))*(1+SUMPRODUCT(SIGN(((ACT_DOOR_SCOPE="ALL")+(ACT_DOOR_SCOPE="TIER_"&amp;$F91)+(ACT_DOOR_SCOPE=$B91)))*SIGN(((ACT_SKU_SCOPE="ALL")+(ACT_SKU_SCOPE=$G91)))*(ACT_START&lt;=3)*(ACT_END&gt;=3)*IFERROR(ACT_UPLIFT-1,0)))*(1+SUMPRODUCT(SIGN(((ACT_DOOR_SCOPE="ALL")+(ACT_DOOR_SCOPE="TIER_"&amp;$F91)+(ACT_DOOR_SCOPE=$B91)))*SIGN(((ACT_SKU_SCOPE="ALL")+(ACT_SKU_SCOPE=$G91)))*(3&gt;ACT_END)*(ACT_END&gt;0)*IFERROR(ACT_POSTLIFT,0))),0)))</f>
        <v/>
      </c>
      <c r="M91" s="10">
        <f>IF(OR($H91&lt;&gt;"Y",4&lt;$I91),0,IF(SUMPRODUCT(((BULK_ENABLED="Y")*((BULK_TIER="ALL")+(BULK_TIER=$F91))*((BULK_SKU="ALL")+(BULK_SKU=$G91))*(BULK_START&lt;=4)*(BULK_END&gt;=4)))&gt;0,IFERROR(SUMPRODUCT(((BULK_ENABLED="Y")*((BULK_TIER="ALL")+(BULK_TIER=$F91))*((BULK_SKU="ALL")+(BULK_SKU=$G91))*(BULK_START&lt;=4)*(BULK_END&gt;=4))*IFERROR(BULK_VALUE,0))/MAX(1,SUMPRODUCT(((BULK_ENABLED="Y")*((BULK_TIER="ALL")+(BULK_TIER=$F91))*((BULK_SKU="ALL")+(BULK_SKU=$G91))*(BULK_START&lt;=4)*(BULK_END&gt;=4)))),0),ROUND((INDEX(VELOCITY_TABLE,MATCH($F91,TIER_LIST,0),3))*(IF((4-$I91+1)&lt;=0,0,IF((4-$I91+1)=1,RAMP_W1,IF((4-$I91+1)=2,RAMP_W2,IF((4-$I91+1)=3,RAMP_W3,RAMP_W4PLUS)))))*(INDEX(ACTIVE_MULT_TABLE,3,1))*(1+SUMPRODUCT(SIGN(((ACT_DOOR_SCOPE="ALL")+(ACT_DOOR_SCOPE="TIER_"&amp;$F91)+(ACT_DOOR_SCOPE=$B91)))*SIGN(((ACT_SKU_SCOPE="ALL")+(ACT_SKU_SCOPE=$G91)))*(ACT_START&lt;=4)*(ACT_END&gt;=4)*IFERROR(ACT_UPLIFT-1,0)))*(1+SUMPRODUCT(SIGN(((ACT_DOOR_SCOPE="ALL")+(ACT_DOOR_SCOPE="TIER_"&amp;$F91)+(ACT_DOOR_SCOPE=$B91)))*SIGN(((ACT_SKU_SCOPE="ALL")+(ACT_SKU_SCOPE=$G91)))*(4&gt;ACT_END)*(ACT_END&gt;0)*IFERROR(ACT_POSTLIFT,0))),0)))</f>
        <v/>
      </c>
      <c r="N91" s="10">
        <f>IF(OR($H91&lt;&gt;"Y",5&lt;$I91),0,IF(SUMPRODUCT(((BULK_ENABLED="Y")*((BULK_TIER="ALL")+(BULK_TIER=$F91))*((BULK_SKU="ALL")+(BULK_SKU=$G91))*(BULK_START&lt;=5)*(BULK_END&gt;=5)))&gt;0,IFERROR(SUMPRODUCT(((BULK_ENABLED="Y")*((BULK_TIER="ALL")+(BULK_TIER=$F91))*((BULK_SKU="ALL")+(BULK_SKU=$G91))*(BULK_START&lt;=5)*(BULK_END&gt;=5))*IFERROR(BULK_VALUE,0))/MAX(1,SUMPRODUCT(((BULK_ENABLED="Y")*((BULK_TIER="ALL")+(BULK_TIER=$F91))*((BULK_SKU="ALL")+(BULK_SKU=$G91))*(BULK_START&lt;=5)*(BULK_END&gt;=5)))),0),ROUND((INDEX(VELOCITY_TABLE,MATCH($F91,TIER_LIST,0),3))*(IF((5-$I91+1)&lt;=0,0,IF((5-$I91+1)=1,RAMP_W1,IF((5-$I91+1)=2,RAMP_W2,IF((5-$I91+1)=3,RAMP_W3,RAMP_W4PLUS)))))*(INDEX(ACTIVE_MULT_TABLE,3,1))*(1+SUMPRODUCT(SIGN(((ACT_DOOR_SCOPE="ALL")+(ACT_DOOR_SCOPE="TIER_"&amp;$F91)+(ACT_DOOR_SCOPE=$B91)))*SIGN(((ACT_SKU_SCOPE="ALL")+(ACT_SKU_SCOPE=$G91)))*(ACT_START&lt;=5)*(ACT_END&gt;=5)*IFERROR(ACT_UPLIFT-1,0)))*(1+SUMPRODUCT(SIGN(((ACT_DOOR_SCOPE="ALL")+(ACT_DOOR_SCOPE="TIER_"&amp;$F91)+(ACT_DOOR_SCOPE=$B91)))*SIGN(((ACT_SKU_SCOPE="ALL")+(ACT_SKU_SCOPE=$G91)))*(5&gt;ACT_END)*(ACT_END&gt;0)*IFERROR(ACT_POSTLIFT,0))),0)))</f>
        <v/>
      </c>
      <c r="O91" s="10">
        <f>IF(OR($H91&lt;&gt;"Y",6&lt;$I91),0,IF(SUMPRODUCT(((BULK_ENABLED="Y")*((BULK_TIER="ALL")+(BULK_TIER=$F91))*((BULK_SKU="ALL")+(BULK_SKU=$G91))*(BULK_START&lt;=6)*(BULK_END&gt;=6)))&gt;0,IFERROR(SUMPRODUCT(((BULK_ENABLED="Y")*((BULK_TIER="ALL")+(BULK_TIER=$F91))*((BULK_SKU="ALL")+(BULK_SKU=$G91))*(BULK_START&lt;=6)*(BULK_END&gt;=6))*IFERROR(BULK_VALUE,0))/MAX(1,SUMPRODUCT(((BULK_ENABLED="Y")*((BULK_TIER="ALL")+(BULK_TIER=$F91))*((BULK_SKU="ALL")+(BULK_SKU=$G91))*(BULK_START&lt;=6)*(BULK_END&gt;=6)))),0),ROUND((INDEX(VELOCITY_TABLE,MATCH($F91,TIER_LIST,0),3))*(IF((6-$I91+1)&lt;=0,0,IF((6-$I91+1)=1,RAMP_W1,IF((6-$I91+1)=2,RAMP_W2,IF((6-$I91+1)=3,RAMP_W3,RAMP_W4PLUS)))))*(INDEX(ACTIVE_MULT_TABLE,3,1))*(1+SUMPRODUCT(SIGN(((ACT_DOOR_SCOPE="ALL")+(ACT_DOOR_SCOPE="TIER_"&amp;$F91)+(ACT_DOOR_SCOPE=$B91)))*SIGN(((ACT_SKU_SCOPE="ALL")+(ACT_SKU_SCOPE=$G91)))*(ACT_START&lt;=6)*(ACT_END&gt;=6)*IFERROR(ACT_UPLIFT-1,0)))*(1+SUMPRODUCT(SIGN(((ACT_DOOR_SCOPE="ALL")+(ACT_DOOR_SCOPE="TIER_"&amp;$F91)+(ACT_DOOR_SCOPE=$B91)))*SIGN(((ACT_SKU_SCOPE="ALL")+(ACT_SKU_SCOPE=$G91)))*(6&gt;ACT_END)*(ACT_END&gt;0)*IFERROR(ACT_POSTLIFT,0))),0)))</f>
        <v/>
      </c>
      <c r="P91" s="10">
        <f>IF(OR($H91&lt;&gt;"Y",7&lt;$I91),0,IF(SUMPRODUCT(((BULK_ENABLED="Y")*((BULK_TIER="ALL")+(BULK_TIER=$F91))*((BULK_SKU="ALL")+(BULK_SKU=$G91))*(BULK_START&lt;=7)*(BULK_END&gt;=7)))&gt;0,IFERROR(SUMPRODUCT(((BULK_ENABLED="Y")*((BULK_TIER="ALL")+(BULK_TIER=$F91))*((BULK_SKU="ALL")+(BULK_SKU=$G91))*(BULK_START&lt;=7)*(BULK_END&gt;=7))*IFERROR(BULK_VALUE,0))/MAX(1,SUMPRODUCT(((BULK_ENABLED="Y")*((BULK_TIER="ALL")+(BULK_TIER=$F91))*((BULK_SKU="ALL")+(BULK_SKU=$G91))*(BULK_START&lt;=7)*(BULK_END&gt;=7)))),0),ROUND((INDEX(VELOCITY_TABLE,MATCH($F91,TIER_LIST,0),3))*(IF((7-$I91+1)&lt;=0,0,IF((7-$I91+1)=1,RAMP_W1,IF((7-$I91+1)=2,RAMP_W2,IF((7-$I91+1)=3,RAMP_W3,RAMP_W4PLUS)))))*(INDEX(ACTIVE_MULT_TABLE,3,1))*(1+SUMPRODUCT(SIGN(((ACT_DOOR_SCOPE="ALL")+(ACT_DOOR_SCOPE="TIER_"&amp;$F91)+(ACT_DOOR_SCOPE=$B91)))*SIGN(((ACT_SKU_SCOPE="ALL")+(ACT_SKU_SCOPE=$G91)))*(ACT_START&lt;=7)*(ACT_END&gt;=7)*IFERROR(ACT_UPLIFT-1,0)))*(1+SUMPRODUCT(SIGN(((ACT_DOOR_SCOPE="ALL")+(ACT_DOOR_SCOPE="TIER_"&amp;$F91)+(ACT_DOOR_SCOPE=$B91)))*SIGN(((ACT_SKU_SCOPE="ALL")+(ACT_SKU_SCOPE=$G91)))*(7&gt;ACT_END)*(ACT_END&gt;0)*IFERROR(ACT_POSTLIFT,0))),0)))</f>
        <v/>
      </c>
      <c r="Q91" s="10">
        <f>IF(OR($H91&lt;&gt;"Y",8&lt;$I91),0,IF(SUMPRODUCT(((BULK_ENABLED="Y")*((BULK_TIER="ALL")+(BULK_TIER=$F91))*((BULK_SKU="ALL")+(BULK_SKU=$G91))*(BULK_START&lt;=8)*(BULK_END&gt;=8)))&gt;0,IFERROR(SUMPRODUCT(((BULK_ENABLED="Y")*((BULK_TIER="ALL")+(BULK_TIER=$F91))*((BULK_SKU="ALL")+(BULK_SKU=$G91))*(BULK_START&lt;=8)*(BULK_END&gt;=8))*IFERROR(BULK_VALUE,0))/MAX(1,SUMPRODUCT(((BULK_ENABLED="Y")*((BULK_TIER="ALL")+(BULK_TIER=$F91))*((BULK_SKU="ALL")+(BULK_SKU=$G91))*(BULK_START&lt;=8)*(BULK_END&gt;=8)))),0),ROUND((INDEX(VELOCITY_TABLE,MATCH($F91,TIER_LIST,0),3))*(IF((8-$I91+1)&lt;=0,0,IF((8-$I91+1)=1,RAMP_W1,IF((8-$I91+1)=2,RAMP_W2,IF((8-$I91+1)=3,RAMP_W3,RAMP_W4PLUS)))))*(INDEX(ACTIVE_MULT_TABLE,3,1))*(1+SUMPRODUCT(SIGN(((ACT_DOOR_SCOPE="ALL")+(ACT_DOOR_SCOPE="TIER_"&amp;$F91)+(ACT_DOOR_SCOPE=$B91)))*SIGN(((ACT_SKU_SCOPE="ALL")+(ACT_SKU_SCOPE=$G91)))*(ACT_START&lt;=8)*(ACT_END&gt;=8)*IFERROR(ACT_UPLIFT-1,0)))*(1+SUMPRODUCT(SIGN(((ACT_DOOR_SCOPE="ALL")+(ACT_DOOR_SCOPE="TIER_"&amp;$F91)+(ACT_DOOR_SCOPE=$B91)))*SIGN(((ACT_SKU_SCOPE="ALL")+(ACT_SKU_SCOPE=$G91)))*(8&gt;ACT_END)*(ACT_END&gt;0)*IFERROR(ACT_POSTLIFT,0))),0)))</f>
        <v/>
      </c>
      <c r="R91" s="10">
        <f>IF(OR($H91&lt;&gt;"Y",9&lt;$I91),0,IF(SUMPRODUCT(((BULK_ENABLED="Y")*((BULK_TIER="ALL")+(BULK_TIER=$F91))*((BULK_SKU="ALL")+(BULK_SKU=$G91))*(BULK_START&lt;=9)*(BULK_END&gt;=9)))&gt;0,IFERROR(SUMPRODUCT(((BULK_ENABLED="Y")*((BULK_TIER="ALL")+(BULK_TIER=$F91))*((BULK_SKU="ALL")+(BULK_SKU=$G91))*(BULK_START&lt;=9)*(BULK_END&gt;=9))*IFERROR(BULK_VALUE,0))/MAX(1,SUMPRODUCT(((BULK_ENABLED="Y")*((BULK_TIER="ALL")+(BULK_TIER=$F91))*((BULK_SKU="ALL")+(BULK_SKU=$G91))*(BULK_START&lt;=9)*(BULK_END&gt;=9)))),0),ROUND((INDEX(VELOCITY_TABLE,MATCH($F91,TIER_LIST,0),3))*(IF((9-$I91+1)&lt;=0,0,IF((9-$I91+1)=1,RAMP_W1,IF((9-$I91+1)=2,RAMP_W2,IF((9-$I91+1)=3,RAMP_W3,RAMP_W4PLUS)))))*(INDEX(ACTIVE_MULT_TABLE,3,1))*(1+SUMPRODUCT(SIGN(((ACT_DOOR_SCOPE="ALL")+(ACT_DOOR_SCOPE="TIER_"&amp;$F91)+(ACT_DOOR_SCOPE=$B91)))*SIGN(((ACT_SKU_SCOPE="ALL")+(ACT_SKU_SCOPE=$G91)))*(ACT_START&lt;=9)*(ACT_END&gt;=9)*IFERROR(ACT_UPLIFT-1,0)))*(1+SUMPRODUCT(SIGN(((ACT_DOOR_SCOPE="ALL")+(ACT_DOOR_SCOPE="TIER_"&amp;$F91)+(ACT_DOOR_SCOPE=$B91)))*SIGN(((ACT_SKU_SCOPE="ALL")+(ACT_SKU_SCOPE=$G91)))*(9&gt;ACT_END)*(ACT_END&gt;0)*IFERROR(ACT_POSTLIFT,0))),0)))</f>
        <v/>
      </c>
      <c r="S91" s="10">
        <f>IF(OR($H91&lt;&gt;"Y",10&lt;$I91),0,IF(SUMPRODUCT(((BULK_ENABLED="Y")*((BULK_TIER="ALL")+(BULK_TIER=$F91))*((BULK_SKU="ALL")+(BULK_SKU=$G91))*(BULK_START&lt;=10)*(BULK_END&gt;=10)))&gt;0,IFERROR(SUMPRODUCT(((BULK_ENABLED="Y")*((BULK_TIER="ALL")+(BULK_TIER=$F91))*((BULK_SKU="ALL")+(BULK_SKU=$G91))*(BULK_START&lt;=10)*(BULK_END&gt;=10))*IFERROR(BULK_VALUE,0))/MAX(1,SUMPRODUCT(((BULK_ENABLED="Y")*((BULK_TIER="ALL")+(BULK_TIER=$F91))*((BULK_SKU="ALL")+(BULK_SKU=$G91))*(BULK_START&lt;=10)*(BULK_END&gt;=10)))),0),ROUND((INDEX(VELOCITY_TABLE,MATCH($F91,TIER_LIST,0),3))*(IF((10-$I91+1)&lt;=0,0,IF((10-$I91+1)=1,RAMP_W1,IF((10-$I91+1)=2,RAMP_W2,IF((10-$I91+1)=3,RAMP_W3,RAMP_W4PLUS)))))*(INDEX(ACTIVE_MULT_TABLE,3,1))*(1+SUMPRODUCT(SIGN(((ACT_DOOR_SCOPE="ALL")+(ACT_DOOR_SCOPE="TIER_"&amp;$F91)+(ACT_DOOR_SCOPE=$B91)))*SIGN(((ACT_SKU_SCOPE="ALL")+(ACT_SKU_SCOPE=$G91)))*(ACT_START&lt;=10)*(ACT_END&gt;=10)*IFERROR(ACT_UPLIFT-1,0)))*(1+SUMPRODUCT(SIGN(((ACT_DOOR_SCOPE="ALL")+(ACT_DOOR_SCOPE="TIER_"&amp;$F91)+(ACT_DOOR_SCOPE=$B91)))*SIGN(((ACT_SKU_SCOPE="ALL")+(ACT_SKU_SCOPE=$G91)))*(10&gt;ACT_END)*(ACT_END&gt;0)*IFERROR(ACT_POSTLIFT,0))),0)))</f>
        <v/>
      </c>
      <c r="T91" s="10">
        <f>IF(OR($H91&lt;&gt;"Y",11&lt;$I91),0,IF(SUMPRODUCT(((BULK_ENABLED="Y")*((BULK_TIER="ALL")+(BULK_TIER=$F91))*((BULK_SKU="ALL")+(BULK_SKU=$G91))*(BULK_START&lt;=11)*(BULK_END&gt;=11)))&gt;0,IFERROR(SUMPRODUCT(((BULK_ENABLED="Y")*((BULK_TIER="ALL")+(BULK_TIER=$F91))*((BULK_SKU="ALL")+(BULK_SKU=$G91))*(BULK_START&lt;=11)*(BULK_END&gt;=11))*IFERROR(BULK_VALUE,0))/MAX(1,SUMPRODUCT(((BULK_ENABLED="Y")*((BULK_TIER="ALL")+(BULK_TIER=$F91))*((BULK_SKU="ALL")+(BULK_SKU=$G91))*(BULK_START&lt;=11)*(BULK_END&gt;=11)))),0),ROUND((INDEX(VELOCITY_TABLE,MATCH($F91,TIER_LIST,0),3))*(IF((11-$I91+1)&lt;=0,0,IF((11-$I91+1)=1,RAMP_W1,IF((11-$I91+1)=2,RAMP_W2,IF((11-$I91+1)=3,RAMP_W3,RAMP_W4PLUS)))))*(INDEX(ACTIVE_MULT_TABLE,3,1))*(1+SUMPRODUCT(SIGN(((ACT_DOOR_SCOPE="ALL")+(ACT_DOOR_SCOPE="TIER_"&amp;$F91)+(ACT_DOOR_SCOPE=$B91)))*SIGN(((ACT_SKU_SCOPE="ALL")+(ACT_SKU_SCOPE=$G91)))*(ACT_START&lt;=11)*(ACT_END&gt;=11)*IFERROR(ACT_UPLIFT-1,0)))*(1+SUMPRODUCT(SIGN(((ACT_DOOR_SCOPE="ALL")+(ACT_DOOR_SCOPE="TIER_"&amp;$F91)+(ACT_DOOR_SCOPE=$B91)))*SIGN(((ACT_SKU_SCOPE="ALL")+(ACT_SKU_SCOPE=$G91)))*(11&gt;ACT_END)*(ACT_END&gt;0)*IFERROR(ACT_POSTLIFT,0))),0)))</f>
        <v/>
      </c>
      <c r="U91" s="10">
        <f>IF(OR($H91&lt;&gt;"Y",12&lt;$I91),0,IF(SUMPRODUCT(((BULK_ENABLED="Y")*((BULK_TIER="ALL")+(BULK_TIER=$F91))*((BULK_SKU="ALL")+(BULK_SKU=$G91))*(BULK_START&lt;=12)*(BULK_END&gt;=12)))&gt;0,IFERROR(SUMPRODUCT(((BULK_ENABLED="Y")*((BULK_TIER="ALL")+(BULK_TIER=$F91))*((BULK_SKU="ALL")+(BULK_SKU=$G91))*(BULK_START&lt;=12)*(BULK_END&gt;=12))*IFERROR(BULK_VALUE,0))/MAX(1,SUMPRODUCT(((BULK_ENABLED="Y")*((BULK_TIER="ALL")+(BULK_TIER=$F91))*((BULK_SKU="ALL")+(BULK_SKU=$G91))*(BULK_START&lt;=12)*(BULK_END&gt;=12)))),0),ROUND((INDEX(VELOCITY_TABLE,MATCH($F91,TIER_LIST,0),3))*(IF((12-$I91+1)&lt;=0,0,IF((12-$I91+1)=1,RAMP_W1,IF((12-$I91+1)=2,RAMP_W2,IF((12-$I91+1)=3,RAMP_W3,RAMP_W4PLUS)))))*(INDEX(ACTIVE_MULT_TABLE,3,1))*(1+SUMPRODUCT(SIGN(((ACT_DOOR_SCOPE="ALL")+(ACT_DOOR_SCOPE="TIER_"&amp;$F91)+(ACT_DOOR_SCOPE=$B91)))*SIGN(((ACT_SKU_SCOPE="ALL")+(ACT_SKU_SCOPE=$G91)))*(ACT_START&lt;=12)*(ACT_END&gt;=12)*IFERROR(ACT_UPLIFT-1,0)))*(1+SUMPRODUCT(SIGN(((ACT_DOOR_SCOPE="ALL")+(ACT_DOOR_SCOPE="TIER_"&amp;$F91)+(ACT_DOOR_SCOPE=$B91)))*SIGN(((ACT_SKU_SCOPE="ALL")+(ACT_SKU_SCOPE=$G91)))*(12&gt;ACT_END)*(ACT_END&gt;0)*IFERROR(ACT_POSTLIFT,0))),0)))</f>
        <v/>
      </c>
      <c r="V91" s="10">
        <f>IF(OR($H91&lt;&gt;"Y",13&lt;$I91),0,IF(SUMPRODUCT(((BULK_ENABLED="Y")*((BULK_TIER="ALL")+(BULK_TIER=$F91))*((BULK_SKU="ALL")+(BULK_SKU=$G91))*(BULK_START&lt;=13)*(BULK_END&gt;=13)))&gt;0,IFERROR(SUMPRODUCT(((BULK_ENABLED="Y")*((BULK_TIER="ALL")+(BULK_TIER=$F91))*((BULK_SKU="ALL")+(BULK_SKU=$G91))*(BULK_START&lt;=13)*(BULK_END&gt;=13))*IFERROR(BULK_VALUE,0))/MAX(1,SUMPRODUCT(((BULK_ENABLED="Y")*((BULK_TIER="ALL")+(BULK_TIER=$F91))*((BULK_SKU="ALL")+(BULK_SKU=$G91))*(BULK_START&lt;=13)*(BULK_END&gt;=13)))),0),ROUND((INDEX(VELOCITY_TABLE,MATCH($F91,TIER_LIST,0),3))*(IF((13-$I91+1)&lt;=0,0,IF((13-$I91+1)=1,RAMP_W1,IF((13-$I91+1)=2,RAMP_W2,IF((13-$I91+1)=3,RAMP_W3,RAMP_W4PLUS)))))*(INDEX(ACTIVE_MULT_TABLE,3,1))*(1+SUMPRODUCT(SIGN(((ACT_DOOR_SCOPE="ALL")+(ACT_DOOR_SCOPE="TIER_"&amp;$F91)+(ACT_DOOR_SCOPE=$B91)))*SIGN(((ACT_SKU_SCOPE="ALL")+(ACT_SKU_SCOPE=$G91)))*(ACT_START&lt;=13)*(ACT_END&gt;=13)*IFERROR(ACT_UPLIFT-1,0)))*(1+SUMPRODUCT(SIGN(((ACT_DOOR_SCOPE="ALL")+(ACT_DOOR_SCOPE="TIER_"&amp;$F91)+(ACT_DOOR_SCOPE=$B91)))*SIGN(((ACT_SKU_SCOPE="ALL")+(ACT_SKU_SCOPE=$G91)))*(13&gt;ACT_END)*(ACT_END&gt;0)*IFERROR(ACT_POSTLIFT,0))),0)))</f>
        <v/>
      </c>
    </row>
    <row r="92">
      <c r="A92" t="inlineStr">
        <is>
          <t>R0088</t>
        </is>
      </c>
      <c r="B92">
        <f>Doors!$A$34</f>
        <v/>
      </c>
      <c r="C92">
        <f>Doors!$C$34</f>
        <v/>
      </c>
      <c r="D92">
        <f>Doors!$B$34</f>
        <v/>
      </c>
      <c r="E92">
        <f>Doors!$E$34</f>
        <v/>
      </c>
      <c r="F92">
        <f>Doors!$F$34</f>
        <v/>
      </c>
      <c r="G92" t="inlineStr">
        <is>
          <t>Lime Lemon</t>
        </is>
      </c>
      <c r="H92">
        <f>Doors!$G$34</f>
        <v/>
      </c>
      <c r="I92">
        <f>Doors!$J$34</f>
        <v/>
      </c>
      <c r="J92" s="10">
        <f>IF(OR($H92&lt;&gt;"Y",1&lt;$I92),0,IF(SUMPRODUCT(((BULK_ENABLED="Y")*((BULK_TIER="ALL")+(BULK_TIER=$F92))*((BULK_SKU="ALL")+(BULK_SKU=$G92))*(BULK_START&lt;=1)*(BULK_END&gt;=1)))&gt;0,IFERROR(SUMPRODUCT(((BULK_ENABLED="Y")*((BULK_TIER="ALL")+(BULK_TIER=$F92))*((BULK_SKU="ALL")+(BULK_SKU=$G92))*(BULK_START&lt;=1)*(BULK_END&gt;=1))*IFERROR(BULK_VALUE,0))/MAX(1,SUMPRODUCT(((BULK_ENABLED="Y")*((BULK_TIER="ALL")+(BULK_TIER=$F92))*((BULK_SKU="ALL")+(BULK_SKU=$G92))*(BULK_START&lt;=1)*(BULK_END&gt;=1)))),0),ROUND((INDEX(VELOCITY_TABLE,MATCH($F92,TIER_LIST,0),1))*(IF((1-$I92+1)&lt;=0,0,IF((1-$I92+1)=1,RAMP_W1,IF((1-$I92+1)=2,RAMP_W2,IF((1-$I92+1)=3,RAMP_W3,RAMP_W4PLUS)))))*(INDEX(ACTIVE_MULT_TABLE,1,1))*(1+SUMPRODUCT(SIGN(((ACT_DOOR_SCOPE="ALL")+(ACT_DOOR_SCOPE="TIER_"&amp;$F92)+(ACT_DOOR_SCOPE=$B92)))*SIGN(((ACT_SKU_SCOPE="ALL")+(ACT_SKU_SCOPE=$G92)))*(ACT_START&lt;=1)*(ACT_END&gt;=1)*IFERROR(ACT_UPLIFT-1,0)))*(1+SUMPRODUCT(SIGN(((ACT_DOOR_SCOPE="ALL")+(ACT_DOOR_SCOPE="TIER_"&amp;$F92)+(ACT_DOOR_SCOPE=$B92)))*SIGN(((ACT_SKU_SCOPE="ALL")+(ACT_SKU_SCOPE=$G92)))*(1&gt;ACT_END)*(ACT_END&gt;0)*IFERROR(ACT_POSTLIFT,0))),0)))</f>
        <v/>
      </c>
      <c r="K92" s="10">
        <f>IF(OR($H92&lt;&gt;"Y",2&lt;$I92),0,IF(SUMPRODUCT(((BULK_ENABLED="Y")*((BULK_TIER="ALL")+(BULK_TIER=$F92))*((BULK_SKU="ALL")+(BULK_SKU=$G92))*(BULK_START&lt;=2)*(BULK_END&gt;=2)))&gt;0,IFERROR(SUMPRODUCT(((BULK_ENABLED="Y")*((BULK_TIER="ALL")+(BULK_TIER=$F92))*((BULK_SKU="ALL")+(BULK_SKU=$G92))*(BULK_START&lt;=2)*(BULK_END&gt;=2))*IFERROR(BULK_VALUE,0))/MAX(1,SUMPRODUCT(((BULK_ENABLED="Y")*((BULK_TIER="ALL")+(BULK_TIER=$F92))*((BULK_SKU="ALL")+(BULK_SKU=$G92))*(BULK_START&lt;=2)*(BULK_END&gt;=2)))),0),ROUND((INDEX(VELOCITY_TABLE,MATCH($F92,TIER_LIST,0),1))*(IF((2-$I92+1)&lt;=0,0,IF((2-$I92+1)=1,RAMP_W1,IF((2-$I92+1)=2,RAMP_W2,IF((2-$I92+1)=3,RAMP_W3,RAMP_W4PLUS)))))*(INDEX(ACTIVE_MULT_TABLE,1,1))*(1+SUMPRODUCT(SIGN(((ACT_DOOR_SCOPE="ALL")+(ACT_DOOR_SCOPE="TIER_"&amp;$F92)+(ACT_DOOR_SCOPE=$B92)))*SIGN(((ACT_SKU_SCOPE="ALL")+(ACT_SKU_SCOPE=$G92)))*(ACT_START&lt;=2)*(ACT_END&gt;=2)*IFERROR(ACT_UPLIFT-1,0)))*(1+SUMPRODUCT(SIGN(((ACT_DOOR_SCOPE="ALL")+(ACT_DOOR_SCOPE="TIER_"&amp;$F92)+(ACT_DOOR_SCOPE=$B92)))*SIGN(((ACT_SKU_SCOPE="ALL")+(ACT_SKU_SCOPE=$G92)))*(2&gt;ACT_END)*(ACT_END&gt;0)*IFERROR(ACT_POSTLIFT,0))),0)))</f>
        <v/>
      </c>
      <c r="L92" s="10">
        <f>IF(OR($H92&lt;&gt;"Y",3&lt;$I92),0,IF(SUMPRODUCT(((BULK_ENABLED="Y")*((BULK_TIER="ALL")+(BULK_TIER=$F92))*((BULK_SKU="ALL")+(BULK_SKU=$G92))*(BULK_START&lt;=3)*(BULK_END&gt;=3)))&gt;0,IFERROR(SUMPRODUCT(((BULK_ENABLED="Y")*((BULK_TIER="ALL")+(BULK_TIER=$F92))*((BULK_SKU="ALL")+(BULK_SKU=$G92))*(BULK_START&lt;=3)*(BULK_END&gt;=3))*IFERROR(BULK_VALUE,0))/MAX(1,SUMPRODUCT(((BULK_ENABLED="Y")*((BULK_TIER="ALL")+(BULK_TIER=$F92))*((BULK_SKU="ALL")+(BULK_SKU=$G92))*(BULK_START&lt;=3)*(BULK_END&gt;=3)))),0),ROUND((INDEX(VELOCITY_TABLE,MATCH($F92,TIER_LIST,0),1))*(IF((3-$I92+1)&lt;=0,0,IF((3-$I92+1)=1,RAMP_W1,IF((3-$I92+1)=2,RAMP_W2,IF((3-$I92+1)=3,RAMP_W3,RAMP_W4PLUS)))))*(INDEX(ACTIVE_MULT_TABLE,1,1))*(1+SUMPRODUCT(SIGN(((ACT_DOOR_SCOPE="ALL")+(ACT_DOOR_SCOPE="TIER_"&amp;$F92)+(ACT_DOOR_SCOPE=$B92)))*SIGN(((ACT_SKU_SCOPE="ALL")+(ACT_SKU_SCOPE=$G92)))*(ACT_START&lt;=3)*(ACT_END&gt;=3)*IFERROR(ACT_UPLIFT-1,0)))*(1+SUMPRODUCT(SIGN(((ACT_DOOR_SCOPE="ALL")+(ACT_DOOR_SCOPE="TIER_"&amp;$F92)+(ACT_DOOR_SCOPE=$B92)))*SIGN(((ACT_SKU_SCOPE="ALL")+(ACT_SKU_SCOPE=$G92)))*(3&gt;ACT_END)*(ACT_END&gt;0)*IFERROR(ACT_POSTLIFT,0))),0)))</f>
        <v/>
      </c>
      <c r="M92" s="10">
        <f>IF(OR($H92&lt;&gt;"Y",4&lt;$I92),0,IF(SUMPRODUCT(((BULK_ENABLED="Y")*((BULK_TIER="ALL")+(BULK_TIER=$F92))*((BULK_SKU="ALL")+(BULK_SKU=$G92))*(BULK_START&lt;=4)*(BULK_END&gt;=4)))&gt;0,IFERROR(SUMPRODUCT(((BULK_ENABLED="Y")*((BULK_TIER="ALL")+(BULK_TIER=$F92))*((BULK_SKU="ALL")+(BULK_SKU=$G92))*(BULK_START&lt;=4)*(BULK_END&gt;=4))*IFERROR(BULK_VALUE,0))/MAX(1,SUMPRODUCT(((BULK_ENABLED="Y")*((BULK_TIER="ALL")+(BULK_TIER=$F92))*((BULK_SKU="ALL")+(BULK_SKU=$G92))*(BULK_START&lt;=4)*(BULK_END&gt;=4)))),0),ROUND((INDEX(VELOCITY_TABLE,MATCH($F92,TIER_LIST,0),1))*(IF((4-$I92+1)&lt;=0,0,IF((4-$I92+1)=1,RAMP_W1,IF((4-$I92+1)=2,RAMP_W2,IF((4-$I92+1)=3,RAMP_W3,RAMP_W4PLUS)))))*(INDEX(ACTIVE_MULT_TABLE,1,1))*(1+SUMPRODUCT(SIGN(((ACT_DOOR_SCOPE="ALL")+(ACT_DOOR_SCOPE="TIER_"&amp;$F92)+(ACT_DOOR_SCOPE=$B92)))*SIGN(((ACT_SKU_SCOPE="ALL")+(ACT_SKU_SCOPE=$G92)))*(ACT_START&lt;=4)*(ACT_END&gt;=4)*IFERROR(ACT_UPLIFT-1,0)))*(1+SUMPRODUCT(SIGN(((ACT_DOOR_SCOPE="ALL")+(ACT_DOOR_SCOPE="TIER_"&amp;$F92)+(ACT_DOOR_SCOPE=$B92)))*SIGN(((ACT_SKU_SCOPE="ALL")+(ACT_SKU_SCOPE=$G92)))*(4&gt;ACT_END)*(ACT_END&gt;0)*IFERROR(ACT_POSTLIFT,0))),0)))</f>
        <v/>
      </c>
      <c r="N92" s="10">
        <f>IF(OR($H92&lt;&gt;"Y",5&lt;$I92),0,IF(SUMPRODUCT(((BULK_ENABLED="Y")*((BULK_TIER="ALL")+(BULK_TIER=$F92))*((BULK_SKU="ALL")+(BULK_SKU=$G92))*(BULK_START&lt;=5)*(BULK_END&gt;=5)))&gt;0,IFERROR(SUMPRODUCT(((BULK_ENABLED="Y")*((BULK_TIER="ALL")+(BULK_TIER=$F92))*((BULK_SKU="ALL")+(BULK_SKU=$G92))*(BULK_START&lt;=5)*(BULK_END&gt;=5))*IFERROR(BULK_VALUE,0))/MAX(1,SUMPRODUCT(((BULK_ENABLED="Y")*((BULK_TIER="ALL")+(BULK_TIER=$F92))*((BULK_SKU="ALL")+(BULK_SKU=$G92))*(BULK_START&lt;=5)*(BULK_END&gt;=5)))),0),ROUND((INDEX(VELOCITY_TABLE,MATCH($F92,TIER_LIST,0),1))*(IF((5-$I92+1)&lt;=0,0,IF((5-$I92+1)=1,RAMP_W1,IF((5-$I92+1)=2,RAMP_W2,IF((5-$I92+1)=3,RAMP_W3,RAMP_W4PLUS)))))*(INDEX(ACTIVE_MULT_TABLE,1,1))*(1+SUMPRODUCT(SIGN(((ACT_DOOR_SCOPE="ALL")+(ACT_DOOR_SCOPE="TIER_"&amp;$F92)+(ACT_DOOR_SCOPE=$B92)))*SIGN(((ACT_SKU_SCOPE="ALL")+(ACT_SKU_SCOPE=$G92)))*(ACT_START&lt;=5)*(ACT_END&gt;=5)*IFERROR(ACT_UPLIFT-1,0)))*(1+SUMPRODUCT(SIGN(((ACT_DOOR_SCOPE="ALL")+(ACT_DOOR_SCOPE="TIER_"&amp;$F92)+(ACT_DOOR_SCOPE=$B92)))*SIGN(((ACT_SKU_SCOPE="ALL")+(ACT_SKU_SCOPE=$G92)))*(5&gt;ACT_END)*(ACT_END&gt;0)*IFERROR(ACT_POSTLIFT,0))),0)))</f>
        <v/>
      </c>
      <c r="O92" s="10">
        <f>IF(OR($H92&lt;&gt;"Y",6&lt;$I92),0,IF(SUMPRODUCT(((BULK_ENABLED="Y")*((BULK_TIER="ALL")+(BULK_TIER=$F92))*((BULK_SKU="ALL")+(BULK_SKU=$G92))*(BULK_START&lt;=6)*(BULK_END&gt;=6)))&gt;0,IFERROR(SUMPRODUCT(((BULK_ENABLED="Y")*((BULK_TIER="ALL")+(BULK_TIER=$F92))*((BULK_SKU="ALL")+(BULK_SKU=$G92))*(BULK_START&lt;=6)*(BULK_END&gt;=6))*IFERROR(BULK_VALUE,0))/MAX(1,SUMPRODUCT(((BULK_ENABLED="Y")*((BULK_TIER="ALL")+(BULK_TIER=$F92))*((BULK_SKU="ALL")+(BULK_SKU=$G92))*(BULK_START&lt;=6)*(BULK_END&gt;=6)))),0),ROUND((INDEX(VELOCITY_TABLE,MATCH($F92,TIER_LIST,0),1))*(IF((6-$I92+1)&lt;=0,0,IF((6-$I92+1)=1,RAMP_W1,IF((6-$I92+1)=2,RAMP_W2,IF((6-$I92+1)=3,RAMP_W3,RAMP_W4PLUS)))))*(INDEX(ACTIVE_MULT_TABLE,1,1))*(1+SUMPRODUCT(SIGN(((ACT_DOOR_SCOPE="ALL")+(ACT_DOOR_SCOPE="TIER_"&amp;$F92)+(ACT_DOOR_SCOPE=$B92)))*SIGN(((ACT_SKU_SCOPE="ALL")+(ACT_SKU_SCOPE=$G92)))*(ACT_START&lt;=6)*(ACT_END&gt;=6)*IFERROR(ACT_UPLIFT-1,0)))*(1+SUMPRODUCT(SIGN(((ACT_DOOR_SCOPE="ALL")+(ACT_DOOR_SCOPE="TIER_"&amp;$F92)+(ACT_DOOR_SCOPE=$B92)))*SIGN(((ACT_SKU_SCOPE="ALL")+(ACT_SKU_SCOPE=$G92)))*(6&gt;ACT_END)*(ACT_END&gt;0)*IFERROR(ACT_POSTLIFT,0))),0)))</f>
        <v/>
      </c>
      <c r="P92" s="10">
        <f>IF(OR($H92&lt;&gt;"Y",7&lt;$I92),0,IF(SUMPRODUCT(((BULK_ENABLED="Y")*((BULK_TIER="ALL")+(BULK_TIER=$F92))*((BULK_SKU="ALL")+(BULK_SKU=$G92))*(BULK_START&lt;=7)*(BULK_END&gt;=7)))&gt;0,IFERROR(SUMPRODUCT(((BULK_ENABLED="Y")*((BULK_TIER="ALL")+(BULK_TIER=$F92))*((BULK_SKU="ALL")+(BULK_SKU=$G92))*(BULK_START&lt;=7)*(BULK_END&gt;=7))*IFERROR(BULK_VALUE,0))/MAX(1,SUMPRODUCT(((BULK_ENABLED="Y")*((BULK_TIER="ALL")+(BULK_TIER=$F92))*((BULK_SKU="ALL")+(BULK_SKU=$G92))*(BULK_START&lt;=7)*(BULK_END&gt;=7)))),0),ROUND((INDEX(VELOCITY_TABLE,MATCH($F92,TIER_LIST,0),1))*(IF((7-$I92+1)&lt;=0,0,IF((7-$I92+1)=1,RAMP_W1,IF((7-$I92+1)=2,RAMP_W2,IF((7-$I92+1)=3,RAMP_W3,RAMP_W4PLUS)))))*(INDEX(ACTIVE_MULT_TABLE,1,1))*(1+SUMPRODUCT(SIGN(((ACT_DOOR_SCOPE="ALL")+(ACT_DOOR_SCOPE="TIER_"&amp;$F92)+(ACT_DOOR_SCOPE=$B92)))*SIGN(((ACT_SKU_SCOPE="ALL")+(ACT_SKU_SCOPE=$G92)))*(ACT_START&lt;=7)*(ACT_END&gt;=7)*IFERROR(ACT_UPLIFT-1,0)))*(1+SUMPRODUCT(SIGN(((ACT_DOOR_SCOPE="ALL")+(ACT_DOOR_SCOPE="TIER_"&amp;$F92)+(ACT_DOOR_SCOPE=$B92)))*SIGN(((ACT_SKU_SCOPE="ALL")+(ACT_SKU_SCOPE=$G92)))*(7&gt;ACT_END)*(ACT_END&gt;0)*IFERROR(ACT_POSTLIFT,0))),0)))</f>
        <v/>
      </c>
      <c r="Q92" s="10">
        <f>IF(OR($H92&lt;&gt;"Y",8&lt;$I92),0,IF(SUMPRODUCT(((BULK_ENABLED="Y")*((BULK_TIER="ALL")+(BULK_TIER=$F92))*((BULK_SKU="ALL")+(BULK_SKU=$G92))*(BULK_START&lt;=8)*(BULK_END&gt;=8)))&gt;0,IFERROR(SUMPRODUCT(((BULK_ENABLED="Y")*((BULK_TIER="ALL")+(BULK_TIER=$F92))*((BULK_SKU="ALL")+(BULK_SKU=$G92))*(BULK_START&lt;=8)*(BULK_END&gt;=8))*IFERROR(BULK_VALUE,0))/MAX(1,SUMPRODUCT(((BULK_ENABLED="Y")*((BULK_TIER="ALL")+(BULK_TIER=$F92))*((BULK_SKU="ALL")+(BULK_SKU=$G92))*(BULK_START&lt;=8)*(BULK_END&gt;=8)))),0),ROUND((INDEX(VELOCITY_TABLE,MATCH($F92,TIER_LIST,0),1))*(IF((8-$I92+1)&lt;=0,0,IF((8-$I92+1)=1,RAMP_W1,IF((8-$I92+1)=2,RAMP_W2,IF((8-$I92+1)=3,RAMP_W3,RAMP_W4PLUS)))))*(INDEX(ACTIVE_MULT_TABLE,1,1))*(1+SUMPRODUCT(SIGN(((ACT_DOOR_SCOPE="ALL")+(ACT_DOOR_SCOPE="TIER_"&amp;$F92)+(ACT_DOOR_SCOPE=$B92)))*SIGN(((ACT_SKU_SCOPE="ALL")+(ACT_SKU_SCOPE=$G92)))*(ACT_START&lt;=8)*(ACT_END&gt;=8)*IFERROR(ACT_UPLIFT-1,0)))*(1+SUMPRODUCT(SIGN(((ACT_DOOR_SCOPE="ALL")+(ACT_DOOR_SCOPE="TIER_"&amp;$F92)+(ACT_DOOR_SCOPE=$B92)))*SIGN(((ACT_SKU_SCOPE="ALL")+(ACT_SKU_SCOPE=$G92)))*(8&gt;ACT_END)*(ACT_END&gt;0)*IFERROR(ACT_POSTLIFT,0))),0)))</f>
        <v/>
      </c>
      <c r="R92" s="10">
        <f>IF(OR($H92&lt;&gt;"Y",9&lt;$I92),0,IF(SUMPRODUCT(((BULK_ENABLED="Y")*((BULK_TIER="ALL")+(BULK_TIER=$F92))*((BULK_SKU="ALL")+(BULK_SKU=$G92))*(BULK_START&lt;=9)*(BULK_END&gt;=9)))&gt;0,IFERROR(SUMPRODUCT(((BULK_ENABLED="Y")*((BULK_TIER="ALL")+(BULK_TIER=$F92))*((BULK_SKU="ALL")+(BULK_SKU=$G92))*(BULK_START&lt;=9)*(BULK_END&gt;=9))*IFERROR(BULK_VALUE,0))/MAX(1,SUMPRODUCT(((BULK_ENABLED="Y")*((BULK_TIER="ALL")+(BULK_TIER=$F92))*((BULK_SKU="ALL")+(BULK_SKU=$G92))*(BULK_START&lt;=9)*(BULK_END&gt;=9)))),0),ROUND((INDEX(VELOCITY_TABLE,MATCH($F92,TIER_LIST,0),1))*(IF((9-$I92+1)&lt;=0,0,IF((9-$I92+1)=1,RAMP_W1,IF((9-$I92+1)=2,RAMP_W2,IF((9-$I92+1)=3,RAMP_W3,RAMP_W4PLUS)))))*(INDEX(ACTIVE_MULT_TABLE,1,1))*(1+SUMPRODUCT(SIGN(((ACT_DOOR_SCOPE="ALL")+(ACT_DOOR_SCOPE="TIER_"&amp;$F92)+(ACT_DOOR_SCOPE=$B92)))*SIGN(((ACT_SKU_SCOPE="ALL")+(ACT_SKU_SCOPE=$G92)))*(ACT_START&lt;=9)*(ACT_END&gt;=9)*IFERROR(ACT_UPLIFT-1,0)))*(1+SUMPRODUCT(SIGN(((ACT_DOOR_SCOPE="ALL")+(ACT_DOOR_SCOPE="TIER_"&amp;$F92)+(ACT_DOOR_SCOPE=$B92)))*SIGN(((ACT_SKU_SCOPE="ALL")+(ACT_SKU_SCOPE=$G92)))*(9&gt;ACT_END)*(ACT_END&gt;0)*IFERROR(ACT_POSTLIFT,0))),0)))</f>
        <v/>
      </c>
      <c r="S92" s="10">
        <f>IF(OR($H92&lt;&gt;"Y",10&lt;$I92),0,IF(SUMPRODUCT(((BULK_ENABLED="Y")*((BULK_TIER="ALL")+(BULK_TIER=$F92))*((BULK_SKU="ALL")+(BULK_SKU=$G92))*(BULK_START&lt;=10)*(BULK_END&gt;=10)))&gt;0,IFERROR(SUMPRODUCT(((BULK_ENABLED="Y")*((BULK_TIER="ALL")+(BULK_TIER=$F92))*((BULK_SKU="ALL")+(BULK_SKU=$G92))*(BULK_START&lt;=10)*(BULK_END&gt;=10))*IFERROR(BULK_VALUE,0))/MAX(1,SUMPRODUCT(((BULK_ENABLED="Y")*((BULK_TIER="ALL")+(BULK_TIER=$F92))*((BULK_SKU="ALL")+(BULK_SKU=$G92))*(BULK_START&lt;=10)*(BULK_END&gt;=10)))),0),ROUND((INDEX(VELOCITY_TABLE,MATCH($F92,TIER_LIST,0),1))*(IF((10-$I92+1)&lt;=0,0,IF((10-$I92+1)=1,RAMP_W1,IF((10-$I92+1)=2,RAMP_W2,IF((10-$I92+1)=3,RAMP_W3,RAMP_W4PLUS)))))*(INDEX(ACTIVE_MULT_TABLE,1,1))*(1+SUMPRODUCT(SIGN(((ACT_DOOR_SCOPE="ALL")+(ACT_DOOR_SCOPE="TIER_"&amp;$F92)+(ACT_DOOR_SCOPE=$B92)))*SIGN(((ACT_SKU_SCOPE="ALL")+(ACT_SKU_SCOPE=$G92)))*(ACT_START&lt;=10)*(ACT_END&gt;=10)*IFERROR(ACT_UPLIFT-1,0)))*(1+SUMPRODUCT(SIGN(((ACT_DOOR_SCOPE="ALL")+(ACT_DOOR_SCOPE="TIER_"&amp;$F92)+(ACT_DOOR_SCOPE=$B92)))*SIGN(((ACT_SKU_SCOPE="ALL")+(ACT_SKU_SCOPE=$G92)))*(10&gt;ACT_END)*(ACT_END&gt;0)*IFERROR(ACT_POSTLIFT,0))),0)))</f>
        <v/>
      </c>
      <c r="T92" s="10">
        <f>IF(OR($H92&lt;&gt;"Y",11&lt;$I92),0,IF(SUMPRODUCT(((BULK_ENABLED="Y")*((BULK_TIER="ALL")+(BULK_TIER=$F92))*((BULK_SKU="ALL")+(BULK_SKU=$G92))*(BULK_START&lt;=11)*(BULK_END&gt;=11)))&gt;0,IFERROR(SUMPRODUCT(((BULK_ENABLED="Y")*((BULK_TIER="ALL")+(BULK_TIER=$F92))*((BULK_SKU="ALL")+(BULK_SKU=$G92))*(BULK_START&lt;=11)*(BULK_END&gt;=11))*IFERROR(BULK_VALUE,0))/MAX(1,SUMPRODUCT(((BULK_ENABLED="Y")*((BULK_TIER="ALL")+(BULK_TIER=$F92))*((BULK_SKU="ALL")+(BULK_SKU=$G92))*(BULK_START&lt;=11)*(BULK_END&gt;=11)))),0),ROUND((INDEX(VELOCITY_TABLE,MATCH($F92,TIER_LIST,0),1))*(IF((11-$I92+1)&lt;=0,0,IF((11-$I92+1)=1,RAMP_W1,IF((11-$I92+1)=2,RAMP_W2,IF((11-$I92+1)=3,RAMP_W3,RAMP_W4PLUS)))))*(INDEX(ACTIVE_MULT_TABLE,1,1))*(1+SUMPRODUCT(SIGN(((ACT_DOOR_SCOPE="ALL")+(ACT_DOOR_SCOPE="TIER_"&amp;$F92)+(ACT_DOOR_SCOPE=$B92)))*SIGN(((ACT_SKU_SCOPE="ALL")+(ACT_SKU_SCOPE=$G92)))*(ACT_START&lt;=11)*(ACT_END&gt;=11)*IFERROR(ACT_UPLIFT-1,0)))*(1+SUMPRODUCT(SIGN(((ACT_DOOR_SCOPE="ALL")+(ACT_DOOR_SCOPE="TIER_"&amp;$F92)+(ACT_DOOR_SCOPE=$B92)))*SIGN(((ACT_SKU_SCOPE="ALL")+(ACT_SKU_SCOPE=$G92)))*(11&gt;ACT_END)*(ACT_END&gt;0)*IFERROR(ACT_POSTLIFT,0))),0)))</f>
        <v/>
      </c>
      <c r="U92" s="10">
        <f>IF(OR($H92&lt;&gt;"Y",12&lt;$I92),0,IF(SUMPRODUCT(((BULK_ENABLED="Y")*((BULK_TIER="ALL")+(BULK_TIER=$F92))*((BULK_SKU="ALL")+(BULK_SKU=$G92))*(BULK_START&lt;=12)*(BULK_END&gt;=12)))&gt;0,IFERROR(SUMPRODUCT(((BULK_ENABLED="Y")*((BULK_TIER="ALL")+(BULK_TIER=$F92))*((BULK_SKU="ALL")+(BULK_SKU=$G92))*(BULK_START&lt;=12)*(BULK_END&gt;=12))*IFERROR(BULK_VALUE,0))/MAX(1,SUMPRODUCT(((BULK_ENABLED="Y")*((BULK_TIER="ALL")+(BULK_TIER=$F92))*((BULK_SKU="ALL")+(BULK_SKU=$G92))*(BULK_START&lt;=12)*(BULK_END&gt;=12)))),0),ROUND((INDEX(VELOCITY_TABLE,MATCH($F92,TIER_LIST,0),1))*(IF((12-$I92+1)&lt;=0,0,IF((12-$I92+1)=1,RAMP_W1,IF((12-$I92+1)=2,RAMP_W2,IF((12-$I92+1)=3,RAMP_W3,RAMP_W4PLUS)))))*(INDEX(ACTIVE_MULT_TABLE,1,1))*(1+SUMPRODUCT(SIGN(((ACT_DOOR_SCOPE="ALL")+(ACT_DOOR_SCOPE="TIER_"&amp;$F92)+(ACT_DOOR_SCOPE=$B92)))*SIGN(((ACT_SKU_SCOPE="ALL")+(ACT_SKU_SCOPE=$G92)))*(ACT_START&lt;=12)*(ACT_END&gt;=12)*IFERROR(ACT_UPLIFT-1,0)))*(1+SUMPRODUCT(SIGN(((ACT_DOOR_SCOPE="ALL")+(ACT_DOOR_SCOPE="TIER_"&amp;$F92)+(ACT_DOOR_SCOPE=$B92)))*SIGN(((ACT_SKU_SCOPE="ALL")+(ACT_SKU_SCOPE=$G92)))*(12&gt;ACT_END)*(ACT_END&gt;0)*IFERROR(ACT_POSTLIFT,0))),0)))</f>
        <v/>
      </c>
      <c r="V92" s="10">
        <f>IF(OR($H92&lt;&gt;"Y",13&lt;$I92),0,IF(SUMPRODUCT(((BULK_ENABLED="Y")*((BULK_TIER="ALL")+(BULK_TIER=$F92))*((BULK_SKU="ALL")+(BULK_SKU=$G92))*(BULK_START&lt;=13)*(BULK_END&gt;=13)))&gt;0,IFERROR(SUMPRODUCT(((BULK_ENABLED="Y")*((BULK_TIER="ALL")+(BULK_TIER=$F92))*((BULK_SKU="ALL")+(BULK_SKU=$G92))*(BULK_START&lt;=13)*(BULK_END&gt;=13))*IFERROR(BULK_VALUE,0))/MAX(1,SUMPRODUCT(((BULK_ENABLED="Y")*((BULK_TIER="ALL")+(BULK_TIER=$F92))*((BULK_SKU="ALL")+(BULK_SKU=$G92))*(BULK_START&lt;=13)*(BULK_END&gt;=13)))),0),ROUND((INDEX(VELOCITY_TABLE,MATCH($F92,TIER_LIST,0),1))*(IF((13-$I92+1)&lt;=0,0,IF((13-$I92+1)=1,RAMP_W1,IF((13-$I92+1)=2,RAMP_W2,IF((13-$I92+1)=3,RAMP_W3,RAMP_W4PLUS)))))*(INDEX(ACTIVE_MULT_TABLE,1,1))*(1+SUMPRODUCT(SIGN(((ACT_DOOR_SCOPE="ALL")+(ACT_DOOR_SCOPE="TIER_"&amp;$F92)+(ACT_DOOR_SCOPE=$B92)))*SIGN(((ACT_SKU_SCOPE="ALL")+(ACT_SKU_SCOPE=$G92)))*(ACT_START&lt;=13)*(ACT_END&gt;=13)*IFERROR(ACT_UPLIFT-1,0)))*(1+SUMPRODUCT(SIGN(((ACT_DOOR_SCOPE="ALL")+(ACT_DOOR_SCOPE="TIER_"&amp;$F92)+(ACT_DOOR_SCOPE=$B92)))*SIGN(((ACT_SKU_SCOPE="ALL")+(ACT_SKU_SCOPE=$G92)))*(13&gt;ACT_END)*(ACT_END&gt;0)*IFERROR(ACT_POSTLIFT,0))),0)))</f>
        <v/>
      </c>
    </row>
    <row r="93">
      <c r="A93" t="inlineStr">
        <is>
          <t>R0089</t>
        </is>
      </c>
      <c r="B93">
        <f>Doors!$A$34</f>
        <v/>
      </c>
      <c r="C93">
        <f>Doors!$C$34</f>
        <v/>
      </c>
      <c r="D93">
        <f>Doors!$B$34</f>
        <v/>
      </c>
      <c r="E93">
        <f>Doors!$E$34</f>
        <v/>
      </c>
      <c r="F93">
        <f>Doors!$F$34</f>
        <v/>
      </c>
      <c r="G93" t="inlineStr">
        <is>
          <t>Pineapple Passion Fruit</t>
        </is>
      </c>
      <c r="H93">
        <f>Doors!$H$34</f>
        <v/>
      </c>
      <c r="I93">
        <f>Doors!$J$34</f>
        <v/>
      </c>
      <c r="J93" s="10">
        <f>IF(OR($H93&lt;&gt;"Y",1&lt;$I93),0,IF(SUMPRODUCT(((BULK_ENABLED="Y")*((BULK_TIER="ALL")+(BULK_TIER=$F93))*((BULK_SKU="ALL")+(BULK_SKU=$G93))*(BULK_START&lt;=1)*(BULK_END&gt;=1)))&gt;0,IFERROR(SUMPRODUCT(((BULK_ENABLED="Y")*((BULK_TIER="ALL")+(BULK_TIER=$F93))*((BULK_SKU="ALL")+(BULK_SKU=$G93))*(BULK_START&lt;=1)*(BULK_END&gt;=1))*IFERROR(BULK_VALUE,0))/MAX(1,SUMPRODUCT(((BULK_ENABLED="Y")*((BULK_TIER="ALL")+(BULK_TIER=$F93))*((BULK_SKU="ALL")+(BULK_SKU=$G93))*(BULK_START&lt;=1)*(BULK_END&gt;=1)))),0),ROUND((INDEX(VELOCITY_TABLE,MATCH($F93,TIER_LIST,0),2))*(IF((1-$I93+1)&lt;=0,0,IF((1-$I93+1)=1,RAMP_W1,IF((1-$I93+1)=2,RAMP_W2,IF((1-$I93+1)=3,RAMP_W3,RAMP_W4PLUS)))))*(INDEX(ACTIVE_MULT_TABLE,2,1))*(1+SUMPRODUCT(SIGN(((ACT_DOOR_SCOPE="ALL")+(ACT_DOOR_SCOPE="TIER_"&amp;$F93)+(ACT_DOOR_SCOPE=$B93)))*SIGN(((ACT_SKU_SCOPE="ALL")+(ACT_SKU_SCOPE=$G93)))*(ACT_START&lt;=1)*(ACT_END&gt;=1)*IFERROR(ACT_UPLIFT-1,0)))*(1+SUMPRODUCT(SIGN(((ACT_DOOR_SCOPE="ALL")+(ACT_DOOR_SCOPE="TIER_"&amp;$F93)+(ACT_DOOR_SCOPE=$B93)))*SIGN(((ACT_SKU_SCOPE="ALL")+(ACT_SKU_SCOPE=$G93)))*(1&gt;ACT_END)*(ACT_END&gt;0)*IFERROR(ACT_POSTLIFT,0))),0)))</f>
        <v/>
      </c>
      <c r="K93" s="10">
        <f>IF(OR($H93&lt;&gt;"Y",2&lt;$I93),0,IF(SUMPRODUCT(((BULK_ENABLED="Y")*((BULK_TIER="ALL")+(BULK_TIER=$F93))*((BULK_SKU="ALL")+(BULK_SKU=$G93))*(BULK_START&lt;=2)*(BULK_END&gt;=2)))&gt;0,IFERROR(SUMPRODUCT(((BULK_ENABLED="Y")*((BULK_TIER="ALL")+(BULK_TIER=$F93))*((BULK_SKU="ALL")+(BULK_SKU=$G93))*(BULK_START&lt;=2)*(BULK_END&gt;=2))*IFERROR(BULK_VALUE,0))/MAX(1,SUMPRODUCT(((BULK_ENABLED="Y")*((BULK_TIER="ALL")+(BULK_TIER=$F93))*((BULK_SKU="ALL")+(BULK_SKU=$G93))*(BULK_START&lt;=2)*(BULK_END&gt;=2)))),0),ROUND((INDEX(VELOCITY_TABLE,MATCH($F93,TIER_LIST,0),2))*(IF((2-$I93+1)&lt;=0,0,IF((2-$I93+1)=1,RAMP_W1,IF((2-$I93+1)=2,RAMP_W2,IF((2-$I93+1)=3,RAMP_W3,RAMP_W4PLUS)))))*(INDEX(ACTIVE_MULT_TABLE,2,1))*(1+SUMPRODUCT(SIGN(((ACT_DOOR_SCOPE="ALL")+(ACT_DOOR_SCOPE="TIER_"&amp;$F93)+(ACT_DOOR_SCOPE=$B93)))*SIGN(((ACT_SKU_SCOPE="ALL")+(ACT_SKU_SCOPE=$G93)))*(ACT_START&lt;=2)*(ACT_END&gt;=2)*IFERROR(ACT_UPLIFT-1,0)))*(1+SUMPRODUCT(SIGN(((ACT_DOOR_SCOPE="ALL")+(ACT_DOOR_SCOPE="TIER_"&amp;$F93)+(ACT_DOOR_SCOPE=$B93)))*SIGN(((ACT_SKU_SCOPE="ALL")+(ACT_SKU_SCOPE=$G93)))*(2&gt;ACT_END)*(ACT_END&gt;0)*IFERROR(ACT_POSTLIFT,0))),0)))</f>
        <v/>
      </c>
      <c r="L93" s="10">
        <f>IF(OR($H93&lt;&gt;"Y",3&lt;$I93),0,IF(SUMPRODUCT(((BULK_ENABLED="Y")*((BULK_TIER="ALL")+(BULK_TIER=$F93))*((BULK_SKU="ALL")+(BULK_SKU=$G93))*(BULK_START&lt;=3)*(BULK_END&gt;=3)))&gt;0,IFERROR(SUMPRODUCT(((BULK_ENABLED="Y")*((BULK_TIER="ALL")+(BULK_TIER=$F93))*((BULK_SKU="ALL")+(BULK_SKU=$G93))*(BULK_START&lt;=3)*(BULK_END&gt;=3))*IFERROR(BULK_VALUE,0))/MAX(1,SUMPRODUCT(((BULK_ENABLED="Y")*((BULK_TIER="ALL")+(BULK_TIER=$F93))*((BULK_SKU="ALL")+(BULK_SKU=$G93))*(BULK_START&lt;=3)*(BULK_END&gt;=3)))),0),ROUND((INDEX(VELOCITY_TABLE,MATCH($F93,TIER_LIST,0),2))*(IF((3-$I93+1)&lt;=0,0,IF((3-$I93+1)=1,RAMP_W1,IF((3-$I93+1)=2,RAMP_W2,IF((3-$I93+1)=3,RAMP_W3,RAMP_W4PLUS)))))*(INDEX(ACTIVE_MULT_TABLE,2,1))*(1+SUMPRODUCT(SIGN(((ACT_DOOR_SCOPE="ALL")+(ACT_DOOR_SCOPE="TIER_"&amp;$F93)+(ACT_DOOR_SCOPE=$B93)))*SIGN(((ACT_SKU_SCOPE="ALL")+(ACT_SKU_SCOPE=$G93)))*(ACT_START&lt;=3)*(ACT_END&gt;=3)*IFERROR(ACT_UPLIFT-1,0)))*(1+SUMPRODUCT(SIGN(((ACT_DOOR_SCOPE="ALL")+(ACT_DOOR_SCOPE="TIER_"&amp;$F93)+(ACT_DOOR_SCOPE=$B93)))*SIGN(((ACT_SKU_SCOPE="ALL")+(ACT_SKU_SCOPE=$G93)))*(3&gt;ACT_END)*(ACT_END&gt;0)*IFERROR(ACT_POSTLIFT,0))),0)))</f>
        <v/>
      </c>
      <c r="M93" s="10">
        <f>IF(OR($H93&lt;&gt;"Y",4&lt;$I93),0,IF(SUMPRODUCT(((BULK_ENABLED="Y")*((BULK_TIER="ALL")+(BULK_TIER=$F93))*((BULK_SKU="ALL")+(BULK_SKU=$G93))*(BULK_START&lt;=4)*(BULK_END&gt;=4)))&gt;0,IFERROR(SUMPRODUCT(((BULK_ENABLED="Y")*((BULK_TIER="ALL")+(BULK_TIER=$F93))*((BULK_SKU="ALL")+(BULK_SKU=$G93))*(BULK_START&lt;=4)*(BULK_END&gt;=4))*IFERROR(BULK_VALUE,0))/MAX(1,SUMPRODUCT(((BULK_ENABLED="Y")*((BULK_TIER="ALL")+(BULK_TIER=$F93))*((BULK_SKU="ALL")+(BULK_SKU=$G93))*(BULK_START&lt;=4)*(BULK_END&gt;=4)))),0),ROUND((INDEX(VELOCITY_TABLE,MATCH($F93,TIER_LIST,0),2))*(IF((4-$I93+1)&lt;=0,0,IF((4-$I93+1)=1,RAMP_W1,IF((4-$I93+1)=2,RAMP_W2,IF((4-$I93+1)=3,RAMP_W3,RAMP_W4PLUS)))))*(INDEX(ACTIVE_MULT_TABLE,2,1))*(1+SUMPRODUCT(SIGN(((ACT_DOOR_SCOPE="ALL")+(ACT_DOOR_SCOPE="TIER_"&amp;$F93)+(ACT_DOOR_SCOPE=$B93)))*SIGN(((ACT_SKU_SCOPE="ALL")+(ACT_SKU_SCOPE=$G93)))*(ACT_START&lt;=4)*(ACT_END&gt;=4)*IFERROR(ACT_UPLIFT-1,0)))*(1+SUMPRODUCT(SIGN(((ACT_DOOR_SCOPE="ALL")+(ACT_DOOR_SCOPE="TIER_"&amp;$F93)+(ACT_DOOR_SCOPE=$B93)))*SIGN(((ACT_SKU_SCOPE="ALL")+(ACT_SKU_SCOPE=$G93)))*(4&gt;ACT_END)*(ACT_END&gt;0)*IFERROR(ACT_POSTLIFT,0))),0)))</f>
        <v/>
      </c>
      <c r="N93" s="10">
        <f>IF(OR($H93&lt;&gt;"Y",5&lt;$I93),0,IF(SUMPRODUCT(((BULK_ENABLED="Y")*((BULK_TIER="ALL")+(BULK_TIER=$F93))*((BULK_SKU="ALL")+(BULK_SKU=$G93))*(BULK_START&lt;=5)*(BULK_END&gt;=5)))&gt;0,IFERROR(SUMPRODUCT(((BULK_ENABLED="Y")*((BULK_TIER="ALL")+(BULK_TIER=$F93))*((BULK_SKU="ALL")+(BULK_SKU=$G93))*(BULK_START&lt;=5)*(BULK_END&gt;=5))*IFERROR(BULK_VALUE,0))/MAX(1,SUMPRODUCT(((BULK_ENABLED="Y")*((BULK_TIER="ALL")+(BULK_TIER=$F93))*((BULK_SKU="ALL")+(BULK_SKU=$G93))*(BULK_START&lt;=5)*(BULK_END&gt;=5)))),0),ROUND((INDEX(VELOCITY_TABLE,MATCH($F93,TIER_LIST,0),2))*(IF((5-$I93+1)&lt;=0,0,IF((5-$I93+1)=1,RAMP_W1,IF((5-$I93+1)=2,RAMP_W2,IF((5-$I93+1)=3,RAMP_W3,RAMP_W4PLUS)))))*(INDEX(ACTIVE_MULT_TABLE,2,1))*(1+SUMPRODUCT(SIGN(((ACT_DOOR_SCOPE="ALL")+(ACT_DOOR_SCOPE="TIER_"&amp;$F93)+(ACT_DOOR_SCOPE=$B93)))*SIGN(((ACT_SKU_SCOPE="ALL")+(ACT_SKU_SCOPE=$G93)))*(ACT_START&lt;=5)*(ACT_END&gt;=5)*IFERROR(ACT_UPLIFT-1,0)))*(1+SUMPRODUCT(SIGN(((ACT_DOOR_SCOPE="ALL")+(ACT_DOOR_SCOPE="TIER_"&amp;$F93)+(ACT_DOOR_SCOPE=$B93)))*SIGN(((ACT_SKU_SCOPE="ALL")+(ACT_SKU_SCOPE=$G93)))*(5&gt;ACT_END)*(ACT_END&gt;0)*IFERROR(ACT_POSTLIFT,0))),0)))</f>
        <v/>
      </c>
      <c r="O93" s="10">
        <f>IF(OR($H93&lt;&gt;"Y",6&lt;$I93),0,IF(SUMPRODUCT(((BULK_ENABLED="Y")*((BULK_TIER="ALL")+(BULK_TIER=$F93))*((BULK_SKU="ALL")+(BULK_SKU=$G93))*(BULK_START&lt;=6)*(BULK_END&gt;=6)))&gt;0,IFERROR(SUMPRODUCT(((BULK_ENABLED="Y")*((BULK_TIER="ALL")+(BULK_TIER=$F93))*((BULK_SKU="ALL")+(BULK_SKU=$G93))*(BULK_START&lt;=6)*(BULK_END&gt;=6))*IFERROR(BULK_VALUE,0))/MAX(1,SUMPRODUCT(((BULK_ENABLED="Y")*((BULK_TIER="ALL")+(BULK_TIER=$F93))*((BULK_SKU="ALL")+(BULK_SKU=$G93))*(BULK_START&lt;=6)*(BULK_END&gt;=6)))),0),ROUND((INDEX(VELOCITY_TABLE,MATCH($F93,TIER_LIST,0),2))*(IF((6-$I93+1)&lt;=0,0,IF((6-$I93+1)=1,RAMP_W1,IF((6-$I93+1)=2,RAMP_W2,IF((6-$I93+1)=3,RAMP_W3,RAMP_W4PLUS)))))*(INDEX(ACTIVE_MULT_TABLE,2,1))*(1+SUMPRODUCT(SIGN(((ACT_DOOR_SCOPE="ALL")+(ACT_DOOR_SCOPE="TIER_"&amp;$F93)+(ACT_DOOR_SCOPE=$B93)))*SIGN(((ACT_SKU_SCOPE="ALL")+(ACT_SKU_SCOPE=$G93)))*(ACT_START&lt;=6)*(ACT_END&gt;=6)*IFERROR(ACT_UPLIFT-1,0)))*(1+SUMPRODUCT(SIGN(((ACT_DOOR_SCOPE="ALL")+(ACT_DOOR_SCOPE="TIER_"&amp;$F93)+(ACT_DOOR_SCOPE=$B93)))*SIGN(((ACT_SKU_SCOPE="ALL")+(ACT_SKU_SCOPE=$G93)))*(6&gt;ACT_END)*(ACT_END&gt;0)*IFERROR(ACT_POSTLIFT,0))),0)))</f>
        <v/>
      </c>
      <c r="P93" s="10">
        <f>IF(OR($H93&lt;&gt;"Y",7&lt;$I93),0,IF(SUMPRODUCT(((BULK_ENABLED="Y")*((BULK_TIER="ALL")+(BULK_TIER=$F93))*((BULK_SKU="ALL")+(BULK_SKU=$G93))*(BULK_START&lt;=7)*(BULK_END&gt;=7)))&gt;0,IFERROR(SUMPRODUCT(((BULK_ENABLED="Y")*((BULK_TIER="ALL")+(BULK_TIER=$F93))*((BULK_SKU="ALL")+(BULK_SKU=$G93))*(BULK_START&lt;=7)*(BULK_END&gt;=7))*IFERROR(BULK_VALUE,0))/MAX(1,SUMPRODUCT(((BULK_ENABLED="Y")*((BULK_TIER="ALL")+(BULK_TIER=$F93))*((BULK_SKU="ALL")+(BULK_SKU=$G93))*(BULK_START&lt;=7)*(BULK_END&gt;=7)))),0),ROUND((INDEX(VELOCITY_TABLE,MATCH($F93,TIER_LIST,0),2))*(IF((7-$I93+1)&lt;=0,0,IF((7-$I93+1)=1,RAMP_W1,IF((7-$I93+1)=2,RAMP_W2,IF((7-$I93+1)=3,RAMP_W3,RAMP_W4PLUS)))))*(INDEX(ACTIVE_MULT_TABLE,2,1))*(1+SUMPRODUCT(SIGN(((ACT_DOOR_SCOPE="ALL")+(ACT_DOOR_SCOPE="TIER_"&amp;$F93)+(ACT_DOOR_SCOPE=$B93)))*SIGN(((ACT_SKU_SCOPE="ALL")+(ACT_SKU_SCOPE=$G93)))*(ACT_START&lt;=7)*(ACT_END&gt;=7)*IFERROR(ACT_UPLIFT-1,0)))*(1+SUMPRODUCT(SIGN(((ACT_DOOR_SCOPE="ALL")+(ACT_DOOR_SCOPE="TIER_"&amp;$F93)+(ACT_DOOR_SCOPE=$B93)))*SIGN(((ACT_SKU_SCOPE="ALL")+(ACT_SKU_SCOPE=$G93)))*(7&gt;ACT_END)*(ACT_END&gt;0)*IFERROR(ACT_POSTLIFT,0))),0)))</f>
        <v/>
      </c>
      <c r="Q93" s="10">
        <f>IF(OR($H93&lt;&gt;"Y",8&lt;$I93),0,IF(SUMPRODUCT(((BULK_ENABLED="Y")*((BULK_TIER="ALL")+(BULK_TIER=$F93))*((BULK_SKU="ALL")+(BULK_SKU=$G93))*(BULK_START&lt;=8)*(BULK_END&gt;=8)))&gt;0,IFERROR(SUMPRODUCT(((BULK_ENABLED="Y")*((BULK_TIER="ALL")+(BULK_TIER=$F93))*((BULK_SKU="ALL")+(BULK_SKU=$G93))*(BULK_START&lt;=8)*(BULK_END&gt;=8))*IFERROR(BULK_VALUE,0))/MAX(1,SUMPRODUCT(((BULK_ENABLED="Y")*((BULK_TIER="ALL")+(BULK_TIER=$F93))*((BULK_SKU="ALL")+(BULK_SKU=$G93))*(BULK_START&lt;=8)*(BULK_END&gt;=8)))),0),ROUND((INDEX(VELOCITY_TABLE,MATCH($F93,TIER_LIST,0),2))*(IF((8-$I93+1)&lt;=0,0,IF((8-$I93+1)=1,RAMP_W1,IF((8-$I93+1)=2,RAMP_W2,IF((8-$I93+1)=3,RAMP_W3,RAMP_W4PLUS)))))*(INDEX(ACTIVE_MULT_TABLE,2,1))*(1+SUMPRODUCT(SIGN(((ACT_DOOR_SCOPE="ALL")+(ACT_DOOR_SCOPE="TIER_"&amp;$F93)+(ACT_DOOR_SCOPE=$B93)))*SIGN(((ACT_SKU_SCOPE="ALL")+(ACT_SKU_SCOPE=$G93)))*(ACT_START&lt;=8)*(ACT_END&gt;=8)*IFERROR(ACT_UPLIFT-1,0)))*(1+SUMPRODUCT(SIGN(((ACT_DOOR_SCOPE="ALL")+(ACT_DOOR_SCOPE="TIER_"&amp;$F93)+(ACT_DOOR_SCOPE=$B93)))*SIGN(((ACT_SKU_SCOPE="ALL")+(ACT_SKU_SCOPE=$G93)))*(8&gt;ACT_END)*(ACT_END&gt;0)*IFERROR(ACT_POSTLIFT,0))),0)))</f>
        <v/>
      </c>
      <c r="R93" s="10">
        <f>IF(OR($H93&lt;&gt;"Y",9&lt;$I93),0,IF(SUMPRODUCT(((BULK_ENABLED="Y")*((BULK_TIER="ALL")+(BULK_TIER=$F93))*((BULK_SKU="ALL")+(BULK_SKU=$G93))*(BULK_START&lt;=9)*(BULK_END&gt;=9)))&gt;0,IFERROR(SUMPRODUCT(((BULK_ENABLED="Y")*((BULK_TIER="ALL")+(BULK_TIER=$F93))*((BULK_SKU="ALL")+(BULK_SKU=$G93))*(BULK_START&lt;=9)*(BULK_END&gt;=9))*IFERROR(BULK_VALUE,0))/MAX(1,SUMPRODUCT(((BULK_ENABLED="Y")*((BULK_TIER="ALL")+(BULK_TIER=$F93))*((BULK_SKU="ALL")+(BULK_SKU=$G93))*(BULK_START&lt;=9)*(BULK_END&gt;=9)))),0),ROUND((INDEX(VELOCITY_TABLE,MATCH($F93,TIER_LIST,0),2))*(IF((9-$I93+1)&lt;=0,0,IF((9-$I93+1)=1,RAMP_W1,IF((9-$I93+1)=2,RAMP_W2,IF((9-$I93+1)=3,RAMP_W3,RAMP_W4PLUS)))))*(INDEX(ACTIVE_MULT_TABLE,2,1))*(1+SUMPRODUCT(SIGN(((ACT_DOOR_SCOPE="ALL")+(ACT_DOOR_SCOPE="TIER_"&amp;$F93)+(ACT_DOOR_SCOPE=$B93)))*SIGN(((ACT_SKU_SCOPE="ALL")+(ACT_SKU_SCOPE=$G93)))*(ACT_START&lt;=9)*(ACT_END&gt;=9)*IFERROR(ACT_UPLIFT-1,0)))*(1+SUMPRODUCT(SIGN(((ACT_DOOR_SCOPE="ALL")+(ACT_DOOR_SCOPE="TIER_"&amp;$F93)+(ACT_DOOR_SCOPE=$B93)))*SIGN(((ACT_SKU_SCOPE="ALL")+(ACT_SKU_SCOPE=$G93)))*(9&gt;ACT_END)*(ACT_END&gt;0)*IFERROR(ACT_POSTLIFT,0))),0)))</f>
        <v/>
      </c>
      <c r="S93" s="10">
        <f>IF(OR($H93&lt;&gt;"Y",10&lt;$I93),0,IF(SUMPRODUCT(((BULK_ENABLED="Y")*((BULK_TIER="ALL")+(BULK_TIER=$F93))*((BULK_SKU="ALL")+(BULK_SKU=$G93))*(BULK_START&lt;=10)*(BULK_END&gt;=10)))&gt;0,IFERROR(SUMPRODUCT(((BULK_ENABLED="Y")*((BULK_TIER="ALL")+(BULK_TIER=$F93))*((BULK_SKU="ALL")+(BULK_SKU=$G93))*(BULK_START&lt;=10)*(BULK_END&gt;=10))*IFERROR(BULK_VALUE,0))/MAX(1,SUMPRODUCT(((BULK_ENABLED="Y")*((BULK_TIER="ALL")+(BULK_TIER=$F93))*((BULK_SKU="ALL")+(BULK_SKU=$G93))*(BULK_START&lt;=10)*(BULK_END&gt;=10)))),0),ROUND((INDEX(VELOCITY_TABLE,MATCH($F93,TIER_LIST,0),2))*(IF((10-$I93+1)&lt;=0,0,IF((10-$I93+1)=1,RAMP_W1,IF((10-$I93+1)=2,RAMP_W2,IF((10-$I93+1)=3,RAMP_W3,RAMP_W4PLUS)))))*(INDEX(ACTIVE_MULT_TABLE,2,1))*(1+SUMPRODUCT(SIGN(((ACT_DOOR_SCOPE="ALL")+(ACT_DOOR_SCOPE="TIER_"&amp;$F93)+(ACT_DOOR_SCOPE=$B93)))*SIGN(((ACT_SKU_SCOPE="ALL")+(ACT_SKU_SCOPE=$G93)))*(ACT_START&lt;=10)*(ACT_END&gt;=10)*IFERROR(ACT_UPLIFT-1,0)))*(1+SUMPRODUCT(SIGN(((ACT_DOOR_SCOPE="ALL")+(ACT_DOOR_SCOPE="TIER_"&amp;$F93)+(ACT_DOOR_SCOPE=$B93)))*SIGN(((ACT_SKU_SCOPE="ALL")+(ACT_SKU_SCOPE=$G93)))*(10&gt;ACT_END)*(ACT_END&gt;0)*IFERROR(ACT_POSTLIFT,0))),0)))</f>
        <v/>
      </c>
      <c r="T93" s="10">
        <f>IF(OR($H93&lt;&gt;"Y",11&lt;$I93),0,IF(SUMPRODUCT(((BULK_ENABLED="Y")*((BULK_TIER="ALL")+(BULK_TIER=$F93))*((BULK_SKU="ALL")+(BULK_SKU=$G93))*(BULK_START&lt;=11)*(BULK_END&gt;=11)))&gt;0,IFERROR(SUMPRODUCT(((BULK_ENABLED="Y")*((BULK_TIER="ALL")+(BULK_TIER=$F93))*((BULK_SKU="ALL")+(BULK_SKU=$G93))*(BULK_START&lt;=11)*(BULK_END&gt;=11))*IFERROR(BULK_VALUE,0))/MAX(1,SUMPRODUCT(((BULK_ENABLED="Y")*((BULK_TIER="ALL")+(BULK_TIER=$F93))*((BULK_SKU="ALL")+(BULK_SKU=$G93))*(BULK_START&lt;=11)*(BULK_END&gt;=11)))),0),ROUND((INDEX(VELOCITY_TABLE,MATCH($F93,TIER_LIST,0),2))*(IF((11-$I93+1)&lt;=0,0,IF((11-$I93+1)=1,RAMP_W1,IF((11-$I93+1)=2,RAMP_W2,IF((11-$I93+1)=3,RAMP_W3,RAMP_W4PLUS)))))*(INDEX(ACTIVE_MULT_TABLE,2,1))*(1+SUMPRODUCT(SIGN(((ACT_DOOR_SCOPE="ALL")+(ACT_DOOR_SCOPE="TIER_"&amp;$F93)+(ACT_DOOR_SCOPE=$B93)))*SIGN(((ACT_SKU_SCOPE="ALL")+(ACT_SKU_SCOPE=$G93)))*(ACT_START&lt;=11)*(ACT_END&gt;=11)*IFERROR(ACT_UPLIFT-1,0)))*(1+SUMPRODUCT(SIGN(((ACT_DOOR_SCOPE="ALL")+(ACT_DOOR_SCOPE="TIER_"&amp;$F93)+(ACT_DOOR_SCOPE=$B93)))*SIGN(((ACT_SKU_SCOPE="ALL")+(ACT_SKU_SCOPE=$G93)))*(11&gt;ACT_END)*(ACT_END&gt;0)*IFERROR(ACT_POSTLIFT,0))),0)))</f>
        <v/>
      </c>
      <c r="U93" s="10">
        <f>IF(OR($H93&lt;&gt;"Y",12&lt;$I93),0,IF(SUMPRODUCT(((BULK_ENABLED="Y")*((BULK_TIER="ALL")+(BULK_TIER=$F93))*((BULK_SKU="ALL")+(BULK_SKU=$G93))*(BULK_START&lt;=12)*(BULK_END&gt;=12)))&gt;0,IFERROR(SUMPRODUCT(((BULK_ENABLED="Y")*((BULK_TIER="ALL")+(BULK_TIER=$F93))*((BULK_SKU="ALL")+(BULK_SKU=$G93))*(BULK_START&lt;=12)*(BULK_END&gt;=12))*IFERROR(BULK_VALUE,0))/MAX(1,SUMPRODUCT(((BULK_ENABLED="Y")*((BULK_TIER="ALL")+(BULK_TIER=$F93))*((BULK_SKU="ALL")+(BULK_SKU=$G93))*(BULK_START&lt;=12)*(BULK_END&gt;=12)))),0),ROUND((INDEX(VELOCITY_TABLE,MATCH($F93,TIER_LIST,0),2))*(IF((12-$I93+1)&lt;=0,0,IF((12-$I93+1)=1,RAMP_W1,IF((12-$I93+1)=2,RAMP_W2,IF((12-$I93+1)=3,RAMP_W3,RAMP_W4PLUS)))))*(INDEX(ACTIVE_MULT_TABLE,2,1))*(1+SUMPRODUCT(SIGN(((ACT_DOOR_SCOPE="ALL")+(ACT_DOOR_SCOPE="TIER_"&amp;$F93)+(ACT_DOOR_SCOPE=$B93)))*SIGN(((ACT_SKU_SCOPE="ALL")+(ACT_SKU_SCOPE=$G93)))*(ACT_START&lt;=12)*(ACT_END&gt;=12)*IFERROR(ACT_UPLIFT-1,0)))*(1+SUMPRODUCT(SIGN(((ACT_DOOR_SCOPE="ALL")+(ACT_DOOR_SCOPE="TIER_"&amp;$F93)+(ACT_DOOR_SCOPE=$B93)))*SIGN(((ACT_SKU_SCOPE="ALL")+(ACT_SKU_SCOPE=$G93)))*(12&gt;ACT_END)*(ACT_END&gt;0)*IFERROR(ACT_POSTLIFT,0))),0)))</f>
        <v/>
      </c>
      <c r="V93" s="10">
        <f>IF(OR($H93&lt;&gt;"Y",13&lt;$I93),0,IF(SUMPRODUCT(((BULK_ENABLED="Y")*((BULK_TIER="ALL")+(BULK_TIER=$F93))*((BULK_SKU="ALL")+(BULK_SKU=$G93))*(BULK_START&lt;=13)*(BULK_END&gt;=13)))&gt;0,IFERROR(SUMPRODUCT(((BULK_ENABLED="Y")*((BULK_TIER="ALL")+(BULK_TIER=$F93))*((BULK_SKU="ALL")+(BULK_SKU=$G93))*(BULK_START&lt;=13)*(BULK_END&gt;=13))*IFERROR(BULK_VALUE,0))/MAX(1,SUMPRODUCT(((BULK_ENABLED="Y")*((BULK_TIER="ALL")+(BULK_TIER=$F93))*((BULK_SKU="ALL")+(BULK_SKU=$G93))*(BULK_START&lt;=13)*(BULK_END&gt;=13)))),0),ROUND((INDEX(VELOCITY_TABLE,MATCH($F93,TIER_LIST,0),2))*(IF((13-$I93+1)&lt;=0,0,IF((13-$I93+1)=1,RAMP_W1,IF((13-$I93+1)=2,RAMP_W2,IF((13-$I93+1)=3,RAMP_W3,RAMP_W4PLUS)))))*(INDEX(ACTIVE_MULT_TABLE,2,1))*(1+SUMPRODUCT(SIGN(((ACT_DOOR_SCOPE="ALL")+(ACT_DOOR_SCOPE="TIER_"&amp;$F93)+(ACT_DOOR_SCOPE=$B93)))*SIGN(((ACT_SKU_SCOPE="ALL")+(ACT_SKU_SCOPE=$G93)))*(ACT_START&lt;=13)*(ACT_END&gt;=13)*IFERROR(ACT_UPLIFT-1,0)))*(1+SUMPRODUCT(SIGN(((ACT_DOOR_SCOPE="ALL")+(ACT_DOOR_SCOPE="TIER_"&amp;$F93)+(ACT_DOOR_SCOPE=$B93)))*SIGN(((ACT_SKU_SCOPE="ALL")+(ACT_SKU_SCOPE=$G93)))*(13&gt;ACT_END)*(ACT_END&gt;0)*IFERROR(ACT_POSTLIFT,0))),0)))</f>
        <v/>
      </c>
    </row>
    <row r="94">
      <c r="A94" t="inlineStr">
        <is>
          <t>R0090</t>
        </is>
      </c>
      <c r="B94">
        <f>Doors!$A$34</f>
        <v/>
      </c>
      <c r="C94">
        <f>Doors!$C$34</f>
        <v/>
      </c>
      <c r="D94">
        <f>Doors!$B$34</f>
        <v/>
      </c>
      <c r="E94">
        <f>Doors!$E$34</f>
        <v/>
      </c>
      <c r="F94">
        <f>Doors!$F$34</f>
        <v/>
      </c>
      <c r="G94" t="inlineStr">
        <is>
          <t>Raspberry</t>
        </is>
      </c>
      <c r="H94">
        <f>Doors!$I$34</f>
        <v/>
      </c>
      <c r="I94">
        <f>Doors!$J$34</f>
        <v/>
      </c>
      <c r="J94" s="10">
        <f>IF(OR($H94&lt;&gt;"Y",1&lt;$I94),0,IF(SUMPRODUCT(((BULK_ENABLED="Y")*((BULK_TIER="ALL")+(BULK_TIER=$F94))*((BULK_SKU="ALL")+(BULK_SKU=$G94))*(BULK_START&lt;=1)*(BULK_END&gt;=1)))&gt;0,IFERROR(SUMPRODUCT(((BULK_ENABLED="Y")*((BULK_TIER="ALL")+(BULK_TIER=$F94))*((BULK_SKU="ALL")+(BULK_SKU=$G94))*(BULK_START&lt;=1)*(BULK_END&gt;=1))*IFERROR(BULK_VALUE,0))/MAX(1,SUMPRODUCT(((BULK_ENABLED="Y")*((BULK_TIER="ALL")+(BULK_TIER=$F94))*((BULK_SKU="ALL")+(BULK_SKU=$G94))*(BULK_START&lt;=1)*(BULK_END&gt;=1)))),0),ROUND((INDEX(VELOCITY_TABLE,MATCH($F94,TIER_LIST,0),3))*(IF((1-$I94+1)&lt;=0,0,IF((1-$I94+1)=1,RAMP_W1,IF((1-$I94+1)=2,RAMP_W2,IF((1-$I94+1)=3,RAMP_W3,RAMP_W4PLUS)))))*(INDEX(ACTIVE_MULT_TABLE,3,1))*(1+SUMPRODUCT(SIGN(((ACT_DOOR_SCOPE="ALL")+(ACT_DOOR_SCOPE="TIER_"&amp;$F94)+(ACT_DOOR_SCOPE=$B94)))*SIGN(((ACT_SKU_SCOPE="ALL")+(ACT_SKU_SCOPE=$G94)))*(ACT_START&lt;=1)*(ACT_END&gt;=1)*IFERROR(ACT_UPLIFT-1,0)))*(1+SUMPRODUCT(SIGN(((ACT_DOOR_SCOPE="ALL")+(ACT_DOOR_SCOPE="TIER_"&amp;$F94)+(ACT_DOOR_SCOPE=$B94)))*SIGN(((ACT_SKU_SCOPE="ALL")+(ACT_SKU_SCOPE=$G94)))*(1&gt;ACT_END)*(ACT_END&gt;0)*IFERROR(ACT_POSTLIFT,0))),0)))</f>
        <v/>
      </c>
      <c r="K94" s="10">
        <f>IF(OR($H94&lt;&gt;"Y",2&lt;$I94),0,IF(SUMPRODUCT(((BULK_ENABLED="Y")*((BULK_TIER="ALL")+(BULK_TIER=$F94))*((BULK_SKU="ALL")+(BULK_SKU=$G94))*(BULK_START&lt;=2)*(BULK_END&gt;=2)))&gt;0,IFERROR(SUMPRODUCT(((BULK_ENABLED="Y")*((BULK_TIER="ALL")+(BULK_TIER=$F94))*((BULK_SKU="ALL")+(BULK_SKU=$G94))*(BULK_START&lt;=2)*(BULK_END&gt;=2))*IFERROR(BULK_VALUE,0))/MAX(1,SUMPRODUCT(((BULK_ENABLED="Y")*((BULK_TIER="ALL")+(BULK_TIER=$F94))*((BULK_SKU="ALL")+(BULK_SKU=$G94))*(BULK_START&lt;=2)*(BULK_END&gt;=2)))),0),ROUND((INDEX(VELOCITY_TABLE,MATCH($F94,TIER_LIST,0),3))*(IF((2-$I94+1)&lt;=0,0,IF((2-$I94+1)=1,RAMP_W1,IF((2-$I94+1)=2,RAMP_W2,IF((2-$I94+1)=3,RAMP_W3,RAMP_W4PLUS)))))*(INDEX(ACTIVE_MULT_TABLE,3,1))*(1+SUMPRODUCT(SIGN(((ACT_DOOR_SCOPE="ALL")+(ACT_DOOR_SCOPE="TIER_"&amp;$F94)+(ACT_DOOR_SCOPE=$B94)))*SIGN(((ACT_SKU_SCOPE="ALL")+(ACT_SKU_SCOPE=$G94)))*(ACT_START&lt;=2)*(ACT_END&gt;=2)*IFERROR(ACT_UPLIFT-1,0)))*(1+SUMPRODUCT(SIGN(((ACT_DOOR_SCOPE="ALL")+(ACT_DOOR_SCOPE="TIER_"&amp;$F94)+(ACT_DOOR_SCOPE=$B94)))*SIGN(((ACT_SKU_SCOPE="ALL")+(ACT_SKU_SCOPE=$G94)))*(2&gt;ACT_END)*(ACT_END&gt;0)*IFERROR(ACT_POSTLIFT,0))),0)))</f>
        <v/>
      </c>
      <c r="L94" s="10">
        <f>IF(OR($H94&lt;&gt;"Y",3&lt;$I94),0,IF(SUMPRODUCT(((BULK_ENABLED="Y")*((BULK_TIER="ALL")+(BULK_TIER=$F94))*((BULK_SKU="ALL")+(BULK_SKU=$G94))*(BULK_START&lt;=3)*(BULK_END&gt;=3)))&gt;0,IFERROR(SUMPRODUCT(((BULK_ENABLED="Y")*((BULK_TIER="ALL")+(BULK_TIER=$F94))*((BULK_SKU="ALL")+(BULK_SKU=$G94))*(BULK_START&lt;=3)*(BULK_END&gt;=3))*IFERROR(BULK_VALUE,0))/MAX(1,SUMPRODUCT(((BULK_ENABLED="Y")*((BULK_TIER="ALL")+(BULK_TIER=$F94))*((BULK_SKU="ALL")+(BULK_SKU=$G94))*(BULK_START&lt;=3)*(BULK_END&gt;=3)))),0),ROUND((INDEX(VELOCITY_TABLE,MATCH($F94,TIER_LIST,0),3))*(IF((3-$I94+1)&lt;=0,0,IF((3-$I94+1)=1,RAMP_W1,IF((3-$I94+1)=2,RAMP_W2,IF((3-$I94+1)=3,RAMP_W3,RAMP_W4PLUS)))))*(INDEX(ACTIVE_MULT_TABLE,3,1))*(1+SUMPRODUCT(SIGN(((ACT_DOOR_SCOPE="ALL")+(ACT_DOOR_SCOPE="TIER_"&amp;$F94)+(ACT_DOOR_SCOPE=$B94)))*SIGN(((ACT_SKU_SCOPE="ALL")+(ACT_SKU_SCOPE=$G94)))*(ACT_START&lt;=3)*(ACT_END&gt;=3)*IFERROR(ACT_UPLIFT-1,0)))*(1+SUMPRODUCT(SIGN(((ACT_DOOR_SCOPE="ALL")+(ACT_DOOR_SCOPE="TIER_"&amp;$F94)+(ACT_DOOR_SCOPE=$B94)))*SIGN(((ACT_SKU_SCOPE="ALL")+(ACT_SKU_SCOPE=$G94)))*(3&gt;ACT_END)*(ACT_END&gt;0)*IFERROR(ACT_POSTLIFT,0))),0)))</f>
        <v/>
      </c>
      <c r="M94" s="10">
        <f>IF(OR($H94&lt;&gt;"Y",4&lt;$I94),0,IF(SUMPRODUCT(((BULK_ENABLED="Y")*((BULK_TIER="ALL")+(BULK_TIER=$F94))*((BULK_SKU="ALL")+(BULK_SKU=$G94))*(BULK_START&lt;=4)*(BULK_END&gt;=4)))&gt;0,IFERROR(SUMPRODUCT(((BULK_ENABLED="Y")*((BULK_TIER="ALL")+(BULK_TIER=$F94))*((BULK_SKU="ALL")+(BULK_SKU=$G94))*(BULK_START&lt;=4)*(BULK_END&gt;=4))*IFERROR(BULK_VALUE,0))/MAX(1,SUMPRODUCT(((BULK_ENABLED="Y")*((BULK_TIER="ALL")+(BULK_TIER=$F94))*((BULK_SKU="ALL")+(BULK_SKU=$G94))*(BULK_START&lt;=4)*(BULK_END&gt;=4)))),0),ROUND((INDEX(VELOCITY_TABLE,MATCH($F94,TIER_LIST,0),3))*(IF((4-$I94+1)&lt;=0,0,IF((4-$I94+1)=1,RAMP_W1,IF((4-$I94+1)=2,RAMP_W2,IF((4-$I94+1)=3,RAMP_W3,RAMP_W4PLUS)))))*(INDEX(ACTIVE_MULT_TABLE,3,1))*(1+SUMPRODUCT(SIGN(((ACT_DOOR_SCOPE="ALL")+(ACT_DOOR_SCOPE="TIER_"&amp;$F94)+(ACT_DOOR_SCOPE=$B94)))*SIGN(((ACT_SKU_SCOPE="ALL")+(ACT_SKU_SCOPE=$G94)))*(ACT_START&lt;=4)*(ACT_END&gt;=4)*IFERROR(ACT_UPLIFT-1,0)))*(1+SUMPRODUCT(SIGN(((ACT_DOOR_SCOPE="ALL")+(ACT_DOOR_SCOPE="TIER_"&amp;$F94)+(ACT_DOOR_SCOPE=$B94)))*SIGN(((ACT_SKU_SCOPE="ALL")+(ACT_SKU_SCOPE=$G94)))*(4&gt;ACT_END)*(ACT_END&gt;0)*IFERROR(ACT_POSTLIFT,0))),0)))</f>
        <v/>
      </c>
      <c r="N94" s="10">
        <f>IF(OR($H94&lt;&gt;"Y",5&lt;$I94),0,IF(SUMPRODUCT(((BULK_ENABLED="Y")*((BULK_TIER="ALL")+(BULK_TIER=$F94))*((BULK_SKU="ALL")+(BULK_SKU=$G94))*(BULK_START&lt;=5)*(BULK_END&gt;=5)))&gt;0,IFERROR(SUMPRODUCT(((BULK_ENABLED="Y")*((BULK_TIER="ALL")+(BULK_TIER=$F94))*((BULK_SKU="ALL")+(BULK_SKU=$G94))*(BULK_START&lt;=5)*(BULK_END&gt;=5))*IFERROR(BULK_VALUE,0))/MAX(1,SUMPRODUCT(((BULK_ENABLED="Y")*((BULK_TIER="ALL")+(BULK_TIER=$F94))*((BULK_SKU="ALL")+(BULK_SKU=$G94))*(BULK_START&lt;=5)*(BULK_END&gt;=5)))),0),ROUND((INDEX(VELOCITY_TABLE,MATCH($F94,TIER_LIST,0),3))*(IF((5-$I94+1)&lt;=0,0,IF((5-$I94+1)=1,RAMP_W1,IF((5-$I94+1)=2,RAMP_W2,IF((5-$I94+1)=3,RAMP_W3,RAMP_W4PLUS)))))*(INDEX(ACTIVE_MULT_TABLE,3,1))*(1+SUMPRODUCT(SIGN(((ACT_DOOR_SCOPE="ALL")+(ACT_DOOR_SCOPE="TIER_"&amp;$F94)+(ACT_DOOR_SCOPE=$B94)))*SIGN(((ACT_SKU_SCOPE="ALL")+(ACT_SKU_SCOPE=$G94)))*(ACT_START&lt;=5)*(ACT_END&gt;=5)*IFERROR(ACT_UPLIFT-1,0)))*(1+SUMPRODUCT(SIGN(((ACT_DOOR_SCOPE="ALL")+(ACT_DOOR_SCOPE="TIER_"&amp;$F94)+(ACT_DOOR_SCOPE=$B94)))*SIGN(((ACT_SKU_SCOPE="ALL")+(ACT_SKU_SCOPE=$G94)))*(5&gt;ACT_END)*(ACT_END&gt;0)*IFERROR(ACT_POSTLIFT,0))),0)))</f>
        <v/>
      </c>
      <c r="O94" s="10">
        <f>IF(OR($H94&lt;&gt;"Y",6&lt;$I94),0,IF(SUMPRODUCT(((BULK_ENABLED="Y")*((BULK_TIER="ALL")+(BULK_TIER=$F94))*((BULK_SKU="ALL")+(BULK_SKU=$G94))*(BULK_START&lt;=6)*(BULK_END&gt;=6)))&gt;0,IFERROR(SUMPRODUCT(((BULK_ENABLED="Y")*((BULK_TIER="ALL")+(BULK_TIER=$F94))*((BULK_SKU="ALL")+(BULK_SKU=$G94))*(BULK_START&lt;=6)*(BULK_END&gt;=6))*IFERROR(BULK_VALUE,0))/MAX(1,SUMPRODUCT(((BULK_ENABLED="Y")*((BULK_TIER="ALL")+(BULK_TIER=$F94))*((BULK_SKU="ALL")+(BULK_SKU=$G94))*(BULK_START&lt;=6)*(BULK_END&gt;=6)))),0),ROUND((INDEX(VELOCITY_TABLE,MATCH($F94,TIER_LIST,0),3))*(IF((6-$I94+1)&lt;=0,0,IF((6-$I94+1)=1,RAMP_W1,IF((6-$I94+1)=2,RAMP_W2,IF((6-$I94+1)=3,RAMP_W3,RAMP_W4PLUS)))))*(INDEX(ACTIVE_MULT_TABLE,3,1))*(1+SUMPRODUCT(SIGN(((ACT_DOOR_SCOPE="ALL")+(ACT_DOOR_SCOPE="TIER_"&amp;$F94)+(ACT_DOOR_SCOPE=$B94)))*SIGN(((ACT_SKU_SCOPE="ALL")+(ACT_SKU_SCOPE=$G94)))*(ACT_START&lt;=6)*(ACT_END&gt;=6)*IFERROR(ACT_UPLIFT-1,0)))*(1+SUMPRODUCT(SIGN(((ACT_DOOR_SCOPE="ALL")+(ACT_DOOR_SCOPE="TIER_"&amp;$F94)+(ACT_DOOR_SCOPE=$B94)))*SIGN(((ACT_SKU_SCOPE="ALL")+(ACT_SKU_SCOPE=$G94)))*(6&gt;ACT_END)*(ACT_END&gt;0)*IFERROR(ACT_POSTLIFT,0))),0)))</f>
        <v/>
      </c>
      <c r="P94" s="10">
        <f>IF(OR($H94&lt;&gt;"Y",7&lt;$I94),0,IF(SUMPRODUCT(((BULK_ENABLED="Y")*((BULK_TIER="ALL")+(BULK_TIER=$F94))*((BULK_SKU="ALL")+(BULK_SKU=$G94))*(BULK_START&lt;=7)*(BULK_END&gt;=7)))&gt;0,IFERROR(SUMPRODUCT(((BULK_ENABLED="Y")*((BULK_TIER="ALL")+(BULK_TIER=$F94))*((BULK_SKU="ALL")+(BULK_SKU=$G94))*(BULK_START&lt;=7)*(BULK_END&gt;=7))*IFERROR(BULK_VALUE,0))/MAX(1,SUMPRODUCT(((BULK_ENABLED="Y")*((BULK_TIER="ALL")+(BULK_TIER=$F94))*((BULK_SKU="ALL")+(BULK_SKU=$G94))*(BULK_START&lt;=7)*(BULK_END&gt;=7)))),0),ROUND((INDEX(VELOCITY_TABLE,MATCH($F94,TIER_LIST,0),3))*(IF((7-$I94+1)&lt;=0,0,IF((7-$I94+1)=1,RAMP_W1,IF((7-$I94+1)=2,RAMP_W2,IF((7-$I94+1)=3,RAMP_W3,RAMP_W4PLUS)))))*(INDEX(ACTIVE_MULT_TABLE,3,1))*(1+SUMPRODUCT(SIGN(((ACT_DOOR_SCOPE="ALL")+(ACT_DOOR_SCOPE="TIER_"&amp;$F94)+(ACT_DOOR_SCOPE=$B94)))*SIGN(((ACT_SKU_SCOPE="ALL")+(ACT_SKU_SCOPE=$G94)))*(ACT_START&lt;=7)*(ACT_END&gt;=7)*IFERROR(ACT_UPLIFT-1,0)))*(1+SUMPRODUCT(SIGN(((ACT_DOOR_SCOPE="ALL")+(ACT_DOOR_SCOPE="TIER_"&amp;$F94)+(ACT_DOOR_SCOPE=$B94)))*SIGN(((ACT_SKU_SCOPE="ALL")+(ACT_SKU_SCOPE=$G94)))*(7&gt;ACT_END)*(ACT_END&gt;0)*IFERROR(ACT_POSTLIFT,0))),0)))</f>
        <v/>
      </c>
      <c r="Q94" s="10">
        <f>IF(OR($H94&lt;&gt;"Y",8&lt;$I94),0,IF(SUMPRODUCT(((BULK_ENABLED="Y")*((BULK_TIER="ALL")+(BULK_TIER=$F94))*((BULK_SKU="ALL")+(BULK_SKU=$G94))*(BULK_START&lt;=8)*(BULK_END&gt;=8)))&gt;0,IFERROR(SUMPRODUCT(((BULK_ENABLED="Y")*((BULK_TIER="ALL")+(BULK_TIER=$F94))*((BULK_SKU="ALL")+(BULK_SKU=$G94))*(BULK_START&lt;=8)*(BULK_END&gt;=8))*IFERROR(BULK_VALUE,0))/MAX(1,SUMPRODUCT(((BULK_ENABLED="Y")*((BULK_TIER="ALL")+(BULK_TIER=$F94))*((BULK_SKU="ALL")+(BULK_SKU=$G94))*(BULK_START&lt;=8)*(BULK_END&gt;=8)))),0),ROUND((INDEX(VELOCITY_TABLE,MATCH($F94,TIER_LIST,0),3))*(IF((8-$I94+1)&lt;=0,0,IF((8-$I94+1)=1,RAMP_W1,IF((8-$I94+1)=2,RAMP_W2,IF((8-$I94+1)=3,RAMP_W3,RAMP_W4PLUS)))))*(INDEX(ACTIVE_MULT_TABLE,3,1))*(1+SUMPRODUCT(SIGN(((ACT_DOOR_SCOPE="ALL")+(ACT_DOOR_SCOPE="TIER_"&amp;$F94)+(ACT_DOOR_SCOPE=$B94)))*SIGN(((ACT_SKU_SCOPE="ALL")+(ACT_SKU_SCOPE=$G94)))*(ACT_START&lt;=8)*(ACT_END&gt;=8)*IFERROR(ACT_UPLIFT-1,0)))*(1+SUMPRODUCT(SIGN(((ACT_DOOR_SCOPE="ALL")+(ACT_DOOR_SCOPE="TIER_"&amp;$F94)+(ACT_DOOR_SCOPE=$B94)))*SIGN(((ACT_SKU_SCOPE="ALL")+(ACT_SKU_SCOPE=$G94)))*(8&gt;ACT_END)*(ACT_END&gt;0)*IFERROR(ACT_POSTLIFT,0))),0)))</f>
        <v/>
      </c>
      <c r="R94" s="10">
        <f>IF(OR($H94&lt;&gt;"Y",9&lt;$I94),0,IF(SUMPRODUCT(((BULK_ENABLED="Y")*((BULK_TIER="ALL")+(BULK_TIER=$F94))*((BULK_SKU="ALL")+(BULK_SKU=$G94))*(BULK_START&lt;=9)*(BULK_END&gt;=9)))&gt;0,IFERROR(SUMPRODUCT(((BULK_ENABLED="Y")*((BULK_TIER="ALL")+(BULK_TIER=$F94))*((BULK_SKU="ALL")+(BULK_SKU=$G94))*(BULK_START&lt;=9)*(BULK_END&gt;=9))*IFERROR(BULK_VALUE,0))/MAX(1,SUMPRODUCT(((BULK_ENABLED="Y")*((BULK_TIER="ALL")+(BULK_TIER=$F94))*((BULK_SKU="ALL")+(BULK_SKU=$G94))*(BULK_START&lt;=9)*(BULK_END&gt;=9)))),0),ROUND((INDEX(VELOCITY_TABLE,MATCH($F94,TIER_LIST,0),3))*(IF((9-$I94+1)&lt;=0,0,IF((9-$I94+1)=1,RAMP_W1,IF((9-$I94+1)=2,RAMP_W2,IF((9-$I94+1)=3,RAMP_W3,RAMP_W4PLUS)))))*(INDEX(ACTIVE_MULT_TABLE,3,1))*(1+SUMPRODUCT(SIGN(((ACT_DOOR_SCOPE="ALL")+(ACT_DOOR_SCOPE="TIER_"&amp;$F94)+(ACT_DOOR_SCOPE=$B94)))*SIGN(((ACT_SKU_SCOPE="ALL")+(ACT_SKU_SCOPE=$G94)))*(ACT_START&lt;=9)*(ACT_END&gt;=9)*IFERROR(ACT_UPLIFT-1,0)))*(1+SUMPRODUCT(SIGN(((ACT_DOOR_SCOPE="ALL")+(ACT_DOOR_SCOPE="TIER_"&amp;$F94)+(ACT_DOOR_SCOPE=$B94)))*SIGN(((ACT_SKU_SCOPE="ALL")+(ACT_SKU_SCOPE=$G94)))*(9&gt;ACT_END)*(ACT_END&gt;0)*IFERROR(ACT_POSTLIFT,0))),0)))</f>
        <v/>
      </c>
      <c r="S94" s="10">
        <f>IF(OR($H94&lt;&gt;"Y",10&lt;$I94),0,IF(SUMPRODUCT(((BULK_ENABLED="Y")*((BULK_TIER="ALL")+(BULK_TIER=$F94))*((BULK_SKU="ALL")+(BULK_SKU=$G94))*(BULK_START&lt;=10)*(BULK_END&gt;=10)))&gt;0,IFERROR(SUMPRODUCT(((BULK_ENABLED="Y")*((BULK_TIER="ALL")+(BULK_TIER=$F94))*((BULK_SKU="ALL")+(BULK_SKU=$G94))*(BULK_START&lt;=10)*(BULK_END&gt;=10))*IFERROR(BULK_VALUE,0))/MAX(1,SUMPRODUCT(((BULK_ENABLED="Y")*((BULK_TIER="ALL")+(BULK_TIER=$F94))*((BULK_SKU="ALL")+(BULK_SKU=$G94))*(BULK_START&lt;=10)*(BULK_END&gt;=10)))),0),ROUND((INDEX(VELOCITY_TABLE,MATCH($F94,TIER_LIST,0),3))*(IF((10-$I94+1)&lt;=0,0,IF((10-$I94+1)=1,RAMP_W1,IF((10-$I94+1)=2,RAMP_W2,IF((10-$I94+1)=3,RAMP_W3,RAMP_W4PLUS)))))*(INDEX(ACTIVE_MULT_TABLE,3,1))*(1+SUMPRODUCT(SIGN(((ACT_DOOR_SCOPE="ALL")+(ACT_DOOR_SCOPE="TIER_"&amp;$F94)+(ACT_DOOR_SCOPE=$B94)))*SIGN(((ACT_SKU_SCOPE="ALL")+(ACT_SKU_SCOPE=$G94)))*(ACT_START&lt;=10)*(ACT_END&gt;=10)*IFERROR(ACT_UPLIFT-1,0)))*(1+SUMPRODUCT(SIGN(((ACT_DOOR_SCOPE="ALL")+(ACT_DOOR_SCOPE="TIER_"&amp;$F94)+(ACT_DOOR_SCOPE=$B94)))*SIGN(((ACT_SKU_SCOPE="ALL")+(ACT_SKU_SCOPE=$G94)))*(10&gt;ACT_END)*(ACT_END&gt;0)*IFERROR(ACT_POSTLIFT,0))),0)))</f>
        <v/>
      </c>
      <c r="T94" s="10">
        <f>IF(OR($H94&lt;&gt;"Y",11&lt;$I94),0,IF(SUMPRODUCT(((BULK_ENABLED="Y")*((BULK_TIER="ALL")+(BULK_TIER=$F94))*((BULK_SKU="ALL")+(BULK_SKU=$G94))*(BULK_START&lt;=11)*(BULK_END&gt;=11)))&gt;0,IFERROR(SUMPRODUCT(((BULK_ENABLED="Y")*((BULK_TIER="ALL")+(BULK_TIER=$F94))*((BULK_SKU="ALL")+(BULK_SKU=$G94))*(BULK_START&lt;=11)*(BULK_END&gt;=11))*IFERROR(BULK_VALUE,0))/MAX(1,SUMPRODUCT(((BULK_ENABLED="Y")*((BULK_TIER="ALL")+(BULK_TIER=$F94))*((BULK_SKU="ALL")+(BULK_SKU=$G94))*(BULK_START&lt;=11)*(BULK_END&gt;=11)))),0),ROUND((INDEX(VELOCITY_TABLE,MATCH($F94,TIER_LIST,0),3))*(IF((11-$I94+1)&lt;=0,0,IF((11-$I94+1)=1,RAMP_W1,IF((11-$I94+1)=2,RAMP_W2,IF((11-$I94+1)=3,RAMP_W3,RAMP_W4PLUS)))))*(INDEX(ACTIVE_MULT_TABLE,3,1))*(1+SUMPRODUCT(SIGN(((ACT_DOOR_SCOPE="ALL")+(ACT_DOOR_SCOPE="TIER_"&amp;$F94)+(ACT_DOOR_SCOPE=$B94)))*SIGN(((ACT_SKU_SCOPE="ALL")+(ACT_SKU_SCOPE=$G94)))*(ACT_START&lt;=11)*(ACT_END&gt;=11)*IFERROR(ACT_UPLIFT-1,0)))*(1+SUMPRODUCT(SIGN(((ACT_DOOR_SCOPE="ALL")+(ACT_DOOR_SCOPE="TIER_"&amp;$F94)+(ACT_DOOR_SCOPE=$B94)))*SIGN(((ACT_SKU_SCOPE="ALL")+(ACT_SKU_SCOPE=$G94)))*(11&gt;ACT_END)*(ACT_END&gt;0)*IFERROR(ACT_POSTLIFT,0))),0)))</f>
        <v/>
      </c>
      <c r="U94" s="10">
        <f>IF(OR($H94&lt;&gt;"Y",12&lt;$I94),0,IF(SUMPRODUCT(((BULK_ENABLED="Y")*((BULK_TIER="ALL")+(BULK_TIER=$F94))*((BULK_SKU="ALL")+(BULK_SKU=$G94))*(BULK_START&lt;=12)*(BULK_END&gt;=12)))&gt;0,IFERROR(SUMPRODUCT(((BULK_ENABLED="Y")*((BULK_TIER="ALL")+(BULK_TIER=$F94))*((BULK_SKU="ALL")+(BULK_SKU=$G94))*(BULK_START&lt;=12)*(BULK_END&gt;=12))*IFERROR(BULK_VALUE,0))/MAX(1,SUMPRODUCT(((BULK_ENABLED="Y")*((BULK_TIER="ALL")+(BULK_TIER=$F94))*((BULK_SKU="ALL")+(BULK_SKU=$G94))*(BULK_START&lt;=12)*(BULK_END&gt;=12)))),0),ROUND((INDEX(VELOCITY_TABLE,MATCH($F94,TIER_LIST,0),3))*(IF((12-$I94+1)&lt;=0,0,IF((12-$I94+1)=1,RAMP_W1,IF((12-$I94+1)=2,RAMP_W2,IF((12-$I94+1)=3,RAMP_W3,RAMP_W4PLUS)))))*(INDEX(ACTIVE_MULT_TABLE,3,1))*(1+SUMPRODUCT(SIGN(((ACT_DOOR_SCOPE="ALL")+(ACT_DOOR_SCOPE="TIER_"&amp;$F94)+(ACT_DOOR_SCOPE=$B94)))*SIGN(((ACT_SKU_SCOPE="ALL")+(ACT_SKU_SCOPE=$G94)))*(ACT_START&lt;=12)*(ACT_END&gt;=12)*IFERROR(ACT_UPLIFT-1,0)))*(1+SUMPRODUCT(SIGN(((ACT_DOOR_SCOPE="ALL")+(ACT_DOOR_SCOPE="TIER_"&amp;$F94)+(ACT_DOOR_SCOPE=$B94)))*SIGN(((ACT_SKU_SCOPE="ALL")+(ACT_SKU_SCOPE=$G94)))*(12&gt;ACT_END)*(ACT_END&gt;0)*IFERROR(ACT_POSTLIFT,0))),0)))</f>
        <v/>
      </c>
      <c r="V94" s="10">
        <f>IF(OR($H94&lt;&gt;"Y",13&lt;$I94),0,IF(SUMPRODUCT(((BULK_ENABLED="Y")*((BULK_TIER="ALL")+(BULK_TIER=$F94))*((BULK_SKU="ALL")+(BULK_SKU=$G94))*(BULK_START&lt;=13)*(BULK_END&gt;=13)))&gt;0,IFERROR(SUMPRODUCT(((BULK_ENABLED="Y")*((BULK_TIER="ALL")+(BULK_TIER=$F94))*((BULK_SKU="ALL")+(BULK_SKU=$G94))*(BULK_START&lt;=13)*(BULK_END&gt;=13))*IFERROR(BULK_VALUE,0))/MAX(1,SUMPRODUCT(((BULK_ENABLED="Y")*((BULK_TIER="ALL")+(BULK_TIER=$F94))*((BULK_SKU="ALL")+(BULK_SKU=$G94))*(BULK_START&lt;=13)*(BULK_END&gt;=13)))),0),ROUND((INDEX(VELOCITY_TABLE,MATCH($F94,TIER_LIST,0),3))*(IF((13-$I94+1)&lt;=0,0,IF((13-$I94+1)=1,RAMP_W1,IF((13-$I94+1)=2,RAMP_W2,IF((13-$I94+1)=3,RAMP_W3,RAMP_W4PLUS)))))*(INDEX(ACTIVE_MULT_TABLE,3,1))*(1+SUMPRODUCT(SIGN(((ACT_DOOR_SCOPE="ALL")+(ACT_DOOR_SCOPE="TIER_"&amp;$F94)+(ACT_DOOR_SCOPE=$B94)))*SIGN(((ACT_SKU_SCOPE="ALL")+(ACT_SKU_SCOPE=$G94)))*(ACT_START&lt;=13)*(ACT_END&gt;=13)*IFERROR(ACT_UPLIFT-1,0)))*(1+SUMPRODUCT(SIGN(((ACT_DOOR_SCOPE="ALL")+(ACT_DOOR_SCOPE="TIER_"&amp;$F94)+(ACT_DOOR_SCOPE=$B94)))*SIGN(((ACT_SKU_SCOPE="ALL")+(ACT_SKU_SCOPE=$G94)))*(13&gt;ACT_END)*(ACT_END&gt;0)*IFERROR(ACT_POSTLIFT,0))),0)))</f>
        <v/>
      </c>
    </row>
    <row r="95">
      <c r="A95" t="inlineStr">
        <is>
          <t>R0091</t>
        </is>
      </c>
      <c r="B95">
        <f>Doors!$A$35</f>
        <v/>
      </c>
      <c r="C95">
        <f>Doors!$C$35</f>
        <v/>
      </c>
      <c r="D95">
        <f>Doors!$B$35</f>
        <v/>
      </c>
      <c r="E95">
        <f>Doors!$E$35</f>
        <v/>
      </c>
      <c r="F95">
        <f>Doors!$F$35</f>
        <v/>
      </c>
      <c r="G95" t="inlineStr">
        <is>
          <t>Lime Lemon</t>
        </is>
      </c>
      <c r="H95">
        <f>Doors!$G$35</f>
        <v/>
      </c>
      <c r="I95">
        <f>Doors!$J$35</f>
        <v/>
      </c>
      <c r="J95" s="10">
        <f>IF(OR($H95&lt;&gt;"Y",1&lt;$I95),0,IF(SUMPRODUCT(((BULK_ENABLED="Y")*((BULK_TIER="ALL")+(BULK_TIER=$F95))*((BULK_SKU="ALL")+(BULK_SKU=$G95))*(BULK_START&lt;=1)*(BULK_END&gt;=1)))&gt;0,IFERROR(SUMPRODUCT(((BULK_ENABLED="Y")*((BULK_TIER="ALL")+(BULK_TIER=$F95))*((BULK_SKU="ALL")+(BULK_SKU=$G95))*(BULK_START&lt;=1)*(BULK_END&gt;=1))*IFERROR(BULK_VALUE,0))/MAX(1,SUMPRODUCT(((BULK_ENABLED="Y")*((BULK_TIER="ALL")+(BULK_TIER=$F95))*((BULK_SKU="ALL")+(BULK_SKU=$G95))*(BULK_START&lt;=1)*(BULK_END&gt;=1)))),0),ROUND((INDEX(VELOCITY_TABLE,MATCH($F95,TIER_LIST,0),1))*(IF((1-$I95+1)&lt;=0,0,IF((1-$I95+1)=1,RAMP_W1,IF((1-$I95+1)=2,RAMP_W2,IF((1-$I95+1)=3,RAMP_W3,RAMP_W4PLUS)))))*(INDEX(ACTIVE_MULT_TABLE,1,1))*(1+SUMPRODUCT(SIGN(((ACT_DOOR_SCOPE="ALL")+(ACT_DOOR_SCOPE="TIER_"&amp;$F95)+(ACT_DOOR_SCOPE=$B95)))*SIGN(((ACT_SKU_SCOPE="ALL")+(ACT_SKU_SCOPE=$G95)))*(ACT_START&lt;=1)*(ACT_END&gt;=1)*IFERROR(ACT_UPLIFT-1,0)))*(1+SUMPRODUCT(SIGN(((ACT_DOOR_SCOPE="ALL")+(ACT_DOOR_SCOPE="TIER_"&amp;$F95)+(ACT_DOOR_SCOPE=$B95)))*SIGN(((ACT_SKU_SCOPE="ALL")+(ACT_SKU_SCOPE=$G95)))*(1&gt;ACT_END)*(ACT_END&gt;0)*IFERROR(ACT_POSTLIFT,0))),0)))</f>
        <v/>
      </c>
      <c r="K95" s="10">
        <f>IF(OR($H95&lt;&gt;"Y",2&lt;$I95),0,IF(SUMPRODUCT(((BULK_ENABLED="Y")*((BULK_TIER="ALL")+(BULK_TIER=$F95))*((BULK_SKU="ALL")+(BULK_SKU=$G95))*(BULK_START&lt;=2)*(BULK_END&gt;=2)))&gt;0,IFERROR(SUMPRODUCT(((BULK_ENABLED="Y")*((BULK_TIER="ALL")+(BULK_TIER=$F95))*((BULK_SKU="ALL")+(BULK_SKU=$G95))*(BULK_START&lt;=2)*(BULK_END&gt;=2))*IFERROR(BULK_VALUE,0))/MAX(1,SUMPRODUCT(((BULK_ENABLED="Y")*((BULK_TIER="ALL")+(BULK_TIER=$F95))*((BULK_SKU="ALL")+(BULK_SKU=$G95))*(BULK_START&lt;=2)*(BULK_END&gt;=2)))),0),ROUND((INDEX(VELOCITY_TABLE,MATCH($F95,TIER_LIST,0),1))*(IF((2-$I95+1)&lt;=0,0,IF((2-$I95+1)=1,RAMP_W1,IF((2-$I95+1)=2,RAMP_W2,IF((2-$I95+1)=3,RAMP_W3,RAMP_W4PLUS)))))*(INDEX(ACTIVE_MULT_TABLE,1,1))*(1+SUMPRODUCT(SIGN(((ACT_DOOR_SCOPE="ALL")+(ACT_DOOR_SCOPE="TIER_"&amp;$F95)+(ACT_DOOR_SCOPE=$B95)))*SIGN(((ACT_SKU_SCOPE="ALL")+(ACT_SKU_SCOPE=$G95)))*(ACT_START&lt;=2)*(ACT_END&gt;=2)*IFERROR(ACT_UPLIFT-1,0)))*(1+SUMPRODUCT(SIGN(((ACT_DOOR_SCOPE="ALL")+(ACT_DOOR_SCOPE="TIER_"&amp;$F95)+(ACT_DOOR_SCOPE=$B95)))*SIGN(((ACT_SKU_SCOPE="ALL")+(ACT_SKU_SCOPE=$G95)))*(2&gt;ACT_END)*(ACT_END&gt;0)*IFERROR(ACT_POSTLIFT,0))),0)))</f>
        <v/>
      </c>
      <c r="L95" s="10">
        <f>IF(OR($H95&lt;&gt;"Y",3&lt;$I95),0,IF(SUMPRODUCT(((BULK_ENABLED="Y")*((BULK_TIER="ALL")+(BULK_TIER=$F95))*((BULK_SKU="ALL")+(BULK_SKU=$G95))*(BULK_START&lt;=3)*(BULK_END&gt;=3)))&gt;0,IFERROR(SUMPRODUCT(((BULK_ENABLED="Y")*((BULK_TIER="ALL")+(BULK_TIER=$F95))*((BULK_SKU="ALL")+(BULK_SKU=$G95))*(BULK_START&lt;=3)*(BULK_END&gt;=3))*IFERROR(BULK_VALUE,0))/MAX(1,SUMPRODUCT(((BULK_ENABLED="Y")*((BULK_TIER="ALL")+(BULK_TIER=$F95))*((BULK_SKU="ALL")+(BULK_SKU=$G95))*(BULK_START&lt;=3)*(BULK_END&gt;=3)))),0),ROUND((INDEX(VELOCITY_TABLE,MATCH($F95,TIER_LIST,0),1))*(IF((3-$I95+1)&lt;=0,0,IF((3-$I95+1)=1,RAMP_W1,IF((3-$I95+1)=2,RAMP_W2,IF((3-$I95+1)=3,RAMP_W3,RAMP_W4PLUS)))))*(INDEX(ACTIVE_MULT_TABLE,1,1))*(1+SUMPRODUCT(SIGN(((ACT_DOOR_SCOPE="ALL")+(ACT_DOOR_SCOPE="TIER_"&amp;$F95)+(ACT_DOOR_SCOPE=$B95)))*SIGN(((ACT_SKU_SCOPE="ALL")+(ACT_SKU_SCOPE=$G95)))*(ACT_START&lt;=3)*(ACT_END&gt;=3)*IFERROR(ACT_UPLIFT-1,0)))*(1+SUMPRODUCT(SIGN(((ACT_DOOR_SCOPE="ALL")+(ACT_DOOR_SCOPE="TIER_"&amp;$F95)+(ACT_DOOR_SCOPE=$B95)))*SIGN(((ACT_SKU_SCOPE="ALL")+(ACT_SKU_SCOPE=$G95)))*(3&gt;ACT_END)*(ACT_END&gt;0)*IFERROR(ACT_POSTLIFT,0))),0)))</f>
        <v/>
      </c>
      <c r="M95" s="10">
        <f>IF(OR($H95&lt;&gt;"Y",4&lt;$I95),0,IF(SUMPRODUCT(((BULK_ENABLED="Y")*((BULK_TIER="ALL")+(BULK_TIER=$F95))*((BULK_SKU="ALL")+(BULK_SKU=$G95))*(BULK_START&lt;=4)*(BULK_END&gt;=4)))&gt;0,IFERROR(SUMPRODUCT(((BULK_ENABLED="Y")*((BULK_TIER="ALL")+(BULK_TIER=$F95))*((BULK_SKU="ALL")+(BULK_SKU=$G95))*(BULK_START&lt;=4)*(BULK_END&gt;=4))*IFERROR(BULK_VALUE,0))/MAX(1,SUMPRODUCT(((BULK_ENABLED="Y")*((BULK_TIER="ALL")+(BULK_TIER=$F95))*((BULK_SKU="ALL")+(BULK_SKU=$G95))*(BULK_START&lt;=4)*(BULK_END&gt;=4)))),0),ROUND((INDEX(VELOCITY_TABLE,MATCH($F95,TIER_LIST,0),1))*(IF((4-$I95+1)&lt;=0,0,IF((4-$I95+1)=1,RAMP_W1,IF((4-$I95+1)=2,RAMP_W2,IF((4-$I95+1)=3,RAMP_W3,RAMP_W4PLUS)))))*(INDEX(ACTIVE_MULT_TABLE,1,1))*(1+SUMPRODUCT(SIGN(((ACT_DOOR_SCOPE="ALL")+(ACT_DOOR_SCOPE="TIER_"&amp;$F95)+(ACT_DOOR_SCOPE=$B95)))*SIGN(((ACT_SKU_SCOPE="ALL")+(ACT_SKU_SCOPE=$G95)))*(ACT_START&lt;=4)*(ACT_END&gt;=4)*IFERROR(ACT_UPLIFT-1,0)))*(1+SUMPRODUCT(SIGN(((ACT_DOOR_SCOPE="ALL")+(ACT_DOOR_SCOPE="TIER_"&amp;$F95)+(ACT_DOOR_SCOPE=$B95)))*SIGN(((ACT_SKU_SCOPE="ALL")+(ACT_SKU_SCOPE=$G95)))*(4&gt;ACT_END)*(ACT_END&gt;0)*IFERROR(ACT_POSTLIFT,0))),0)))</f>
        <v/>
      </c>
      <c r="N95" s="10">
        <f>IF(OR($H95&lt;&gt;"Y",5&lt;$I95),0,IF(SUMPRODUCT(((BULK_ENABLED="Y")*((BULK_TIER="ALL")+(BULK_TIER=$F95))*((BULK_SKU="ALL")+(BULK_SKU=$G95))*(BULK_START&lt;=5)*(BULK_END&gt;=5)))&gt;0,IFERROR(SUMPRODUCT(((BULK_ENABLED="Y")*((BULK_TIER="ALL")+(BULK_TIER=$F95))*((BULK_SKU="ALL")+(BULK_SKU=$G95))*(BULK_START&lt;=5)*(BULK_END&gt;=5))*IFERROR(BULK_VALUE,0))/MAX(1,SUMPRODUCT(((BULK_ENABLED="Y")*((BULK_TIER="ALL")+(BULK_TIER=$F95))*((BULK_SKU="ALL")+(BULK_SKU=$G95))*(BULK_START&lt;=5)*(BULK_END&gt;=5)))),0),ROUND((INDEX(VELOCITY_TABLE,MATCH($F95,TIER_LIST,0),1))*(IF((5-$I95+1)&lt;=0,0,IF((5-$I95+1)=1,RAMP_W1,IF((5-$I95+1)=2,RAMP_W2,IF((5-$I95+1)=3,RAMP_W3,RAMP_W4PLUS)))))*(INDEX(ACTIVE_MULT_TABLE,1,1))*(1+SUMPRODUCT(SIGN(((ACT_DOOR_SCOPE="ALL")+(ACT_DOOR_SCOPE="TIER_"&amp;$F95)+(ACT_DOOR_SCOPE=$B95)))*SIGN(((ACT_SKU_SCOPE="ALL")+(ACT_SKU_SCOPE=$G95)))*(ACT_START&lt;=5)*(ACT_END&gt;=5)*IFERROR(ACT_UPLIFT-1,0)))*(1+SUMPRODUCT(SIGN(((ACT_DOOR_SCOPE="ALL")+(ACT_DOOR_SCOPE="TIER_"&amp;$F95)+(ACT_DOOR_SCOPE=$B95)))*SIGN(((ACT_SKU_SCOPE="ALL")+(ACT_SKU_SCOPE=$G95)))*(5&gt;ACT_END)*(ACT_END&gt;0)*IFERROR(ACT_POSTLIFT,0))),0)))</f>
        <v/>
      </c>
      <c r="O95" s="10">
        <f>IF(OR($H95&lt;&gt;"Y",6&lt;$I95),0,IF(SUMPRODUCT(((BULK_ENABLED="Y")*((BULK_TIER="ALL")+(BULK_TIER=$F95))*((BULK_SKU="ALL")+(BULK_SKU=$G95))*(BULK_START&lt;=6)*(BULK_END&gt;=6)))&gt;0,IFERROR(SUMPRODUCT(((BULK_ENABLED="Y")*((BULK_TIER="ALL")+(BULK_TIER=$F95))*((BULK_SKU="ALL")+(BULK_SKU=$G95))*(BULK_START&lt;=6)*(BULK_END&gt;=6))*IFERROR(BULK_VALUE,0))/MAX(1,SUMPRODUCT(((BULK_ENABLED="Y")*((BULK_TIER="ALL")+(BULK_TIER=$F95))*((BULK_SKU="ALL")+(BULK_SKU=$G95))*(BULK_START&lt;=6)*(BULK_END&gt;=6)))),0),ROUND((INDEX(VELOCITY_TABLE,MATCH($F95,TIER_LIST,0),1))*(IF((6-$I95+1)&lt;=0,0,IF((6-$I95+1)=1,RAMP_W1,IF((6-$I95+1)=2,RAMP_W2,IF((6-$I95+1)=3,RAMP_W3,RAMP_W4PLUS)))))*(INDEX(ACTIVE_MULT_TABLE,1,1))*(1+SUMPRODUCT(SIGN(((ACT_DOOR_SCOPE="ALL")+(ACT_DOOR_SCOPE="TIER_"&amp;$F95)+(ACT_DOOR_SCOPE=$B95)))*SIGN(((ACT_SKU_SCOPE="ALL")+(ACT_SKU_SCOPE=$G95)))*(ACT_START&lt;=6)*(ACT_END&gt;=6)*IFERROR(ACT_UPLIFT-1,0)))*(1+SUMPRODUCT(SIGN(((ACT_DOOR_SCOPE="ALL")+(ACT_DOOR_SCOPE="TIER_"&amp;$F95)+(ACT_DOOR_SCOPE=$B95)))*SIGN(((ACT_SKU_SCOPE="ALL")+(ACT_SKU_SCOPE=$G95)))*(6&gt;ACT_END)*(ACT_END&gt;0)*IFERROR(ACT_POSTLIFT,0))),0)))</f>
        <v/>
      </c>
      <c r="P95" s="10">
        <f>IF(OR($H95&lt;&gt;"Y",7&lt;$I95),0,IF(SUMPRODUCT(((BULK_ENABLED="Y")*((BULK_TIER="ALL")+(BULK_TIER=$F95))*((BULK_SKU="ALL")+(BULK_SKU=$G95))*(BULK_START&lt;=7)*(BULK_END&gt;=7)))&gt;0,IFERROR(SUMPRODUCT(((BULK_ENABLED="Y")*((BULK_TIER="ALL")+(BULK_TIER=$F95))*((BULK_SKU="ALL")+(BULK_SKU=$G95))*(BULK_START&lt;=7)*(BULK_END&gt;=7))*IFERROR(BULK_VALUE,0))/MAX(1,SUMPRODUCT(((BULK_ENABLED="Y")*((BULK_TIER="ALL")+(BULK_TIER=$F95))*((BULK_SKU="ALL")+(BULK_SKU=$G95))*(BULK_START&lt;=7)*(BULK_END&gt;=7)))),0),ROUND((INDEX(VELOCITY_TABLE,MATCH($F95,TIER_LIST,0),1))*(IF((7-$I95+1)&lt;=0,0,IF((7-$I95+1)=1,RAMP_W1,IF((7-$I95+1)=2,RAMP_W2,IF((7-$I95+1)=3,RAMP_W3,RAMP_W4PLUS)))))*(INDEX(ACTIVE_MULT_TABLE,1,1))*(1+SUMPRODUCT(SIGN(((ACT_DOOR_SCOPE="ALL")+(ACT_DOOR_SCOPE="TIER_"&amp;$F95)+(ACT_DOOR_SCOPE=$B95)))*SIGN(((ACT_SKU_SCOPE="ALL")+(ACT_SKU_SCOPE=$G95)))*(ACT_START&lt;=7)*(ACT_END&gt;=7)*IFERROR(ACT_UPLIFT-1,0)))*(1+SUMPRODUCT(SIGN(((ACT_DOOR_SCOPE="ALL")+(ACT_DOOR_SCOPE="TIER_"&amp;$F95)+(ACT_DOOR_SCOPE=$B95)))*SIGN(((ACT_SKU_SCOPE="ALL")+(ACT_SKU_SCOPE=$G95)))*(7&gt;ACT_END)*(ACT_END&gt;0)*IFERROR(ACT_POSTLIFT,0))),0)))</f>
        <v/>
      </c>
      <c r="Q95" s="10">
        <f>IF(OR($H95&lt;&gt;"Y",8&lt;$I95),0,IF(SUMPRODUCT(((BULK_ENABLED="Y")*((BULK_TIER="ALL")+(BULK_TIER=$F95))*((BULK_SKU="ALL")+(BULK_SKU=$G95))*(BULK_START&lt;=8)*(BULK_END&gt;=8)))&gt;0,IFERROR(SUMPRODUCT(((BULK_ENABLED="Y")*((BULK_TIER="ALL")+(BULK_TIER=$F95))*((BULK_SKU="ALL")+(BULK_SKU=$G95))*(BULK_START&lt;=8)*(BULK_END&gt;=8))*IFERROR(BULK_VALUE,0))/MAX(1,SUMPRODUCT(((BULK_ENABLED="Y")*((BULK_TIER="ALL")+(BULK_TIER=$F95))*((BULK_SKU="ALL")+(BULK_SKU=$G95))*(BULK_START&lt;=8)*(BULK_END&gt;=8)))),0),ROUND((INDEX(VELOCITY_TABLE,MATCH($F95,TIER_LIST,0),1))*(IF((8-$I95+1)&lt;=0,0,IF((8-$I95+1)=1,RAMP_W1,IF((8-$I95+1)=2,RAMP_W2,IF((8-$I95+1)=3,RAMP_W3,RAMP_W4PLUS)))))*(INDEX(ACTIVE_MULT_TABLE,1,1))*(1+SUMPRODUCT(SIGN(((ACT_DOOR_SCOPE="ALL")+(ACT_DOOR_SCOPE="TIER_"&amp;$F95)+(ACT_DOOR_SCOPE=$B95)))*SIGN(((ACT_SKU_SCOPE="ALL")+(ACT_SKU_SCOPE=$G95)))*(ACT_START&lt;=8)*(ACT_END&gt;=8)*IFERROR(ACT_UPLIFT-1,0)))*(1+SUMPRODUCT(SIGN(((ACT_DOOR_SCOPE="ALL")+(ACT_DOOR_SCOPE="TIER_"&amp;$F95)+(ACT_DOOR_SCOPE=$B95)))*SIGN(((ACT_SKU_SCOPE="ALL")+(ACT_SKU_SCOPE=$G95)))*(8&gt;ACT_END)*(ACT_END&gt;0)*IFERROR(ACT_POSTLIFT,0))),0)))</f>
        <v/>
      </c>
      <c r="R95" s="10">
        <f>IF(OR($H95&lt;&gt;"Y",9&lt;$I95),0,IF(SUMPRODUCT(((BULK_ENABLED="Y")*((BULK_TIER="ALL")+(BULK_TIER=$F95))*((BULK_SKU="ALL")+(BULK_SKU=$G95))*(BULK_START&lt;=9)*(BULK_END&gt;=9)))&gt;0,IFERROR(SUMPRODUCT(((BULK_ENABLED="Y")*((BULK_TIER="ALL")+(BULK_TIER=$F95))*((BULK_SKU="ALL")+(BULK_SKU=$G95))*(BULK_START&lt;=9)*(BULK_END&gt;=9))*IFERROR(BULK_VALUE,0))/MAX(1,SUMPRODUCT(((BULK_ENABLED="Y")*((BULK_TIER="ALL")+(BULK_TIER=$F95))*((BULK_SKU="ALL")+(BULK_SKU=$G95))*(BULK_START&lt;=9)*(BULK_END&gt;=9)))),0),ROUND((INDEX(VELOCITY_TABLE,MATCH($F95,TIER_LIST,0),1))*(IF((9-$I95+1)&lt;=0,0,IF((9-$I95+1)=1,RAMP_W1,IF((9-$I95+1)=2,RAMP_W2,IF((9-$I95+1)=3,RAMP_W3,RAMP_W4PLUS)))))*(INDEX(ACTIVE_MULT_TABLE,1,1))*(1+SUMPRODUCT(SIGN(((ACT_DOOR_SCOPE="ALL")+(ACT_DOOR_SCOPE="TIER_"&amp;$F95)+(ACT_DOOR_SCOPE=$B95)))*SIGN(((ACT_SKU_SCOPE="ALL")+(ACT_SKU_SCOPE=$G95)))*(ACT_START&lt;=9)*(ACT_END&gt;=9)*IFERROR(ACT_UPLIFT-1,0)))*(1+SUMPRODUCT(SIGN(((ACT_DOOR_SCOPE="ALL")+(ACT_DOOR_SCOPE="TIER_"&amp;$F95)+(ACT_DOOR_SCOPE=$B95)))*SIGN(((ACT_SKU_SCOPE="ALL")+(ACT_SKU_SCOPE=$G95)))*(9&gt;ACT_END)*(ACT_END&gt;0)*IFERROR(ACT_POSTLIFT,0))),0)))</f>
        <v/>
      </c>
      <c r="S95" s="10">
        <f>IF(OR($H95&lt;&gt;"Y",10&lt;$I95),0,IF(SUMPRODUCT(((BULK_ENABLED="Y")*((BULK_TIER="ALL")+(BULK_TIER=$F95))*((BULK_SKU="ALL")+(BULK_SKU=$G95))*(BULK_START&lt;=10)*(BULK_END&gt;=10)))&gt;0,IFERROR(SUMPRODUCT(((BULK_ENABLED="Y")*((BULK_TIER="ALL")+(BULK_TIER=$F95))*((BULK_SKU="ALL")+(BULK_SKU=$G95))*(BULK_START&lt;=10)*(BULK_END&gt;=10))*IFERROR(BULK_VALUE,0))/MAX(1,SUMPRODUCT(((BULK_ENABLED="Y")*((BULK_TIER="ALL")+(BULK_TIER=$F95))*((BULK_SKU="ALL")+(BULK_SKU=$G95))*(BULK_START&lt;=10)*(BULK_END&gt;=10)))),0),ROUND((INDEX(VELOCITY_TABLE,MATCH($F95,TIER_LIST,0),1))*(IF((10-$I95+1)&lt;=0,0,IF((10-$I95+1)=1,RAMP_W1,IF((10-$I95+1)=2,RAMP_W2,IF((10-$I95+1)=3,RAMP_W3,RAMP_W4PLUS)))))*(INDEX(ACTIVE_MULT_TABLE,1,1))*(1+SUMPRODUCT(SIGN(((ACT_DOOR_SCOPE="ALL")+(ACT_DOOR_SCOPE="TIER_"&amp;$F95)+(ACT_DOOR_SCOPE=$B95)))*SIGN(((ACT_SKU_SCOPE="ALL")+(ACT_SKU_SCOPE=$G95)))*(ACT_START&lt;=10)*(ACT_END&gt;=10)*IFERROR(ACT_UPLIFT-1,0)))*(1+SUMPRODUCT(SIGN(((ACT_DOOR_SCOPE="ALL")+(ACT_DOOR_SCOPE="TIER_"&amp;$F95)+(ACT_DOOR_SCOPE=$B95)))*SIGN(((ACT_SKU_SCOPE="ALL")+(ACT_SKU_SCOPE=$G95)))*(10&gt;ACT_END)*(ACT_END&gt;0)*IFERROR(ACT_POSTLIFT,0))),0)))</f>
        <v/>
      </c>
      <c r="T95" s="10">
        <f>IF(OR($H95&lt;&gt;"Y",11&lt;$I95),0,IF(SUMPRODUCT(((BULK_ENABLED="Y")*((BULK_TIER="ALL")+(BULK_TIER=$F95))*((BULK_SKU="ALL")+(BULK_SKU=$G95))*(BULK_START&lt;=11)*(BULK_END&gt;=11)))&gt;0,IFERROR(SUMPRODUCT(((BULK_ENABLED="Y")*((BULK_TIER="ALL")+(BULK_TIER=$F95))*((BULK_SKU="ALL")+(BULK_SKU=$G95))*(BULK_START&lt;=11)*(BULK_END&gt;=11))*IFERROR(BULK_VALUE,0))/MAX(1,SUMPRODUCT(((BULK_ENABLED="Y")*((BULK_TIER="ALL")+(BULK_TIER=$F95))*((BULK_SKU="ALL")+(BULK_SKU=$G95))*(BULK_START&lt;=11)*(BULK_END&gt;=11)))),0),ROUND((INDEX(VELOCITY_TABLE,MATCH($F95,TIER_LIST,0),1))*(IF((11-$I95+1)&lt;=0,0,IF((11-$I95+1)=1,RAMP_W1,IF((11-$I95+1)=2,RAMP_W2,IF((11-$I95+1)=3,RAMP_W3,RAMP_W4PLUS)))))*(INDEX(ACTIVE_MULT_TABLE,1,1))*(1+SUMPRODUCT(SIGN(((ACT_DOOR_SCOPE="ALL")+(ACT_DOOR_SCOPE="TIER_"&amp;$F95)+(ACT_DOOR_SCOPE=$B95)))*SIGN(((ACT_SKU_SCOPE="ALL")+(ACT_SKU_SCOPE=$G95)))*(ACT_START&lt;=11)*(ACT_END&gt;=11)*IFERROR(ACT_UPLIFT-1,0)))*(1+SUMPRODUCT(SIGN(((ACT_DOOR_SCOPE="ALL")+(ACT_DOOR_SCOPE="TIER_"&amp;$F95)+(ACT_DOOR_SCOPE=$B95)))*SIGN(((ACT_SKU_SCOPE="ALL")+(ACT_SKU_SCOPE=$G95)))*(11&gt;ACT_END)*(ACT_END&gt;0)*IFERROR(ACT_POSTLIFT,0))),0)))</f>
        <v/>
      </c>
      <c r="U95" s="10">
        <f>IF(OR($H95&lt;&gt;"Y",12&lt;$I95),0,IF(SUMPRODUCT(((BULK_ENABLED="Y")*((BULK_TIER="ALL")+(BULK_TIER=$F95))*((BULK_SKU="ALL")+(BULK_SKU=$G95))*(BULK_START&lt;=12)*(BULK_END&gt;=12)))&gt;0,IFERROR(SUMPRODUCT(((BULK_ENABLED="Y")*((BULK_TIER="ALL")+(BULK_TIER=$F95))*((BULK_SKU="ALL")+(BULK_SKU=$G95))*(BULK_START&lt;=12)*(BULK_END&gt;=12))*IFERROR(BULK_VALUE,0))/MAX(1,SUMPRODUCT(((BULK_ENABLED="Y")*((BULK_TIER="ALL")+(BULK_TIER=$F95))*((BULK_SKU="ALL")+(BULK_SKU=$G95))*(BULK_START&lt;=12)*(BULK_END&gt;=12)))),0),ROUND((INDEX(VELOCITY_TABLE,MATCH($F95,TIER_LIST,0),1))*(IF((12-$I95+1)&lt;=0,0,IF((12-$I95+1)=1,RAMP_W1,IF((12-$I95+1)=2,RAMP_W2,IF((12-$I95+1)=3,RAMP_W3,RAMP_W4PLUS)))))*(INDEX(ACTIVE_MULT_TABLE,1,1))*(1+SUMPRODUCT(SIGN(((ACT_DOOR_SCOPE="ALL")+(ACT_DOOR_SCOPE="TIER_"&amp;$F95)+(ACT_DOOR_SCOPE=$B95)))*SIGN(((ACT_SKU_SCOPE="ALL")+(ACT_SKU_SCOPE=$G95)))*(ACT_START&lt;=12)*(ACT_END&gt;=12)*IFERROR(ACT_UPLIFT-1,0)))*(1+SUMPRODUCT(SIGN(((ACT_DOOR_SCOPE="ALL")+(ACT_DOOR_SCOPE="TIER_"&amp;$F95)+(ACT_DOOR_SCOPE=$B95)))*SIGN(((ACT_SKU_SCOPE="ALL")+(ACT_SKU_SCOPE=$G95)))*(12&gt;ACT_END)*(ACT_END&gt;0)*IFERROR(ACT_POSTLIFT,0))),0)))</f>
        <v/>
      </c>
      <c r="V95" s="10">
        <f>IF(OR($H95&lt;&gt;"Y",13&lt;$I95),0,IF(SUMPRODUCT(((BULK_ENABLED="Y")*((BULK_TIER="ALL")+(BULK_TIER=$F95))*((BULK_SKU="ALL")+(BULK_SKU=$G95))*(BULK_START&lt;=13)*(BULK_END&gt;=13)))&gt;0,IFERROR(SUMPRODUCT(((BULK_ENABLED="Y")*((BULK_TIER="ALL")+(BULK_TIER=$F95))*((BULK_SKU="ALL")+(BULK_SKU=$G95))*(BULK_START&lt;=13)*(BULK_END&gt;=13))*IFERROR(BULK_VALUE,0))/MAX(1,SUMPRODUCT(((BULK_ENABLED="Y")*((BULK_TIER="ALL")+(BULK_TIER=$F95))*((BULK_SKU="ALL")+(BULK_SKU=$G95))*(BULK_START&lt;=13)*(BULK_END&gt;=13)))),0),ROUND((INDEX(VELOCITY_TABLE,MATCH($F95,TIER_LIST,0),1))*(IF((13-$I95+1)&lt;=0,0,IF((13-$I95+1)=1,RAMP_W1,IF((13-$I95+1)=2,RAMP_W2,IF((13-$I95+1)=3,RAMP_W3,RAMP_W4PLUS)))))*(INDEX(ACTIVE_MULT_TABLE,1,1))*(1+SUMPRODUCT(SIGN(((ACT_DOOR_SCOPE="ALL")+(ACT_DOOR_SCOPE="TIER_"&amp;$F95)+(ACT_DOOR_SCOPE=$B95)))*SIGN(((ACT_SKU_SCOPE="ALL")+(ACT_SKU_SCOPE=$G95)))*(ACT_START&lt;=13)*(ACT_END&gt;=13)*IFERROR(ACT_UPLIFT-1,0)))*(1+SUMPRODUCT(SIGN(((ACT_DOOR_SCOPE="ALL")+(ACT_DOOR_SCOPE="TIER_"&amp;$F95)+(ACT_DOOR_SCOPE=$B95)))*SIGN(((ACT_SKU_SCOPE="ALL")+(ACT_SKU_SCOPE=$G95)))*(13&gt;ACT_END)*(ACT_END&gt;0)*IFERROR(ACT_POSTLIFT,0))),0)))</f>
        <v/>
      </c>
    </row>
    <row r="96">
      <c r="A96" t="inlineStr">
        <is>
          <t>R0092</t>
        </is>
      </c>
      <c r="B96">
        <f>Doors!$A$35</f>
        <v/>
      </c>
      <c r="C96">
        <f>Doors!$C$35</f>
        <v/>
      </c>
      <c r="D96">
        <f>Doors!$B$35</f>
        <v/>
      </c>
      <c r="E96">
        <f>Doors!$E$35</f>
        <v/>
      </c>
      <c r="F96">
        <f>Doors!$F$35</f>
        <v/>
      </c>
      <c r="G96" t="inlineStr">
        <is>
          <t>Pineapple Passion Fruit</t>
        </is>
      </c>
      <c r="H96">
        <f>Doors!$H$35</f>
        <v/>
      </c>
      <c r="I96">
        <f>Doors!$J$35</f>
        <v/>
      </c>
      <c r="J96" s="10">
        <f>IF(OR($H96&lt;&gt;"Y",1&lt;$I96),0,IF(SUMPRODUCT(((BULK_ENABLED="Y")*((BULK_TIER="ALL")+(BULK_TIER=$F96))*((BULK_SKU="ALL")+(BULK_SKU=$G96))*(BULK_START&lt;=1)*(BULK_END&gt;=1)))&gt;0,IFERROR(SUMPRODUCT(((BULK_ENABLED="Y")*((BULK_TIER="ALL")+(BULK_TIER=$F96))*((BULK_SKU="ALL")+(BULK_SKU=$G96))*(BULK_START&lt;=1)*(BULK_END&gt;=1))*IFERROR(BULK_VALUE,0))/MAX(1,SUMPRODUCT(((BULK_ENABLED="Y")*((BULK_TIER="ALL")+(BULK_TIER=$F96))*((BULK_SKU="ALL")+(BULK_SKU=$G96))*(BULK_START&lt;=1)*(BULK_END&gt;=1)))),0),ROUND((INDEX(VELOCITY_TABLE,MATCH($F96,TIER_LIST,0),2))*(IF((1-$I96+1)&lt;=0,0,IF((1-$I96+1)=1,RAMP_W1,IF((1-$I96+1)=2,RAMP_W2,IF((1-$I96+1)=3,RAMP_W3,RAMP_W4PLUS)))))*(INDEX(ACTIVE_MULT_TABLE,2,1))*(1+SUMPRODUCT(SIGN(((ACT_DOOR_SCOPE="ALL")+(ACT_DOOR_SCOPE="TIER_"&amp;$F96)+(ACT_DOOR_SCOPE=$B96)))*SIGN(((ACT_SKU_SCOPE="ALL")+(ACT_SKU_SCOPE=$G96)))*(ACT_START&lt;=1)*(ACT_END&gt;=1)*IFERROR(ACT_UPLIFT-1,0)))*(1+SUMPRODUCT(SIGN(((ACT_DOOR_SCOPE="ALL")+(ACT_DOOR_SCOPE="TIER_"&amp;$F96)+(ACT_DOOR_SCOPE=$B96)))*SIGN(((ACT_SKU_SCOPE="ALL")+(ACT_SKU_SCOPE=$G96)))*(1&gt;ACT_END)*(ACT_END&gt;0)*IFERROR(ACT_POSTLIFT,0))),0)))</f>
        <v/>
      </c>
      <c r="K96" s="10">
        <f>IF(OR($H96&lt;&gt;"Y",2&lt;$I96),0,IF(SUMPRODUCT(((BULK_ENABLED="Y")*((BULK_TIER="ALL")+(BULK_TIER=$F96))*((BULK_SKU="ALL")+(BULK_SKU=$G96))*(BULK_START&lt;=2)*(BULK_END&gt;=2)))&gt;0,IFERROR(SUMPRODUCT(((BULK_ENABLED="Y")*((BULK_TIER="ALL")+(BULK_TIER=$F96))*((BULK_SKU="ALL")+(BULK_SKU=$G96))*(BULK_START&lt;=2)*(BULK_END&gt;=2))*IFERROR(BULK_VALUE,0))/MAX(1,SUMPRODUCT(((BULK_ENABLED="Y")*((BULK_TIER="ALL")+(BULK_TIER=$F96))*((BULK_SKU="ALL")+(BULK_SKU=$G96))*(BULK_START&lt;=2)*(BULK_END&gt;=2)))),0),ROUND((INDEX(VELOCITY_TABLE,MATCH($F96,TIER_LIST,0),2))*(IF((2-$I96+1)&lt;=0,0,IF((2-$I96+1)=1,RAMP_W1,IF((2-$I96+1)=2,RAMP_W2,IF((2-$I96+1)=3,RAMP_W3,RAMP_W4PLUS)))))*(INDEX(ACTIVE_MULT_TABLE,2,1))*(1+SUMPRODUCT(SIGN(((ACT_DOOR_SCOPE="ALL")+(ACT_DOOR_SCOPE="TIER_"&amp;$F96)+(ACT_DOOR_SCOPE=$B96)))*SIGN(((ACT_SKU_SCOPE="ALL")+(ACT_SKU_SCOPE=$G96)))*(ACT_START&lt;=2)*(ACT_END&gt;=2)*IFERROR(ACT_UPLIFT-1,0)))*(1+SUMPRODUCT(SIGN(((ACT_DOOR_SCOPE="ALL")+(ACT_DOOR_SCOPE="TIER_"&amp;$F96)+(ACT_DOOR_SCOPE=$B96)))*SIGN(((ACT_SKU_SCOPE="ALL")+(ACT_SKU_SCOPE=$G96)))*(2&gt;ACT_END)*(ACT_END&gt;0)*IFERROR(ACT_POSTLIFT,0))),0)))</f>
        <v/>
      </c>
      <c r="L96" s="10">
        <f>IF(OR($H96&lt;&gt;"Y",3&lt;$I96),0,IF(SUMPRODUCT(((BULK_ENABLED="Y")*((BULK_TIER="ALL")+(BULK_TIER=$F96))*((BULK_SKU="ALL")+(BULK_SKU=$G96))*(BULK_START&lt;=3)*(BULK_END&gt;=3)))&gt;0,IFERROR(SUMPRODUCT(((BULK_ENABLED="Y")*((BULK_TIER="ALL")+(BULK_TIER=$F96))*((BULK_SKU="ALL")+(BULK_SKU=$G96))*(BULK_START&lt;=3)*(BULK_END&gt;=3))*IFERROR(BULK_VALUE,0))/MAX(1,SUMPRODUCT(((BULK_ENABLED="Y")*((BULK_TIER="ALL")+(BULK_TIER=$F96))*((BULK_SKU="ALL")+(BULK_SKU=$G96))*(BULK_START&lt;=3)*(BULK_END&gt;=3)))),0),ROUND((INDEX(VELOCITY_TABLE,MATCH($F96,TIER_LIST,0),2))*(IF((3-$I96+1)&lt;=0,0,IF((3-$I96+1)=1,RAMP_W1,IF((3-$I96+1)=2,RAMP_W2,IF((3-$I96+1)=3,RAMP_W3,RAMP_W4PLUS)))))*(INDEX(ACTIVE_MULT_TABLE,2,1))*(1+SUMPRODUCT(SIGN(((ACT_DOOR_SCOPE="ALL")+(ACT_DOOR_SCOPE="TIER_"&amp;$F96)+(ACT_DOOR_SCOPE=$B96)))*SIGN(((ACT_SKU_SCOPE="ALL")+(ACT_SKU_SCOPE=$G96)))*(ACT_START&lt;=3)*(ACT_END&gt;=3)*IFERROR(ACT_UPLIFT-1,0)))*(1+SUMPRODUCT(SIGN(((ACT_DOOR_SCOPE="ALL")+(ACT_DOOR_SCOPE="TIER_"&amp;$F96)+(ACT_DOOR_SCOPE=$B96)))*SIGN(((ACT_SKU_SCOPE="ALL")+(ACT_SKU_SCOPE=$G96)))*(3&gt;ACT_END)*(ACT_END&gt;0)*IFERROR(ACT_POSTLIFT,0))),0)))</f>
        <v/>
      </c>
      <c r="M96" s="10">
        <f>IF(OR($H96&lt;&gt;"Y",4&lt;$I96),0,IF(SUMPRODUCT(((BULK_ENABLED="Y")*((BULK_TIER="ALL")+(BULK_TIER=$F96))*((BULK_SKU="ALL")+(BULK_SKU=$G96))*(BULK_START&lt;=4)*(BULK_END&gt;=4)))&gt;0,IFERROR(SUMPRODUCT(((BULK_ENABLED="Y")*((BULK_TIER="ALL")+(BULK_TIER=$F96))*((BULK_SKU="ALL")+(BULK_SKU=$G96))*(BULK_START&lt;=4)*(BULK_END&gt;=4))*IFERROR(BULK_VALUE,0))/MAX(1,SUMPRODUCT(((BULK_ENABLED="Y")*((BULK_TIER="ALL")+(BULK_TIER=$F96))*((BULK_SKU="ALL")+(BULK_SKU=$G96))*(BULK_START&lt;=4)*(BULK_END&gt;=4)))),0),ROUND((INDEX(VELOCITY_TABLE,MATCH($F96,TIER_LIST,0),2))*(IF((4-$I96+1)&lt;=0,0,IF((4-$I96+1)=1,RAMP_W1,IF((4-$I96+1)=2,RAMP_W2,IF((4-$I96+1)=3,RAMP_W3,RAMP_W4PLUS)))))*(INDEX(ACTIVE_MULT_TABLE,2,1))*(1+SUMPRODUCT(SIGN(((ACT_DOOR_SCOPE="ALL")+(ACT_DOOR_SCOPE="TIER_"&amp;$F96)+(ACT_DOOR_SCOPE=$B96)))*SIGN(((ACT_SKU_SCOPE="ALL")+(ACT_SKU_SCOPE=$G96)))*(ACT_START&lt;=4)*(ACT_END&gt;=4)*IFERROR(ACT_UPLIFT-1,0)))*(1+SUMPRODUCT(SIGN(((ACT_DOOR_SCOPE="ALL")+(ACT_DOOR_SCOPE="TIER_"&amp;$F96)+(ACT_DOOR_SCOPE=$B96)))*SIGN(((ACT_SKU_SCOPE="ALL")+(ACT_SKU_SCOPE=$G96)))*(4&gt;ACT_END)*(ACT_END&gt;0)*IFERROR(ACT_POSTLIFT,0))),0)))</f>
        <v/>
      </c>
      <c r="N96" s="10">
        <f>IF(OR($H96&lt;&gt;"Y",5&lt;$I96),0,IF(SUMPRODUCT(((BULK_ENABLED="Y")*((BULK_TIER="ALL")+(BULK_TIER=$F96))*((BULK_SKU="ALL")+(BULK_SKU=$G96))*(BULK_START&lt;=5)*(BULK_END&gt;=5)))&gt;0,IFERROR(SUMPRODUCT(((BULK_ENABLED="Y")*((BULK_TIER="ALL")+(BULK_TIER=$F96))*((BULK_SKU="ALL")+(BULK_SKU=$G96))*(BULK_START&lt;=5)*(BULK_END&gt;=5))*IFERROR(BULK_VALUE,0))/MAX(1,SUMPRODUCT(((BULK_ENABLED="Y")*((BULK_TIER="ALL")+(BULK_TIER=$F96))*((BULK_SKU="ALL")+(BULK_SKU=$G96))*(BULK_START&lt;=5)*(BULK_END&gt;=5)))),0),ROUND((INDEX(VELOCITY_TABLE,MATCH($F96,TIER_LIST,0),2))*(IF((5-$I96+1)&lt;=0,0,IF((5-$I96+1)=1,RAMP_W1,IF((5-$I96+1)=2,RAMP_W2,IF((5-$I96+1)=3,RAMP_W3,RAMP_W4PLUS)))))*(INDEX(ACTIVE_MULT_TABLE,2,1))*(1+SUMPRODUCT(SIGN(((ACT_DOOR_SCOPE="ALL")+(ACT_DOOR_SCOPE="TIER_"&amp;$F96)+(ACT_DOOR_SCOPE=$B96)))*SIGN(((ACT_SKU_SCOPE="ALL")+(ACT_SKU_SCOPE=$G96)))*(ACT_START&lt;=5)*(ACT_END&gt;=5)*IFERROR(ACT_UPLIFT-1,0)))*(1+SUMPRODUCT(SIGN(((ACT_DOOR_SCOPE="ALL")+(ACT_DOOR_SCOPE="TIER_"&amp;$F96)+(ACT_DOOR_SCOPE=$B96)))*SIGN(((ACT_SKU_SCOPE="ALL")+(ACT_SKU_SCOPE=$G96)))*(5&gt;ACT_END)*(ACT_END&gt;0)*IFERROR(ACT_POSTLIFT,0))),0)))</f>
        <v/>
      </c>
      <c r="O96" s="10">
        <f>IF(OR($H96&lt;&gt;"Y",6&lt;$I96),0,IF(SUMPRODUCT(((BULK_ENABLED="Y")*((BULK_TIER="ALL")+(BULK_TIER=$F96))*((BULK_SKU="ALL")+(BULK_SKU=$G96))*(BULK_START&lt;=6)*(BULK_END&gt;=6)))&gt;0,IFERROR(SUMPRODUCT(((BULK_ENABLED="Y")*((BULK_TIER="ALL")+(BULK_TIER=$F96))*((BULK_SKU="ALL")+(BULK_SKU=$G96))*(BULK_START&lt;=6)*(BULK_END&gt;=6))*IFERROR(BULK_VALUE,0))/MAX(1,SUMPRODUCT(((BULK_ENABLED="Y")*((BULK_TIER="ALL")+(BULK_TIER=$F96))*((BULK_SKU="ALL")+(BULK_SKU=$G96))*(BULK_START&lt;=6)*(BULK_END&gt;=6)))),0),ROUND((INDEX(VELOCITY_TABLE,MATCH($F96,TIER_LIST,0),2))*(IF((6-$I96+1)&lt;=0,0,IF((6-$I96+1)=1,RAMP_W1,IF((6-$I96+1)=2,RAMP_W2,IF((6-$I96+1)=3,RAMP_W3,RAMP_W4PLUS)))))*(INDEX(ACTIVE_MULT_TABLE,2,1))*(1+SUMPRODUCT(SIGN(((ACT_DOOR_SCOPE="ALL")+(ACT_DOOR_SCOPE="TIER_"&amp;$F96)+(ACT_DOOR_SCOPE=$B96)))*SIGN(((ACT_SKU_SCOPE="ALL")+(ACT_SKU_SCOPE=$G96)))*(ACT_START&lt;=6)*(ACT_END&gt;=6)*IFERROR(ACT_UPLIFT-1,0)))*(1+SUMPRODUCT(SIGN(((ACT_DOOR_SCOPE="ALL")+(ACT_DOOR_SCOPE="TIER_"&amp;$F96)+(ACT_DOOR_SCOPE=$B96)))*SIGN(((ACT_SKU_SCOPE="ALL")+(ACT_SKU_SCOPE=$G96)))*(6&gt;ACT_END)*(ACT_END&gt;0)*IFERROR(ACT_POSTLIFT,0))),0)))</f>
        <v/>
      </c>
      <c r="P96" s="10">
        <f>IF(OR($H96&lt;&gt;"Y",7&lt;$I96),0,IF(SUMPRODUCT(((BULK_ENABLED="Y")*((BULK_TIER="ALL")+(BULK_TIER=$F96))*((BULK_SKU="ALL")+(BULK_SKU=$G96))*(BULK_START&lt;=7)*(BULK_END&gt;=7)))&gt;0,IFERROR(SUMPRODUCT(((BULK_ENABLED="Y")*((BULK_TIER="ALL")+(BULK_TIER=$F96))*((BULK_SKU="ALL")+(BULK_SKU=$G96))*(BULK_START&lt;=7)*(BULK_END&gt;=7))*IFERROR(BULK_VALUE,0))/MAX(1,SUMPRODUCT(((BULK_ENABLED="Y")*((BULK_TIER="ALL")+(BULK_TIER=$F96))*((BULK_SKU="ALL")+(BULK_SKU=$G96))*(BULK_START&lt;=7)*(BULK_END&gt;=7)))),0),ROUND((INDEX(VELOCITY_TABLE,MATCH($F96,TIER_LIST,0),2))*(IF((7-$I96+1)&lt;=0,0,IF((7-$I96+1)=1,RAMP_W1,IF((7-$I96+1)=2,RAMP_W2,IF((7-$I96+1)=3,RAMP_W3,RAMP_W4PLUS)))))*(INDEX(ACTIVE_MULT_TABLE,2,1))*(1+SUMPRODUCT(SIGN(((ACT_DOOR_SCOPE="ALL")+(ACT_DOOR_SCOPE="TIER_"&amp;$F96)+(ACT_DOOR_SCOPE=$B96)))*SIGN(((ACT_SKU_SCOPE="ALL")+(ACT_SKU_SCOPE=$G96)))*(ACT_START&lt;=7)*(ACT_END&gt;=7)*IFERROR(ACT_UPLIFT-1,0)))*(1+SUMPRODUCT(SIGN(((ACT_DOOR_SCOPE="ALL")+(ACT_DOOR_SCOPE="TIER_"&amp;$F96)+(ACT_DOOR_SCOPE=$B96)))*SIGN(((ACT_SKU_SCOPE="ALL")+(ACT_SKU_SCOPE=$G96)))*(7&gt;ACT_END)*(ACT_END&gt;0)*IFERROR(ACT_POSTLIFT,0))),0)))</f>
        <v/>
      </c>
      <c r="Q96" s="10">
        <f>IF(OR($H96&lt;&gt;"Y",8&lt;$I96),0,IF(SUMPRODUCT(((BULK_ENABLED="Y")*((BULK_TIER="ALL")+(BULK_TIER=$F96))*((BULK_SKU="ALL")+(BULK_SKU=$G96))*(BULK_START&lt;=8)*(BULK_END&gt;=8)))&gt;0,IFERROR(SUMPRODUCT(((BULK_ENABLED="Y")*((BULK_TIER="ALL")+(BULK_TIER=$F96))*((BULK_SKU="ALL")+(BULK_SKU=$G96))*(BULK_START&lt;=8)*(BULK_END&gt;=8))*IFERROR(BULK_VALUE,0))/MAX(1,SUMPRODUCT(((BULK_ENABLED="Y")*((BULK_TIER="ALL")+(BULK_TIER=$F96))*((BULK_SKU="ALL")+(BULK_SKU=$G96))*(BULK_START&lt;=8)*(BULK_END&gt;=8)))),0),ROUND((INDEX(VELOCITY_TABLE,MATCH($F96,TIER_LIST,0),2))*(IF((8-$I96+1)&lt;=0,0,IF((8-$I96+1)=1,RAMP_W1,IF((8-$I96+1)=2,RAMP_W2,IF((8-$I96+1)=3,RAMP_W3,RAMP_W4PLUS)))))*(INDEX(ACTIVE_MULT_TABLE,2,1))*(1+SUMPRODUCT(SIGN(((ACT_DOOR_SCOPE="ALL")+(ACT_DOOR_SCOPE="TIER_"&amp;$F96)+(ACT_DOOR_SCOPE=$B96)))*SIGN(((ACT_SKU_SCOPE="ALL")+(ACT_SKU_SCOPE=$G96)))*(ACT_START&lt;=8)*(ACT_END&gt;=8)*IFERROR(ACT_UPLIFT-1,0)))*(1+SUMPRODUCT(SIGN(((ACT_DOOR_SCOPE="ALL")+(ACT_DOOR_SCOPE="TIER_"&amp;$F96)+(ACT_DOOR_SCOPE=$B96)))*SIGN(((ACT_SKU_SCOPE="ALL")+(ACT_SKU_SCOPE=$G96)))*(8&gt;ACT_END)*(ACT_END&gt;0)*IFERROR(ACT_POSTLIFT,0))),0)))</f>
        <v/>
      </c>
      <c r="R96" s="10">
        <f>IF(OR($H96&lt;&gt;"Y",9&lt;$I96),0,IF(SUMPRODUCT(((BULK_ENABLED="Y")*((BULK_TIER="ALL")+(BULK_TIER=$F96))*((BULK_SKU="ALL")+(BULK_SKU=$G96))*(BULK_START&lt;=9)*(BULK_END&gt;=9)))&gt;0,IFERROR(SUMPRODUCT(((BULK_ENABLED="Y")*((BULK_TIER="ALL")+(BULK_TIER=$F96))*((BULK_SKU="ALL")+(BULK_SKU=$G96))*(BULK_START&lt;=9)*(BULK_END&gt;=9))*IFERROR(BULK_VALUE,0))/MAX(1,SUMPRODUCT(((BULK_ENABLED="Y")*((BULK_TIER="ALL")+(BULK_TIER=$F96))*((BULK_SKU="ALL")+(BULK_SKU=$G96))*(BULK_START&lt;=9)*(BULK_END&gt;=9)))),0),ROUND((INDEX(VELOCITY_TABLE,MATCH($F96,TIER_LIST,0),2))*(IF((9-$I96+1)&lt;=0,0,IF((9-$I96+1)=1,RAMP_W1,IF((9-$I96+1)=2,RAMP_W2,IF((9-$I96+1)=3,RAMP_W3,RAMP_W4PLUS)))))*(INDEX(ACTIVE_MULT_TABLE,2,1))*(1+SUMPRODUCT(SIGN(((ACT_DOOR_SCOPE="ALL")+(ACT_DOOR_SCOPE="TIER_"&amp;$F96)+(ACT_DOOR_SCOPE=$B96)))*SIGN(((ACT_SKU_SCOPE="ALL")+(ACT_SKU_SCOPE=$G96)))*(ACT_START&lt;=9)*(ACT_END&gt;=9)*IFERROR(ACT_UPLIFT-1,0)))*(1+SUMPRODUCT(SIGN(((ACT_DOOR_SCOPE="ALL")+(ACT_DOOR_SCOPE="TIER_"&amp;$F96)+(ACT_DOOR_SCOPE=$B96)))*SIGN(((ACT_SKU_SCOPE="ALL")+(ACT_SKU_SCOPE=$G96)))*(9&gt;ACT_END)*(ACT_END&gt;0)*IFERROR(ACT_POSTLIFT,0))),0)))</f>
        <v/>
      </c>
      <c r="S96" s="10">
        <f>IF(OR($H96&lt;&gt;"Y",10&lt;$I96),0,IF(SUMPRODUCT(((BULK_ENABLED="Y")*((BULK_TIER="ALL")+(BULK_TIER=$F96))*((BULK_SKU="ALL")+(BULK_SKU=$G96))*(BULK_START&lt;=10)*(BULK_END&gt;=10)))&gt;0,IFERROR(SUMPRODUCT(((BULK_ENABLED="Y")*((BULK_TIER="ALL")+(BULK_TIER=$F96))*((BULK_SKU="ALL")+(BULK_SKU=$G96))*(BULK_START&lt;=10)*(BULK_END&gt;=10))*IFERROR(BULK_VALUE,0))/MAX(1,SUMPRODUCT(((BULK_ENABLED="Y")*((BULK_TIER="ALL")+(BULK_TIER=$F96))*((BULK_SKU="ALL")+(BULK_SKU=$G96))*(BULK_START&lt;=10)*(BULK_END&gt;=10)))),0),ROUND((INDEX(VELOCITY_TABLE,MATCH($F96,TIER_LIST,0),2))*(IF((10-$I96+1)&lt;=0,0,IF((10-$I96+1)=1,RAMP_W1,IF((10-$I96+1)=2,RAMP_W2,IF((10-$I96+1)=3,RAMP_W3,RAMP_W4PLUS)))))*(INDEX(ACTIVE_MULT_TABLE,2,1))*(1+SUMPRODUCT(SIGN(((ACT_DOOR_SCOPE="ALL")+(ACT_DOOR_SCOPE="TIER_"&amp;$F96)+(ACT_DOOR_SCOPE=$B96)))*SIGN(((ACT_SKU_SCOPE="ALL")+(ACT_SKU_SCOPE=$G96)))*(ACT_START&lt;=10)*(ACT_END&gt;=10)*IFERROR(ACT_UPLIFT-1,0)))*(1+SUMPRODUCT(SIGN(((ACT_DOOR_SCOPE="ALL")+(ACT_DOOR_SCOPE="TIER_"&amp;$F96)+(ACT_DOOR_SCOPE=$B96)))*SIGN(((ACT_SKU_SCOPE="ALL")+(ACT_SKU_SCOPE=$G96)))*(10&gt;ACT_END)*(ACT_END&gt;0)*IFERROR(ACT_POSTLIFT,0))),0)))</f>
        <v/>
      </c>
      <c r="T96" s="10">
        <f>IF(OR($H96&lt;&gt;"Y",11&lt;$I96),0,IF(SUMPRODUCT(((BULK_ENABLED="Y")*((BULK_TIER="ALL")+(BULK_TIER=$F96))*((BULK_SKU="ALL")+(BULK_SKU=$G96))*(BULK_START&lt;=11)*(BULK_END&gt;=11)))&gt;0,IFERROR(SUMPRODUCT(((BULK_ENABLED="Y")*((BULK_TIER="ALL")+(BULK_TIER=$F96))*((BULK_SKU="ALL")+(BULK_SKU=$G96))*(BULK_START&lt;=11)*(BULK_END&gt;=11))*IFERROR(BULK_VALUE,0))/MAX(1,SUMPRODUCT(((BULK_ENABLED="Y")*((BULK_TIER="ALL")+(BULK_TIER=$F96))*((BULK_SKU="ALL")+(BULK_SKU=$G96))*(BULK_START&lt;=11)*(BULK_END&gt;=11)))),0),ROUND((INDEX(VELOCITY_TABLE,MATCH($F96,TIER_LIST,0),2))*(IF((11-$I96+1)&lt;=0,0,IF((11-$I96+1)=1,RAMP_W1,IF((11-$I96+1)=2,RAMP_W2,IF((11-$I96+1)=3,RAMP_W3,RAMP_W4PLUS)))))*(INDEX(ACTIVE_MULT_TABLE,2,1))*(1+SUMPRODUCT(SIGN(((ACT_DOOR_SCOPE="ALL")+(ACT_DOOR_SCOPE="TIER_"&amp;$F96)+(ACT_DOOR_SCOPE=$B96)))*SIGN(((ACT_SKU_SCOPE="ALL")+(ACT_SKU_SCOPE=$G96)))*(ACT_START&lt;=11)*(ACT_END&gt;=11)*IFERROR(ACT_UPLIFT-1,0)))*(1+SUMPRODUCT(SIGN(((ACT_DOOR_SCOPE="ALL")+(ACT_DOOR_SCOPE="TIER_"&amp;$F96)+(ACT_DOOR_SCOPE=$B96)))*SIGN(((ACT_SKU_SCOPE="ALL")+(ACT_SKU_SCOPE=$G96)))*(11&gt;ACT_END)*(ACT_END&gt;0)*IFERROR(ACT_POSTLIFT,0))),0)))</f>
        <v/>
      </c>
      <c r="U96" s="10">
        <f>IF(OR($H96&lt;&gt;"Y",12&lt;$I96),0,IF(SUMPRODUCT(((BULK_ENABLED="Y")*((BULK_TIER="ALL")+(BULK_TIER=$F96))*((BULK_SKU="ALL")+(BULK_SKU=$G96))*(BULK_START&lt;=12)*(BULK_END&gt;=12)))&gt;0,IFERROR(SUMPRODUCT(((BULK_ENABLED="Y")*((BULK_TIER="ALL")+(BULK_TIER=$F96))*((BULK_SKU="ALL")+(BULK_SKU=$G96))*(BULK_START&lt;=12)*(BULK_END&gt;=12))*IFERROR(BULK_VALUE,0))/MAX(1,SUMPRODUCT(((BULK_ENABLED="Y")*((BULK_TIER="ALL")+(BULK_TIER=$F96))*((BULK_SKU="ALL")+(BULK_SKU=$G96))*(BULK_START&lt;=12)*(BULK_END&gt;=12)))),0),ROUND((INDEX(VELOCITY_TABLE,MATCH($F96,TIER_LIST,0),2))*(IF((12-$I96+1)&lt;=0,0,IF((12-$I96+1)=1,RAMP_W1,IF((12-$I96+1)=2,RAMP_W2,IF((12-$I96+1)=3,RAMP_W3,RAMP_W4PLUS)))))*(INDEX(ACTIVE_MULT_TABLE,2,1))*(1+SUMPRODUCT(SIGN(((ACT_DOOR_SCOPE="ALL")+(ACT_DOOR_SCOPE="TIER_"&amp;$F96)+(ACT_DOOR_SCOPE=$B96)))*SIGN(((ACT_SKU_SCOPE="ALL")+(ACT_SKU_SCOPE=$G96)))*(ACT_START&lt;=12)*(ACT_END&gt;=12)*IFERROR(ACT_UPLIFT-1,0)))*(1+SUMPRODUCT(SIGN(((ACT_DOOR_SCOPE="ALL")+(ACT_DOOR_SCOPE="TIER_"&amp;$F96)+(ACT_DOOR_SCOPE=$B96)))*SIGN(((ACT_SKU_SCOPE="ALL")+(ACT_SKU_SCOPE=$G96)))*(12&gt;ACT_END)*(ACT_END&gt;0)*IFERROR(ACT_POSTLIFT,0))),0)))</f>
        <v/>
      </c>
      <c r="V96" s="10">
        <f>IF(OR($H96&lt;&gt;"Y",13&lt;$I96),0,IF(SUMPRODUCT(((BULK_ENABLED="Y")*((BULK_TIER="ALL")+(BULK_TIER=$F96))*((BULK_SKU="ALL")+(BULK_SKU=$G96))*(BULK_START&lt;=13)*(BULK_END&gt;=13)))&gt;0,IFERROR(SUMPRODUCT(((BULK_ENABLED="Y")*((BULK_TIER="ALL")+(BULK_TIER=$F96))*((BULK_SKU="ALL")+(BULK_SKU=$G96))*(BULK_START&lt;=13)*(BULK_END&gt;=13))*IFERROR(BULK_VALUE,0))/MAX(1,SUMPRODUCT(((BULK_ENABLED="Y")*((BULK_TIER="ALL")+(BULK_TIER=$F96))*((BULK_SKU="ALL")+(BULK_SKU=$G96))*(BULK_START&lt;=13)*(BULK_END&gt;=13)))),0),ROUND((INDEX(VELOCITY_TABLE,MATCH($F96,TIER_LIST,0),2))*(IF((13-$I96+1)&lt;=0,0,IF((13-$I96+1)=1,RAMP_W1,IF((13-$I96+1)=2,RAMP_W2,IF((13-$I96+1)=3,RAMP_W3,RAMP_W4PLUS)))))*(INDEX(ACTIVE_MULT_TABLE,2,1))*(1+SUMPRODUCT(SIGN(((ACT_DOOR_SCOPE="ALL")+(ACT_DOOR_SCOPE="TIER_"&amp;$F96)+(ACT_DOOR_SCOPE=$B96)))*SIGN(((ACT_SKU_SCOPE="ALL")+(ACT_SKU_SCOPE=$G96)))*(ACT_START&lt;=13)*(ACT_END&gt;=13)*IFERROR(ACT_UPLIFT-1,0)))*(1+SUMPRODUCT(SIGN(((ACT_DOOR_SCOPE="ALL")+(ACT_DOOR_SCOPE="TIER_"&amp;$F96)+(ACT_DOOR_SCOPE=$B96)))*SIGN(((ACT_SKU_SCOPE="ALL")+(ACT_SKU_SCOPE=$G96)))*(13&gt;ACT_END)*(ACT_END&gt;0)*IFERROR(ACT_POSTLIFT,0))),0)))</f>
        <v/>
      </c>
    </row>
    <row r="97">
      <c r="A97" t="inlineStr">
        <is>
          <t>R0093</t>
        </is>
      </c>
      <c r="B97">
        <f>Doors!$A$35</f>
        <v/>
      </c>
      <c r="C97">
        <f>Doors!$C$35</f>
        <v/>
      </c>
      <c r="D97">
        <f>Doors!$B$35</f>
        <v/>
      </c>
      <c r="E97">
        <f>Doors!$E$35</f>
        <v/>
      </c>
      <c r="F97">
        <f>Doors!$F$35</f>
        <v/>
      </c>
      <c r="G97" t="inlineStr">
        <is>
          <t>Raspberry</t>
        </is>
      </c>
      <c r="H97">
        <f>Doors!$I$35</f>
        <v/>
      </c>
      <c r="I97">
        <f>Doors!$J$35</f>
        <v/>
      </c>
      <c r="J97" s="10">
        <f>IF(OR($H97&lt;&gt;"Y",1&lt;$I97),0,IF(SUMPRODUCT(((BULK_ENABLED="Y")*((BULK_TIER="ALL")+(BULK_TIER=$F97))*((BULK_SKU="ALL")+(BULK_SKU=$G97))*(BULK_START&lt;=1)*(BULK_END&gt;=1)))&gt;0,IFERROR(SUMPRODUCT(((BULK_ENABLED="Y")*((BULK_TIER="ALL")+(BULK_TIER=$F97))*((BULK_SKU="ALL")+(BULK_SKU=$G97))*(BULK_START&lt;=1)*(BULK_END&gt;=1))*IFERROR(BULK_VALUE,0))/MAX(1,SUMPRODUCT(((BULK_ENABLED="Y")*((BULK_TIER="ALL")+(BULK_TIER=$F97))*((BULK_SKU="ALL")+(BULK_SKU=$G97))*(BULK_START&lt;=1)*(BULK_END&gt;=1)))),0),ROUND((INDEX(VELOCITY_TABLE,MATCH($F97,TIER_LIST,0),3))*(IF((1-$I97+1)&lt;=0,0,IF((1-$I97+1)=1,RAMP_W1,IF((1-$I97+1)=2,RAMP_W2,IF((1-$I97+1)=3,RAMP_W3,RAMP_W4PLUS)))))*(INDEX(ACTIVE_MULT_TABLE,3,1))*(1+SUMPRODUCT(SIGN(((ACT_DOOR_SCOPE="ALL")+(ACT_DOOR_SCOPE="TIER_"&amp;$F97)+(ACT_DOOR_SCOPE=$B97)))*SIGN(((ACT_SKU_SCOPE="ALL")+(ACT_SKU_SCOPE=$G97)))*(ACT_START&lt;=1)*(ACT_END&gt;=1)*IFERROR(ACT_UPLIFT-1,0)))*(1+SUMPRODUCT(SIGN(((ACT_DOOR_SCOPE="ALL")+(ACT_DOOR_SCOPE="TIER_"&amp;$F97)+(ACT_DOOR_SCOPE=$B97)))*SIGN(((ACT_SKU_SCOPE="ALL")+(ACT_SKU_SCOPE=$G97)))*(1&gt;ACT_END)*(ACT_END&gt;0)*IFERROR(ACT_POSTLIFT,0))),0)))</f>
        <v/>
      </c>
      <c r="K97" s="10">
        <f>IF(OR($H97&lt;&gt;"Y",2&lt;$I97),0,IF(SUMPRODUCT(((BULK_ENABLED="Y")*((BULK_TIER="ALL")+(BULK_TIER=$F97))*((BULK_SKU="ALL")+(BULK_SKU=$G97))*(BULK_START&lt;=2)*(BULK_END&gt;=2)))&gt;0,IFERROR(SUMPRODUCT(((BULK_ENABLED="Y")*((BULK_TIER="ALL")+(BULK_TIER=$F97))*((BULK_SKU="ALL")+(BULK_SKU=$G97))*(BULK_START&lt;=2)*(BULK_END&gt;=2))*IFERROR(BULK_VALUE,0))/MAX(1,SUMPRODUCT(((BULK_ENABLED="Y")*((BULK_TIER="ALL")+(BULK_TIER=$F97))*((BULK_SKU="ALL")+(BULK_SKU=$G97))*(BULK_START&lt;=2)*(BULK_END&gt;=2)))),0),ROUND((INDEX(VELOCITY_TABLE,MATCH($F97,TIER_LIST,0),3))*(IF((2-$I97+1)&lt;=0,0,IF((2-$I97+1)=1,RAMP_W1,IF((2-$I97+1)=2,RAMP_W2,IF((2-$I97+1)=3,RAMP_W3,RAMP_W4PLUS)))))*(INDEX(ACTIVE_MULT_TABLE,3,1))*(1+SUMPRODUCT(SIGN(((ACT_DOOR_SCOPE="ALL")+(ACT_DOOR_SCOPE="TIER_"&amp;$F97)+(ACT_DOOR_SCOPE=$B97)))*SIGN(((ACT_SKU_SCOPE="ALL")+(ACT_SKU_SCOPE=$G97)))*(ACT_START&lt;=2)*(ACT_END&gt;=2)*IFERROR(ACT_UPLIFT-1,0)))*(1+SUMPRODUCT(SIGN(((ACT_DOOR_SCOPE="ALL")+(ACT_DOOR_SCOPE="TIER_"&amp;$F97)+(ACT_DOOR_SCOPE=$B97)))*SIGN(((ACT_SKU_SCOPE="ALL")+(ACT_SKU_SCOPE=$G97)))*(2&gt;ACT_END)*(ACT_END&gt;0)*IFERROR(ACT_POSTLIFT,0))),0)))</f>
        <v/>
      </c>
      <c r="L97" s="10">
        <f>IF(OR($H97&lt;&gt;"Y",3&lt;$I97),0,IF(SUMPRODUCT(((BULK_ENABLED="Y")*((BULK_TIER="ALL")+(BULK_TIER=$F97))*((BULK_SKU="ALL")+(BULK_SKU=$G97))*(BULK_START&lt;=3)*(BULK_END&gt;=3)))&gt;0,IFERROR(SUMPRODUCT(((BULK_ENABLED="Y")*((BULK_TIER="ALL")+(BULK_TIER=$F97))*((BULK_SKU="ALL")+(BULK_SKU=$G97))*(BULK_START&lt;=3)*(BULK_END&gt;=3))*IFERROR(BULK_VALUE,0))/MAX(1,SUMPRODUCT(((BULK_ENABLED="Y")*((BULK_TIER="ALL")+(BULK_TIER=$F97))*((BULK_SKU="ALL")+(BULK_SKU=$G97))*(BULK_START&lt;=3)*(BULK_END&gt;=3)))),0),ROUND((INDEX(VELOCITY_TABLE,MATCH($F97,TIER_LIST,0),3))*(IF((3-$I97+1)&lt;=0,0,IF((3-$I97+1)=1,RAMP_W1,IF((3-$I97+1)=2,RAMP_W2,IF((3-$I97+1)=3,RAMP_W3,RAMP_W4PLUS)))))*(INDEX(ACTIVE_MULT_TABLE,3,1))*(1+SUMPRODUCT(SIGN(((ACT_DOOR_SCOPE="ALL")+(ACT_DOOR_SCOPE="TIER_"&amp;$F97)+(ACT_DOOR_SCOPE=$B97)))*SIGN(((ACT_SKU_SCOPE="ALL")+(ACT_SKU_SCOPE=$G97)))*(ACT_START&lt;=3)*(ACT_END&gt;=3)*IFERROR(ACT_UPLIFT-1,0)))*(1+SUMPRODUCT(SIGN(((ACT_DOOR_SCOPE="ALL")+(ACT_DOOR_SCOPE="TIER_"&amp;$F97)+(ACT_DOOR_SCOPE=$B97)))*SIGN(((ACT_SKU_SCOPE="ALL")+(ACT_SKU_SCOPE=$G97)))*(3&gt;ACT_END)*(ACT_END&gt;0)*IFERROR(ACT_POSTLIFT,0))),0)))</f>
        <v/>
      </c>
      <c r="M97" s="10">
        <f>IF(OR($H97&lt;&gt;"Y",4&lt;$I97),0,IF(SUMPRODUCT(((BULK_ENABLED="Y")*((BULK_TIER="ALL")+(BULK_TIER=$F97))*((BULK_SKU="ALL")+(BULK_SKU=$G97))*(BULK_START&lt;=4)*(BULK_END&gt;=4)))&gt;0,IFERROR(SUMPRODUCT(((BULK_ENABLED="Y")*((BULK_TIER="ALL")+(BULK_TIER=$F97))*((BULK_SKU="ALL")+(BULK_SKU=$G97))*(BULK_START&lt;=4)*(BULK_END&gt;=4))*IFERROR(BULK_VALUE,0))/MAX(1,SUMPRODUCT(((BULK_ENABLED="Y")*((BULK_TIER="ALL")+(BULK_TIER=$F97))*((BULK_SKU="ALL")+(BULK_SKU=$G97))*(BULK_START&lt;=4)*(BULK_END&gt;=4)))),0),ROUND((INDEX(VELOCITY_TABLE,MATCH($F97,TIER_LIST,0),3))*(IF((4-$I97+1)&lt;=0,0,IF((4-$I97+1)=1,RAMP_W1,IF((4-$I97+1)=2,RAMP_W2,IF((4-$I97+1)=3,RAMP_W3,RAMP_W4PLUS)))))*(INDEX(ACTIVE_MULT_TABLE,3,1))*(1+SUMPRODUCT(SIGN(((ACT_DOOR_SCOPE="ALL")+(ACT_DOOR_SCOPE="TIER_"&amp;$F97)+(ACT_DOOR_SCOPE=$B97)))*SIGN(((ACT_SKU_SCOPE="ALL")+(ACT_SKU_SCOPE=$G97)))*(ACT_START&lt;=4)*(ACT_END&gt;=4)*IFERROR(ACT_UPLIFT-1,0)))*(1+SUMPRODUCT(SIGN(((ACT_DOOR_SCOPE="ALL")+(ACT_DOOR_SCOPE="TIER_"&amp;$F97)+(ACT_DOOR_SCOPE=$B97)))*SIGN(((ACT_SKU_SCOPE="ALL")+(ACT_SKU_SCOPE=$G97)))*(4&gt;ACT_END)*(ACT_END&gt;0)*IFERROR(ACT_POSTLIFT,0))),0)))</f>
        <v/>
      </c>
      <c r="N97" s="10">
        <f>IF(OR($H97&lt;&gt;"Y",5&lt;$I97),0,IF(SUMPRODUCT(((BULK_ENABLED="Y")*((BULK_TIER="ALL")+(BULK_TIER=$F97))*((BULK_SKU="ALL")+(BULK_SKU=$G97))*(BULK_START&lt;=5)*(BULK_END&gt;=5)))&gt;0,IFERROR(SUMPRODUCT(((BULK_ENABLED="Y")*((BULK_TIER="ALL")+(BULK_TIER=$F97))*((BULK_SKU="ALL")+(BULK_SKU=$G97))*(BULK_START&lt;=5)*(BULK_END&gt;=5))*IFERROR(BULK_VALUE,0))/MAX(1,SUMPRODUCT(((BULK_ENABLED="Y")*((BULK_TIER="ALL")+(BULK_TIER=$F97))*((BULK_SKU="ALL")+(BULK_SKU=$G97))*(BULK_START&lt;=5)*(BULK_END&gt;=5)))),0),ROUND((INDEX(VELOCITY_TABLE,MATCH($F97,TIER_LIST,0),3))*(IF((5-$I97+1)&lt;=0,0,IF((5-$I97+1)=1,RAMP_W1,IF((5-$I97+1)=2,RAMP_W2,IF((5-$I97+1)=3,RAMP_W3,RAMP_W4PLUS)))))*(INDEX(ACTIVE_MULT_TABLE,3,1))*(1+SUMPRODUCT(SIGN(((ACT_DOOR_SCOPE="ALL")+(ACT_DOOR_SCOPE="TIER_"&amp;$F97)+(ACT_DOOR_SCOPE=$B97)))*SIGN(((ACT_SKU_SCOPE="ALL")+(ACT_SKU_SCOPE=$G97)))*(ACT_START&lt;=5)*(ACT_END&gt;=5)*IFERROR(ACT_UPLIFT-1,0)))*(1+SUMPRODUCT(SIGN(((ACT_DOOR_SCOPE="ALL")+(ACT_DOOR_SCOPE="TIER_"&amp;$F97)+(ACT_DOOR_SCOPE=$B97)))*SIGN(((ACT_SKU_SCOPE="ALL")+(ACT_SKU_SCOPE=$G97)))*(5&gt;ACT_END)*(ACT_END&gt;0)*IFERROR(ACT_POSTLIFT,0))),0)))</f>
        <v/>
      </c>
      <c r="O97" s="10">
        <f>IF(OR($H97&lt;&gt;"Y",6&lt;$I97),0,IF(SUMPRODUCT(((BULK_ENABLED="Y")*((BULK_TIER="ALL")+(BULK_TIER=$F97))*((BULK_SKU="ALL")+(BULK_SKU=$G97))*(BULK_START&lt;=6)*(BULK_END&gt;=6)))&gt;0,IFERROR(SUMPRODUCT(((BULK_ENABLED="Y")*((BULK_TIER="ALL")+(BULK_TIER=$F97))*((BULK_SKU="ALL")+(BULK_SKU=$G97))*(BULK_START&lt;=6)*(BULK_END&gt;=6))*IFERROR(BULK_VALUE,0))/MAX(1,SUMPRODUCT(((BULK_ENABLED="Y")*((BULK_TIER="ALL")+(BULK_TIER=$F97))*((BULK_SKU="ALL")+(BULK_SKU=$G97))*(BULK_START&lt;=6)*(BULK_END&gt;=6)))),0),ROUND((INDEX(VELOCITY_TABLE,MATCH($F97,TIER_LIST,0),3))*(IF((6-$I97+1)&lt;=0,0,IF((6-$I97+1)=1,RAMP_W1,IF((6-$I97+1)=2,RAMP_W2,IF((6-$I97+1)=3,RAMP_W3,RAMP_W4PLUS)))))*(INDEX(ACTIVE_MULT_TABLE,3,1))*(1+SUMPRODUCT(SIGN(((ACT_DOOR_SCOPE="ALL")+(ACT_DOOR_SCOPE="TIER_"&amp;$F97)+(ACT_DOOR_SCOPE=$B97)))*SIGN(((ACT_SKU_SCOPE="ALL")+(ACT_SKU_SCOPE=$G97)))*(ACT_START&lt;=6)*(ACT_END&gt;=6)*IFERROR(ACT_UPLIFT-1,0)))*(1+SUMPRODUCT(SIGN(((ACT_DOOR_SCOPE="ALL")+(ACT_DOOR_SCOPE="TIER_"&amp;$F97)+(ACT_DOOR_SCOPE=$B97)))*SIGN(((ACT_SKU_SCOPE="ALL")+(ACT_SKU_SCOPE=$G97)))*(6&gt;ACT_END)*(ACT_END&gt;0)*IFERROR(ACT_POSTLIFT,0))),0)))</f>
        <v/>
      </c>
      <c r="P97" s="10">
        <f>IF(OR($H97&lt;&gt;"Y",7&lt;$I97),0,IF(SUMPRODUCT(((BULK_ENABLED="Y")*((BULK_TIER="ALL")+(BULK_TIER=$F97))*((BULK_SKU="ALL")+(BULK_SKU=$G97))*(BULK_START&lt;=7)*(BULK_END&gt;=7)))&gt;0,IFERROR(SUMPRODUCT(((BULK_ENABLED="Y")*((BULK_TIER="ALL")+(BULK_TIER=$F97))*((BULK_SKU="ALL")+(BULK_SKU=$G97))*(BULK_START&lt;=7)*(BULK_END&gt;=7))*IFERROR(BULK_VALUE,0))/MAX(1,SUMPRODUCT(((BULK_ENABLED="Y")*((BULK_TIER="ALL")+(BULK_TIER=$F97))*((BULK_SKU="ALL")+(BULK_SKU=$G97))*(BULK_START&lt;=7)*(BULK_END&gt;=7)))),0),ROUND((INDEX(VELOCITY_TABLE,MATCH($F97,TIER_LIST,0),3))*(IF((7-$I97+1)&lt;=0,0,IF((7-$I97+1)=1,RAMP_W1,IF((7-$I97+1)=2,RAMP_W2,IF((7-$I97+1)=3,RAMP_W3,RAMP_W4PLUS)))))*(INDEX(ACTIVE_MULT_TABLE,3,1))*(1+SUMPRODUCT(SIGN(((ACT_DOOR_SCOPE="ALL")+(ACT_DOOR_SCOPE="TIER_"&amp;$F97)+(ACT_DOOR_SCOPE=$B97)))*SIGN(((ACT_SKU_SCOPE="ALL")+(ACT_SKU_SCOPE=$G97)))*(ACT_START&lt;=7)*(ACT_END&gt;=7)*IFERROR(ACT_UPLIFT-1,0)))*(1+SUMPRODUCT(SIGN(((ACT_DOOR_SCOPE="ALL")+(ACT_DOOR_SCOPE="TIER_"&amp;$F97)+(ACT_DOOR_SCOPE=$B97)))*SIGN(((ACT_SKU_SCOPE="ALL")+(ACT_SKU_SCOPE=$G97)))*(7&gt;ACT_END)*(ACT_END&gt;0)*IFERROR(ACT_POSTLIFT,0))),0)))</f>
        <v/>
      </c>
      <c r="Q97" s="10">
        <f>IF(OR($H97&lt;&gt;"Y",8&lt;$I97),0,IF(SUMPRODUCT(((BULK_ENABLED="Y")*((BULK_TIER="ALL")+(BULK_TIER=$F97))*((BULK_SKU="ALL")+(BULK_SKU=$G97))*(BULK_START&lt;=8)*(BULK_END&gt;=8)))&gt;0,IFERROR(SUMPRODUCT(((BULK_ENABLED="Y")*((BULK_TIER="ALL")+(BULK_TIER=$F97))*((BULK_SKU="ALL")+(BULK_SKU=$G97))*(BULK_START&lt;=8)*(BULK_END&gt;=8))*IFERROR(BULK_VALUE,0))/MAX(1,SUMPRODUCT(((BULK_ENABLED="Y")*((BULK_TIER="ALL")+(BULK_TIER=$F97))*((BULK_SKU="ALL")+(BULK_SKU=$G97))*(BULK_START&lt;=8)*(BULK_END&gt;=8)))),0),ROUND((INDEX(VELOCITY_TABLE,MATCH($F97,TIER_LIST,0),3))*(IF((8-$I97+1)&lt;=0,0,IF((8-$I97+1)=1,RAMP_W1,IF((8-$I97+1)=2,RAMP_W2,IF((8-$I97+1)=3,RAMP_W3,RAMP_W4PLUS)))))*(INDEX(ACTIVE_MULT_TABLE,3,1))*(1+SUMPRODUCT(SIGN(((ACT_DOOR_SCOPE="ALL")+(ACT_DOOR_SCOPE="TIER_"&amp;$F97)+(ACT_DOOR_SCOPE=$B97)))*SIGN(((ACT_SKU_SCOPE="ALL")+(ACT_SKU_SCOPE=$G97)))*(ACT_START&lt;=8)*(ACT_END&gt;=8)*IFERROR(ACT_UPLIFT-1,0)))*(1+SUMPRODUCT(SIGN(((ACT_DOOR_SCOPE="ALL")+(ACT_DOOR_SCOPE="TIER_"&amp;$F97)+(ACT_DOOR_SCOPE=$B97)))*SIGN(((ACT_SKU_SCOPE="ALL")+(ACT_SKU_SCOPE=$G97)))*(8&gt;ACT_END)*(ACT_END&gt;0)*IFERROR(ACT_POSTLIFT,0))),0)))</f>
        <v/>
      </c>
      <c r="R97" s="10">
        <f>IF(OR($H97&lt;&gt;"Y",9&lt;$I97),0,IF(SUMPRODUCT(((BULK_ENABLED="Y")*((BULK_TIER="ALL")+(BULK_TIER=$F97))*((BULK_SKU="ALL")+(BULK_SKU=$G97))*(BULK_START&lt;=9)*(BULK_END&gt;=9)))&gt;0,IFERROR(SUMPRODUCT(((BULK_ENABLED="Y")*((BULK_TIER="ALL")+(BULK_TIER=$F97))*((BULK_SKU="ALL")+(BULK_SKU=$G97))*(BULK_START&lt;=9)*(BULK_END&gt;=9))*IFERROR(BULK_VALUE,0))/MAX(1,SUMPRODUCT(((BULK_ENABLED="Y")*((BULK_TIER="ALL")+(BULK_TIER=$F97))*((BULK_SKU="ALL")+(BULK_SKU=$G97))*(BULK_START&lt;=9)*(BULK_END&gt;=9)))),0),ROUND((INDEX(VELOCITY_TABLE,MATCH($F97,TIER_LIST,0),3))*(IF((9-$I97+1)&lt;=0,0,IF((9-$I97+1)=1,RAMP_W1,IF((9-$I97+1)=2,RAMP_W2,IF((9-$I97+1)=3,RAMP_W3,RAMP_W4PLUS)))))*(INDEX(ACTIVE_MULT_TABLE,3,1))*(1+SUMPRODUCT(SIGN(((ACT_DOOR_SCOPE="ALL")+(ACT_DOOR_SCOPE="TIER_"&amp;$F97)+(ACT_DOOR_SCOPE=$B97)))*SIGN(((ACT_SKU_SCOPE="ALL")+(ACT_SKU_SCOPE=$G97)))*(ACT_START&lt;=9)*(ACT_END&gt;=9)*IFERROR(ACT_UPLIFT-1,0)))*(1+SUMPRODUCT(SIGN(((ACT_DOOR_SCOPE="ALL")+(ACT_DOOR_SCOPE="TIER_"&amp;$F97)+(ACT_DOOR_SCOPE=$B97)))*SIGN(((ACT_SKU_SCOPE="ALL")+(ACT_SKU_SCOPE=$G97)))*(9&gt;ACT_END)*(ACT_END&gt;0)*IFERROR(ACT_POSTLIFT,0))),0)))</f>
        <v/>
      </c>
      <c r="S97" s="10">
        <f>IF(OR($H97&lt;&gt;"Y",10&lt;$I97),0,IF(SUMPRODUCT(((BULK_ENABLED="Y")*((BULK_TIER="ALL")+(BULK_TIER=$F97))*((BULK_SKU="ALL")+(BULK_SKU=$G97))*(BULK_START&lt;=10)*(BULK_END&gt;=10)))&gt;0,IFERROR(SUMPRODUCT(((BULK_ENABLED="Y")*((BULK_TIER="ALL")+(BULK_TIER=$F97))*((BULK_SKU="ALL")+(BULK_SKU=$G97))*(BULK_START&lt;=10)*(BULK_END&gt;=10))*IFERROR(BULK_VALUE,0))/MAX(1,SUMPRODUCT(((BULK_ENABLED="Y")*((BULK_TIER="ALL")+(BULK_TIER=$F97))*((BULK_SKU="ALL")+(BULK_SKU=$G97))*(BULK_START&lt;=10)*(BULK_END&gt;=10)))),0),ROUND((INDEX(VELOCITY_TABLE,MATCH($F97,TIER_LIST,0),3))*(IF((10-$I97+1)&lt;=0,0,IF((10-$I97+1)=1,RAMP_W1,IF((10-$I97+1)=2,RAMP_W2,IF((10-$I97+1)=3,RAMP_W3,RAMP_W4PLUS)))))*(INDEX(ACTIVE_MULT_TABLE,3,1))*(1+SUMPRODUCT(SIGN(((ACT_DOOR_SCOPE="ALL")+(ACT_DOOR_SCOPE="TIER_"&amp;$F97)+(ACT_DOOR_SCOPE=$B97)))*SIGN(((ACT_SKU_SCOPE="ALL")+(ACT_SKU_SCOPE=$G97)))*(ACT_START&lt;=10)*(ACT_END&gt;=10)*IFERROR(ACT_UPLIFT-1,0)))*(1+SUMPRODUCT(SIGN(((ACT_DOOR_SCOPE="ALL")+(ACT_DOOR_SCOPE="TIER_"&amp;$F97)+(ACT_DOOR_SCOPE=$B97)))*SIGN(((ACT_SKU_SCOPE="ALL")+(ACT_SKU_SCOPE=$G97)))*(10&gt;ACT_END)*(ACT_END&gt;0)*IFERROR(ACT_POSTLIFT,0))),0)))</f>
        <v/>
      </c>
      <c r="T97" s="10">
        <f>IF(OR($H97&lt;&gt;"Y",11&lt;$I97),0,IF(SUMPRODUCT(((BULK_ENABLED="Y")*((BULK_TIER="ALL")+(BULK_TIER=$F97))*((BULK_SKU="ALL")+(BULK_SKU=$G97))*(BULK_START&lt;=11)*(BULK_END&gt;=11)))&gt;0,IFERROR(SUMPRODUCT(((BULK_ENABLED="Y")*((BULK_TIER="ALL")+(BULK_TIER=$F97))*((BULK_SKU="ALL")+(BULK_SKU=$G97))*(BULK_START&lt;=11)*(BULK_END&gt;=11))*IFERROR(BULK_VALUE,0))/MAX(1,SUMPRODUCT(((BULK_ENABLED="Y")*((BULK_TIER="ALL")+(BULK_TIER=$F97))*((BULK_SKU="ALL")+(BULK_SKU=$G97))*(BULK_START&lt;=11)*(BULK_END&gt;=11)))),0),ROUND((INDEX(VELOCITY_TABLE,MATCH($F97,TIER_LIST,0),3))*(IF((11-$I97+1)&lt;=0,0,IF((11-$I97+1)=1,RAMP_W1,IF((11-$I97+1)=2,RAMP_W2,IF((11-$I97+1)=3,RAMP_W3,RAMP_W4PLUS)))))*(INDEX(ACTIVE_MULT_TABLE,3,1))*(1+SUMPRODUCT(SIGN(((ACT_DOOR_SCOPE="ALL")+(ACT_DOOR_SCOPE="TIER_"&amp;$F97)+(ACT_DOOR_SCOPE=$B97)))*SIGN(((ACT_SKU_SCOPE="ALL")+(ACT_SKU_SCOPE=$G97)))*(ACT_START&lt;=11)*(ACT_END&gt;=11)*IFERROR(ACT_UPLIFT-1,0)))*(1+SUMPRODUCT(SIGN(((ACT_DOOR_SCOPE="ALL")+(ACT_DOOR_SCOPE="TIER_"&amp;$F97)+(ACT_DOOR_SCOPE=$B97)))*SIGN(((ACT_SKU_SCOPE="ALL")+(ACT_SKU_SCOPE=$G97)))*(11&gt;ACT_END)*(ACT_END&gt;0)*IFERROR(ACT_POSTLIFT,0))),0)))</f>
        <v/>
      </c>
      <c r="U97" s="10">
        <f>IF(OR($H97&lt;&gt;"Y",12&lt;$I97),0,IF(SUMPRODUCT(((BULK_ENABLED="Y")*((BULK_TIER="ALL")+(BULK_TIER=$F97))*((BULK_SKU="ALL")+(BULK_SKU=$G97))*(BULK_START&lt;=12)*(BULK_END&gt;=12)))&gt;0,IFERROR(SUMPRODUCT(((BULK_ENABLED="Y")*((BULK_TIER="ALL")+(BULK_TIER=$F97))*((BULK_SKU="ALL")+(BULK_SKU=$G97))*(BULK_START&lt;=12)*(BULK_END&gt;=12))*IFERROR(BULK_VALUE,0))/MAX(1,SUMPRODUCT(((BULK_ENABLED="Y")*((BULK_TIER="ALL")+(BULK_TIER=$F97))*((BULK_SKU="ALL")+(BULK_SKU=$G97))*(BULK_START&lt;=12)*(BULK_END&gt;=12)))),0),ROUND((INDEX(VELOCITY_TABLE,MATCH($F97,TIER_LIST,0),3))*(IF((12-$I97+1)&lt;=0,0,IF((12-$I97+1)=1,RAMP_W1,IF((12-$I97+1)=2,RAMP_W2,IF((12-$I97+1)=3,RAMP_W3,RAMP_W4PLUS)))))*(INDEX(ACTIVE_MULT_TABLE,3,1))*(1+SUMPRODUCT(SIGN(((ACT_DOOR_SCOPE="ALL")+(ACT_DOOR_SCOPE="TIER_"&amp;$F97)+(ACT_DOOR_SCOPE=$B97)))*SIGN(((ACT_SKU_SCOPE="ALL")+(ACT_SKU_SCOPE=$G97)))*(ACT_START&lt;=12)*(ACT_END&gt;=12)*IFERROR(ACT_UPLIFT-1,0)))*(1+SUMPRODUCT(SIGN(((ACT_DOOR_SCOPE="ALL")+(ACT_DOOR_SCOPE="TIER_"&amp;$F97)+(ACT_DOOR_SCOPE=$B97)))*SIGN(((ACT_SKU_SCOPE="ALL")+(ACT_SKU_SCOPE=$G97)))*(12&gt;ACT_END)*(ACT_END&gt;0)*IFERROR(ACT_POSTLIFT,0))),0)))</f>
        <v/>
      </c>
      <c r="V97" s="10">
        <f>IF(OR($H97&lt;&gt;"Y",13&lt;$I97),0,IF(SUMPRODUCT(((BULK_ENABLED="Y")*((BULK_TIER="ALL")+(BULK_TIER=$F97))*((BULK_SKU="ALL")+(BULK_SKU=$G97))*(BULK_START&lt;=13)*(BULK_END&gt;=13)))&gt;0,IFERROR(SUMPRODUCT(((BULK_ENABLED="Y")*((BULK_TIER="ALL")+(BULK_TIER=$F97))*((BULK_SKU="ALL")+(BULK_SKU=$G97))*(BULK_START&lt;=13)*(BULK_END&gt;=13))*IFERROR(BULK_VALUE,0))/MAX(1,SUMPRODUCT(((BULK_ENABLED="Y")*((BULK_TIER="ALL")+(BULK_TIER=$F97))*((BULK_SKU="ALL")+(BULK_SKU=$G97))*(BULK_START&lt;=13)*(BULK_END&gt;=13)))),0),ROUND((INDEX(VELOCITY_TABLE,MATCH($F97,TIER_LIST,0),3))*(IF((13-$I97+1)&lt;=0,0,IF((13-$I97+1)=1,RAMP_W1,IF((13-$I97+1)=2,RAMP_W2,IF((13-$I97+1)=3,RAMP_W3,RAMP_W4PLUS)))))*(INDEX(ACTIVE_MULT_TABLE,3,1))*(1+SUMPRODUCT(SIGN(((ACT_DOOR_SCOPE="ALL")+(ACT_DOOR_SCOPE="TIER_"&amp;$F97)+(ACT_DOOR_SCOPE=$B97)))*SIGN(((ACT_SKU_SCOPE="ALL")+(ACT_SKU_SCOPE=$G97)))*(ACT_START&lt;=13)*(ACT_END&gt;=13)*IFERROR(ACT_UPLIFT-1,0)))*(1+SUMPRODUCT(SIGN(((ACT_DOOR_SCOPE="ALL")+(ACT_DOOR_SCOPE="TIER_"&amp;$F97)+(ACT_DOOR_SCOPE=$B97)))*SIGN(((ACT_SKU_SCOPE="ALL")+(ACT_SKU_SCOPE=$G97)))*(13&gt;ACT_END)*(ACT_END&gt;0)*IFERROR(ACT_POSTLIFT,0))),0)))</f>
        <v/>
      </c>
    </row>
    <row r="98">
      <c r="A98" t="inlineStr">
        <is>
          <t>R0094</t>
        </is>
      </c>
      <c r="B98">
        <f>Doors!$A$36</f>
        <v/>
      </c>
      <c r="C98">
        <f>Doors!$C$36</f>
        <v/>
      </c>
      <c r="D98">
        <f>Doors!$B$36</f>
        <v/>
      </c>
      <c r="E98">
        <f>Doors!$E$36</f>
        <v/>
      </c>
      <c r="F98">
        <f>Doors!$F$36</f>
        <v/>
      </c>
      <c r="G98" t="inlineStr">
        <is>
          <t>Lime Lemon</t>
        </is>
      </c>
      <c r="H98">
        <f>Doors!$G$36</f>
        <v/>
      </c>
      <c r="I98">
        <f>Doors!$J$36</f>
        <v/>
      </c>
      <c r="J98" s="10">
        <f>IF(OR($H98&lt;&gt;"Y",1&lt;$I98),0,IF(SUMPRODUCT(((BULK_ENABLED="Y")*((BULK_TIER="ALL")+(BULK_TIER=$F98))*((BULK_SKU="ALL")+(BULK_SKU=$G98))*(BULK_START&lt;=1)*(BULK_END&gt;=1)))&gt;0,IFERROR(SUMPRODUCT(((BULK_ENABLED="Y")*((BULK_TIER="ALL")+(BULK_TIER=$F98))*((BULK_SKU="ALL")+(BULK_SKU=$G98))*(BULK_START&lt;=1)*(BULK_END&gt;=1))*IFERROR(BULK_VALUE,0))/MAX(1,SUMPRODUCT(((BULK_ENABLED="Y")*((BULK_TIER="ALL")+(BULK_TIER=$F98))*((BULK_SKU="ALL")+(BULK_SKU=$G98))*(BULK_START&lt;=1)*(BULK_END&gt;=1)))),0),ROUND((INDEX(VELOCITY_TABLE,MATCH($F98,TIER_LIST,0),1))*(IF((1-$I98+1)&lt;=0,0,IF((1-$I98+1)=1,RAMP_W1,IF((1-$I98+1)=2,RAMP_W2,IF((1-$I98+1)=3,RAMP_W3,RAMP_W4PLUS)))))*(INDEX(ACTIVE_MULT_TABLE,1,1))*(1+SUMPRODUCT(SIGN(((ACT_DOOR_SCOPE="ALL")+(ACT_DOOR_SCOPE="TIER_"&amp;$F98)+(ACT_DOOR_SCOPE=$B98)))*SIGN(((ACT_SKU_SCOPE="ALL")+(ACT_SKU_SCOPE=$G98)))*(ACT_START&lt;=1)*(ACT_END&gt;=1)*IFERROR(ACT_UPLIFT-1,0)))*(1+SUMPRODUCT(SIGN(((ACT_DOOR_SCOPE="ALL")+(ACT_DOOR_SCOPE="TIER_"&amp;$F98)+(ACT_DOOR_SCOPE=$B98)))*SIGN(((ACT_SKU_SCOPE="ALL")+(ACT_SKU_SCOPE=$G98)))*(1&gt;ACT_END)*(ACT_END&gt;0)*IFERROR(ACT_POSTLIFT,0))),0)))</f>
        <v/>
      </c>
      <c r="K98" s="10">
        <f>IF(OR($H98&lt;&gt;"Y",2&lt;$I98),0,IF(SUMPRODUCT(((BULK_ENABLED="Y")*((BULK_TIER="ALL")+(BULK_TIER=$F98))*((BULK_SKU="ALL")+(BULK_SKU=$G98))*(BULK_START&lt;=2)*(BULK_END&gt;=2)))&gt;0,IFERROR(SUMPRODUCT(((BULK_ENABLED="Y")*((BULK_TIER="ALL")+(BULK_TIER=$F98))*((BULK_SKU="ALL")+(BULK_SKU=$G98))*(BULK_START&lt;=2)*(BULK_END&gt;=2))*IFERROR(BULK_VALUE,0))/MAX(1,SUMPRODUCT(((BULK_ENABLED="Y")*((BULK_TIER="ALL")+(BULK_TIER=$F98))*((BULK_SKU="ALL")+(BULK_SKU=$G98))*(BULK_START&lt;=2)*(BULK_END&gt;=2)))),0),ROUND((INDEX(VELOCITY_TABLE,MATCH($F98,TIER_LIST,0),1))*(IF((2-$I98+1)&lt;=0,0,IF((2-$I98+1)=1,RAMP_W1,IF((2-$I98+1)=2,RAMP_W2,IF((2-$I98+1)=3,RAMP_W3,RAMP_W4PLUS)))))*(INDEX(ACTIVE_MULT_TABLE,1,1))*(1+SUMPRODUCT(SIGN(((ACT_DOOR_SCOPE="ALL")+(ACT_DOOR_SCOPE="TIER_"&amp;$F98)+(ACT_DOOR_SCOPE=$B98)))*SIGN(((ACT_SKU_SCOPE="ALL")+(ACT_SKU_SCOPE=$G98)))*(ACT_START&lt;=2)*(ACT_END&gt;=2)*IFERROR(ACT_UPLIFT-1,0)))*(1+SUMPRODUCT(SIGN(((ACT_DOOR_SCOPE="ALL")+(ACT_DOOR_SCOPE="TIER_"&amp;$F98)+(ACT_DOOR_SCOPE=$B98)))*SIGN(((ACT_SKU_SCOPE="ALL")+(ACT_SKU_SCOPE=$G98)))*(2&gt;ACT_END)*(ACT_END&gt;0)*IFERROR(ACT_POSTLIFT,0))),0)))</f>
        <v/>
      </c>
      <c r="L98" s="10">
        <f>IF(OR($H98&lt;&gt;"Y",3&lt;$I98),0,IF(SUMPRODUCT(((BULK_ENABLED="Y")*((BULK_TIER="ALL")+(BULK_TIER=$F98))*((BULK_SKU="ALL")+(BULK_SKU=$G98))*(BULK_START&lt;=3)*(BULK_END&gt;=3)))&gt;0,IFERROR(SUMPRODUCT(((BULK_ENABLED="Y")*((BULK_TIER="ALL")+(BULK_TIER=$F98))*((BULK_SKU="ALL")+(BULK_SKU=$G98))*(BULK_START&lt;=3)*(BULK_END&gt;=3))*IFERROR(BULK_VALUE,0))/MAX(1,SUMPRODUCT(((BULK_ENABLED="Y")*((BULK_TIER="ALL")+(BULK_TIER=$F98))*((BULK_SKU="ALL")+(BULK_SKU=$G98))*(BULK_START&lt;=3)*(BULK_END&gt;=3)))),0),ROUND((INDEX(VELOCITY_TABLE,MATCH($F98,TIER_LIST,0),1))*(IF((3-$I98+1)&lt;=0,0,IF((3-$I98+1)=1,RAMP_W1,IF((3-$I98+1)=2,RAMP_W2,IF((3-$I98+1)=3,RAMP_W3,RAMP_W4PLUS)))))*(INDEX(ACTIVE_MULT_TABLE,1,1))*(1+SUMPRODUCT(SIGN(((ACT_DOOR_SCOPE="ALL")+(ACT_DOOR_SCOPE="TIER_"&amp;$F98)+(ACT_DOOR_SCOPE=$B98)))*SIGN(((ACT_SKU_SCOPE="ALL")+(ACT_SKU_SCOPE=$G98)))*(ACT_START&lt;=3)*(ACT_END&gt;=3)*IFERROR(ACT_UPLIFT-1,0)))*(1+SUMPRODUCT(SIGN(((ACT_DOOR_SCOPE="ALL")+(ACT_DOOR_SCOPE="TIER_"&amp;$F98)+(ACT_DOOR_SCOPE=$B98)))*SIGN(((ACT_SKU_SCOPE="ALL")+(ACT_SKU_SCOPE=$G98)))*(3&gt;ACT_END)*(ACT_END&gt;0)*IFERROR(ACT_POSTLIFT,0))),0)))</f>
        <v/>
      </c>
      <c r="M98" s="10">
        <f>IF(OR($H98&lt;&gt;"Y",4&lt;$I98),0,IF(SUMPRODUCT(((BULK_ENABLED="Y")*((BULK_TIER="ALL")+(BULK_TIER=$F98))*((BULK_SKU="ALL")+(BULK_SKU=$G98))*(BULK_START&lt;=4)*(BULK_END&gt;=4)))&gt;0,IFERROR(SUMPRODUCT(((BULK_ENABLED="Y")*((BULK_TIER="ALL")+(BULK_TIER=$F98))*((BULK_SKU="ALL")+(BULK_SKU=$G98))*(BULK_START&lt;=4)*(BULK_END&gt;=4))*IFERROR(BULK_VALUE,0))/MAX(1,SUMPRODUCT(((BULK_ENABLED="Y")*((BULK_TIER="ALL")+(BULK_TIER=$F98))*((BULK_SKU="ALL")+(BULK_SKU=$G98))*(BULK_START&lt;=4)*(BULK_END&gt;=4)))),0),ROUND((INDEX(VELOCITY_TABLE,MATCH($F98,TIER_LIST,0),1))*(IF((4-$I98+1)&lt;=0,0,IF((4-$I98+1)=1,RAMP_W1,IF((4-$I98+1)=2,RAMP_W2,IF((4-$I98+1)=3,RAMP_W3,RAMP_W4PLUS)))))*(INDEX(ACTIVE_MULT_TABLE,1,1))*(1+SUMPRODUCT(SIGN(((ACT_DOOR_SCOPE="ALL")+(ACT_DOOR_SCOPE="TIER_"&amp;$F98)+(ACT_DOOR_SCOPE=$B98)))*SIGN(((ACT_SKU_SCOPE="ALL")+(ACT_SKU_SCOPE=$G98)))*(ACT_START&lt;=4)*(ACT_END&gt;=4)*IFERROR(ACT_UPLIFT-1,0)))*(1+SUMPRODUCT(SIGN(((ACT_DOOR_SCOPE="ALL")+(ACT_DOOR_SCOPE="TIER_"&amp;$F98)+(ACT_DOOR_SCOPE=$B98)))*SIGN(((ACT_SKU_SCOPE="ALL")+(ACT_SKU_SCOPE=$G98)))*(4&gt;ACT_END)*(ACT_END&gt;0)*IFERROR(ACT_POSTLIFT,0))),0)))</f>
        <v/>
      </c>
      <c r="N98" s="10">
        <f>IF(OR($H98&lt;&gt;"Y",5&lt;$I98),0,IF(SUMPRODUCT(((BULK_ENABLED="Y")*((BULK_TIER="ALL")+(BULK_TIER=$F98))*((BULK_SKU="ALL")+(BULK_SKU=$G98))*(BULK_START&lt;=5)*(BULK_END&gt;=5)))&gt;0,IFERROR(SUMPRODUCT(((BULK_ENABLED="Y")*((BULK_TIER="ALL")+(BULK_TIER=$F98))*((BULK_SKU="ALL")+(BULK_SKU=$G98))*(BULK_START&lt;=5)*(BULK_END&gt;=5))*IFERROR(BULK_VALUE,0))/MAX(1,SUMPRODUCT(((BULK_ENABLED="Y")*((BULK_TIER="ALL")+(BULK_TIER=$F98))*((BULK_SKU="ALL")+(BULK_SKU=$G98))*(BULK_START&lt;=5)*(BULK_END&gt;=5)))),0),ROUND((INDEX(VELOCITY_TABLE,MATCH($F98,TIER_LIST,0),1))*(IF((5-$I98+1)&lt;=0,0,IF((5-$I98+1)=1,RAMP_W1,IF((5-$I98+1)=2,RAMP_W2,IF((5-$I98+1)=3,RAMP_W3,RAMP_W4PLUS)))))*(INDEX(ACTIVE_MULT_TABLE,1,1))*(1+SUMPRODUCT(SIGN(((ACT_DOOR_SCOPE="ALL")+(ACT_DOOR_SCOPE="TIER_"&amp;$F98)+(ACT_DOOR_SCOPE=$B98)))*SIGN(((ACT_SKU_SCOPE="ALL")+(ACT_SKU_SCOPE=$G98)))*(ACT_START&lt;=5)*(ACT_END&gt;=5)*IFERROR(ACT_UPLIFT-1,0)))*(1+SUMPRODUCT(SIGN(((ACT_DOOR_SCOPE="ALL")+(ACT_DOOR_SCOPE="TIER_"&amp;$F98)+(ACT_DOOR_SCOPE=$B98)))*SIGN(((ACT_SKU_SCOPE="ALL")+(ACT_SKU_SCOPE=$G98)))*(5&gt;ACT_END)*(ACT_END&gt;0)*IFERROR(ACT_POSTLIFT,0))),0)))</f>
        <v/>
      </c>
      <c r="O98" s="10">
        <f>IF(OR($H98&lt;&gt;"Y",6&lt;$I98),0,IF(SUMPRODUCT(((BULK_ENABLED="Y")*((BULK_TIER="ALL")+(BULK_TIER=$F98))*((BULK_SKU="ALL")+(BULK_SKU=$G98))*(BULK_START&lt;=6)*(BULK_END&gt;=6)))&gt;0,IFERROR(SUMPRODUCT(((BULK_ENABLED="Y")*((BULK_TIER="ALL")+(BULK_TIER=$F98))*((BULK_SKU="ALL")+(BULK_SKU=$G98))*(BULK_START&lt;=6)*(BULK_END&gt;=6))*IFERROR(BULK_VALUE,0))/MAX(1,SUMPRODUCT(((BULK_ENABLED="Y")*((BULK_TIER="ALL")+(BULK_TIER=$F98))*((BULK_SKU="ALL")+(BULK_SKU=$G98))*(BULK_START&lt;=6)*(BULK_END&gt;=6)))),0),ROUND((INDEX(VELOCITY_TABLE,MATCH($F98,TIER_LIST,0),1))*(IF((6-$I98+1)&lt;=0,0,IF((6-$I98+1)=1,RAMP_W1,IF((6-$I98+1)=2,RAMP_W2,IF((6-$I98+1)=3,RAMP_W3,RAMP_W4PLUS)))))*(INDEX(ACTIVE_MULT_TABLE,1,1))*(1+SUMPRODUCT(SIGN(((ACT_DOOR_SCOPE="ALL")+(ACT_DOOR_SCOPE="TIER_"&amp;$F98)+(ACT_DOOR_SCOPE=$B98)))*SIGN(((ACT_SKU_SCOPE="ALL")+(ACT_SKU_SCOPE=$G98)))*(ACT_START&lt;=6)*(ACT_END&gt;=6)*IFERROR(ACT_UPLIFT-1,0)))*(1+SUMPRODUCT(SIGN(((ACT_DOOR_SCOPE="ALL")+(ACT_DOOR_SCOPE="TIER_"&amp;$F98)+(ACT_DOOR_SCOPE=$B98)))*SIGN(((ACT_SKU_SCOPE="ALL")+(ACT_SKU_SCOPE=$G98)))*(6&gt;ACT_END)*(ACT_END&gt;0)*IFERROR(ACT_POSTLIFT,0))),0)))</f>
        <v/>
      </c>
      <c r="P98" s="10">
        <f>IF(OR($H98&lt;&gt;"Y",7&lt;$I98),0,IF(SUMPRODUCT(((BULK_ENABLED="Y")*((BULK_TIER="ALL")+(BULK_TIER=$F98))*((BULK_SKU="ALL")+(BULK_SKU=$G98))*(BULK_START&lt;=7)*(BULK_END&gt;=7)))&gt;0,IFERROR(SUMPRODUCT(((BULK_ENABLED="Y")*((BULK_TIER="ALL")+(BULK_TIER=$F98))*((BULK_SKU="ALL")+(BULK_SKU=$G98))*(BULK_START&lt;=7)*(BULK_END&gt;=7))*IFERROR(BULK_VALUE,0))/MAX(1,SUMPRODUCT(((BULK_ENABLED="Y")*((BULK_TIER="ALL")+(BULK_TIER=$F98))*((BULK_SKU="ALL")+(BULK_SKU=$G98))*(BULK_START&lt;=7)*(BULK_END&gt;=7)))),0),ROUND((INDEX(VELOCITY_TABLE,MATCH($F98,TIER_LIST,0),1))*(IF((7-$I98+1)&lt;=0,0,IF((7-$I98+1)=1,RAMP_W1,IF((7-$I98+1)=2,RAMP_W2,IF((7-$I98+1)=3,RAMP_W3,RAMP_W4PLUS)))))*(INDEX(ACTIVE_MULT_TABLE,1,1))*(1+SUMPRODUCT(SIGN(((ACT_DOOR_SCOPE="ALL")+(ACT_DOOR_SCOPE="TIER_"&amp;$F98)+(ACT_DOOR_SCOPE=$B98)))*SIGN(((ACT_SKU_SCOPE="ALL")+(ACT_SKU_SCOPE=$G98)))*(ACT_START&lt;=7)*(ACT_END&gt;=7)*IFERROR(ACT_UPLIFT-1,0)))*(1+SUMPRODUCT(SIGN(((ACT_DOOR_SCOPE="ALL")+(ACT_DOOR_SCOPE="TIER_"&amp;$F98)+(ACT_DOOR_SCOPE=$B98)))*SIGN(((ACT_SKU_SCOPE="ALL")+(ACT_SKU_SCOPE=$G98)))*(7&gt;ACT_END)*(ACT_END&gt;0)*IFERROR(ACT_POSTLIFT,0))),0)))</f>
        <v/>
      </c>
      <c r="Q98" s="10">
        <f>IF(OR($H98&lt;&gt;"Y",8&lt;$I98),0,IF(SUMPRODUCT(((BULK_ENABLED="Y")*((BULK_TIER="ALL")+(BULK_TIER=$F98))*((BULK_SKU="ALL")+(BULK_SKU=$G98))*(BULK_START&lt;=8)*(BULK_END&gt;=8)))&gt;0,IFERROR(SUMPRODUCT(((BULK_ENABLED="Y")*((BULK_TIER="ALL")+(BULK_TIER=$F98))*((BULK_SKU="ALL")+(BULK_SKU=$G98))*(BULK_START&lt;=8)*(BULK_END&gt;=8))*IFERROR(BULK_VALUE,0))/MAX(1,SUMPRODUCT(((BULK_ENABLED="Y")*((BULK_TIER="ALL")+(BULK_TIER=$F98))*((BULK_SKU="ALL")+(BULK_SKU=$G98))*(BULK_START&lt;=8)*(BULK_END&gt;=8)))),0),ROUND((INDEX(VELOCITY_TABLE,MATCH($F98,TIER_LIST,0),1))*(IF((8-$I98+1)&lt;=0,0,IF((8-$I98+1)=1,RAMP_W1,IF((8-$I98+1)=2,RAMP_W2,IF((8-$I98+1)=3,RAMP_W3,RAMP_W4PLUS)))))*(INDEX(ACTIVE_MULT_TABLE,1,1))*(1+SUMPRODUCT(SIGN(((ACT_DOOR_SCOPE="ALL")+(ACT_DOOR_SCOPE="TIER_"&amp;$F98)+(ACT_DOOR_SCOPE=$B98)))*SIGN(((ACT_SKU_SCOPE="ALL")+(ACT_SKU_SCOPE=$G98)))*(ACT_START&lt;=8)*(ACT_END&gt;=8)*IFERROR(ACT_UPLIFT-1,0)))*(1+SUMPRODUCT(SIGN(((ACT_DOOR_SCOPE="ALL")+(ACT_DOOR_SCOPE="TIER_"&amp;$F98)+(ACT_DOOR_SCOPE=$B98)))*SIGN(((ACT_SKU_SCOPE="ALL")+(ACT_SKU_SCOPE=$G98)))*(8&gt;ACT_END)*(ACT_END&gt;0)*IFERROR(ACT_POSTLIFT,0))),0)))</f>
        <v/>
      </c>
      <c r="R98" s="10">
        <f>IF(OR($H98&lt;&gt;"Y",9&lt;$I98),0,IF(SUMPRODUCT(((BULK_ENABLED="Y")*((BULK_TIER="ALL")+(BULK_TIER=$F98))*((BULK_SKU="ALL")+(BULK_SKU=$G98))*(BULK_START&lt;=9)*(BULK_END&gt;=9)))&gt;0,IFERROR(SUMPRODUCT(((BULK_ENABLED="Y")*((BULK_TIER="ALL")+(BULK_TIER=$F98))*((BULK_SKU="ALL")+(BULK_SKU=$G98))*(BULK_START&lt;=9)*(BULK_END&gt;=9))*IFERROR(BULK_VALUE,0))/MAX(1,SUMPRODUCT(((BULK_ENABLED="Y")*((BULK_TIER="ALL")+(BULK_TIER=$F98))*((BULK_SKU="ALL")+(BULK_SKU=$G98))*(BULK_START&lt;=9)*(BULK_END&gt;=9)))),0),ROUND((INDEX(VELOCITY_TABLE,MATCH($F98,TIER_LIST,0),1))*(IF((9-$I98+1)&lt;=0,0,IF((9-$I98+1)=1,RAMP_W1,IF((9-$I98+1)=2,RAMP_W2,IF((9-$I98+1)=3,RAMP_W3,RAMP_W4PLUS)))))*(INDEX(ACTIVE_MULT_TABLE,1,1))*(1+SUMPRODUCT(SIGN(((ACT_DOOR_SCOPE="ALL")+(ACT_DOOR_SCOPE="TIER_"&amp;$F98)+(ACT_DOOR_SCOPE=$B98)))*SIGN(((ACT_SKU_SCOPE="ALL")+(ACT_SKU_SCOPE=$G98)))*(ACT_START&lt;=9)*(ACT_END&gt;=9)*IFERROR(ACT_UPLIFT-1,0)))*(1+SUMPRODUCT(SIGN(((ACT_DOOR_SCOPE="ALL")+(ACT_DOOR_SCOPE="TIER_"&amp;$F98)+(ACT_DOOR_SCOPE=$B98)))*SIGN(((ACT_SKU_SCOPE="ALL")+(ACT_SKU_SCOPE=$G98)))*(9&gt;ACT_END)*(ACT_END&gt;0)*IFERROR(ACT_POSTLIFT,0))),0)))</f>
        <v/>
      </c>
      <c r="S98" s="10">
        <f>IF(OR($H98&lt;&gt;"Y",10&lt;$I98),0,IF(SUMPRODUCT(((BULK_ENABLED="Y")*((BULK_TIER="ALL")+(BULK_TIER=$F98))*((BULK_SKU="ALL")+(BULK_SKU=$G98))*(BULK_START&lt;=10)*(BULK_END&gt;=10)))&gt;0,IFERROR(SUMPRODUCT(((BULK_ENABLED="Y")*((BULK_TIER="ALL")+(BULK_TIER=$F98))*((BULK_SKU="ALL")+(BULK_SKU=$G98))*(BULK_START&lt;=10)*(BULK_END&gt;=10))*IFERROR(BULK_VALUE,0))/MAX(1,SUMPRODUCT(((BULK_ENABLED="Y")*((BULK_TIER="ALL")+(BULK_TIER=$F98))*((BULK_SKU="ALL")+(BULK_SKU=$G98))*(BULK_START&lt;=10)*(BULK_END&gt;=10)))),0),ROUND((INDEX(VELOCITY_TABLE,MATCH($F98,TIER_LIST,0),1))*(IF((10-$I98+1)&lt;=0,0,IF((10-$I98+1)=1,RAMP_W1,IF((10-$I98+1)=2,RAMP_W2,IF((10-$I98+1)=3,RAMP_W3,RAMP_W4PLUS)))))*(INDEX(ACTIVE_MULT_TABLE,1,1))*(1+SUMPRODUCT(SIGN(((ACT_DOOR_SCOPE="ALL")+(ACT_DOOR_SCOPE="TIER_"&amp;$F98)+(ACT_DOOR_SCOPE=$B98)))*SIGN(((ACT_SKU_SCOPE="ALL")+(ACT_SKU_SCOPE=$G98)))*(ACT_START&lt;=10)*(ACT_END&gt;=10)*IFERROR(ACT_UPLIFT-1,0)))*(1+SUMPRODUCT(SIGN(((ACT_DOOR_SCOPE="ALL")+(ACT_DOOR_SCOPE="TIER_"&amp;$F98)+(ACT_DOOR_SCOPE=$B98)))*SIGN(((ACT_SKU_SCOPE="ALL")+(ACT_SKU_SCOPE=$G98)))*(10&gt;ACT_END)*(ACT_END&gt;0)*IFERROR(ACT_POSTLIFT,0))),0)))</f>
        <v/>
      </c>
      <c r="T98" s="10">
        <f>IF(OR($H98&lt;&gt;"Y",11&lt;$I98),0,IF(SUMPRODUCT(((BULK_ENABLED="Y")*((BULK_TIER="ALL")+(BULK_TIER=$F98))*((BULK_SKU="ALL")+(BULK_SKU=$G98))*(BULK_START&lt;=11)*(BULK_END&gt;=11)))&gt;0,IFERROR(SUMPRODUCT(((BULK_ENABLED="Y")*((BULK_TIER="ALL")+(BULK_TIER=$F98))*((BULK_SKU="ALL")+(BULK_SKU=$G98))*(BULK_START&lt;=11)*(BULK_END&gt;=11))*IFERROR(BULK_VALUE,0))/MAX(1,SUMPRODUCT(((BULK_ENABLED="Y")*((BULK_TIER="ALL")+(BULK_TIER=$F98))*((BULK_SKU="ALL")+(BULK_SKU=$G98))*(BULK_START&lt;=11)*(BULK_END&gt;=11)))),0),ROUND((INDEX(VELOCITY_TABLE,MATCH($F98,TIER_LIST,0),1))*(IF((11-$I98+1)&lt;=0,0,IF((11-$I98+1)=1,RAMP_W1,IF((11-$I98+1)=2,RAMP_W2,IF((11-$I98+1)=3,RAMP_W3,RAMP_W4PLUS)))))*(INDEX(ACTIVE_MULT_TABLE,1,1))*(1+SUMPRODUCT(SIGN(((ACT_DOOR_SCOPE="ALL")+(ACT_DOOR_SCOPE="TIER_"&amp;$F98)+(ACT_DOOR_SCOPE=$B98)))*SIGN(((ACT_SKU_SCOPE="ALL")+(ACT_SKU_SCOPE=$G98)))*(ACT_START&lt;=11)*(ACT_END&gt;=11)*IFERROR(ACT_UPLIFT-1,0)))*(1+SUMPRODUCT(SIGN(((ACT_DOOR_SCOPE="ALL")+(ACT_DOOR_SCOPE="TIER_"&amp;$F98)+(ACT_DOOR_SCOPE=$B98)))*SIGN(((ACT_SKU_SCOPE="ALL")+(ACT_SKU_SCOPE=$G98)))*(11&gt;ACT_END)*(ACT_END&gt;0)*IFERROR(ACT_POSTLIFT,0))),0)))</f>
        <v/>
      </c>
      <c r="U98" s="10">
        <f>IF(OR($H98&lt;&gt;"Y",12&lt;$I98),0,IF(SUMPRODUCT(((BULK_ENABLED="Y")*((BULK_TIER="ALL")+(BULK_TIER=$F98))*((BULK_SKU="ALL")+(BULK_SKU=$G98))*(BULK_START&lt;=12)*(BULK_END&gt;=12)))&gt;0,IFERROR(SUMPRODUCT(((BULK_ENABLED="Y")*((BULK_TIER="ALL")+(BULK_TIER=$F98))*((BULK_SKU="ALL")+(BULK_SKU=$G98))*(BULK_START&lt;=12)*(BULK_END&gt;=12))*IFERROR(BULK_VALUE,0))/MAX(1,SUMPRODUCT(((BULK_ENABLED="Y")*((BULK_TIER="ALL")+(BULK_TIER=$F98))*((BULK_SKU="ALL")+(BULK_SKU=$G98))*(BULK_START&lt;=12)*(BULK_END&gt;=12)))),0),ROUND((INDEX(VELOCITY_TABLE,MATCH($F98,TIER_LIST,0),1))*(IF((12-$I98+1)&lt;=0,0,IF((12-$I98+1)=1,RAMP_W1,IF((12-$I98+1)=2,RAMP_W2,IF((12-$I98+1)=3,RAMP_W3,RAMP_W4PLUS)))))*(INDEX(ACTIVE_MULT_TABLE,1,1))*(1+SUMPRODUCT(SIGN(((ACT_DOOR_SCOPE="ALL")+(ACT_DOOR_SCOPE="TIER_"&amp;$F98)+(ACT_DOOR_SCOPE=$B98)))*SIGN(((ACT_SKU_SCOPE="ALL")+(ACT_SKU_SCOPE=$G98)))*(ACT_START&lt;=12)*(ACT_END&gt;=12)*IFERROR(ACT_UPLIFT-1,0)))*(1+SUMPRODUCT(SIGN(((ACT_DOOR_SCOPE="ALL")+(ACT_DOOR_SCOPE="TIER_"&amp;$F98)+(ACT_DOOR_SCOPE=$B98)))*SIGN(((ACT_SKU_SCOPE="ALL")+(ACT_SKU_SCOPE=$G98)))*(12&gt;ACT_END)*(ACT_END&gt;0)*IFERROR(ACT_POSTLIFT,0))),0)))</f>
        <v/>
      </c>
      <c r="V98" s="10">
        <f>IF(OR($H98&lt;&gt;"Y",13&lt;$I98),0,IF(SUMPRODUCT(((BULK_ENABLED="Y")*((BULK_TIER="ALL")+(BULK_TIER=$F98))*((BULK_SKU="ALL")+(BULK_SKU=$G98))*(BULK_START&lt;=13)*(BULK_END&gt;=13)))&gt;0,IFERROR(SUMPRODUCT(((BULK_ENABLED="Y")*((BULK_TIER="ALL")+(BULK_TIER=$F98))*((BULK_SKU="ALL")+(BULK_SKU=$G98))*(BULK_START&lt;=13)*(BULK_END&gt;=13))*IFERROR(BULK_VALUE,0))/MAX(1,SUMPRODUCT(((BULK_ENABLED="Y")*((BULK_TIER="ALL")+(BULK_TIER=$F98))*((BULK_SKU="ALL")+(BULK_SKU=$G98))*(BULK_START&lt;=13)*(BULK_END&gt;=13)))),0),ROUND((INDEX(VELOCITY_TABLE,MATCH($F98,TIER_LIST,0),1))*(IF((13-$I98+1)&lt;=0,0,IF((13-$I98+1)=1,RAMP_W1,IF((13-$I98+1)=2,RAMP_W2,IF((13-$I98+1)=3,RAMP_W3,RAMP_W4PLUS)))))*(INDEX(ACTIVE_MULT_TABLE,1,1))*(1+SUMPRODUCT(SIGN(((ACT_DOOR_SCOPE="ALL")+(ACT_DOOR_SCOPE="TIER_"&amp;$F98)+(ACT_DOOR_SCOPE=$B98)))*SIGN(((ACT_SKU_SCOPE="ALL")+(ACT_SKU_SCOPE=$G98)))*(ACT_START&lt;=13)*(ACT_END&gt;=13)*IFERROR(ACT_UPLIFT-1,0)))*(1+SUMPRODUCT(SIGN(((ACT_DOOR_SCOPE="ALL")+(ACT_DOOR_SCOPE="TIER_"&amp;$F98)+(ACT_DOOR_SCOPE=$B98)))*SIGN(((ACT_SKU_SCOPE="ALL")+(ACT_SKU_SCOPE=$G98)))*(13&gt;ACT_END)*(ACT_END&gt;0)*IFERROR(ACT_POSTLIFT,0))),0)))</f>
        <v/>
      </c>
    </row>
    <row r="99">
      <c r="A99" t="inlineStr">
        <is>
          <t>R0095</t>
        </is>
      </c>
      <c r="B99">
        <f>Doors!$A$36</f>
        <v/>
      </c>
      <c r="C99">
        <f>Doors!$C$36</f>
        <v/>
      </c>
      <c r="D99">
        <f>Doors!$B$36</f>
        <v/>
      </c>
      <c r="E99">
        <f>Doors!$E$36</f>
        <v/>
      </c>
      <c r="F99">
        <f>Doors!$F$36</f>
        <v/>
      </c>
      <c r="G99" t="inlineStr">
        <is>
          <t>Pineapple Passion Fruit</t>
        </is>
      </c>
      <c r="H99">
        <f>Doors!$H$36</f>
        <v/>
      </c>
      <c r="I99">
        <f>Doors!$J$36</f>
        <v/>
      </c>
      <c r="J99" s="10">
        <f>IF(OR($H99&lt;&gt;"Y",1&lt;$I99),0,IF(SUMPRODUCT(((BULK_ENABLED="Y")*((BULK_TIER="ALL")+(BULK_TIER=$F99))*((BULK_SKU="ALL")+(BULK_SKU=$G99))*(BULK_START&lt;=1)*(BULK_END&gt;=1)))&gt;0,IFERROR(SUMPRODUCT(((BULK_ENABLED="Y")*((BULK_TIER="ALL")+(BULK_TIER=$F99))*((BULK_SKU="ALL")+(BULK_SKU=$G99))*(BULK_START&lt;=1)*(BULK_END&gt;=1))*IFERROR(BULK_VALUE,0))/MAX(1,SUMPRODUCT(((BULK_ENABLED="Y")*((BULK_TIER="ALL")+(BULK_TIER=$F99))*((BULK_SKU="ALL")+(BULK_SKU=$G99))*(BULK_START&lt;=1)*(BULK_END&gt;=1)))),0),ROUND((INDEX(VELOCITY_TABLE,MATCH($F99,TIER_LIST,0),2))*(IF((1-$I99+1)&lt;=0,0,IF((1-$I99+1)=1,RAMP_W1,IF((1-$I99+1)=2,RAMP_W2,IF((1-$I99+1)=3,RAMP_W3,RAMP_W4PLUS)))))*(INDEX(ACTIVE_MULT_TABLE,2,1))*(1+SUMPRODUCT(SIGN(((ACT_DOOR_SCOPE="ALL")+(ACT_DOOR_SCOPE="TIER_"&amp;$F99)+(ACT_DOOR_SCOPE=$B99)))*SIGN(((ACT_SKU_SCOPE="ALL")+(ACT_SKU_SCOPE=$G99)))*(ACT_START&lt;=1)*(ACT_END&gt;=1)*IFERROR(ACT_UPLIFT-1,0)))*(1+SUMPRODUCT(SIGN(((ACT_DOOR_SCOPE="ALL")+(ACT_DOOR_SCOPE="TIER_"&amp;$F99)+(ACT_DOOR_SCOPE=$B99)))*SIGN(((ACT_SKU_SCOPE="ALL")+(ACT_SKU_SCOPE=$G99)))*(1&gt;ACT_END)*(ACT_END&gt;0)*IFERROR(ACT_POSTLIFT,0))),0)))</f>
        <v/>
      </c>
      <c r="K99" s="10">
        <f>IF(OR($H99&lt;&gt;"Y",2&lt;$I99),0,IF(SUMPRODUCT(((BULK_ENABLED="Y")*((BULK_TIER="ALL")+(BULK_TIER=$F99))*((BULK_SKU="ALL")+(BULK_SKU=$G99))*(BULK_START&lt;=2)*(BULK_END&gt;=2)))&gt;0,IFERROR(SUMPRODUCT(((BULK_ENABLED="Y")*((BULK_TIER="ALL")+(BULK_TIER=$F99))*((BULK_SKU="ALL")+(BULK_SKU=$G99))*(BULK_START&lt;=2)*(BULK_END&gt;=2))*IFERROR(BULK_VALUE,0))/MAX(1,SUMPRODUCT(((BULK_ENABLED="Y")*((BULK_TIER="ALL")+(BULK_TIER=$F99))*((BULK_SKU="ALL")+(BULK_SKU=$G99))*(BULK_START&lt;=2)*(BULK_END&gt;=2)))),0),ROUND((INDEX(VELOCITY_TABLE,MATCH($F99,TIER_LIST,0),2))*(IF((2-$I99+1)&lt;=0,0,IF((2-$I99+1)=1,RAMP_W1,IF((2-$I99+1)=2,RAMP_W2,IF((2-$I99+1)=3,RAMP_W3,RAMP_W4PLUS)))))*(INDEX(ACTIVE_MULT_TABLE,2,1))*(1+SUMPRODUCT(SIGN(((ACT_DOOR_SCOPE="ALL")+(ACT_DOOR_SCOPE="TIER_"&amp;$F99)+(ACT_DOOR_SCOPE=$B99)))*SIGN(((ACT_SKU_SCOPE="ALL")+(ACT_SKU_SCOPE=$G99)))*(ACT_START&lt;=2)*(ACT_END&gt;=2)*IFERROR(ACT_UPLIFT-1,0)))*(1+SUMPRODUCT(SIGN(((ACT_DOOR_SCOPE="ALL")+(ACT_DOOR_SCOPE="TIER_"&amp;$F99)+(ACT_DOOR_SCOPE=$B99)))*SIGN(((ACT_SKU_SCOPE="ALL")+(ACT_SKU_SCOPE=$G99)))*(2&gt;ACT_END)*(ACT_END&gt;0)*IFERROR(ACT_POSTLIFT,0))),0)))</f>
        <v/>
      </c>
      <c r="L99" s="10">
        <f>IF(OR($H99&lt;&gt;"Y",3&lt;$I99),0,IF(SUMPRODUCT(((BULK_ENABLED="Y")*((BULK_TIER="ALL")+(BULK_TIER=$F99))*((BULK_SKU="ALL")+(BULK_SKU=$G99))*(BULK_START&lt;=3)*(BULK_END&gt;=3)))&gt;0,IFERROR(SUMPRODUCT(((BULK_ENABLED="Y")*((BULK_TIER="ALL")+(BULK_TIER=$F99))*((BULK_SKU="ALL")+(BULK_SKU=$G99))*(BULK_START&lt;=3)*(BULK_END&gt;=3))*IFERROR(BULK_VALUE,0))/MAX(1,SUMPRODUCT(((BULK_ENABLED="Y")*((BULK_TIER="ALL")+(BULK_TIER=$F99))*((BULK_SKU="ALL")+(BULK_SKU=$G99))*(BULK_START&lt;=3)*(BULK_END&gt;=3)))),0),ROUND((INDEX(VELOCITY_TABLE,MATCH($F99,TIER_LIST,0),2))*(IF((3-$I99+1)&lt;=0,0,IF((3-$I99+1)=1,RAMP_W1,IF((3-$I99+1)=2,RAMP_W2,IF((3-$I99+1)=3,RAMP_W3,RAMP_W4PLUS)))))*(INDEX(ACTIVE_MULT_TABLE,2,1))*(1+SUMPRODUCT(SIGN(((ACT_DOOR_SCOPE="ALL")+(ACT_DOOR_SCOPE="TIER_"&amp;$F99)+(ACT_DOOR_SCOPE=$B99)))*SIGN(((ACT_SKU_SCOPE="ALL")+(ACT_SKU_SCOPE=$G99)))*(ACT_START&lt;=3)*(ACT_END&gt;=3)*IFERROR(ACT_UPLIFT-1,0)))*(1+SUMPRODUCT(SIGN(((ACT_DOOR_SCOPE="ALL")+(ACT_DOOR_SCOPE="TIER_"&amp;$F99)+(ACT_DOOR_SCOPE=$B99)))*SIGN(((ACT_SKU_SCOPE="ALL")+(ACT_SKU_SCOPE=$G99)))*(3&gt;ACT_END)*(ACT_END&gt;0)*IFERROR(ACT_POSTLIFT,0))),0)))</f>
        <v/>
      </c>
      <c r="M99" s="10">
        <f>IF(OR($H99&lt;&gt;"Y",4&lt;$I99),0,IF(SUMPRODUCT(((BULK_ENABLED="Y")*((BULK_TIER="ALL")+(BULK_TIER=$F99))*((BULK_SKU="ALL")+(BULK_SKU=$G99))*(BULK_START&lt;=4)*(BULK_END&gt;=4)))&gt;0,IFERROR(SUMPRODUCT(((BULK_ENABLED="Y")*((BULK_TIER="ALL")+(BULK_TIER=$F99))*((BULK_SKU="ALL")+(BULK_SKU=$G99))*(BULK_START&lt;=4)*(BULK_END&gt;=4))*IFERROR(BULK_VALUE,0))/MAX(1,SUMPRODUCT(((BULK_ENABLED="Y")*((BULK_TIER="ALL")+(BULK_TIER=$F99))*((BULK_SKU="ALL")+(BULK_SKU=$G99))*(BULK_START&lt;=4)*(BULK_END&gt;=4)))),0),ROUND((INDEX(VELOCITY_TABLE,MATCH($F99,TIER_LIST,0),2))*(IF((4-$I99+1)&lt;=0,0,IF((4-$I99+1)=1,RAMP_W1,IF((4-$I99+1)=2,RAMP_W2,IF((4-$I99+1)=3,RAMP_W3,RAMP_W4PLUS)))))*(INDEX(ACTIVE_MULT_TABLE,2,1))*(1+SUMPRODUCT(SIGN(((ACT_DOOR_SCOPE="ALL")+(ACT_DOOR_SCOPE="TIER_"&amp;$F99)+(ACT_DOOR_SCOPE=$B99)))*SIGN(((ACT_SKU_SCOPE="ALL")+(ACT_SKU_SCOPE=$G99)))*(ACT_START&lt;=4)*(ACT_END&gt;=4)*IFERROR(ACT_UPLIFT-1,0)))*(1+SUMPRODUCT(SIGN(((ACT_DOOR_SCOPE="ALL")+(ACT_DOOR_SCOPE="TIER_"&amp;$F99)+(ACT_DOOR_SCOPE=$B99)))*SIGN(((ACT_SKU_SCOPE="ALL")+(ACT_SKU_SCOPE=$G99)))*(4&gt;ACT_END)*(ACT_END&gt;0)*IFERROR(ACT_POSTLIFT,0))),0)))</f>
        <v/>
      </c>
      <c r="N99" s="10">
        <f>IF(OR($H99&lt;&gt;"Y",5&lt;$I99),0,IF(SUMPRODUCT(((BULK_ENABLED="Y")*((BULK_TIER="ALL")+(BULK_TIER=$F99))*((BULK_SKU="ALL")+(BULK_SKU=$G99))*(BULK_START&lt;=5)*(BULK_END&gt;=5)))&gt;0,IFERROR(SUMPRODUCT(((BULK_ENABLED="Y")*((BULK_TIER="ALL")+(BULK_TIER=$F99))*((BULK_SKU="ALL")+(BULK_SKU=$G99))*(BULK_START&lt;=5)*(BULK_END&gt;=5))*IFERROR(BULK_VALUE,0))/MAX(1,SUMPRODUCT(((BULK_ENABLED="Y")*((BULK_TIER="ALL")+(BULK_TIER=$F99))*((BULK_SKU="ALL")+(BULK_SKU=$G99))*(BULK_START&lt;=5)*(BULK_END&gt;=5)))),0),ROUND((INDEX(VELOCITY_TABLE,MATCH($F99,TIER_LIST,0),2))*(IF((5-$I99+1)&lt;=0,0,IF((5-$I99+1)=1,RAMP_W1,IF((5-$I99+1)=2,RAMP_W2,IF((5-$I99+1)=3,RAMP_W3,RAMP_W4PLUS)))))*(INDEX(ACTIVE_MULT_TABLE,2,1))*(1+SUMPRODUCT(SIGN(((ACT_DOOR_SCOPE="ALL")+(ACT_DOOR_SCOPE="TIER_"&amp;$F99)+(ACT_DOOR_SCOPE=$B99)))*SIGN(((ACT_SKU_SCOPE="ALL")+(ACT_SKU_SCOPE=$G99)))*(ACT_START&lt;=5)*(ACT_END&gt;=5)*IFERROR(ACT_UPLIFT-1,0)))*(1+SUMPRODUCT(SIGN(((ACT_DOOR_SCOPE="ALL")+(ACT_DOOR_SCOPE="TIER_"&amp;$F99)+(ACT_DOOR_SCOPE=$B99)))*SIGN(((ACT_SKU_SCOPE="ALL")+(ACT_SKU_SCOPE=$G99)))*(5&gt;ACT_END)*(ACT_END&gt;0)*IFERROR(ACT_POSTLIFT,0))),0)))</f>
        <v/>
      </c>
      <c r="O99" s="10">
        <f>IF(OR($H99&lt;&gt;"Y",6&lt;$I99),0,IF(SUMPRODUCT(((BULK_ENABLED="Y")*((BULK_TIER="ALL")+(BULK_TIER=$F99))*((BULK_SKU="ALL")+(BULK_SKU=$G99))*(BULK_START&lt;=6)*(BULK_END&gt;=6)))&gt;0,IFERROR(SUMPRODUCT(((BULK_ENABLED="Y")*((BULK_TIER="ALL")+(BULK_TIER=$F99))*((BULK_SKU="ALL")+(BULK_SKU=$G99))*(BULK_START&lt;=6)*(BULK_END&gt;=6))*IFERROR(BULK_VALUE,0))/MAX(1,SUMPRODUCT(((BULK_ENABLED="Y")*((BULK_TIER="ALL")+(BULK_TIER=$F99))*((BULK_SKU="ALL")+(BULK_SKU=$G99))*(BULK_START&lt;=6)*(BULK_END&gt;=6)))),0),ROUND((INDEX(VELOCITY_TABLE,MATCH($F99,TIER_LIST,0),2))*(IF((6-$I99+1)&lt;=0,0,IF((6-$I99+1)=1,RAMP_W1,IF((6-$I99+1)=2,RAMP_W2,IF((6-$I99+1)=3,RAMP_W3,RAMP_W4PLUS)))))*(INDEX(ACTIVE_MULT_TABLE,2,1))*(1+SUMPRODUCT(SIGN(((ACT_DOOR_SCOPE="ALL")+(ACT_DOOR_SCOPE="TIER_"&amp;$F99)+(ACT_DOOR_SCOPE=$B99)))*SIGN(((ACT_SKU_SCOPE="ALL")+(ACT_SKU_SCOPE=$G99)))*(ACT_START&lt;=6)*(ACT_END&gt;=6)*IFERROR(ACT_UPLIFT-1,0)))*(1+SUMPRODUCT(SIGN(((ACT_DOOR_SCOPE="ALL")+(ACT_DOOR_SCOPE="TIER_"&amp;$F99)+(ACT_DOOR_SCOPE=$B99)))*SIGN(((ACT_SKU_SCOPE="ALL")+(ACT_SKU_SCOPE=$G99)))*(6&gt;ACT_END)*(ACT_END&gt;0)*IFERROR(ACT_POSTLIFT,0))),0)))</f>
        <v/>
      </c>
      <c r="P99" s="10">
        <f>IF(OR($H99&lt;&gt;"Y",7&lt;$I99),0,IF(SUMPRODUCT(((BULK_ENABLED="Y")*((BULK_TIER="ALL")+(BULK_TIER=$F99))*((BULK_SKU="ALL")+(BULK_SKU=$G99))*(BULK_START&lt;=7)*(BULK_END&gt;=7)))&gt;0,IFERROR(SUMPRODUCT(((BULK_ENABLED="Y")*((BULK_TIER="ALL")+(BULK_TIER=$F99))*((BULK_SKU="ALL")+(BULK_SKU=$G99))*(BULK_START&lt;=7)*(BULK_END&gt;=7))*IFERROR(BULK_VALUE,0))/MAX(1,SUMPRODUCT(((BULK_ENABLED="Y")*((BULK_TIER="ALL")+(BULK_TIER=$F99))*((BULK_SKU="ALL")+(BULK_SKU=$G99))*(BULK_START&lt;=7)*(BULK_END&gt;=7)))),0),ROUND((INDEX(VELOCITY_TABLE,MATCH($F99,TIER_LIST,0),2))*(IF((7-$I99+1)&lt;=0,0,IF((7-$I99+1)=1,RAMP_W1,IF((7-$I99+1)=2,RAMP_W2,IF((7-$I99+1)=3,RAMP_W3,RAMP_W4PLUS)))))*(INDEX(ACTIVE_MULT_TABLE,2,1))*(1+SUMPRODUCT(SIGN(((ACT_DOOR_SCOPE="ALL")+(ACT_DOOR_SCOPE="TIER_"&amp;$F99)+(ACT_DOOR_SCOPE=$B99)))*SIGN(((ACT_SKU_SCOPE="ALL")+(ACT_SKU_SCOPE=$G99)))*(ACT_START&lt;=7)*(ACT_END&gt;=7)*IFERROR(ACT_UPLIFT-1,0)))*(1+SUMPRODUCT(SIGN(((ACT_DOOR_SCOPE="ALL")+(ACT_DOOR_SCOPE="TIER_"&amp;$F99)+(ACT_DOOR_SCOPE=$B99)))*SIGN(((ACT_SKU_SCOPE="ALL")+(ACT_SKU_SCOPE=$G99)))*(7&gt;ACT_END)*(ACT_END&gt;0)*IFERROR(ACT_POSTLIFT,0))),0)))</f>
        <v/>
      </c>
      <c r="Q99" s="10">
        <f>IF(OR($H99&lt;&gt;"Y",8&lt;$I99),0,IF(SUMPRODUCT(((BULK_ENABLED="Y")*((BULK_TIER="ALL")+(BULK_TIER=$F99))*((BULK_SKU="ALL")+(BULK_SKU=$G99))*(BULK_START&lt;=8)*(BULK_END&gt;=8)))&gt;0,IFERROR(SUMPRODUCT(((BULK_ENABLED="Y")*((BULK_TIER="ALL")+(BULK_TIER=$F99))*((BULK_SKU="ALL")+(BULK_SKU=$G99))*(BULK_START&lt;=8)*(BULK_END&gt;=8))*IFERROR(BULK_VALUE,0))/MAX(1,SUMPRODUCT(((BULK_ENABLED="Y")*((BULK_TIER="ALL")+(BULK_TIER=$F99))*((BULK_SKU="ALL")+(BULK_SKU=$G99))*(BULK_START&lt;=8)*(BULK_END&gt;=8)))),0),ROUND((INDEX(VELOCITY_TABLE,MATCH($F99,TIER_LIST,0),2))*(IF((8-$I99+1)&lt;=0,0,IF((8-$I99+1)=1,RAMP_W1,IF((8-$I99+1)=2,RAMP_W2,IF((8-$I99+1)=3,RAMP_W3,RAMP_W4PLUS)))))*(INDEX(ACTIVE_MULT_TABLE,2,1))*(1+SUMPRODUCT(SIGN(((ACT_DOOR_SCOPE="ALL")+(ACT_DOOR_SCOPE="TIER_"&amp;$F99)+(ACT_DOOR_SCOPE=$B99)))*SIGN(((ACT_SKU_SCOPE="ALL")+(ACT_SKU_SCOPE=$G99)))*(ACT_START&lt;=8)*(ACT_END&gt;=8)*IFERROR(ACT_UPLIFT-1,0)))*(1+SUMPRODUCT(SIGN(((ACT_DOOR_SCOPE="ALL")+(ACT_DOOR_SCOPE="TIER_"&amp;$F99)+(ACT_DOOR_SCOPE=$B99)))*SIGN(((ACT_SKU_SCOPE="ALL")+(ACT_SKU_SCOPE=$G99)))*(8&gt;ACT_END)*(ACT_END&gt;0)*IFERROR(ACT_POSTLIFT,0))),0)))</f>
        <v/>
      </c>
      <c r="R99" s="10">
        <f>IF(OR($H99&lt;&gt;"Y",9&lt;$I99),0,IF(SUMPRODUCT(((BULK_ENABLED="Y")*((BULK_TIER="ALL")+(BULK_TIER=$F99))*((BULK_SKU="ALL")+(BULK_SKU=$G99))*(BULK_START&lt;=9)*(BULK_END&gt;=9)))&gt;0,IFERROR(SUMPRODUCT(((BULK_ENABLED="Y")*((BULK_TIER="ALL")+(BULK_TIER=$F99))*((BULK_SKU="ALL")+(BULK_SKU=$G99))*(BULK_START&lt;=9)*(BULK_END&gt;=9))*IFERROR(BULK_VALUE,0))/MAX(1,SUMPRODUCT(((BULK_ENABLED="Y")*((BULK_TIER="ALL")+(BULK_TIER=$F99))*((BULK_SKU="ALL")+(BULK_SKU=$G99))*(BULK_START&lt;=9)*(BULK_END&gt;=9)))),0),ROUND((INDEX(VELOCITY_TABLE,MATCH($F99,TIER_LIST,0),2))*(IF((9-$I99+1)&lt;=0,0,IF((9-$I99+1)=1,RAMP_W1,IF((9-$I99+1)=2,RAMP_W2,IF((9-$I99+1)=3,RAMP_W3,RAMP_W4PLUS)))))*(INDEX(ACTIVE_MULT_TABLE,2,1))*(1+SUMPRODUCT(SIGN(((ACT_DOOR_SCOPE="ALL")+(ACT_DOOR_SCOPE="TIER_"&amp;$F99)+(ACT_DOOR_SCOPE=$B99)))*SIGN(((ACT_SKU_SCOPE="ALL")+(ACT_SKU_SCOPE=$G99)))*(ACT_START&lt;=9)*(ACT_END&gt;=9)*IFERROR(ACT_UPLIFT-1,0)))*(1+SUMPRODUCT(SIGN(((ACT_DOOR_SCOPE="ALL")+(ACT_DOOR_SCOPE="TIER_"&amp;$F99)+(ACT_DOOR_SCOPE=$B99)))*SIGN(((ACT_SKU_SCOPE="ALL")+(ACT_SKU_SCOPE=$G99)))*(9&gt;ACT_END)*(ACT_END&gt;0)*IFERROR(ACT_POSTLIFT,0))),0)))</f>
        <v/>
      </c>
      <c r="S99" s="10">
        <f>IF(OR($H99&lt;&gt;"Y",10&lt;$I99),0,IF(SUMPRODUCT(((BULK_ENABLED="Y")*((BULK_TIER="ALL")+(BULK_TIER=$F99))*((BULK_SKU="ALL")+(BULK_SKU=$G99))*(BULK_START&lt;=10)*(BULK_END&gt;=10)))&gt;0,IFERROR(SUMPRODUCT(((BULK_ENABLED="Y")*((BULK_TIER="ALL")+(BULK_TIER=$F99))*((BULK_SKU="ALL")+(BULK_SKU=$G99))*(BULK_START&lt;=10)*(BULK_END&gt;=10))*IFERROR(BULK_VALUE,0))/MAX(1,SUMPRODUCT(((BULK_ENABLED="Y")*((BULK_TIER="ALL")+(BULK_TIER=$F99))*((BULK_SKU="ALL")+(BULK_SKU=$G99))*(BULK_START&lt;=10)*(BULK_END&gt;=10)))),0),ROUND((INDEX(VELOCITY_TABLE,MATCH($F99,TIER_LIST,0),2))*(IF((10-$I99+1)&lt;=0,0,IF((10-$I99+1)=1,RAMP_W1,IF((10-$I99+1)=2,RAMP_W2,IF((10-$I99+1)=3,RAMP_W3,RAMP_W4PLUS)))))*(INDEX(ACTIVE_MULT_TABLE,2,1))*(1+SUMPRODUCT(SIGN(((ACT_DOOR_SCOPE="ALL")+(ACT_DOOR_SCOPE="TIER_"&amp;$F99)+(ACT_DOOR_SCOPE=$B99)))*SIGN(((ACT_SKU_SCOPE="ALL")+(ACT_SKU_SCOPE=$G99)))*(ACT_START&lt;=10)*(ACT_END&gt;=10)*IFERROR(ACT_UPLIFT-1,0)))*(1+SUMPRODUCT(SIGN(((ACT_DOOR_SCOPE="ALL")+(ACT_DOOR_SCOPE="TIER_"&amp;$F99)+(ACT_DOOR_SCOPE=$B99)))*SIGN(((ACT_SKU_SCOPE="ALL")+(ACT_SKU_SCOPE=$G99)))*(10&gt;ACT_END)*(ACT_END&gt;0)*IFERROR(ACT_POSTLIFT,0))),0)))</f>
        <v/>
      </c>
      <c r="T99" s="10">
        <f>IF(OR($H99&lt;&gt;"Y",11&lt;$I99),0,IF(SUMPRODUCT(((BULK_ENABLED="Y")*((BULK_TIER="ALL")+(BULK_TIER=$F99))*((BULK_SKU="ALL")+(BULK_SKU=$G99))*(BULK_START&lt;=11)*(BULK_END&gt;=11)))&gt;0,IFERROR(SUMPRODUCT(((BULK_ENABLED="Y")*((BULK_TIER="ALL")+(BULK_TIER=$F99))*((BULK_SKU="ALL")+(BULK_SKU=$G99))*(BULK_START&lt;=11)*(BULK_END&gt;=11))*IFERROR(BULK_VALUE,0))/MAX(1,SUMPRODUCT(((BULK_ENABLED="Y")*((BULK_TIER="ALL")+(BULK_TIER=$F99))*((BULK_SKU="ALL")+(BULK_SKU=$G99))*(BULK_START&lt;=11)*(BULK_END&gt;=11)))),0),ROUND((INDEX(VELOCITY_TABLE,MATCH($F99,TIER_LIST,0),2))*(IF((11-$I99+1)&lt;=0,0,IF((11-$I99+1)=1,RAMP_W1,IF((11-$I99+1)=2,RAMP_W2,IF((11-$I99+1)=3,RAMP_W3,RAMP_W4PLUS)))))*(INDEX(ACTIVE_MULT_TABLE,2,1))*(1+SUMPRODUCT(SIGN(((ACT_DOOR_SCOPE="ALL")+(ACT_DOOR_SCOPE="TIER_"&amp;$F99)+(ACT_DOOR_SCOPE=$B99)))*SIGN(((ACT_SKU_SCOPE="ALL")+(ACT_SKU_SCOPE=$G99)))*(ACT_START&lt;=11)*(ACT_END&gt;=11)*IFERROR(ACT_UPLIFT-1,0)))*(1+SUMPRODUCT(SIGN(((ACT_DOOR_SCOPE="ALL")+(ACT_DOOR_SCOPE="TIER_"&amp;$F99)+(ACT_DOOR_SCOPE=$B99)))*SIGN(((ACT_SKU_SCOPE="ALL")+(ACT_SKU_SCOPE=$G99)))*(11&gt;ACT_END)*(ACT_END&gt;0)*IFERROR(ACT_POSTLIFT,0))),0)))</f>
        <v/>
      </c>
      <c r="U99" s="10">
        <f>IF(OR($H99&lt;&gt;"Y",12&lt;$I99),0,IF(SUMPRODUCT(((BULK_ENABLED="Y")*((BULK_TIER="ALL")+(BULK_TIER=$F99))*((BULK_SKU="ALL")+(BULK_SKU=$G99))*(BULK_START&lt;=12)*(BULK_END&gt;=12)))&gt;0,IFERROR(SUMPRODUCT(((BULK_ENABLED="Y")*((BULK_TIER="ALL")+(BULK_TIER=$F99))*((BULK_SKU="ALL")+(BULK_SKU=$G99))*(BULK_START&lt;=12)*(BULK_END&gt;=12))*IFERROR(BULK_VALUE,0))/MAX(1,SUMPRODUCT(((BULK_ENABLED="Y")*((BULK_TIER="ALL")+(BULK_TIER=$F99))*((BULK_SKU="ALL")+(BULK_SKU=$G99))*(BULK_START&lt;=12)*(BULK_END&gt;=12)))),0),ROUND((INDEX(VELOCITY_TABLE,MATCH($F99,TIER_LIST,0),2))*(IF((12-$I99+1)&lt;=0,0,IF((12-$I99+1)=1,RAMP_W1,IF((12-$I99+1)=2,RAMP_W2,IF((12-$I99+1)=3,RAMP_W3,RAMP_W4PLUS)))))*(INDEX(ACTIVE_MULT_TABLE,2,1))*(1+SUMPRODUCT(SIGN(((ACT_DOOR_SCOPE="ALL")+(ACT_DOOR_SCOPE="TIER_"&amp;$F99)+(ACT_DOOR_SCOPE=$B99)))*SIGN(((ACT_SKU_SCOPE="ALL")+(ACT_SKU_SCOPE=$G99)))*(ACT_START&lt;=12)*(ACT_END&gt;=12)*IFERROR(ACT_UPLIFT-1,0)))*(1+SUMPRODUCT(SIGN(((ACT_DOOR_SCOPE="ALL")+(ACT_DOOR_SCOPE="TIER_"&amp;$F99)+(ACT_DOOR_SCOPE=$B99)))*SIGN(((ACT_SKU_SCOPE="ALL")+(ACT_SKU_SCOPE=$G99)))*(12&gt;ACT_END)*(ACT_END&gt;0)*IFERROR(ACT_POSTLIFT,0))),0)))</f>
        <v/>
      </c>
      <c r="V99" s="10">
        <f>IF(OR($H99&lt;&gt;"Y",13&lt;$I99),0,IF(SUMPRODUCT(((BULK_ENABLED="Y")*((BULK_TIER="ALL")+(BULK_TIER=$F99))*((BULK_SKU="ALL")+(BULK_SKU=$G99))*(BULK_START&lt;=13)*(BULK_END&gt;=13)))&gt;0,IFERROR(SUMPRODUCT(((BULK_ENABLED="Y")*((BULK_TIER="ALL")+(BULK_TIER=$F99))*((BULK_SKU="ALL")+(BULK_SKU=$G99))*(BULK_START&lt;=13)*(BULK_END&gt;=13))*IFERROR(BULK_VALUE,0))/MAX(1,SUMPRODUCT(((BULK_ENABLED="Y")*((BULK_TIER="ALL")+(BULK_TIER=$F99))*((BULK_SKU="ALL")+(BULK_SKU=$G99))*(BULK_START&lt;=13)*(BULK_END&gt;=13)))),0),ROUND((INDEX(VELOCITY_TABLE,MATCH($F99,TIER_LIST,0),2))*(IF((13-$I99+1)&lt;=0,0,IF((13-$I99+1)=1,RAMP_W1,IF((13-$I99+1)=2,RAMP_W2,IF((13-$I99+1)=3,RAMP_W3,RAMP_W4PLUS)))))*(INDEX(ACTIVE_MULT_TABLE,2,1))*(1+SUMPRODUCT(SIGN(((ACT_DOOR_SCOPE="ALL")+(ACT_DOOR_SCOPE="TIER_"&amp;$F99)+(ACT_DOOR_SCOPE=$B99)))*SIGN(((ACT_SKU_SCOPE="ALL")+(ACT_SKU_SCOPE=$G99)))*(ACT_START&lt;=13)*(ACT_END&gt;=13)*IFERROR(ACT_UPLIFT-1,0)))*(1+SUMPRODUCT(SIGN(((ACT_DOOR_SCOPE="ALL")+(ACT_DOOR_SCOPE="TIER_"&amp;$F99)+(ACT_DOOR_SCOPE=$B99)))*SIGN(((ACT_SKU_SCOPE="ALL")+(ACT_SKU_SCOPE=$G99)))*(13&gt;ACT_END)*(ACT_END&gt;0)*IFERROR(ACT_POSTLIFT,0))),0)))</f>
        <v/>
      </c>
    </row>
    <row r="100">
      <c r="A100" t="inlineStr">
        <is>
          <t>R0096</t>
        </is>
      </c>
      <c r="B100">
        <f>Doors!$A$36</f>
        <v/>
      </c>
      <c r="C100">
        <f>Doors!$C$36</f>
        <v/>
      </c>
      <c r="D100">
        <f>Doors!$B$36</f>
        <v/>
      </c>
      <c r="E100">
        <f>Doors!$E$36</f>
        <v/>
      </c>
      <c r="F100">
        <f>Doors!$F$36</f>
        <v/>
      </c>
      <c r="G100" t="inlineStr">
        <is>
          <t>Raspberry</t>
        </is>
      </c>
      <c r="H100">
        <f>Doors!$I$36</f>
        <v/>
      </c>
      <c r="I100">
        <f>Doors!$J$36</f>
        <v/>
      </c>
      <c r="J100" s="10">
        <f>IF(OR($H100&lt;&gt;"Y",1&lt;$I100),0,IF(SUMPRODUCT(((BULK_ENABLED="Y")*((BULK_TIER="ALL")+(BULK_TIER=$F100))*((BULK_SKU="ALL")+(BULK_SKU=$G100))*(BULK_START&lt;=1)*(BULK_END&gt;=1)))&gt;0,IFERROR(SUMPRODUCT(((BULK_ENABLED="Y")*((BULK_TIER="ALL")+(BULK_TIER=$F100))*((BULK_SKU="ALL")+(BULK_SKU=$G100))*(BULK_START&lt;=1)*(BULK_END&gt;=1))*IFERROR(BULK_VALUE,0))/MAX(1,SUMPRODUCT(((BULK_ENABLED="Y")*((BULK_TIER="ALL")+(BULK_TIER=$F100))*((BULK_SKU="ALL")+(BULK_SKU=$G100))*(BULK_START&lt;=1)*(BULK_END&gt;=1)))),0),ROUND((INDEX(VELOCITY_TABLE,MATCH($F100,TIER_LIST,0),3))*(IF((1-$I100+1)&lt;=0,0,IF((1-$I100+1)=1,RAMP_W1,IF((1-$I100+1)=2,RAMP_W2,IF((1-$I100+1)=3,RAMP_W3,RAMP_W4PLUS)))))*(INDEX(ACTIVE_MULT_TABLE,3,1))*(1+SUMPRODUCT(SIGN(((ACT_DOOR_SCOPE="ALL")+(ACT_DOOR_SCOPE="TIER_"&amp;$F100)+(ACT_DOOR_SCOPE=$B100)))*SIGN(((ACT_SKU_SCOPE="ALL")+(ACT_SKU_SCOPE=$G100)))*(ACT_START&lt;=1)*(ACT_END&gt;=1)*IFERROR(ACT_UPLIFT-1,0)))*(1+SUMPRODUCT(SIGN(((ACT_DOOR_SCOPE="ALL")+(ACT_DOOR_SCOPE="TIER_"&amp;$F100)+(ACT_DOOR_SCOPE=$B100)))*SIGN(((ACT_SKU_SCOPE="ALL")+(ACT_SKU_SCOPE=$G100)))*(1&gt;ACT_END)*(ACT_END&gt;0)*IFERROR(ACT_POSTLIFT,0))),0)))</f>
        <v/>
      </c>
      <c r="K100" s="10">
        <f>IF(OR($H100&lt;&gt;"Y",2&lt;$I100),0,IF(SUMPRODUCT(((BULK_ENABLED="Y")*((BULK_TIER="ALL")+(BULK_TIER=$F100))*((BULK_SKU="ALL")+(BULK_SKU=$G100))*(BULK_START&lt;=2)*(BULK_END&gt;=2)))&gt;0,IFERROR(SUMPRODUCT(((BULK_ENABLED="Y")*((BULK_TIER="ALL")+(BULK_TIER=$F100))*((BULK_SKU="ALL")+(BULK_SKU=$G100))*(BULK_START&lt;=2)*(BULK_END&gt;=2))*IFERROR(BULK_VALUE,0))/MAX(1,SUMPRODUCT(((BULK_ENABLED="Y")*((BULK_TIER="ALL")+(BULK_TIER=$F100))*((BULK_SKU="ALL")+(BULK_SKU=$G100))*(BULK_START&lt;=2)*(BULK_END&gt;=2)))),0),ROUND((INDEX(VELOCITY_TABLE,MATCH($F100,TIER_LIST,0),3))*(IF((2-$I100+1)&lt;=0,0,IF((2-$I100+1)=1,RAMP_W1,IF((2-$I100+1)=2,RAMP_W2,IF((2-$I100+1)=3,RAMP_W3,RAMP_W4PLUS)))))*(INDEX(ACTIVE_MULT_TABLE,3,1))*(1+SUMPRODUCT(SIGN(((ACT_DOOR_SCOPE="ALL")+(ACT_DOOR_SCOPE="TIER_"&amp;$F100)+(ACT_DOOR_SCOPE=$B100)))*SIGN(((ACT_SKU_SCOPE="ALL")+(ACT_SKU_SCOPE=$G100)))*(ACT_START&lt;=2)*(ACT_END&gt;=2)*IFERROR(ACT_UPLIFT-1,0)))*(1+SUMPRODUCT(SIGN(((ACT_DOOR_SCOPE="ALL")+(ACT_DOOR_SCOPE="TIER_"&amp;$F100)+(ACT_DOOR_SCOPE=$B100)))*SIGN(((ACT_SKU_SCOPE="ALL")+(ACT_SKU_SCOPE=$G100)))*(2&gt;ACT_END)*(ACT_END&gt;0)*IFERROR(ACT_POSTLIFT,0))),0)))</f>
        <v/>
      </c>
      <c r="L100" s="10">
        <f>IF(OR($H100&lt;&gt;"Y",3&lt;$I100),0,IF(SUMPRODUCT(((BULK_ENABLED="Y")*((BULK_TIER="ALL")+(BULK_TIER=$F100))*((BULK_SKU="ALL")+(BULK_SKU=$G100))*(BULK_START&lt;=3)*(BULK_END&gt;=3)))&gt;0,IFERROR(SUMPRODUCT(((BULK_ENABLED="Y")*((BULK_TIER="ALL")+(BULK_TIER=$F100))*((BULK_SKU="ALL")+(BULK_SKU=$G100))*(BULK_START&lt;=3)*(BULK_END&gt;=3))*IFERROR(BULK_VALUE,0))/MAX(1,SUMPRODUCT(((BULK_ENABLED="Y")*((BULK_TIER="ALL")+(BULK_TIER=$F100))*((BULK_SKU="ALL")+(BULK_SKU=$G100))*(BULK_START&lt;=3)*(BULK_END&gt;=3)))),0),ROUND((INDEX(VELOCITY_TABLE,MATCH($F100,TIER_LIST,0),3))*(IF((3-$I100+1)&lt;=0,0,IF((3-$I100+1)=1,RAMP_W1,IF((3-$I100+1)=2,RAMP_W2,IF((3-$I100+1)=3,RAMP_W3,RAMP_W4PLUS)))))*(INDEX(ACTIVE_MULT_TABLE,3,1))*(1+SUMPRODUCT(SIGN(((ACT_DOOR_SCOPE="ALL")+(ACT_DOOR_SCOPE="TIER_"&amp;$F100)+(ACT_DOOR_SCOPE=$B100)))*SIGN(((ACT_SKU_SCOPE="ALL")+(ACT_SKU_SCOPE=$G100)))*(ACT_START&lt;=3)*(ACT_END&gt;=3)*IFERROR(ACT_UPLIFT-1,0)))*(1+SUMPRODUCT(SIGN(((ACT_DOOR_SCOPE="ALL")+(ACT_DOOR_SCOPE="TIER_"&amp;$F100)+(ACT_DOOR_SCOPE=$B100)))*SIGN(((ACT_SKU_SCOPE="ALL")+(ACT_SKU_SCOPE=$G100)))*(3&gt;ACT_END)*(ACT_END&gt;0)*IFERROR(ACT_POSTLIFT,0))),0)))</f>
        <v/>
      </c>
      <c r="M100" s="10">
        <f>IF(OR($H100&lt;&gt;"Y",4&lt;$I100),0,IF(SUMPRODUCT(((BULK_ENABLED="Y")*((BULK_TIER="ALL")+(BULK_TIER=$F100))*((BULK_SKU="ALL")+(BULK_SKU=$G100))*(BULK_START&lt;=4)*(BULK_END&gt;=4)))&gt;0,IFERROR(SUMPRODUCT(((BULK_ENABLED="Y")*((BULK_TIER="ALL")+(BULK_TIER=$F100))*((BULK_SKU="ALL")+(BULK_SKU=$G100))*(BULK_START&lt;=4)*(BULK_END&gt;=4))*IFERROR(BULK_VALUE,0))/MAX(1,SUMPRODUCT(((BULK_ENABLED="Y")*((BULK_TIER="ALL")+(BULK_TIER=$F100))*((BULK_SKU="ALL")+(BULK_SKU=$G100))*(BULK_START&lt;=4)*(BULK_END&gt;=4)))),0),ROUND((INDEX(VELOCITY_TABLE,MATCH($F100,TIER_LIST,0),3))*(IF((4-$I100+1)&lt;=0,0,IF((4-$I100+1)=1,RAMP_W1,IF((4-$I100+1)=2,RAMP_W2,IF((4-$I100+1)=3,RAMP_W3,RAMP_W4PLUS)))))*(INDEX(ACTIVE_MULT_TABLE,3,1))*(1+SUMPRODUCT(SIGN(((ACT_DOOR_SCOPE="ALL")+(ACT_DOOR_SCOPE="TIER_"&amp;$F100)+(ACT_DOOR_SCOPE=$B100)))*SIGN(((ACT_SKU_SCOPE="ALL")+(ACT_SKU_SCOPE=$G100)))*(ACT_START&lt;=4)*(ACT_END&gt;=4)*IFERROR(ACT_UPLIFT-1,0)))*(1+SUMPRODUCT(SIGN(((ACT_DOOR_SCOPE="ALL")+(ACT_DOOR_SCOPE="TIER_"&amp;$F100)+(ACT_DOOR_SCOPE=$B100)))*SIGN(((ACT_SKU_SCOPE="ALL")+(ACT_SKU_SCOPE=$G100)))*(4&gt;ACT_END)*(ACT_END&gt;0)*IFERROR(ACT_POSTLIFT,0))),0)))</f>
        <v/>
      </c>
      <c r="N100" s="10">
        <f>IF(OR($H100&lt;&gt;"Y",5&lt;$I100),0,IF(SUMPRODUCT(((BULK_ENABLED="Y")*((BULK_TIER="ALL")+(BULK_TIER=$F100))*((BULK_SKU="ALL")+(BULK_SKU=$G100))*(BULK_START&lt;=5)*(BULK_END&gt;=5)))&gt;0,IFERROR(SUMPRODUCT(((BULK_ENABLED="Y")*((BULK_TIER="ALL")+(BULK_TIER=$F100))*((BULK_SKU="ALL")+(BULK_SKU=$G100))*(BULK_START&lt;=5)*(BULK_END&gt;=5))*IFERROR(BULK_VALUE,0))/MAX(1,SUMPRODUCT(((BULK_ENABLED="Y")*((BULK_TIER="ALL")+(BULK_TIER=$F100))*((BULK_SKU="ALL")+(BULK_SKU=$G100))*(BULK_START&lt;=5)*(BULK_END&gt;=5)))),0),ROUND((INDEX(VELOCITY_TABLE,MATCH($F100,TIER_LIST,0),3))*(IF((5-$I100+1)&lt;=0,0,IF((5-$I100+1)=1,RAMP_W1,IF((5-$I100+1)=2,RAMP_W2,IF((5-$I100+1)=3,RAMP_W3,RAMP_W4PLUS)))))*(INDEX(ACTIVE_MULT_TABLE,3,1))*(1+SUMPRODUCT(SIGN(((ACT_DOOR_SCOPE="ALL")+(ACT_DOOR_SCOPE="TIER_"&amp;$F100)+(ACT_DOOR_SCOPE=$B100)))*SIGN(((ACT_SKU_SCOPE="ALL")+(ACT_SKU_SCOPE=$G100)))*(ACT_START&lt;=5)*(ACT_END&gt;=5)*IFERROR(ACT_UPLIFT-1,0)))*(1+SUMPRODUCT(SIGN(((ACT_DOOR_SCOPE="ALL")+(ACT_DOOR_SCOPE="TIER_"&amp;$F100)+(ACT_DOOR_SCOPE=$B100)))*SIGN(((ACT_SKU_SCOPE="ALL")+(ACT_SKU_SCOPE=$G100)))*(5&gt;ACT_END)*(ACT_END&gt;0)*IFERROR(ACT_POSTLIFT,0))),0)))</f>
        <v/>
      </c>
      <c r="O100" s="10">
        <f>IF(OR($H100&lt;&gt;"Y",6&lt;$I100),0,IF(SUMPRODUCT(((BULK_ENABLED="Y")*((BULK_TIER="ALL")+(BULK_TIER=$F100))*((BULK_SKU="ALL")+(BULK_SKU=$G100))*(BULK_START&lt;=6)*(BULK_END&gt;=6)))&gt;0,IFERROR(SUMPRODUCT(((BULK_ENABLED="Y")*((BULK_TIER="ALL")+(BULK_TIER=$F100))*((BULK_SKU="ALL")+(BULK_SKU=$G100))*(BULK_START&lt;=6)*(BULK_END&gt;=6))*IFERROR(BULK_VALUE,0))/MAX(1,SUMPRODUCT(((BULK_ENABLED="Y")*((BULK_TIER="ALL")+(BULK_TIER=$F100))*((BULK_SKU="ALL")+(BULK_SKU=$G100))*(BULK_START&lt;=6)*(BULK_END&gt;=6)))),0),ROUND((INDEX(VELOCITY_TABLE,MATCH($F100,TIER_LIST,0),3))*(IF((6-$I100+1)&lt;=0,0,IF((6-$I100+1)=1,RAMP_W1,IF((6-$I100+1)=2,RAMP_W2,IF((6-$I100+1)=3,RAMP_W3,RAMP_W4PLUS)))))*(INDEX(ACTIVE_MULT_TABLE,3,1))*(1+SUMPRODUCT(SIGN(((ACT_DOOR_SCOPE="ALL")+(ACT_DOOR_SCOPE="TIER_"&amp;$F100)+(ACT_DOOR_SCOPE=$B100)))*SIGN(((ACT_SKU_SCOPE="ALL")+(ACT_SKU_SCOPE=$G100)))*(ACT_START&lt;=6)*(ACT_END&gt;=6)*IFERROR(ACT_UPLIFT-1,0)))*(1+SUMPRODUCT(SIGN(((ACT_DOOR_SCOPE="ALL")+(ACT_DOOR_SCOPE="TIER_"&amp;$F100)+(ACT_DOOR_SCOPE=$B100)))*SIGN(((ACT_SKU_SCOPE="ALL")+(ACT_SKU_SCOPE=$G100)))*(6&gt;ACT_END)*(ACT_END&gt;0)*IFERROR(ACT_POSTLIFT,0))),0)))</f>
        <v/>
      </c>
      <c r="P100" s="10">
        <f>IF(OR($H100&lt;&gt;"Y",7&lt;$I100),0,IF(SUMPRODUCT(((BULK_ENABLED="Y")*((BULK_TIER="ALL")+(BULK_TIER=$F100))*((BULK_SKU="ALL")+(BULK_SKU=$G100))*(BULK_START&lt;=7)*(BULK_END&gt;=7)))&gt;0,IFERROR(SUMPRODUCT(((BULK_ENABLED="Y")*((BULK_TIER="ALL")+(BULK_TIER=$F100))*((BULK_SKU="ALL")+(BULK_SKU=$G100))*(BULK_START&lt;=7)*(BULK_END&gt;=7))*IFERROR(BULK_VALUE,0))/MAX(1,SUMPRODUCT(((BULK_ENABLED="Y")*((BULK_TIER="ALL")+(BULK_TIER=$F100))*((BULK_SKU="ALL")+(BULK_SKU=$G100))*(BULK_START&lt;=7)*(BULK_END&gt;=7)))),0),ROUND((INDEX(VELOCITY_TABLE,MATCH($F100,TIER_LIST,0),3))*(IF((7-$I100+1)&lt;=0,0,IF((7-$I100+1)=1,RAMP_W1,IF((7-$I100+1)=2,RAMP_W2,IF((7-$I100+1)=3,RAMP_W3,RAMP_W4PLUS)))))*(INDEX(ACTIVE_MULT_TABLE,3,1))*(1+SUMPRODUCT(SIGN(((ACT_DOOR_SCOPE="ALL")+(ACT_DOOR_SCOPE="TIER_"&amp;$F100)+(ACT_DOOR_SCOPE=$B100)))*SIGN(((ACT_SKU_SCOPE="ALL")+(ACT_SKU_SCOPE=$G100)))*(ACT_START&lt;=7)*(ACT_END&gt;=7)*IFERROR(ACT_UPLIFT-1,0)))*(1+SUMPRODUCT(SIGN(((ACT_DOOR_SCOPE="ALL")+(ACT_DOOR_SCOPE="TIER_"&amp;$F100)+(ACT_DOOR_SCOPE=$B100)))*SIGN(((ACT_SKU_SCOPE="ALL")+(ACT_SKU_SCOPE=$G100)))*(7&gt;ACT_END)*(ACT_END&gt;0)*IFERROR(ACT_POSTLIFT,0))),0)))</f>
        <v/>
      </c>
      <c r="Q100" s="10">
        <f>IF(OR($H100&lt;&gt;"Y",8&lt;$I100),0,IF(SUMPRODUCT(((BULK_ENABLED="Y")*((BULK_TIER="ALL")+(BULK_TIER=$F100))*((BULK_SKU="ALL")+(BULK_SKU=$G100))*(BULK_START&lt;=8)*(BULK_END&gt;=8)))&gt;0,IFERROR(SUMPRODUCT(((BULK_ENABLED="Y")*((BULK_TIER="ALL")+(BULK_TIER=$F100))*((BULK_SKU="ALL")+(BULK_SKU=$G100))*(BULK_START&lt;=8)*(BULK_END&gt;=8))*IFERROR(BULK_VALUE,0))/MAX(1,SUMPRODUCT(((BULK_ENABLED="Y")*((BULK_TIER="ALL")+(BULK_TIER=$F100))*((BULK_SKU="ALL")+(BULK_SKU=$G100))*(BULK_START&lt;=8)*(BULK_END&gt;=8)))),0),ROUND((INDEX(VELOCITY_TABLE,MATCH($F100,TIER_LIST,0),3))*(IF((8-$I100+1)&lt;=0,0,IF((8-$I100+1)=1,RAMP_W1,IF((8-$I100+1)=2,RAMP_W2,IF((8-$I100+1)=3,RAMP_W3,RAMP_W4PLUS)))))*(INDEX(ACTIVE_MULT_TABLE,3,1))*(1+SUMPRODUCT(SIGN(((ACT_DOOR_SCOPE="ALL")+(ACT_DOOR_SCOPE="TIER_"&amp;$F100)+(ACT_DOOR_SCOPE=$B100)))*SIGN(((ACT_SKU_SCOPE="ALL")+(ACT_SKU_SCOPE=$G100)))*(ACT_START&lt;=8)*(ACT_END&gt;=8)*IFERROR(ACT_UPLIFT-1,0)))*(1+SUMPRODUCT(SIGN(((ACT_DOOR_SCOPE="ALL")+(ACT_DOOR_SCOPE="TIER_"&amp;$F100)+(ACT_DOOR_SCOPE=$B100)))*SIGN(((ACT_SKU_SCOPE="ALL")+(ACT_SKU_SCOPE=$G100)))*(8&gt;ACT_END)*(ACT_END&gt;0)*IFERROR(ACT_POSTLIFT,0))),0)))</f>
        <v/>
      </c>
      <c r="R100" s="10">
        <f>IF(OR($H100&lt;&gt;"Y",9&lt;$I100),0,IF(SUMPRODUCT(((BULK_ENABLED="Y")*((BULK_TIER="ALL")+(BULK_TIER=$F100))*((BULK_SKU="ALL")+(BULK_SKU=$G100))*(BULK_START&lt;=9)*(BULK_END&gt;=9)))&gt;0,IFERROR(SUMPRODUCT(((BULK_ENABLED="Y")*((BULK_TIER="ALL")+(BULK_TIER=$F100))*((BULK_SKU="ALL")+(BULK_SKU=$G100))*(BULK_START&lt;=9)*(BULK_END&gt;=9))*IFERROR(BULK_VALUE,0))/MAX(1,SUMPRODUCT(((BULK_ENABLED="Y")*((BULK_TIER="ALL")+(BULK_TIER=$F100))*((BULK_SKU="ALL")+(BULK_SKU=$G100))*(BULK_START&lt;=9)*(BULK_END&gt;=9)))),0),ROUND((INDEX(VELOCITY_TABLE,MATCH($F100,TIER_LIST,0),3))*(IF((9-$I100+1)&lt;=0,0,IF((9-$I100+1)=1,RAMP_W1,IF((9-$I100+1)=2,RAMP_W2,IF((9-$I100+1)=3,RAMP_W3,RAMP_W4PLUS)))))*(INDEX(ACTIVE_MULT_TABLE,3,1))*(1+SUMPRODUCT(SIGN(((ACT_DOOR_SCOPE="ALL")+(ACT_DOOR_SCOPE="TIER_"&amp;$F100)+(ACT_DOOR_SCOPE=$B100)))*SIGN(((ACT_SKU_SCOPE="ALL")+(ACT_SKU_SCOPE=$G100)))*(ACT_START&lt;=9)*(ACT_END&gt;=9)*IFERROR(ACT_UPLIFT-1,0)))*(1+SUMPRODUCT(SIGN(((ACT_DOOR_SCOPE="ALL")+(ACT_DOOR_SCOPE="TIER_"&amp;$F100)+(ACT_DOOR_SCOPE=$B100)))*SIGN(((ACT_SKU_SCOPE="ALL")+(ACT_SKU_SCOPE=$G100)))*(9&gt;ACT_END)*(ACT_END&gt;0)*IFERROR(ACT_POSTLIFT,0))),0)))</f>
        <v/>
      </c>
      <c r="S100" s="10">
        <f>IF(OR($H100&lt;&gt;"Y",10&lt;$I100),0,IF(SUMPRODUCT(((BULK_ENABLED="Y")*((BULK_TIER="ALL")+(BULK_TIER=$F100))*((BULK_SKU="ALL")+(BULK_SKU=$G100))*(BULK_START&lt;=10)*(BULK_END&gt;=10)))&gt;0,IFERROR(SUMPRODUCT(((BULK_ENABLED="Y")*((BULK_TIER="ALL")+(BULK_TIER=$F100))*((BULK_SKU="ALL")+(BULK_SKU=$G100))*(BULK_START&lt;=10)*(BULK_END&gt;=10))*IFERROR(BULK_VALUE,0))/MAX(1,SUMPRODUCT(((BULK_ENABLED="Y")*((BULK_TIER="ALL")+(BULK_TIER=$F100))*((BULK_SKU="ALL")+(BULK_SKU=$G100))*(BULK_START&lt;=10)*(BULK_END&gt;=10)))),0),ROUND((INDEX(VELOCITY_TABLE,MATCH($F100,TIER_LIST,0),3))*(IF((10-$I100+1)&lt;=0,0,IF((10-$I100+1)=1,RAMP_W1,IF((10-$I100+1)=2,RAMP_W2,IF((10-$I100+1)=3,RAMP_W3,RAMP_W4PLUS)))))*(INDEX(ACTIVE_MULT_TABLE,3,1))*(1+SUMPRODUCT(SIGN(((ACT_DOOR_SCOPE="ALL")+(ACT_DOOR_SCOPE="TIER_"&amp;$F100)+(ACT_DOOR_SCOPE=$B100)))*SIGN(((ACT_SKU_SCOPE="ALL")+(ACT_SKU_SCOPE=$G100)))*(ACT_START&lt;=10)*(ACT_END&gt;=10)*IFERROR(ACT_UPLIFT-1,0)))*(1+SUMPRODUCT(SIGN(((ACT_DOOR_SCOPE="ALL")+(ACT_DOOR_SCOPE="TIER_"&amp;$F100)+(ACT_DOOR_SCOPE=$B100)))*SIGN(((ACT_SKU_SCOPE="ALL")+(ACT_SKU_SCOPE=$G100)))*(10&gt;ACT_END)*(ACT_END&gt;0)*IFERROR(ACT_POSTLIFT,0))),0)))</f>
        <v/>
      </c>
      <c r="T100" s="10">
        <f>IF(OR($H100&lt;&gt;"Y",11&lt;$I100),0,IF(SUMPRODUCT(((BULK_ENABLED="Y")*((BULK_TIER="ALL")+(BULK_TIER=$F100))*((BULK_SKU="ALL")+(BULK_SKU=$G100))*(BULK_START&lt;=11)*(BULK_END&gt;=11)))&gt;0,IFERROR(SUMPRODUCT(((BULK_ENABLED="Y")*((BULK_TIER="ALL")+(BULK_TIER=$F100))*((BULK_SKU="ALL")+(BULK_SKU=$G100))*(BULK_START&lt;=11)*(BULK_END&gt;=11))*IFERROR(BULK_VALUE,0))/MAX(1,SUMPRODUCT(((BULK_ENABLED="Y")*((BULK_TIER="ALL")+(BULK_TIER=$F100))*((BULK_SKU="ALL")+(BULK_SKU=$G100))*(BULK_START&lt;=11)*(BULK_END&gt;=11)))),0),ROUND((INDEX(VELOCITY_TABLE,MATCH($F100,TIER_LIST,0),3))*(IF((11-$I100+1)&lt;=0,0,IF((11-$I100+1)=1,RAMP_W1,IF((11-$I100+1)=2,RAMP_W2,IF((11-$I100+1)=3,RAMP_W3,RAMP_W4PLUS)))))*(INDEX(ACTIVE_MULT_TABLE,3,1))*(1+SUMPRODUCT(SIGN(((ACT_DOOR_SCOPE="ALL")+(ACT_DOOR_SCOPE="TIER_"&amp;$F100)+(ACT_DOOR_SCOPE=$B100)))*SIGN(((ACT_SKU_SCOPE="ALL")+(ACT_SKU_SCOPE=$G100)))*(ACT_START&lt;=11)*(ACT_END&gt;=11)*IFERROR(ACT_UPLIFT-1,0)))*(1+SUMPRODUCT(SIGN(((ACT_DOOR_SCOPE="ALL")+(ACT_DOOR_SCOPE="TIER_"&amp;$F100)+(ACT_DOOR_SCOPE=$B100)))*SIGN(((ACT_SKU_SCOPE="ALL")+(ACT_SKU_SCOPE=$G100)))*(11&gt;ACT_END)*(ACT_END&gt;0)*IFERROR(ACT_POSTLIFT,0))),0)))</f>
        <v/>
      </c>
      <c r="U100" s="10">
        <f>IF(OR($H100&lt;&gt;"Y",12&lt;$I100),0,IF(SUMPRODUCT(((BULK_ENABLED="Y")*((BULK_TIER="ALL")+(BULK_TIER=$F100))*((BULK_SKU="ALL")+(BULK_SKU=$G100))*(BULK_START&lt;=12)*(BULK_END&gt;=12)))&gt;0,IFERROR(SUMPRODUCT(((BULK_ENABLED="Y")*((BULK_TIER="ALL")+(BULK_TIER=$F100))*((BULK_SKU="ALL")+(BULK_SKU=$G100))*(BULK_START&lt;=12)*(BULK_END&gt;=12))*IFERROR(BULK_VALUE,0))/MAX(1,SUMPRODUCT(((BULK_ENABLED="Y")*((BULK_TIER="ALL")+(BULK_TIER=$F100))*((BULK_SKU="ALL")+(BULK_SKU=$G100))*(BULK_START&lt;=12)*(BULK_END&gt;=12)))),0),ROUND((INDEX(VELOCITY_TABLE,MATCH($F100,TIER_LIST,0),3))*(IF((12-$I100+1)&lt;=0,0,IF((12-$I100+1)=1,RAMP_W1,IF((12-$I100+1)=2,RAMP_W2,IF((12-$I100+1)=3,RAMP_W3,RAMP_W4PLUS)))))*(INDEX(ACTIVE_MULT_TABLE,3,1))*(1+SUMPRODUCT(SIGN(((ACT_DOOR_SCOPE="ALL")+(ACT_DOOR_SCOPE="TIER_"&amp;$F100)+(ACT_DOOR_SCOPE=$B100)))*SIGN(((ACT_SKU_SCOPE="ALL")+(ACT_SKU_SCOPE=$G100)))*(ACT_START&lt;=12)*(ACT_END&gt;=12)*IFERROR(ACT_UPLIFT-1,0)))*(1+SUMPRODUCT(SIGN(((ACT_DOOR_SCOPE="ALL")+(ACT_DOOR_SCOPE="TIER_"&amp;$F100)+(ACT_DOOR_SCOPE=$B100)))*SIGN(((ACT_SKU_SCOPE="ALL")+(ACT_SKU_SCOPE=$G100)))*(12&gt;ACT_END)*(ACT_END&gt;0)*IFERROR(ACT_POSTLIFT,0))),0)))</f>
        <v/>
      </c>
      <c r="V100" s="10">
        <f>IF(OR($H100&lt;&gt;"Y",13&lt;$I100),0,IF(SUMPRODUCT(((BULK_ENABLED="Y")*((BULK_TIER="ALL")+(BULK_TIER=$F100))*((BULK_SKU="ALL")+(BULK_SKU=$G100))*(BULK_START&lt;=13)*(BULK_END&gt;=13)))&gt;0,IFERROR(SUMPRODUCT(((BULK_ENABLED="Y")*((BULK_TIER="ALL")+(BULK_TIER=$F100))*((BULK_SKU="ALL")+(BULK_SKU=$G100))*(BULK_START&lt;=13)*(BULK_END&gt;=13))*IFERROR(BULK_VALUE,0))/MAX(1,SUMPRODUCT(((BULK_ENABLED="Y")*((BULK_TIER="ALL")+(BULK_TIER=$F100))*((BULK_SKU="ALL")+(BULK_SKU=$G100))*(BULK_START&lt;=13)*(BULK_END&gt;=13)))),0),ROUND((INDEX(VELOCITY_TABLE,MATCH($F100,TIER_LIST,0),3))*(IF((13-$I100+1)&lt;=0,0,IF((13-$I100+1)=1,RAMP_W1,IF((13-$I100+1)=2,RAMP_W2,IF((13-$I100+1)=3,RAMP_W3,RAMP_W4PLUS)))))*(INDEX(ACTIVE_MULT_TABLE,3,1))*(1+SUMPRODUCT(SIGN(((ACT_DOOR_SCOPE="ALL")+(ACT_DOOR_SCOPE="TIER_"&amp;$F100)+(ACT_DOOR_SCOPE=$B100)))*SIGN(((ACT_SKU_SCOPE="ALL")+(ACT_SKU_SCOPE=$G100)))*(ACT_START&lt;=13)*(ACT_END&gt;=13)*IFERROR(ACT_UPLIFT-1,0)))*(1+SUMPRODUCT(SIGN(((ACT_DOOR_SCOPE="ALL")+(ACT_DOOR_SCOPE="TIER_"&amp;$F100)+(ACT_DOOR_SCOPE=$B100)))*SIGN(((ACT_SKU_SCOPE="ALL")+(ACT_SKU_SCOPE=$G100)))*(13&gt;ACT_END)*(ACT_END&gt;0)*IFERROR(ACT_POSTLIFT,0))),0)))</f>
        <v/>
      </c>
    </row>
    <row r="101">
      <c r="A101" t="inlineStr">
        <is>
          <t>R0097</t>
        </is>
      </c>
      <c r="B101">
        <f>Doors!$A$37</f>
        <v/>
      </c>
      <c r="C101">
        <f>Doors!$C$37</f>
        <v/>
      </c>
      <c r="D101">
        <f>Doors!$B$37</f>
        <v/>
      </c>
      <c r="E101">
        <f>Doors!$E$37</f>
        <v/>
      </c>
      <c r="F101">
        <f>Doors!$F$37</f>
        <v/>
      </c>
      <c r="G101" t="inlineStr">
        <is>
          <t>Lime Lemon</t>
        </is>
      </c>
      <c r="H101">
        <f>Doors!$G$37</f>
        <v/>
      </c>
      <c r="I101">
        <f>Doors!$J$37</f>
        <v/>
      </c>
      <c r="J101" s="10">
        <f>IF(OR($H101&lt;&gt;"Y",1&lt;$I101),0,IF(SUMPRODUCT(((BULK_ENABLED="Y")*((BULK_TIER="ALL")+(BULK_TIER=$F101))*((BULK_SKU="ALL")+(BULK_SKU=$G101))*(BULK_START&lt;=1)*(BULK_END&gt;=1)))&gt;0,IFERROR(SUMPRODUCT(((BULK_ENABLED="Y")*((BULK_TIER="ALL")+(BULK_TIER=$F101))*((BULK_SKU="ALL")+(BULK_SKU=$G101))*(BULK_START&lt;=1)*(BULK_END&gt;=1))*IFERROR(BULK_VALUE,0))/MAX(1,SUMPRODUCT(((BULK_ENABLED="Y")*((BULK_TIER="ALL")+(BULK_TIER=$F101))*((BULK_SKU="ALL")+(BULK_SKU=$G101))*(BULK_START&lt;=1)*(BULK_END&gt;=1)))),0),ROUND((INDEX(VELOCITY_TABLE,MATCH($F101,TIER_LIST,0),1))*(IF((1-$I101+1)&lt;=0,0,IF((1-$I101+1)=1,RAMP_W1,IF((1-$I101+1)=2,RAMP_W2,IF((1-$I101+1)=3,RAMP_W3,RAMP_W4PLUS)))))*(INDEX(ACTIVE_MULT_TABLE,1,1))*(1+SUMPRODUCT(SIGN(((ACT_DOOR_SCOPE="ALL")+(ACT_DOOR_SCOPE="TIER_"&amp;$F101)+(ACT_DOOR_SCOPE=$B101)))*SIGN(((ACT_SKU_SCOPE="ALL")+(ACT_SKU_SCOPE=$G101)))*(ACT_START&lt;=1)*(ACT_END&gt;=1)*IFERROR(ACT_UPLIFT-1,0)))*(1+SUMPRODUCT(SIGN(((ACT_DOOR_SCOPE="ALL")+(ACT_DOOR_SCOPE="TIER_"&amp;$F101)+(ACT_DOOR_SCOPE=$B101)))*SIGN(((ACT_SKU_SCOPE="ALL")+(ACT_SKU_SCOPE=$G101)))*(1&gt;ACT_END)*(ACT_END&gt;0)*IFERROR(ACT_POSTLIFT,0))),0)))</f>
        <v/>
      </c>
      <c r="K101" s="10">
        <f>IF(OR($H101&lt;&gt;"Y",2&lt;$I101),0,IF(SUMPRODUCT(((BULK_ENABLED="Y")*((BULK_TIER="ALL")+(BULK_TIER=$F101))*((BULK_SKU="ALL")+(BULK_SKU=$G101))*(BULK_START&lt;=2)*(BULK_END&gt;=2)))&gt;0,IFERROR(SUMPRODUCT(((BULK_ENABLED="Y")*((BULK_TIER="ALL")+(BULK_TIER=$F101))*((BULK_SKU="ALL")+(BULK_SKU=$G101))*(BULK_START&lt;=2)*(BULK_END&gt;=2))*IFERROR(BULK_VALUE,0))/MAX(1,SUMPRODUCT(((BULK_ENABLED="Y")*((BULK_TIER="ALL")+(BULK_TIER=$F101))*((BULK_SKU="ALL")+(BULK_SKU=$G101))*(BULK_START&lt;=2)*(BULK_END&gt;=2)))),0),ROUND((INDEX(VELOCITY_TABLE,MATCH($F101,TIER_LIST,0),1))*(IF((2-$I101+1)&lt;=0,0,IF((2-$I101+1)=1,RAMP_W1,IF((2-$I101+1)=2,RAMP_W2,IF((2-$I101+1)=3,RAMP_W3,RAMP_W4PLUS)))))*(INDEX(ACTIVE_MULT_TABLE,1,1))*(1+SUMPRODUCT(SIGN(((ACT_DOOR_SCOPE="ALL")+(ACT_DOOR_SCOPE="TIER_"&amp;$F101)+(ACT_DOOR_SCOPE=$B101)))*SIGN(((ACT_SKU_SCOPE="ALL")+(ACT_SKU_SCOPE=$G101)))*(ACT_START&lt;=2)*(ACT_END&gt;=2)*IFERROR(ACT_UPLIFT-1,0)))*(1+SUMPRODUCT(SIGN(((ACT_DOOR_SCOPE="ALL")+(ACT_DOOR_SCOPE="TIER_"&amp;$F101)+(ACT_DOOR_SCOPE=$B101)))*SIGN(((ACT_SKU_SCOPE="ALL")+(ACT_SKU_SCOPE=$G101)))*(2&gt;ACT_END)*(ACT_END&gt;0)*IFERROR(ACT_POSTLIFT,0))),0)))</f>
        <v/>
      </c>
      <c r="L101" s="10">
        <f>IF(OR($H101&lt;&gt;"Y",3&lt;$I101),0,IF(SUMPRODUCT(((BULK_ENABLED="Y")*((BULK_TIER="ALL")+(BULK_TIER=$F101))*((BULK_SKU="ALL")+(BULK_SKU=$G101))*(BULK_START&lt;=3)*(BULK_END&gt;=3)))&gt;0,IFERROR(SUMPRODUCT(((BULK_ENABLED="Y")*((BULK_TIER="ALL")+(BULK_TIER=$F101))*((BULK_SKU="ALL")+(BULK_SKU=$G101))*(BULK_START&lt;=3)*(BULK_END&gt;=3))*IFERROR(BULK_VALUE,0))/MAX(1,SUMPRODUCT(((BULK_ENABLED="Y")*((BULK_TIER="ALL")+(BULK_TIER=$F101))*((BULK_SKU="ALL")+(BULK_SKU=$G101))*(BULK_START&lt;=3)*(BULK_END&gt;=3)))),0),ROUND((INDEX(VELOCITY_TABLE,MATCH($F101,TIER_LIST,0),1))*(IF((3-$I101+1)&lt;=0,0,IF((3-$I101+1)=1,RAMP_W1,IF((3-$I101+1)=2,RAMP_W2,IF((3-$I101+1)=3,RAMP_W3,RAMP_W4PLUS)))))*(INDEX(ACTIVE_MULT_TABLE,1,1))*(1+SUMPRODUCT(SIGN(((ACT_DOOR_SCOPE="ALL")+(ACT_DOOR_SCOPE="TIER_"&amp;$F101)+(ACT_DOOR_SCOPE=$B101)))*SIGN(((ACT_SKU_SCOPE="ALL")+(ACT_SKU_SCOPE=$G101)))*(ACT_START&lt;=3)*(ACT_END&gt;=3)*IFERROR(ACT_UPLIFT-1,0)))*(1+SUMPRODUCT(SIGN(((ACT_DOOR_SCOPE="ALL")+(ACT_DOOR_SCOPE="TIER_"&amp;$F101)+(ACT_DOOR_SCOPE=$B101)))*SIGN(((ACT_SKU_SCOPE="ALL")+(ACT_SKU_SCOPE=$G101)))*(3&gt;ACT_END)*(ACT_END&gt;0)*IFERROR(ACT_POSTLIFT,0))),0)))</f>
        <v/>
      </c>
      <c r="M101" s="10">
        <f>IF(OR($H101&lt;&gt;"Y",4&lt;$I101),0,IF(SUMPRODUCT(((BULK_ENABLED="Y")*((BULK_TIER="ALL")+(BULK_TIER=$F101))*((BULK_SKU="ALL")+(BULK_SKU=$G101))*(BULK_START&lt;=4)*(BULK_END&gt;=4)))&gt;0,IFERROR(SUMPRODUCT(((BULK_ENABLED="Y")*((BULK_TIER="ALL")+(BULK_TIER=$F101))*((BULK_SKU="ALL")+(BULK_SKU=$G101))*(BULK_START&lt;=4)*(BULK_END&gt;=4))*IFERROR(BULK_VALUE,0))/MAX(1,SUMPRODUCT(((BULK_ENABLED="Y")*((BULK_TIER="ALL")+(BULK_TIER=$F101))*((BULK_SKU="ALL")+(BULK_SKU=$G101))*(BULK_START&lt;=4)*(BULK_END&gt;=4)))),0),ROUND((INDEX(VELOCITY_TABLE,MATCH($F101,TIER_LIST,0),1))*(IF((4-$I101+1)&lt;=0,0,IF((4-$I101+1)=1,RAMP_W1,IF((4-$I101+1)=2,RAMP_W2,IF((4-$I101+1)=3,RAMP_W3,RAMP_W4PLUS)))))*(INDEX(ACTIVE_MULT_TABLE,1,1))*(1+SUMPRODUCT(SIGN(((ACT_DOOR_SCOPE="ALL")+(ACT_DOOR_SCOPE="TIER_"&amp;$F101)+(ACT_DOOR_SCOPE=$B101)))*SIGN(((ACT_SKU_SCOPE="ALL")+(ACT_SKU_SCOPE=$G101)))*(ACT_START&lt;=4)*(ACT_END&gt;=4)*IFERROR(ACT_UPLIFT-1,0)))*(1+SUMPRODUCT(SIGN(((ACT_DOOR_SCOPE="ALL")+(ACT_DOOR_SCOPE="TIER_"&amp;$F101)+(ACT_DOOR_SCOPE=$B101)))*SIGN(((ACT_SKU_SCOPE="ALL")+(ACT_SKU_SCOPE=$G101)))*(4&gt;ACT_END)*(ACT_END&gt;0)*IFERROR(ACT_POSTLIFT,0))),0)))</f>
        <v/>
      </c>
      <c r="N101" s="10">
        <f>IF(OR($H101&lt;&gt;"Y",5&lt;$I101),0,IF(SUMPRODUCT(((BULK_ENABLED="Y")*((BULK_TIER="ALL")+(BULK_TIER=$F101))*((BULK_SKU="ALL")+(BULK_SKU=$G101))*(BULK_START&lt;=5)*(BULK_END&gt;=5)))&gt;0,IFERROR(SUMPRODUCT(((BULK_ENABLED="Y")*((BULK_TIER="ALL")+(BULK_TIER=$F101))*((BULK_SKU="ALL")+(BULK_SKU=$G101))*(BULK_START&lt;=5)*(BULK_END&gt;=5))*IFERROR(BULK_VALUE,0))/MAX(1,SUMPRODUCT(((BULK_ENABLED="Y")*((BULK_TIER="ALL")+(BULK_TIER=$F101))*((BULK_SKU="ALL")+(BULK_SKU=$G101))*(BULK_START&lt;=5)*(BULK_END&gt;=5)))),0),ROUND((INDEX(VELOCITY_TABLE,MATCH($F101,TIER_LIST,0),1))*(IF((5-$I101+1)&lt;=0,0,IF((5-$I101+1)=1,RAMP_W1,IF((5-$I101+1)=2,RAMP_W2,IF((5-$I101+1)=3,RAMP_W3,RAMP_W4PLUS)))))*(INDEX(ACTIVE_MULT_TABLE,1,1))*(1+SUMPRODUCT(SIGN(((ACT_DOOR_SCOPE="ALL")+(ACT_DOOR_SCOPE="TIER_"&amp;$F101)+(ACT_DOOR_SCOPE=$B101)))*SIGN(((ACT_SKU_SCOPE="ALL")+(ACT_SKU_SCOPE=$G101)))*(ACT_START&lt;=5)*(ACT_END&gt;=5)*IFERROR(ACT_UPLIFT-1,0)))*(1+SUMPRODUCT(SIGN(((ACT_DOOR_SCOPE="ALL")+(ACT_DOOR_SCOPE="TIER_"&amp;$F101)+(ACT_DOOR_SCOPE=$B101)))*SIGN(((ACT_SKU_SCOPE="ALL")+(ACT_SKU_SCOPE=$G101)))*(5&gt;ACT_END)*(ACT_END&gt;0)*IFERROR(ACT_POSTLIFT,0))),0)))</f>
        <v/>
      </c>
      <c r="O101" s="10">
        <f>IF(OR($H101&lt;&gt;"Y",6&lt;$I101),0,IF(SUMPRODUCT(((BULK_ENABLED="Y")*((BULK_TIER="ALL")+(BULK_TIER=$F101))*((BULK_SKU="ALL")+(BULK_SKU=$G101))*(BULK_START&lt;=6)*(BULK_END&gt;=6)))&gt;0,IFERROR(SUMPRODUCT(((BULK_ENABLED="Y")*((BULK_TIER="ALL")+(BULK_TIER=$F101))*((BULK_SKU="ALL")+(BULK_SKU=$G101))*(BULK_START&lt;=6)*(BULK_END&gt;=6))*IFERROR(BULK_VALUE,0))/MAX(1,SUMPRODUCT(((BULK_ENABLED="Y")*((BULK_TIER="ALL")+(BULK_TIER=$F101))*((BULK_SKU="ALL")+(BULK_SKU=$G101))*(BULK_START&lt;=6)*(BULK_END&gt;=6)))),0),ROUND((INDEX(VELOCITY_TABLE,MATCH($F101,TIER_LIST,0),1))*(IF((6-$I101+1)&lt;=0,0,IF((6-$I101+1)=1,RAMP_W1,IF((6-$I101+1)=2,RAMP_W2,IF((6-$I101+1)=3,RAMP_W3,RAMP_W4PLUS)))))*(INDEX(ACTIVE_MULT_TABLE,1,1))*(1+SUMPRODUCT(SIGN(((ACT_DOOR_SCOPE="ALL")+(ACT_DOOR_SCOPE="TIER_"&amp;$F101)+(ACT_DOOR_SCOPE=$B101)))*SIGN(((ACT_SKU_SCOPE="ALL")+(ACT_SKU_SCOPE=$G101)))*(ACT_START&lt;=6)*(ACT_END&gt;=6)*IFERROR(ACT_UPLIFT-1,0)))*(1+SUMPRODUCT(SIGN(((ACT_DOOR_SCOPE="ALL")+(ACT_DOOR_SCOPE="TIER_"&amp;$F101)+(ACT_DOOR_SCOPE=$B101)))*SIGN(((ACT_SKU_SCOPE="ALL")+(ACT_SKU_SCOPE=$G101)))*(6&gt;ACT_END)*(ACT_END&gt;0)*IFERROR(ACT_POSTLIFT,0))),0)))</f>
        <v/>
      </c>
      <c r="P101" s="10">
        <f>IF(OR($H101&lt;&gt;"Y",7&lt;$I101),0,IF(SUMPRODUCT(((BULK_ENABLED="Y")*((BULK_TIER="ALL")+(BULK_TIER=$F101))*((BULK_SKU="ALL")+(BULK_SKU=$G101))*(BULK_START&lt;=7)*(BULK_END&gt;=7)))&gt;0,IFERROR(SUMPRODUCT(((BULK_ENABLED="Y")*((BULK_TIER="ALL")+(BULK_TIER=$F101))*((BULK_SKU="ALL")+(BULK_SKU=$G101))*(BULK_START&lt;=7)*(BULK_END&gt;=7))*IFERROR(BULK_VALUE,0))/MAX(1,SUMPRODUCT(((BULK_ENABLED="Y")*((BULK_TIER="ALL")+(BULK_TIER=$F101))*((BULK_SKU="ALL")+(BULK_SKU=$G101))*(BULK_START&lt;=7)*(BULK_END&gt;=7)))),0),ROUND((INDEX(VELOCITY_TABLE,MATCH($F101,TIER_LIST,0),1))*(IF((7-$I101+1)&lt;=0,0,IF((7-$I101+1)=1,RAMP_W1,IF((7-$I101+1)=2,RAMP_W2,IF((7-$I101+1)=3,RAMP_W3,RAMP_W4PLUS)))))*(INDEX(ACTIVE_MULT_TABLE,1,1))*(1+SUMPRODUCT(SIGN(((ACT_DOOR_SCOPE="ALL")+(ACT_DOOR_SCOPE="TIER_"&amp;$F101)+(ACT_DOOR_SCOPE=$B101)))*SIGN(((ACT_SKU_SCOPE="ALL")+(ACT_SKU_SCOPE=$G101)))*(ACT_START&lt;=7)*(ACT_END&gt;=7)*IFERROR(ACT_UPLIFT-1,0)))*(1+SUMPRODUCT(SIGN(((ACT_DOOR_SCOPE="ALL")+(ACT_DOOR_SCOPE="TIER_"&amp;$F101)+(ACT_DOOR_SCOPE=$B101)))*SIGN(((ACT_SKU_SCOPE="ALL")+(ACT_SKU_SCOPE=$G101)))*(7&gt;ACT_END)*(ACT_END&gt;0)*IFERROR(ACT_POSTLIFT,0))),0)))</f>
        <v/>
      </c>
      <c r="Q101" s="10">
        <f>IF(OR($H101&lt;&gt;"Y",8&lt;$I101),0,IF(SUMPRODUCT(((BULK_ENABLED="Y")*((BULK_TIER="ALL")+(BULK_TIER=$F101))*((BULK_SKU="ALL")+(BULK_SKU=$G101))*(BULK_START&lt;=8)*(BULK_END&gt;=8)))&gt;0,IFERROR(SUMPRODUCT(((BULK_ENABLED="Y")*((BULK_TIER="ALL")+(BULK_TIER=$F101))*((BULK_SKU="ALL")+(BULK_SKU=$G101))*(BULK_START&lt;=8)*(BULK_END&gt;=8))*IFERROR(BULK_VALUE,0))/MAX(1,SUMPRODUCT(((BULK_ENABLED="Y")*((BULK_TIER="ALL")+(BULK_TIER=$F101))*((BULK_SKU="ALL")+(BULK_SKU=$G101))*(BULK_START&lt;=8)*(BULK_END&gt;=8)))),0),ROUND((INDEX(VELOCITY_TABLE,MATCH($F101,TIER_LIST,0),1))*(IF((8-$I101+1)&lt;=0,0,IF((8-$I101+1)=1,RAMP_W1,IF((8-$I101+1)=2,RAMP_W2,IF((8-$I101+1)=3,RAMP_W3,RAMP_W4PLUS)))))*(INDEX(ACTIVE_MULT_TABLE,1,1))*(1+SUMPRODUCT(SIGN(((ACT_DOOR_SCOPE="ALL")+(ACT_DOOR_SCOPE="TIER_"&amp;$F101)+(ACT_DOOR_SCOPE=$B101)))*SIGN(((ACT_SKU_SCOPE="ALL")+(ACT_SKU_SCOPE=$G101)))*(ACT_START&lt;=8)*(ACT_END&gt;=8)*IFERROR(ACT_UPLIFT-1,0)))*(1+SUMPRODUCT(SIGN(((ACT_DOOR_SCOPE="ALL")+(ACT_DOOR_SCOPE="TIER_"&amp;$F101)+(ACT_DOOR_SCOPE=$B101)))*SIGN(((ACT_SKU_SCOPE="ALL")+(ACT_SKU_SCOPE=$G101)))*(8&gt;ACT_END)*(ACT_END&gt;0)*IFERROR(ACT_POSTLIFT,0))),0)))</f>
        <v/>
      </c>
      <c r="R101" s="10">
        <f>IF(OR($H101&lt;&gt;"Y",9&lt;$I101),0,IF(SUMPRODUCT(((BULK_ENABLED="Y")*((BULK_TIER="ALL")+(BULK_TIER=$F101))*((BULK_SKU="ALL")+(BULK_SKU=$G101))*(BULK_START&lt;=9)*(BULK_END&gt;=9)))&gt;0,IFERROR(SUMPRODUCT(((BULK_ENABLED="Y")*((BULK_TIER="ALL")+(BULK_TIER=$F101))*((BULK_SKU="ALL")+(BULK_SKU=$G101))*(BULK_START&lt;=9)*(BULK_END&gt;=9))*IFERROR(BULK_VALUE,0))/MAX(1,SUMPRODUCT(((BULK_ENABLED="Y")*((BULK_TIER="ALL")+(BULK_TIER=$F101))*((BULK_SKU="ALL")+(BULK_SKU=$G101))*(BULK_START&lt;=9)*(BULK_END&gt;=9)))),0),ROUND((INDEX(VELOCITY_TABLE,MATCH($F101,TIER_LIST,0),1))*(IF((9-$I101+1)&lt;=0,0,IF((9-$I101+1)=1,RAMP_W1,IF((9-$I101+1)=2,RAMP_W2,IF((9-$I101+1)=3,RAMP_W3,RAMP_W4PLUS)))))*(INDEX(ACTIVE_MULT_TABLE,1,1))*(1+SUMPRODUCT(SIGN(((ACT_DOOR_SCOPE="ALL")+(ACT_DOOR_SCOPE="TIER_"&amp;$F101)+(ACT_DOOR_SCOPE=$B101)))*SIGN(((ACT_SKU_SCOPE="ALL")+(ACT_SKU_SCOPE=$G101)))*(ACT_START&lt;=9)*(ACT_END&gt;=9)*IFERROR(ACT_UPLIFT-1,0)))*(1+SUMPRODUCT(SIGN(((ACT_DOOR_SCOPE="ALL")+(ACT_DOOR_SCOPE="TIER_"&amp;$F101)+(ACT_DOOR_SCOPE=$B101)))*SIGN(((ACT_SKU_SCOPE="ALL")+(ACT_SKU_SCOPE=$G101)))*(9&gt;ACT_END)*(ACT_END&gt;0)*IFERROR(ACT_POSTLIFT,0))),0)))</f>
        <v/>
      </c>
      <c r="S101" s="10">
        <f>IF(OR($H101&lt;&gt;"Y",10&lt;$I101),0,IF(SUMPRODUCT(((BULK_ENABLED="Y")*((BULK_TIER="ALL")+(BULK_TIER=$F101))*((BULK_SKU="ALL")+(BULK_SKU=$G101))*(BULK_START&lt;=10)*(BULK_END&gt;=10)))&gt;0,IFERROR(SUMPRODUCT(((BULK_ENABLED="Y")*((BULK_TIER="ALL")+(BULK_TIER=$F101))*((BULK_SKU="ALL")+(BULK_SKU=$G101))*(BULK_START&lt;=10)*(BULK_END&gt;=10))*IFERROR(BULK_VALUE,0))/MAX(1,SUMPRODUCT(((BULK_ENABLED="Y")*((BULK_TIER="ALL")+(BULK_TIER=$F101))*((BULK_SKU="ALL")+(BULK_SKU=$G101))*(BULK_START&lt;=10)*(BULK_END&gt;=10)))),0),ROUND((INDEX(VELOCITY_TABLE,MATCH($F101,TIER_LIST,0),1))*(IF((10-$I101+1)&lt;=0,0,IF((10-$I101+1)=1,RAMP_W1,IF((10-$I101+1)=2,RAMP_W2,IF((10-$I101+1)=3,RAMP_W3,RAMP_W4PLUS)))))*(INDEX(ACTIVE_MULT_TABLE,1,1))*(1+SUMPRODUCT(SIGN(((ACT_DOOR_SCOPE="ALL")+(ACT_DOOR_SCOPE="TIER_"&amp;$F101)+(ACT_DOOR_SCOPE=$B101)))*SIGN(((ACT_SKU_SCOPE="ALL")+(ACT_SKU_SCOPE=$G101)))*(ACT_START&lt;=10)*(ACT_END&gt;=10)*IFERROR(ACT_UPLIFT-1,0)))*(1+SUMPRODUCT(SIGN(((ACT_DOOR_SCOPE="ALL")+(ACT_DOOR_SCOPE="TIER_"&amp;$F101)+(ACT_DOOR_SCOPE=$B101)))*SIGN(((ACT_SKU_SCOPE="ALL")+(ACT_SKU_SCOPE=$G101)))*(10&gt;ACT_END)*(ACT_END&gt;0)*IFERROR(ACT_POSTLIFT,0))),0)))</f>
        <v/>
      </c>
      <c r="T101" s="10">
        <f>IF(OR($H101&lt;&gt;"Y",11&lt;$I101),0,IF(SUMPRODUCT(((BULK_ENABLED="Y")*((BULK_TIER="ALL")+(BULK_TIER=$F101))*((BULK_SKU="ALL")+(BULK_SKU=$G101))*(BULK_START&lt;=11)*(BULK_END&gt;=11)))&gt;0,IFERROR(SUMPRODUCT(((BULK_ENABLED="Y")*((BULK_TIER="ALL")+(BULK_TIER=$F101))*((BULK_SKU="ALL")+(BULK_SKU=$G101))*(BULK_START&lt;=11)*(BULK_END&gt;=11))*IFERROR(BULK_VALUE,0))/MAX(1,SUMPRODUCT(((BULK_ENABLED="Y")*((BULK_TIER="ALL")+(BULK_TIER=$F101))*((BULK_SKU="ALL")+(BULK_SKU=$G101))*(BULK_START&lt;=11)*(BULK_END&gt;=11)))),0),ROUND((INDEX(VELOCITY_TABLE,MATCH($F101,TIER_LIST,0),1))*(IF((11-$I101+1)&lt;=0,0,IF((11-$I101+1)=1,RAMP_W1,IF((11-$I101+1)=2,RAMP_W2,IF((11-$I101+1)=3,RAMP_W3,RAMP_W4PLUS)))))*(INDEX(ACTIVE_MULT_TABLE,1,1))*(1+SUMPRODUCT(SIGN(((ACT_DOOR_SCOPE="ALL")+(ACT_DOOR_SCOPE="TIER_"&amp;$F101)+(ACT_DOOR_SCOPE=$B101)))*SIGN(((ACT_SKU_SCOPE="ALL")+(ACT_SKU_SCOPE=$G101)))*(ACT_START&lt;=11)*(ACT_END&gt;=11)*IFERROR(ACT_UPLIFT-1,0)))*(1+SUMPRODUCT(SIGN(((ACT_DOOR_SCOPE="ALL")+(ACT_DOOR_SCOPE="TIER_"&amp;$F101)+(ACT_DOOR_SCOPE=$B101)))*SIGN(((ACT_SKU_SCOPE="ALL")+(ACT_SKU_SCOPE=$G101)))*(11&gt;ACT_END)*(ACT_END&gt;0)*IFERROR(ACT_POSTLIFT,0))),0)))</f>
        <v/>
      </c>
      <c r="U101" s="10">
        <f>IF(OR($H101&lt;&gt;"Y",12&lt;$I101),0,IF(SUMPRODUCT(((BULK_ENABLED="Y")*((BULK_TIER="ALL")+(BULK_TIER=$F101))*((BULK_SKU="ALL")+(BULK_SKU=$G101))*(BULK_START&lt;=12)*(BULK_END&gt;=12)))&gt;0,IFERROR(SUMPRODUCT(((BULK_ENABLED="Y")*((BULK_TIER="ALL")+(BULK_TIER=$F101))*((BULK_SKU="ALL")+(BULK_SKU=$G101))*(BULK_START&lt;=12)*(BULK_END&gt;=12))*IFERROR(BULK_VALUE,0))/MAX(1,SUMPRODUCT(((BULK_ENABLED="Y")*((BULK_TIER="ALL")+(BULK_TIER=$F101))*((BULK_SKU="ALL")+(BULK_SKU=$G101))*(BULK_START&lt;=12)*(BULK_END&gt;=12)))),0),ROUND((INDEX(VELOCITY_TABLE,MATCH($F101,TIER_LIST,0),1))*(IF((12-$I101+1)&lt;=0,0,IF((12-$I101+1)=1,RAMP_W1,IF((12-$I101+1)=2,RAMP_W2,IF((12-$I101+1)=3,RAMP_W3,RAMP_W4PLUS)))))*(INDEX(ACTIVE_MULT_TABLE,1,1))*(1+SUMPRODUCT(SIGN(((ACT_DOOR_SCOPE="ALL")+(ACT_DOOR_SCOPE="TIER_"&amp;$F101)+(ACT_DOOR_SCOPE=$B101)))*SIGN(((ACT_SKU_SCOPE="ALL")+(ACT_SKU_SCOPE=$G101)))*(ACT_START&lt;=12)*(ACT_END&gt;=12)*IFERROR(ACT_UPLIFT-1,0)))*(1+SUMPRODUCT(SIGN(((ACT_DOOR_SCOPE="ALL")+(ACT_DOOR_SCOPE="TIER_"&amp;$F101)+(ACT_DOOR_SCOPE=$B101)))*SIGN(((ACT_SKU_SCOPE="ALL")+(ACT_SKU_SCOPE=$G101)))*(12&gt;ACT_END)*(ACT_END&gt;0)*IFERROR(ACT_POSTLIFT,0))),0)))</f>
        <v/>
      </c>
      <c r="V101" s="10">
        <f>IF(OR($H101&lt;&gt;"Y",13&lt;$I101),0,IF(SUMPRODUCT(((BULK_ENABLED="Y")*((BULK_TIER="ALL")+(BULK_TIER=$F101))*((BULK_SKU="ALL")+(BULK_SKU=$G101))*(BULK_START&lt;=13)*(BULK_END&gt;=13)))&gt;0,IFERROR(SUMPRODUCT(((BULK_ENABLED="Y")*((BULK_TIER="ALL")+(BULK_TIER=$F101))*((BULK_SKU="ALL")+(BULK_SKU=$G101))*(BULK_START&lt;=13)*(BULK_END&gt;=13))*IFERROR(BULK_VALUE,0))/MAX(1,SUMPRODUCT(((BULK_ENABLED="Y")*((BULK_TIER="ALL")+(BULK_TIER=$F101))*((BULK_SKU="ALL")+(BULK_SKU=$G101))*(BULK_START&lt;=13)*(BULK_END&gt;=13)))),0),ROUND((INDEX(VELOCITY_TABLE,MATCH($F101,TIER_LIST,0),1))*(IF((13-$I101+1)&lt;=0,0,IF((13-$I101+1)=1,RAMP_W1,IF((13-$I101+1)=2,RAMP_W2,IF((13-$I101+1)=3,RAMP_W3,RAMP_W4PLUS)))))*(INDEX(ACTIVE_MULT_TABLE,1,1))*(1+SUMPRODUCT(SIGN(((ACT_DOOR_SCOPE="ALL")+(ACT_DOOR_SCOPE="TIER_"&amp;$F101)+(ACT_DOOR_SCOPE=$B101)))*SIGN(((ACT_SKU_SCOPE="ALL")+(ACT_SKU_SCOPE=$G101)))*(ACT_START&lt;=13)*(ACT_END&gt;=13)*IFERROR(ACT_UPLIFT-1,0)))*(1+SUMPRODUCT(SIGN(((ACT_DOOR_SCOPE="ALL")+(ACT_DOOR_SCOPE="TIER_"&amp;$F101)+(ACT_DOOR_SCOPE=$B101)))*SIGN(((ACT_SKU_SCOPE="ALL")+(ACT_SKU_SCOPE=$G101)))*(13&gt;ACT_END)*(ACT_END&gt;0)*IFERROR(ACT_POSTLIFT,0))),0)))</f>
        <v/>
      </c>
    </row>
    <row r="102">
      <c r="A102" t="inlineStr">
        <is>
          <t>R0098</t>
        </is>
      </c>
      <c r="B102">
        <f>Doors!$A$37</f>
        <v/>
      </c>
      <c r="C102">
        <f>Doors!$C$37</f>
        <v/>
      </c>
      <c r="D102">
        <f>Doors!$B$37</f>
        <v/>
      </c>
      <c r="E102">
        <f>Doors!$E$37</f>
        <v/>
      </c>
      <c r="F102">
        <f>Doors!$F$37</f>
        <v/>
      </c>
      <c r="G102" t="inlineStr">
        <is>
          <t>Pineapple Passion Fruit</t>
        </is>
      </c>
      <c r="H102">
        <f>Doors!$H$37</f>
        <v/>
      </c>
      <c r="I102">
        <f>Doors!$J$37</f>
        <v/>
      </c>
      <c r="J102" s="10">
        <f>IF(OR($H102&lt;&gt;"Y",1&lt;$I102),0,IF(SUMPRODUCT(((BULK_ENABLED="Y")*((BULK_TIER="ALL")+(BULK_TIER=$F102))*((BULK_SKU="ALL")+(BULK_SKU=$G102))*(BULK_START&lt;=1)*(BULK_END&gt;=1)))&gt;0,IFERROR(SUMPRODUCT(((BULK_ENABLED="Y")*((BULK_TIER="ALL")+(BULK_TIER=$F102))*((BULK_SKU="ALL")+(BULK_SKU=$G102))*(BULK_START&lt;=1)*(BULK_END&gt;=1))*IFERROR(BULK_VALUE,0))/MAX(1,SUMPRODUCT(((BULK_ENABLED="Y")*((BULK_TIER="ALL")+(BULK_TIER=$F102))*((BULK_SKU="ALL")+(BULK_SKU=$G102))*(BULK_START&lt;=1)*(BULK_END&gt;=1)))),0),ROUND((INDEX(VELOCITY_TABLE,MATCH($F102,TIER_LIST,0),2))*(IF((1-$I102+1)&lt;=0,0,IF((1-$I102+1)=1,RAMP_W1,IF((1-$I102+1)=2,RAMP_W2,IF((1-$I102+1)=3,RAMP_W3,RAMP_W4PLUS)))))*(INDEX(ACTIVE_MULT_TABLE,2,1))*(1+SUMPRODUCT(SIGN(((ACT_DOOR_SCOPE="ALL")+(ACT_DOOR_SCOPE="TIER_"&amp;$F102)+(ACT_DOOR_SCOPE=$B102)))*SIGN(((ACT_SKU_SCOPE="ALL")+(ACT_SKU_SCOPE=$G102)))*(ACT_START&lt;=1)*(ACT_END&gt;=1)*IFERROR(ACT_UPLIFT-1,0)))*(1+SUMPRODUCT(SIGN(((ACT_DOOR_SCOPE="ALL")+(ACT_DOOR_SCOPE="TIER_"&amp;$F102)+(ACT_DOOR_SCOPE=$B102)))*SIGN(((ACT_SKU_SCOPE="ALL")+(ACT_SKU_SCOPE=$G102)))*(1&gt;ACT_END)*(ACT_END&gt;0)*IFERROR(ACT_POSTLIFT,0))),0)))</f>
        <v/>
      </c>
      <c r="K102" s="10">
        <f>IF(OR($H102&lt;&gt;"Y",2&lt;$I102),0,IF(SUMPRODUCT(((BULK_ENABLED="Y")*((BULK_TIER="ALL")+(BULK_TIER=$F102))*((BULK_SKU="ALL")+(BULK_SKU=$G102))*(BULK_START&lt;=2)*(BULK_END&gt;=2)))&gt;0,IFERROR(SUMPRODUCT(((BULK_ENABLED="Y")*((BULK_TIER="ALL")+(BULK_TIER=$F102))*((BULK_SKU="ALL")+(BULK_SKU=$G102))*(BULK_START&lt;=2)*(BULK_END&gt;=2))*IFERROR(BULK_VALUE,0))/MAX(1,SUMPRODUCT(((BULK_ENABLED="Y")*((BULK_TIER="ALL")+(BULK_TIER=$F102))*((BULK_SKU="ALL")+(BULK_SKU=$G102))*(BULK_START&lt;=2)*(BULK_END&gt;=2)))),0),ROUND((INDEX(VELOCITY_TABLE,MATCH($F102,TIER_LIST,0),2))*(IF((2-$I102+1)&lt;=0,0,IF((2-$I102+1)=1,RAMP_W1,IF((2-$I102+1)=2,RAMP_W2,IF((2-$I102+1)=3,RAMP_W3,RAMP_W4PLUS)))))*(INDEX(ACTIVE_MULT_TABLE,2,1))*(1+SUMPRODUCT(SIGN(((ACT_DOOR_SCOPE="ALL")+(ACT_DOOR_SCOPE="TIER_"&amp;$F102)+(ACT_DOOR_SCOPE=$B102)))*SIGN(((ACT_SKU_SCOPE="ALL")+(ACT_SKU_SCOPE=$G102)))*(ACT_START&lt;=2)*(ACT_END&gt;=2)*IFERROR(ACT_UPLIFT-1,0)))*(1+SUMPRODUCT(SIGN(((ACT_DOOR_SCOPE="ALL")+(ACT_DOOR_SCOPE="TIER_"&amp;$F102)+(ACT_DOOR_SCOPE=$B102)))*SIGN(((ACT_SKU_SCOPE="ALL")+(ACT_SKU_SCOPE=$G102)))*(2&gt;ACT_END)*(ACT_END&gt;0)*IFERROR(ACT_POSTLIFT,0))),0)))</f>
        <v/>
      </c>
      <c r="L102" s="10">
        <f>IF(OR($H102&lt;&gt;"Y",3&lt;$I102),0,IF(SUMPRODUCT(((BULK_ENABLED="Y")*((BULK_TIER="ALL")+(BULK_TIER=$F102))*((BULK_SKU="ALL")+(BULK_SKU=$G102))*(BULK_START&lt;=3)*(BULK_END&gt;=3)))&gt;0,IFERROR(SUMPRODUCT(((BULK_ENABLED="Y")*((BULK_TIER="ALL")+(BULK_TIER=$F102))*((BULK_SKU="ALL")+(BULK_SKU=$G102))*(BULK_START&lt;=3)*(BULK_END&gt;=3))*IFERROR(BULK_VALUE,0))/MAX(1,SUMPRODUCT(((BULK_ENABLED="Y")*((BULK_TIER="ALL")+(BULK_TIER=$F102))*((BULK_SKU="ALL")+(BULK_SKU=$G102))*(BULK_START&lt;=3)*(BULK_END&gt;=3)))),0),ROUND((INDEX(VELOCITY_TABLE,MATCH($F102,TIER_LIST,0),2))*(IF((3-$I102+1)&lt;=0,0,IF((3-$I102+1)=1,RAMP_W1,IF((3-$I102+1)=2,RAMP_W2,IF((3-$I102+1)=3,RAMP_W3,RAMP_W4PLUS)))))*(INDEX(ACTIVE_MULT_TABLE,2,1))*(1+SUMPRODUCT(SIGN(((ACT_DOOR_SCOPE="ALL")+(ACT_DOOR_SCOPE="TIER_"&amp;$F102)+(ACT_DOOR_SCOPE=$B102)))*SIGN(((ACT_SKU_SCOPE="ALL")+(ACT_SKU_SCOPE=$G102)))*(ACT_START&lt;=3)*(ACT_END&gt;=3)*IFERROR(ACT_UPLIFT-1,0)))*(1+SUMPRODUCT(SIGN(((ACT_DOOR_SCOPE="ALL")+(ACT_DOOR_SCOPE="TIER_"&amp;$F102)+(ACT_DOOR_SCOPE=$B102)))*SIGN(((ACT_SKU_SCOPE="ALL")+(ACT_SKU_SCOPE=$G102)))*(3&gt;ACT_END)*(ACT_END&gt;0)*IFERROR(ACT_POSTLIFT,0))),0)))</f>
        <v/>
      </c>
      <c r="M102" s="10">
        <f>IF(OR($H102&lt;&gt;"Y",4&lt;$I102),0,IF(SUMPRODUCT(((BULK_ENABLED="Y")*((BULK_TIER="ALL")+(BULK_TIER=$F102))*((BULK_SKU="ALL")+(BULK_SKU=$G102))*(BULK_START&lt;=4)*(BULK_END&gt;=4)))&gt;0,IFERROR(SUMPRODUCT(((BULK_ENABLED="Y")*((BULK_TIER="ALL")+(BULK_TIER=$F102))*((BULK_SKU="ALL")+(BULK_SKU=$G102))*(BULK_START&lt;=4)*(BULK_END&gt;=4))*IFERROR(BULK_VALUE,0))/MAX(1,SUMPRODUCT(((BULK_ENABLED="Y")*((BULK_TIER="ALL")+(BULK_TIER=$F102))*((BULK_SKU="ALL")+(BULK_SKU=$G102))*(BULK_START&lt;=4)*(BULK_END&gt;=4)))),0),ROUND((INDEX(VELOCITY_TABLE,MATCH($F102,TIER_LIST,0),2))*(IF((4-$I102+1)&lt;=0,0,IF((4-$I102+1)=1,RAMP_W1,IF((4-$I102+1)=2,RAMP_W2,IF((4-$I102+1)=3,RAMP_W3,RAMP_W4PLUS)))))*(INDEX(ACTIVE_MULT_TABLE,2,1))*(1+SUMPRODUCT(SIGN(((ACT_DOOR_SCOPE="ALL")+(ACT_DOOR_SCOPE="TIER_"&amp;$F102)+(ACT_DOOR_SCOPE=$B102)))*SIGN(((ACT_SKU_SCOPE="ALL")+(ACT_SKU_SCOPE=$G102)))*(ACT_START&lt;=4)*(ACT_END&gt;=4)*IFERROR(ACT_UPLIFT-1,0)))*(1+SUMPRODUCT(SIGN(((ACT_DOOR_SCOPE="ALL")+(ACT_DOOR_SCOPE="TIER_"&amp;$F102)+(ACT_DOOR_SCOPE=$B102)))*SIGN(((ACT_SKU_SCOPE="ALL")+(ACT_SKU_SCOPE=$G102)))*(4&gt;ACT_END)*(ACT_END&gt;0)*IFERROR(ACT_POSTLIFT,0))),0)))</f>
        <v/>
      </c>
      <c r="N102" s="10">
        <f>IF(OR($H102&lt;&gt;"Y",5&lt;$I102),0,IF(SUMPRODUCT(((BULK_ENABLED="Y")*((BULK_TIER="ALL")+(BULK_TIER=$F102))*((BULK_SKU="ALL")+(BULK_SKU=$G102))*(BULK_START&lt;=5)*(BULK_END&gt;=5)))&gt;0,IFERROR(SUMPRODUCT(((BULK_ENABLED="Y")*((BULK_TIER="ALL")+(BULK_TIER=$F102))*((BULK_SKU="ALL")+(BULK_SKU=$G102))*(BULK_START&lt;=5)*(BULK_END&gt;=5))*IFERROR(BULK_VALUE,0))/MAX(1,SUMPRODUCT(((BULK_ENABLED="Y")*((BULK_TIER="ALL")+(BULK_TIER=$F102))*((BULK_SKU="ALL")+(BULK_SKU=$G102))*(BULK_START&lt;=5)*(BULK_END&gt;=5)))),0),ROUND((INDEX(VELOCITY_TABLE,MATCH($F102,TIER_LIST,0),2))*(IF((5-$I102+1)&lt;=0,0,IF((5-$I102+1)=1,RAMP_W1,IF((5-$I102+1)=2,RAMP_W2,IF((5-$I102+1)=3,RAMP_W3,RAMP_W4PLUS)))))*(INDEX(ACTIVE_MULT_TABLE,2,1))*(1+SUMPRODUCT(SIGN(((ACT_DOOR_SCOPE="ALL")+(ACT_DOOR_SCOPE="TIER_"&amp;$F102)+(ACT_DOOR_SCOPE=$B102)))*SIGN(((ACT_SKU_SCOPE="ALL")+(ACT_SKU_SCOPE=$G102)))*(ACT_START&lt;=5)*(ACT_END&gt;=5)*IFERROR(ACT_UPLIFT-1,0)))*(1+SUMPRODUCT(SIGN(((ACT_DOOR_SCOPE="ALL")+(ACT_DOOR_SCOPE="TIER_"&amp;$F102)+(ACT_DOOR_SCOPE=$B102)))*SIGN(((ACT_SKU_SCOPE="ALL")+(ACT_SKU_SCOPE=$G102)))*(5&gt;ACT_END)*(ACT_END&gt;0)*IFERROR(ACT_POSTLIFT,0))),0)))</f>
        <v/>
      </c>
      <c r="O102" s="10">
        <f>IF(OR($H102&lt;&gt;"Y",6&lt;$I102),0,IF(SUMPRODUCT(((BULK_ENABLED="Y")*((BULK_TIER="ALL")+(BULK_TIER=$F102))*((BULK_SKU="ALL")+(BULK_SKU=$G102))*(BULK_START&lt;=6)*(BULK_END&gt;=6)))&gt;0,IFERROR(SUMPRODUCT(((BULK_ENABLED="Y")*((BULK_TIER="ALL")+(BULK_TIER=$F102))*((BULK_SKU="ALL")+(BULK_SKU=$G102))*(BULK_START&lt;=6)*(BULK_END&gt;=6))*IFERROR(BULK_VALUE,0))/MAX(1,SUMPRODUCT(((BULK_ENABLED="Y")*((BULK_TIER="ALL")+(BULK_TIER=$F102))*((BULK_SKU="ALL")+(BULK_SKU=$G102))*(BULK_START&lt;=6)*(BULK_END&gt;=6)))),0),ROUND((INDEX(VELOCITY_TABLE,MATCH($F102,TIER_LIST,0),2))*(IF((6-$I102+1)&lt;=0,0,IF((6-$I102+1)=1,RAMP_W1,IF((6-$I102+1)=2,RAMP_W2,IF((6-$I102+1)=3,RAMP_W3,RAMP_W4PLUS)))))*(INDEX(ACTIVE_MULT_TABLE,2,1))*(1+SUMPRODUCT(SIGN(((ACT_DOOR_SCOPE="ALL")+(ACT_DOOR_SCOPE="TIER_"&amp;$F102)+(ACT_DOOR_SCOPE=$B102)))*SIGN(((ACT_SKU_SCOPE="ALL")+(ACT_SKU_SCOPE=$G102)))*(ACT_START&lt;=6)*(ACT_END&gt;=6)*IFERROR(ACT_UPLIFT-1,0)))*(1+SUMPRODUCT(SIGN(((ACT_DOOR_SCOPE="ALL")+(ACT_DOOR_SCOPE="TIER_"&amp;$F102)+(ACT_DOOR_SCOPE=$B102)))*SIGN(((ACT_SKU_SCOPE="ALL")+(ACT_SKU_SCOPE=$G102)))*(6&gt;ACT_END)*(ACT_END&gt;0)*IFERROR(ACT_POSTLIFT,0))),0)))</f>
        <v/>
      </c>
      <c r="P102" s="10">
        <f>IF(OR($H102&lt;&gt;"Y",7&lt;$I102),0,IF(SUMPRODUCT(((BULK_ENABLED="Y")*((BULK_TIER="ALL")+(BULK_TIER=$F102))*((BULK_SKU="ALL")+(BULK_SKU=$G102))*(BULK_START&lt;=7)*(BULK_END&gt;=7)))&gt;0,IFERROR(SUMPRODUCT(((BULK_ENABLED="Y")*((BULK_TIER="ALL")+(BULK_TIER=$F102))*((BULK_SKU="ALL")+(BULK_SKU=$G102))*(BULK_START&lt;=7)*(BULK_END&gt;=7))*IFERROR(BULK_VALUE,0))/MAX(1,SUMPRODUCT(((BULK_ENABLED="Y")*((BULK_TIER="ALL")+(BULK_TIER=$F102))*((BULK_SKU="ALL")+(BULK_SKU=$G102))*(BULK_START&lt;=7)*(BULK_END&gt;=7)))),0),ROUND((INDEX(VELOCITY_TABLE,MATCH($F102,TIER_LIST,0),2))*(IF((7-$I102+1)&lt;=0,0,IF((7-$I102+1)=1,RAMP_W1,IF((7-$I102+1)=2,RAMP_W2,IF((7-$I102+1)=3,RAMP_W3,RAMP_W4PLUS)))))*(INDEX(ACTIVE_MULT_TABLE,2,1))*(1+SUMPRODUCT(SIGN(((ACT_DOOR_SCOPE="ALL")+(ACT_DOOR_SCOPE="TIER_"&amp;$F102)+(ACT_DOOR_SCOPE=$B102)))*SIGN(((ACT_SKU_SCOPE="ALL")+(ACT_SKU_SCOPE=$G102)))*(ACT_START&lt;=7)*(ACT_END&gt;=7)*IFERROR(ACT_UPLIFT-1,0)))*(1+SUMPRODUCT(SIGN(((ACT_DOOR_SCOPE="ALL")+(ACT_DOOR_SCOPE="TIER_"&amp;$F102)+(ACT_DOOR_SCOPE=$B102)))*SIGN(((ACT_SKU_SCOPE="ALL")+(ACT_SKU_SCOPE=$G102)))*(7&gt;ACT_END)*(ACT_END&gt;0)*IFERROR(ACT_POSTLIFT,0))),0)))</f>
        <v/>
      </c>
      <c r="Q102" s="10">
        <f>IF(OR($H102&lt;&gt;"Y",8&lt;$I102),0,IF(SUMPRODUCT(((BULK_ENABLED="Y")*((BULK_TIER="ALL")+(BULK_TIER=$F102))*((BULK_SKU="ALL")+(BULK_SKU=$G102))*(BULK_START&lt;=8)*(BULK_END&gt;=8)))&gt;0,IFERROR(SUMPRODUCT(((BULK_ENABLED="Y")*((BULK_TIER="ALL")+(BULK_TIER=$F102))*((BULK_SKU="ALL")+(BULK_SKU=$G102))*(BULK_START&lt;=8)*(BULK_END&gt;=8))*IFERROR(BULK_VALUE,0))/MAX(1,SUMPRODUCT(((BULK_ENABLED="Y")*((BULK_TIER="ALL")+(BULK_TIER=$F102))*((BULK_SKU="ALL")+(BULK_SKU=$G102))*(BULK_START&lt;=8)*(BULK_END&gt;=8)))),0),ROUND((INDEX(VELOCITY_TABLE,MATCH($F102,TIER_LIST,0),2))*(IF((8-$I102+1)&lt;=0,0,IF((8-$I102+1)=1,RAMP_W1,IF((8-$I102+1)=2,RAMP_W2,IF((8-$I102+1)=3,RAMP_W3,RAMP_W4PLUS)))))*(INDEX(ACTIVE_MULT_TABLE,2,1))*(1+SUMPRODUCT(SIGN(((ACT_DOOR_SCOPE="ALL")+(ACT_DOOR_SCOPE="TIER_"&amp;$F102)+(ACT_DOOR_SCOPE=$B102)))*SIGN(((ACT_SKU_SCOPE="ALL")+(ACT_SKU_SCOPE=$G102)))*(ACT_START&lt;=8)*(ACT_END&gt;=8)*IFERROR(ACT_UPLIFT-1,0)))*(1+SUMPRODUCT(SIGN(((ACT_DOOR_SCOPE="ALL")+(ACT_DOOR_SCOPE="TIER_"&amp;$F102)+(ACT_DOOR_SCOPE=$B102)))*SIGN(((ACT_SKU_SCOPE="ALL")+(ACT_SKU_SCOPE=$G102)))*(8&gt;ACT_END)*(ACT_END&gt;0)*IFERROR(ACT_POSTLIFT,0))),0)))</f>
        <v/>
      </c>
      <c r="R102" s="10">
        <f>IF(OR($H102&lt;&gt;"Y",9&lt;$I102),0,IF(SUMPRODUCT(((BULK_ENABLED="Y")*((BULK_TIER="ALL")+(BULK_TIER=$F102))*((BULK_SKU="ALL")+(BULK_SKU=$G102))*(BULK_START&lt;=9)*(BULK_END&gt;=9)))&gt;0,IFERROR(SUMPRODUCT(((BULK_ENABLED="Y")*((BULK_TIER="ALL")+(BULK_TIER=$F102))*((BULK_SKU="ALL")+(BULK_SKU=$G102))*(BULK_START&lt;=9)*(BULK_END&gt;=9))*IFERROR(BULK_VALUE,0))/MAX(1,SUMPRODUCT(((BULK_ENABLED="Y")*((BULK_TIER="ALL")+(BULK_TIER=$F102))*((BULK_SKU="ALL")+(BULK_SKU=$G102))*(BULK_START&lt;=9)*(BULK_END&gt;=9)))),0),ROUND((INDEX(VELOCITY_TABLE,MATCH($F102,TIER_LIST,0),2))*(IF((9-$I102+1)&lt;=0,0,IF((9-$I102+1)=1,RAMP_W1,IF((9-$I102+1)=2,RAMP_W2,IF((9-$I102+1)=3,RAMP_W3,RAMP_W4PLUS)))))*(INDEX(ACTIVE_MULT_TABLE,2,1))*(1+SUMPRODUCT(SIGN(((ACT_DOOR_SCOPE="ALL")+(ACT_DOOR_SCOPE="TIER_"&amp;$F102)+(ACT_DOOR_SCOPE=$B102)))*SIGN(((ACT_SKU_SCOPE="ALL")+(ACT_SKU_SCOPE=$G102)))*(ACT_START&lt;=9)*(ACT_END&gt;=9)*IFERROR(ACT_UPLIFT-1,0)))*(1+SUMPRODUCT(SIGN(((ACT_DOOR_SCOPE="ALL")+(ACT_DOOR_SCOPE="TIER_"&amp;$F102)+(ACT_DOOR_SCOPE=$B102)))*SIGN(((ACT_SKU_SCOPE="ALL")+(ACT_SKU_SCOPE=$G102)))*(9&gt;ACT_END)*(ACT_END&gt;0)*IFERROR(ACT_POSTLIFT,0))),0)))</f>
        <v/>
      </c>
      <c r="S102" s="10">
        <f>IF(OR($H102&lt;&gt;"Y",10&lt;$I102),0,IF(SUMPRODUCT(((BULK_ENABLED="Y")*((BULK_TIER="ALL")+(BULK_TIER=$F102))*((BULK_SKU="ALL")+(BULK_SKU=$G102))*(BULK_START&lt;=10)*(BULK_END&gt;=10)))&gt;0,IFERROR(SUMPRODUCT(((BULK_ENABLED="Y")*((BULK_TIER="ALL")+(BULK_TIER=$F102))*((BULK_SKU="ALL")+(BULK_SKU=$G102))*(BULK_START&lt;=10)*(BULK_END&gt;=10))*IFERROR(BULK_VALUE,0))/MAX(1,SUMPRODUCT(((BULK_ENABLED="Y")*((BULK_TIER="ALL")+(BULK_TIER=$F102))*((BULK_SKU="ALL")+(BULK_SKU=$G102))*(BULK_START&lt;=10)*(BULK_END&gt;=10)))),0),ROUND((INDEX(VELOCITY_TABLE,MATCH($F102,TIER_LIST,0),2))*(IF((10-$I102+1)&lt;=0,0,IF((10-$I102+1)=1,RAMP_W1,IF((10-$I102+1)=2,RAMP_W2,IF((10-$I102+1)=3,RAMP_W3,RAMP_W4PLUS)))))*(INDEX(ACTIVE_MULT_TABLE,2,1))*(1+SUMPRODUCT(SIGN(((ACT_DOOR_SCOPE="ALL")+(ACT_DOOR_SCOPE="TIER_"&amp;$F102)+(ACT_DOOR_SCOPE=$B102)))*SIGN(((ACT_SKU_SCOPE="ALL")+(ACT_SKU_SCOPE=$G102)))*(ACT_START&lt;=10)*(ACT_END&gt;=10)*IFERROR(ACT_UPLIFT-1,0)))*(1+SUMPRODUCT(SIGN(((ACT_DOOR_SCOPE="ALL")+(ACT_DOOR_SCOPE="TIER_"&amp;$F102)+(ACT_DOOR_SCOPE=$B102)))*SIGN(((ACT_SKU_SCOPE="ALL")+(ACT_SKU_SCOPE=$G102)))*(10&gt;ACT_END)*(ACT_END&gt;0)*IFERROR(ACT_POSTLIFT,0))),0)))</f>
        <v/>
      </c>
      <c r="T102" s="10">
        <f>IF(OR($H102&lt;&gt;"Y",11&lt;$I102),0,IF(SUMPRODUCT(((BULK_ENABLED="Y")*((BULK_TIER="ALL")+(BULK_TIER=$F102))*((BULK_SKU="ALL")+(BULK_SKU=$G102))*(BULK_START&lt;=11)*(BULK_END&gt;=11)))&gt;0,IFERROR(SUMPRODUCT(((BULK_ENABLED="Y")*((BULK_TIER="ALL")+(BULK_TIER=$F102))*((BULK_SKU="ALL")+(BULK_SKU=$G102))*(BULK_START&lt;=11)*(BULK_END&gt;=11))*IFERROR(BULK_VALUE,0))/MAX(1,SUMPRODUCT(((BULK_ENABLED="Y")*((BULK_TIER="ALL")+(BULK_TIER=$F102))*((BULK_SKU="ALL")+(BULK_SKU=$G102))*(BULK_START&lt;=11)*(BULK_END&gt;=11)))),0),ROUND((INDEX(VELOCITY_TABLE,MATCH($F102,TIER_LIST,0),2))*(IF((11-$I102+1)&lt;=0,0,IF((11-$I102+1)=1,RAMP_W1,IF((11-$I102+1)=2,RAMP_W2,IF((11-$I102+1)=3,RAMP_W3,RAMP_W4PLUS)))))*(INDEX(ACTIVE_MULT_TABLE,2,1))*(1+SUMPRODUCT(SIGN(((ACT_DOOR_SCOPE="ALL")+(ACT_DOOR_SCOPE="TIER_"&amp;$F102)+(ACT_DOOR_SCOPE=$B102)))*SIGN(((ACT_SKU_SCOPE="ALL")+(ACT_SKU_SCOPE=$G102)))*(ACT_START&lt;=11)*(ACT_END&gt;=11)*IFERROR(ACT_UPLIFT-1,0)))*(1+SUMPRODUCT(SIGN(((ACT_DOOR_SCOPE="ALL")+(ACT_DOOR_SCOPE="TIER_"&amp;$F102)+(ACT_DOOR_SCOPE=$B102)))*SIGN(((ACT_SKU_SCOPE="ALL")+(ACT_SKU_SCOPE=$G102)))*(11&gt;ACT_END)*(ACT_END&gt;0)*IFERROR(ACT_POSTLIFT,0))),0)))</f>
        <v/>
      </c>
      <c r="U102" s="10">
        <f>IF(OR($H102&lt;&gt;"Y",12&lt;$I102),0,IF(SUMPRODUCT(((BULK_ENABLED="Y")*((BULK_TIER="ALL")+(BULK_TIER=$F102))*((BULK_SKU="ALL")+(BULK_SKU=$G102))*(BULK_START&lt;=12)*(BULK_END&gt;=12)))&gt;0,IFERROR(SUMPRODUCT(((BULK_ENABLED="Y")*((BULK_TIER="ALL")+(BULK_TIER=$F102))*((BULK_SKU="ALL")+(BULK_SKU=$G102))*(BULK_START&lt;=12)*(BULK_END&gt;=12))*IFERROR(BULK_VALUE,0))/MAX(1,SUMPRODUCT(((BULK_ENABLED="Y")*((BULK_TIER="ALL")+(BULK_TIER=$F102))*((BULK_SKU="ALL")+(BULK_SKU=$G102))*(BULK_START&lt;=12)*(BULK_END&gt;=12)))),0),ROUND((INDEX(VELOCITY_TABLE,MATCH($F102,TIER_LIST,0),2))*(IF((12-$I102+1)&lt;=0,0,IF((12-$I102+1)=1,RAMP_W1,IF((12-$I102+1)=2,RAMP_W2,IF((12-$I102+1)=3,RAMP_W3,RAMP_W4PLUS)))))*(INDEX(ACTIVE_MULT_TABLE,2,1))*(1+SUMPRODUCT(SIGN(((ACT_DOOR_SCOPE="ALL")+(ACT_DOOR_SCOPE="TIER_"&amp;$F102)+(ACT_DOOR_SCOPE=$B102)))*SIGN(((ACT_SKU_SCOPE="ALL")+(ACT_SKU_SCOPE=$G102)))*(ACT_START&lt;=12)*(ACT_END&gt;=12)*IFERROR(ACT_UPLIFT-1,0)))*(1+SUMPRODUCT(SIGN(((ACT_DOOR_SCOPE="ALL")+(ACT_DOOR_SCOPE="TIER_"&amp;$F102)+(ACT_DOOR_SCOPE=$B102)))*SIGN(((ACT_SKU_SCOPE="ALL")+(ACT_SKU_SCOPE=$G102)))*(12&gt;ACT_END)*(ACT_END&gt;0)*IFERROR(ACT_POSTLIFT,0))),0)))</f>
        <v/>
      </c>
      <c r="V102" s="10">
        <f>IF(OR($H102&lt;&gt;"Y",13&lt;$I102),0,IF(SUMPRODUCT(((BULK_ENABLED="Y")*((BULK_TIER="ALL")+(BULK_TIER=$F102))*((BULK_SKU="ALL")+(BULK_SKU=$G102))*(BULK_START&lt;=13)*(BULK_END&gt;=13)))&gt;0,IFERROR(SUMPRODUCT(((BULK_ENABLED="Y")*((BULK_TIER="ALL")+(BULK_TIER=$F102))*((BULK_SKU="ALL")+(BULK_SKU=$G102))*(BULK_START&lt;=13)*(BULK_END&gt;=13))*IFERROR(BULK_VALUE,0))/MAX(1,SUMPRODUCT(((BULK_ENABLED="Y")*((BULK_TIER="ALL")+(BULK_TIER=$F102))*((BULK_SKU="ALL")+(BULK_SKU=$G102))*(BULK_START&lt;=13)*(BULK_END&gt;=13)))),0),ROUND((INDEX(VELOCITY_TABLE,MATCH($F102,TIER_LIST,0),2))*(IF((13-$I102+1)&lt;=0,0,IF((13-$I102+1)=1,RAMP_W1,IF((13-$I102+1)=2,RAMP_W2,IF((13-$I102+1)=3,RAMP_W3,RAMP_W4PLUS)))))*(INDEX(ACTIVE_MULT_TABLE,2,1))*(1+SUMPRODUCT(SIGN(((ACT_DOOR_SCOPE="ALL")+(ACT_DOOR_SCOPE="TIER_"&amp;$F102)+(ACT_DOOR_SCOPE=$B102)))*SIGN(((ACT_SKU_SCOPE="ALL")+(ACT_SKU_SCOPE=$G102)))*(ACT_START&lt;=13)*(ACT_END&gt;=13)*IFERROR(ACT_UPLIFT-1,0)))*(1+SUMPRODUCT(SIGN(((ACT_DOOR_SCOPE="ALL")+(ACT_DOOR_SCOPE="TIER_"&amp;$F102)+(ACT_DOOR_SCOPE=$B102)))*SIGN(((ACT_SKU_SCOPE="ALL")+(ACT_SKU_SCOPE=$G102)))*(13&gt;ACT_END)*(ACT_END&gt;0)*IFERROR(ACT_POSTLIFT,0))),0)))</f>
        <v/>
      </c>
    </row>
    <row r="103">
      <c r="A103" t="inlineStr">
        <is>
          <t>R0099</t>
        </is>
      </c>
      <c r="B103">
        <f>Doors!$A$37</f>
        <v/>
      </c>
      <c r="C103">
        <f>Doors!$C$37</f>
        <v/>
      </c>
      <c r="D103">
        <f>Doors!$B$37</f>
        <v/>
      </c>
      <c r="E103">
        <f>Doors!$E$37</f>
        <v/>
      </c>
      <c r="F103">
        <f>Doors!$F$37</f>
        <v/>
      </c>
      <c r="G103" t="inlineStr">
        <is>
          <t>Raspberry</t>
        </is>
      </c>
      <c r="H103">
        <f>Doors!$I$37</f>
        <v/>
      </c>
      <c r="I103">
        <f>Doors!$J$37</f>
        <v/>
      </c>
      <c r="J103" s="10">
        <f>IF(OR($H103&lt;&gt;"Y",1&lt;$I103),0,IF(SUMPRODUCT(((BULK_ENABLED="Y")*((BULK_TIER="ALL")+(BULK_TIER=$F103))*((BULK_SKU="ALL")+(BULK_SKU=$G103))*(BULK_START&lt;=1)*(BULK_END&gt;=1)))&gt;0,IFERROR(SUMPRODUCT(((BULK_ENABLED="Y")*((BULK_TIER="ALL")+(BULK_TIER=$F103))*((BULK_SKU="ALL")+(BULK_SKU=$G103))*(BULK_START&lt;=1)*(BULK_END&gt;=1))*IFERROR(BULK_VALUE,0))/MAX(1,SUMPRODUCT(((BULK_ENABLED="Y")*((BULK_TIER="ALL")+(BULK_TIER=$F103))*((BULK_SKU="ALL")+(BULK_SKU=$G103))*(BULK_START&lt;=1)*(BULK_END&gt;=1)))),0),ROUND((INDEX(VELOCITY_TABLE,MATCH($F103,TIER_LIST,0),3))*(IF((1-$I103+1)&lt;=0,0,IF((1-$I103+1)=1,RAMP_W1,IF((1-$I103+1)=2,RAMP_W2,IF((1-$I103+1)=3,RAMP_W3,RAMP_W4PLUS)))))*(INDEX(ACTIVE_MULT_TABLE,3,1))*(1+SUMPRODUCT(SIGN(((ACT_DOOR_SCOPE="ALL")+(ACT_DOOR_SCOPE="TIER_"&amp;$F103)+(ACT_DOOR_SCOPE=$B103)))*SIGN(((ACT_SKU_SCOPE="ALL")+(ACT_SKU_SCOPE=$G103)))*(ACT_START&lt;=1)*(ACT_END&gt;=1)*IFERROR(ACT_UPLIFT-1,0)))*(1+SUMPRODUCT(SIGN(((ACT_DOOR_SCOPE="ALL")+(ACT_DOOR_SCOPE="TIER_"&amp;$F103)+(ACT_DOOR_SCOPE=$B103)))*SIGN(((ACT_SKU_SCOPE="ALL")+(ACT_SKU_SCOPE=$G103)))*(1&gt;ACT_END)*(ACT_END&gt;0)*IFERROR(ACT_POSTLIFT,0))),0)))</f>
        <v/>
      </c>
      <c r="K103" s="10">
        <f>IF(OR($H103&lt;&gt;"Y",2&lt;$I103),0,IF(SUMPRODUCT(((BULK_ENABLED="Y")*((BULK_TIER="ALL")+(BULK_TIER=$F103))*((BULK_SKU="ALL")+(BULK_SKU=$G103))*(BULK_START&lt;=2)*(BULK_END&gt;=2)))&gt;0,IFERROR(SUMPRODUCT(((BULK_ENABLED="Y")*((BULK_TIER="ALL")+(BULK_TIER=$F103))*((BULK_SKU="ALL")+(BULK_SKU=$G103))*(BULK_START&lt;=2)*(BULK_END&gt;=2))*IFERROR(BULK_VALUE,0))/MAX(1,SUMPRODUCT(((BULK_ENABLED="Y")*((BULK_TIER="ALL")+(BULK_TIER=$F103))*((BULK_SKU="ALL")+(BULK_SKU=$G103))*(BULK_START&lt;=2)*(BULK_END&gt;=2)))),0),ROUND((INDEX(VELOCITY_TABLE,MATCH($F103,TIER_LIST,0),3))*(IF((2-$I103+1)&lt;=0,0,IF((2-$I103+1)=1,RAMP_W1,IF((2-$I103+1)=2,RAMP_W2,IF((2-$I103+1)=3,RAMP_W3,RAMP_W4PLUS)))))*(INDEX(ACTIVE_MULT_TABLE,3,1))*(1+SUMPRODUCT(SIGN(((ACT_DOOR_SCOPE="ALL")+(ACT_DOOR_SCOPE="TIER_"&amp;$F103)+(ACT_DOOR_SCOPE=$B103)))*SIGN(((ACT_SKU_SCOPE="ALL")+(ACT_SKU_SCOPE=$G103)))*(ACT_START&lt;=2)*(ACT_END&gt;=2)*IFERROR(ACT_UPLIFT-1,0)))*(1+SUMPRODUCT(SIGN(((ACT_DOOR_SCOPE="ALL")+(ACT_DOOR_SCOPE="TIER_"&amp;$F103)+(ACT_DOOR_SCOPE=$B103)))*SIGN(((ACT_SKU_SCOPE="ALL")+(ACT_SKU_SCOPE=$G103)))*(2&gt;ACT_END)*(ACT_END&gt;0)*IFERROR(ACT_POSTLIFT,0))),0)))</f>
        <v/>
      </c>
      <c r="L103" s="10">
        <f>IF(OR($H103&lt;&gt;"Y",3&lt;$I103),0,IF(SUMPRODUCT(((BULK_ENABLED="Y")*((BULK_TIER="ALL")+(BULK_TIER=$F103))*((BULK_SKU="ALL")+(BULK_SKU=$G103))*(BULK_START&lt;=3)*(BULK_END&gt;=3)))&gt;0,IFERROR(SUMPRODUCT(((BULK_ENABLED="Y")*((BULK_TIER="ALL")+(BULK_TIER=$F103))*((BULK_SKU="ALL")+(BULK_SKU=$G103))*(BULK_START&lt;=3)*(BULK_END&gt;=3))*IFERROR(BULK_VALUE,0))/MAX(1,SUMPRODUCT(((BULK_ENABLED="Y")*((BULK_TIER="ALL")+(BULK_TIER=$F103))*((BULK_SKU="ALL")+(BULK_SKU=$G103))*(BULK_START&lt;=3)*(BULK_END&gt;=3)))),0),ROUND((INDEX(VELOCITY_TABLE,MATCH($F103,TIER_LIST,0),3))*(IF((3-$I103+1)&lt;=0,0,IF((3-$I103+1)=1,RAMP_W1,IF((3-$I103+1)=2,RAMP_W2,IF((3-$I103+1)=3,RAMP_W3,RAMP_W4PLUS)))))*(INDEX(ACTIVE_MULT_TABLE,3,1))*(1+SUMPRODUCT(SIGN(((ACT_DOOR_SCOPE="ALL")+(ACT_DOOR_SCOPE="TIER_"&amp;$F103)+(ACT_DOOR_SCOPE=$B103)))*SIGN(((ACT_SKU_SCOPE="ALL")+(ACT_SKU_SCOPE=$G103)))*(ACT_START&lt;=3)*(ACT_END&gt;=3)*IFERROR(ACT_UPLIFT-1,0)))*(1+SUMPRODUCT(SIGN(((ACT_DOOR_SCOPE="ALL")+(ACT_DOOR_SCOPE="TIER_"&amp;$F103)+(ACT_DOOR_SCOPE=$B103)))*SIGN(((ACT_SKU_SCOPE="ALL")+(ACT_SKU_SCOPE=$G103)))*(3&gt;ACT_END)*(ACT_END&gt;0)*IFERROR(ACT_POSTLIFT,0))),0)))</f>
        <v/>
      </c>
      <c r="M103" s="10">
        <f>IF(OR($H103&lt;&gt;"Y",4&lt;$I103),0,IF(SUMPRODUCT(((BULK_ENABLED="Y")*((BULK_TIER="ALL")+(BULK_TIER=$F103))*((BULK_SKU="ALL")+(BULK_SKU=$G103))*(BULK_START&lt;=4)*(BULK_END&gt;=4)))&gt;0,IFERROR(SUMPRODUCT(((BULK_ENABLED="Y")*((BULK_TIER="ALL")+(BULK_TIER=$F103))*((BULK_SKU="ALL")+(BULK_SKU=$G103))*(BULK_START&lt;=4)*(BULK_END&gt;=4))*IFERROR(BULK_VALUE,0))/MAX(1,SUMPRODUCT(((BULK_ENABLED="Y")*((BULK_TIER="ALL")+(BULK_TIER=$F103))*((BULK_SKU="ALL")+(BULK_SKU=$G103))*(BULK_START&lt;=4)*(BULK_END&gt;=4)))),0),ROUND((INDEX(VELOCITY_TABLE,MATCH($F103,TIER_LIST,0),3))*(IF((4-$I103+1)&lt;=0,0,IF((4-$I103+1)=1,RAMP_W1,IF((4-$I103+1)=2,RAMP_W2,IF((4-$I103+1)=3,RAMP_W3,RAMP_W4PLUS)))))*(INDEX(ACTIVE_MULT_TABLE,3,1))*(1+SUMPRODUCT(SIGN(((ACT_DOOR_SCOPE="ALL")+(ACT_DOOR_SCOPE="TIER_"&amp;$F103)+(ACT_DOOR_SCOPE=$B103)))*SIGN(((ACT_SKU_SCOPE="ALL")+(ACT_SKU_SCOPE=$G103)))*(ACT_START&lt;=4)*(ACT_END&gt;=4)*IFERROR(ACT_UPLIFT-1,0)))*(1+SUMPRODUCT(SIGN(((ACT_DOOR_SCOPE="ALL")+(ACT_DOOR_SCOPE="TIER_"&amp;$F103)+(ACT_DOOR_SCOPE=$B103)))*SIGN(((ACT_SKU_SCOPE="ALL")+(ACT_SKU_SCOPE=$G103)))*(4&gt;ACT_END)*(ACT_END&gt;0)*IFERROR(ACT_POSTLIFT,0))),0)))</f>
        <v/>
      </c>
      <c r="N103" s="10">
        <f>IF(OR($H103&lt;&gt;"Y",5&lt;$I103),0,IF(SUMPRODUCT(((BULK_ENABLED="Y")*((BULK_TIER="ALL")+(BULK_TIER=$F103))*((BULK_SKU="ALL")+(BULK_SKU=$G103))*(BULK_START&lt;=5)*(BULK_END&gt;=5)))&gt;0,IFERROR(SUMPRODUCT(((BULK_ENABLED="Y")*((BULK_TIER="ALL")+(BULK_TIER=$F103))*((BULK_SKU="ALL")+(BULK_SKU=$G103))*(BULK_START&lt;=5)*(BULK_END&gt;=5))*IFERROR(BULK_VALUE,0))/MAX(1,SUMPRODUCT(((BULK_ENABLED="Y")*((BULK_TIER="ALL")+(BULK_TIER=$F103))*((BULK_SKU="ALL")+(BULK_SKU=$G103))*(BULK_START&lt;=5)*(BULK_END&gt;=5)))),0),ROUND((INDEX(VELOCITY_TABLE,MATCH($F103,TIER_LIST,0),3))*(IF((5-$I103+1)&lt;=0,0,IF((5-$I103+1)=1,RAMP_W1,IF((5-$I103+1)=2,RAMP_W2,IF((5-$I103+1)=3,RAMP_W3,RAMP_W4PLUS)))))*(INDEX(ACTIVE_MULT_TABLE,3,1))*(1+SUMPRODUCT(SIGN(((ACT_DOOR_SCOPE="ALL")+(ACT_DOOR_SCOPE="TIER_"&amp;$F103)+(ACT_DOOR_SCOPE=$B103)))*SIGN(((ACT_SKU_SCOPE="ALL")+(ACT_SKU_SCOPE=$G103)))*(ACT_START&lt;=5)*(ACT_END&gt;=5)*IFERROR(ACT_UPLIFT-1,0)))*(1+SUMPRODUCT(SIGN(((ACT_DOOR_SCOPE="ALL")+(ACT_DOOR_SCOPE="TIER_"&amp;$F103)+(ACT_DOOR_SCOPE=$B103)))*SIGN(((ACT_SKU_SCOPE="ALL")+(ACT_SKU_SCOPE=$G103)))*(5&gt;ACT_END)*(ACT_END&gt;0)*IFERROR(ACT_POSTLIFT,0))),0)))</f>
        <v/>
      </c>
      <c r="O103" s="10">
        <f>IF(OR($H103&lt;&gt;"Y",6&lt;$I103),0,IF(SUMPRODUCT(((BULK_ENABLED="Y")*((BULK_TIER="ALL")+(BULK_TIER=$F103))*((BULK_SKU="ALL")+(BULK_SKU=$G103))*(BULK_START&lt;=6)*(BULK_END&gt;=6)))&gt;0,IFERROR(SUMPRODUCT(((BULK_ENABLED="Y")*((BULK_TIER="ALL")+(BULK_TIER=$F103))*((BULK_SKU="ALL")+(BULK_SKU=$G103))*(BULK_START&lt;=6)*(BULK_END&gt;=6))*IFERROR(BULK_VALUE,0))/MAX(1,SUMPRODUCT(((BULK_ENABLED="Y")*((BULK_TIER="ALL")+(BULK_TIER=$F103))*((BULK_SKU="ALL")+(BULK_SKU=$G103))*(BULK_START&lt;=6)*(BULK_END&gt;=6)))),0),ROUND((INDEX(VELOCITY_TABLE,MATCH($F103,TIER_LIST,0),3))*(IF((6-$I103+1)&lt;=0,0,IF((6-$I103+1)=1,RAMP_W1,IF((6-$I103+1)=2,RAMP_W2,IF((6-$I103+1)=3,RAMP_W3,RAMP_W4PLUS)))))*(INDEX(ACTIVE_MULT_TABLE,3,1))*(1+SUMPRODUCT(SIGN(((ACT_DOOR_SCOPE="ALL")+(ACT_DOOR_SCOPE="TIER_"&amp;$F103)+(ACT_DOOR_SCOPE=$B103)))*SIGN(((ACT_SKU_SCOPE="ALL")+(ACT_SKU_SCOPE=$G103)))*(ACT_START&lt;=6)*(ACT_END&gt;=6)*IFERROR(ACT_UPLIFT-1,0)))*(1+SUMPRODUCT(SIGN(((ACT_DOOR_SCOPE="ALL")+(ACT_DOOR_SCOPE="TIER_"&amp;$F103)+(ACT_DOOR_SCOPE=$B103)))*SIGN(((ACT_SKU_SCOPE="ALL")+(ACT_SKU_SCOPE=$G103)))*(6&gt;ACT_END)*(ACT_END&gt;0)*IFERROR(ACT_POSTLIFT,0))),0)))</f>
        <v/>
      </c>
      <c r="P103" s="10">
        <f>IF(OR($H103&lt;&gt;"Y",7&lt;$I103),0,IF(SUMPRODUCT(((BULK_ENABLED="Y")*((BULK_TIER="ALL")+(BULK_TIER=$F103))*((BULK_SKU="ALL")+(BULK_SKU=$G103))*(BULK_START&lt;=7)*(BULK_END&gt;=7)))&gt;0,IFERROR(SUMPRODUCT(((BULK_ENABLED="Y")*((BULK_TIER="ALL")+(BULK_TIER=$F103))*((BULK_SKU="ALL")+(BULK_SKU=$G103))*(BULK_START&lt;=7)*(BULK_END&gt;=7))*IFERROR(BULK_VALUE,0))/MAX(1,SUMPRODUCT(((BULK_ENABLED="Y")*((BULK_TIER="ALL")+(BULK_TIER=$F103))*((BULK_SKU="ALL")+(BULK_SKU=$G103))*(BULK_START&lt;=7)*(BULK_END&gt;=7)))),0),ROUND((INDEX(VELOCITY_TABLE,MATCH($F103,TIER_LIST,0),3))*(IF((7-$I103+1)&lt;=0,0,IF((7-$I103+1)=1,RAMP_W1,IF((7-$I103+1)=2,RAMP_W2,IF((7-$I103+1)=3,RAMP_W3,RAMP_W4PLUS)))))*(INDEX(ACTIVE_MULT_TABLE,3,1))*(1+SUMPRODUCT(SIGN(((ACT_DOOR_SCOPE="ALL")+(ACT_DOOR_SCOPE="TIER_"&amp;$F103)+(ACT_DOOR_SCOPE=$B103)))*SIGN(((ACT_SKU_SCOPE="ALL")+(ACT_SKU_SCOPE=$G103)))*(ACT_START&lt;=7)*(ACT_END&gt;=7)*IFERROR(ACT_UPLIFT-1,0)))*(1+SUMPRODUCT(SIGN(((ACT_DOOR_SCOPE="ALL")+(ACT_DOOR_SCOPE="TIER_"&amp;$F103)+(ACT_DOOR_SCOPE=$B103)))*SIGN(((ACT_SKU_SCOPE="ALL")+(ACT_SKU_SCOPE=$G103)))*(7&gt;ACT_END)*(ACT_END&gt;0)*IFERROR(ACT_POSTLIFT,0))),0)))</f>
        <v/>
      </c>
      <c r="Q103" s="10">
        <f>IF(OR($H103&lt;&gt;"Y",8&lt;$I103),0,IF(SUMPRODUCT(((BULK_ENABLED="Y")*((BULK_TIER="ALL")+(BULK_TIER=$F103))*((BULK_SKU="ALL")+(BULK_SKU=$G103))*(BULK_START&lt;=8)*(BULK_END&gt;=8)))&gt;0,IFERROR(SUMPRODUCT(((BULK_ENABLED="Y")*((BULK_TIER="ALL")+(BULK_TIER=$F103))*((BULK_SKU="ALL")+(BULK_SKU=$G103))*(BULK_START&lt;=8)*(BULK_END&gt;=8))*IFERROR(BULK_VALUE,0))/MAX(1,SUMPRODUCT(((BULK_ENABLED="Y")*((BULK_TIER="ALL")+(BULK_TIER=$F103))*((BULK_SKU="ALL")+(BULK_SKU=$G103))*(BULK_START&lt;=8)*(BULK_END&gt;=8)))),0),ROUND((INDEX(VELOCITY_TABLE,MATCH($F103,TIER_LIST,0),3))*(IF((8-$I103+1)&lt;=0,0,IF((8-$I103+1)=1,RAMP_W1,IF((8-$I103+1)=2,RAMP_W2,IF((8-$I103+1)=3,RAMP_W3,RAMP_W4PLUS)))))*(INDEX(ACTIVE_MULT_TABLE,3,1))*(1+SUMPRODUCT(SIGN(((ACT_DOOR_SCOPE="ALL")+(ACT_DOOR_SCOPE="TIER_"&amp;$F103)+(ACT_DOOR_SCOPE=$B103)))*SIGN(((ACT_SKU_SCOPE="ALL")+(ACT_SKU_SCOPE=$G103)))*(ACT_START&lt;=8)*(ACT_END&gt;=8)*IFERROR(ACT_UPLIFT-1,0)))*(1+SUMPRODUCT(SIGN(((ACT_DOOR_SCOPE="ALL")+(ACT_DOOR_SCOPE="TIER_"&amp;$F103)+(ACT_DOOR_SCOPE=$B103)))*SIGN(((ACT_SKU_SCOPE="ALL")+(ACT_SKU_SCOPE=$G103)))*(8&gt;ACT_END)*(ACT_END&gt;0)*IFERROR(ACT_POSTLIFT,0))),0)))</f>
        <v/>
      </c>
      <c r="R103" s="10">
        <f>IF(OR($H103&lt;&gt;"Y",9&lt;$I103),0,IF(SUMPRODUCT(((BULK_ENABLED="Y")*((BULK_TIER="ALL")+(BULK_TIER=$F103))*((BULK_SKU="ALL")+(BULK_SKU=$G103))*(BULK_START&lt;=9)*(BULK_END&gt;=9)))&gt;0,IFERROR(SUMPRODUCT(((BULK_ENABLED="Y")*((BULK_TIER="ALL")+(BULK_TIER=$F103))*((BULK_SKU="ALL")+(BULK_SKU=$G103))*(BULK_START&lt;=9)*(BULK_END&gt;=9))*IFERROR(BULK_VALUE,0))/MAX(1,SUMPRODUCT(((BULK_ENABLED="Y")*((BULK_TIER="ALL")+(BULK_TIER=$F103))*((BULK_SKU="ALL")+(BULK_SKU=$G103))*(BULK_START&lt;=9)*(BULK_END&gt;=9)))),0),ROUND((INDEX(VELOCITY_TABLE,MATCH($F103,TIER_LIST,0),3))*(IF((9-$I103+1)&lt;=0,0,IF((9-$I103+1)=1,RAMP_W1,IF((9-$I103+1)=2,RAMP_W2,IF((9-$I103+1)=3,RAMP_W3,RAMP_W4PLUS)))))*(INDEX(ACTIVE_MULT_TABLE,3,1))*(1+SUMPRODUCT(SIGN(((ACT_DOOR_SCOPE="ALL")+(ACT_DOOR_SCOPE="TIER_"&amp;$F103)+(ACT_DOOR_SCOPE=$B103)))*SIGN(((ACT_SKU_SCOPE="ALL")+(ACT_SKU_SCOPE=$G103)))*(ACT_START&lt;=9)*(ACT_END&gt;=9)*IFERROR(ACT_UPLIFT-1,0)))*(1+SUMPRODUCT(SIGN(((ACT_DOOR_SCOPE="ALL")+(ACT_DOOR_SCOPE="TIER_"&amp;$F103)+(ACT_DOOR_SCOPE=$B103)))*SIGN(((ACT_SKU_SCOPE="ALL")+(ACT_SKU_SCOPE=$G103)))*(9&gt;ACT_END)*(ACT_END&gt;0)*IFERROR(ACT_POSTLIFT,0))),0)))</f>
        <v/>
      </c>
      <c r="S103" s="10">
        <f>IF(OR($H103&lt;&gt;"Y",10&lt;$I103),0,IF(SUMPRODUCT(((BULK_ENABLED="Y")*((BULK_TIER="ALL")+(BULK_TIER=$F103))*((BULK_SKU="ALL")+(BULK_SKU=$G103))*(BULK_START&lt;=10)*(BULK_END&gt;=10)))&gt;0,IFERROR(SUMPRODUCT(((BULK_ENABLED="Y")*((BULK_TIER="ALL")+(BULK_TIER=$F103))*((BULK_SKU="ALL")+(BULK_SKU=$G103))*(BULK_START&lt;=10)*(BULK_END&gt;=10))*IFERROR(BULK_VALUE,0))/MAX(1,SUMPRODUCT(((BULK_ENABLED="Y")*((BULK_TIER="ALL")+(BULK_TIER=$F103))*((BULK_SKU="ALL")+(BULK_SKU=$G103))*(BULK_START&lt;=10)*(BULK_END&gt;=10)))),0),ROUND((INDEX(VELOCITY_TABLE,MATCH($F103,TIER_LIST,0),3))*(IF((10-$I103+1)&lt;=0,0,IF((10-$I103+1)=1,RAMP_W1,IF((10-$I103+1)=2,RAMP_W2,IF((10-$I103+1)=3,RAMP_W3,RAMP_W4PLUS)))))*(INDEX(ACTIVE_MULT_TABLE,3,1))*(1+SUMPRODUCT(SIGN(((ACT_DOOR_SCOPE="ALL")+(ACT_DOOR_SCOPE="TIER_"&amp;$F103)+(ACT_DOOR_SCOPE=$B103)))*SIGN(((ACT_SKU_SCOPE="ALL")+(ACT_SKU_SCOPE=$G103)))*(ACT_START&lt;=10)*(ACT_END&gt;=10)*IFERROR(ACT_UPLIFT-1,0)))*(1+SUMPRODUCT(SIGN(((ACT_DOOR_SCOPE="ALL")+(ACT_DOOR_SCOPE="TIER_"&amp;$F103)+(ACT_DOOR_SCOPE=$B103)))*SIGN(((ACT_SKU_SCOPE="ALL")+(ACT_SKU_SCOPE=$G103)))*(10&gt;ACT_END)*(ACT_END&gt;0)*IFERROR(ACT_POSTLIFT,0))),0)))</f>
        <v/>
      </c>
      <c r="T103" s="10">
        <f>IF(OR($H103&lt;&gt;"Y",11&lt;$I103),0,IF(SUMPRODUCT(((BULK_ENABLED="Y")*((BULK_TIER="ALL")+(BULK_TIER=$F103))*((BULK_SKU="ALL")+(BULK_SKU=$G103))*(BULK_START&lt;=11)*(BULK_END&gt;=11)))&gt;0,IFERROR(SUMPRODUCT(((BULK_ENABLED="Y")*((BULK_TIER="ALL")+(BULK_TIER=$F103))*((BULK_SKU="ALL")+(BULK_SKU=$G103))*(BULK_START&lt;=11)*(BULK_END&gt;=11))*IFERROR(BULK_VALUE,0))/MAX(1,SUMPRODUCT(((BULK_ENABLED="Y")*((BULK_TIER="ALL")+(BULK_TIER=$F103))*((BULK_SKU="ALL")+(BULK_SKU=$G103))*(BULK_START&lt;=11)*(BULK_END&gt;=11)))),0),ROUND((INDEX(VELOCITY_TABLE,MATCH($F103,TIER_LIST,0),3))*(IF((11-$I103+1)&lt;=0,0,IF((11-$I103+1)=1,RAMP_W1,IF((11-$I103+1)=2,RAMP_W2,IF((11-$I103+1)=3,RAMP_W3,RAMP_W4PLUS)))))*(INDEX(ACTIVE_MULT_TABLE,3,1))*(1+SUMPRODUCT(SIGN(((ACT_DOOR_SCOPE="ALL")+(ACT_DOOR_SCOPE="TIER_"&amp;$F103)+(ACT_DOOR_SCOPE=$B103)))*SIGN(((ACT_SKU_SCOPE="ALL")+(ACT_SKU_SCOPE=$G103)))*(ACT_START&lt;=11)*(ACT_END&gt;=11)*IFERROR(ACT_UPLIFT-1,0)))*(1+SUMPRODUCT(SIGN(((ACT_DOOR_SCOPE="ALL")+(ACT_DOOR_SCOPE="TIER_"&amp;$F103)+(ACT_DOOR_SCOPE=$B103)))*SIGN(((ACT_SKU_SCOPE="ALL")+(ACT_SKU_SCOPE=$G103)))*(11&gt;ACT_END)*(ACT_END&gt;0)*IFERROR(ACT_POSTLIFT,0))),0)))</f>
        <v/>
      </c>
      <c r="U103" s="10">
        <f>IF(OR($H103&lt;&gt;"Y",12&lt;$I103),0,IF(SUMPRODUCT(((BULK_ENABLED="Y")*((BULK_TIER="ALL")+(BULK_TIER=$F103))*((BULK_SKU="ALL")+(BULK_SKU=$G103))*(BULK_START&lt;=12)*(BULK_END&gt;=12)))&gt;0,IFERROR(SUMPRODUCT(((BULK_ENABLED="Y")*((BULK_TIER="ALL")+(BULK_TIER=$F103))*((BULK_SKU="ALL")+(BULK_SKU=$G103))*(BULK_START&lt;=12)*(BULK_END&gt;=12))*IFERROR(BULK_VALUE,0))/MAX(1,SUMPRODUCT(((BULK_ENABLED="Y")*((BULK_TIER="ALL")+(BULK_TIER=$F103))*((BULK_SKU="ALL")+(BULK_SKU=$G103))*(BULK_START&lt;=12)*(BULK_END&gt;=12)))),0),ROUND((INDEX(VELOCITY_TABLE,MATCH($F103,TIER_LIST,0),3))*(IF((12-$I103+1)&lt;=0,0,IF((12-$I103+1)=1,RAMP_W1,IF((12-$I103+1)=2,RAMP_W2,IF((12-$I103+1)=3,RAMP_W3,RAMP_W4PLUS)))))*(INDEX(ACTIVE_MULT_TABLE,3,1))*(1+SUMPRODUCT(SIGN(((ACT_DOOR_SCOPE="ALL")+(ACT_DOOR_SCOPE="TIER_"&amp;$F103)+(ACT_DOOR_SCOPE=$B103)))*SIGN(((ACT_SKU_SCOPE="ALL")+(ACT_SKU_SCOPE=$G103)))*(ACT_START&lt;=12)*(ACT_END&gt;=12)*IFERROR(ACT_UPLIFT-1,0)))*(1+SUMPRODUCT(SIGN(((ACT_DOOR_SCOPE="ALL")+(ACT_DOOR_SCOPE="TIER_"&amp;$F103)+(ACT_DOOR_SCOPE=$B103)))*SIGN(((ACT_SKU_SCOPE="ALL")+(ACT_SKU_SCOPE=$G103)))*(12&gt;ACT_END)*(ACT_END&gt;0)*IFERROR(ACT_POSTLIFT,0))),0)))</f>
        <v/>
      </c>
      <c r="V103" s="10">
        <f>IF(OR($H103&lt;&gt;"Y",13&lt;$I103),0,IF(SUMPRODUCT(((BULK_ENABLED="Y")*((BULK_TIER="ALL")+(BULK_TIER=$F103))*((BULK_SKU="ALL")+(BULK_SKU=$G103))*(BULK_START&lt;=13)*(BULK_END&gt;=13)))&gt;0,IFERROR(SUMPRODUCT(((BULK_ENABLED="Y")*((BULK_TIER="ALL")+(BULK_TIER=$F103))*((BULK_SKU="ALL")+(BULK_SKU=$G103))*(BULK_START&lt;=13)*(BULK_END&gt;=13))*IFERROR(BULK_VALUE,0))/MAX(1,SUMPRODUCT(((BULK_ENABLED="Y")*((BULK_TIER="ALL")+(BULK_TIER=$F103))*((BULK_SKU="ALL")+(BULK_SKU=$G103))*(BULK_START&lt;=13)*(BULK_END&gt;=13)))),0),ROUND((INDEX(VELOCITY_TABLE,MATCH($F103,TIER_LIST,0),3))*(IF((13-$I103+1)&lt;=0,0,IF((13-$I103+1)=1,RAMP_W1,IF((13-$I103+1)=2,RAMP_W2,IF((13-$I103+1)=3,RAMP_W3,RAMP_W4PLUS)))))*(INDEX(ACTIVE_MULT_TABLE,3,1))*(1+SUMPRODUCT(SIGN(((ACT_DOOR_SCOPE="ALL")+(ACT_DOOR_SCOPE="TIER_"&amp;$F103)+(ACT_DOOR_SCOPE=$B103)))*SIGN(((ACT_SKU_SCOPE="ALL")+(ACT_SKU_SCOPE=$G103)))*(ACT_START&lt;=13)*(ACT_END&gt;=13)*IFERROR(ACT_UPLIFT-1,0)))*(1+SUMPRODUCT(SIGN(((ACT_DOOR_SCOPE="ALL")+(ACT_DOOR_SCOPE="TIER_"&amp;$F103)+(ACT_DOOR_SCOPE=$B103)))*SIGN(((ACT_SKU_SCOPE="ALL")+(ACT_SKU_SCOPE=$G103)))*(13&gt;ACT_END)*(ACT_END&gt;0)*IFERROR(ACT_POSTLIFT,0))),0)))</f>
        <v/>
      </c>
    </row>
    <row r="104">
      <c r="A104" t="inlineStr">
        <is>
          <t>R0100</t>
        </is>
      </c>
      <c r="B104">
        <f>Doors!$A$38</f>
        <v/>
      </c>
      <c r="C104">
        <f>Doors!$C$38</f>
        <v/>
      </c>
      <c r="D104">
        <f>Doors!$B$38</f>
        <v/>
      </c>
      <c r="E104">
        <f>Doors!$E$38</f>
        <v/>
      </c>
      <c r="F104">
        <f>Doors!$F$38</f>
        <v/>
      </c>
      <c r="G104" t="inlineStr">
        <is>
          <t>Lime Lemon</t>
        </is>
      </c>
      <c r="H104">
        <f>Doors!$G$38</f>
        <v/>
      </c>
      <c r="I104">
        <f>Doors!$J$38</f>
        <v/>
      </c>
      <c r="J104" s="10">
        <f>IF(OR($H104&lt;&gt;"Y",1&lt;$I104),0,IF(SUMPRODUCT(((BULK_ENABLED="Y")*((BULK_TIER="ALL")+(BULK_TIER=$F104))*((BULK_SKU="ALL")+(BULK_SKU=$G104))*(BULK_START&lt;=1)*(BULK_END&gt;=1)))&gt;0,IFERROR(SUMPRODUCT(((BULK_ENABLED="Y")*((BULK_TIER="ALL")+(BULK_TIER=$F104))*((BULK_SKU="ALL")+(BULK_SKU=$G104))*(BULK_START&lt;=1)*(BULK_END&gt;=1))*IFERROR(BULK_VALUE,0))/MAX(1,SUMPRODUCT(((BULK_ENABLED="Y")*((BULK_TIER="ALL")+(BULK_TIER=$F104))*((BULK_SKU="ALL")+(BULK_SKU=$G104))*(BULK_START&lt;=1)*(BULK_END&gt;=1)))),0),ROUND((INDEX(VELOCITY_TABLE,MATCH($F104,TIER_LIST,0),1))*(IF((1-$I104+1)&lt;=0,0,IF((1-$I104+1)=1,RAMP_W1,IF((1-$I104+1)=2,RAMP_W2,IF((1-$I104+1)=3,RAMP_W3,RAMP_W4PLUS)))))*(INDEX(ACTIVE_MULT_TABLE,1,1))*(1+SUMPRODUCT(SIGN(((ACT_DOOR_SCOPE="ALL")+(ACT_DOOR_SCOPE="TIER_"&amp;$F104)+(ACT_DOOR_SCOPE=$B104)))*SIGN(((ACT_SKU_SCOPE="ALL")+(ACT_SKU_SCOPE=$G104)))*(ACT_START&lt;=1)*(ACT_END&gt;=1)*IFERROR(ACT_UPLIFT-1,0)))*(1+SUMPRODUCT(SIGN(((ACT_DOOR_SCOPE="ALL")+(ACT_DOOR_SCOPE="TIER_"&amp;$F104)+(ACT_DOOR_SCOPE=$B104)))*SIGN(((ACT_SKU_SCOPE="ALL")+(ACT_SKU_SCOPE=$G104)))*(1&gt;ACT_END)*(ACT_END&gt;0)*IFERROR(ACT_POSTLIFT,0))),0)))</f>
        <v/>
      </c>
      <c r="K104" s="10">
        <f>IF(OR($H104&lt;&gt;"Y",2&lt;$I104),0,IF(SUMPRODUCT(((BULK_ENABLED="Y")*((BULK_TIER="ALL")+(BULK_TIER=$F104))*((BULK_SKU="ALL")+(BULK_SKU=$G104))*(BULK_START&lt;=2)*(BULK_END&gt;=2)))&gt;0,IFERROR(SUMPRODUCT(((BULK_ENABLED="Y")*((BULK_TIER="ALL")+(BULK_TIER=$F104))*((BULK_SKU="ALL")+(BULK_SKU=$G104))*(BULK_START&lt;=2)*(BULK_END&gt;=2))*IFERROR(BULK_VALUE,0))/MAX(1,SUMPRODUCT(((BULK_ENABLED="Y")*((BULK_TIER="ALL")+(BULK_TIER=$F104))*((BULK_SKU="ALL")+(BULK_SKU=$G104))*(BULK_START&lt;=2)*(BULK_END&gt;=2)))),0),ROUND((INDEX(VELOCITY_TABLE,MATCH($F104,TIER_LIST,0),1))*(IF((2-$I104+1)&lt;=0,0,IF((2-$I104+1)=1,RAMP_W1,IF((2-$I104+1)=2,RAMP_W2,IF((2-$I104+1)=3,RAMP_W3,RAMP_W4PLUS)))))*(INDEX(ACTIVE_MULT_TABLE,1,1))*(1+SUMPRODUCT(SIGN(((ACT_DOOR_SCOPE="ALL")+(ACT_DOOR_SCOPE="TIER_"&amp;$F104)+(ACT_DOOR_SCOPE=$B104)))*SIGN(((ACT_SKU_SCOPE="ALL")+(ACT_SKU_SCOPE=$G104)))*(ACT_START&lt;=2)*(ACT_END&gt;=2)*IFERROR(ACT_UPLIFT-1,0)))*(1+SUMPRODUCT(SIGN(((ACT_DOOR_SCOPE="ALL")+(ACT_DOOR_SCOPE="TIER_"&amp;$F104)+(ACT_DOOR_SCOPE=$B104)))*SIGN(((ACT_SKU_SCOPE="ALL")+(ACT_SKU_SCOPE=$G104)))*(2&gt;ACT_END)*(ACT_END&gt;0)*IFERROR(ACT_POSTLIFT,0))),0)))</f>
        <v/>
      </c>
      <c r="L104" s="10">
        <f>IF(OR($H104&lt;&gt;"Y",3&lt;$I104),0,IF(SUMPRODUCT(((BULK_ENABLED="Y")*((BULK_TIER="ALL")+(BULK_TIER=$F104))*((BULK_SKU="ALL")+(BULK_SKU=$G104))*(BULK_START&lt;=3)*(BULK_END&gt;=3)))&gt;0,IFERROR(SUMPRODUCT(((BULK_ENABLED="Y")*((BULK_TIER="ALL")+(BULK_TIER=$F104))*((BULK_SKU="ALL")+(BULK_SKU=$G104))*(BULK_START&lt;=3)*(BULK_END&gt;=3))*IFERROR(BULK_VALUE,0))/MAX(1,SUMPRODUCT(((BULK_ENABLED="Y")*((BULK_TIER="ALL")+(BULK_TIER=$F104))*((BULK_SKU="ALL")+(BULK_SKU=$G104))*(BULK_START&lt;=3)*(BULK_END&gt;=3)))),0),ROUND((INDEX(VELOCITY_TABLE,MATCH($F104,TIER_LIST,0),1))*(IF((3-$I104+1)&lt;=0,0,IF((3-$I104+1)=1,RAMP_W1,IF((3-$I104+1)=2,RAMP_W2,IF((3-$I104+1)=3,RAMP_W3,RAMP_W4PLUS)))))*(INDEX(ACTIVE_MULT_TABLE,1,1))*(1+SUMPRODUCT(SIGN(((ACT_DOOR_SCOPE="ALL")+(ACT_DOOR_SCOPE="TIER_"&amp;$F104)+(ACT_DOOR_SCOPE=$B104)))*SIGN(((ACT_SKU_SCOPE="ALL")+(ACT_SKU_SCOPE=$G104)))*(ACT_START&lt;=3)*(ACT_END&gt;=3)*IFERROR(ACT_UPLIFT-1,0)))*(1+SUMPRODUCT(SIGN(((ACT_DOOR_SCOPE="ALL")+(ACT_DOOR_SCOPE="TIER_"&amp;$F104)+(ACT_DOOR_SCOPE=$B104)))*SIGN(((ACT_SKU_SCOPE="ALL")+(ACT_SKU_SCOPE=$G104)))*(3&gt;ACT_END)*(ACT_END&gt;0)*IFERROR(ACT_POSTLIFT,0))),0)))</f>
        <v/>
      </c>
      <c r="M104" s="10">
        <f>IF(OR($H104&lt;&gt;"Y",4&lt;$I104),0,IF(SUMPRODUCT(((BULK_ENABLED="Y")*((BULK_TIER="ALL")+(BULK_TIER=$F104))*((BULK_SKU="ALL")+(BULK_SKU=$G104))*(BULK_START&lt;=4)*(BULK_END&gt;=4)))&gt;0,IFERROR(SUMPRODUCT(((BULK_ENABLED="Y")*((BULK_TIER="ALL")+(BULK_TIER=$F104))*((BULK_SKU="ALL")+(BULK_SKU=$G104))*(BULK_START&lt;=4)*(BULK_END&gt;=4))*IFERROR(BULK_VALUE,0))/MAX(1,SUMPRODUCT(((BULK_ENABLED="Y")*((BULK_TIER="ALL")+(BULK_TIER=$F104))*((BULK_SKU="ALL")+(BULK_SKU=$G104))*(BULK_START&lt;=4)*(BULK_END&gt;=4)))),0),ROUND((INDEX(VELOCITY_TABLE,MATCH($F104,TIER_LIST,0),1))*(IF((4-$I104+1)&lt;=0,0,IF((4-$I104+1)=1,RAMP_W1,IF((4-$I104+1)=2,RAMP_W2,IF((4-$I104+1)=3,RAMP_W3,RAMP_W4PLUS)))))*(INDEX(ACTIVE_MULT_TABLE,1,1))*(1+SUMPRODUCT(SIGN(((ACT_DOOR_SCOPE="ALL")+(ACT_DOOR_SCOPE="TIER_"&amp;$F104)+(ACT_DOOR_SCOPE=$B104)))*SIGN(((ACT_SKU_SCOPE="ALL")+(ACT_SKU_SCOPE=$G104)))*(ACT_START&lt;=4)*(ACT_END&gt;=4)*IFERROR(ACT_UPLIFT-1,0)))*(1+SUMPRODUCT(SIGN(((ACT_DOOR_SCOPE="ALL")+(ACT_DOOR_SCOPE="TIER_"&amp;$F104)+(ACT_DOOR_SCOPE=$B104)))*SIGN(((ACT_SKU_SCOPE="ALL")+(ACT_SKU_SCOPE=$G104)))*(4&gt;ACT_END)*(ACT_END&gt;0)*IFERROR(ACT_POSTLIFT,0))),0)))</f>
        <v/>
      </c>
      <c r="N104" s="10">
        <f>IF(OR($H104&lt;&gt;"Y",5&lt;$I104),0,IF(SUMPRODUCT(((BULK_ENABLED="Y")*((BULK_TIER="ALL")+(BULK_TIER=$F104))*((BULK_SKU="ALL")+(BULK_SKU=$G104))*(BULK_START&lt;=5)*(BULK_END&gt;=5)))&gt;0,IFERROR(SUMPRODUCT(((BULK_ENABLED="Y")*((BULK_TIER="ALL")+(BULK_TIER=$F104))*((BULK_SKU="ALL")+(BULK_SKU=$G104))*(BULK_START&lt;=5)*(BULK_END&gt;=5))*IFERROR(BULK_VALUE,0))/MAX(1,SUMPRODUCT(((BULK_ENABLED="Y")*((BULK_TIER="ALL")+(BULK_TIER=$F104))*((BULK_SKU="ALL")+(BULK_SKU=$G104))*(BULK_START&lt;=5)*(BULK_END&gt;=5)))),0),ROUND((INDEX(VELOCITY_TABLE,MATCH($F104,TIER_LIST,0),1))*(IF((5-$I104+1)&lt;=0,0,IF((5-$I104+1)=1,RAMP_W1,IF((5-$I104+1)=2,RAMP_W2,IF((5-$I104+1)=3,RAMP_W3,RAMP_W4PLUS)))))*(INDEX(ACTIVE_MULT_TABLE,1,1))*(1+SUMPRODUCT(SIGN(((ACT_DOOR_SCOPE="ALL")+(ACT_DOOR_SCOPE="TIER_"&amp;$F104)+(ACT_DOOR_SCOPE=$B104)))*SIGN(((ACT_SKU_SCOPE="ALL")+(ACT_SKU_SCOPE=$G104)))*(ACT_START&lt;=5)*(ACT_END&gt;=5)*IFERROR(ACT_UPLIFT-1,0)))*(1+SUMPRODUCT(SIGN(((ACT_DOOR_SCOPE="ALL")+(ACT_DOOR_SCOPE="TIER_"&amp;$F104)+(ACT_DOOR_SCOPE=$B104)))*SIGN(((ACT_SKU_SCOPE="ALL")+(ACT_SKU_SCOPE=$G104)))*(5&gt;ACT_END)*(ACT_END&gt;0)*IFERROR(ACT_POSTLIFT,0))),0)))</f>
        <v/>
      </c>
      <c r="O104" s="10">
        <f>IF(OR($H104&lt;&gt;"Y",6&lt;$I104),0,IF(SUMPRODUCT(((BULK_ENABLED="Y")*((BULK_TIER="ALL")+(BULK_TIER=$F104))*((BULK_SKU="ALL")+(BULK_SKU=$G104))*(BULK_START&lt;=6)*(BULK_END&gt;=6)))&gt;0,IFERROR(SUMPRODUCT(((BULK_ENABLED="Y")*((BULK_TIER="ALL")+(BULK_TIER=$F104))*((BULK_SKU="ALL")+(BULK_SKU=$G104))*(BULK_START&lt;=6)*(BULK_END&gt;=6))*IFERROR(BULK_VALUE,0))/MAX(1,SUMPRODUCT(((BULK_ENABLED="Y")*((BULK_TIER="ALL")+(BULK_TIER=$F104))*((BULK_SKU="ALL")+(BULK_SKU=$G104))*(BULK_START&lt;=6)*(BULK_END&gt;=6)))),0),ROUND((INDEX(VELOCITY_TABLE,MATCH($F104,TIER_LIST,0),1))*(IF((6-$I104+1)&lt;=0,0,IF((6-$I104+1)=1,RAMP_W1,IF((6-$I104+1)=2,RAMP_W2,IF((6-$I104+1)=3,RAMP_W3,RAMP_W4PLUS)))))*(INDEX(ACTIVE_MULT_TABLE,1,1))*(1+SUMPRODUCT(SIGN(((ACT_DOOR_SCOPE="ALL")+(ACT_DOOR_SCOPE="TIER_"&amp;$F104)+(ACT_DOOR_SCOPE=$B104)))*SIGN(((ACT_SKU_SCOPE="ALL")+(ACT_SKU_SCOPE=$G104)))*(ACT_START&lt;=6)*(ACT_END&gt;=6)*IFERROR(ACT_UPLIFT-1,0)))*(1+SUMPRODUCT(SIGN(((ACT_DOOR_SCOPE="ALL")+(ACT_DOOR_SCOPE="TIER_"&amp;$F104)+(ACT_DOOR_SCOPE=$B104)))*SIGN(((ACT_SKU_SCOPE="ALL")+(ACT_SKU_SCOPE=$G104)))*(6&gt;ACT_END)*(ACT_END&gt;0)*IFERROR(ACT_POSTLIFT,0))),0)))</f>
        <v/>
      </c>
      <c r="P104" s="10">
        <f>IF(OR($H104&lt;&gt;"Y",7&lt;$I104),0,IF(SUMPRODUCT(((BULK_ENABLED="Y")*((BULK_TIER="ALL")+(BULK_TIER=$F104))*((BULK_SKU="ALL")+(BULK_SKU=$G104))*(BULK_START&lt;=7)*(BULK_END&gt;=7)))&gt;0,IFERROR(SUMPRODUCT(((BULK_ENABLED="Y")*((BULK_TIER="ALL")+(BULK_TIER=$F104))*((BULK_SKU="ALL")+(BULK_SKU=$G104))*(BULK_START&lt;=7)*(BULK_END&gt;=7))*IFERROR(BULK_VALUE,0))/MAX(1,SUMPRODUCT(((BULK_ENABLED="Y")*((BULK_TIER="ALL")+(BULK_TIER=$F104))*((BULK_SKU="ALL")+(BULK_SKU=$G104))*(BULK_START&lt;=7)*(BULK_END&gt;=7)))),0),ROUND((INDEX(VELOCITY_TABLE,MATCH($F104,TIER_LIST,0),1))*(IF((7-$I104+1)&lt;=0,0,IF((7-$I104+1)=1,RAMP_W1,IF((7-$I104+1)=2,RAMP_W2,IF((7-$I104+1)=3,RAMP_W3,RAMP_W4PLUS)))))*(INDEX(ACTIVE_MULT_TABLE,1,1))*(1+SUMPRODUCT(SIGN(((ACT_DOOR_SCOPE="ALL")+(ACT_DOOR_SCOPE="TIER_"&amp;$F104)+(ACT_DOOR_SCOPE=$B104)))*SIGN(((ACT_SKU_SCOPE="ALL")+(ACT_SKU_SCOPE=$G104)))*(ACT_START&lt;=7)*(ACT_END&gt;=7)*IFERROR(ACT_UPLIFT-1,0)))*(1+SUMPRODUCT(SIGN(((ACT_DOOR_SCOPE="ALL")+(ACT_DOOR_SCOPE="TIER_"&amp;$F104)+(ACT_DOOR_SCOPE=$B104)))*SIGN(((ACT_SKU_SCOPE="ALL")+(ACT_SKU_SCOPE=$G104)))*(7&gt;ACT_END)*(ACT_END&gt;0)*IFERROR(ACT_POSTLIFT,0))),0)))</f>
        <v/>
      </c>
      <c r="Q104" s="10">
        <f>IF(OR($H104&lt;&gt;"Y",8&lt;$I104),0,IF(SUMPRODUCT(((BULK_ENABLED="Y")*((BULK_TIER="ALL")+(BULK_TIER=$F104))*((BULK_SKU="ALL")+(BULK_SKU=$G104))*(BULK_START&lt;=8)*(BULK_END&gt;=8)))&gt;0,IFERROR(SUMPRODUCT(((BULK_ENABLED="Y")*((BULK_TIER="ALL")+(BULK_TIER=$F104))*((BULK_SKU="ALL")+(BULK_SKU=$G104))*(BULK_START&lt;=8)*(BULK_END&gt;=8))*IFERROR(BULK_VALUE,0))/MAX(1,SUMPRODUCT(((BULK_ENABLED="Y")*((BULK_TIER="ALL")+(BULK_TIER=$F104))*((BULK_SKU="ALL")+(BULK_SKU=$G104))*(BULK_START&lt;=8)*(BULK_END&gt;=8)))),0),ROUND((INDEX(VELOCITY_TABLE,MATCH($F104,TIER_LIST,0),1))*(IF((8-$I104+1)&lt;=0,0,IF((8-$I104+1)=1,RAMP_W1,IF((8-$I104+1)=2,RAMP_W2,IF((8-$I104+1)=3,RAMP_W3,RAMP_W4PLUS)))))*(INDEX(ACTIVE_MULT_TABLE,1,1))*(1+SUMPRODUCT(SIGN(((ACT_DOOR_SCOPE="ALL")+(ACT_DOOR_SCOPE="TIER_"&amp;$F104)+(ACT_DOOR_SCOPE=$B104)))*SIGN(((ACT_SKU_SCOPE="ALL")+(ACT_SKU_SCOPE=$G104)))*(ACT_START&lt;=8)*(ACT_END&gt;=8)*IFERROR(ACT_UPLIFT-1,0)))*(1+SUMPRODUCT(SIGN(((ACT_DOOR_SCOPE="ALL")+(ACT_DOOR_SCOPE="TIER_"&amp;$F104)+(ACT_DOOR_SCOPE=$B104)))*SIGN(((ACT_SKU_SCOPE="ALL")+(ACT_SKU_SCOPE=$G104)))*(8&gt;ACT_END)*(ACT_END&gt;0)*IFERROR(ACT_POSTLIFT,0))),0)))</f>
        <v/>
      </c>
      <c r="R104" s="10">
        <f>IF(OR($H104&lt;&gt;"Y",9&lt;$I104),0,IF(SUMPRODUCT(((BULK_ENABLED="Y")*((BULK_TIER="ALL")+(BULK_TIER=$F104))*((BULK_SKU="ALL")+(BULK_SKU=$G104))*(BULK_START&lt;=9)*(BULK_END&gt;=9)))&gt;0,IFERROR(SUMPRODUCT(((BULK_ENABLED="Y")*((BULK_TIER="ALL")+(BULK_TIER=$F104))*((BULK_SKU="ALL")+(BULK_SKU=$G104))*(BULK_START&lt;=9)*(BULK_END&gt;=9))*IFERROR(BULK_VALUE,0))/MAX(1,SUMPRODUCT(((BULK_ENABLED="Y")*((BULK_TIER="ALL")+(BULK_TIER=$F104))*((BULK_SKU="ALL")+(BULK_SKU=$G104))*(BULK_START&lt;=9)*(BULK_END&gt;=9)))),0),ROUND((INDEX(VELOCITY_TABLE,MATCH($F104,TIER_LIST,0),1))*(IF((9-$I104+1)&lt;=0,0,IF((9-$I104+1)=1,RAMP_W1,IF((9-$I104+1)=2,RAMP_W2,IF((9-$I104+1)=3,RAMP_W3,RAMP_W4PLUS)))))*(INDEX(ACTIVE_MULT_TABLE,1,1))*(1+SUMPRODUCT(SIGN(((ACT_DOOR_SCOPE="ALL")+(ACT_DOOR_SCOPE="TIER_"&amp;$F104)+(ACT_DOOR_SCOPE=$B104)))*SIGN(((ACT_SKU_SCOPE="ALL")+(ACT_SKU_SCOPE=$G104)))*(ACT_START&lt;=9)*(ACT_END&gt;=9)*IFERROR(ACT_UPLIFT-1,0)))*(1+SUMPRODUCT(SIGN(((ACT_DOOR_SCOPE="ALL")+(ACT_DOOR_SCOPE="TIER_"&amp;$F104)+(ACT_DOOR_SCOPE=$B104)))*SIGN(((ACT_SKU_SCOPE="ALL")+(ACT_SKU_SCOPE=$G104)))*(9&gt;ACT_END)*(ACT_END&gt;0)*IFERROR(ACT_POSTLIFT,0))),0)))</f>
        <v/>
      </c>
      <c r="S104" s="10">
        <f>IF(OR($H104&lt;&gt;"Y",10&lt;$I104),0,IF(SUMPRODUCT(((BULK_ENABLED="Y")*((BULK_TIER="ALL")+(BULK_TIER=$F104))*((BULK_SKU="ALL")+(BULK_SKU=$G104))*(BULK_START&lt;=10)*(BULK_END&gt;=10)))&gt;0,IFERROR(SUMPRODUCT(((BULK_ENABLED="Y")*((BULK_TIER="ALL")+(BULK_TIER=$F104))*((BULK_SKU="ALL")+(BULK_SKU=$G104))*(BULK_START&lt;=10)*(BULK_END&gt;=10))*IFERROR(BULK_VALUE,0))/MAX(1,SUMPRODUCT(((BULK_ENABLED="Y")*((BULK_TIER="ALL")+(BULK_TIER=$F104))*((BULK_SKU="ALL")+(BULK_SKU=$G104))*(BULK_START&lt;=10)*(BULK_END&gt;=10)))),0),ROUND((INDEX(VELOCITY_TABLE,MATCH($F104,TIER_LIST,0),1))*(IF((10-$I104+1)&lt;=0,0,IF((10-$I104+1)=1,RAMP_W1,IF((10-$I104+1)=2,RAMP_W2,IF((10-$I104+1)=3,RAMP_W3,RAMP_W4PLUS)))))*(INDEX(ACTIVE_MULT_TABLE,1,1))*(1+SUMPRODUCT(SIGN(((ACT_DOOR_SCOPE="ALL")+(ACT_DOOR_SCOPE="TIER_"&amp;$F104)+(ACT_DOOR_SCOPE=$B104)))*SIGN(((ACT_SKU_SCOPE="ALL")+(ACT_SKU_SCOPE=$G104)))*(ACT_START&lt;=10)*(ACT_END&gt;=10)*IFERROR(ACT_UPLIFT-1,0)))*(1+SUMPRODUCT(SIGN(((ACT_DOOR_SCOPE="ALL")+(ACT_DOOR_SCOPE="TIER_"&amp;$F104)+(ACT_DOOR_SCOPE=$B104)))*SIGN(((ACT_SKU_SCOPE="ALL")+(ACT_SKU_SCOPE=$G104)))*(10&gt;ACT_END)*(ACT_END&gt;0)*IFERROR(ACT_POSTLIFT,0))),0)))</f>
        <v/>
      </c>
      <c r="T104" s="10">
        <f>IF(OR($H104&lt;&gt;"Y",11&lt;$I104),0,IF(SUMPRODUCT(((BULK_ENABLED="Y")*((BULK_TIER="ALL")+(BULK_TIER=$F104))*((BULK_SKU="ALL")+(BULK_SKU=$G104))*(BULK_START&lt;=11)*(BULK_END&gt;=11)))&gt;0,IFERROR(SUMPRODUCT(((BULK_ENABLED="Y")*((BULK_TIER="ALL")+(BULK_TIER=$F104))*((BULK_SKU="ALL")+(BULK_SKU=$G104))*(BULK_START&lt;=11)*(BULK_END&gt;=11))*IFERROR(BULK_VALUE,0))/MAX(1,SUMPRODUCT(((BULK_ENABLED="Y")*((BULK_TIER="ALL")+(BULK_TIER=$F104))*((BULK_SKU="ALL")+(BULK_SKU=$G104))*(BULK_START&lt;=11)*(BULK_END&gt;=11)))),0),ROUND((INDEX(VELOCITY_TABLE,MATCH($F104,TIER_LIST,0),1))*(IF((11-$I104+1)&lt;=0,0,IF((11-$I104+1)=1,RAMP_W1,IF((11-$I104+1)=2,RAMP_W2,IF((11-$I104+1)=3,RAMP_W3,RAMP_W4PLUS)))))*(INDEX(ACTIVE_MULT_TABLE,1,1))*(1+SUMPRODUCT(SIGN(((ACT_DOOR_SCOPE="ALL")+(ACT_DOOR_SCOPE="TIER_"&amp;$F104)+(ACT_DOOR_SCOPE=$B104)))*SIGN(((ACT_SKU_SCOPE="ALL")+(ACT_SKU_SCOPE=$G104)))*(ACT_START&lt;=11)*(ACT_END&gt;=11)*IFERROR(ACT_UPLIFT-1,0)))*(1+SUMPRODUCT(SIGN(((ACT_DOOR_SCOPE="ALL")+(ACT_DOOR_SCOPE="TIER_"&amp;$F104)+(ACT_DOOR_SCOPE=$B104)))*SIGN(((ACT_SKU_SCOPE="ALL")+(ACT_SKU_SCOPE=$G104)))*(11&gt;ACT_END)*(ACT_END&gt;0)*IFERROR(ACT_POSTLIFT,0))),0)))</f>
        <v/>
      </c>
      <c r="U104" s="10">
        <f>IF(OR($H104&lt;&gt;"Y",12&lt;$I104),0,IF(SUMPRODUCT(((BULK_ENABLED="Y")*((BULK_TIER="ALL")+(BULK_TIER=$F104))*((BULK_SKU="ALL")+(BULK_SKU=$G104))*(BULK_START&lt;=12)*(BULK_END&gt;=12)))&gt;0,IFERROR(SUMPRODUCT(((BULK_ENABLED="Y")*((BULK_TIER="ALL")+(BULK_TIER=$F104))*((BULK_SKU="ALL")+(BULK_SKU=$G104))*(BULK_START&lt;=12)*(BULK_END&gt;=12))*IFERROR(BULK_VALUE,0))/MAX(1,SUMPRODUCT(((BULK_ENABLED="Y")*((BULK_TIER="ALL")+(BULK_TIER=$F104))*((BULK_SKU="ALL")+(BULK_SKU=$G104))*(BULK_START&lt;=12)*(BULK_END&gt;=12)))),0),ROUND((INDEX(VELOCITY_TABLE,MATCH($F104,TIER_LIST,0),1))*(IF((12-$I104+1)&lt;=0,0,IF((12-$I104+1)=1,RAMP_W1,IF((12-$I104+1)=2,RAMP_W2,IF((12-$I104+1)=3,RAMP_W3,RAMP_W4PLUS)))))*(INDEX(ACTIVE_MULT_TABLE,1,1))*(1+SUMPRODUCT(SIGN(((ACT_DOOR_SCOPE="ALL")+(ACT_DOOR_SCOPE="TIER_"&amp;$F104)+(ACT_DOOR_SCOPE=$B104)))*SIGN(((ACT_SKU_SCOPE="ALL")+(ACT_SKU_SCOPE=$G104)))*(ACT_START&lt;=12)*(ACT_END&gt;=12)*IFERROR(ACT_UPLIFT-1,0)))*(1+SUMPRODUCT(SIGN(((ACT_DOOR_SCOPE="ALL")+(ACT_DOOR_SCOPE="TIER_"&amp;$F104)+(ACT_DOOR_SCOPE=$B104)))*SIGN(((ACT_SKU_SCOPE="ALL")+(ACT_SKU_SCOPE=$G104)))*(12&gt;ACT_END)*(ACT_END&gt;0)*IFERROR(ACT_POSTLIFT,0))),0)))</f>
        <v/>
      </c>
      <c r="V104" s="10">
        <f>IF(OR($H104&lt;&gt;"Y",13&lt;$I104),0,IF(SUMPRODUCT(((BULK_ENABLED="Y")*((BULK_TIER="ALL")+(BULK_TIER=$F104))*((BULK_SKU="ALL")+(BULK_SKU=$G104))*(BULK_START&lt;=13)*(BULK_END&gt;=13)))&gt;0,IFERROR(SUMPRODUCT(((BULK_ENABLED="Y")*((BULK_TIER="ALL")+(BULK_TIER=$F104))*((BULK_SKU="ALL")+(BULK_SKU=$G104))*(BULK_START&lt;=13)*(BULK_END&gt;=13))*IFERROR(BULK_VALUE,0))/MAX(1,SUMPRODUCT(((BULK_ENABLED="Y")*((BULK_TIER="ALL")+(BULK_TIER=$F104))*((BULK_SKU="ALL")+(BULK_SKU=$G104))*(BULK_START&lt;=13)*(BULK_END&gt;=13)))),0),ROUND((INDEX(VELOCITY_TABLE,MATCH($F104,TIER_LIST,0),1))*(IF((13-$I104+1)&lt;=0,0,IF((13-$I104+1)=1,RAMP_W1,IF((13-$I104+1)=2,RAMP_W2,IF((13-$I104+1)=3,RAMP_W3,RAMP_W4PLUS)))))*(INDEX(ACTIVE_MULT_TABLE,1,1))*(1+SUMPRODUCT(SIGN(((ACT_DOOR_SCOPE="ALL")+(ACT_DOOR_SCOPE="TIER_"&amp;$F104)+(ACT_DOOR_SCOPE=$B104)))*SIGN(((ACT_SKU_SCOPE="ALL")+(ACT_SKU_SCOPE=$G104)))*(ACT_START&lt;=13)*(ACT_END&gt;=13)*IFERROR(ACT_UPLIFT-1,0)))*(1+SUMPRODUCT(SIGN(((ACT_DOOR_SCOPE="ALL")+(ACT_DOOR_SCOPE="TIER_"&amp;$F104)+(ACT_DOOR_SCOPE=$B104)))*SIGN(((ACT_SKU_SCOPE="ALL")+(ACT_SKU_SCOPE=$G104)))*(13&gt;ACT_END)*(ACT_END&gt;0)*IFERROR(ACT_POSTLIFT,0))),0)))</f>
        <v/>
      </c>
    </row>
    <row r="105">
      <c r="A105" t="inlineStr">
        <is>
          <t>R0101</t>
        </is>
      </c>
      <c r="B105">
        <f>Doors!$A$38</f>
        <v/>
      </c>
      <c r="C105">
        <f>Doors!$C$38</f>
        <v/>
      </c>
      <c r="D105">
        <f>Doors!$B$38</f>
        <v/>
      </c>
      <c r="E105">
        <f>Doors!$E$38</f>
        <v/>
      </c>
      <c r="F105">
        <f>Doors!$F$38</f>
        <v/>
      </c>
      <c r="G105" t="inlineStr">
        <is>
          <t>Pineapple Passion Fruit</t>
        </is>
      </c>
      <c r="H105">
        <f>Doors!$H$38</f>
        <v/>
      </c>
      <c r="I105">
        <f>Doors!$J$38</f>
        <v/>
      </c>
      <c r="J105" s="10">
        <f>IF(OR($H105&lt;&gt;"Y",1&lt;$I105),0,IF(SUMPRODUCT(((BULK_ENABLED="Y")*((BULK_TIER="ALL")+(BULK_TIER=$F105))*((BULK_SKU="ALL")+(BULK_SKU=$G105))*(BULK_START&lt;=1)*(BULK_END&gt;=1)))&gt;0,IFERROR(SUMPRODUCT(((BULK_ENABLED="Y")*((BULK_TIER="ALL")+(BULK_TIER=$F105))*((BULK_SKU="ALL")+(BULK_SKU=$G105))*(BULK_START&lt;=1)*(BULK_END&gt;=1))*IFERROR(BULK_VALUE,0))/MAX(1,SUMPRODUCT(((BULK_ENABLED="Y")*((BULK_TIER="ALL")+(BULK_TIER=$F105))*((BULK_SKU="ALL")+(BULK_SKU=$G105))*(BULK_START&lt;=1)*(BULK_END&gt;=1)))),0),ROUND((INDEX(VELOCITY_TABLE,MATCH($F105,TIER_LIST,0),2))*(IF((1-$I105+1)&lt;=0,0,IF((1-$I105+1)=1,RAMP_W1,IF((1-$I105+1)=2,RAMP_W2,IF((1-$I105+1)=3,RAMP_W3,RAMP_W4PLUS)))))*(INDEX(ACTIVE_MULT_TABLE,2,1))*(1+SUMPRODUCT(SIGN(((ACT_DOOR_SCOPE="ALL")+(ACT_DOOR_SCOPE="TIER_"&amp;$F105)+(ACT_DOOR_SCOPE=$B105)))*SIGN(((ACT_SKU_SCOPE="ALL")+(ACT_SKU_SCOPE=$G105)))*(ACT_START&lt;=1)*(ACT_END&gt;=1)*IFERROR(ACT_UPLIFT-1,0)))*(1+SUMPRODUCT(SIGN(((ACT_DOOR_SCOPE="ALL")+(ACT_DOOR_SCOPE="TIER_"&amp;$F105)+(ACT_DOOR_SCOPE=$B105)))*SIGN(((ACT_SKU_SCOPE="ALL")+(ACT_SKU_SCOPE=$G105)))*(1&gt;ACT_END)*(ACT_END&gt;0)*IFERROR(ACT_POSTLIFT,0))),0)))</f>
        <v/>
      </c>
      <c r="K105" s="10">
        <f>IF(OR($H105&lt;&gt;"Y",2&lt;$I105),0,IF(SUMPRODUCT(((BULK_ENABLED="Y")*((BULK_TIER="ALL")+(BULK_TIER=$F105))*((BULK_SKU="ALL")+(BULK_SKU=$G105))*(BULK_START&lt;=2)*(BULK_END&gt;=2)))&gt;0,IFERROR(SUMPRODUCT(((BULK_ENABLED="Y")*((BULK_TIER="ALL")+(BULK_TIER=$F105))*((BULK_SKU="ALL")+(BULK_SKU=$G105))*(BULK_START&lt;=2)*(BULK_END&gt;=2))*IFERROR(BULK_VALUE,0))/MAX(1,SUMPRODUCT(((BULK_ENABLED="Y")*((BULK_TIER="ALL")+(BULK_TIER=$F105))*((BULK_SKU="ALL")+(BULK_SKU=$G105))*(BULK_START&lt;=2)*(BULK_END&gt;=2)))),0),ROUND((INDEX(VELOCITY_TABLE,MATCH($F105,TIER_LIST,0),2))*(IF((2-$I105+1)&lt;=0,0,IF((2-$I105+1)=1,RAMP_W1,IF((2-$I105+1)=2,RAMP_W2,IF((2-$I105+1)=3,RAMP_W3,RAMP_W4PLUS)))))*(INDEX(ACTIVE_MULT_TABLE,2,1))*(1+SUMPRODUCT(SIGN(((ACT_DOOR_SCOPE="ALL")+(ACT_DOOR_SCOPE="TIER_"&amp;$F105)+(ACT_DOOR_SCOPE=$B105)))*SIGN(((ACT_SKU_SCOPE="ALL")+(ACT_SKU_SCOPE=$G105)))*(ACT_START&lt;=2)*(ACT_END&gt;=2)*IFERROR(ACT_UPLIFT-1,0)))*(1+SUMPRODUCT(SIGN(((ACT_DOOR_SCOPE="ALL")+(ACT_DOOR_SCOPE="TIER_"&amp;$F105)+(ACT_DOOR_SCOPE=$B105)))*SIGN(((ACT_SKU_SCOPE="ALL")+(ACT_SKU_SCOPE=$G105)))*(2&gt;ACT_END)*(ACT_END&gt;0)*IFERROR(ACT_POSTLIFT,0))),0)))</f>
        <v/>
      </c>
      <c r="L105" s="10">
        <f>IF(OR($H105&lt;&gt;"Y",3&lt;$I105),0,IF(SUMPRODUCT(((BULK_ENABLED="Y")*((BULK_TIER="ALL")+(BULK_TIER=$F105))*((BULK_SKU="ALL")+(BULK_SKU=$G105))*(BULK_START&lt;=3)*(BULK_END&gt;=3)))&gt;0,IFERROR(SUMPRODUCT(((BULK_ENABLED="Y")*((BULK_TIER="ALL")+(BULK_TIER=$F105))*((BULK_SKU="ALL")+(BULK_SKU=$G105))*(BULK_START&lt;=3)*(BULK_END&gt;=3))*IFERROR(BULK_VALUE,0))/MAX(1,SUMPRODUCT(((BULK_ENABLED="Y")*((BULK_TIER="ALL")+(BULK_TIER=$F105))*((BULK_SKU="ALL")+(BULK_SKU=$G105))*(BULK_START&lt;=3)*(BULK_END&gt;=3)))),0),ROUND((INDEX(VELOCITY_TABLE,MATCH($F105,TIER_LIST,0),2))*(IF((3-$I105+1)&lt;=0,0,IF((3-$I105+1)=1,RAMP_W1,IF((3-$I105+1)=2,RAMP_W2,IF((3-$I105+1)=3,RAMP_W3,RAMP_W4PLUS)))))*(INDEX(ACTIVE_MULT_TABLE,2,1))*(1+SUMPRODUCT(SIGN(((ACT_DOOR_SCOPE="ALL")+(ACT_DOOR_SCOPE="TIER_"&amp;$F105)+(ACT_DOOR_SCOPE=$B105)))*SIGN(((ACT_SKU_SCOPE="ALL")+(ACT_SKU_SCOPE=$G105)))*(ACT_START&lt;=3)*(ACT_END&gt;=3)*IFERROR(ACT_UPLIFT-1,0)))*(1+SUMPRODUCT(SIGN(((ACT_DOOR_SCOPE="ALL")+(ACT_DOOR_SCOPE="TIER_"&amp;$F105)+(ACT_DOOR_SCOPE=$B105)))*SIGN(((ACT_SKU_SCOPE="ALL")+(ACT_SKU_SCOPE=$G105)))*(3&gt;ACT_END)*(ACT_END&gt;0)*IFERROR(ACT_POSTLIFT,0))),0)))</f>
        <v/>
      </c>
      <c r="M105" s="10">
        <f>IF(OR($H105&lt;&gt;"Y",4&lt;$I105),0,IF(SUMPRODUCT(((BULK_ENABLED="Y")*((BULK_TIER="ALL")+(BULK_TIER=$F105))*((BULK_SKU="ALL")+(BULK_SKU=$G105))*(BULK_START&lt;=4)*(BULK_END&gt;=4)))&gt;0,IFERROR(SUMPRODUCT(((BULK_ENABLED="Y")*((BULK_TIER="ALL")+(BULK_TIER=$F105))*((BULK_SKU="ALL")+(BULK_SKU=$G105))*(BULK_START&lt;=4)*(BULK_END&gt;=4))*IFERROR(BULK_VALUE,0))/MAX(1,SUMPRODUCT(((BULK_ENABLED="Y")*((BULK_TIER="ALL")+(BULK_TIER=$F105))*((BULK_SKU="ALL")+(BULK_SKU=$G105))*(BULK_START&lt;=4)*(BULK_END&gt;=4)))),0),ROUND((INDEX(VELOCITY_TABLE,MATCH($F105,TIER_LIST,0),2))*(IF((4-$I105+1)&lt;=0,0,IF((4-$I105+1)=1,RAMP_W1,IF((4-$I105+1)=2,RAMP_W2,IF((4-$I105+1)=3,RAMP_W3,RAMP_W4PLUS)))))*(INDEX(ACTIVE_MULT_TABLE,2,1))*(1+SUMPRODUCT(SIGN(((ACT_DOOR_SCOPE="ALL")+(ACT_DOOR_SCOPE="TIER_"&amp;$F105)+(ACT_DOOR_SCOPE=$B105)))*SIGN(((ACT_SKU_SCOPE="ALL")+(ACT_SKU_SCOPE=$G105)))*(ACT_START&lt;=4)*(ACT_END&gt;=4)*IFERROR(ACT_UPLIFT-1,0)))*(1+SUMPRODUCT(SIGN(((ACT_DOOR_SCOPE="ALL")+(ACT_DOOR_SCOPE="TIER_"&amp;$F105)+(ACT_DOOR_SCOPE=$B105)))*SIGN(((ACT_SKU_SCOPE="ALL")+(ACT_SKU_SCOPE=$G105)))*(4&gt;ACT_END)*(ACT_END&gt;0)*IFERROR(ACT_POSTLIFT,0))),0)))</f>
        <v/>
      </c>
      <c r="N105" s="10">
        <f>IF(OR($H105&lt;&gt;"Y",5&lt;$I105),0,IF(SUMPRODUCT(((BULK_ENABLED="Y")*((BULK_TIER="ALL")+(BULK_TIER=$F105))*((BULK_SKU="ALL")+(BULK_SKU=$G105))*(BULK_START&lt;=5)*(BULK_END&gt;=5)))&gt;0,IFERROR(SUMPRODUCT(((BULK_ENABLED="Y")*((BULK_TIER="ALL")+(BULK_TIER=$F105))*((BULK_SKU="ALL")+(BULK_SKU=$G105))*(BULK_START&lt;=5)*(BULK_END&gt;=5))*IFERROR(BULK_VALUE,0))/MAX(1,SUMPRODUCT(((BULK_ENABLED="Y")*((BULK_TIER="ALL")+(BULK_TIER=$F105))*((BULK_SKU="ALL")+(BULK_SKU=$G105))*(BULK_START&lt;=5)*(BULK_END&gt;=5)))),0),ROUND((INDEX(VELOCITY_TABLE,MATCH($F105,TIER_LIST,0),2))*(IF((5-$I105+1)&lt;=0,0,IF((5-$I105+1)=1,RAMP_W1,IF((5-$I105+1)=2,RAMP_W2,IF((5-$I105+1)=3,RAMP_W3,RAMP_W4PLUS)))))*(INDEX(ACTIVE_MULT_TABLE,2,1))*(1+SUMPRODUCT(SIGN(((ACT_DOOR_SCOPE="ALL")+(ACT_DOOR_SCOPE="TIER_"&amp;$F105)+(ACT_DOOR_SCOPE=$B105)))*SIGN(((ACT_SKU_SCOPE="ALL")+(ACT_SKU_SCOPE=$G105)))*(ACT_START&lt;=5)*(ACT_END&gt;=5)*IFERROR(ACT_UPLIFT-1,0)))*(1+SUMPRODUCT(SIGN(((ACT_DOOR_SCOPE="ALL")+(ACT_DOOR_SCOPE="TIER_"&amp;$F105)+(ACT_DOOR_SCOPE=$B105)))*SIGN(((ACT_SKU_SCOPE="ALL")+(ACT_SKU_SCOPE=$G105)))*(5&gt;ACT_END)*(ACT_END&gt;0)*IFERROR(ACT_POSTLIFT,0))),0)))</f>
        <v/>
      </c>
      <c r="O105" s="10">
        <f>IF(OR($H105&lt;&gt;"Y",6&lt;$I105),0,IF(SUMPRODUCT(((BULK_ENABLED="Y")*((BULK_TIER="ALL")+(BULK_TIER=$F105))*((BULK_SKU="ALL")+(BULK_SKU=$G105))*(BULK_START&lt;=6)*(BULK_END&gt;=6)))&gt;0,IFERROR(SUMPRODUCT(((BULK_ENABLED="Y")*((BULK_TIER="ALL")+(BULK_TIER=$F105))*((BULK_SKU="ALL")+(BULK_SKU=$G105))*(BULK_START&lt;=6)*(BULK_END&gt;=6))*IFERROR(BULK_VALUE,0))/MAX(1,SUMPRODUCT(((BULK_ENABLED="Y")*((BULK_TIER="ALL")+(BULK_TIER=$F105))*((BULK_SKU="ALL")+(BULK_SKU=$G105))*(BULK_START&lt;=6)*(BULK_END&gt;=6)))),0),ROUND((INDEX(VELOCITY_TABLE,MATCH($F105,TIER_LIST,0),2))*(IF((6-$I105+1)&lt;=0,0,IF((6-$I105+1)=1,RAMP_W1,IF((6-$I105+1)=2,RAMP_W2,IF((6-$I105+1)=3,RAMP_W3,RAMP_W4PLUS)))))*(INDEX(ACTIVE_MULT_TABLE,2,1))*(1+SUMPRODUCT(SIGN(((ACT_DOOR_SCOPE="ALL")+(ACT_DOOR_SCOPE="TIER_"&amp;$F105)+(ACT_DOOR_SCOPE=$B105)))*SIGN(((ACT_SKU_SCOPE="ALL")+(ACT_SKU_SCOPE=$G105)))*(ACT_START&lt;=6)*(ACT_END&gt;=6)*IFERROR(ACT_UPLIFT-1,0)))*(1+SUMPRODUCT(SIGN(((ACT_DOOR_SCOPE="ALL")+(ACT_DOOR_SCOPE="TIER_"&amp;$F105)+(ACT_DOOR_SCOPE=$B105)))*SIGN(((ACT_SKU_SCOPE="ALL")+(ACT_SKU_SCOPE=$G105)))*(6&gt;ACT_END)*(ACT_END&gt;0)*IFERROR(ACT_POSTLIFT,0))),0)))</f>
        <v/>
      </c>
      <c r="P105" s="10">
        <f>IF(OR($H105&lt;&gt;"Y",7&lt;$I105),0,IF(SUMPRODUCT(((BULK_ENABLED="Y")*((BULK_TIER="ALL")+(BULK_TIER=$F105))*((BULK_SKU="ALL")+(BULK_SKU=$G105))*(BULK_START&lt;=7)*(BULK_END&gt;=7)))&gt;0,IFERROR(SUMPRODUCT(((BULK_ENABLED="Y")*((BULK_TIER="ALL")+(BULK_TIER=$F105))*((BULK_SKU="ALL")+(BULK_SKU=$G105))*(BULK_START&lt;=7)*(BULK_END&gt;=7))*IFERROR(BULK_VALUE,0))/MAX(1,SUMPRODUCT(((BULK_ENABLED="Y")*((BULK_TIER="ALL")+(BULK_TIER=$F105))*((BULK_SKU="ALL")+(BULK_SKU=$G105))*(BULK_START&lt;=7)*(BULK_END&gt;=7)))),0),ROUND((INDEX(VELOCITY_TABLE,MATCH($F105,TIER_LIST,0),2))*(IF((7-$I105+1)&lt;=0,0,IF((7-$I105+1)=1,RAMP_W1,IF((7-$I105+1)=2,RAMP_W2,IF((7-$I105+1)=3,RAMP_W3,RAMP_W4PLUS)))))*(INDEX(ACTIVE_MULT_TABLE,2,1))*(1+SUMPRODUCT(SIGN(((ACT_DOOR_SCOPE="ALL")+(ACT_DOOR_SCOPE="TIER_"&amp;$F105)+(ACT_DOOR_SCOPE=$B105)))*SIGN(((ACT_SKU_SCOPE="ALL")+(ACT_SKU_SCOPE=$G105)))*(ACT_START&lt;=7)*(ACT_END&gt;=7)*IFERROR(ACT_UPLIFT-1,0)))*(1+SUMPRODUCT(SIGN(((ACT_DOOR_SCOPE="ALL")+(ACT_DOOR_SCOPE="TIER_"&amp;$F105)+(ACT_DOOR_SCOPE=$B105)))*SIGN(((ACT_SKU_SCOPE="ALL")+(ACT_SKU_SCOPE=$G105)))*(7&gt;ACT_END)*(ACT_END&gt;0)*IFERROR(ACT_POSTLIFT,0))),0)))</f>
        <v/>
      </c>
      <c r="Q105" s="10">
        <f>IF(OR($H105&lt;&gt;"Y",8&lt;$I105),0,IF(SUMPRODUCT(((BULK_ENABLED="Y")*((BULK_TIER="ALL")+(BULK_TIER=$F105))*((BULK_SKU="ALL")+(BULK_SKU=$G105))*(BULK_START&lt;=8)*(BULK_END&gt;=8)))&gt;0,IFERROR(SUMPRODUCT(((BULK_ENABLED="Y")*((BULK_TIER="ALL")+(BULK_TIER=$F105))*((BULK_SKU="ALL")+(BULK_SKU=$G105))*(BULK_START&lt;=8)*(BULK_END&gt;=8))*IFERROR(BULK_VALUE,0))/MAX(1,SUMPRODUCT(((BULK_ENABLED="Y")*((BULK_TIER="ALL")+(BULK_TIER=$F105))*((BULK_SKU="ALL")+(BULK_SKU=$G105))*(BULK_START&lt;=8)*(BULK_END&gt;=8)))),0),ROUND((INDEX(VELOCITY_TABLE,MATCH($F105,TIER_LIST,0),2))*(IF((8-$I105+1)&lt;=0,0,IF((8-$I105+1)=1,RAMP_W1,IF((8-$I105+1)=2,RAMP_W2,IF((8-$I105+1)=3,RAMP_W3,RAMP_W4PLUS)))))*(INDEX(ACTIVE_MULT_TABLE,2,1))*(1+SUMPRODUCT(SIGN(((ACT_DOOR_SCOPE="ALL")+(ACT_DOOR_SCOPE="TIER_"&amp;$F105)+(ACT_DOOR_SCOPE=$B105)))*SIGN(((ACT_SKU_SCOPE="ALL")+(ACT_SKU_SCOPE=$G105)))*(ACT_START&lt;=8)*(ACT_END&gt;=8)*IFERROR(ACT_UPLIFT-1,0)))*(1+SUMPRODUCT(SIGN(((ACT_DOOR_SCOPE="ALL")+(ACT_DOOR_SCOPE="TIER_"&amp;$F105)+(ACT_DOOR_SCOPE=$B105)))*SIGN(((ACT_SKU_SCOPE="ALL")+(ACT_SKU_SCOPE=$G105)))*(8&gt;ACT_END)*(ACT_END&gt;0)*IFERROR(ACT_POSTLIFT,0))),0)))</f>
        <v/>
      </c>
      <c r="R105" s="10">
        <f>IF(OR($H105&lt;&gt;"Y",9&lt;$I105),0,IF(SUMPRODUCT(((BULK_ENABLED="Y")*((BULK_TIER="ALL")+(BULK_TIER=$F105))*((BULK_SKU="ALL")+(BULK_SKU=$G105))*(BULK_START&lt;=9)*(BULK_END&gt;=9)))&gt;0,IFERROR(SUMPRODUCT(((BULK_ENABLED="Y")*((BULK_TIER="ALL")+(BULK_TIER=$F105))*((BULK_SKU="ALL")+(BULK_SKU=$G105))*(BULK_START&lt;=9)*(BULK_END&gt;=9))*IFERROR(BULK_VALUE,0))/MAX(1,SUMPRODUCT(((BULK_ENABLED="Y")*((BULK_TIER="ALL")+(BULK_TIER=$F105))*((BULK_SKU="ALL")+(BULK_SKU=$G105))*(BULK_START&lt;=9)*(BULK_END&gt;=9)))),0),ROUND((INDEX(VELOCITY_TABLE,MATCH($F105,TIER_LIST,0),2))*(IF((9-$I105+1)&lt;=0,0,IF((9-$I105+1)=1,RAMP_W1,IF((9-$I105+1)=2,RAMP_W2,IF((9-$I105+1)=3,RAMP_W3,RAMP_W4PLUS)))))*(INDEX(ACTIVE_MULT_TABLE,2,1))*(1+SUMPRODUCT(SIGN(((ACT_DOOR_SCOPE="ALL")+(ACT_DOOR_SCOPE="TIER_"&amp;$F105)+(ACT_DOOR_SCOPE=$B105)))*SIGN(((ACT_SKU_SCOPE="ALL")+(ACT_SKU_SCOPE=$G105)))*(ACT_START&lt;=9)*(ACT_END&gt;=9)*IFERROR(ACT_UPLIFT-1,0)))*(1+SUMPRODUCT(SIGN(((ACT_DOOR_SCOPE="ALL")+(ACT_DOOR_SCOPE="TIER_"&amp;$F105)+(ACT_DOOR_SCOPE=$B105)))*SIGN(((ACT_SKU_SCOPE="ALL")+(ACT_SKU_SCOPE=$G105)))*(9&gt;ACT_END)*(ACT_END&gt;0)*IFERROR(ACT_POSTLIFT,0))),0)))</f>
        <v/>
      </c>
      <c r="S105" s="10">
        <f>IF(OR($H105&lt;&gt;"Y",10&lt;$I105),0,IF(SUMPRODUCT(((BULK_ENABLED="Y")*((BULK_TIER="ALL")+(BULK_TIER=$F105))*((BULK_SKU="ALL")+(BULK_SKU=$G105))*(BULK_START&lt;=10)*(BULK_END&gt;=10)))&gt;0,IFERROR(SUMPRODUCT(((BULK_ENABLED="Y")*((BULK_TIER="ALL")+(BULK_TIER=$F105))*((BULK_SKU="ALL")+(BULK_SKU=$G105))*(BULK_START&lt;=10)*(BULK_END&gt;=10))*IFERROR(BULK_VALUE,0))/MAX(1,SUMPRODUCT(((BULK_ENABLED="Y")*((BULK_TIER="ALL")+(BULK_TIER=$F105))*((BULK_SKU="ALL")+(BULK_SKU=$G105))*(BULK_START&lt;=10)*(BULK_END&gt;=10)))),0),ROUND((INDEX(VELOCITY_TABLE,MATCH($F105,TIER_LIST,0),2))*(IF((10-$I105+1)&lt;=0,0,IF((10-$I105+1)=1,RAMP_W1,IF((10-$I105+1)=2,RAMP_W2,IF((10-$I105+1)=3,RAMP_W3,RAMP_W4PLUS)))))*(INDEX(ACTIVE_MULT_TABLE,2,1))*(1+SUMPRODUCT(SIGN(((ACT_DOOR_SCOPE="ALL")+(ACT_DOOR_SCOPE="TIER_"&amp;$F105)+(ACT_DOOR_SCOPE=$B105)))*SIGN(((ACT_SKU_SCOPE="ALL")+(ACT_SKU_SCOPE=$G105)))*(ACT_START&lt;=10)*(ACT_END&gt;=10)*IFERROR(ACT_UPLIFT-1,0)))*(1+SUMPRODUCT(SIGN(((ACT_DOOR_SCOPE="ALL")+(ACT_DOOR_SCOPE="TIER_"&amp;$F105)+(ACT_DOOR_SCOPE=$B105)))*SIGN(((ACT_SKU_SCOPE="ALL")+(ACT_SKU_SCOPE=$G105)))*(10&gt;ACT_END)*(ACT_END&gt;0)*IFERROR(ACT_POSTLIFT,0))),0)))</f>
        <v/>
      </c>
      <c r="T105" s="10">
        <f>IF(OR($H105&lt;&gt;"Y",11&lt;$I105),0,IF(SUMPRODUCT(((BULK_ENABLED="Y")*((BULK_TIER="ALL")+(BULK_TIER=$F105))*((BULK_SKU="ALL")+(BULK_SKU=$G105))*(BULK_START&lt;=11)*(BULK_END&gt;=11)))&gt;0,IFERROR(SUMPRODUCT(((BULK_ENABLED="Y")*((BULK_TIER="ALL")+(BULK_TIER=$F105))*((BULK_SKU="ALL")+(BULK_SKU=$G105))*(BULK_START&lt;=11)*(BULK_END&gt;=11))*IFERROR(BULK_VALUE,0))/MAX(1,SUMPRODUCT(((BULK_ENABLED="Y")*((BULK_TIER="ALL")+(BULK_TIER=$F105))*((BULK_SKU="ALL")+(BULK_SKU=$G105))*(BULK_START&lt;=11)*(BULK_END&gt;=11)))),0),ROUND((INDEX(VELOCITY_TABLE,MATCH($F105,TIER_LIST,0),2))*(IF((11-$I105+1)&lt;=0,0,IF((11-$I105+1)=1,RAMP_W1,IF((11-$I105+1)=2,RAMP_W2,IF((11-$I105+1)=3,RAMP_W3,RAMP_W4PLUS)))))*(INDEX(ACTIVE_MULT_TABLE,2,1))*(1+SUMPRODUCT(SIGN(((ACT_DOOR_SCOPE="ALL")+(ACT_DOOR_SCOPE="TIER_"&amp;$F105)+(ACT_DOOR_SCOPE=$B105)))*SIGN(((ACT_SKU_SCOPE="ALL")+(ACT_SKU_SCOPE=$G105)))*(ACT_START&lt;=11)*(ACT_END&gt;=11)*IFERROR(ACT_UPLIFT-1,0)))*(1+SUMPRODUCT(SIGN(((ACT_DOOR_SCOPE="ALL")+(ACT_DOOR_SCOPE="TIER_"&amp;$F105)+(ACT_DOOR_SCOPE=$B105)))*SIGN(((ACT_SKU_SCOPE="ALL")+(ACT_SKU_SCOPE=$G105)))*(11&gt;ACT_END)*(ACT_END&gt;0)*IFERROR(ACT_POSTLIFT,0))),0)))</f>
        <v/>
      </c>
      <c r="U105" s="10">
        <f>IF(OR($H105&lt;&gt;"Y",12&lt;$I105),0,IF(SUMPRODUCT(((BULK_ENABLED="Y")*((BULK_TIER="ALL")+(BULK_TIER=$F105))*((BULK_SKU="ALL")+(BULK_SKU=$G105))*(BULK_START&lt;=12)*(BULK_END&gt;=12)))&gt;0,IFERROR(SUMPRODUCT(((BULK_ENABLED="Y")*((BULK_TIER="ALL")+(BULK_TIER=$F105))*((BULK_SKU="ALL")+(BULK_SKU=$G105))*(BULK_START&lt;=12)*(BULK_END&gt;=12))*IFERROR(BULK_VALUE,0))/MAX(1,SUMPRODUCT(((BULK_ENABLED="Y")*((BULK_TIER="ALL")+(BULK_TIER=$F105))*((BULK_SKU="ALL")+(BULK_SKU=$G105))*(BULK_START&lt;=12)*(BULK_END&gt;=12)))),0),ROUND((INDEX(VELOCITY_TABLE,MATCH($F105,TIER_LIST,0),2))*(IF((12-$I105+1)&lt;=0,0,IF((12-$I105+1)=1,RAMP_W1,IF((12-$I105+1)=2,RAMP_W2,IF((12-$I105+1)=3,RAMP_W3,RAMP_W4PLUS)))))*(INDEX(ACTIVE_MULT_TABLE,2,1))*(1+SUMPRODUCT(SIGN(((ACT_DOOR_SCOPE="ALL")+(ACT_DOOR_SCOPE="TIER_"&amp;$F105)+(ACT_DOOR_SCOPE=$B105)))*SIGN(((ACT_SKU_SCOPE="ALL")+(ACT_SKU_SCOPE=$G105)))*(ACT_START&lt;=12)*(ACT_END&gt;=12)*IFERROR(ACT_UPLIFT-1,0)))*(1+SUMPRODUCT(SIGN(((ACT_DOOR_SCOPE="ALL")+(ACT_DOOR_SCOPE="TIER_"&amp;$F105)+(ACT_DOOR_SCOPE=$B105)))*SIGN(((ACT_SKU_SCOPE="ALL")+(ACT_SKU_SCOPE=$G105)))*(12&gt;ACT_END)*(ACT_END&gt;0)*IFERROR(ACT_POSTLIFT,0))),0)))</f>
        <v/>
      </c>
      <c r="V105" s="10">
        <f>IF(OR($H105&lt;&gt;"Y",13&lt;$I105),0,IF(SUMPRODUCT(((BULK_ENABLED="Y")*((BULK_TIER="ALL")+(BULK_TIER=$F105))*((BULK_SKU="ALL")+(BULK_SKU=$G105))*(BULK_START&lt;=13)*(BULK_END&gt;=13)))&gt;0,IFERROR(SUMPRODUCT(((BULK_ENABLED="Y")*((BULK_TIER="ALL")+(BULK_TIER=$F105))*((BULK_SKU="ALL")+(BULK_SKU=$G105))*(BULK_START&lt;=13)*(BULK_END&gt;=13))*IFERROR(BULK_VALUE,0))/MAX(1,SUMPRODUCT(((BULK_ENABLED="Y")*((BULK_TIER="ALL")+(BULK_TIER=$F105))*((BULK_SKU="ALL")+(BULK_SKU=$G105))*(BULK_START&lt;=13)*(BULK_END&gt;=13)))),0),ROUND((INDEX(VELOCITY_TABLE,MATCH($F105,TIER_LIST,0),2))*(IF((13-$I105+1)&lt;=0,0,IF((13-$I105+1)=1,RAMP_W1,IF((13-$I105+1)=2,RAMP_W2,IF((13-$I105+1)=3,RAMP_W3,RAMP_W4PLUS)))))*(INDEX(ACTIVE_MULT_TABLE,2,1))*(1+SUMPRODUCT(SIGN(((ACT_DOOR_SCOPE="ALL")+(ACT_DOOR_SCOPE="TIER_"&amp;$F105)+(ACT_DOOR_SCOPE=$B105)))*SIGN(((ACT_SKU_SCOPE="ALL")+(ACT_SKU_SCOPE=$G105)))*(ACT_START&lt;=13)*(ACT_END&gt;=13)*IFERROR(ACT_UPLIFT-1,0)))*(1+SUMPRODUCT(SIGN(((ACT_DOOR_SCOPE="ALL")+(ACT_DOOR_SCOPE="TIER_"&amp;$F105)+(ACT_DOOR_SCOPE=$B105)))*SIGN(((ACT_SKU_SCOPE="ALL")+(ACT_SKU_SCOPE=$G105)))*(13&gt;ACT_END)*(ACT_END&gt;0)*IFERROR(ACT_POSTLIFT,0))),0)))</f>
        <v/>
      </c>
    </row>
    <row r="106">
      <c r="A106" t="inlineStr">
        <is>
          <t>R0102</t>
        </is>
      </c>
      <c r="B106">
        <f>Doors!$A$38</f>
        <v/>
      </c>
      <c r="C106">
        <f>Doors!$C$38</f>
        <v/>
      </c>
      <c r="D106">
        <f>Doors!$B$38</f>
        <v/>
      </c>
      <c r="E106">
        <f>Doors!$E$38</f>
        <v/>
      </c>
      <c r="F106">
        <f>Doors!$F$38</f>
        <v/>
      </c>
      <c r="G106" t="inlineStr">
        <is>
          <t>Raspberry</t>
        </is>
      </c>
      <c r="H106">
        <f>Doors!$I$38</f>
        <v/>
      </c>
      <c r="I106">
        <f>Doors!$J$38</f>
        <v/>
      </c>
      <c r="J106" s="10">
        <f>IF(OR($H106&lt;&gt;"Y",1&lt;$I106),0,IF(SUMPRODUCT(((BULK_ENABLED="Y")*((BULK_TIER="ALL")+(BULK_TIER=$F106))*((BULK_SKU="ALL")+(BULK_SKU=$G106))*(BULK_START&lt;=1)*(BULK_END&gt;=1)))&gt;0,IFERROR(SUMPRODUCT(((BULK_ENABLED="Y")*((BULK_TIER="ALL")+(BULK_TIER=$F106))*((BULK_SKU="ALL")+(BULK_SKU=$G106))*(BULK_START&lt;=1)*(BULK_END&gt;=1))*IFERROR(BULK_VALUE,0))/MAX(1,SUMPRODUCT(((BULK_ENABLED="Y")*((BULK_TIER="ALL")+(BULK_TIER=$F106))*((BULK_SKU="ALL")+(BULK_SKU=$G106))*(BULK_START&lt;=1)*(BULK_END&gt;=1)))),0),ROUND((INDEX(VELOCITY_TABLE,MATCH($F106,TIER_LIST,0),3))*(IF((1-$I106+1)&lt;=0,0,IF((1-$I106+1)=1,RAMP_W1,IF((1-$I106+1)=2,RAMP_W2,IF((1-$I106+1)=3,RAMP_W3,RAMP_W4PLUS)))))*(INDEX(ACTIVE_MULT_TABLE,3,1))*(1+SUMPRODUCT(SIGN(((ACT_DOOR_SCOPE="ALL")+(ACT_DOOR_SCOPE="TIER_"&amp;$F106)+(ACT_DOOR_SCOPE=$B106)))*SIGN(((ACT_SKU_SCOPE="ALL")+(ACT_SKU_SCOPE=$G106)))*(ACT_START&lt;=1)*(ACT_END&gt;=1)*IFERROR(ACT_UPLIFT-1,0)))*(1+SUMPRODUCT(SIGN(((ACT_DOOR_SCOPE="ALL")+(ACT_DOOR_SCOPE="TIER_"&amp;$F106)+(ACT_DOOR_SCOPE=$B106)))*SIGN(((ACT_SKU_SCOPE="ALL")+(ACT_SKU_SCOPE=$G106)))*(1&gt;ACT_END)*(ACT_END&gt;0)*IFERROR(ACT_POSTLIFT,0))),0)))</f>
        <v/>
      </c>
      <c r="K106" s="10">
        <f>IF(OR($H106&lt;&gt;"Y",2&lt;$I106),0,IF(SUMPRODUCT(((BULK_ENABLED="Y")*((BULK_TIER="ALL")+(BULK_TIER=$F106))*((BULK_SKU="ALL")+(BULK_SKU=$G106))*(BULK_START&lt;=2)*(BULK_END&gt;=2)))&gt;0,IFERROR(SUMPRODUCT(((BULK_ENABLED="Y")*((BULK_TIER="ALL")+(BULK_TIER=$F106))*((BULK_SKU="ALL")+(BULK_SKU=$G106))*(BULK_START&lt;=2)*(BULK_END&gt;=2))*IFERROR(BULK_VALUE,0))/MAX(1,SUMPRODUCT(((BULK_ENABLED="Y")*((BULK_TIER="ALL")+(BULK_TIER=$F106))*((BULK_SKU="ALL")+(BULK_SKU=$G106))*(BULK_START&lt;=2)*(BULK_END&gt;=2)))),0),ROUND((INDEX(VELOCITY_TABLE,MATCH($F106,TIER_LIST,0),3))*(IF((2-$I106+1)&lt;=0,0,IF((2-$I106+1)=1,RAMP_W1,IF((2-$I106+1)=2,RAMP_W2,IF((2-$I106+1)=3,RAMP_W3,RAMP_W4PLUS)))))*(INDEX(ACTIVE_MULT_TABLE,3,1))*(1+SUMPRODUCT(SIGN(((ACT_DOOR_SCOPE="ALL")+(ACT_DOOR_SCOPE="TIER_"&amp;$F106)+(ACT_DOOR_SCOPE=$B106)))*SIGN(((ACT_SKU_SCOPE="ALL")+(ACT_SKU_SCOPE=$G106)))*(ACT_START&lt;=2)*(ACT_END&gt;=2)*IFERROR(ACT_UPLIFT-1,0)))*(1+SUMPRODUCT(SIGN(((ACT_DOOR_SCOPE="ALL")+(ACT_DOOR_SCOPE="TIER_"&amp;$F106)+(ACT_DOOR_SCOPE=$B106)))*SIGN(((ACT_SKU_SCOPE="ALL")+(ACT_SKU_SCOPE=$G106)))*(2&gt;ACT_END)*(ACT_END&gt;0)*IFERROR(ACT_POSTLIFT,0))),0)))</f>
        <v/>
      </c>
      <c r="L106" s="10">
        <f>IF(OR($H106&lt;&gt;"Y",3&lt;$I106),0,IF(SUMPRODUCT(((BULK_ENABLED="Y")*((BULK_TIER="ALL")+(BULK_TIER=$F106))*((BULK_SKU="ALL")+(BULK_SKU=$G106))*(BULK_START&lt;=3)*(BULK_END&gt;=3)))&gt;0,IFERROR(SUMPRODUCT(((BULK_ENABLED="Y")*((BULK_TIER="ALL")+(BULK_TIER=$F106))*((BULK_SKU="ALL")+(BULK_SKU=$G106))*(BULK_START&lt;=3)*(BULK_END&gt;=3))*IFERROR(BULK_VALUE,0))/MAX(1,SUMPRODUCT(((BULK_ENABLED="Y")*((BULK_TIER="ALL")+(BULK_TIER=$F106))*((BULK_SKU="ALL")+(BULK_SKU=$G106))*(BULK_START&lt;=3)*(BULK_END&gt;=3)))),0),ROUND((INDEX(VELOCITY_TABLE,MATCH($F106,TIER_LIST,0),3))*(IF((3-$I106+1)&lt;=0,0,IF((3-$I106+1)=1,RAMP_W1,IF((3-$I106+1)=2,RAMP_W2,IF((3-$I106+1)=3,RAMP_W3,RAMP_W4PLUS)))))*(INDEX(ACTIVE_MULT_TABLE,3,1))*(1+SUMPRODUCT(SIGN(((ACT_DOOR_SCOPE="ALL")+(ACT_DOOR_SCOPE="TIER_"&amp;$F106)+(ACT_DOOR_SCOPE=$B106)))*SIGN(((ACT_SKU_SCOPE="ALL")+(ACT_SKU_SCOPE=$G106)))*(ACT_START&lt;=3)*(ACT_END&gt;=3)*IFERROR(ACT_UPLIFT-1,0)))*(1+SUMPRODUCT(SIGN(((ACT_DOOR_SCOPE="ALL")+(ACT_DOOR_SCOPE="TIER_"&amp;$F106)+(ACT_DOOR_SCOPE=$B106)))*SIGN(((ACT_SKU_SCOPE="ALL")+(ACT_SKU_SCOPE=$G106)))*(3&gt;ACT_END)*(ACT_END&gt;0)*IFERROR(ACT_POSTLIFT,0))),0)))</f>
        <v/>
      </c>
      <c r="M106" s="10">
        <f>IF(OR($H106&lt;&gt;"Y",4&lt;$I106),0,IF(SUMPRODUCT(((BULK_ENABLED="Y")*((BULK_TIER="ALL")+(BULK_TIER=$F106))*((BULK_SKU="ALL")+(BULK_SKU=$G106))*(BULK_START&lt;=4)*(BULK_END&gt;=4)))&gt;0,IFERROR(SUMPRODUCT(((BULK_ENABLED="Y")*((BULK_TIER="ALL")+(BULK_TIER=$F106))*((BULK_SKU="ALL")+(BULK_SKU=$G106))*(BULK_START&lt;=4)*(BULK_END&gt;=4))*IFERROR(BULK_VALUE,0))/MAX(1,SUMPRODUCT(((BULK_ENABLED="Y")*((BULK_TIER="ALL")+(BULK_TIER=$F106))*((BULK_SKU="ALL")+(BULK_SKU=$G106))*(BULK_START&lt;=4)*(BULK_END&gt;=4)))),0),ROUND((INDEX(VELOCITY_TABLE,MATCH($F106,TIER_LIST,0),3))*(IF((4-$I106+1)&lt;=0,0,IF((4-$I106+1)=1,RAMP_W1,IF((4-$I106+1)=2,RAMP_W2,IF((4-$I106+1)=3,RAMP_W3,RAMP_W4PLUS)))))*(INDEX(ACTIVE_MULT_TABLE,3,1))*(1+SUMPRODUCT(SIGN(((ACT_DOOR_SCOPE="ALL")+(ACT_DOOR_SCOPE="TIER_"&amp;$F106)+(ACT_DOOR_SCOPE=$B106)))*SIGN(((ACT_SKU_SCOPE="ALL")+(ACT_SKU_SCOPE=$G106)))*(ACT_START&lt;=4)*(ACT_END&gt;=4)*IFERROR(ACT_UPLIFT-1,0)))*(1+SUMPRODUCT(SIGN(((ACT_DOOR_SCOPE="ALL")+(ACT_DOOR_SCOPE="TIER_"&amp;$F106)+(ACT_DOOR_SCOPE=$B106)))*SIGN(((ACT_SKU_SCOPE="ALL")+(ACT_SKU_SCOPE=$G106)))*(4&gt;ACT_END)*(ACT_END&gt;0)*IFERROR(ACT_POSTLIFT,0))),0)))</f>
        <v/>
      </c>
      <c r="N106" s="10">
        <f>IF(OR($H106&lt;&gt;"Y",5&lt;$I106),0,IF(SUMPRODUCT(((BULK_ENABLED="Y")*((BULK_TIER="ALL")+(BULK_TIER=$F106))*((BULK_SKU="ALL")+(BULK_SKU=$G106))*(BULK_START&lt;=5)*(BULK_END&gt;=5)))&gt;0,IFERROR(SUMPRODUCT(((BULK_ENABLED="Y")*((BULK_TIER="ALL")+(BULK_TIER=$F106))*((BULK_SKU="ALL")+(BULK_SKU=$G106))*(BULK_START&lt;=5)*(BULK_END&gt;=5))*IFERROR(BULK_VALUE,0))/MAX(1,SUMPRODUCT(((BULK_ENABLED="Y")*((BULK_TIER="ALL")+(BULK_TIER=$F106))*((BULK_SKU="ALL")+(BULK_SKU=$G106))*(BULK_START&lt;=5)*(BULK_END&gt;=5)))),0),ROUND((INDEX(VELOCITY_TABLE,MATCH($F106,TIER_LIST,0),3))*(IF((5-$I106+1)&lt;=0,0,IF((5-$I106+1)=1,RAMP_W1,IF((5-$I106+1)=2,RAMP_W2,IF((5-$I106+1)=3,RAMP_W3,RAMP_W4PLUS)))))*(INDEX(ACTIVE_MULT_TABLE,3,1))*(1+SUMPRODUCT(SIGN(((ACT_DOOR_SCOPE="ALL")+(ACT_DOOR_SCOPE="TIER_"&amp;$F106)+(ACT_DOOR_SCOPE=$B106)))*SIGN(((ACT_SKU_SCOPE="ALL")+(ACT_SKU_SCOPE=$G106)))*(ACT_START&lt;=5)*(ACT_END&gt;=5)*IFERROR(ACT_UPLIFT-1,0)))*(1+SUMPRODUCT(SIGN(((ACT_DOOR_SCOPE="ALL")+(ACT_DOOR_SCOPE="TIER_"&amp;$F106)+(ACT_DOOR_SCOPE=$B106)))*SIGN(((ACT_SKU_SCOPE="ALL")+(ACT_SKU_SCOPE=$G106)))*(5&gt;ACT_END)*(ACT_END&gt;0)*IFERROR(ACT_POSTLIFT,0))),0)))</f>
        <v/>
      </c>
      <c r="O106" s="10">
        <f>IF(OR($H106&lt;&gt;"Y",6&lt;$I106),0,IF(SUMPRODUCT(((BULK_ENABLED="Y")*((BULK_TIER="ALL")+(BULK_TIER=$F106))*((BULK_SKU="ALL")+(BULK_SKU=$G106))*(BULK_START&lt;=6)*(BULK_END&gt;=6)))&gt;0,IFERROR(SUMPRODUCT(((BULK_ENABLED="Y")*((BULK_TIER="ALL")+(BULK_TIER=$F106))*((BULK_SKU="ALL")+(BULK_SKU=$G106))*(BULK_START&lt;=6)*(BULK_END&gt;=6))*IFERROR(BULK_VALUE,0))/MAX(1,SUMPRODUCT(((BULK_ENABLED="Y")*((BULK_TIER="ALL")+(BULK_TIER=$F106))*((BULK_SKU="ALL")+(BULK_SKU=$G106))*(BULK_START&lt;=6)*(BULK_END&gt;=6)))),0),ROUND((INDEX(VELOCITY_TABLE,MATCH($F106,TIER_LIST,0),3))*(IF((6-$I106+1)&lt;=0,0,IF((6-$I106+1)=1,RAMP_W1,IF((6-$I106+1)=2,RAMP_W2,IF((6-$I106+1)=3,RAMP_W3,RAMP_W4PLUS)))))*(INDEX(ACTIVE_MULT_TABLE,3,1))*(1+SUMPRODUCT(SIGN(((ACT_DOOR_SCOPE="ALL")+(ACT_DOOR_SCOPE="TIER_"&amp;$F106)+(ACT_DOOR_SCOPE=$B106)))*SIGN(((ACT_SKU_SCOPE="ALL")+(ACT_SKU_SCOPE=$G106)))*(ACT_START&lt;=6)*(ACT_END&gt;=6)*IFERROR(ACT_UPLIFT-1,0)))*(1+SUMPRODUCT(SIGN(((ACT_DOOR_SCOPE="ALL")+(ACT_DOOR_SCOPE="TIER_"&amp;$F106)+(ACT_DOOR_SCOPE=$B106)))*SIGN(((ACT_SKU_SCOPE="ALL")+(ACT_SKU_SCOPE=$G106)))*(6&gt;ACT_END)*(ACT_END&gt;0)*IFERROR(ACT_POSTLIFT,0))),0)))</f>
        <v/>
      </c>
      <c r="P106" s="10">
        <f>IF(OR($H106&lt;&gt;"Y",7&lt;$I106),0,IF(SUMPRODUCT(((BULK_ENABLED="Y")*((BULK_TIER="ALL")+(BULK_TIER=$F106))*((BULK_SKU="ALL")+(BULK_SKU=$G106))*(BULK_START&lt;=7)*(BULK_END&gt;=7)))&gt;0,IFERROR(SUMPRODUCT(((BULK_ENABLED="Y")*((BULK_TIER="ALL")+(BULK_TIER=$F106))*((BULK_SKU="ALL")+(BULK_SKU=$G106))*(BULK_START&lt;=7)*(BULK_END&gt;=7))*IFERROR(BULK_VALUE,0))/MAX(1,SUMPRODUCT(((BULK_ENABLED="Y")*((BULK_TIER="ALL")+(BULK_TIER=$F106))*((BULK_SKU="ALL")+(BULK_SKU=$G106))*(BULK_START&lt;=7)*(BULK_END&gt;=7)))),0),ROUND((INDEX(VELOCITY_TABLE,MATCH($F106,TIER_LIST,0),3))*(IF((7-$I106+1)&lt;=0,0,IF((7-$I106+1)=1,RAMP_W1,IF((7-$I106+1)=2,RAMP_W2,IF((7-$I106+1)=3,RAMP_W3,RAMP_W4PLUS)))))*(INDEX(ACTIVE_MULT_TABLE,3,1))*(1+SUMPRODUCT(SIGN(((ACT_DOOR_SCOPE="ALL")+(ACT_DOOR_SCOPE="TIER_"&amp;$F106)+(ACT_DOOR_SCOPE=$B106)))*SIGN(((ACT_SKU_SCOPE="ALL")+(ACT_SKU_SCOPE=$G106)))*(ACT_START&lt;=7)*(ACT_END&gt;=7)*IFERROR(ACT_UPLIFT-1,0)))*(1+SUMPRODUCT(SIGN(((ACT_DOOR_SCOPE="ALL")+(ACT_DOOR_SCOPE="TIER_"&amp;$F106)+(ACT_DOOR_SCOPE=$B106)))*SIGN(((ACT_SKU_SCOPE="ALL")+(ACT_SKU_SCOPE=$G106)))*(7&gt;ACT_END)*(ACT_END&gt;0)*IFERROR(ACT_POSTLIFT,0))),0)))</f>
        <v/>
      </c>
      <c r="Q106" s="10">
        <f>IF(OR($H106&lt;&gt;"Y",8&lt;$I106),0,IF(SUMPRODUCT(((BULK_ENABLED="Y")*((BULK_TIER="ALL")+(BULK_TIER=$F106))*((BULK_SKU="ALL")+(BULK_SKU=$G106))*(BULK_START&lt;=8)*(BULK_END&gt;=8)))&gt;0,IFERROR(SUMPRODUCT(((BULK_ENABLED="Y")*((BULK_TIER="ALL")+(BULK_TIER=$F106))*((BULK_SKU="ALL")+(BULK_SKU=$G106))*(BULK_START&lt;=8)*(BULK_END&gt;=8))*IFERROR(BULK_VALUE,0))/MAX(1,SUMPRODUCT(((BULK_ENABLED="Y")*((BULK_TIER="ALL")+(BULK_TIER=$F106))*((BULK_SKU="ALL")+(BULK_SKU=$G106))*(BULK_START&lt;=8)*(BULK_END&gt;=8)))),0),ROUND((INDEX(VELOCITY_TABLE,MATCH($F106,TIER_LIST,0),3))*(IF((8-$I106+1)&lt;=0,0,IF((8-$I106+1)=1,RAMP_W1,IF((8-$I106+1)=2,RAMP_W2,IF((8-$I106+1)=3,RAMP_W3,RAMP_W4PLUS)))))*(INDEX(ACTIVE_MULT_TABLE,3,1))*(1+SUMPRODUCT(SIGN(((ACT_DOOR_SCOPE="ALL")+(ACT_DOOR_SCOPE="TIER_"&amp;$F106)+(ACT_DOOR_SCOPE=$B106)))*SIGN(((ACT_SKU_SCOPE="ALL")+(ACT_SKU_SCOPE=$G106)))*(ACT_START&lt;=8)*(ACT_END&gt;=8)*IFERROR(ACT_UPLIFT-1,0)))*(1+SUMPRODUCT(SIGN(((ACT_DOOR_SCOPE="ALL")+(ACT_DOOR_SCOPE="TIER_"&amp;$F106)+(ACT_DOOR_SCOPE=$B106)))*SIGN(((ACT_SKU_SCOPE="ALL")+(ACT_SKU_SCOPE=$G106)))*(8&gt;ACT_END)*(ACT_END&gt;0)*IFERROR(ACT_POSTLIFT,0))),0)))</f>
        <v/>
      </c>
      <c r="R106" s="10">
        <f>IF(OR($H106&lt;&gt;"Y",9&lt;$I106),0,IF(SUMPRODUCT(((BULK_ENABLED="Y")*((BULK_TIER="ALL")+(BULK_TIER=$F106))*((BULK_SKU="ALL")+(BULK_SKU=$G106))*(BULK_START&lt;=9)*(BULK_END&gt;=9)))&gt;0,IFERROR(SUMPRODUCT(((BULK_ENABLED="Y")*((BULK_TIER="ALL")+(BULK_TIER=$F106))*((BULK_SKU="ALL")+(BULK_SKU=$G106))*(BULK_START&lt;=9)*(BULK_END&gt;=9))*IFERROR(BULK_VALUE,0))/MAX(1,SUMPRODUCT(((BULK_ENABLED="Y")*((BULK_TIER="ALL")+(BULK_TIER=$F106))*((BULK_SKU="ALL")+(BULK_SKU=$G106))*(BULK_START&lt;=9)*(BULK_END&gt;=9)))),0),ROUND((INDEX(VELOCITY_TABLE,MATCH($F106,TIER_LIST,0),3))*(IF((9-$I106+1)&lt;=0,0,IF((9-$I106+1)=1,RAMP_W1,IF((9-$I106+1)=2,RAMP_W2,IF((9-$I106+1)=3,RAMP_W3,RAMP_W4PLUS)))))*(INDEX(ACTIVE_MULT_TABLE,3,1))*(1+SUMPRODUCT(SIGN(((ACT_DOOR_SCOPE="ALL")+(ACT_DOOR_SCOPE="TIER_"&amp;$F106)+(ACT_DOOR_SCOPE=$B106)))*SIGN(((ACT_SKU_SCOPE="ALL")+(ACT_SKU_SCOPE=$G106)))*(ACT_START&lt;=9)*(ACT_END&gt;=9)*IFERROR(ACT_UPLIFT-1,0)))*(1+SUMPRODUCT(SIGN(((ACT_DOOR_SCOPE="ALL")+(ACT_DOOR_SCOPE="TIER_"&amp;$F106)+(ACT_DOOR_SCOPE=$B106)))*SIGN(((ACT_SKU_SCOPE="ALL")+(ACT_SKU_SCOPE=$G106)))*(9&gt;ACT_END)*(ACT_END&gt;0)*IFERROR(ACT_POSTLIFT,0))),0)))</f>
        <v/>
      </c>
      <c r="S106" s="10">
        <f>IF(OR($H106&lt;&gt;"Y",10&lt;$I106),0,IF(SUMPRODUCT(((BULK_ENABLED="Y")*((BULK_TIER="ALL")+(BULK_TIER=$F106))*((BULK_SKU="ALL")+(BULK_SKU=$G106))*(BULK_START&lt;=10)*(BULK_END&gt;=10)))&gt;0,IFERROR(SUMPRODUCT(((BULK_ENABLED="Y")*((BULK_TIER="ALL")+(BULK_TIER=$F106))*((BULK_SKU="ALL")+(BULK_SKU=$G106))*(BULK_START&lt;=10)*(BULK_END&gt;=10))*IFERROR(BULK_VALUE,0))/MAX(1,SUMPRODUCT(((BULK_ENABLED="Y")*((BULK_TIER="ALL")+(BULK_TIER=$F106))*((BULK_SKU="ALL")+(BULK_SKU=$G106))*(BULK_START&lt;=10)*(BULK_END&gt;=10)))),0),ROUND((INDEX(VELOCITY_TABLE,MATCH($F106,TIER_LIST,0),3))*(IF((10-$I106+1)&lt;=0,0,IF((10-$I106+1)=1,RAMP_W1,IF((10-$I106+1)=2,RAMP_W2,IF((10-$I106+1)=3,RAMP_W3,RAMP_W4PLUS)))))*(INDEX(ACTIVE_MULT_TABLE,3,1))*(1+SUMPRODUCT(SIGN(((ACT_DOOR_SCOPE="ALL")+(ACT_DOOR_SCOPE="TIER_"&amp;$F106)+(ACT_DOOR_SCOPE=$B106)))*SIGN(((ACT_SKU_SCOPE="ALL")+(ACT_SKU_SCOPE=$G106)))*(ACT_START&lt;=10)*(ACT_END&gt;=10)*IFERROR(ACT_UPLIFT-1,0)))*(1+SUMPRODUCT(SIGN(((ACT_DOOR_SCOPE="ALL")+(ACT_DOOR_SCOPE="TIER_"&amp;$F106)+(ACT_DOOR_SCOPE=$B106)))*SIGN(((ACT_SKU_SCOPE="ALL")+(ACT_SKU_SCOPE=$G106)))*(10&gt;ACT_END)*(ACT_END&gt;0)*IFERROR(ACT_POSTLIFT,0))),0)))</f>
        <v/>
      </c>
      <c r="T106" s="10">
        <f>IF(OR($H106&lt;&gt;"Y",11&lt;$I106),0,IF(SUMPRODUCT(((BULK_ENABLED="Y")*((BULK_TIER="ALL")+(BULK_TIER=$F106))*((BULK_SKU="ALL")+(BULK_SKU=$G106))*(BULK_START&lt;=11)*(BULK_END&gt;=11)))&gt;0,IFERROR(SUMPRODUCT(((BULK_ENABLED="Y")*((BULK_TIER="ALL")+(BULK_TIER=$F106))*((BULK_SKU="ALL")+(BULK_SKU=$G106))*(BULK_START&lt;=11)*(BULK_END&gt;=11))*IFERROR(BULK_VALUE,0))/MAX(1,SUMPRODUCT(((BULK_ENABLED="Y")*((BULK_TIER="ALL")+(BULK_TIER=$F106))*((BULK_SKU="ALL")+(BULK_SKU=$G106))*(BULK_START&lt;=11)*(BULK_END&gt;=11)))),0),ROUND((INDEX(VELOCITY_TABLE,MATCH($F106,TIER_LIST,0),3))*(IF((11-$I106+1)&lt;=0,0,IF((11-$I106+1)=1,RAMP_W1,IF((11-$I106+1)=2,RAMP_W2,IF((11-$I106+1)=3,RAMP_W3,RAMP_W4PLUS)))))*(INDEX(ACTIVE_MULT_TABLE,3,1))*(1+SUMPRODUCT(SIGN(((ACT_DOOR_SCOPE="ALL")+(ACT_DOOR_SCOPE="TIER_"&amp;$F106)+(ACT_DOOR_SCOPE=$B106)))*SIGN(((ACT_SKU_SCOPE="ALL")+(ACT_SKU_SCOPE=$G106)))*(ACT_START&lt;=11)*(ACT_END&gt;=11)*IFERROR(ACT_UPLIFT-1,0)))*(1+SUMPRODUCT(SIGN(((ACT_DOOR_SCOPE="ALL")+(ACT_DOOR_SCOPE="TIER_"&amp;$F106)+(ACT_DOOR_SCOPE=$B106)))*SIGN(((ACT_SKU_SCOPE="ALL")+(ACT_SKU_SCOPE=$G106)))*(11&gt;ACT_END)*(ACT_END&gt;0)*IFERROR(ACT_POSTLIFT,0))),0)))</f>
        <v/>
      </c>
      <c r="U106" s="10">
        <f>IF(OR($H106&lt;&gt;"Y",12&lt;$I106),0,IF(SUMPRODUCT(((BULK_ENABLED="Y")*((BULK_TIER="ALL")+(BULK_TIER=$F106))*((BULK_SKU="ALL")+(BULK_SKU=$G106))*(BULK_START&lt;=12)*(BULK_END&gt;=12)))&gt;0,IFERROR(SUMPRODUCT(((BULK_ENABLED="Y")*((BULK_TIER="ALL")+(BULK_TIER=$F106))*((BULK_SKU="ALL")+(BULK_SKU=$G106))*(BULK_START&lt;=12)*(BULK_END&gt;=12))*IFERROR(BULK_VALUE,0))/MAX(1,SUMPRODUCT(((BULK_ENABLED="Y")*((BULK_TIER="ALL")+(BULK_TIER=$F106))*((BULK_SKU="ALL")+(BULK_SKU=$G106))*(BULK_START&lt;=12)*(BULK_END&gt;=12)))),0),ROUND((INDEX(VELOCITY_TABLE,MATCH($F106,TIER_LIST,0),3))*(IF((12-$I106+1)&lt;=0,0,IF((12-$I106+1)=1,RAMP_W1,IF((12-$I106+1)=2,RAMP_W2,IF((12-$I106+1)=3,RAMP_W3,RAMP_W4PLUS)))))*(INDEX(ACTIVE_MULT_TABLE,3,1))*(1+SUMPRODUCT(SIGN(((ACT_DOOR_SCOPE="ALL")+(ACT_DOOR_SCOPE="TIER_"&amp;$F106)+(ACT_DOOR_SCOPE=$B106)))*SIGN(((ACT_SKU_SCOPE="ALL")+(ACT_SKU_SCOPE=$G106)))*(ACT_START&lt;=12)*(ACT_END&gt;=12)*IFERROR(ACT_UPLIFT-1,0)))*(1+SUMPRODUCT(SIGN(((ACT_DOOR_SCOPE="ALL")+(ACT_DOOR_SCOPE="TIER_"&amp;$F106)+(ACT_DOOR_SCOPE=$B106)))*SIGN(((ACT_SKU_SCOPE="ALL")+(ACT_SKU_SCOPE=$G106)))*(12&gt;ACT_END)*(ACT_END&gt;0)*IFERROR(ACT_POSTLIFT,0))),0)))</f>
        <v/>
      </c>
      <c r="V106" s="10">
        <f>IF(OR($H106&lt;&gt;"Y",13&lt;$I106),0,IF(SUMPRODUCT(((BULK_ENABLED="Y")*((BULK_TIER="ALL")+(BULK_TIER=$F106))*((BULK_SKU="ALL")+(BULK_SKU=$G106))*(BULK_START&lt;=13)*(BULK_END&gt;=13)))&gt;0,IFERROR(SUMPRODUCT(((BULK_ENABLED="Y")*((BULK_TIER="ALL")+(BULK_TIER=$F106))*((BULK_SKU="ALL")+(BULK_SKU=$G106))*(BULK_START&lt;=13)*(BULK_END&gt;=13))*IFERROR(BULK_VALUE,0))/MAX(1,SUMPRODUCT(((BULK_ENABLED="Y")*((BULK_TIER="ALL")+(BULK_TIER=$F106))*((BULK_SKU="ALL")+(BULK_SKU=$G106))*(BULK_START&lt;=13)*(BULK_END&gt;=13)))),0),ROUND((INDEX(VELOCITY_TABLE,MATCH($F106,TIER_LIST,0),3))*(IF((13-$I106+1)&lt;=0,0,IF((13-$I106+1)=1,RAMP_W1,IF((13-$I106+1)=2,RAMP_W2,IF((13-$I106+1)=3,RAMP_W3,RAMP_W4PLUS)))))*(INDEX(ACTIVE_MULT_TABLE,3,1))*(1+SUMPRODUCT(SIGN(((ACT_DOOR_SCOPE="ALL")+(ACT_DOOR_SCOPE="TIER_"&amp;$F106)+(ACT_DOOR_SCOPE=$B106)))*SIGN(((ACT_SKU_SCOPE="ALL")+(ACT_SKU_SCOPE=$G106)))*(ACT_START&lt;=13)*(ACT_END&gt;=13)*IFERROR(ACT_UPLIFT-1,0)))*(1+SUMPRODUCT(SIGN(((ACT_DOOR_SCOPE="ALL")+(ACT_DOOR_SCOPE="TIER_"&amp;$F106)+(ACT_DOOR_SCOPE=$B106)))*SIGN(((ACT_SKU_SCOPE="ALL")+(ACT_SKU_SCOPE=$G106)))*(13&gt;ACT_END)*(ACT_END&gt;0)*IFERROR(ACT_POSTLIFT,0))),0)))</f>
        <v/>
      </c>
    </row>
    <row r="107">
      <c r="A107" t="inlineStr">
        <is>
          <t>R0103</t>
        </is>
      </c>
      <c r="B107">
        <f>Doors!$A$39</f>
        <v/>
      </c>
      <c r="C107">
        <f>Doors!$C$39</f>
        <v/>
      </c>
      <c r="D107">
        <f>Doors!$B$39</f>
        <v/>
      </c>
      <c r="E107">
        <f>Doors!$E$39</f>
        <v/>
      </c>
      <c r="F107">
        <f>Doors!$F$39</f>
        <v/>
      </c>
      <c r="G107" t="inlineStr">
        <is>
          <t>Lime Lemon</t>
        </is>
      </c>
      <c r="H107">
        <f>Doors!$G$39</f>
        <v/>
      </c>
      <c r="I107">
        <f>Doors!$J$39</f>
        <v/>
      </c>
      <c r="J107" s="10">
        <f>IF(OR($H107&lt;&gt;"Y",1&lt;$I107),0,IF(SUMPRODUCT(((BULK_ENABLED="Y")*((BULK_TIER="ALL")+(BULK_TIER=$F107))*((BULK_SKU="ALL")+(BULK_SKU=$G107))*(BULK_START&lt;=1)*(BULK_END&gt;=1)))&gt;0,IFERROR(SUMPRODUCT(((BULK_ENABLED="Y")*((BULK_TIER="ALL")+(BULK_TIER=$F107))*((BULK_SKU="ALL")+(BULK_SKU=$G107))*(BULK_START&lt;=1)*(BULK_END&gt;=1))*IFERROR(BULK_VALUE,0))/MAX(1,SUMPRODUCT(((BULK_ENABLED="Y")*((BULK_TIER="ALL")+(BULK_TIER=$F107))*((BULK_SKU="ALL")+(BULK_SKU=$G107))*(BULK_START&lt;=1)*(BULK_END&gt;=1)))),0),ROUND((INDEX(VELOCITY_TABLE,MATCH($F107,TIER_LIST,0),1))*(IF((1-$I107+1)&lt;=0,0,IF((1-$I107+1)=1,RAMP_W1,IF((1-$I107+1)=2,RAMP_W2,IF((1-$I107+1)=3,RAMP_W3,RAMP_W4PLUS)))))*(INDEX(ACTIVE_MULT_TABLE,1,1))*(1+SUMPRODUCT(SIGN(((ACT_DOOR_SCOPE="ALL")+(ACT_DOOR_SCOPE="TIER_"&amp;$F107)+(ACT_DOOR_SCOPE=$B107)))*SIGN(((ACT_SKU_SCOPE="ALL")+(ACT_SKU_SCOPE=$G107)))*(ACT_START&lt;=1)*(ACT_END&gt;=1)*IFERROR(ACT_UPLIFT-1,0)))*(1+SUMPRODUCT(SIGN(((ACT_DOOR_SCOPE="ALL")+(ACT_DOOR_SCOPE="TIER_"&amp;$F107)+(ACT_DOOR_SCOPE=$B107)))*SIGN(((ACT_SKU_SCOPE="ALL")+(ACT_SKU_SCOPE=$G107)))*(1&gt;ACT_END)*(ACT_END&gt;0)*IFERROR(ACT_POSTLIFT,0))),0)))</f>
        <v/>
      </c>
      <c r="K107" s="10">
        <f>IF(OR($H107&lt;&gt;"Y",2&lt;$I107),0,IF(SUMPRODUCT(((BULK_ENABLED="Y")*((BULK_TIER="ALL")+(BULK_TIER=$F107))*((BULK_SKU="ALL")+(BULK_SKU=$G107))*(BULK_START&lt;=2)*(BULK_END&gt;=2)))&gt;0,IFERROR(SUMPRODUCT(((BULK_ENABLED="Y")*((BULK_TIER="ALL")+(BULK_TIER=$F107))*((BULK_SKU="ALL")+(BULK_SKU=$G107))*(BULK_START&lt;=2)*(BULK_END&gt;=2))*IFERROR(BULK_VALUE,0))/MAX(1,SUMPRODUCT(((BULK_ENABLED="Y")*((BULK_TIER="ALL")+(BULK_TIER=$F107))*((BULK_SKU="ALL")+(BULK_SKU=$G107))*(BULK_START&lt;=2)*(BULK_END&gt;=2)))),0),ROUND((INDEX(VELOCITY_TABLE,MATCH($F107,TIER_LIST,0),1))*(IF((2-$I107+1)&lt;=0,0,IF((2-$I107+1)=1,RAMP_W1,IF((2-$I107+1)=2,RAMP_W2,IF((2-$I107+1)=3,RAMP_W3,RAMP_W4PLUS)))))*(INDEX(ACTIVE_MULT_TABLE,1,1))*(1+SUMPRODUCT(SIGN(((ACT_DOOR_SCOPE="ALL")+(ACT_DOOR_SCOPE="TIER_"&amp;$F107)+(ACT_DOOR_SCOPE=$B107)))*SIGN(((ACT_SKU_SCOPE="ALL")+(ACT_SKU_SCOPE=$G107)))*(ACT_START&lt;=2)*(ACT_END&gt;=2)*IFERROR(ACT_UPLIFT-1,0)))*(1+SUMPRODUCT(SIGN(((ACT_DOOR_SCOPE="ALL")+(ACT_DOOR_SCOPE="TIER_"&amp;$F107)+(ACT_DOOR_SCOPE=$B107)))*SIGN(((ACT_SKU_SCOPE="ALL")+(ACT_SKU_SCOPE=$G107)))*(2&gt;ACT_END)*(ACT_END&gt;0)*IFERROR(ACT_POSTLIFT,0))),0)))</f>
        <v/>
      </c>
      <c r="L107" s="10">
        <f>IF(OR($H107&lt;&gt;"Y",3&lt;$I107),0,IF(SUMPRODUCT(((BULK_ENABLED="Y")*((BULK_TIER="ALL")+(BULK_TIER=$F107))*((BULK_SKU="ALL")+(BULK_SKU=$G107))*(BULK_START&lt;=3)*(BULK_END&gt;=3)))&gt;0,IFERROR(SUMPRODUCT(((BULK_ENABLED="Y")*((BULK_TIER="ALL")+(BULK_TIER=$F107))*((BULK_SKU="ALL")+(BULK_SKU=$G107))*(BULK_START&lt;=3)*(BULK_END&gt;=3))*IFERROR(BULK_VALUE,0))/MAX(1,SUMPRODUCT(((BULK_ENABLED="Y")*((BULK_TIER="ALL")+(BULK_TIER=$F107))*((BULK_SKU="ALL")+(BULK_SKU=$G107))*(BULK_START&lt;=3)*(BULK_END&gt;=3)))),0),ROUND((INDEX(VELOCITY_TABLE,MATCH($F107,TIER_LIST,0),1))*(IF((3-$I107+1)&lt;=0,0,IF((3-$I107+1)=1,RAMP_W1,IF((3-$I107+1)=2,RAMP_W2,IF((3-$I107+1)=3,RAMP_W3,RAMP_W4PLUS)))))*(INDEX(ACTIVE_MULT_TABLE,1,1))*(1+SUMPRODUCT(SIGN(((ACT_DOOR_SCOPE="ALL")+(ACT_DOOR_SCOPE="TIER_"&amp;$F107)+(ACT_DOOR_SCOPE=$B107)))*SIGN(((ACT_SKU_SCOPE="ALL")+(ACT_SKU_SCOPE=$G107)))*(ACT_START&lt;=3)*(ACT_END&gt;=3)*IFERROR(ACT_UPLIFT-1,0)))*(1+SUMPRODUCT(SIGN(((ACT_DOOR_SCOPE="ALL")+(ACT_DOOR_SCOPE="TIER_"&amp;$F107)+(ACT_DOOR_SCOPE=$B107)))*SIGN(((ACT_SKU_SCOPE="ALL")+(ACT_SKU_SCOPE=$G107)))*(3&gt;ACT_END)*(ACT_END&gt;0)*IFERROR(ACT_POSTLIFT,0))),0)))</f>
        <v/>
      </c>
      <c r="M107" s="10">
        <f>IF(OR($H107&lt;&gt;"Y",4&lt;$I107),0,IF(SUMPRODUCT(((BULK_ENABLED="Y")*((BULK_TIER="ALL")+(BULK_TIER=$F107))*((BULK_SKU="ALL")+(BULK_SKU=$G107))*(BULK_START&lt;=4)*(BULK_END&gt;=4)))&gt;0,IFERROR(SUMPRODUCT(((BULK_ENABLED="Y")*((BULK_TIER="ALL")+(BULK_TIER=$F107))*((BULK_SKU="ALL")+(BULK_SKU=$G107))*(BULK_START&lt;=4)*(BULK_END&gt;=4))*IFERROR(BULK_VALUE,0))/MAX(1,SUMPRODUCT(((BULK_ENABLED="Y")*((BULK_TIER="ALL")+(BULK_TIER=$F107))*((BULK_SKU="ALL")+(BULK_SKU=$G107))*(BULK_START&lt;=4)*(BULK_END&gt;=4)))),0),ROUND((INDEX(VELOCITY_TABLE,MATCH($F107,TIER_LIST,0),1))*(IF((4-$I107+1)&lt;=0,0,IF((4-$I107+1)=1,RAMP_W1,IF((4-$I107+1)=2,RAMP_W2,IF((4-$I107+1)=3,RAMP_W3,RAMP_W4PLUS)))))*(INDEX(ACTIVE_MULT_TABLE,1,1))*(1+SUMPRODUCT(SIGN(((ACT_DOOR_SCOPE="ALL")+(ACT_DOOR_SCOPE="TIER_"&amp;$F107)+(ACT_DOOR_SCOPE=$B107)))*SIGN(((ACT_SKU_SCOPE="ALL")+(ACT_SKU_SCOPE=$G107)))*(ACT_START&lt;=4)*(ACT_END&gt;=4)*IFERROR(ACT_UPLIFT-1,0)))*(1+SUMPRODUCT(SIGN(((ACT_DOOR_SCOPE="ALL")+(ACT_DOOR_SCOPE="TIER_"&amp;$F107)+(ACT_DOOR_SCOPE=$B107)))*SIGN(((ACT_SKU_SCOPE="ALL")+(ACT_SKU_SCOPE=$G107)))*(4&gt;ACT_END)*(ACT_END&gt;0)*IFERROR(ACT_POSTLIFT,0))),0)))</f>
        <v/>
      </c>
      <c r="N107" s="10">
        <f>IF(OR($H107&lt;&gt;"Y",5&lt;$I107),0,IF(SUMPRODUCT(((BULK_ENABLED="Y")*((BULK_TIER="ALL")+(BULK_TIER=$F107))*((BULK_SKU="ALL")+(BULK_SKU=$G107))*(BULK_START&lt;=5)*(BULK_END&gt;=5)))&gt;0,IFERROR(SUMPRODUCT(((BULK_ENABLED="Y")*((BULK_TIER="ALL")+(BULK_TIER=$F107))*((BULK_SKU="ALL")+(BULK_SKU=$G107))*(BULK_START&lt;=5)*(BULK_END&gt;=5))*IFERROR(BULK_VALUE,0))/MAX(1,SUMPRODUCT(((BULK_ENABLED="Y")*((BULK_TIER="ALL")+(BULK_TIER=$F107))*((BULK_SKU="ALL")+(BULK_SKU=$G107))*(BULK_START&lt;=5)*(BULK_END&gt;=5)))),0),ROUND((INDEX(VELOCITY_TABLE,MATCH($F107,TIER_LIST,0),1))*(IF((5-$I107+1)&lt;=0,0,IF((5-$I107+1)=1,RAMP_W1,IF((5-$I107+1)=2,RAMP_W2,IF((5-$I107+1)=3,RAMP_W3,RAMP_W4PLUS)))))*(INDEX(ACTIVE_MULT_TABLE,1,1))*(1+SUMPRODUCT(SIGN(((ACT_DOOR_SCOPE="ALL")+(ACT_DOOR_SCOPE="TIER_"&amp;$F107)+(ACT_DOOR_SCOPE=$B107)))*SIGN(((ACT_SKU_SCOPE="ALL")+(ACT_SKU_SCOPE=$G107)))*(ACT_START&lt;=5)*(ACT_END&gt;=5)*IFERROR(ACT_UPLIFT-1,0)))*(1+SUMPRODUCT(SIGN(((ACT_DOOR_SCOPE="ALL")+(ACT_DOOR_SCOPE="TIER_"&amp;$F107)+(ACT_DOOR_SCOPE=$B107)))*SIGN(((ACT_SKU_SCOPE="ALL")+(ACT_SKU_SCOPE=$G107)))*(5&gt;ACT_END)*(ACT_END&gt;0)*IFERROR(ACT_POSTLIFT,0))),0)))</f>
        <v/>
      </c>
      <c r="O107" s="10">
        <f>IF(OR($H107&lt;&gt;"Y",6&lt;$I107),0,IF(SUMPRODUCT(((BULK_ENABLED="Y")*((BULK_TIER="ALL")+(BULK_TIER=$F107))*((BULK_SKU="ALL")+(BULK_SKU=$G107))*(BULK_START&lt;=6)*(BULK_END&gt;=6)))&gt;0,IFERROR(SUMPRODUCT(((BULK_ENABLED="Y")*((BULK_TIER="ALL")+(BULK_TIER=$F107))*((BULK_SKU="ALL")+(BULK_SKU=$G107))*(BULK_START&lt;=6)*(BULK_END&gt;=6))*IFERROR(BULK_VALUE,0))/MAX(1,SUMPRODUCT(((BULK_ENABLED="Y")*((BULK_TIER="ALL")+(BULK_TIER=$F107))*((BULK_SKU="ALL")+(BULK_SKU=$G107))*(BULK_START&lt;=6)*(BULK_END&gt;=6)))),0),ROUND((INDEX(VELOCITY_TABLE,MATCH($F107,TIER_LIST,0),1))*(IF((6-$I107+1)&lt;=0,0,IF((6-$I107+1)=1,RAMP_W1,IF((6-$I107+1)=2,RAMP_W2,IF((6-$I107+1)=3,RAMP_W3,RAMP_W4PLUS)))))*(INDEX(ACTIVE_MULT_TABLE,1,1))*(1+SUMPRODUCT(SIGN(((ACT_DOOR_SCOPE="ALL")+(ACT_DOOR_SCOPE="TIER_"&amp;$F107)+(ACT_DOOR_SCOPE=$B107)))*SIGN(((ACT_SKU_SCOPE="ALL")+(ACT_SKU_SCOPE=$G107)))*(ACT_START&lt;=6)*(ACT_END&gt;=6)*IFERROR(ACT_UPLIFT-1,0)))*(1+SUMPRODUCT(SIGN(((ACT_DOOR_SCOPE="ALL")+(ACT_DOOR_SCOPE="TIER_"&amp;$F107)+(ACT_DOOR_SCOPE=$B107)))*SIGN(((ACT_SKU_SCOPE="ALL")+(ACT_SKU_SCOPE=$G107)))*(6&gt;ACT_END)*(ACT_END&gt;0)*IFERROR(ACT_POSTLIFT,0))),0)))</f>
        <v/>
      </c>
      <c r="P107" s="10">
        <f>IF(OR($H107&lt;&gt;"Y",7&lt;$I107),0,IF(SUMPRODUCT(((BULK_ENABLED="Y")*((BULK_TIER="ALL")+(BULK_TIER=$F107))*((BULK_SKU="ALL")+(BULK_SKU=$G107))*(BULK_START&lt;=7)*(BULK_END&gt;=7)))&gt;0,IFERROR(SUMPRODUCT(((BULK_ENABLED="Y")*((BULK_TIER="ALL")+(BULK_TIER=$F107))*((BULK_SKU="ALL")+(BULK_SKU=$G107))*(BULK_START&lt;=7)*(BULK_END&gt;=7))*IFERROR(BULK_VALUE,0))/MAX(1,SUMPRODUCT(((BULK_ENABLED="Y")*((BULK_TIER="ALL")+(BULK_TIER=$F107))*((BULK_SKU="ALL")+(BULK_SKU=$G107))*(BULK_START&lt;=7)*(BULK_END&gt;=7)))),0),ROUND((INDEX(VELOCITY_TABLE,MATCH($F107,TIER_LIST,0),1))*(IF((7-$I107+1)&lt;=0,0,IF((7-$I107+1)=1,RAMP_W1,IF((7-$I107+1)=2,RAMP_W2,IF((7-$I107+1)=3,RAMP_W3,RAMP_W4PLUS)))))*(INDEX(ACTIVE_MULT_TABLE,1,1))*(1+SUMPRODUCT(SIGN(((ACT_DOOR_SCOPE="ALL")+(ACT_DOOR_SCOPE="TIER_"&amp;$F107)+(ACT_DOOR_SCOPE=$B107)))*SIGN(((ACT_SKU_SCOPE="ALL")+(ACT_SKU_SCOPE=$G107)))*(ACT_START&lt;=7)*(ACT_END&gt;=7)*IFERROR(ACT_UPLIFT-1,0)))*(1+SUMPRODUCT(SIGN(((ACT_DOOR_SCOPE="ALL")+(ACT_DOOR_SCOPE="TIER_"&amp;$F107)+(ACT_DOOR_SCOPE=$B107)))*SIGN(((ACT_SKU_SCOPE="ALL")+(ACT_SKU_SCOPE=$G107)))*(7&gt;ACT_END)*(ACT_END&gt;0)*IFERROR(ACT_POSTLIFT,0))),0)))</f>
        <v/>
      </c>
      <c r="Q107" s="10">
        <f>IF(OR($H107&lt;&gt;"Y",8&lt;$I107),0,IF(SUMPRODUCT(((BULK_ENABLED="Y")*((BULK_TIER="ALL")+(BULK_TIER=$F107))*((BULK_SKU="ALL")+(BULK_SKU=$G107))*(BULK_START&lt;=8)*(BULK_END&gt;=8)))&gt;0,IFERROR(SUMPRODUCT(((BULK_ENABLED="Y")*((BULK_TIER="ALL")+(BULK_TIER=$F107))*((BULK_SKU="ALL")+(BULK_SKU=$G107))*(BULK_START&lt;=8)*(BULK_END&gt;=8))*IFERROR(BULK_VALUE,0))/MAX(1,SUMPRODUCT(((BULK_ENABLED="Y")*((BULK_TIER="ALL")+(BULK_TIER=$F107))*((BULK_SKU="ALL")+(BULK_SKU=$G107))*(BULK_START&lt;=8)*(BULK_END&gt;=8)))),0),ROUND((INDEX(VELOCITY_TABLE,MATCH($F107,TIER_LIST,0),1))*(IF((8-$I107+1)&lt;=0,0,IF((8-$I107+1)=1,RAMP_W1,IF((8-$I107+1)=2,RAMP_W2,IF((8-$I107+1)=3,RAMP_W3,RAMP_W4PLUS)))))*(INDEX(ACTIVE_MULT_TABLE,1,1))*(1+SUMPRODUCT(SIGN(((ACT_DOOR_SCOPE="ALL")+(ACT_DOOR_SCOPE="TIER_"&amp;$F107)+(ACT_DOOR_SCOPE=$B107)))*SIGN(((ACT_SKU_SCOPE="ALL")+(ACT_SKU_SCOPE=$G107)))*(ACT_START&lt;=8)*(ACT_END&gt;=8)*IFERROR(ACT_UPLIFT-1,0)))*(1+SUMPRODUCT(SIGN(((ACT_DOOR_SCOPE="ALL")+(ACT_DOOR_SCOPE="TIER_"&amp;$F107)+(ACT_DOOR_SCOPE=$B107)))*SIGN(((ACT_SKU_SCOPE="ALL")+(ACT_SKU_SCOPE=$G107)))*(8&gt;ACT_END)*(ACT_END&gt;0)*IFERROR(ACT_POSTLIFT,0))),0)))</f>
        <v/>
      </c>
      <c r="R107" s="10">
        <f>IF(OR($H107&lt;&gt;"Y",9&lt;$I107),0,IF(SUMPRODUCT(((BULK_ENABLED="Y")*((BULK_TIER="ALL")+(BULK_TIER=$F107))*((BULK_SKU="ALL")+(BULK_SKU=$G107))*(BULK_START&lt;=9)*(BULK_END&gt;=9)))&gt;0,IFERROR(SUMPRODUCT(((BULK_ENABLED="Y")*((BULK_TIER="ALL")+(BULK_TIER=$F107))*((BULK_SKU="ALL")+(BULK_SKU=$G107))*(BULK_START&lt;=9)*(BULK_END&gt;=9))*IFERROR(BULK_VALUE,0))/MAX(1,SUMPRODUCT(((BULK_ENABLED="Y")*((BULK_TIER="ALL")+(BULK_TIER=$F107))*((BULK_SKU="ALL")+(BULK_SKU=$G107))*(BULK_START&lt;=9)*(BULK_END&gt;=9)))),0),ROUND((INDEX(VELOCITY_TABLE,MATCH($F107,TIER_LIST,0),1))*(IF((9-$I107+1)&lt;=0,0,IF((9-$I107+1)=1,RAMP_W1,IF((9-$I107+1)=2,RAMP_W2,IF((9-$I107+1)=3,RAMP_W3,RAMP_W4PLUS)))))*(INDEX(ACTIVE_MULT_TABLE,1,1))*(1+SUMPRODUCT(SIGN(((ACT_DOOR_SCOPE="ALL")+(ACT_DOOR_SCOPE="TIER_"&amp;$F107)+(ACT_DOOR_SCOPE=$B107)))*SIGN(((ACT_SKU_SCOPE="ALL")+(ACT_SKU_SCOPE=$G107)))*(ACT_START&lt;=9)*(ACT_END&gt;=9)*IFERROR(ACT_UPLIFT-1,0)))*(1+SUMPRODUCT(SIGN(((ACT_DOOR_SCOPE="ALL")+(ACT_DOOR_SCOPE="TIER_"&amp;$F107)+(ACT_DOOR_SCOPE=$B107)))*SIGN(((ACT_SKU_SCOPE="ALL")+(ACT_SKU_SCOPE=$G107)))*(9&gt;ACT_END)*(ACT_END&gt;0)*IFERROR(ACT_POSTLIFT,0))),0)))</f>
        <v/>
      </c>
      <c r="S107" s="10">
        <f>IF(OR($H107&lt;&gt;"Y",10&lt;$I107),0,IF(SUMPRODUCT(((BULK_ENABLED="Y")*((BULK_TIER="ALL")+(BULK_TIER=$F107))*((BULK_SKU="ALL")+(BULK_SKU=$G107))*(BULK_START&lt;=10)*(BULK_END&gt;=10)))&gt;0,IFERROR(SUMPRODUCT(((BULK_ENABLED="Y")*((BULK_TIER="ALL")+(BULK_TIER=$F107))*((BULK_SKU="ALL")+(BULK_SKU=$G107))*(BULK_START&lt;=10)*(BULK_END&gt;=10))*IFERROR(BULK_VALUE,0))/MAX(1,SUMPRODUCT(((BULK_ENABLED="Y")*((BULK_TIER="ALL")+(BULK_TIER=$F107))*((BULK_SKU="ALL")+(BULK_SKU=$G107))*(BULK_START&lt;=10)*(BULK_END&gt;=10)))),0),ROUND((INDEX(VELOCITY_TABLE,MATCH($F107,TIER_LIST,0),1))*(IF((10-$I107+1)&lt;=0,0,IF((10-$I107+1)=1,RAMP_W1,IF((10-$I107+1)=2,RAMP_W2,IF((10-$I107+1)=3,RAMP_W3,RAMP_W4PLUS)))))*(INDEX(ACTIVE_MULT_TABLE,1,1))*(1+SUMPRODUCT(SIGN(((ACT_DOOR_SCOPE="ALL")+(ACT_DOOR_SCOPE="TIER_"&amp;$F107)+(ACT_DOOR_SCOPE=$B107)))*SIGN(((ACT_SKU_SCOPE="ALL")+(ACT_SKU_SCOPE=$G107)))*(ACT_START&lt;=10)*(ACT_END&gt;=10)*IFERROR(ACT_UPLIFT-1,0)))*(1+SUMPRODUCT(SIGN(((ACT_DOOR_SCOPE="ALL")+(ACT_DOOR_SCOPE="TIER_"&amp;$F107)+(ACT_DOOR_SCOPE=$B107)))*SIGN(((ACT_SKU_SCOPE="ALL")+(ACT_SKU_SCOPE=$G107)))*(10&gt;ACT_END)*(ACT_END&gt;0)*IFERROR(ACT_POSTLIFT,0))),0)))</f>
        <v/>
      </c>
      <c r="T107" s="10">
        <f>IF(OR($H107&lt;&gt;"Y",11&lt;$I107),0,IF(SUMPRODUCT(((BULK_ENABLED="Y")*((BULK_TIER="ALL")+(BULK_TIER=$F107))*((BULK_SKU="ALL")+(BULK_SKU=$G107))*(BULK_START&lt;=11)*(BULK_END&gt;=11)))&gt;0,IFERROR(SUMPRODUCT(((BULK_ENABLED="Y")*((BULK_TIER="ALL")+(BULK_TIER=$F107))*((BULK_SKU="ALL")+(BULK_SKU=$G107))*(BULK_START&lt;=11)*(BULK_END&gt;=11))*IFERROR(BULK_VALUE,0))/MAX(1,SUMPRODUCT(((BULK_ENABLED="Y")*((BULK_TIER="ALL")+(BULK_TIER=$F107))*((BULK_SKU="ALL")+(BULK_SKU=$G107))*(BULK_START&lt;=11)*(BULK_END&gt;=11)))),0),ROUND((INDEX(VELOCITY_TABLE,MATCH($F107,TIER_LIST,0),1))*(IF((11-$I107+1)&lt;=0,0,IF((11-$I107+1)=1,RAMP_W1,IF((11-$I107+1)=2,RAMP_W2,IF((11-$I107+1)=3,RAMP_W3,RAMP_W4PLUS)))))*(INDEX(ACTIVE_MULT_TABLE,1,1))*(1+SUMPRODUCT(SIGN(((ACT_DOOR_SCOPE="ALL")+(ACT_DOOR_SCOPE="TIER_"&amp;$F107)+(ACT_DOOR_SCOPE=$B107)))*SIGN(((ACT_SKU_SCOPE="ALL")+(ACT_SKU_SCOPE=$G107)))*(ACT_START&lt;=11)*(ACT_END&gt;=11)*IFERROR(ACT_UPLIFT-1,0)))*(1+SUMPRODUCT(SIGN(((ACT_DOOR_SCOPE="ALL")+(ACT_DOOR_SCOPE="TIER_"&amp;$F107)+(ACT_DOOR_SCOPE=$B107)))*SIGN(((ACT_SKU_SCOPE="ALL")+(ACT_SKU_SCOPE=$G107)))*(11&gt;ACT_END)*(ACT_END&gt;0)*IFERROR(ACT_POSTLIFT,0))),0)))</f>
        <v/>
      </c>
      <c r="U107" s="10">
        <f>IF(OR($H107&lt;&gt;"Y",12&lt;$I107),0,IF(SUMPRODUCT(((BULK_ENABLED="Y")*((BULK_TIER="ALL")+(BULK_TIER=$F107))*((BULK_SKU="ALL")+(BULK_SKU=$G107))*(BULK_START&lt;=12)*(BULK_END&gt;=12)))&gt;0,IFERROR(SUMPRODUCT(((BULK_ENABLED="Y")*((BULK_TIER="ALL")+(BULK_TIER=$F107))*((BULK_SKU="ALL")+(BULK_SKU=$G107))*(BULK_START&lt;=12)*(BULK_END&gt;=12))*IFERROR(BULK_VALUE,0))/MAX(1,SUMPRODUCT(((BULK_ENABLED="Y")*((BULK_TIER="ALL")+(BULK_TIER=$F107))*((BULK_SKU="ALL")+(BULK_SKU=$G107))*(BULK_START&lt;=12)*(BULK_END&gt;=12)))),0),ROUND((INDEX(VELOCITY_TABLE,MATCH($F107,TIER_LIST,0),1))*(IF((12-$I107+1)&lt;=0,0,IF((12-$I107+1)=1,RAMP_W1,IF((12-$I107+1)=2,RAMP_W2,IF((12-$I107+1)=3,RAMP_W3,RAMP_W4PLUS)))))*(INDEX(ACTIVE_MULT_TABLE,1,1))*(1+SUMPRODUCT(SIGN(((ACT_DOOR_SCOPE="ALL")+(ACT_DOOR_SCOPE="TIER_"&amp;$F107)+(ACT_DOOR_SCOPE=$B107)))*SIGN(((ACT_SKU_SCOPE="ALL")+(ACT_SKU_SCOPE=$G107)))*(ACT_START&lt;=12)*(ACT_END&gt;=12)*IFERROR(ACT_UPLIFT-1,0)))*(1+SUMPRODUCT(SIGN(((ACT_DOOR_SCOPE="ALL")+(ACT_DOOR_SCOPE="TIER_"&amp;$F107)+(ACT_DOOR_SCOPE=$B107)))*SIGN(((ACT_SKU_SCOPE="ALL")+(ACT_SKU_SCOPE=$G107)))*(12&gt;ACT_END)*(ACT_END&gt;0)*IFERROR(ACT_POSTLIFT,0))),0)))</f>
        <v/>
      </c>
      <c r="V107" s="10">
        <f>IF(OR($H107&lt;&gt;"Y",13&lt;$I107),0,IF(SUMPRODUCT(((BULK_ENABLED="Y")*((BULK_TIER="ALL")+(BULK_TIER=$F107))*((BULK_SKU="ALL")+(BULK_SKU=$G107))*(BULK_START&lt;=13)*(BULK_END&gt;=13)))&gt;0,IFERROR(SUMPRODUCT(((BULK_ENABLED="Y")*((BULK_TIER="ALL")+(BULK_TIER=$F107))*((BULK_SKU="ALL")+(BULK_SKU=$G107))*(BULK_START&lt;=13)*(BULK_END&gt;=13))*IFERROR(BULK_VALUE,0))/MAX(1,SUMPRODUCT(((BULK_ENABLED="Y")*((BULK_TIER="ALL")+(BULK_TIER=$F107))*((BULK_SKU="ALL")+(BULK_SKU=$G107))*(BULK_START&lt;=13)*(BULK_END&gt;=13)))),0),ROUND((INDEX(VELOCITY_TABLE,MATCH($F107,TIER_LIST,0),1))*(IF((13-$I107+1)&lt;=0,0,IF((13-$I107+1)=1,RAMP_W1,IF((13-$I107+1)=2,RAMP_W2,IF((13-$I107+1)=3,RAMP_W3,RAMP_W4PLUS)))))*(INDEX(ACTIVE_MULT_TABLE,1,1))*(1+SUMPRODUCT(SIGN(((ACT_DOOR_SCOPE="ALL")+(ACT_DOOR_SCOPE="TIER_"&amp;$F107)+(ACT_DOOR_SCOPE=$B107)))*SIGN(((ACT_SKU_SCOPE="ALL")+(ACT_SKU_SCOPE=$G107)))*(ACT_START&lt;=13)*(ACT_END&gt;=13)*IFERROR(ACT_UPLIFT-1,0)))*(1+SUMPRODUCT(SIGN(((ACT_DOOR_SCOPE="ALL")+(ACT_DOOR_SCOPE="TIER_"&amp;$F107)+(ACT_DOOR_SCOPE=$B107)))*SIGN(((ACT_SKU_SCOPE="ALL")+(ACT_SKU_SCOPE=$G107)))*(13&gt;ACT_END)*(ACT_END&gt;0)*IFERROR(ACT_POSTLIFT,0))),0)))</f>
        <v/>
      </c>
    </row>
    <row r="108">
      <c r="A108" t="inlineStr">
        <is>
          <t>R0104</t>
        </is>
      </c>
      <c r="B108">
        <f>Doors!$A$39</f>
        <v/>
      </c>
      <c r="C108">
        <f>Doors!$C$39</f>
        <v/>
      </c>
      <c r="D108">
        <f>Doors!$B$39</f>
        <v/>
      </c>
      <c r="E108">
        <f>Doors!$E$39</f>
        <v/>
      </c>
      <c r="F108">
        <f>Doors!$F$39</f>
        <v/>
      </c>
      <c r="G108" t="inlineStr">
        <is>
          <t>Pineapple Passion Fruit</t>
        </is>
      </c>
      <c r="H108">
        <f>Doors!$H$39</f>
        <v/>
      </c>
      <c r="I108">
        <f>Doors!$J$39</f>
        <v/>
      </c>
      <c r="J108" s="10">
        <f>IF(OR($H108&lt;&gt;"Y",1&lt;$I108),0,IF(SUMPRODUCT(((BULK_ENABLED="Y")*((BULK_TIER="ALL")+(BULK_TIER=$F108))*((BULK_SKU="ALL")+(BULK_SKU=$G108))*(BULK_START&lt;=1)*(BULK_END&gt;=1)))&gt;0,IFERROR(SUMPRODUCT(((BULK_ENABLED="Y")*((BULK_TIER="ALL")+(BULK_TIER=$F108))*((BULK_SKU="ALL")+(BULK_SKU=$G108))*(BULK_START&lt;=1)*(BULK_END&gt;=1))*IFERROR(BULK_VALUE,0))/MAX(1,SUMPRODUCT(((BULK_ENABLED="Y")*((BULK_TIER="ALL")+(BULK_TIER=$F108))*((BULK_SKU="ALL")+(BULK_SKU=$G108))*(BULK_START&lt;=1)*(BULK_END&gt;=1)))),0),ROUND((INDEX(VELOCITY_TABLE,MATCH($F108,TIER_LIST,0),2))*(IF((1-$I108+1)&lt;=0,0,IF((1-$I108+1)=1,RAMP_W1,IF((1-$I108+1)=2,RAMP_W2,IF((1-$I108+1)=3,RAMP_W3,RAMP_W4PLUS)))))*(INDEX(ACTIVE_MULT_TABLE,2,1))*(1+SUMPRODUCT(SIGN(((ACT_DOOR_SCOPE="ALL")+(ACT_DOOR_SCOPE="TIER_"&amp;$F108)+(ACT_DOOR_SCOPE=$B108)))*SIGN(((ACT_SKU_SCOPE="ALL")+(ACT_SKU_SCOPE=$G108)))*(ACT_START&lt;=1)*(ACT_END&gt;=1)*IFERROR(ACT_UPLIFT-1,0)))*(1+SUMPRODUCT(SIGN(((ACT_DOOR_SCOPE="ALL")+(ACT_DOOR_SCOPE="TIER_"&amp;$F108)+(ACT_DOOR_SCOPE=$B108)))*SIGN(((ACT_SKU_SCOPE="ALL")+(ACT_SKU_SCOPE=$G108)))*(1&gt;ACT_END)*(ACT_END&gt;0)*IFERROR(ACT_POSTLIFT,0))),0)))</f>
        <v/>
      </c>
      <c r="K108" s="10">
        <f>IF(OR($H108&lt;&gt;"Y",2&lt;$I108),0,IF(SUMPRODUCT(((BULK_ENABLED="Y")*((BULK_TIER="ALL")+(BULK_TIER=$F108))*((BULK_SKU="ALL")+(BULK_SKU=$G108))*(BULK_START&lt;=2)*(BULK_END&gt;=2)))&gt;0,IFERROR(SUMPRODUCT(((BULK_ENABLED="Y")*((BULK_TIER="ALL")+(BULK_TIER=$F108))*((BULK_SKU="ALL")+(BULK_SKU=$G108))*(BULK_START&lt;=2)*(BULK_END&gt;=2))*IFERROR(BULK_VALUE,0))/MAX(1,SUMPRODUCT(((BULK_ENABLED="Y")*((BULK_TIER="ALL")+(BULK_TIER=$F108))*((BULK_SKU="ALL")+(BULK_SKU=$G108))*(BULK_START&lt;=2)*(BULK_END&gt;=2)))),0),ROUND((INDEX(VELOCITY_TABLE,MATCH($F108,TIER_LIST,0),2))*(IF((2-$I108+1)&lt;=0,0,IF((2-$I108+1)=1,RAMP_W1,IF((2-$I108+1)=2,RAMP_W2,IF((2-$I108+1)=3,RAMP_W3,RAMP_W4PLUS)))))*(INDEX(ACTIVE_MULT_TABLE,2,1))*(1+SUMPRODUCT(SIGN(((ACT_DOOR_SCOPE="ALL")+(ACT_DOOR_SCOPE="TIER_"&amp;$F108)+(ACT_DOOR_SCOPE=$B108)))*SIGN(((ACT_SKU_SCOPE="ALL")+(ACT_SKU_SCOPE=$G108)))*(ACT_START&lt;=2)*(ACT_END&gt;=2)*IFERROR(ACT_UPLIFT-1,0)))*(1+SUMPRODUCT(SIGN(((ACT_DOOR_SCOPE="ALL")+(ACT_DOOR_SCOPE="TIER_"&amp;$F108)+(ACT_DOOR_SCOPE=$B108)))*SIGN(((ACT_SKU_SCOPE="ALL")+(ACT_SKU_SCOPE=$G108)))*(2&gt;ACT_END)*(ACT_END&gt;0)*IFERROR(ACT_POSTLIFT,0))),0)))</f>
        <v/>
      </c>
      <c r="L108" s="10">
        <f>IF(OR($H108&lt;&gt;"Y",3&lt;$I108),0,IF(SUMPRODUCT(((BULK_ENABLED="Y")*((BULK_TIER="ALL")+(BULK_TIER=$F108))*((BULK_SKU="ALL")+(BULK_SKU=$G108))*(BULK_START&lt;=3)*(BULK_END&gt;=3)))&gt;0,IFERROR(SUMPRODUCT(((BULK_ENABLED="Y")*((BULK_TIER="ALL")+(BULK_TIER=$F108))*((BULK_SKU="ALL")+(BULK_SKU=$G108))*(BULK_START&lt;=3)*(BULK_END&gt;=3))*IFERROR(BULK_VALUE,0))/MAX(1,SUMPRODUCT(((BULK_ENABLED="Y")*((BULK_TIER="ALL")+(BULK_TIER=$F108))*((BULK_SKU="ALL")+(BULK_SKU=$G108))*(BULK_START&lt;=3)*(BULK_END&gt;=3)))),0),ROUND((INDEX(VELOCITY_TABLE,MATCH($F108,TIER_LIST,0),2))*(IF((3-$I108+1)&lt;=0,0,IF((3-$I108+1)=1,RAMP_W1,IF((3-$I108+1)=2,RAMP_W2,IF((3-$I108+1)=3,RAMP_W3,RAMP_W4PLUS)))))*(INDEX(ACTIVE_MULT_TABLE,2,1))*(1+SUMPRODUCT(SIGN(((ACT_DOOR_SCOPE="ALL")+(ACT_DOOR_SCOPE="TIER_"&amp;$F108)+(ACT_DOOR_SCOPE=$B108)))*SIGN(((ACT_SKU_SCOPE="ALL")+(ACT_SKU_SCOPE=$G108)))*(ACT_START&lt;=3)*(ACT_END&gt;=3)*IFERROR(ACT_UPLIFT-1,0)))*(1+SUMPRODUCT(SIGN(((ACT_DOOR_SCOPE="ALL")+(ACT_DOOR_SCOPE="TIER_"&amp;$F108)+(ACT_DOOR_SCOPE=$B108)))*SIGN(((ACT_SKU_SCOPE="ALL")+(ACT_SKU_SCOPE=$G108)))*(3&gt;ACT_END)*(ACT_END&gt;0)*IFERROR(ACT_POSTLIFT,0))),0)))</f>
        <v/>
      </c>
      <c r="M108" s="10">
        <f>IF(OR($H108&lt;&gt;"Y",4&lt;$I108),0,IF(SUMPRODUCT(((BULK_ENABLED="Y")*((BULK_TIER="ALL")+(BULK_TIER=$F108))*((BULK_SKU="ALL")+(BULK_SKU=$G108))*(BULK_START&lt;=4)*(BULK_END&gt;=4)))&gt;0,IFERROR(SUMPRODUCT(((BULK_ENABLED="Y")*((BULK_TIER="ALL")+(BULK_TIER=$F108))*((BULK_SKU="ALL")+(BULK_SKU=$G108))*(BULK_START&lt;=4)*(BULK_END&gt;=4))*IFERROR(BULK_VALUE,0))/MAX(1,SUMPRODUCT(((BULK_ENABLED="Y")*((BULK_TIER="ALL")+(BULK_TIER=$F108))*((BULK_SKU="ALL")+(BULK_SKU=$G108))*(BULK_START&lt;=4)*(BULK_END&gt;=4)))),0),ROUND((INDEX(VELOCITY_TABLE,MATCH($F108,TIER_LIST,0),2))*(IF((4-$I108+1)&lt;=0,0,IF((4-$I108+1)=1,RAMP_W1,IF((4-$I108+1)=2,RAMP_W2,IF((4-$I108+1)=3,RAMP_W3,RAMP_W4PLUS)))))*(INDEX(ACTIVE_MULT_TABLE,2,1))*(1+SUMPRODUCT(SIGN(((ACT_DOOR_SCOPE="ALL")+(ACT_DOOR_SCOPE="TIER_"&amp;$F108)+(ACT_DOOR_SCOPE=$B108)))*SIGN(((ACT_SKU_SCOPE="ALL")+(ACT_SKU_SCOPE=$G108)))*(ACT_START&lt;=4)*(ACT_END&gt;=4)*IFERROR(ACT_UPLIFT-1,0)))*(1+SUMPRODUCT(SIGN(((ACT_DOOR_SCOPE="ALL")+(ACT_DOOR_SCOPE="TIER_"&amp;$F108)+(ACT_DOOR_SCOPE=$B108)))*SIGN(((ACT_SKU_SCOPE="ALL")+(ACT_SKU_SCOPE=$G108)))*(4&gt;ACT_END)*(ACT_END&gt;0)*IFERROR(ACT_POSTLIFT,0))),0)))</f>
        <v/>
      </c>
      <c r="N108" s="10">
        <f>IF(OR($H108&lt;&gt;"Y",5&lt;$I108),0,IF(SUMPRODUCT(((BULK_ENABLED="Y")*((BULK_TIER="ALL")+(BULK_TIER=$F108))*((BULK_SKU="ALL")+(BULK_SKU=$G108))*(BULK_START&lt;=5)*(BULK_END&gt;=5)))&gt;0,IFERROR(SUMPRODUCT(((BULK_ENABLED="Y")*((BULK_TIER="ALL")+(BULK_TIER=$F108))*((BULK_SKU="ALL")+(BULK_SKU=$G108))*(BULK_START&lt;=5)*(BULK_END&gt;=5))*IFERROR(BULK_VALUE,0))/MAX(1,SUMPRODUCT(((BULK_ENABLED="Y")*((BULK_TIER="ALL")+(BULK_TIER=$F108))*((BULK_SKU="ALL")+(BULK_SKU=$G108))*(BULK_START&lt;=5)*(BULK_END&gt;=5)))),0),ROUND((INDEX(VELOCITY_TABLE,MATCH($F108,TIER_LIST,0),2))*(IF((5-$I108+1)&lt;=0,0,IF((5-$I108+1)=1,RAMP_W1,IF((5-$I108+1)=2,RAMP_W2,IF((5-$I108+1)=3,RAMP_W3,RAMP_W4PLUS)))))*(INDEX(ACTIVE_MULT_TABLE,2,1))*(1+SUMPRODUCT(SIGN(((ACT_DOOR_SCOPE="ALL")+(ACT_DOOR_SCOPE="TIER_"&amp;$F108)+(ACT_DOOR_SCOPE=$B108)))*SIGN(((ACT_SKU_SCOPE="ALL")+(ACT_SKU_SCOPE=$G108)))*(ACT_START&lt;=5)*(ACT_END&gt;=5)*IFERROR(ACT_UPLIFT-1,0)))*(1+SUMPRODUCT(SIGN(((ACT_DOOR_SCOPE="ALL")+(ACT_DOOR_SCOPE="TIER_"&amp;$F108)+(ACT_DOOR_SCOPE=$B108)))*SIGN(((ACT_SKU_SCOPE="ALL")+(ACT_SKU_SCOPE=$G108)))*(5&gt;ACT_END)*(ACT_END&gt;0)*IFERROR(ACT_POSTLIFT,0))),0)))</f>
        <v/>
      </c>
      <c r="O108" s="10">
        <f>IF(OR($H108&lt;&gt;"Y",6&lt;$I108),0,IF(SUMPRODUCT(((BULK_ENABLED="Y")*((BULK_TIER="ALL")+(BULK_TIER=$F108))*((BULK_SKU="ALL")+(BULK_SKU=$G108))*(BULK_START&lt;=6)*(BULK_END&gt;=6)))&gt;0,IFERROR(SUMPRODUCT(((BULK_ENABLED="Y")*((BULK_TIER="ALL")+(BULK_TIER=$F108))*((BULK_SKU="ALL")+(BULK_SKU=$G108))*(BULK_START&lt;=6)*(BULK_END&gt;=6))*IFERROR(BULK_VALUE,0))/MAX(1,SUMPRODUCT(((BULK_ENABLED="Y")*((BULK_TIER="ALL")+(BULK_TIER=$F108))*((BULK_SKU="ALL")+(BULK_SKU=$G108))*(BULK_START&lt;=6)*(BULK_END&gt;=6)))),0),ROUND((INDEX(VELOCITY_TABLE,MATCH($F108,TIER_LIST,0),2))*(IF((6-$I108+1)&lt;=0,0,IF((6-$I108+1)=1,RAMP_W1,IF((6-$I108+1)=2,RAMP_W2,IF((6-$I108+1)=3,RAMP_W3,RAMP_W4PLUS)))))*(INDEX(ACTIVE_MULT_TABLE,2,1))*(1+SUMPRODUCT(SIGN(((ACT_DOOR_SCOPE="ALL")+(ACT_DOOR_SCOPE="TIER_"&amp;$F108)+(ACT_DOOR_SCOPE=$B108)))*SIGN(((ACT_SKU_SCOPE="ALL")+(ACT_SKU_SCOPE=$G108)))*(ACT_START&lt;=6)*(ACT_END&gt;=6)*IFERROR(ACT_UPLIFT-1,0)))*(1+SUMPRODUCT(SIGN(((ACT_DOOR_SCOPE="ALL")+(ACT_DOOR_SCOPE="TIER_"&amp;$F108)+(ACT_DOOR_SCOPE=$B108)))*SIGN(((ACT_SKU_SCOPE="ALL")+(ACT_SKU_SCOPE=$G108)))*(6&gt;ACT_END)*(ACT_END&gt;0)*IFERROR(ACT_POSTLIFT,0))),0)))</f>
        <v/>
      </c>
      <c r="P108" s="10">
        <f>IF(OR($H108&lt;&gt;"Y",7&lt;$I108),0,IF(SUMPRODUCT(((BULK_ENABLED="Y")*((BULK_TIER="ALL")+(BULK_TIER=$F108))*((BULK_SKU="ALL")+(BULK_SKU=$G108))*(BULK_START&lt;=7)*(BULK_END&gt;=7)))&gt;0,IFERROR(SUMPRODUCT(((BULK_ENABLED="Y")*((BULK_TIER="ALL")+(BULK_TIER=$F108))*((BULK_SKU="ALL")+(BULK_SKU=$G108))*(BULK_START&lt;=7)*(BULK_END&gt;=7))*IFERROR(BULK_VALUE,0))/MAX(1,SUMPRODUCT(((BULK_ENABLED="Y")*((BULK_TIER="ALL")+(BULK_TIER=$F108))*((BULK_SKU="ALL")+(BULK_SKU=$G108))*(BULK_START&lt;=7)*(BULK_END&gt;=7)))),0),ROUND((INDEX(VELOCITY_TABLE,MATCH($F108,TIER_LIST,0),2))*(IF((7-$I108+1)&lt;=0,0,IF((7-$I108+1)=1,RAMP_W1,IF((7-$I108+1)=2,RAMP_W2,IF((7-$I108+1)=3,RAMP_W3,RAMP_W4PLUS)))))*(INDEX(ACTIVE_MULT_TABLE,2,1))*(1+SUMPRODUCT(SIGN(((ACT_DOOR_SCOPE="ALL")+(ACT_DOOR_SCOPE="TIER_"&amp;$F108)+(ACT_DOOR_SCOPE=$B108)))*SIGN(((ACT_SKU_SCOPE="ALL")+(ACT_SKU_SCOPE=$G108)))*(ACT_START&lt;=7)*(ACT_END&gt;=7)*IFERROR(ACT_UPLIFT-1,0)))*(1+SUMPRODUCT(SIGN(((ACT_DOOR_SCOPE="ALL")+(ACT_DOOR_SCOPE="TIER_"&amp;$F108)+(ACT_DOOR_SCOPE=$B108)))*SIGN(((ACT_SKU_SCOPE="ALL")+(ACT_SKU_SCOPE=$G108)))*(7&gt;ACT_END)*(ACT_END&gt;0)*IFERROR(ACT_POSTLIFT,0))),0)))</f>
        <v/>
      </c>
      <c r="Q108" s="10">
        <f>IF(OR($H108&lt;&gt;"Y",8&lt;$I108),0,IF(SUMPRODUCT(((BULK_ENABLED="Y")*((BULK_TIER="ALL")+(BULK_TIER=$F108))*((BULK_SKU="ALL")+(BULK_SKU=$G108))*(BULK_START&lt;=8)*(BULK_END&gt;=8)))&gt;0,IFERROR(SUMPRODUCT(((BULK_ENABLED="Y")*((BULK_TIER="ALL")+(BULK_TIER=$F108))*((BULK_SKU="ALL")+(BULK_SKU=$G108))*(BULK_START&lt;=8)*(BULK_END&gt;=8))*IFERROR(BULK_VALUE,0))/MAX(1,SUMPRODUCT(((BULK_ENABLED="Y")*((BULK_TIER="ALL")+(BULK_TIER=$F108))*((BULK_SKU="ALL")+(BULK_SKU=$G108))*(BULK_START&lt;=8)*(BULK_END&gt;=8)))),0),ROUND((INDEX(VELOCITY_TABLE,MATCH($F108,TIER_LIST,0),2))*(IF((8-$I108+1)&lt;=0,0,IF((8-$I108+1)=1,RAMP_W1,IF((8-$I108+1)=2,RAMP_W2,IF((8-$I108+1)=3,RAMP_W3,RAMP_W4PLUS)))))*(INDEX(ACTIVE_MULT_TABLE,2,1))*(1+SUMPRODUCT(SIGN(((ACT_DOOR_SCOPE="ALL")+(ACT_DOOR_SCOPE="TIER_"&amp;$F108)+(ACT_DOOR_SCOPE=$B108)))*SIGN(((ACT_SKU_SCOPE="ALL")+(ACT_SKU_SCOPE=$G108)))*(ACT_START&lt;=8)*(ACT_END&gt;=8)*IFERROR(ACT_UPLIFT-1,0)))*(1+SUMPRODUCT(SIGN(((ACT_DOOR_SCOPE="ALL")+(ACT_DOOR_SCOPE="TIER_"&amp;$F108)+(ACT_DOOR_SCOPE=$B108)))*SIGN(((ACT_SKU_SCOPE="ALL")+(ACT_SKU_SCOPE=$G108)))*(8&gt;ACT_END)*(ACT_END&gt;0)*IFERROR(ACT_POSTLIFT,0))),0)))</f>
        <v/>
      </c>
      <c r="R108" s="10">
        <f>IF(OR($H108&lt;&gt;"Y",9&lt;$I108),0,IF(SUMPRODUCT(((BULK_ENABLED="Y")*((BULK_TIER="ALL")+(BULK_TIER=$F108))*((BULK_SKU="ALL")+(BULK_SKU=$G108))*(BULK_START&lt;=9)*(BULK_END&gt;=9)))&gt;0,IFERROR(SUMPRODUCT(((BULK_ENABLED="Y")*((BULK_TIER="ALL")+(BULK_TIER=$F108))*((BULK_SKU="ALL")+(BULK_SKU=$G108))*(BULK_START&lt;=9)*(BULK_END&gt;=9))*IFERROR(BULK_VALUE,0))/MAX(1,SUMPRODUCT(((BULK_ENABLED="Y")*((BULK_TIER="ALL")+(BULK_TIER=$F108))*((BULK_SKU="ALL")+(BULK_SKU=$G108))*(BULK_START&lt;=9)*(BULK_END&gt;=9)))),0),ROUND((INDEX(VELOCITY_TABLE,MATCH($F108,TIER_LIST,0),2))*(IF((9-$I108+1)&lt;=0,0,IF((9-$I108+1)=1,RAMP_W1,IF((9-$I108+1)=2,RAMP_W2,IF((9-$I108+1)=3,RAMP_W3,RAMP_W4PLUS)))))*(INDEX(ACTIVE_MULT_TABLE,2,1))*(1+SUMPRODUCT(SIGN(((ACT_DOOR_SCOPE="ALL")+(ACT_DOOR_SCOPE="TIER_"&amp;$F108)+(ACT_DOOR_SCOPE=$B108)))*SIGN(((ACT_SKU_SCOPE="ALL")+(ACT_SKU_SCOPE=$G108)))*(ACT_START&lt;=9)*(ACT_END&gt;=9)*IFERROR(ACT_UPLIFT-1,0)))*(1+SUMPRODUCT(SIGN(((ACT_DOOR_SCOPE="ALL")+(ACT_DOOR_SCOPE="TIER_"&amp;$F108)+(ACT_DOOR_SCOPE=$B108)))*SIGN(((ACT_SKU_SCOPE="ALL")+(ACT_SKU_SCOPE=$G108)))*(9&gt;ACT_END)*(ACT_END&gt;0)*IFERROR(ACT_POSTLIFT,0))),0)))</f>
        <v/>
      </c>
      <c r="S108" s="10">
        <f>IF(OR($H108&lt;&gt;"Y",10&lt;$I108),0,IF(SUMPRODUCT(((BULK_ENABLED="Y")*((BULK_TIER="ALL")+(BULK_TIER=$F108))*((BULK_SKU="ALL")+(BULK_SKU=$G108))*(BULK_START&lt;=10)*(BULK_END&gt;=10)))&gt;0,IFERROR(SUMPRODUCT(((BULK_ENABLED="Y")*((BULK_TIER="ALL")+(BULK_TIER=$F108))*((BULK_SKU="ALL")+(BULK_SKU=$G108))*(BULK_START&lt;=10)*(BULK_END&gt;=10))*IFERROR(BULK_VALUE,0))/MAX(1,SUMPRODUCT(((BULK_ENABLED="Y")*((BULK_TIER="ALL")+(BULK_TIER=$F108))*((BULK_SKU="ALL")+(BULK_SKU=$G108))*(BULK_START&lt;=10)*(BULK_END&gt;=10)))),0),ROUND((INDEX(VELOCITY_TABLE,MATCH($F108,TIER_LIST,0),2))*(IF((10-$I108+1)&lt;=0,0,IF((10-$I108+1)=1,RAMP_W1,IF((10-$I108+1)=2,RAMP_W2,IF((10-$I108+1)=3,RAMP_W3,RAMP_W4PLUS)))))*(INDEX(ACTIVE_MULT_TABLE,2,1))*(1+SUMPRODUCT(SIGN(((ACT_DOOR_SCOPE="ALL")+(ACT_DOOR_SCOPE="TIER_"&amp;$F108)+(ACT_DOOR_SCOPE=$B108)))*SIGN(((ACT_SKU_SCOPE="ALL")+(ACT_SKU_SCOPE=$G108)))*(ACT_START&lt;=10)*(ACT_END&gt;=10)*IFERROR(ACT_UPLIFT-1,0)))*(1+SUMPRODUCT(SIGN(((ACT_DOOR_SCOPE="ALL")+(ACT_DOOR_SCOPE="TIER_"&amp;$F108)+(ACT_DOOR_SCOPE=$B108)))*SIGN(((ACT_SKU_SCOPE="ALL")+(ACT_SKU_SCOPE=$G108)))*(10&gt;ACT_END)*(ACT_END&gt;0)*IFERROR(ACT_POSTLIFT,0))),0)))</f>
        <v/>
      </c>
      <c r="T108" s="10">
        <f>IF(OR($H108&lt;&gt;"Y",11&lt;$I108),0,IF(SUMPRODUCT(((BULK_ENABLED="Y")*((BULK_TIER="ALL")+(BULK_TIER=$F108))*((BULK_SKU="ALL")+(BULK_SKU=$G108))*(BULK_START&lt;=11)*(BULK_END&gt;=11)))&gt;0,IFERROR(SUMPRODUCT(((BULK_ENABLED="Y")*((BULK_TIER="ALL")+(BULK_TIER=$F108))*((BULK_SKU="ALL")+(BULK_SKU=$G108))*(BULK_START&lt;=11)*(BULK_END&gt;=11))*IFERROR(BULK_VALUE,0))/MAX(1,SUMPRODUCT(((BULK_ENABLED="Y")*((BULK_TIER="ALL")+(BULK_TIER=$F108))*((BULK_SKU="ALL")+(BULK_SKU=$G108))*(BULK_START&lt;=11)*(BULK_END&gt;=11)))),0),ROUND((INDEX(VELOCITY_TABLE,MATCH($F108,TIER_LIST,0),2))*(IF((11-$I108+1)&lt;=0,0,IF((11-$I108+1)=1,RAMP_W1,IF((11-$I108+1)=2,RAMP_W2,IF((11-$I108+1)=3,RAMP_W3,RAMP_W4PLUS)))))*(INDEX(ACTIVE_MULT_TABLE,2,1))*(1+SUMPRODUCT(SIGN(((ACT_DOOR_SCOPE="ALL")+(ACT_DOOR_SCOPE="TIER_"&amp;$F108)+(ACT_DOOR_SCOPE=$B108)))*SIGN(((ACT_SKU_SCOPE="ALL")+(ACT_SKU_SCOPE=$G108)))*(ACT_START&lt;=11)*(ACT_END&gt;=11)*IFERROR(ACT_UPLIFT-1,0)))*(1+SUMPRODUCT(SIGN(((ACT_DOOR_SCOPE="ALL")+(ACT_DOOR_SCOPE="TIER_"&amp;$F108)+(ACT_DOOR_SCOPE=$B108)))*SIGN(((ACT_SKU_SCOPE="ALL")+(ACT_SKU_SCOPE=$G108)))*(11&gt;ACT_END)*(ACT_END&gt;0)*IFERROR(ACT_POSTLIFT,0))),0)))</f>
        <v/>
      </c>
      <c r="U108" s="10">
        <f>IF(OR($H108&lt;&gt;"Y",12&lt;$I108),0,IF(SUMPRODUCT(((BULK_ENABLED="Y")*((BULK_TIER="ALL")+(BULK_TIER=$F108))*((BULK_SKU="ALL")+(BULK_SKU=$G108))*(BULK_START&lt;=12)*(BULK_END&gt;=12)))&gt;0,IFERROR(SUMPRODUCT(((BULK_ENABLED="Y")*((BULK_TIER="ALL")+(BULK_TIER=$F108))*((BULK_SKU="ALL")+(BULK_SKU=$G108))*(BULK_START&lt;=12)*(BULK_END&gt;=12))*IFERROR(BULK_VALUE,0))/MAX(1,SUMPRODUCT(((BULK_ENABLED="Y")*((BULK_TIER="ALL")+(BULK_TIER=$F108))*((BULK_SKU="ALL")+(BULK_SKU=$G108))*(BULK_START&lt;=12)*(BULK_END&gt;=12)))),0),ROUND((INDEX(VELOCITY_TABLE,MATCH($F108,TIER_LIST,0),2))*(IF((12-$I108+1)&lt;=0,0,IF((12-$I108+1)=1,RAMP_W1,IF((12-$I108+1)=2,RAMP_W2,IF((12-$I108+1)=3,RAMP_W3,RAMP_W4PLUS)))))*(INDEX(ACTIVE_MULT_TABLE,2,1))*(1+SUMPRODUCT(SIGN(((ACT_DOOR_SCOPE="ALL")+(ACT_DOOR_SCOPE="TIER_"&amp;$F108)+(ACT_DOOR_SCOPE=$B108)))*SIGN(((ACT_SKU_SCOPE="ALL")+(ACT_SKU_SCOPE=$G108)))*(ACT_START&lt;=12)*(ACT_END&gt;=12)*IFERROR(ACT_UPLIFT-1,0)))*(1+SUMPRODUCT(SIGN(((ACT_DOOR_SCOPE="ALL")+(ACT_DOOR_SCOPE="TIER_"&amp;$F108)+(ACT_DOOR_SCOPE=$B108)))*SIGN(((ACT_SKU_SCOPE="ALL")+(ACT_SKU_SCOPE=$G108)))*(12&gt;ACT_END)*(ACT_END&gt;0)*IFERROR(ACT_POSTLIFT,0))),0)))</f>
        <v/>
      </c>
      <c r="V108" s="10">
        <f>IF(OR($H108&lt;&gt;"Y",13&lt;$I108),0,IF(SUMPRODUCT(((BULK_ENABLED="Y")*((BULK_TIER="ALL")+(BULK_TIER=$F108))*((BULK_SKU="ALL")+(BULK_SKU=$G108))*(BULK_START&lt;=13)*(BULK_END&gt;=13)))&gt;0,IFERROR(SUMPRODUCT(((BULK_ENABLED="Y")*((BULK_TIER="ALL")+(BULK_TIER=$F108))*((BULK_SKU="ALL")+(BULK_SKU=$G108))*(BULK_START&lt;=13)*(BULK_END&gt;=13))*IFERROR(BULK_VALUE,0))/MAX(1,SUMPRODUCT(((BULK_ENABLED="Y")*((BULK_TIER="ALL")+(BULK_TIER=$F108))*((BULK_SKU="ALL")+(BULK_SKU=$G108))*(BULK_START&lt;=13)*(BULK_END&gt;=13)))),0),ROUND((INDEX(VELOCITY_TABLE,MATCH($F108,TIER_LIST,0),2))*(IF((13-$I108+1)&lt;=0,0,IF((13-$I108+1)=1,RAMP_W1,IF((13-$I108+1)=2,RAMP_W2,IF((13-$I108+1)=3,RAMP_W3,RAMP_W4PLUS)))))*(INDEX(ACTIVE_MULT_TABLE,2,1))*(1+SUMPRODUCT(SIGN(((ACT_DOOR_SCOPE="ALL")+(ACT_DOOR_SCOPE="TIER_"&amp;$F108)+(ACT_DOOR_SCOPE=$B108)))*SIGN(((ACT_SKU_SCOPE="ALL")+(ACT_SKU_SCOPE=$G108)))*(ACT_START&lt;=13)*(ACT_END&gt;=13)*IFERROR(ACT_UPLIFT-1,0)))*(1+SUMPRODUCT(SIGN(((ACT_DOOR_SCOPE="ALL")+(ACT_DOOR_SCOPE="TIER_"&amp;$F108)+(ACT_DOOR_SCOPE=$B108)))*SIGN(((ACT_SKU_SCOPE="ALL")+(ACT_SKU_SCOPE=$G108)))*(13&gt;ACT_END)*(ACT_END&gt;0)*IFERROR(ACT_POSTLIFT,0))),0)))</f>
        <v/>
      </c>
    </row>
    <row r="109">
      <c r="A109" t="inlineStr">
        <is>
          <t>R0105</t>
        </is>
      </c>
      <c r="B109">
        <f>Doors!$A$39</f>
        <v/>
      </c>
      <c r="C109">
        <f>Doors!$C$39</f>
        <v/>
      </c>
      <c r="D109">
        <f>Doors!$B$39</f>
        <v/>
      </c>
      <c r="E109">
        <f>Doors!$E$39</f>
        <v/>
      </c>
      <c r="F109">
        <f>Doors!$F$39</f>
        <v/>
      </c>
      <c r="G109" t="inlineStr">
        <is>
          <t>Raspberry</t>
        </is>
      </c>
      <c r="H109">
        <f>Doors!$I$39</f>
        <v/>
      </c>
      <c r="I109">
        <f>Doors!$J$39</f>
        <v/>
      </c>
      <c r="J109" s="10">
        <f>IF(OR($H109&lt;&gt;"Y",1&lt;$I109),0,IF(SUMPRODUCT(((BULK_ENABLED="Y")*((BULK_TIER="ALL")+(BULK_TIER=$F109))*((BULK_SKU="ALL")+(BULK_SKU=$G109))*(BULK_START&lt;=1)*(BULK_END&gt;=1)))&gt;0,IFERROR(SUMPRODUCT(((BULK_ENABLED="Y")*((BULK_TIER="ALL")+(BULK_TIER=$F109))*((BULK_SKU="ALL")+(BULK_SKU=$G109))*(BULK_START&lt;=1)*(BULK_END&gt;=1))*IFERROR(BULK_VALUE,0))/MAX(1,SUMPRODUCT(((BULK_ENABLED="Y")*((BULK_TIER="ALL")+(BULK_TIER=$F109))*((BULK_SKU="ALL")+(BULK_SKU=$G109))*(BULK_START&lt;=1)*(BULK_END&gt;=1)))),0),ROUND((INDEX(VELOCITY_TABLE,MATCH($F109,TIER_LIST,0),3))*(IF((1-$I109+1)&lt;=0,0,IF((1-$I109+1)=1,RAMP_W1,IF((1-$I109+1)=2,RAMP_W2,IF((1-$I109+1)=3,RAMP_W3,RAMP_W4PLUS)))))*(INDEX(ACTIVE_MULT_TABLE,3,1))*(1+SUMPRODUCT(SIGN(((ACT_DOOR_SCOPE="ALL")+(ACT_DOOR_SCOPE="TIER_"&amp;$F109)+(ACT_DOOR_SCOPE=$B109)))*SIGN(((ACT_SKU_SCOPE="ALL")+(ACT_SKU_SCOPE=$G109)))*(ACT_START&lt;=1)*(ACT_END&gt;=1)*IFERROR(ACT_UPLIFT-1,0)))*(1+SUMPRODUCT(SIGN(((ACT_DOOR_SCOPE="ALL")+(ACT_DOOR_SCOPE="TIER_"&amp;$F109)+(ACT_DOOR_SCOPE=$B109)))*SIGN(((ACT_SKU_SCOPE="ALL")+(ACT_SKU_SCOPE=$G109)))*(1&gt;ACT_END)*(ACT_END&gt;0)*IFERROR(ACT_POSTLIFT,0))),0)))</f>
        <v/>
      </c>
      <c r="K109" s="10">
        <f>IF(OR($H109&lt;&gt;"Y",2&lt;$I109),0,IF(SUMPRODUCT(((BULK_ENABLED="Y")*((BULK_TIER="ALL")+(BULK_TIER=$F109))*((BULK_SKU="ALL")+(BULK_SKU=$G109))*(BULK_START&lt;=2)*(BULK_END&gt;=2)))&gt;0,IFERROR(SUMPRODUCT(((BULK_ENABLED="Y")*((BULK_TIER="ALL")+(BULK_TIER=$F109))*((BULK_SKU="ALL")+(BULK_SKU=$G109))*(BULK_START&lt;=2)*(BULK_END&gt;=2))*IFERROR(BULK_VALUE,0))/MAX(1,SUMPRODUCT(((BULK_ENABLED="Y")*((BULK_TIER="ALL")+(BULK_TIER=$F109))*((BULK_SKU="ALL")+(BULK_SKU=$G109))*(BULK_START&lt;=2)*(BULK_END&gt;=2)))),0),ROUND((INDEX(VELOCITY_TABLE,MATCH($F109,TIER_LIST,0),3))*(IF((2-$I109+1)&lt;=0,0,IF((2-$I109+1)=1,RAMP_W1,IF((2-$I109+1)=2,RAMP_W2,IF((2-$I109+1)=3,RAMP_W3,RAMP_W4PLUS)))))*(INDEX(ACTIVE_MULT_TABLE,3,1))*(1+SUMPRODUCT(SIGN(((ACT_DOOR_SCOPE="ALL")+(ACT_DOOR_SCOPE="TIER_"&amp;$F109)+(ACT_DOOR_SCOPE=$B109)))*SIGN(((ACT_SKU_SCOPE="ALL")+(ACT_SKU_SCOPE=$G109)))*(ACT_START&lt;=2)*(ACT_END&gt;=2)*IFERROR(ACT_UPLIFT-1,0)))*(1+SUMPRODUCT(SIGN(((ACT_DOOR_SCOPE="ALL")+(ACT_DOOR_SCOPE="TIER_"&amp;$F109)+(ACT_DOOR_SCOPE=$B109)))*SIGN(((ACT_SKU_SCOPE="ALL")+(ACT_SKU_SCOPE=$G109)))*(2&gt;ACT_END)*(ACT_END&gt;0)*IFERROR(ACT_POSTLIFT,0))),0)))</f>
        <v/>
      </c>
      <c r="L109" s="10">
        <f>IF(OR($H109&lt;&gt;"Y",3&lt;$I109),0,IF(SUMPRODUCT(((BULK_ENABLED="Y")*((BULK_TIER="ALL")+(BULK_TIER=$F109))*((BULK_SKU="ALL")+(BULK_SKU=$G109))*(BULK_START&lt;=3)*(BULK_END&gt;=3)))&gt;0,IFERROR(SUMPRODUCT(((BULK_ENABLED="Y")*((BULK_TIER="ALL")+(BULK_TIER=$F109))*((BULK_SKU="ALL")+(BULK_SKU=$G109))*(BULK_START&lt;=3)*(BULK_END&gt;=3))*IFERROR(BULK_VALUE,0))/MAX(1,SUMPRODUCT(((BULK_ENABLED="Y")*((BULK_TIER="ALL")+(BULK_TIER=$F109))*((BULK_SKU="ALL")+(BULK_SKU=$G109))*(BULK_START&lt;=3)*(BULK_END&gt;=3)))),0),ROUND((INDEX(VELOCITY_TABLE,MATCH($F109,TIER_LIST,0),3))*(IF((3-$I109+1)&lt;=0,0,IF((3-$I109+1)=1,RAMP_W1,IF((3-$I109+1)=2,RAMP_W2,IF((3-$I109+1)=3,RAMP_W3,RAMP_W4PLUS)))))*(INDEX(ACTIVE_MULT_TABLE,3,1))*(1+SUMPRODUCT(SIGN(((ACT_DOOR_SCOPE="ALL")+(ACT_DOOR_SCOPE="TIER_"&amp;$F109)+(ACT_DOOR_SCOPE=$B109)))*SIGN(((ACT_SKU_SCOPE="ALL")+(ACT_SKU_SCOPE=$G109)))*(ACT_START&lt;=3)*(ACT_END&gt;=3)*IFERROR(ACT_UPLIFT-1,0)))*(1+SUMPRODUCT(SIGN(((ACT_DOOR_SCOPE="ALL")+(ACT_DOOR_SCOPE="TIER_"&amp;$F109)+(ACT_DOOR_SCOPE=$B109)))*SIGN(((ACT_SKU_SCOPE="ALL")+(ACT_SKU_SCOPE=$G109)))*(3&gt;ACT_END)*(ACT_END&gt;0)*IFERROR(ACT_POSTLIFT,0))),0)))</f>
        <v/>
      </c>
      <c r="M109" s="10">
        <f>IF(OR($H109&lt;&gt;"Y",4&lt;$I109),0,IF(SUMPRODUCT(((BULK_ENABLED="Y")*((BULK_TIER="ALL")+(BULK_TIER=$F109))*((BULK_SKU="ALL")+(BULK_SKU=$G109))*(BULK_START&lt;=4)*(BULK_END&gt;=4)))&gt;0,IFERROR(SUMPRODUCT(((BULK_ENABLED="Y")*((BULK_TIER="ALL")+(BULK_TIER=$F109))*((BULK_SKU="ALL")+(BULK_SKU=$G109))*(BULK_START&lt;=4)*(BULK_END&gt;=4))*IFERROR(BULK_VALUE,0))/MAX(1,SUMPRODUCT(((BULK_ENABLED="Y")*((BULK_TIER="ALL")+(BULK_TIER=$F109))*((BULK_SKU="ALL")+(BULK_SKU=$G109))*(BULK_START&lt;=4)*(BULK_END&gt;=4)))),0),ROUND((INDEX(VELOCITY_TABLE,MATCH($F109,TIER_LIST,0),3))*(IF((4-$I109+1)&lt;=0,0,IF((4-$I109+1)=1,RAMP_W1,IF((4-$I109+1)=2,RAMP_W2,IF((4-$I109+1)=3,RAMP_W3,RAMP_W4PLUS)))))*(INDEX(ACTIVE_MULT_TABLE,3,1))*(1+SUMPRODUCT(SIGN(((ACT_DOOR_SCOPE="ALL")+(ACT_DOOR_SCOPE="TIER_"&amp;$F109)+(ACT_DOOR_SCOPE=$B109)))*SIGN(((ACT_SKU_SCOPE="ALL")+(ACT_SKU_SCOPE=$G109)))*(ACT_START&lt;=4)*(ACT_END&gt;=4)*IFERROR(ACT_UPLIFT-1,0)))*(1+SUMPRODUCT(SIGN(((ACT_DOOR_SCOPE="ALL")+(ACT_DOOR_SCOPE="TIER_"&amp;$F109)+(ACT_DOOR_SCOPE=$B109)))*SIGN(((ACT_SKU_SCOPE="ALL")+(ACT_SKU_SCOPE=$G109)))*(4&gt;ACT_END)*(ACT_END&gt;0)*IFERROR(ACT_POSTLIFT,0))),0)))</f>
        <v/>
      </c>
      <c r="N109" s="10">
        <f>IF(OR($H109&lt;&gt;"Y",5&lt;$I109),0,IF(SUMPRODUCT(((BULK_ENABLED="Y")*((BULK_TIER="ALL")+(BULK_TIER=$F109))*((BULK_SKU="ALL")+(BULK_SKU=$G109))*(BULK_START&lt;=5)*(BULK_END&gt;=5)))&gt;0,IFERROR(SUMPRODUCT(((BULK_ENABLED="Y")*((BULK_TIER="ALL")+(BULK_TIER=$F109))*((BULK_SKU="ALL")+(BULK_SKU=$G109))*(BULK_START&lt;=5)*(BULK_END&gt;=5))*IFERROR(BULK_VALUE,0))/MAX(1,SUMPRODUCT(((BULK_ENABLED="Y")*((BULK_TIER="ALL")+(BULK_TIER=$F109))*((BULK_SKU="ALL")+(BULK_SKU=$G109))*(BULK_START&lt;=5)*(BULK_END&gt;=5)))),0),ROUND((INDEX(VELOCITY_TABLE,MATCH($F109,TIER_LIST,0),3))*(IF((5-$I109+1)&lt;=0,0,IF((5-$I109+1)=1,RAMP_W1,IF((5-$I109+1)=2,RAMP_W2,IF((5-$I109+1)=3,RAMP_W3,RAMP_W4PLUS)))))*(INDEX(ACTIVE_MULT_TABLE,3,1))*(1+SUMPRODUCT(SIGN(((ACT_DOOR_SCOPE="ALL")+(ACT_DOOR_SCOPE="TIER_"&amp;$F109)+(ACT_DOOR_SCOPE=$B109)))*SIGN(((ACT_SKU_SCOPE="ALL")+(ACT_SKU_SCOPE=$G109)))*(ACT_START&lt;=5)*(ACT_END&gt;=5)*IFERROR(ACT_UPLIFT-1,0)))*(1+SUMPRODUCT(SIGN(((ACT_DOOR_SCOPE="ALL")+(ACT_DOOR_SCOPE="TIER_"&amp;$F109)+(ACT_DOOR_SCOPE=$B109)))*SIGN(((ACT_SKU_SCOPE="ALL")+(ACT_SKU_SCOPE=$G109)))*(5&gt;ACT_END)*(ACT_END&gt;0)*IFERROR(ACT_POSTLIFT,0))),0)))</f>
        <v/>
      </c>
      <c r="O109" s="10">
        <f>IF(OR($H109&lt;&gt;"Y",6&lt;$I109),0,IF(SUMPRODUCT(((BULK_ENABLED="Y")*((BULK_TIER="ALL")+(BULK_TIER=$F109))*((BULK_SKU="ALL")+(BULK_SKU=$G109))*(BULK_START&lt;=6)*(BULK_END&gt;=6)))&gt;0,IFERROR(SUMPRODUCT(((BULK_ENABLED="Y")*((BULK_TIER="ALL")+(BULK_TIER=$F109))*((BULK_SKU="ALL")+(BULK_SKU=$G109))*(BULK_START&lt;=6)*(BULK_END&gt;=6))*IFERROR(BULK_VALUE,0))/MAX(1,SUMPRODUCT(((BULK_ENABLED="Y")*((BULK_TIER="ALL")+(BULK_TIER=$F109))*((BULK_SKU="ALL")+(BULK_SKU=$G109))*(BULK_START&lt;=6)*(BULK_END&gt;=6)))),0),ROUND((INDEX(VELOCITY_TABLE,MATCH($F109,TIER_LIST,0),3))*(IF((6-$I109+1)&lt;=0,0,IF((6-$I109+1)=1,RAMP_W1,IF((6-$I109+1)=2,RAMP_W2,IF((6-$I109+1)=3,RAMP_W3,RAMP_W4PLUS)))))*(INDEX(ACTIVE_MULT_TABLE,3,1))*(1+SUMPRODUCT(SIGN(((ACT_DOOR_SCOPE="ALL")+(ACT_DOOR_SCOPE="TIER_"&amp;$F109)+(ACT_DOOR_SCOPE=$B109)))*SIGN(((ACT_SKU_SCOPE="ALL")+(ACT_SKU_SCOPE=$G109)))*(ACT_START&lt;=6)*(ACT_END&gt;=6)*IFERROR(ACT_UPLIFT-1,0)))*(1+SUMPRODUCT(SIGN(((ACT_DOOR_SCOPE="ALL")+(ACT_DOOR_SCOPE="TIER_"&amp;$F109)+(ACT_DOOR_SCOPE=$B109)))*SIGN(((ACT_SKU_SCOPE="ALL")+(ACT_SKU_SCOPE=$G109)))*(6&gt;ACT_END)*(ACT_END&gt;0)*IFERROR(ACT_POSTLIFT,0))),0)))</f>
        <v/>
      </c>
      <c r="P109" s="10">
        <f>IF(OR($H109&lt;&gt;"Y",7&lt;$I109),0,IF(SUMPRODUCT(((BULK_ENABLED="Y")*((BULK_TIER="ALL")+(BULK_TIER=$F109))*((BULK_SKU="ALL")+(BULK_SKU=$G109))*(BULK_START&lt;=7)*(BULK_END&gt;=7)))&gt;0,IFERROR(SUMPRODUCT(((BULK_ENABLED="Y")*((BULK_TIER="ALL")+(BULK_TIER=$F109))*((BULK_SKU="ALL")+(BULK_SKU=$G109))*(BULK_START&lt;=7)*(BULK_END&gt;=7))*IFERROR(BULK_VALUE,0))/MAX(1,SUMPRODUCT(((BULK_ENABLED="Y")*((BULK_TIER="ALL")+(BULK_TIER=$F109))*((BULK_SKU="ALL")+(BULK_SKU=$G109))*(BULK_START&lt;=7)*(BULK_END&gt;=7)))),0),ROUND((INDEX(VELOCITY_TABLE,MATCH($F109,TIER_LIST,0),3))*(IF((7-$I109+1)&lt;=0,0,IF((7-$I109+1)=1,RAMP_W1,IF((7-$I109+1)=2,RAMP_W2,IF((7-$I109+1)=3,RAMP_W3,RAMP_W4PLUS)))))*(INDEX(ACTIVE_MULT_TABLE,3,1))*(1+SUMPRODUCT(SIGN(((ACT_DOOR_SCOPE="ALL")+(ACT_DOOR_SCOPE="TIER_"&amp;$F109)+(ACT_DOOR_SCOPE=$B109)))*SIGN(((ACT_SKU_SCOPE="ALL")+(ACT_SKU_SCOPE=$G109)))*(ACT_START&lt;=7)*(ACT_END&gt;=7)*IFERROR(ACT_UPLIFT-1,0)))*(1+SUMPRODUCT(SIGN(((ACT_DOOR_SCOPE="ALL")+(ACT_DOOR_SCOPE="TIER_"&amp;$F109)+(ACT_DOOR_SCOPE=$B109)))*SIGN(((ACT_SKU_SCOPE="ALL")+(ACT_SKU_SCOPE=$G109)))*(7&gt;ACT_END)*(ACT_END&gt;0)*IFERROR(ACT_POSTLIFT,0))),0)))</f>
        <v/>
      </c>
      <c r="Q109" s="10">
        <f>IF(OR($H109&lt;&gt;"Y",8&lt;$I109),0,IF(SUMPRODUCT(((BULK_ENABLED="Y")*((BULK_TIER="ALL")+(BULK_TIER=$F109))*((BULK_SKU="ALL")+(BULK_SKU=$G109))*(BULK_START&lt;=8)*(BULK_END&gt;=8)))&gt;0,IFERROR(SUMPRODUCT(((BULK_ENABLED="Y")*((BULK_TIER="ALL")+(BULK_TIER=$F109))*((BULK_SKU="ALL")+(BULK_SKU=$G109))*(BULK_START&lt;=8)*(BULK_END&gt;=8))*IFERROR(BULK_VALUE,0))/MAX(1,SUMPRODUCT(((BULK_ENABLED="Y")*((BULK_TIER="ALL")+(BULK_TIER=$F109))*((BULK_SKU="ALL")+(BULK_SKU=$G109))*(BULK_START&lt;=8)*(BULK_END&gt;=8)))),0),ROUND((INDEX(VELOCITY_TABLE,MATCH($F109,TIER_LIST,0),3))*(IF((8-$I109+1)&lt;=0,0,IF((8-$I109+1)=1,RAMP_W1,IF((8-$I109+1)=2,RAMP_W2,IF((8-$I109+1)=3,RAMP_W3,RAMP_W4PLUS)))))*(INDEX(ACTIVE_MULT_TABLE,3,1))*(1+SUMPRODUCT(SIGN(((ACT_DOOR_SCOPE="ALL")+(ACT_DOOR_SCOPE="TIER_"&amp;$F109)+(ACT_DOOR_SCOPE=$B109)))*SIGN(((ACT_SKU_SCOPE="ALL")+(ACT_SKU_SCOPE=$G109)))*(ACT_START&lt;=8)*(ACT_END&gt;=8)*IFERROR(ACT_UPLIFT-1,0)))*(1+SUMPRODUCT(SIGN(((ACT_DOOR_SCOPE="ALL")+(ACT_DOOR_SCOPE="TIER_"&amp;$F109)+(ACT_DOOR_SCOPE=$B109)))*SIGN(((ACT_SKU_SCOPE="ALL")+(ACT_SKU_SCOPE=$G109)))*(8&gt;ACT_END)*(ACT_END&gt;0)*IFERROR(ACT_POSTLIFT,0))),0)))</f>
        <v/>
      </c>
      <c r="R109" s="10">
        <f>IF(OR($H109&lt;&gt;"Y",9&lt;$I109),0,IF(SUMPRODUCT(((BULK_ENABLED="Y")*((BULK_TIER="ALL")+(BULK_TIER=$F109))*((BULK_SKU="ALL")+(BULK_SKU=$G109))*(BULK_START&lt;=9)*(BULK_END&gt;=9)))&gt;0,IFERROR(SUMPRODUCT(((BULK_ENABLED="Y")*((BULK_TIER="ALL")+(BULK_TIER=$F109))*((BULK_SKU="ALL")+(BULK_SKU=$G109))*(BULK_START&lt;=9)*(BULK_END&gt;=9))*IFERROR(BULK_VALUE,0))/MAX(1,SUMPRODUCT(((BULK_ENABLED="Y")*((BULK_TIER="ALL")+(BULK_TIER=$F109))*((BULK_SKU="ALL")+(BULK_SKU=$G109))*(BULK_START&lt;=9)*(BULK_END&gt;=9)))),0),ROUND((INDEX(VELOCITY_TABLE,MATCH($F109,TIER_LIST,0),3))*(IF((9-$I109+1)&lt;=0,0,IF((9-$I109+1)=1,RAMP_W1,IF((9-$I109+1)=2,RAMP_W2,IF((9-$I109+1)=3,RAMP_W3,RAMP_W4PLUS)))))*(INDEX(ACTIVE_MULT_TABLE,3,1))*(1+SUMPRODUCT(SIGN(((ACT_DOOR_SCOPE="ALL")+(ACT_DOOR_SCOPE="TIER_"&amp;$F109)+(ACT_DOOR_SCOPE=$B109)))*SIGN(((ACT_SKU_SCOPE="ALL")+(ACT_SKU_SCOPE=$G109)))*(ACT_START&lt;=9)*(ACT_END&gt;=9)*IFERROR(ACT_UPLIFT-1,0)))*(1+SUMPRODUCT(SIGN(((ACT_DOOR_SCOPE="ALL")+(ACT_DOOR_SCOPE="TIER_"&amp;$F109)+(ACT_DOOR_SCOPE=$B109)))*SIGN(((ACT_SKU_SCOPE="ALL")+(ACT_SKU_SCOPE=$G109)))*(9&gt;ACT_END)*(ACT_END&gt;0)*IFERROR(ACT_POSTLIFT,0))),0)))</f>
        <v/>
      </c>
      <c r="S109" s="10">
        <f>IF(OR($H109&lt;&gt;"Y",10&lt;$I109),0,IF(SUMPRODUCT(((BULK_ENABLED="Y")*((BULK_TIER="ALL")+(BULK_TIER=$F109))*((BULK_SKU="ALL")+(BULK_SKU=$G109))*(BULK_START&lt;=10)*(BULK_END&gt;=10)))&gt;0,IFERROR(SUMPRODUCT(((BULK_ENABLED="Y")*((BULK_TIER="ALL")+(BULK_TIER=$F109))*((BULK_SKU="ALL")+(BULK_SKU=$G109))*(BULK_START&lt;=10)*(BULK_END&gt;=10))*IFERROR(BULK_VALUE,0))/MAX(1,SUMPRODUCT(((BULK_ENABLED="Y")*((BULK_TIER="ALL")+(BULK_TIER=$F109))*((BULK_SKU="ALL")+(BULK_SKU=$G109))*(BULK_START&lt;=10)*(BULK_END&gt;=10)))),0),ROUND((INDEX(VELOCITY_TABLE,MATCH($F109,TIER_LIST,0),3))*(IF((10-$I109+1)&lt;=0,0,IF((10-$I109+1)=1,RAMP_W1,IF((10-$I109+1)=2,RAMP_W2,IF((10-$I109+1)=3,RAMP_W3,RAMP_W4PLUS)))))*(INDEX(ACTIVE_MULT_TABLE,3,1))*(1+SUMPRODUCT(SIGN(((ACT_DOOR_SCOPE="ALL")+(ACT_DOOR_SCOPE="TIER_"&amp;$F109)+(ACT_DOOR_SCOPE=$B109)))*SIGN(((ACT_SKU_SCOPE="ALL")+(ACT_SKU_SCOPE=$G109)))*(ACT_START&lt;=10)*(ACT_END&gt;=10)*IFERROR(ACT_UPLIFT-1,0)))*(1+SUMPRODUCT(SIGN(((ACT_DOOR_SCOPE="ALL")+(ACT_DOOR_SCOPE="TIER_"&amp;$F109)+(ACT_DOOR_SCOPE=$B109)))*SIGN(((ACT_SKU_SCOPE="ALL")+(ACT_SKU_SCOPE=$G109)))*(10&gt;ACT_END)*(ACT_END&gt;0)*IFERROR(ACT_POSTLIFT,0))),0)))</f>
        <v/>
      </c>
      <c r="T109" s="10">
        <f>IF(OR($H109&lt;&gt;"Y",11&lt;$I109),0,IF(SUMPRODUCT(((BULK_ENABLED="Y")*((BULK_TIER="ALL")+(BULK_TIER=$F109))*((BULK_SKU="ALL")+(BULK_SKU=$G109))*(BULK_START&lt;=11)*(BULK_END&gt;=11)))&gt;0,IFERROR(SUMPRODUCT(((BULK_ENABLED="Y")*((BULK_TIER="ALL")+(BULK_TIER=$F109))*((BULK_SKU="ALL")+(BULK_SKU=$G109))*(BULK_START&lt;=11)*(BULK_END&gt;=11))*IFERROR(BULK_VALUE,0))/MAX(1,SUMPRODUCT(((BULK_ENABLED="Y")*((BULK_TIER="ALL")+(BULK_TIER=$F109))*((BULK_SKU="ALL")+(BULK_SKU=$G109))*(BULK_START&lt;=11)*(BULK_END&gt;=11)))),0),ROUND((INDEX(VELOCITY_TABLE,MATCH($F109,TIER_LIST,0),3))*(IF((11-$I109+1)&lt;=0,0,IF((11-$I109+1)=1,RAMP_W1,IF((11-$I109+1)=2,RAMP_W2,IF((11-$I109+1)=3,RAMP_W3,RAMP_W4PLUS)))))*(INDEX(ACTIVE_MULT_TABLE,3,1))*(1+SUMPRODUCT(SIGN(((ACT_DOOR_SCOPE="ALL")+(ACT_DOOR_SCOPE="TIER_"&amp;$F109)+(ACT_DOOR_SCOPE=$B109)))*SIGN(((ACT_SKU_SCOPE="ALL")+(ACT_SKU_SCOPE=$G109)))*(ACT_START&lt;=11)*(ACT_END&gt;=11)*IFERROR(ACT_UPLIFT-1,0)))*(1+SUMPRODUCT(SIGN(((ACT_DOOR_SCOPE="ALL")+(ACT_DOOR_SCOPE="TIER_"&amp;$F109)+(ACT_DOOR_SCOPE=$B109)))*SIGN(((ACT_SKU_SCOPE="ALL")+(ACT_SKU_SCOPE=$G109)))*(11&gt;ACT_END)*(ACT_END&gt;0)*IFERROR(ACT_POSTLIFT,0))),0)))</f>
        <v/>
      </c>
      <c r="U109" s="10">
        <f>IF(OR($H109&lt;&gt;"Y",12&lt;$I109),0,IF(SUMPRODUCT(((BULK_ENABLED="Y")*((BULK_TIER="ALL")+(BULK_TIER=$F109))*((BULK_SKU="ALL")+(BULK_SKU=$G109))*(BULK_START&lt;=12)*(BULK_END&gt;=12)))&gt;0,IFERROR(SUMPRODUCT(((BULK_ENABLED="Y")*((BULK_TIER="ALL")+(BULK_TIER=$F109))*((BULK_SKU="ALL")+(BULK_SKU=$G109))*(BULK_START&lt;=12)*(BULK_END&gt;=12))*IFERROR(BULK_VALUE,0))/MAX(1,SUMPRODUCT(((BULK_ENABLED="Y")*((BULK_TIER="ALL")+(BULK_TIER=$F109))*((BULK_SKU="ALL")+(BULK_SKU=$G109))*(BULK_START&lt;=12)*(BULK_END&gt;=12)))),0),ROUND((INDEX(VELOCITY_TABLE,MATCH($F109,TIER_LIST,0),3))*(IF((12-$I109+1)&lt;=0,0,IF((12-$I109+1)=1,RAMP_W1,IF((12-$I109+1)=2,RAMP_W2,IF((12-$I109+1)=3,RAMP_W3,RAMP_W4PLUS)))))*(INDEX(ACTIVE_MULT_TABLE,3,1))*(1+SUMPRODUCT(SIGN(((ACT_DOOR_SCOPE="ALL")+(ACT_DOOR_SCOPE="TIER_"&amp;$F109)+(ACT_DOOR_SCOPE=$B109)))*SIGN(((ACT_SKU_SCOPE="ALL")+(ACT_SKU_SCOPE=$G109)))*(ACT_START&lt;=12)*(ACT_END&gt;=12)*IFERROR(ACT_UPLIFT-1,0)))*(1+SUMPRODUCT(SIGN(((ACT_DOOR_SCOPE="ALL")+(ACT_DOOR_SCOPE="TIER_"&amp;$F109)+(ACT_DOOR_SCOPE=$B109)))*SIGN(((ACT_SKU_SCOPE="ALL")+(ACT_SKU_SCOPE=$G109)))*(12&gt;ACT_END)*(ACT_END&gt;0)*IFERROR(ACT_POSTLIFT,0))),0)))</f>
        <v/>
      </c>
      <c r="V109" s="10">
        <f>IF(OR($H109&lt;&gt;"Y",13&lt;$I109),0,IF(SUMPRODUCT(((BULK_ENABLED="Y")*((BULK_TIER="ALL")+(BULK_TIER=$F109))*((BULK_SKU="ALL")+(BULK_SKU=$G109))*(BULK_START&lt;=13)*(BULK_END&gt;=13)))&gt;0,IFERROR(SUMPRODUCT(((BULK_ENABLED="Y")*((BULK_TIER="ALL")+(BULK_TIER=$F109))*((BULK_SKU="ALL")+(BULK_SKU=$G109))*(BULK_START&lt;=13)*(BULK_END&gt;=13))*IFERROR(BULK_VALUE,0))/MAX(1,SUMPRODUCT(((BULK_ENABLED="Y")*((BULK_TIER="ALL")+(BULK_TIER=$F109))*((BULK_SKU="ALL")+(BULK_SKU=$G109))*(BULK_START&lt;=13)*(BULK_END&gt;=13)))),0),ROUND((INDEX(VELOCITY_TABLE,MATCH($F109,TIER_LIST,0),3))*(IF((13-$I109+1)&lt;=0,0,IF((13-$I109+1)=1,RAMP_W1,IF((13-$I109+1)=2,RAMP_W2,IF((13-$I109+1)=3,RAMP_W3,RAMP_W4PLUS)))))*(INDEX(ACTIVE_MULT_TABLE,3,1))*(1+SUMPRODUCT(SIGN(((ACT_DOOR_SCOPE="ALL")+(ACT_DOOR_SCOPE="TIER_"&amp;$F109)+(ACT_DOOR_SCOPE=$B109)))*SIGN(((ACT_SKU_SCOPE="ALL")+(ACT_SKU_SCOPE=$G109)))*(ACT_START&lt;=13)*(ACT_END&gt;=13)*IFERROR(ACT_UPLIFT-1,0)))*(1+SUMPRODUCT(SIGN(((ACT_DOOR_SCOPE="ALL")+(ACT_DOOR_SCOPE="TIER_"&amp;$F109)+(ACT_DOOR_SCOPE=$B109)))*SIGN(((ACT_SKU_SCOPE="ALL")+(ACT_SKU_SCOPE=$G109)))*(13&gt;ACT_END)*(ACT_END&gt;0)*IFERROR(ACT_POSTLIFT,0))),0)))</f>
        <v/>
      </c>
    </row>
    <row r="110">
      <c r="A110" t="inlineStr">
        <is>
          <t>R0106</t>
        </is>
      </c>
      <c r="B110">
        <f>Doors!$A$40</f>
        <v/>
      </c>
      <c r="C110">
        <f>Doors!$C$40</f>
        <v/>
      </c>
      <c r="D110">
        <f>Doors!$B$40</f>
        <v/>
      </c>
      <c r="E110">
        <f>Doors!$E$40</f>
        <v/>
      </c>
      <c r="F110">
        <f>Doors!$F$40</f>
        <v/>
      </c>
      <c r="G110" t="inlineStr">
        <is>
          <t>Lime Lemon</t>
        </is>
      </c>
      <c r="H110">
        <f>Doors!$G$40</f>
        <v/>
      </c>
      <c r="I110">
        <f>Doors!$J$40</f>
        <v/>
      </c>
      <c r="J110" s="10">
        <f>IF(OR($H110&lt;&gt;"Y",1&lt;$I110),0,IF(SUMPRODUCT(((BULK_ENABLED="Y")*((BULK_TIER="ALL")+(BULK_TIER=$F110))*((BULK_SKU="ALL")+(BULK_SKU=$G110))*(BULK_START&lt;=1)*(BULK_END&gt;=1)))&gt;0,IFERROR(SUMPRODUCT(((BULK_ENABLED="Y")*((BULK_TIER="ALL")+(BULK_TIER=$F110))*((BULK_SKU="ALL")+(BULK_SKU=$G110))*(BULK_START&lt;=1)*(BULK_END&gt;=1))*IFERROR(BULK_VALUE,0))/MAX(1,SUMPRODUCT(((BULK_ENABLED="Y")*((BULK_TIER="ALL")+(BULK_TIER=$F110))*((BULK_SKU="ALL")+(BULK_SKU=$G110))*(BULK_START&lt;=1)*(BULK_END&gt;=1)))),0),ROUND((INDEX(VELOCITY_TABLE,MATCH($F110,TIER_LIST,0),1))*(IF((1-$I110+1)&lt;=0,0,IF((1-$I110+1)=1,RAMP_W1,IF((1-$I110+1)=2,RAMP_W2,IF((1-$I110+1)=3,RAMP_W3,RAMP_W4PLUS)))))*(INDEX(ACTIVE_MULT_TABLE,1,1))*(1+SUMPRODUCT(SIGN(((ACT_DOOR_SCOPE="ALL")+(ACT_DOOR_SCOPE="TIER_"&amp;$F110)+(ACT_DOOR_SCOPE=$B110)))*SIGN(((ACT_SKU_SCOPE="ALL")+(ACT_SKU_SCOPE=$G110)))*(ACT_START&lt;=1)*(ACT_END&gt;=1)*IFERROR(ACT_UPLIFT-1,0)))*(1+SUMPRODUCT(SIGN(((ACT_DOOR_SCOPE="ALL")+(ACT_DOOR_SCOPE="TIER_"&amp;$F110)+(ACT_DOOR_SCOPE=$B110)))*SIGN(((ACT_SKU_SCOPE="ALL")+(ACT_SKU_SCOPE=$G110)))*(1&gt;ACT_END)*(ACT_END&gt;0)*IFERROR(ACT_POSTLIFT,0))),0)))</f>
        <v/>
      </c>
      <c r="K110" s="10">
        <f>IF(OR($H110&lt;&gt;"Y",2&lt;$I110),0,IF(SUMPRODUCT(((BULK_ENABLED="Y")*((BULK_TIER="ALL")+(BULK_TIER=$F110))*((BULK_SKU="ALL")+(BULK_SKU=$G110))*(BULK_START&lt;=2)*(BULK_END&gt;=2)))&gt;0,IFERROR(SUMPRODUCT(((BULK_ENABLED="Y")*((BULK_TIER="ALL")+(BULK_TIER=$F110))*((BULK_SKU="ALL")+(BULK_SKU=$G110))*(BULK_START&lt;=2)*(BULK_END&gt;=2))*IFERROR(BULK_VALUE,0))/MAX(1,SUMPRODUCT(((BULK_ENABLED="Y")*((BULK_TIER="ALL")+(BULK_TIER=$F110))*((BULK_SKU="ALL")+(BULK_SKU=$G110))*(BULK_START&lt;=2)*(BULK_END&gt;=2)))),0),ROUND((INDEX(VELOCITY_TABLE,MATCH($F110,TIER_LIST,0),1))*(IF((2-$I110+1)&lt;=0,0,IF((2-$I110+1)=1,RAMP_W1,IF((2-$I110+1)=2,RAMP_W2,IF((2-$I110+1)=3,RAMP_W3,RAMP_W4PLUS)))))*(INDEX(ACTIVE_MULT_TABLE,1,1))*(1+SUMPRODUCT(SIGN(((ACT_DOOR_SCOPE="ALL")+(ACT_DOOR_SCOPE="TIER_"&amp;$F110)+(ACT_DOOR_SCOPE=$B110)))*SIGN(((ACT_SKU_SCOPE="ALL")+(ACT_SKU_SCOPE=$G110)))*(ACT_START&lt;=2)*(ACT_END&gt;=2)*IFERROR(ACT_UPLIFT-1,0)))*(1+SUMPRODUCT(SIGN(((ACT_DOOR_SCOPE="ALL")+(ACT_DOOR_SCOPE="TIER_"&amp;$F110)+(ACT_DOOR_SCOPE=$B110)))*SIGN(((ACT_SKU_SCOPE="ALL")+(ACT_SKU_SCOPE=$G110)))*(2&gt;ACT_END)*(ACT_END&gt;0)*IFERROR(ACT_POSTLIFT,0))),0)))</f>
        <v/>
      </c>
      <c r="L110" s="10">
        <f>IF(OR($H110&lt;&gt;"Y",3&lt;$I110),0,IF(SUMPRODUCT(((BULK_ENABLED="Y")*((BULK_TIER="ALL")+(BULK_TIER=$F110))*((BULK_SKU="ALL")+(BULK_SKU=$G110))*(BULK_START&lt;=3)*(BULK_END&gt;=3)))&gt;0,IFERROR(SUMPRODUCT(((BULK_ENABLED="Y")*((BULK_TIER="ALL")+(BULK_TIER=$F110))*((BULK_SKU="ALL")+(BULK_SKU=$G110))*(BULK_START&lt;=3)*(BULK_END&gt;=3))*IFERROR(BULK_VALUE,0))/MAX(1,SUMPRODUCT(((BULK_ENABLED="Y")*((BULK_TIER="ALL")+(BULK_TIER=$F110))*((BULK_SKU="ALL")+(BULK_SKU=$G110))*(BULK_START&lt;=3)*(BULK_END&gt;=3)))),0),ROUND((INDEX(VELOCITY_TABLE,MATCH($F110,TIER_LIST,0),1))*(IF((3-$I110+1)&lt;=0,0,IF((3-$I110+1)=1,RAMP_W1,IF((3-$I110+1)=2,RAMP_W2,IF((3-$I110+1)=3,RAMP_W3,RAMP_W4PLUS)))))*(INDEX(ACTIVE_MULT_TABLE,1,1))*(1+SUMPRODUCT(SIGN(((ACT_DOOR_SCOPE="ALL")+(ACT_DOOR_SCOPE="TIER_"&amp;$F110)+(ACT_DOOR_SCOPE=$B110)))*SIGN(((ACT_SKU_SCOPE="ALL")+(ACT_SKU_SCOPE=$G110)))*(ACT_START&lt;=3)*(ACT_END&gt;=3)*IFERROR(ACT_UPLIFT-1,0)))*(1+SUMPRODUCT(SIGN(((ACT_DOOR_SCOPE="ALL")+(ACT_DOOR_SCOPE="TIER_"&amp;$F110)+(ACT_DOOR_SCOPE=$B110)))*SIGN(((ACT_SKU_SCOPE="ALL")+(ACT_SKU_SCOPE=$G110)))*(3&gt;ACT_END)*(ACT_END&gt;0)*IFERROR(ACT_POSTLIFT,0))),0)))</f>
        <v/>
      </c>
      <c r="M110" s="10">
        <f>IF(OR($H110&lt;&gt;"Y",4&lt;$I110),0,IF(SUMPRODUCT(((BULK_ENABLED="Y")*((BULK_TIER="ALL")+(BULK_TIER=$F110))*((BULK_SKU="ALL")+(BULK_SKU=$G110))*(BULK_START&lt;=4)*(BULK_END&gt;=4)))&gt;0,IFERROR(SUMPRODUCT(((BULK_ENABLED="Y")*((BULK_TIER="ALL")+(BULK_TIER=$F110))*((BULK_SKU="ALL")+(BULK_SKU=$G110))*(BULK_START&lt;=4)*(BULK_END&gt;=4))*IFERROR(BULK_VALUE,0))/MAX(1,SUMPRODUCT(((BULK_ENABLED="Y")*((BULK_TIER="ALL")+(BULK_TIER=$F110))*((BULK_SKU="ALL")+(BULK_SKU=$G110))*(BULK_START&lt;=4)*(BULK_END&gt;=4)))),0),ROUND((INDEX(VELOCITY_TABLE,MATCH($F110,TIER_LIST,0),1))*(IF((4-$I110+1)&lt;=0,0,IF((4-$I110+1)=1,RAMP_W1,IF((4-$I110+1)=2,RAMP_W2,IF((4-$I110+1)=3,RAMP_W3,RAMP_W4PLUS)))))*(INDEX(ACTIVE_MULT_TABLE,1,1))*(1+SUMPRODUCT(SIGN(((ACT_DOOR_SCOPE="ALL")+(ACT_DOOR_SCOPE="TIER_"&amp;$F110)+(ACT_DOOR_SCOPE=$B110)))*SIGN(((ACT_SKU_SCOPE="ALL")+(ACT_SKU_SCOPE=$G110)))*(ACT_START&lt;=4)*(ACT_END&gt;=4)*IFERROR(ACT_UPLIFT-1,0)))*(1+SUMPRODUCT(SIGN(((ACT_DOOR_SCOPE="ALL")+(ACT_DOOR_SCOPE="TIER_"&amp;$F110)+(ACT_DOOR_SCOPE=$B110)))*SIGN(((ACT_SKU_SCOPE="ALL")+(ACT_SKU_SCOPE=$G110)))*(4&gt;ACT_END)*(ACT_END&gt;0)*IFERROR(ACT_POSTLIFT,0))),0)))</f>
        <v/>
      </c>
      <c r="N110" s="10">
        <f>IF(OR($H110&lt;&gt;"Y",5&lt;$I110),0,IF(SUMPRODUCT(((BULK_ENABLED="Y")*((BULK_TIER="ALL")+(BULK_TIER=$F110))*((BULK_SKU="ALL")+(BULK_SKU=$G110))*(BULK_START&lt;=5)*(BULK_END&gt;=5)))&gt;0,IFERROR(SUMPRODUCT(((BULK_ENABLED="Y")*((BULK_TIER="ALL")+(BULK_TIER=$F110))*((BULK_SKU="ALL")+(BULK_SKU=$G110))*(BULK_START&lt;=5)*(BULK_END&gt;=5))*IFERROR(BULK_VALUE,0))/MAX(1,SUMPRODUCT(((BULK_ENABLED="Y")*((BULK_TIER="ALL")+(BULK_TIER=$F110))*((BULK_SKU="ALL")+(BULK_SKU=$G110))*(BULK_START&lt;=5)*(BULK_END&gt;=5)))),0),ROUND((INDEX(VELOCITY_TABLE,MATCH($F110,TIER_LIST,0),1))*(IF((5-$I110+1)&lt;=0,0,IF((5-$I110+1)=1,RAMP_W1,IF((5-$I110+1)=2,RAMP_W2,IF((5-$I110+1)=3,RAMP_W3,RAMP_W4PLUS)))))*(INDEX(ACTIVE_MULT_TABLE,1,1))*(1+SUMPRODUCT(SIGN(((ACT_DOOR_SCOPE="ALL")+(ACT_DOOR_SCOPE="TIER_"&amp;$F110)+(ACT_DOOR_SCOPE=$B110)))*SIGN(((ACT_SKU_SCOPE="ALL")+(ACT_SKU_SCOPE=$G110)))*(ACT_START&lt;=5)*(ACT_END&gt;=5)*IFERROR(ACT_UPLIFT-1,0)))*(1+SUMPRODUCT(SIGN(((ACT_DOOR_SCOPE="ALL")+(ACT_DOOR_SCOPE="TIER_"&amp;$F110)+(ACT_DOOR_SCOPE=$B110)))*SIGN(((ACT_SKU_SCOPE="ALL")+(ACT_SKU_SCOPE=$G110)))*(5&gt;ACT_END)*(ACT_END&gt;0)*IFERROR(ACT_POSTLIFT,0))),0)))</f>
        <v/>
      </c>
      <c r="O110" s="10">
        <f>IF(OR($H110&lt;&gt;"Y",6&lt;$I110),0,IF(SUMPRODUCT(((BULK_ENABLED="Y")*((BULK_TIER="ALL")+(BULK_TIER=$F110))*((BULK_SKU="ALL")+(BULK_SKU=$G110))*(BULK_START&lt;=6)*(BULK_END&gt;=6)))&gt;0,IFERROR(SUMPRODUCT(((BULK_ENABLED="Y")*((BULK_TIER="ALL")+(BULK_TIER=$F110))*((BULK_SKU="ALL")+(BULK_SKU=$G110))*(BULK_START&lt;=6)*(BULK_END&gt;=6))*IFERROR(BULK_VALUE,0))/MAX(1,SUMPRODUCT(((BULK_ENABLED="Y")*((BULK_TIER="ALL")+(BULK_TIER=$F110))*((BULK_SKU="ALL")+(BULK_SKU=$G110))*(BULK_START&lt;=6)*(BULK_END&gt;=6)))),0),ROUND((INDEX(VELOCITY_TABLE,MATCH($F110,TIER_LIST,0),1))*(IF((6-$I110+1)&lt;=0,0,IF((6-$I110+1)=1,RAMP_W1,IF((6-$I110+1)=2,RAMP_W2,IF((6-$I110+1)=3,RAMP_W3,RAMP_W4PLUS)))))*(INDEX(ACTIVE_MULT_TABLE,1,1))*(1+SUMPRODUCT(SIGN(((ACT_DOOR_SCOPE="ALL")+(ACT_DOOR_SCOPE="TIER_"&amp;$F110)+(ACT_DOOR_SCOPE=$B110)))*SIGN(((ACT_SKU_SCOPE="ALL")+(ACT_SKU_SCOPE=$G110)))*(ACT_START&lt;=6)*(ACT_END&gt;=6)*IFERROR(ACT_UPLIFT-1,0)))*(1+SUMPRODUCT(SIGN(((ACT_DOOR_SCOPE="ALL")+(ACT_DOOR_SCOPE="TIER_"&amp;$F110)+(ACT_DOOR_SCOPE=$B110)))*SIGN(((ACT_SKU_SCOPE="ALL")+(ACT_SKU_SCOPE=$G110)))*(6&gt;ACT_END)*(ACT_END&gt;0)*IFERROR(ACT_POSTLIFT,0))),0)))</f>
        <v/>
      </c>
      <c r="P110" s="10">
        <f>IF(OR($H110&lt;&gt;"Y",7&lt;$I110),0,IF(SUMPRODUCT(((BULK_ENABLED="Y")*((BULK_TIER="ALL")+(BULK_TIER=$F110))*((BULK_SKU="ALL")+(BULK_SKU=$G110))*(BULK_START&lt;=7)*(BULK_END&gt;=7)))&gt;0,IFERROR(SUMPRODUCT(((BULK_ENABLED="Y")*((BULK_TIER="ALL")+(BULK_TIER=$F110))*((BULK_SKU="ALL")+(BULK_SKU=$G110))*(BULK_START&lt;=7)*(BULK_END&gt;=7))*IFERROR(BULK_VALUE,0))/MAX(1,SUMPRODUCT(((BULK_ENABLED="Y")*((BULK_TIER="ALL")+(BULK_TIER=$F110))*((BULK_SKU="ALL")+(BULK_SKU=$G110))*(BULK_START&lt;=7)*(BULK_END&gt;=7)))),0),ROUND((INDEX(VELOCITY_TABLE,MATCH($F110,TIER_LIST,0),1))*(IF((7-$I110+1)&lt;=0,0,IF((7-$I110+1)=1,RAMP_W1,IF((7-$I110+1)=2,RAMP_W2,IF((7-$I110+1)=3,RAMP_W3,RAMP_W4PLUS)))))*(INDEX(ACTIVE_MULT_TABLE,1,1))*(1+SUMPRODUCT(SIGN(((ACT_DOOR_SCOPE="ALL")+(ACT_DOOR_SCOPE="TIER_"&amp;$F110)+(ACT_DOOR_SCOPE=$B110)))*SIGN(((ACT_SKU_SCOPE="ALL")+(ACT_SKU_SCOPE=$G110)))*(ACT_START&lt;=7)*(ACT_END&gt;=7)*IFERROR(ACT_UPLIFT-1,0)))*(1+SUMPRODUCT(SIGN(((ACT_DOOR_SCOPE="ALL")+(ACT_DOOR_SCOPE="TIER_"&amp;$F110)+(ACT_DOOR_SCOPE=$B110)))*SIGN(((ACT_SKU_SCOPE="ALL")+(ACT_SKU_SCOPE=$G110)))*(7&gt;ACT_END)*(ACT_END&gt;0)*IFERROR(ACT_POSTLIFT,0))),0)))</f>
        <v/>
      </c>
      <c r="Q110" s="10">
        <f>IF(OR($H110&lt;&gt;"Y",8&lt;$I110),0,IF(SUMPRODUCT(((BULK_ENABLED="Y")*((BULK_TIER="ALL")+(BULK_TIER=$F110))*((BULK_SKU="ALL")+(BULK_SKU=$G110))*(BULK_START&lt;=8)*(BULK_END&gt;=8)))&gt;0,IFERROR(SUMPRODUCT(((BULK_ENABLED="Y")*((BULK_TIER="ALL")+(BULK_TIER=$F110))*((BULK_SKU="ALL")+(BULK_SKU=$G110))*(BULK_START&lt;=8)*(BULK_END&gt;=8))*IFERROR(BULK_VALUE,0))/MAX(1,SUMPRODUCT(((BULK_ENABLED="Y")*((BULK_TIER="ALL")+(BULK_TIER=$F110))*((BULK_SKU="ALL")+(BULK_SKU=$G110))*(BULK_START&lt;=8)*(BULK_END&gt;=8)))),0),ROUND((INDEX(VELOCITY_TABLE,MATCH($F110,TIER_LIST,0),1))*(IF((8-$I110+1)&lt;=0,0,IF((8-$I110+1)=1,RAMP_W1,IF((8-$I110+1)=2,RAMP_W2,IF((8-$I110+1)=3,RAMP_W3,RAMP_W4PLUS)))))*(INDEX(ACTIVE_MULT_TABLE,1,1))*(1+SUMPRODUCT(SIGN(((ACT_DOOR_SCOPE="ALL")+(ACT_DOOR_SCOPE="TIER_"&amp;$F110)+(ACT_DOOR_SCOPE=$B110)))*SIGN(((ACT_SKU_SCOPE="ALL")+(ACT_SKU_SCOPE=$G110)))*(ACT_START&lt;=8)*(ACT_END&gt;=8)*IFERROR(ACT_UPLIFT-1,0)))*(1+SUMPRODUCT(SIGN(((ACT_DOOR_SCOPE="ALL")+(ACT_DOOR_SCOPE="TIER_"&amp;$F110)+(ACT_DOOR_SCOPE=$B110)))*SIGN(((ACT_SKU_SCOPE="ALL")+(ACT_SKU_SCOPE=$G110)))*(8&gt;ACT_END)*(ACT_END&gt;0)*IFERROR(ACT_POSTLIFT,0))),0)))</f>
        <v/>
      </c>
      <c r="R110" s="10">
        <f>IF(OR($H110&lt;&gt;"Y",9&lt;$I110),0,IF(SUMPRODUCT(((BULK_ENABLED="Y")*((BULK_TIER="ALL")+(BULK_TIER=$F110))*((BULK_SKU="ALL")+(BULK_SKU=$G110))*(BULK_START&lt;=9)*(BULK_END&gt;=9)))&gt;0,IFERROR(SUMPRODUCT(((BULK_ENABLED="Y")*((BULK_TIER="ALL")+(BULK_TIER=$F110))*((BULK_SKU="ALL")+(BULK_SKU=$G110))*(BULK_START&lt;=9)*(BULK_END&gt;=9))*IFERROR(BULK_VALUE,0))/MAX(1,SUMPRODUCT(((BULK_ENABLED="Y")*((BULK_TIER="ALL")+(BULK_TIER=$F110))*((BULK_SKU="ALL")+(BULK_SKU=$G110))*(BULK_START&lt;=9)*(BULK_END&gt;=9)))),0),ROUND((INDEX(VELOCITY_TABLE,MATCH($F110,TIER_LIST,0),1))*(IF((9-$I110+1)&lt;=0,0,IF((9-$I110+1)=1,RAMP_W1,IF((9-$I110+1)=2,RAMP_W2,IF((9-$I110+1)=3,RAMP_W3,RAMP_W4PLUS)))))*(INDEX(ACTIVE_MULT_TABLE,1,1))*(1+SUMPRODUCT(SIGN(((ACT_DOOR_SCOPE="ALL")+(ACT_DOOR_SCOPE="TIER_"&amp;$F110)+(ACT_DOOR_SCOPE=$B110)))*SIGN(((ACT_SKU_SCOPE="ALL")+(ACT_SKU_SCOPE=$G110)))*(ACT_START&lt;=9)*(ACT_END&gt;=9)*IFERROR(ACT_UPLIFT-1,0)))*(1+SUMPRODUCT(SIGN(((ACT_DOOR_SCOPE="ALL")+(ACT_DOOR_SCOPE="TIER_"&amp;$F110)+(ACT_DOOR_SCOPE=$B110)))*SIGN(((ACT_SKU_SCOPE="ALL")+(ACT_SKU_SCOPE=$G110)))*(9&gt;ACT_END)*(ACT_END&gt;0)*IFERROR(ACT_POSTLIFT,0))),0)))</f>
        <v/>
      </c>
      <c r="S110" s="10">
        <f>IF(OR($H110&lt;&gt;"Y",10&lt;$I110),0,IF(SUMPRODUCT(((BULK_ENABLED="Y")*((BULK_TIER="ALL")+(BULK_TIER=$F110))*((BULK_SKU="ALL")+(BULK_SKU=$G110))*(BULK_START&lt;=10)*(BULK_END&gt;=10)))&gt;0,IFERROR(SUMPRODUCT(((BULK_ENABLED="Y")*((BULK_TIER="ALL")+(BULK_TIER=$F110))*((BULK_SKU="ALL")+(BULK_SKU=$G110))*(BULK_START&lt;=10)*(BULK_END&gt;=10))*IFERROR(BULK_VALUE,0))/MAX(1,SUMPRODUCT(((BULK_ENABLED="Y")*((BULK_TIER="ALL")+(BULK_TIER=$F110))*((BULK_SKU="ALL")+(BULK_SKU=$G110))*(BULK_START&lt;=10)*(BULK_END&gt;=10)))),0),ROUND((INDEX(VELOCITY_TABLE,MATCH($F110,TIER_LIST,0),1))*(IF((10-$I110+1)&lt;=0,0,IF((10-$I110+1)=1,RAMP_W1,IF((10-$I110+1)=2,RAMP_W2,IF((10-$I110+1)=3,RAMP_W3,RAMP_W4PLUS)))))*(INDEX(ACTIVE_MULT_TABLE,1,1))*(1+SUMPRODUCT(SIGN(((ACT_DOOR_SCOPE="ALL")+(ACT_DOOR_SCOPE="TIER_"&amp;$F110)+(ACT_DOOR_SCOPE=$B110)))*SIGN(((ACT_SKU_SCOPE="ALL")+(ACT_SKU_SCOPE=$G110)))*(ACT_START&lt;=10)*(ACT_END&gt;=10)*IFERROR(ACT_UPLIFT-1,0)))*(1+SUMPRODUCT(SIGN(((ACT_DOOR_SCOPE="ALL")+(ACT_DOOR_SCOPE="TIER_"&amp;$F110)+(ACT_DOOR_SCOPE=$B110)))*SIGN(((ACT_SKU_SCOPE="ALL")+(ACT_SKU_SCOPE=$G110)))*(10&gt;ACT_END)*(ACT_END&gt;0)*IFERROR(ACT_POSTLIFT,0))),0)))</f>
        <v/>
      </c>
      <c r="T110" s="10">
        <f>IF(OR($H110&lt;&gt;"Y",11&lt;$I110),0,IF(SUMPRODUCT(((BULK_ENABLED="Y")*((BULK_TIER="ALL")+(BULK_TIER=$F110))*((BULK_SKU="ALL")+(BULK_SKU=$G110))*(BULK_START&lt;=11)*(BULK_END&gt;=11)))&gt;0,IFERROR(SUMPRODUCT(((BULK_ENABLED="Y")*((BULK_TIER="ALL")+(BULK_TIER=$F110))*((BULK_SKU="ALL")+(BULK_SKU=$G110))*(BULK_START&lt;=11)*(BULK_END&gt;=11))*IFERROR(BULK_VALUE,0))/MAX(1,SUMPRODUCT(((BULK_ENABLED="Y")*((BULK_TIER="ALL")+(BULK_TIER=$F110))*((BULK_SKU="ALL")+(BULK_SKU=$G110))*(BULK_START&lt;=11)*(BULK_END&gt;=11)))),0),ROUND((INDEX(VELOCITY_TABLE,MATCH($F110,TIER_LIST,0),1))*(IF((11-$I110+1)&lt;=0,0,IF((11-$I110+1)=1,RAMP_W1,IF((11-$I110+1)=2,RAMP_W2,IF((11-$I110+1)=3,RAMP_W3,RAMP_W4PLUS)))))*(INDEX(ACTIVE_MULT_TABLE,1,1))*(1+SUMPRODUCT(SIGN(((ACT_DOOR_SCOPE="ALL")+(ACT_DOOR_SCOPE="TIER_"&amp;$F110)+(ACT_DOOR_SCOPE=$B110)))*SIGN(((ACT_SKU_SCOPE="ALL")+(ACT_SKU_SCOPE=$G110)))*(ACT_START&lt;=11)*(ACT_END&gt;=11)*IFERROR(ACT_UPLIFT-1,0)))*(1+SUMPRODUCT(SIGN(((ACT_DOOR_SCOPE="ALL")+(ACT_DOOR_SCOPE="TIER_"&amp;$F110)+(ACT_DOOR_SCOPE=$B110)))*SIGN(((ACT_SKU_SCOPE="ALL")+(ACT_SKU_SCOPE=$G110)))*(11&gt;ACT_END)*(ACT_END&gt;0)*IFERROR(ACT_POSTLIFT,0))),0)))</f>
        <v/>
      </c>
      <c r="U110" s="10">
        <f>IF(OR($H110&lt;&gt;"Y",12&lt;$I110),0,IF(SUMPRODUCT(((BULK_ENABLED="Y")*((BULK_TIER="ALL")+(BULK_TIER=$F110))*((BULK_SKU="ALL")+(BULK_SKU=$G110))*(BULK_START&lt;=12)*(BULK_END&gt;=12)))&gt;0,IFERROR(SUMPRODUCT(((BULK_ENABLED="Y")*((BULK_TIER="ALL")+(BULK_TIER=$F110))*((BULK_SKU="ALL")+(BULK_SKU=$G110))*(BULK_START&lt;=12)*(BULK_END&gt;=12))*IFERROR(BULK_VALUE,0))/MAX(1,SUMPRODUCT(((BULK_ENABLED="Y")*((BULK_TIER="ALL")+(BULK_TIER=$F110))*((BULK_SKU="ALL")+(BULK_SKU=$G110))*(BULK_START&lt;=12)*(BULK_END&gt;=12)))),0),ROUND((INDEX(VELOCITY_TABLE,MATCH($F110,TIER_LIST,0),1))*(IF((12-$I110+1)&lt;=0,0,IF((12-$I110+1)=1,RAMP_W1,IF((12-$I110+1)=2,RAMP_W2,IF((12-$I110+1)=3,RAMP_W3,RAMP_W4PLUS)))))*(INDEX(ACTIVE_MULT_TABLE,1,1))*(1+SUMPRODUCT(SIGN(((ACT_DOOR_SCOPE="ALL")+(ACT_DOOR_SCOPE="TIER_"&amp;$F110)+(ACT_DOOR_SCOPE=$B110)))*SIGN(((ACT_SKU_SCOPE="ALL")+(ACT_SKU_SCOPE=$G110)))*(ACT_START&lt;=12)*(ACT_END&gt;=12)*IFERROR(ACT_UPLIFT-1,0)))*(1+SUMPRODUCT(SIGN(((ACT_DOOR_SCOPE="ALL")+(ACT_DOOR_SCOPE="TIER_"&amp;$F110)+(ACT_DOOR_SCOPE=$B110)))*SIGN(((ACT_SKU_SCOPE="ALL")+(ACT_SKU_SCOPE=$G110)))*(12&gt;ACT_END)*(ACT_END&gt;0)*IFERROR(ACT_POSTLIFT,0))),0)))</f>
        <v/>
      </c>
      <c r="V110" s="10">
        <f>IF(OR($H110&lt;&gt;"Y",13&lt;$I110),0,IF(SUMPRODUCT(((BULK_ENABLED="Y")*((BULK_TIER="ALL")+(BULK_TIER=$F110))*((BULK_SKU="ALL")+(BULK_SKU=$G110))*(BULK_START&lt;=13)*(BULK_END&gt;=13)))&gt;0,IFERROR(SUMPRODUCT(((BULK_ENABLED="Y")*((BULK_TIER="ALL")+(BULK_TIER=$F110))*((BULK_SKU="ALL")+(BULK_SKU=$G110))*(BULK_START&lt;=13)*(BULK_END&gt;=13))*IFERROR(BULK_VALUE,0))/MAX(1,SUMPRODUCT(((BULK_ENABLED="Y")*((BULK_TIER="ALL")+(BULK_TIER=$F110))*((BULK_SKU="ALL")+(BULK_SKU=$G110))*(BULK_START&lt;=13)*(BULK_END&gt;=13)))),0),ROUND((INDEX(VELOCITY_TABLE,MATCH($F110,TIER_LIST,0),1))*(IF((13-$I110+1)&lt;=0,0,IF((13-$I110+1)=1,RAMP_W1,IF((13-$I110+1)=2,RAMP_W2,IF((13-$I110+1)=3,RAMP_W3,RAMP_W4PLUS)))))*(INDEX(ACTIVE_MULT_TABLE,1,1))*(1+SUMPRODUCT(SIGN(((ACT_DOOR_SCOPE="ALL")+(ACT_DOOR_SCOPE="TIER_"&amp;$F110)+(ACT_DOOR_SCOPE=$B110)))*SIGN(((ACT_SKU_SCOPE="ALL")+(ACT_SKU_SCOPE=$G110)))*(ACT_START&lt;=13)*(ACT_END&gt;=13)*IFERROR(ACT_UPLIFT-1,0)))*(1+SUMPRODUCT(SIGN(((ACT_DOOR_SCOPE="ALL")+(ACT_DOOR_SCOPE="TIER_"&amp;$F110)+(ACT_DOOR_SCOPE=$B110)))*SIGN(((ACT_SKU_SCOPE="ALL")+(ACT_SKU_SCOPE=$G110)))*(13&gt;ACT_END)*(ACT_END&gt;0)*IFERROR(ACT_POSTLIFT,0))),0)))</f>
        <v/>
      </c>
    </row>
    <row r="111">
      <c r="A111" t="inlineStr">
        <is>
          <t>R0107</t>
        </is>
      </c>
      <c r="B111">
        <f>Doors!$A$40</f>
        <v/>
      </c>
      <c r="C111">
        <f>Doors!$C$40</f>
        <v/>
      </c>
      <c r="D111">
        <f>Doors!$B$40</f>
        <v/>
      </c>
      <c r="E111">
        <f>Doors!$E$40</f>
        <v/>
      </c>
      <c r="F111">
        <f>Doors!$F$40</f>
        <v/>
      </c>
      <c r="G111" t="inlineStr">
        <is>
          <t>Pineapple Passion Fruit</t>
        </is>
      </c>
      <c r="H111">
        <f>Doors!$H$40</f>
        <v/>
      </c>
      <c r="I111">
        <f>Doors!$J$40</f>
        <v/>
      </c>
      <c r="J111" s="10">
        <f>IF(OR($H111&lt;&gt;"Y",1&lt;$I111),0,IF(SUMPRODUCT(((BULK_ENABLED="Y")*((BULK_TIER="ALL")+(BULK_TIER=$F111))*((BULK_SKU="ALL")+(BULK_SKU=$G111))*(BULK_START&lt;=1)*(BULK_END&gt;=1)))&gt;0,IFERROR(SUMPRODUCT(((BULK_ENABLED="Y")*((BULK_TIER="ALL")+(BULK_TIER=$F111))*((BULK_SKU="ALL")+(BULK_SKU=$G111))*(BULK_START&lt;=1)*(BULK_END&gt;=1))*IFERROR(BULK_VALUE,0))/MAX(1,SUMPRODUCT(((BULK_ENABLED="Y")*((BULK_TIER="ALL")+(BULK_TIER=$F111))*((BULK_SKU="ALL")+(BULK_SKU=$G111))*(BULK_START&lt;=1)*(BULK_END&gt;=1)))),0),ROUND((INDEX(VELOCITY_TABLE,MATCH($F111,TIER_LIST,0),2))*(IF((1-$I111+1)&lt;=0,0,IF((1-$I111+1)=1,RAMP_W1,IF((1-$I111+1)=2,RAMP_W2,IF((1-$I111+1)=3,RAMP_W3,RAMP_W4PLUS)))))*(INDEX(ACTIVE_MULT_TABLE,2,1))*(1+SUMPRODUCT(SIGN(((ACT_DOOR_SCOPE="ALL")+(ACT_DOOR_SCOPE="TIER_"&amp;$F111)+(ACT_DOOR_SCOPE=$B111)))*SIGN(((ACT_SKU_SCOPE="ALL")+(ACT_SKU_SCOPE=$G111)))*(ACT_START&lt;=1)*(ACT_END&gt;=1)*IFERROR(ACT_UPLIFT-1,0)))*(1+SUMPRODUCT(SIGN(((ACT_DOOR_SCOPE="ALL")+(ACT_DOOR_SCOPE="TIER_"&amp;$F111)+(ACT_DOOR_SCOPE=$B111)))*SIGN(((ACT_SKU_SCOPE="ALL")+(ACT_SKU_SCOPE=$G111)))*(1&gt;ACT_END)*(ACT_END&gt;0)*IFERROR(ACT_POSTLIFT,0))),0)))</f>
        <v/>
      </c>
      <c r="K111" s="10">
        <f>IF(OR($H111&lt;&gt;"Y",2&lt;$I111),0,IF(SUMPRODUCT(((BULK_ENABLED="Y")*((BULK_TIER="ALL")+(BULK_TIER=$F111))*((BULK_SKU="ALL")+(BULK_SKU=$G111))*(BULK_START&lt;=2)*(BULK_END&gt;=2)))&gt;0,IFERROR(SUMPRODUCT(((BULK_ENABLED="Y")*((BULK_TIER="ALL")+(BULK_TIER=$F111))*((BULK_SKU="ALL")+(BULK_SKU=$G111))*(BULK_START&lt;=2)*(BULK_END&gt;=2))*IFERROR(BULK_VALUE,0))/MAX(1,SUMPRODUCT(((BULK_ENABLED="Y")*((BULK_TIER="ALL")+(BULK_TIER=$F111))*((BULK_SKU="ALL")+(BULK_SKU=$G111))*(BULK_START&lt;=2)*(BULK_END&gt;=2)))),0),ROUND((INDEX(VELOCITY_TABLE,MATCH($F111,TIER_LIST,0),2))*(IF((2-$I111+1)&lt;=0,0,IF((2-$I111+1)=1,RAMP_W1,IF((2-$I111+1)=2,RAMP_W2,IF((2-$I111+1)=3,RAMP_W3,RAMP_W4PLUS)))))*(INDEX(ACTIVE_MULT_TABLE,2,1))*(1+SUMPRODUCT(SIGN(((ACT_DOOR_SCOPE="ALL")+(ACT_DOOR_SCOPE="TIER_"&amp;$F111)+(ACT_DOOR_SCOPE=$B111)))*SIGN(((ACT_SKU_SCOPE="ALL")+(ACT_SKU_SCOPE=$G111)))*(ACT_START&lt;=2)*(ACT_END&gt;=2)*IFERROR(ACT_UPLIFT-1,0)))*(1+SUMPRODUCT(SIGN(((ACT_DOOR_SCOPE="ALL")+(ACT_DOOR_SCOPE="TIER_"&amp;$F111)+(ACT_DOOR_SCOPE=$B111)))*SIGN(((ACT_SKU_SCOPE="ALL")+(ACT_SKU_SCOPE=$G111)))*(2&gt;ACT_END)*(ACT_END&gt;0)*IFERROR(ACT_POSTLIFT,0))),0)))</f>
        <v/>
      </c>
      <c r="L111" s="10">
        <f>IF(OR($H111&lt;&gt;"Y",3&lt;$I111),0,IF(SUMPRODUCT(((BULK_ENABLED="Y")*((BULK_TIER="ALL")+(BULK_TIER=$F111))*((BULK_SKU="ALL")+(BULK_SKU=$G111))*(BULK_START&lt;=3)*(BULK_END&gt;=3)))&gt;0,IFERROR(SUMPRODUCT(((BULK_ENABLED="Y")*((BULK_TIER="ALL")+(BULK_TIER=$F111))*((BULK_SKU="ALL")+(BULK_SKU=$G111))*(BULK_START&lt;=3)*(BULK_END&gt;=3))*IFERROR(BULK_VALUE,0))/MAX(1,SUMPRODUCT(((BULK_ENABLED="Y")*((BULK_TIER="ALL")+(BULK_TIER=$F111))*((BULK_SKU="ALL")+(BULK_SKU=$G111))*(BULK_START&lt;=3)*(BULK_END&gt;=3)))),0),ROUND((INDEX(VELOCITY_TABLE,MATCH($F111,TIER_LIST,0),2))*(IF((3-$I111+1)&lt;=0,0,IF((3-$I111+1)=1,RAMP_W1,IF((3-$I111+1)=2,RAMP_W2,IF((3-$I111+1)=3,RAMP_W3,RAMP_W4PLUS)))))*(INDEX(ACTIVE_MULT_TABLE,2,1))*(1+SUMPRODUCT(SIGN(((ACT_DOOR_SCOPE="ALL")+(ACT_DOOR_SCOPE="TIER_"&amp;$F111)+(ACT_DOOR_SCOPE=$B111)))*SIGN(((ACT_SKU_SCOPE="ALL")+(ACT_SKU_SCOPE=$G111)))*(ACT_START&lt;=3)*(ACT_END&gt;=3)*IFERROR(ACT_UPLIFT-1,0)))*(1+SUMPRODUCT(SIGN(((ACT_DOOR_SCOPE="ALL")+(ACT_DOOR_SCOPE="TIER_"&amp;$F111)+(ACT_DOOR_SCOPE=$B111)))*SIGN(((ACT_SKU_SCOPE="ALL")+(ACT_SKU_SCOPE=$G111)))*(3&gt;ACT_END)*(ACT_END&gt;0)*IFERROR(ACT_POSTLIFT,0))),0)))</f>
        <v/>
      </c>
      <c r="M111" s="10">
        <f>IF(OR($H111&lt;&gt;"Y",4&lt;$I111),0,IF(SUMPRODUCT(((BULK_ENABLED="Y")*((BULK_TIER="ALL")+(BULK_TIER=$F111))*((BULK_SKU="ALL")+(BULK_SKU=$G111))*(BULK_START&lt;=4)*(BULK_END&gt;=4)))&gt;0,IFERROR(SUMPRODUCT(((BULK_ENABLED="Y")*((BULK_TIER="ALL")+(BULK_TIER=$F111))*((BULK_SKU="ALL")+(BULK_SKU=$G111))*(BULK_START&lt;=4)*(BULK_END&gt;=4))*IFERROR(BULK_VALUE,0))/MAX(1,SUMPRODUCT(((BULK_ENABLED="Y")*((BULK_TIER="ALL")+(BULK_TIER=$F111))*((BULK_SKU="ALL")+(BULK_SKU=$G111))*(BULK_START&lt;=4)*(BULK_END&gt;=4)))),0),ROUND((INDEX(VELOCITY_TABLE,MATCH($F111,TIER_LIST,0),2))*(IF((4-$I111+1)&lt;=0,0,IF((4-$I111+1)=1,RAMP_W1,IF((4-$I111+1)=2,RAMP_W2,IF((4-$I111+1)=3,RAMP_W3,RAMP_W4PLUS)))))*(INDEX(ACTIVE_MULT_TABLE,2,1))*(1+SUMPRODUCT(SIGN(((ACT_DOOR_SCOPE="ALL")+(ACT_DOOR_SCOPE="TIER_"&amp;$F111)+(ACT_DOOR_SCOPE=$B111)))*SIGN(((ACT_SKU_SCOPE="ALL")+(ACT_SKU_SCOPE=$G111)))*(ACT_START&lt;=4)*(ACT_END&gt;=4)*IFERROR(ACT_UPLIFT-1,0)))*(1+SUMPRODUCT(SIGN(((ACT_DOOR_SCOPE="ALL")+(ACT_DOOR_SCOPE="TIER_"&amp;$F111)+(ACT_DOOR_SCOPE=$B111)))*SIGN(((ACT_SKU_SCOPE="ALL")+(ACT_SKU_SCOPE=$G111)))*(4&gt;ACT_END)*(ACT_END&gt;0)*IFERROR(ACT_POSTLIFT,0))),0)))</f>
        <v/>
      </c>
      <c r="N111" s="10">
        <f>IF(OR($H111&lt;&gt;"Y",5&lt;$I111),0,IF(SUMPRODUCT(((BULK_ENABLED="Y")*((BULK_TIER="ALL")+(BULK_TIER=$F111))*((BULK_SKU="ALL")+(BULK_SKU=$G111))*(BULK_START&lt;=5)*(BULK_END&gt;=5)))&gt;0,IFERROR(SUMPRODUCT(((BULK_ENABLED="Y")*((BULK_TIER="ALL")+(BULK_TIER=$F111))*((BULK_SKU="ALL")+(BULK_SKU=$G111))*(BULK_START&lt;=5)*(BULK_END&gt;=5))*IFERROR(BULK_VALUE,0))/MAX(1,SUMPRODUCT(((BULK_ENABLED="Y")*((BULK_TIER="ALL")+(BULK_TIER=$F111))*((BULK_SKU="ALL")+(BULK_SKU=$G111))*(BULK_START&lt;=5)*(BULK_END&gt;=5)))),0),ROUND((INDEX(VELOCITY_TABLE,MATCH($F111,TIER_LIST,0),2))*(IF((5-$I111+1)&lt;=0,0,IF((5-$I111+1)=1,RAMP_W1,IF((5-$I111+1)=2,RAMP_W2,IF((5-$I111+1)=3,RAMP_W3,RAMP_W4PLUS)))))*(INDEX(ACTIVE_MULT_TABLE,2,1))*(1+SUMPRODUCT(SIGN(((ACT_DOOR_SCOPE="ALL")+(ACT_DOOR_SCOPE="TIER_"&amp;$F111)+(ACT_DOOR_SCOPE=$B111)))*SIGN(((ACT_SKU_SCOPE="ALL")+(ACT_SKU_SCOPE=$G111)))*(ACT_START&lt;=5)*(ACT_END&gt;=5)*IFERROR(ACT_UPLIFT-1,0)))*(1+SUMPRODUCT(SIGN(((ACT_DOOR_SCOPE="ALL")+(ACT_DOOR_SCOPE="TIER_"&amp;$F111)+(ACT_DOOR_SCOPE=$B111)))*SIGN(((ACT_SKU_SCOPE="ALL")+(ACT_SKU_SCOPE=$G111)))*(5&gt;ACT_END)*(ACT_END&gt;0)*IFERROR(ACT_POSTLIFT,0))),0)))</f>
        <v/>
      </c>
      <c r="O111" s="10">
        <f>IF(OR($H111&lt;&gt;"Y",6&lt;$I111),0,IF(SUMPRODUCT(((BULK_ENABLED="Y")*((BULK_TIER="ALL")+(BULK_TIER=$F111))*((BULK_SKU="ALL")+(BULK_SKU=$G111))*(BULK_START&lt;=6)*(BULK_END&gt;=6)))&gt;0,IFERROR(SUMPRODUCT(((BULK_ENABLED="Y")*((BULK_TIER="ALL")+(BULK_TIER=$F111))*((BULK_SKU="ALL")+(BULK_SKU=$G111))*(BULK_START&lt;=6)*(BULK_END&gt;=6))*IFERROR(BULK_VALUE,0))/MAX(1,SUMPRODUCT(((BULK_ENABLED="Y")*((BULK_TIER="ALL")+(BULK_TIER=$F111))*((BULK_SKU="ALL")+(BULK_SKU=$G111))*(BULK_START&lt;=6)*(BULK_END&gt;=6)))),0),ROUND((INDEX(VELOCITY_TABLE,MATCH($F111,TIER_LIST,0),2))*(IF((6-$I111+1)&lt;=0,0,IF((6-$I111+1)=1,RAMP_W1,IF((6-$I111+1)=2,RAMP_W2,IF((6-$I111+1)=3,RAMP_W3,RAMP_W4PLUS)))))*(INDEX(ACTIVE_MULT_TABLE,2,1))*(1+SUMPRODUCT(SIGN(((ACT_DOOR_SCOPE="ALL")+(ACT_DOOR_SCOPE="TIER_"&amp;$F111)+(ACT_DOOR_SCOPE=$B111)))*SIGN(((ACT_SKU_SCOPE="ALL")+(ACT_SKU_SCOPE=$G111)))*(ACT_START&lt;=6)*(ACT_END&gt;=6)*IFERROR(ACT_UPLIFT-1,0)))*(1+SUMPRODUCT(SIGN(((ACT_DOOR_SCOPE="ALL")+(ACT_DOOR_SCOPE="TIER_"&amp;$F111)+(ACT_DOOR_SCOPE=$B111)))*SIGN(((ACT_SKU_SCOPE="ALL")+(ACT_SKU_SCOPE=$G111)))*(6&gt;ACT_END)*(ACT_END&gt;0)*IFERROR(ACT_POSTLIFT,0))),0)))</f>
        <v/>
      </c>
      <c r="P111" s="10">
        <f>IF(OR($H111&lt;&gt;"Y",7&lt;$I111),0,IF(SUMPRODUCT(((BULK_ENABLED="Y")*((BULK_TIER="ALL")+(BULK_TIER=$F111))*((BULK_SKU="ALL")+(BULK_SKU=$G111))*(BULK_START&lt;=7)*(BULK_END&gt;=7)))&gt;0,IFERROR(SUMPRODUCT(((BULK_ENABLED="Y")*((BULK_TIER="ALL")+(BULK_TIER=$F111))*((BULK_SKU="ALL")+(BULK_SKU=$G111))*(BULK_START&lt;=7)*(BULK_END&gt;=7))*IFERROR(BULK_VALUE,0))/MAX(1,SUMPRODUCT(((BULK_ENABLED="Y")*((BULK_TIER="ALL")+(BULK_TIER=$F111))*((BULK_SKU="ALL")+(BULK_SKU=$G111))*(BULK_START&lt;=7)*(BULK_END&gt;=7)))),0),ROUND((INDEX(VELOCITY_TABLE,MATCH($F111,TIER_LIST,0),2))*(IF((7-$I111+1)&lt;=0,0,IF((7-$I111+1)=1,RAMP_W1,IF((7-$I111+1)=2,RAMP_W2,IF((7-$I111+1)=3,RAMP_W3,RAMP_W4PLUS)))))*(INDEX(ACTIVE_MULT_TABLE,2,1))*(1+SUMPRODUCT(SIGN(((ACT_DOOR_SCOPE="ALL")+(ACT_DOOR_SCOPE="TIER_"&amp;$F111)+(ACT_DOOR_SCOPE=$B111)))*SIGN(((ACT_SKU_SCOPE="ALL")+(ACT_SKU_SCOPE=$G111)))*(ACT_START&lt;=7)*(ACT_END&gt;=7)*IFERROR(ACT_UPLIFT-1,0)))*(1+SUMPRODUCT(SIGN(((ACT_DOOR_SCOPE="ALL")+(ACT_DOOR_SCOPE="TIER_"&amp;$F111)+(ACT_DOOR_SCOPE=$B111)))*SIGN(((ACT_SKU_SCOPE="ALL")+(ACT_SKU_SCOPE=$G111)))*(7&gt;ACT_END)*(ACT_END&gt;0)*IFERROR(ACT_POSTLIFT,0))),0)))</f>
        <v/>
      </c>
      <c r="Q111" s="10">
        <f>IF(OR($H111&lt;&gt;"Y",8&lt;$I111),0,IF(SUMPRODUCT(((BULK_ENABLED="Y")*((BULK_TIER="ALL")+(BULK_TIER=$F111))*((BULK_SKU="ALL")+(BULK_SKU=$G111))*(BULK_START&lt;=8)*(BULK_END&gt;=8)))&gt;0,IFERROR(SUMPRODUCT(((BULK_ENABLED="Y")*((BULK_TIER="ALL")+(BULK_TIER=$F111))*((BULK_SKU="ALL")+(BULK_SKU=$G111))*(BULK_START&lt;=8)*(BULK_END&gt;=8))*IFERROR(BULK_VALUE,0))/MAX(1,SUMPRODUCT(((BULK_ENABLED="Y")*((BULK_TIER="ALL")+(BULK_TIER=$F111))*((BULK_SKU="ALL")+(BULK_SKU=$G111))*(BULK_START&lt;=8)*(BULK_END&gt;=8)))),0),ROUND((INDEX(VELOCITY_TABLE,MATCH($F111,TIER_LIST,0),2))*(IF((8-$I111+1)&lt;=0,0,IF((8-$I111+1)=1,RAMP_W1,IF((8-$I111+1)=2,RAMP_W2,IF((8-$I111+1)=3,RAMP_W3,RAMP_W4PLUS)))))*(INDEX(ACTIVE_MULT_TABLE,2,1))*(1+SUMPRODUCT(SIGN(((ACT_DOOR_SCOPE="ALL")+(ACT_DOOR_SCOPE="TIER_"&amp;$F111)+(ACT_DOOR_SCOPE=$B111)))*SIGN(((ACT_SKU_SCOPE="ALL")+(ACT_SKU_SCOPE=$G111)))*(ACT_START&lt;=8)*(ACT_END&gt;=8)*IFERROR(ACT_UPLIFT-1,0)))*(1+SUMPRODUCT(SIGN(((ACT_DOOR_SCOPE="ALL")+(ACT_DOOR_SCOPE="TIER_"&amp;$F111)+(ACT_DOOR_SCOPE=$B111)))*SIGN(((ACT_SKU_SCOPE="ALL")+(ACT_SKU_SCOPE=$G111)))*(8&gt;ACT_END)*(ACT_END&gt;0)*IFERROR(ACT_POSTLIFT,0))),0)))</f>
        <v/>
      </c>
      <c r="R111" s="10">
        <f>IF(OR($H111&lt;&gt;"Y",9&lt;$I111),0,IF(SUMPRODUCT(((BULK_ENABLED="Y")*((BULK_TIER="ALL")+(BULK_TIER=$F111))*((BULK_SKU="ALL")+(BULK_SKU=$G111))*(BULK_START&lt;=9)*(BULK_END&gt;=9)))&gt;0,IFERROR(SUMPRODUCT(((BULK_ENABLED="Y")*((BULK_TIER="ALL")+(BULK_TIER=$F111))*((BULK_SKU="ALL")+(BULK_SKU=$G111))*(BULK_START&lt;=9)*(BULK_END&gt;=9))*IFERROR(BULK_VALUE,0))/MAX(1,SUMPRODUCT(((BULK_ENABLED="Y")*((BULK_TIER="ALL")+(BULK_TIER=$F111))*((BULK_SKU="ALL")+(BULK_SKU=$G111))*(BULK_START&lt;=9)*(BULK_END&gt;=9)))),0),ROUND((INDEX(VELOCITY_TABLE,MATCH($F111,TIER_LIST,0),2))*(IF((9-$I111+1)&lt;=0,0,IF((9-$I111+1)=1,RAMP_W1,IF((9-$I111+1)=2,RAMP_W2,IF((9-$I111+1)=3,RAMP_W3,RAMP_W4PLUS)))))*(INDEX(ACTIVE_MULT_TABLE,2,1))*(1+SUMPRODUCT(SIGN(((ACT_DOOR_SCOPE="ALL")+(ACT_DOOR_SCOPE="TIER_"&amp;$F111)+(ACT_DOOR_SCOPE=$B111)))*SIGN(((ACT_SKU_SCOPE="ALL")+(ACT_SKU_SCOPE=$G111)))*(ACT_START&lt;=9)*(ACT_END&gt;=9)*IFERROR(ACT_UPLIFT-1,0)))*(1+SUMPRODUCT(SIGN(((ACT_DOOR_SCOPE="ALL")+(ACT_DOOR_SCOPE="TIER_"&amp;$F111)+(ACT_DOOR_SCOPE=$B111)))*SIGN(((ACT_SKU_SCOPE="ALL")+(ACT_SKU_SCOPE=$G111)))*(9&gt;ACT_END)*(ACT_END&gt;0)*IFERROR(ACT_POSTLIFT,0))),0)))</f>
        <v/>
      </c>
      <c r="S111" s="10">
        <f>IF(OR($H111&lt;&gt;"Y",10&lt;$I111),0,IF(SUMPRODUCT(((BULK_ENABLED="Y")*((BULK_TIER="ALL")+(BULK_TIER=$F111))*((BULK_SKU="ALL")+(BULK_SKU=$G111))*(BULK_START&lt;=10)*(BULK_END&gt;=10)))&gt;0,IFERROR(SUMPRODUCT(((BULK_ENABLED="Y")*((BULK_TIER="ALL")+(BULK_TIER=$F111))*((BULK_SKU="ALL")+(BULK_SKU=$G111))*(BULK_START&lt;=10)*(BULK_END&gt;=10))*IFERROR(BULK_VALUE,0))/MAX(1,SUMPRODUCT(((BULK_ENABLED="Y")*((BULK_TIER="ALL")+(BULK_TIER=$F111))*((BULK_SKU="ALL")+(BULK_SKU=$G111))*(BULK_START&lt;=10)*(BULK_END&gt;=10)))),0),ROUND((INDEX(VELOCITY_TABLE,MATCH($F111,TIER_LIST,0),2))*(IF((10-$I111+1)&lt;=0,0,IF((10-$I111+1)=1,RAMP_W1,IF((10-$I111+1)=2,RAMP_W2,IF((10-$I111+1)=3,RAMP_W3,RAMP_W4PLUS)))))*(INDEX(ACTIVE_MULT_TABLE,2,1))*(1+SUMPRODUCT(SIGN(((ACT_DOOR_SCOPE="ALL")+(ACT_DOOR_SCOPE="TIER_"&amp;$F111)+(ACT_DOOR_SCOPE=$B111)))*SIGN(((ACT_SKU_SCOPE="ALL")+(ACT_SKU_SCOPE=$G111)))*(ACT_START&lt;=10)*(ACT_END&gt;=10)*IFERROR(ACT_UPLIFT-1,0)))*(1+SUMPRODUCT(SIGN(((ACT_DOOR_SCOPE="ALL")+(ACT_DOOR_SCOPE="TIER_"&amp;$F111)+(ACT_DOOR_SCOPE=$B111)))*SIGN(((ACT_SKU_SCOPE="ALL")+(ACT_SKU_SCOPE=$G111)))*(10&gt;ACT_END)*(ACT_END&gt;0)*IFERROR(ACT_POSTLIFT,0))),0)))</f>
        <v/>
      </c>
      <c r="T111" s="10">
        <f>IF(OR($H111&lt;&gt;"Y",11&lt;$I111),0,IF(SUMPRODUCT(((BULK_ENABLED="Y")*((BULK_TIER="ALL")+(BULK_TIER=$F111))*((BULK_SKU="ALL")+(BULK_SKU=$G111))*(BULK_START&lt;=11)*(BULK_END&gt;=11)))&gt;0,IFERROR(SUMPRODUCT(((BULK_ENABLED="Y")*((BULK_TIER="ALL")+(BULK_TIER=$F111))*((BULK_SKU="ALL")+(BULK_SKU=$G111))*(BULK_START&lt;=11)*(BULK_END&gt;=11))*IFERROR(BULK_VALUE,0))/MAX(1,SUMPRODUCT(((BULK_ENABLED="Y")*((BULK_TIER="ALL")+(BULK_TIER=$F111))*((BULK_SKU="ALL")+(BULK_SKU=$G111))*(BULK_START&lt;=11)*(BULK_END&gt;=11)))),0),ROUND((INDEX(VELOCITY_TABLE,MATCH($F111,TIER_LIST,0),2))*(IF((11-$I111+1)&lt;=0,0,IF((11-$I111+1)=1,RAMP_W1,IF((11-$I111+1)=2,RAMP_W2,IF((11-$I111+1)=3,RAMP_W3,RAMP_W4PLUS)))))*(INDEX(ACTIVE_MULT_TABLE,2,1))*(1+SUMPRODUCT(SIGN(((ACT_DOOR_SCOPE="ALL")+(ACT_DOOR_SCOPE="TIER_"&amp;$F111)+(ACT_DOOR_SCOPE=$B111)))*SIGN(((ACT_SKU_SCOPE="ALL")+(ACT_SKU_SCOPE=$G111)))*(ACT_START&lt;=11)*(ACT_END&gt;=11)*IFERROR(ACT_UPLIFT-1,0)))*(1+SUMPRODUCT(SIGN(((ACT_DOOR_SCOPE="ALL")+(ACT_DOOR_SCOPE="TIER_"&amp;$F111)+(ACT_DOOR_SCOPE=$B111)))*SIGN(((ACT_SKU_SCOPE="ALL")+(ACT_SKU_SCOPE=$G111)))*(11&gt;ACT_END)*(ACT_END&gt;0)*IFERROR(ACT_POSTLIFT,0))),0)))</f>
        <v/>
      </c>
      <c r="U111" s="10">
        <f>IF(OR($H111&lt;&gt;"Y",12&lt;$I111),0,IF(SUMPRODUCT(((BULK_ENABLED="Y")*((BULK_TIER="ALL")+(BULK_TIER=$F111))*((BULK_SKU="ALL")+(BULK_SKU=$G111))*(BULK_START&lt;=12)*(BULK_END&gt;=12)))&gt;0,IFERROR(SUMPRODUCT(((BULK_ENABLED="Y")*((BULK_TIER="ALL")+(BULK_TIER=$F111))*((BULK_SKU="ALL")+(BULK_SKU=$G111))*(BULK_START&lt;=12)*(BULK_END&gt;=12))*IFERROR(BULK_VALUE,0))/MAX(1,SUMPRODUCT(((BULK_ENABLED="Y")*((BULK_TIER="ALL")+(BULK_TIER=$F111))*((BULK_SKU="ALL")+(BULK_SKU=$G111))*(BULK_START&lt;=12)*(BULK_END&gt;=12)))),0),ROUND((INDEX(VELOCITY_TABLE,MATCH($F111,TIER_LIST,0),2))*(IF((12-$I111+1)&lt;=0,0,IF((12-$I111+1)=1,RAMP_W1,IF((12-$I111+1)=2,RAMP_W2,IF((12-$I111+1)=3,RAMP_W3,RAMP_W4PLUS)))))*(INDEX(ACTIVE_MULT_TABLE,2,1))*(1+SUMPRODUCT(SIGN(((ACT_DOOR_SCOPE="ALL")+(ACT_DOOR_SCOPE="TIER_"&amp;$F111)+(ACT_DOOR_SCOPE=$B111)))*SIGN(((ACT_SKU_SCOPE="ALL")+(ACT_SKU_SCOPE=$G111)))*(ACT_START&lt;=12)*(ACT_END&gt;=12)*IFERROR(ACT_UPLIFT-1,0)))*(1+SUMPRODUCT(SIGN(((ACT_DOOR_SCOPE="ALL")+(ACT_DOOR_SCOPE="TIER_"&amp;$F111)+(ACT_DOOR_SCOPE=$B111)))*SIGN(((ACT_SKU_SCOPE="ALL")+(ACT_SKU_SCOPE=$G111)))*(12&gt;ACT_END)*(ACT_END&gt;0)*IFERROR(ACT_POSTLIFT,0))),0)))</f>
        <v/>
      </c>
      <c r="V111" s="10">
        <f>IF(OR($H111&lt;&gt;"Y",13&lt;$I111),0,IF(SUMPRODUCT(((BULK_ENABLED="Y")*((BULK_TIER="ALL")+(BULK_TIER=$F111))*((BULK_SKU="ALL")+(BULK_SKU=$G111))*(BULK_START&lt;=13)*(BULK_END&gt;=13)))&gt;0,IFERROR(SUMPRODUCT(((BULK_ENABLED="Y")*((BULK_TIER="ALL")+(BULK_TIER=$F111))*((BULK_SKU="ALL")+(BULK_SKU=$G111))*(BULK_START&lt;=13)*(BULK_END&gt;=13))*IFERROR(BULK_VALUE,0))/MAX(1,SUMPRODUCT(((BULK_ENABLED="Y")*((BULK_TIER="ALL")+(BULK_TIER=$F111))*((BULK_SKU="ALL")+(BULK_SKU=$G111))*(BULK_START&lt;=13)*(BULK_END&gt;=13)))),0),ROUND((INDEX(VELOCITY_TABLE,MATCH($F111,TIER_LIST,0),2))*(IF((13-$I111+1)&lt;=0,0,IF((13-$I111+1)=1,RAMP_W1,IF((13-$I111+1)=2,RAMP_W2,IF((13-$I111+1)=3,RAMP_W3,RAMP_W4PLUS)))))*(INDEX(ACTIVE_MULT_TABLE,2,1))*(1+SUMPRODUCT(SIGN(((ACT_DOOR_SCOPE="ALL")+(ACT_DOOR_SCOPE="TIER_"&amp;$F111)+(ACT_DOOR_SCOPE=$B111)))*SIGN(((ACT_SKU_SCOPE="ALL")+(ACT_SKU_SCOPE=$G111)))*(ACT_START&lt;=13)*(ACT_END&gt;=13)*IFERROR(ACT_UPLIFT-1,0)))*(1+SUMPRODUCT(SIGN(((ACT_DOOR_SCOPE="ALL")+(ACT_DOOR_SCOPE="TIER_"&amp;$F111)+(ACT_DOOR_SCOPE=$B111)))*SIGN(((ACT_SKU_SCOPE="ALL")+(ACT_SKU_SCOPE=$G111)))*(13&gt;ACT_END)*(ACT_END&gt;0)*IFERROR(ACT_POSTLIFT,0))),0)))</f>
        <v/>
      </c>
    </row>
    <row r="112">
      <c r="A112" t="inlineStr">
        <is>
          <t>R0108</t>
        </is>
      </c>
      <c r="B112">
        <f>Doors!$A$40</f>
        <v/>
      </c>
      <c r="C112">
        <f>Doors!$C$40</f>
        <v/>
      </c>
      <c r="D112">
        <f>Doors!$B$40</f>
        <v/>
      </c>
      <c r="E112">
        <f>Doors!$E$40</f>
        <v/>
      </c>
      <c r="F112">
        <f>Doors!$F$40</f>
        <v/>
      </c>
      <c r="G112" t="inlineStr">
        <is>
          <t>Raspberry</t>
        </is>
      </c>
      <c r="H112">
        <f>Doors!$I$40</f>
        <v/>
      </c>
      <c r="I112">
        <f>Doors!$J$40</f>
        <v/>
      </c>
      <c r="J112" s="10">
        <f>IF(OR($H112&lt;&gt;"Y",1&lt;$I112),0,IF(SUMPRODUCT(((BULK_ENABLED="Y")*((BULK_TIER="ALL")+(BULK_TIER=$F112))*((BULK_SKU="ALL")+(BULK_SKU=$G112))*(BULK_START&lt;=1)*(BULK_END&gt;=1)))&gt;0,IFERROR(SUMPRODUCT(((BULK_ENABLED="Y")*((BULK_TIER="ALL")+(BULK_TIER=$F112))*((BULK_SKU="ALL")+(BULK_SKU=$G112))*(BULK_START&lt;=1)*(BULK_END&gt;=1))*IFERROR(BULK_VALUE,0))/MAX(1,SUMPRODUCT(((BULK_ENABLED="Y")*((BULK_TIER="ALL")+(BULK_TIER=$F112))*((BULK_SKU="ALL")+(BULK_SKU=$G112))*(BULK_START&lt;=1)*(BULK_END&gt;=1)))),0),ROUND((INDEX(VELOCITY_TABLE,MATCH($F112,TIER_LIST,0),3))*(IF((1-$I112+1)&lt;=0,0,IF((1-$I112+1)=1,RAMP_W1,IF((1-$I112+1)=2,RAMP_W2,IF((1-$I112+1)=3,RAMP_W3,RAMP_W4PLUS)))))*(INDEX(ACTIVE_MULT_TABLE,3,1))*(1+SUMPRODUCT(SIGN(((ACT_DOOR_SCOPE="ALL")+(ACT_DOOR_SCOPE="TIER_"&amp;$F112)+(ACT_DOOR_SCOPE=$B112)))*SIGN(((ACT_SKU_SCOPE="ALL")+(ACT_SKU_SCOPE=$G112)))*(ACT_START&lt;=1)*(ACT_END&gt;=1)*IFERROR(ACT_UPLIFT-1,0)))*(1+SUMPRODUCT(SIGN(((ACT_DOOR_SCOPE="ALL")+(ACT_DOOR_SCOPE="TIER_"&amp;$F112)+(ACT_DOOR_SCOPE=$B112)))*SIGN(((ACT_SKU_SCOPE="ALL")+(ACT_SKU_SCOPE=$G112)))*(1&gt;ACT_END)*(ACT_END&gt;0)*IFERROR(ACT_POSTLIFT,0))),0)))</f>
        <v/>
      </c>
      <c r="K112" s="10">
        <f>IF(OR($H112&lt;&gt;"Y",2&lt;$I112),0,IF(SUMPRODUCT(((BULK_ENABLED="Y")*((BULK_TIER="ALL")+(BULK_TIER=$F112))*((BULK_SKU="ALL")+(BULK_SKU=$G112))*(BULK_START&lt;=2)*(BULK_END&gt;=2)))&gt;0,IFERROR(SUMPRODUCT(((BULK_ENABLED="Y")*((BULK_TIER="ALL")+(BULK_TIER=$F112))*((BULK_SKU="ALL")+(BULK_SKU=$G112))*(BULK_START&lt;=2)*(BULK_END&gt;=2))*IFERROR(BULK_VALUE,0))/MAX(1,SUMPRODUCT(((BULK_ENABLED="Y")*((BULK_TIER="ALL")+(BULK_TIER=$F112))*((BULK_SKU="ALL")+(BULK_SKU=$G112))*(BULK_START&lt;=2)*(BULK_END&gt;=2)))),0),ROUND((INDEX(VELOCITY_TABLE,MATCH($F112,TIER_LIST,0),3))*(IF((2-$I112+1)&lt;=0,0,IF((2-$I112+1)=1,RAMP_W1,IF((2-$I112+1)=2,RAMP_W2,IF((2-$I112+1)=3,RAMP_W3,RAMP_W4PLUS)))))*(INDEX(ACTIVE_MULT_TABLE,3,1))*(1+SUMPRODUCT(SIGN(((ACT_DOOR_SCOPE="ALL")+(ACT_DOOR_SCOPE="TIER_"&amp;$F112)+(ACT_DOOR_SCOPE=$B112)))*SIGN(((ACT_SKU_SCOPE="ALL")+(ACT_SKU_SCOPE=$G112)))*(ACT_START&lt;=2)*(ACT_END&gt;=2)*IFERROR(ACT_UPLIFT-1,0)))*(1+SUMPRODUCT(SIGN(((ACT_DOOR_SCOPE="ALL")+(ACT_DOOR_SCOPE="TIER_"&amp;$F112)+(ACT_DOOR_SCOPE=$B112)))*SIGN(((ACT_SKU_SCOPE="ALL")+(ACT_SKU_SCOPE=$G112)))*(2&gt;ACT_END)*(ACT_END&gt;0)*IFERROR(ACT_POSTLIFT,0))),0)))</f>
        <v/>
      </c>
      <c r="L112" s="10">
        <f>IF(OR($H112&lt;&gt;"Y",3&lt;$I112),0,IF(SUMPRODUCT(((BULK_ENABLED="Y")*((BULK_TIER="ALL")+(BULK_TIER=$F112))*((BULK_SKU="ALL")+(BULK_SKU=$G112))*(BULK_START&lt;=3)*(BULK_END&gt;=3)))&gt;0,IFERROR(SUMPRODUCT(((BULK_ENABLED="Y")*((BULK_TIER="ALL")+(BULK_TIER=$F112))*((BULK_SKU="ALL")+(BULK_SKU=$G112))*(BULK_START&lt;=3)*(BULK_END&gt;=3))*IFERROR(BULK_VALUE,0))/MAX(1,SUMPRODUCT(((BULK_ENABLED="Y")*((BULK_TIER="ALL")+(BULK_TIER=$F112))*((BULK_SKU="ALL")+(BULK_SKU=$G112))*(BULK_START&lt;=3)*(BULK_END&gt;=3)))),0),ROUND((INDEX(VELOCITY_TABLE,MATCH($F112,TIER_LIST,0),3))*(IF((3-$I112+1)&lt;=0,0,IF((3-$I112+1)=1,RAMP_W1,IF((3-$I112+1)=2,RAMP_W2,IF((3-$I112+1)=3,RAMP_W3,RAMP_W4PLUS)))))*(INDEX(ACTIVE_MULT_TABLE,3,1))*(1+SUMPRODUCT(SIGN(((ACT_DOOR_SCOPE="ALL")+(ACT_DOOR_SCOPE="TIER_"&amp;$F112)+(ACT_DOOR_SCOPE=$B112)))*SIGN(((ACT_SKU_SCOPE="ALL")+(ACT_SKU_SCOPE=$G112)))*(ACT_START&lt;=3)*(ACT_END&gt;=3)*IFERROR(ACT_UPLIFT-1,0)))*(1+SUMPRODUCT(SIGN(((ACT_DOOR_SCOPE="ALL")+(ACT_DOOR_SCOPE="TIER_"&amp;$F112)+(ACT_DOOR_SCOPE=$B112)))*SIGN(((ACT_SKU_SCOPE="ALL")+(ACT_SKU_SCOPE=$G112)))*(3&gt;ACT_END)*(ACT_END&gt;0)*IFERROR(ACT_POSTLIFT,0))),0)))</f>
        <v/>
      </c>
      <c r="M112" s="10">
        <f>IF(OR($H112&lt;&gt;"Y",4&lt;$I112),0,IF(SUMPRODUCT(((BULK_ENABLED="Y")*((BULK_TIER="ALL")+(BULK_TIER=$F112))*((BULK_SKU="ALL")+(BULK_SKU=$G112))*(BULK_START&lt;=4)*(BULK_END&gt;=4)))&gt;0,IFERROR(SUMPRODUCT(((BULK_ENABLED="Y")*((BULK_TIER="ALL")+(BULK_TIER=$F112))*((BULK_SKU="ALL")+(BULK_SKU=$G112))*(BULK_START&lt;=4)*(BULK_END&gt;=4))*IFERROR(BULK_VALUE,0))/MAX(1,SUMPRODUCT(((BULK_ENABLED="Y")*((BULK_TIER="ALL")+(BULK_TIER=$F112))*((BULK_SKU="ALL")+(BULK_SKU=$G112))*(BULK_START&lt;=4)*(BULK_END&gt;=4)))),0),ROUND((INDEX(VELOCITY_TABLE,MATCH($F112,TIER_LIST,0),3))*(IF((4-$I112+1)&lt;=0,0,IF((4-$I112+1)=1,RAMP_W1,IF((4-$I112+1)=2,RAMP_W2,IF((4-$I112+1)=3,RAMP_W3,RAMP_W4PLUS)))))*(INDEX(ACTIVE_MULT_TABLE,3,1))*(1+SUMPRODUCT(SIGN(((ACT_DOOR_SCOPE="ALL")+(ACT_DOOR_SCOPE="TIER_"&amp;$F112)+(ACT_DOOR_SCOPE=$B112)))*SIGN(((ACT_SKU_SCOPE="ALL")+(ACT_SKU_SCOPE=$G112)))*(ACT_START&lt;=4)*(ACT_END&gt;=4)*IFERROR(ACT_UPLIFT-1,0)))*(1+SUMPRODUCT(SIGN(((ACT_DOOR_SCOPE="ALL")+(ACT_DOOR_SCOPE="TIER_"&amp;$F112)+(ACT_DOOR_SCOPE=$B112)))*SIGN(((ACT_SKU_SCOPE="ALL")+(ACT_SKU_SCOPE=$G112)))*(4&gt;ACT_END)*(ACT_END&gt;0)*IFERROR(ACT_POSTLIFT,0))),0)))</f>
        <v/>
      </c>
      <c r="N112" s="10">
        <f>IF(OR($H112&lt;&gt;"Y",5&lt;$I112),0,IF(SUMPRODUCT(((BULK_ENABLED="Y")*((BULK_TIER="ALL")+(BULK_TIER=$F112))*((BULK_SKU="ALL")+(BULK_SKU=$G112))*(BULK_START&lt;=5)*(BULK_END&gt;=5)))&gt;0,IFERROR(SUMPRODUCT(((BULK_ENABLED="Y")*((BULK_TIER="ALL")+(BULK_TIER=$F112))*((BULK_SKU="ALL")+(BULK_SKU=$G112))*(BULK_START&lt;=5)*(BULK_END&gt;=5))*IFERROR(BULK_VALUE,0))/MAX(1,SUMPRODUCT(((BULK_ENABLED="Y")*((BULK_TIER="ALL")+(BULK_TIER=$F112))*((BULK_SKU="ALL")+(BULK_SKU=$G112))*(BULK_START&lt;=5)*(BULK_END&gt;=5)))),0),ROUND((INDEX(VELOCITY_TABLE,MATCH($F112,TIER_LIST,0),3))*(IF((5-$I112+1)&lt;=0,0,IF((5-$I112+1)=1,RAMP_W1,IF((5-$I112+1)=2,RAMP_W2,IF((5-$I112+1)=3,RAMP_W3,RAMP_W4PLUS)))))*(INDEX(ACTIVE_MULT_TABLE,3,1))*(1+SUMPRODUCT(SIGN(((ACT_DOOR_SCOPE="ALL")+(ACT_DOOR_SCOPE="TIER_"&amp;$F112)+(ACT_DOOR_SCOPE=$B112)))*SIGN(((ACT_SKU_SCOPE="ALL")+(ACT_SKU_SCOPE=$G112)))*(ACT_START&lt;=5)*(ACT_END&gt;=5)*IFERROR(ACT_UPLIFT-1,0)))*(1+SUMPRODUCT(SIGN(((ACT_DOOR_SCOPE="ALL")+(ACT_DOOR_SCOPE="TIER_"&amp;$F112)+(ACT_DOOR_SCOPE=$B112)))*SIGN(((ACT_SKU_SCOPE="ALL")+(ACT_SKU_SCOPE=$G112)))*(5&gt;ACT_END)*(ACT_END&gt;0)*IFERROR(ACT_POSTLIFT,0))),0)))</f>
        <v/>
      </c>
      <c r="O112" s="10">
        <f>IF(OR($H112&lt;&gt;"Y",6&lt;$I112),0,IF(SUMPRODUCT(((BULK_ENABLED="Y")*((BULK_TIER="ALL")+(BULK_TIER=$F112))*((BULK_SKU="ALL")+(BULK_SKU=$G112))*(BULK_START&lt;=6)*(BULK_END&gt;=6)))&gt;0,IFERROR(SUMPRODUCT(((BULK_ENABLED="Y")*((BULK_TIER="ALL")+(BULK_TIER=$F112))*((BULK_SKU="ALL")+(BULK_SKU=$G112))*(BULK_START&lt;=6)*(BULK_END&gt;=6))*IFERROR(BULK_VALUE,0))/MAX(1,SUMPRODUCT(((BULK_ENABLED="Y")*((BULK_TIER="ALL")+(BULK_TIER=$F112))*((BULK_SKU="ALL")+(BULK_SKU=$G112))*(BULK_START&lt;=6)*(BULK_END&gt;=6)))),0),ROUND((INDEX(VELOCITY_TABLE,MATCH($F112,TIER_LIST,0),3))*(IF((6-$I112+1)&lt;=0,0,IF((6-$I112+1)=1,RAMP_W1,IF((6-$I112+1)=2,RAMP_W2,IF((6-$I112+1)=3,RAMP_W3,RAMP_W4PLUS)))))*(INDEX(ACTIVE_MULT_TABLE,3,1))*(1+SUMPRODUCT(SIGN(((ACT_DOOR_SCOPE="ALL")+(ACT_DOOR_SCOPE="TIER_"&amp;$F112)+(ACT_DOOR_SCOPE=$B112)))*SIGN(((ACT_SKU_SCOPE="ALL")+(ACT_SKU_SCOPE=$G112)))*(ACT_START&lt;=6)*(ACT_END&gt;=6)*IFERROR(ACT_UPLIFT-1,0)))*(1+SUMPRODUCT(SIGN(((ACT_DOOR_SCOPE="ALL")+(ACT_DOOR_SCOPE="TIER_"&amp;$F112)+(ACT_DOOR_SCOPE=$B112)))*SIGN(((ACT_SKU_SCOPE="ALL")+(ACT_SKU_SCOPE=$G112)))*(6&gt;ACT_END)*(ACT_END&gt;0)*IFERROR(ACT_POSTLIFT,0))),0)))</f>
        <v/>
      </c>
      <c r="P112" s="10">
        <f>IF(OR($H112&lt;&gt;"Y",7&lt;$I112),0,IF(SUMPRODUCT(((BULK_ENABLED="Y")*((BULK_TIER="ALL")+(BULK_TIER=$F112))*((BULK_SKU="ALL")+(BULK_SKU=$G112))*(BULK_START&lt;=7)*(BULK_END&gt;=7)))&gt;0,IFERROR(SUMPRODUCT(((BULK_ENABLED="Y")*((BULK_TIER="ALL")+(BULK_TIER=$F112))*((BULK_SKU="ALL")+(BULK_SKU=$G112))*(BULK_START&lt;=7)*(BULK_END&gt;=7))*IFERROR(BULK_VALUE,0))/MAX(1,SUMPRODUCT(((BULK_ENABLED="Y")*((BULK_TIER="ALL")+(BULK_TIER=$F112))*((BULK_SKU="ALL")+(BULK_SKU=$G112))*(BULK_START&lt;=7)*(BULK_END&gt;=7)))),0),ROUND((INDEX(VELOCITY_TABLE,MATCH($F112,TIER_LIST,0),3))*(IF((7-$I112+1)&lt;=0,0,IF((7-$I112+1)=1,RAMP_W1,IF((7-$I112+1)=2,RAMP_W2,IF((7-$I112+1)=3,RAMP_W3,RAMP_W4PLUS)))))*(INDEX(ACTIVE_MULT_TABLE,3,1))*(1+SUMPRODUCT(SIGN(((ACT_DOOR_SCOPE="ALL")+(ACT_DOOR_SCOPE="TIER_"&amp;$F112)+(ACT_DOOR_SCOPE=$B112)))*SIGN(((ACT_SKU_SCOPE="ALL")+(ACT_SKU_SCOPE=$G112)))*(ACT_START&lt;=7)*(ACT_END&gt;=7)*IFERROR(ACT_UPLIFT-1,0)))*(1+SUMPRODUCT(SIGN(((ACT_DOOR_SCOPE="ALL")+(ACT_DOOR_SCOPE="TIER_"&amp;$F112)+(ACT_DOOR_SCOPE=$B112)))*SIGN(((ACT_SKU_SCOPE="ALL")+(ACT_SKU_SCOPE=$G112)))*(7&gt;ACT_END)*(ACT_END&gt;0)*IFERROR(ACT_POSTLIFT,0))),0)))</f>
        <v/>
      </c>
      <c r="Q112" s="10">
        <f>IF(OR($H112&lt;&gt;"Y",8&lt;$I112),0,IF(SUMPRODUCT(((BULK_ENABLED="Y")*((BULK_TIER="ALL")+(BULK_TIER=$F112))*((BULK_SKU="ALL")+(BULK_SKU=$G112))*(BULK_START&lt;=8)*(BULK_END&gt;=8)))&gt;0,IFERROR(SUMPRODUCT(((BULK_ENABLED="Y")*((BULK_TIER="ALL")+(BULK_TIER=$F112))*((BULK_SKU="ALL")+(BULK_SKU=$G112))*(BULK_START&lt;=8)*(BULK_END&gt;=8))*IFERROR(BULK_VALUE,0))/MAX(1,SUMPRODUCT(((BULK_ENABLED="Y")*((BULK_TIER="ALL")+(BULK_TIER=$F112))*((BULK_SKU="ALL")+(BULK_SKU=$G112))*(BULK_START&lt;=8)*(BULK_END&gt;=8)))),0),ROUND((INDEX(VELOCITY_TABLE,MATCH($F112,TIER_LIST,0),3))*(IF((8-$I112+1)&lt;=0,0,IF((8-$I112+1)=1,RAMP_W1,IF((8-$I112+1)=2,RAMP_W2,IF((8-$I112+1)=3,RAMP_W3,RAMP_W4PLUS)))))*(INDEX(ACTIVE_MULT_TABLE,3,1))*(1+SUMPRODUCT(SIGN(((ACT_DOOR_SCOPE="ALL")+(ACT_DOOR_SCOPE="TIER_"&amp;$F112)+(ACT_DOOR_SCOPE=$B112)))*SIGN(((ACT_SKU_SCOPE="ALL")+(ACT_SKU_SCOPE=$G112)))*(ACT_START&lt;=8)*(ACT_END&gt;=8)*IFERROR(ACT_UPLIFT-1,0)))*(1+SUMPRODUCT(SIGN(((ACT_DOOR_SCOPE="ALL")+(ACT_DOOR_SCOPE="TIER_"&amp;$F112)+(ACT_DOOR_SCOPE=$B112)))*SIGN(((ACT_SKU_SCOPE="ALL")+(ACT_SKU_SCOPE=$G112)))*(8&gt;ACT_END)*(ACT_END&gt;0)*IFERROR(ACT_POSTLIFT,0))),0)))</f>
        <v/>
      </c>
      <c r="R112" s="10">
        <f>IF(OR($H112&lt;&gt;"Y",9&lt;$I112),0,IF(SUMPRODUCT(((BULK_ENABLED="Y")*((BULK_TIER="ALL")+(BULK_TIER=$F112))*((BULK_SKU="ALL")+(BULK_SKU=$G112))*(BULK_START&lt;=9)*(BULK_END&gt;=9)))&gt;0,IFERROR(SUMPRODUCT(((BULK_ENABLED="Y")*((BULK_TIER="ALL")+(BULK_TIER=$F112))*((BULK_SKU="ALL")+(BULK_SKU=$G112))*(BULK_START&lt;=9)*(BULK_END&gt;=9))*IFERROR(BULK_VALUE,0))/MAX(1,SUMPRODUCT(((BULK_ENABLED="Y")*((BULK_TIER="ALL")+(BULK_TIER=$F112))*((BULK_SKU="ALL")+(BULK_SKU=$G112))*(BULK_START&lt;=9)*(BULK_END&gt;=9)))),0),ROUND((INDEX(VELOCITY_TABLE,MATCH($F112,TIER_LIST,0),3))*(IF((9-$I112+1)&lt;=0,0,IF((9-$I112+1)=1,RAMP_W1,IF((9-$I112+1)=2,RAMP_W2,IF((9-$I112+1)=3,RAMP_W3,RAMP_W4PLUS)))))*(INDEX(ACTIVE_MULT_TABLE,3,1))*(1+SUMPRODUCT(SIGN(((ACT_DOOR_SCOPE="ALL")+(ACT_DOOR_SCOPE="TIER_"&amp;$F112)+(ACT_DOOR_SCOPE=$B112)))*SIGN(((ACT_SKU_SCOPE="ALL")+(ACT_SKU_SCOPE=$G112)))*(ACT_START&lt;=9)*(ACT_END&gt;=9)*IFERROR(ACT_UPLIFT-1,0)))*(1+SUMPRODUCT(SIGN(((ACT_DOOR_SCOPE="ALL")+(ACT_DOOR_SCOPE="TIER_"&amp;$F112)+(ACT_DOOR_SCOPE=$B112)))*SIGN(((ACT_SKU_SCOPE="ALL")+(ACT_SKU_SCOPE=$G112)))*(9&gt;ACT_END)*(ACT_END&gt;0)*IFERROR(ACT_POSTLIFT,0))),0)))</f>
        <v/>
      </c>
      <c r="S112" s="10">
        <f>IF(OR($H112&lt;&gt;"Y",10&lt;$I112),0,IF(SUMPRODUCT(((BULK_ENABLED="Y")*((BULK_TIER="ALL")+(BULK_TIER=$F112))*((BULK_SKU="ALL")+(BULK_SKU=$G112))*(BULK_START&lt;=10)*(BULK_END&gt;=10)))&gt;0,IFERROR(SUMPRODUCT(((BULK_ENABLED="Y")*((BULK_TIER="ALL")+(BULK_TIER=$F112))*((BULK_SKU="ALL")+(BULK_SKU=$G112))*(BULK_START&lt;=10)*(BULK_END&gt;=10))*IFERROR(BULK_VALUE,0))/MAX(1,SUMPRODUCT(((BULK_ENABLED="Y")*((BULK_TIER="ALL")+(BULK_TIER=$F112))*((BULK_SKU="ALL")+(BULK_SKU=$G112))*(BULK_START&lt;=10)*(BULK_END&gt;=10)))),0),ROUND((INDEX(VELOCITY_TABLE,MATCH($F112,TIER_LIST,0),3))*(IF((10-$I112+1)&lt;=0,0,IF((10-$I112+1)=1,RAMP_W1,IF((10-$I112+1)=2,RAMP_W2,IF((10-$I112+1)=3,RAMP_W3,RAMP_W4PLUS)))))*(INDEX(ACTIVE_MULT_TABLE,3,1))*(1+SUMPRODUCT(SIGN(((ACT_DOOR_SCOPE="ALL")+(ACT_DOOR_SCOPE="TIER_"&amp;$F112)+(ACT_DOOR_SCOPE=$B112)))*SIGN(((ACT_SKU_SCOPE="ALL")+(ACT_SKU_SCOPE=$G112)))*(ACT_START&lt;=10)*(ACT_END&gt;=10)*IFERROR(ACT_UPLIFT-1,0)))*(1+SUMPRODUCT(SIGN(((ACT_DOOR_SCOPE="ALL")+(ACT_DOOR_SCOPE="TIER_"&amp;$F112)+(ACT_DOOR_SCOPE=$B112)))*SIGN(((ACT_SKU_SCOPE="ALL")+(ACT_SKU_SCOPE=$G112)))*(10&gt;ACT_END)*(ACT_END&gt;0)*IFERROR(ACT_POSTLIFT,0))),0)))</f>
        <v/>
      </c>
      <c r="T112" s="10">
        <f>IF(OR($H112&lt;&gt;"Y",11&lt;$I112),0,IF(SUMPRODUCT(((BULK_ENABLED="Y")*((BULK_TIER="ALL")+(BULK_TIER=$F112))*((BULK_SKU="ALL")+(BULK_SKU=$G112))*(BULK_START&lt;=11)*(BULK_END&gt;=11)))&gt;0,IFERROR(SUMPRODUCT(((BULK_ENABLED="Y")*((BULK_TIER="ALL")+(BULK_TIER=$F112))*((BULK_SKU="ALL")+(BULK_SKU=$G112))*(BULK_START&lt;=11)*(BULK_END&gt;=11))*IFERROR(BULK_VALUE,0))/MAX(1,SUMPRODUCT(((BULK_ENABLED="Y")*((BULK_TIER="ALL")+(BULK_TIER=$F112))*((BULK_SKU="ALL")+(BULK_SKU=$G112))*(BULK_START&lt;=11)*(BULK_END&gt;=11)))),0),ROUND((INDEX(VELOCITY_TABLE,MATCH($F112,TIER_LIST,0),3))*(IF((11-$I112+1)&lt;=0,0,IF((11-$I112+1)=1,RAMP_W1,IF((11-$I112+1)=2,RAMP_W2,IF((11-$I112+1)=3,RAMP_W3,RAMP_W4PLUS)))))*(INDEX(ACTIVE_MULT_TABLE,3,1))*(1+SUMPRODUCT(SIGN(((ACT_DOOR_SCOPE="ALL")+(ACT_DOOR_SCOPE="TIER_"&amp;$F112)+(ACT_DOOR_SCOPE=$B112)))*SIGN(((ACT_SKU_SCOPE="ALL")+(ACT_SKU_SCOPE=$G112)))*(ACT_START&lt;=11)*(ACT_END&gt;=11)*IFERROR(ACT_UPLIFT-1,0)))*(1+SUMPRODUCT(SIGN(((ACT_DOOR_SCOPE="ALL")+(ACT_DOOR_SCOPE="TIER_"&amp;$F112)+(ACT_DOOR_SCOPE=$B112)))*SIGN(((ACT_SKU_SCOPE="ALL")+(ACT_SKU_SCOPE=$G112)))*(11&gt;ACT_END)*(ACT_END&gt;0)*IFERROR(ACT_POSTLIFT,0))),0)))</f>
        <v/>
      </c>
      <c r="U112" s="10">
        <f>IF(OR($H112&lt;&gt;"Y",12&lt;$I112),0,IF(SUMPRODUCT(((BULK_ENABLED="Y")*((BULK_TIER="ALL")+(BULK_TIER=$F112))*((BULK_SKU="ALL")+(BULK_SKU=$G112))*(BULK_START&lt;=12)*(BULK_END&gt;=12)))&gt;0,IFERROR(SUMPRODUCT(((BULK_ENABLED="Y")*((BULK_TIER="ALL")+(BULK_TIER=$F112))*((BULK_SKU="ALL")+(BULK_SKU=$G112))*(BULK_START&lt;=12)*(BULK_END&gt;=12))*IFERROR(BULK_VALUE,0))/MAX(1,SUMPRODUCT(((BULK_ENABLED="Y")*((BULK_TIER="ALL")+(BULK_TIER=$F112))*((BULK_SKU="ALL")+(BULK_SKU=$G112))*(BULK_START&lt;=12)*(BULK_END&gt;=12)))),0),ROUND((INDEX(VELOCITY_TABLE,MATCH($F112,TIER_LIST,0),3))*(IF((12-$I112+1)&lt;=0,0,IF((12-$I112+1)=1,RAMP_W1,IF((12-$I112+1)=2,RAMP_W2,IF((12-$I112+1)=3,RAMP_W3,RAMP_W4PLUS)))))*(INDEX(ACTIVE_MULT_TABLE,3,1))*(1+SUMPRODUCT(SIGN(((ACT_DOOR_SCOPE="ALL")+(ACT_DOOR_SCOPE="TIER_"&amp;$F112)+(ACT_DOOR_SCOPE=$B112)))*SIGN(((ACT_SKU_SCOPE="ALL")+(ACT_SKU_SCOPE=$G112)))*(ACT_START&lt;=12)*(ACT_END&gt;=12)*IFERROR(ACT_UPLIFT-1,0)))*(1+SUMPRODUCT(SIGN(((ACT_DOOR_SCOPE="ALL")+(ACT_DOOR_SCOPE="TIER_"&amp;$F112)+(ACT_DOOR_SCOPE=$B112)))*SIGN(((ACT_SKU_SCOPE="ALL")+(ACT_SKU_SCOPE=$G112)))*(12&gt;ACT_END)*(ACT_END&gt;0)*IFERROR(ACT_POSTLIFT,0))),0)))</f>
        <v/>
      </c>
      <c r="V112" s="10">
        <f>IF(OR($H112&lt;&gt;"Y",13&lt;$I112),0,IF(SUMPRODUCT(((BULK_ENABLED="Y")*((BULK_TIER="ALL")+(BULK_TIER=$F112))*((BULK_SKU="ALL")+(BULK_SKU=$G112))*(BULK_START&lt;=13)*(BULK_END&gt;=13)))&gt;0,IFERROR(SUMPRODUCT(((BULK_ENABLED="Y")*((BULK_TIER="ALL")+(BULK_TIER=$F112))*((BULK_SKU="ALL")+(BULK_SKU=$G112))*(BULK_START&lt;=13)*(BULK_END&gt;=13))*IFERROR(BULK_VALUE,0))/MAX(1,SUMPRODUCT(((BULK_ENABLED="Y")*((BULK_TIER="ALL")+(BULK_TIER=$F112))*((BULK_SKU="ALL")+(BULK_SKU=$G112))*(BULK_START&lt;=13)*(BULK_END&gt;=13)))),0),ROUND((INDEX(VELOCITY_TABLE,MATCH($F112,TIER_LIST,0),3))*(IF((13-$I112+1)&lt;=0,0,IF((13-$I112+1)=1,RAMP_W1,IF((13-$I112+1)=2,RAMP_W2,IF((13-$I112+1)=3,RAMP_W3,RAMP_W4PLUS)))))*(INDEX(ACTIVE_MULT_TABLE,3,1))*(1+SUMPRODUCT(SIGN(((ACT_DOOR_SCOPE="ALL")+(ACT_DOOR_SCOPE="TIER_"&amp;$F112)+(ACT_DOOR_SCOPE=$B112)))*SIGN(((ACT_SKU_SCOPE="ALL")+(ACT_SKU_SCOPE=$G112)))*(ACT_START&lt;=13)*(ACT_END&gt;=13)*IFERROR(ACT_UPLIFT-1,0)))*(1+SUMPRODUCT(SIGN(((ACT_DOOR_SCOPE="ALL")+(ACT_DOOR_SCOPE="TIER_"&amp;$F112)+(ACT_DOOR_SCOPE=$B112)))*SIGN(((ACT_SKU_SCOPE="ALL")+(ACT_SKU_SCOPE=$G112)))*(13&gt;ACT_END)*(ACT_END&gt;0)*IFERROR(ACT_POSTLIFT,0))),0)))</f>
        <v/>
      </c>
    </row>
    <row r="113">
      <c r="A113" t="inlineStr">
        <is>
          <t>R0109</t>
        </is>
      </c>
      <c r="B113">
        <f>Doors!$A$41</f>
        <v/>
      </c>
      <c r="C113">
        <f>Doors!$C$41</f>
        <v/>
      </c>
      <c r="D113">
        <f>Doors!$B$41</f>
        <v/>
      </c>
      <c r="E113">
        <f>Doors!$E$41</f>
        <v/>
      </c>
      <c r="F113">
        <f>Doors!$F$41</f>
        <v/>
      </c>
      <c r="G113" t="inlineStr">
        <is>
          <t>Lime Lemon</t>
        </is>
      </c>
      <c r="H113">
        <f>Doors!$G$41</f>
        <v/>
      </c>
      <c r="I113">
        <f>Doors!$J$41</f>
        <v/>
      </c>
      <c r="J113" s="10">
        <f>IF(OR($H113&lt;&gt;"Y",1&lt;$I113),0,IF(SUMPRODUCT(((BULK_ENABLED="Y")*((BULK_TIER="ALL")+(BULK_TIER=$F113))*((BULK_SKU="ALL")+(BULK_SKU=$G113))*(BULK_START&lt;=1)*(BULK_END&gt;=1)))&gt;0,IFERROR(SUMPRODUCT(((BULK_ENABLED="Y")*((BULK_TIER="ALL")+(BULK_TIER=$F113))*((BULK_SKU="ALL")+(BULK_SKU=$G113))*(BULK_START&lt;=1)*(BULK_END&gt;=1))*IFERROR(BULK_VALUE,0))/MAX(1,SUMPRODUCT(((BULK_ENABLED="Y")*((BULK_TIER="ALL")+(BULK_TIER=$F113))*((BULK_SKU="ALL")+(BULK_SKU=$G113))*(BULK_START&lt;=1)*(BULK_END&gt;=1)))),0),ROUND((INDEX(VELOCITY_TABLE,MATCH($F113,TIER_LIST,0),1))*(IF((1-$I113+1)&lt;=0,0,IF((1-$I113+1)=1,RAMP_W1,IF((1-$I113+1)=2,RAMP_W2,IF((1-$I113+1)=3,RAMP_W3,RAMP_W4PLUS)))))*(INDEX(ACTIVE_MULT_TABLE,1,1))*(1+SUMPRODUCT(SIGN(((ACT_DOOR_SCOPE="ALL")+(ACT_DOOR_SCOPE="TIER_"&amp;$F113)+(ACT_DOOR_SCOPE=$B113)))*SIGN(((ACT_SKU_SCOPE="ALL")+(ACT_SKU_SCOPE=$G113)))*(ACT_START&lt;=1)*(ACT_END&gt;=1)*IFERROR(ACT_UPLIFT-1,0)))*(1+SUMPRODUCT(SIGN(((ACT_DOOR_SCOPE="ALL")+(ACT_DOOR_SCOPE="TIER_"&amp;$F113)+(ACT_DOOR_SCOPE=$B113)))*SIGN(((ACT_SKU_SCOPE="ALL")+(ACT_SKU_SCOPE=$G113)))*(1&gt;ACT_END)*(ACT_END&gt;0)*IFERROR(ACT_POSTLIFT,0))),0)))</f>
        <v/>
      </c>
      <c r="K113" s="10">
        <f>IF(OR($H113&lt;&gt;"Y",2&lt;$I113),0,IF(SUMPRODUCT(((BULK_ENABLED="Y")*((BULK_TIER="ALL")+(BULK_TIER=$F113))*((BULK_SKU="ALL")+(BULK_SKU=$G113))*(BULK_START&lt;=2)*(BULK_END&gt;=2)))&gt;0,IFERROR(SUMPRODUCT(((BULK_ENABLED="Y")*((BULK_TIER="ALL")+(BULK_TIER=$F113))*((BULK_SKU="ALL")+(BULK_SKU=$G113))*(BULK_START&lt;=2)*(BULK_END&gt;=2))*IFERROR(BULK_VALUE,0))/MAX(1,SUMPRODUCT(((BULK_ENABLED="Y")*((BULK_TIER="ALL")+(BULK_TIER=$F113))*((BULK_SKU="ALL")+(BULK_SKU=$G113))*(BULK_START&lt;=2)*(BULK_END&gt;=2)))),0),ROUND((INDEX(VELOCITY_TABLE,MATCH($F113,TIER_LIST,0),1))*(IF((2-$I113+1)&lt;=0,0,IF((2-$I113+1)=1,RAMP_W1,IF((2-$I113+1)=2,RAMP_W2,IF((2-$I113+1)=3,RAMP_W3,RAMP_W4PLUS)))))*(INDEX(ACTIVE_MULT_TABLE,1,1))*(1+SUMPRODUCT(SIGN(((ACT_DOOR_SCOPE="ALL")+(ACT_DOOR_SCOPE="TIER_"&amp;$F113)+(ACT_DOOR_SCOPE=$B113)))*SIGN(((ACT_SKU_SCOPE="ALL")+(ACT_SKU_SCOPE=$G113)))*(ACT_START&lt;=2)*(ACT_END&gt;=2)*IFERROR(ACT_UPLIFT-1,0)))*(1+SUMPRODUCT(SIGN(((ACT_DOOR_SCOPE="ALL")+(ACT_DOOR_SCOPE="TIER_"&amp;$F113)+(ACT_DOOR_SCOPE=$B113)))*SIGN(((ACT_SKU_SCOPE="ALL")+(ACT_SKU_SCOPE=$G113)))*(2&gt;ACT_END)*(ACT_END&gt;0)*IFERROR(ACT_POSTLIFT,0))),0)))</f>
        <v/>
      </c>
      <c r="L113" s="10">
        <f>IF(OR($H113&lt;&gt;"Y",3&lt;$I113),0,IF(SUMPRODUCT(((BULK_ENABLED="Y")*((BULK_TIER="ALL")+(BULK_TIER=$F113))*((BULK_SKU="ALL")+(BULK_SKU=$G113))*(BULK_START&lt;=3)*(BULK_END&gt;=3)))&gt;0,IFERROR(SUMPRODUCT(((BULK_ENABLED="Y")*((BULK_TIER="ALL")+(BULK_TIER=$F113))*((BULK_SKU="ALL")+(BULK_SKU=$G113))*(BULK_START&lt;=3)*(BULK_END&gt;=3))*IFERROR(BULK_VALUE,0))/MAX(1,SUMPRODUCT(((BULK_ENABLED="Y")*((BULK_TIER="ALL")+(BULK_TIER=$F113))*((BULK_SKU="ALL")+(BULK_SKU=$G113))*(BULK_START&lt;=3)*(BULK_END&gt;=3)))),0),ROUND((INDEX(VELOCITY_TABLE,MATCH($F113,TIER_LIST,0),1))*(IF((3-$I113+1)&lt;=0,0,IF((3-$I113+1)=1,RAMP_W1,IF((3-$I113+1)=2,RAMP_W2,IF((3-$I113+1)=3,RAMP_W3,RAMP_W4PLUS)))))*(INDEX(ACTIVE_MULT_TABLE,1,1))*(1+SUMPRODUCT(SIGN(((ACT_DOOR_SCOPE="ALL")+(ACT_DOOR_SCOPE="TIER_"&amp;$F113)+(ACT_DOOR_SCOPE=$B113)))*SIGN(((ACT_SKU_SCOPE="ALL")+(ACT_SKU_SCOPE=$G113)))*(ACT_START&lt;=3)*(ACT_END&gt;=3)*IFERROR(ACT_UPLIFT-1,0)))*(1+SUMPRODUCT(SIGN(((ACT_DOOR_SCOPE="ALL")+(ACT_DOOR_SCOPE="TIER_"&amp;$F113)+(ACT_DOOR_SCOPE=$B113)))*SIGN(((ACT_SKU_SCOPE="ALL")+(ACT_SKU_SCOPE=$G113)))*(3&gt;ACT_END)*(ACT_END&gt;0)*IFERROR(ACT_POSTLIFT,0))),0)))</f>
        <v/>
      </c>
      <c r="M113" s="10">
        <f>IF(OR($H113&lt;&gt;"Y",4&lt;$I113),0,IF(SUMPRODUCT(((BULK_ENABLED="Y")*((BULK_TIER="ALL")+(BULK_TIER=$F113))*((BULK_SKU="ALL")+(BULK_SKU=$G113))*(BULK_START&lt;=4)*(BULK_END&gt;=4)))&gt;0,IFERROR(SUMPRODUCT(((BULK_ENABLED="Y")*((BULK_TIER="ALL")+(BULK_TIER=$F113))*((BULK_SKU="ALL")+(BULK_SKU=$G113))*(BULK_START&lt;=4)*(BULK_END&gt;=4))*IFERROR(BULK_VALUE,0))/MAX(1,SUMPRODUCT(((BULK_ENABLED="Y")*((BULK_TIER="ALL")+(BULK_TIER=$F113))*((BULK_SKU="ALL")+(BULK_SKU=$G113))*(BULK_START&lt;=4)*(BULK_END&gt;=4)))),0),ROUND((INDEX(VELOCITY_TABLE,MATCH($F113,TIER_LIST,0),1))*(IF((4-$I113+1)&lt;=0,0,IF((4-$I113+1)=1,RAMP_W1,IF((4-$I113+1)=2,RAMP_W2,IF((4-$I113+1)=3,RAMP_W3,RAMP_W4PLUS)))))*(INDEX(ACTIVE_MULT_TABLE,1,1))*(1+SUMPRODUCT(SIGN(((ACT_DOOR_SCOPE="ALL")+(ACT_DOOR_SCOPE="TIER_"&amp;$F113)+(ACT_DOOR_SCOPE=$B113)))*SIGN(((ACT_SKU_SCOPE="ALL")+(ACT_SKU_SCOPE=$G113)))*(ACT_START&lt;=4)*(ACT_END&gt;=4)*IFERROR(ACT_UPLIFT-1,0)))*(1+SUMPRODUCT(SIGN(((ACT_DOOR_SCOPE="ALL")+(ACT_DOOR_SCOPE="TIER_"&amp;$F113)+(ACT_DOOR_SCOPE=$B113)))*SIGN(((ACT_SKU_SCOPE="ALL")+(ACT_SKU_SCOPE=$G113)))*(4&gt;ACT_END)*(ACT_END&gt;0)*IFERROR(ACT_POSTLIFT,0))),0)))</f>
        <v/>
      </c>
      <c r="N113" s="10">
        <f>IF(OR($H113&lt;&gt;"Y",5&lt;$I113),0,IF(SUMPRODUCT(((BULK_ENABLED="Y")*((BULK_TIER="ALL")+(BULK_TIER=$F113))*((BULK_SKU="ALL")+(BULK_SKU=$G113))*(BULK_START&lt;=5)*(BULK_END&gt;=5)))&gt;0,IFERROR(SUMPRODUCT(((BULK_ENABLED="Y")*((BULK_TIER="ALL")+(BULK_TIER=$F113))*((BULK_SKU="ALL")+(BULK_SKU=$G113))*(BULK_START&lt;=5)*(BULK_END&gt;=5))*IFERROR(BULK_VALUE,0))/MAX(1,SUMPRODUCT(((BULK_ENABLED="Y")*((BULK_TIER="ALL")+(BULK_TIER=$F113))*((BULK_SKU="ALL")+(BULK_SKU=$G113))*(BULK_START&lt;=5)*(BULK_END&gt;=5)))),0),ROUND((INDEX(VELOCITY_TABLE,MATCH($F113,TIER_LIST,0),1))*(IF((5-$I113+1)&lt;=0,0,IF((5-$I113+1)=1,RAMP_W1,IF((5-$I113+1)=2,RAMP_W2,IF((5-$I113+1)=3,RAMP_W3,RAMP_W4PLUS)))))*(INDEX(ACTIVE_MULT_TABLE,1,1))*(1+SUMPRODUCT(SIGN(((ACT_DOOR_SCOPE="ALL")+(ACT_DOOR_SCOPE="TIER_"&amp;$F113)+(ACT_DOOR_SCOPE=$B113)))*SIGN(((ACT_SKU_SCOPE="ALL")+(ACT_SKU_SCOPE=$G113)))*(ACT_START&lt;=5)*(ACT_END&gt;=5)*IFERROR(ACT_UPLIFT-1,0)))*(1+SUMPRODUCT(SIGN(((ACT_DOOR_SCOPE="ALL")+(ACT_DOOR_SCOPE="TIER_"&amp;$F113)+(ACT_DOOR_SCOPE=$B113)))*SIGN(((ACT_SKU_SCOPE="ALL")+(ACT_SKU_SCOPE=$G113)))*(5&gt;ACT_END)*(ACT_END&gt;0)*IFERROR(ACT_POSTLIFT,0))),0)))</f>
        <v/>
      </c>
      <c r="O113" s="10">
        <f>IF(OR($H113&lt;&gt;"Y",6&lt;$I113),0,IF(SUMPRODUCT(((BULK_ENABLED="Y")*((BULK_TIER="ALL")+(BULK_TIER=$F113))*((BULK_SKU="ALL")+(BULK_SKU=$G113))*(BULK_START&lt;=6)*(BULK_END&gt;=6)))&gt;0,IFERROR(SUMPRODUCT(((BULK_ENABLED="Y")*((BULK_TIER="ALL")+(BULK_TIER=$F113))*((BULK_SKU="ALL")+(BULK_SKU=$G113))*(BULK_START&lt;=6)*(BULK_END&gt;=6))*IFERROR(BULK_VALUE,0))/MAX(1,SUMPRODUCT(((BULK_ENABLED="Y")*((BULK_TIER="ALL")+(BULK_TIER=$F113))*((BULK_SKU="ALL")+(BULK_SKU=$G113))*(BULK_START&lt;=6)*(BULK_END&gt;=6)))),0),ROUND((INDEX(VELOCITY_TABLE,MATCH($F113,TIER_LIST,0),1))*(IF((6-$I113+1)&lt;=0,0,IF((6-$I113+1)=1,RAMP_W1,IF((6-$I113+1)=2,RAMP_W2,IF((6-$I113+1)=3,RAMP_W3,RAMP_W4PLUS)))))*(INDEX(ACTIVE_MULT_TABLE,1,1))*(1+SUMPRODUCT(SIGN(((ACT_DOOR_SCOPE="ALL")+(ACT_DOOR_SCOPE="TIER_"&amp;$F113)+(ACT_DOOR_SCOPE=$B113)))*SIGN(((ACT_SKU_SCOPE="ALL")+(ACT_SKU_SCOPE=$G113)))*(ACT_START&lt;=6)*(ACT_END&gt;=6)*IFERROR(ACT_UPLIFT-1,0)))*(1+SUMPRODUCT(SIGN(((ACT_DOOR_SCOPE="ALL")+(ACT_DOOR_SCOPE="TIER_"&amp;$F113)+(ACT_DOOR_SCOPE=$B113)))*SIGN(((ACT_SKU_SCOPE="ALL")+(ACT_SKU_SCOPE=$G113)))*(6&gt;ACT_END)*(ACT_END&gt;0)*IFERROR(ACT_POSTLIFT,0))),0)))</f>
        <v/>
      </c>
      <c r="P113" s="10">
        <f>IF(OR($H113&lt;&gt;"Y",7&lt;$I113),0,IF(SUMPRODUCT(((BULK_ENABLED="Y")*((BULK_TIER="ALL")+(BULK_TIER=$F113))*((BULK_SKU="ALL")+(BULK_SKU=$G113))*(BULK_START&lt;=7)*(BULK_END&gt;=7)))&gt;0,IFERROR(SUMPRODUCT(((BULK_ENABLED="Y")*((BULK_TIER="ALL")+(BULK_TIER=$F113))*((BULK_SKU="ALL")+(BULK_SKU=$G113))*(BULK_START&lt;=7)*(BULK_END&gt;=7))*IFERROR(BULK_VALUE,0))/MAX(1,SUMPRODUCT(((BULK_ENABLED="Y")*((BULK_TIER="ALL")+(BULK_TIER=$F113))*((BULK_SKU="ALL")+(BULK_SKU=$G113))*(BULK_START&lt;=7)*(BULK_END&gt;=7)))),0),ROUND((INDEX(VELOCITY_TABLE,MATCH($F113,TIER_LIST,0),1))*(IF((7-$I113+1)&lt;=0,0,IF((7-$I113+1)=1,RAMP_W1,IF((7-$I113+1)=2,RAMP_W2,IF((7-$I113+1)=3,RAMP_W3,RAMP_W4PLUS)))))*(INDEX(ACTIVE_MULT_TABLE,1,1))*(1+SUMPRODUCT(SIGN(((ACT_DOOR_SCOPE="ALL")+(ACT_DOOR_SCOPE="TIER_"&amp;$F113)+(ACT_DOOR_SCOPE=$B113)))*SIGN(((ACT_SKU_SCOPE="ALL")+(ACT_SKU_SCOPE=$G113)))*(ACT_START&lt;=7)*(ACT_END&gt;=7)*IFERROR(ACT_UPLIFT-1,0)))*(1+SUMPRODUCT(SIGN(((ACT_DOOR_SCOPE="ALL")+(ACT_DOOR_SCOPE="TIER_"&amp;$F113)+(ACT_DOOR_SCOPE=$B113)))*SIGN(((ACT_SKU_SCOPE="ALL")+(ACT_SKU_SCOPE=$G113)))*(7&gt;ACT_END)*(ACT_END&gt;0)*IFERROR(ACT_POSTLIFT,0))),0)))</f>
        <v/>
      </c>
      <c r="Q113" s="10">
        <f>IF(OR($H113&lt;&gt;"Y",8&lt;$I113),0,IF(SUMPRODUCT(((BULK_ENABLED="Y")*((BULK_TIER="ALL")+(BULK_TIER=$F113))*((BULK_SKU="ALL")+(BULK_SKU=$G113))*(BULK_START&lt;=8)*(BULK_END&gt;=8)))&gt;0,IFERROR(SUMPRODUCT(((BULK_ENABLED="Y")*((BULK_TIER="ALL")+(BULK_TIER=$F113))*((BULK_SKU="ALL")+(BULK_SKU=$G113))*(BULK_START&lt;=8)*(BULK_END&gt;=8))*IFERROR(BULK_VALUE,0))/MAX(1,SUMPRODUCT(((BULK_ENABLED="Y")*((BULK_TIER="ALL")+(BULK_TIER=$F113))*((BULK_SKU="ALL")+(BULK_SKU=$G113))*(BULK_START&lt;=8)*(BULK_END&gt;=8)))),0),ROUND((INDEX(VELOCITY_TABLE,MATCH($F113,TIER_LIST,0),1))*(IF((8-$I113+1)&lt;=0,0,IF((8-$I113+1)=1,RAMP_W1,IF((8-$I113+1)=2,RAMP_W2,IF((8-$I113+1)=3,RAMP_W3,RAMP_W4PLUS)))))*(INDEX(ACTIVE_MULT_TABLE,1,1))*(1+SUMPRODUCT(SIGN(((ACT_DOOR_SCOPE="ALL")+(ACT_DOOR_SCOPE="TIER_"&amp;$F113)+(ACT_DOOR_SCOPE=$B113)))*SIGN(((ACT_SKU_SCOPE="ALL")+(ACT_SKU_SCOPE=$G113)))*(ACT_START&lt;=8)*(ACT_END&gt;=8)*IFERROR(ACT_UPLIFT-1,0)))*(1+SUMPRODUCT(SIGN(((ACT_DOOR_SCOPE="ALL")+(ACT_DOOR_SCOPE="TIER_"&amp;$F113)+(ACT_DOOR_SCOPE=$B113)))*SIGN(((ACT_SKU_SCOPE="ALL")+(ACT_SKU_SCOPE=$G113)))*(8&gt;ACT_END)*(ACT_END&gt;0)*IFERROR(ACT_POSTLIFT,0))),0)))</f>
        <v/>
      </c>
      <c r="R113" s="10">
        <f>IF(OR($H113&lt;&gt;"Y",9&lt;$I113),0,IF(SUMPRODUCT(((BULK_ENABLED="Y")*((BULK_TIER="ALL")+(BULK_TIER=$F113))*((BULK_SKU="ALL")+(BULK_SKU=$G113))*(BULK_START&lt;=9)*(BULK_END&gt;=9)))&gt;0,IFERROR(SUMPRODUCT(((BULK_ENABLED="Y")*((BULK_TIER="ALL")+(BULK_TIER=$F113))*((BULK_SKU="ALL")+(BULK_SKU=$G113))*(BULK_START&lt;=9)*(BULK_END&gt;=9))*IFERROR(BULK_VALUE,0))/MAX(1,SUMPRODUCT(((BULK_ENABLED="Y")*((BULK_TIER="ALL")+(BULK_TIER=$F113))*((BULK_SKU="ALL")+(BULK_SKU=$G113))*(BULK_START&lt;=9)*(BULK_END&gt;=9)))),0),ROUND((INDEX(VELOCITY_TABLE,MATCH($F113,TIER_LIST,0),1))*(IF((9-$I113+1)&lt;=0,0,IF((9-$I113+1)=1,RAMP_W1,IF((9-$I113+1)=2,RAMP_W2,IF((9-$I113+1)=3,RAMP_W3,RAMP_W4PLUS)))))*(INDEX(ACTIVE_MULT_TABLE,1,1))*(1+SUMPRODUCT(SIGN(((ACT_DOOR_SCOPE="ALL")+(ACT_DOOR_SCOPE="TIER_"&amp;$F113)+(ACT_DOOR_SCOPE=$B113)))*SIGN(((ACT_SKU_SCOPE="ALL")+(ACT_SKU_SCOPE=$G113)))*(ACT_START&lt;=9)*(ACT_END&gt;=9)*IFERROR(ACT_UPLIFT-1,0)))*(1+SUMPRODUCT(SIGN(((ACT_DOOR_SCOPE="ALL")+(ACT_DOOR_SCOPE="TIER_"&amp;$F113)+(ACT_DOOR_SCOPE=$B113)))*SIGN(((ACT_SKU_SCOPE="ALL")+(ACT_SKU_SCOPE=$G113)))*(9&gt;ACT_END)*(ACT_END&gt;0)*IFERROR(ACT_POSTLIFT,0))),0)))</f>
        <v/>
      </c>
      <c r="S113" s="10">
        <f>IF(OR($H113&lt;&gt;"Y",10&lt;$I113),0,IF(SUMPRODUCT(((BULK_ENABLED="Y")*((BULK_TIER="ALL")+(BULK_TIER=$F113))*((BULK_SKU="ALL")+(BULK_SKU=$G113))*(BULK_START&lt;=10)*(BULK_END&gt;=10)))&gt;0,IFERROR(SUMPRODUCT(((BULK_ENABLED="Y")*((BULK_TIER="ALL")+(BULK_TIER=$F113))*((BULK_SKU="ALL")+(BULK_SKU=$G113))*(BULK_START&lt;=10)*(BULK_END&gt;=10))*IFERROR(BULK_VALUE,0))/MAX(1,SUMPRODUCT(((BULK_ENABLED="Y")*((BULK_TIER="ALL")+(BULK_TIER=$F113))*((BULK_SKU="ALL")+(BULK_SKU=$G113))*(BULK_START&lt;=10)*(BULK_END&gt;=10)))),0),ROUND((INDEX(VELOCITY_TABLE,MATCH($F113,TIER_LIST,0),1))*(IF((10-$I113+1)&lt;=0,0,IF((10-$I113+1)=1,RAMP_W1,IF((10-$I113+1)=2,RAMP_W2,IF((10-$I113+1)=3,RAMP_W3,RAMP_W4PLUS)))))*(INDEX(ACTIVE_MULT_TABLE,1,1))*(1+SUMPRODUCT(SIGN(((ACT_DOOR_SCOPE="ALL")+(ACT_DOOR_SCOPE="TIER_"&amp;$F113)+(ACT_DOOR_SCOPE=$B113)))*SIGN(((ACT_SKU_SCOPE="ALL")+(ACT_SKU_SCOPE=$G113)))*(ACT_START&lt;=10)*(ACT_END&gt;=10)*IFERROR(ACT_UPLIFT-1,0)))*(1+SUMPRODUCT(SIGN(((ACT_DOOR_SCOPE="ALL")+(ACT_DOOR_SCOPE="TIER_"&amp;$F113)+(ACT_DOOR_SCOPE=$B113)))*SIGN(((ACT_SKU_SCOPE="ALL")+(ACT_SKU_SCOPE=$G113)))*(10&gt;ACT_END)*(ACT_END&gt;0)*IFERROR(ACT_POSTLIFT,0))),0)))</f>
        <v/>
      </c>
      <c r="T113" s="10">
        <f>IF(OR($H113&lt;&gt;"Y",11&lt;$I113),0,IF(SUMPRODUCT(((BULK_ENABLED="Y")*((BULK_TIER="ALL")+(BULK_TIER=$F113))*((BULK_SKU="ALL")+(BULK_SKU=$G113))*(BULK_START&lt;=11)*(BULK_END&gt;=11)))&gt;0,IFERROR(SUMPRODUCT(((BULK_ENABLED="Y")*((BULK_TIER="ALL")+(BULK_TIER=$F113))*((BULK_SKU="ALL")+(BULK_SKU=$G113))*(BULK_START&lt;=11)*(BULK_END&gt;=11))*IFERROR(BULK_VALUE,0))/MAX(1,SUMPRODUCT(((BULK_ENABLED="Y")*((BULK_TIER="ALL")+(BULK_TIER=$F113))*((BULK_SKU="ALL")+(BULK_SKU=$G113))*(BULK_START&lt;=11)*(BULK_END&gt;=11)))),0),ROUND((INDEX(VELOCITY_TABLE,MATCH($F113,TIER_LIST,0),1))*(IF((11-$I113+1)&lt;=0,0,IF((11-$I113+1)=1,RAMP_W1,IF((11-$I113+1)=2,RAMP_W2,IF((11-$I113+1)=3,RAMP_W3,RAMP_W4PLUS)))))*(INDEX(ACTIVE_MULT_TABLE,1,1))*(1+SUMPRODUCT(SIGN(((ACT_DOOR_SCOPE="ALL")+(ACT_DOOR_SCOPE="TIER_"&amp;$F113)+(ACT_DOOR_SCOPE=$B113)))*SIGN(((ACT_SKU_SCOPE="ALL")+(ACT_SKU_SCOPE=$G113)))*(ACT_START&lt;=11)*(ACT_END&gt;=11)*IFERROR(ACT_UPLIFT-1,0)))*(1+SUMPRODUCT(SIGN(((ACT_DOOR_SCOPE="ALL")+(ACT_DOOR_SCOPE="TIER_"&amp;$F113)+(ACT_DOOR_SCOPE=$B113)))*SIGN(((ACT_SKU_SCOPE="ALL")+(ACT_SKU_SCOPE=$G113)))*(11&gt;ACT_END)*(ACT_END&gt;0)*IFERROR(ACT_POSTLIFT,0))),0)))</f>
        <v/>
      </c>
      <c r="U113" s="10">
        <f>IF(OR($H113&lt;&gt;"Y",12&lt;$I113),0,IF(SUMPRODUCT(((BULK_ENABLED="Y")*((BULK_TIER="ALL")+(BULK_TIER=$F113))*((BULK_SKU="ALL")+(BULK_SKU=$G113))*(BULK_START&lt;=12)*(BULK_END&gt;=12)))&gt;0,IFERROR(SUMPRODUCT(((BULK_ENABLED="Y")*((BULK_TIER="ALL")+(BULK_TIER=$F113))*((BULK_SKU="ALL")+(BULK_SKU=$G113))*(BULK_START&lt;=12)*(BULK_END&gt;=12))*IFERROR(BULK_VALUE,0))/MAX(1,SUMPRODUCT(((BULK_ENABLED="Y")*((BULK_TIER="ALL")+(BULK_TIER=$F113))*((BULK_SKU="ALL")+(BULK_SKU=$G113))*(BULK_START&lt;=12)*(BULK_END&gt;=12)))),0),ROUND((INDEX(VELOCITY_TABLE,MATCH($F113,TIER_LIST,0),1))*(IF((12-$I113+1)&lt;=0,0,IF((12-$I113+1)=1,RAMP_W1,IF((12-$I113+1)=2,RAMP_W2,IF((12-$I113+1)=3,RAMP_W3,RAMP_W4PLUS)))))*(INDEX(ACTIVE_MULT_TABLE,1,1))*(1+SUMPRODUCT(SIGN(((ACT_DOOR_SCOPE="ALL")+(ACT_DOOR_SCOPE="TIER_"&amp;$F113)+(ACT_DOOR_SCOPE=$B113)))*SIGN(((ACT_SKU_SCOPE="ALL")+(ACT_SKU_SCOPE=$G113)))*(ACT_START&lt;=12)*(ACT_END&gt;=12)*IFERROR(ACT_UPLIFT-1,0)))*(1+SUMPRODUCT(SIGN(((ACT_DOOR_SCOPE="ALL")+(ACT_DOOR_SCOPE="TIER_"&amp;$F113)+(ACT_DOOR_SCOPE=$B113)))*SIGN(((ACT_SKU_SCOPE="ALL")+(ACT_SKU_SCOPE=$G113)))*(12&gt;ACT_END)*(ACT_END&gt;0)*IFERROR(ACT_POSTLIFT,0))),0)))</f>
        <v/>
      </c>
      <c r="V113" s="10">
        <f>IF(OR($H113&lt;&gt;"Y",13&lt;$I113),0,IF(SUMPRODUCT(((BULK_ENABLED="Y")*((BULK_TIER="ALL")+(BULK_TIER=$F113))*((BULK_SKU="ALL")+(BULK_SKU=$G113))*(BULK_START&lt;=13)*(BULK_END&gt;=13)))&gt;0,IFERROR(SUMPRODUCT(((BULK_ENABLED="Y")*((BULK_TIER="ALL")+(BULK_TIER=$F113))*((BULK_SKU="ALL")+(BULK_SKU=$G113))*(BULK_START&lt;=13)*(BULK_END&gt;=13))*IFERROR(BULK_VALUE,0))/MAX(1,SUMPRODUCT(((BULK_ENABLED="Y")*((BULK_TIER="ALL")+(BULK_TIER=$F113))*((BULK_SKU="ALL")+(BULK_SKU=$G113))*(BULK_START&lt;=13)*(BULK_END&gt;=13)))),0),ROUND((INDEX(VELOCITY_TABLE,MATCH($F113,TIER_LIST,0),1))*(IF((13-$I113+1)&lt;=0,0,IF((13-$I113+1)=1,RAMP_W1,IF((13-$I113+1)=2,RAMP_W2,IF((13-$I113+1)=3,RAMP_W3,RAMP_W4PLUS)))))*(INDEX(ACTIVE_MULT_TABLE,1,1))*(1+SUMPRODUCT(SIGN(((ACT_DOOR_SCOPE="ALL")+(ACT_DOOR_SCOPE="TIER_"&amp;$F113)+(ACT_DOOR_SCOPE=$B113)))*SIGN(((ACT_SKU_SCOPE="ALL")+(ACT_SKU_SCOPE=$G113)))*(ACT_START&lt;=13)*(ACT_END&gt;=13)*IFERROR(ACT_UPLIFT-1,0)))*(1+SUMPRODUCT(SIGN(((ACT_DOOR_SCOPE="ALL")+(ACT_DOOR_SCOPE="TIER_"&amp;$F113)+(ACT_DOOR_SCOPE=$B113)))*SIGN(((ACT_SKU_SCOPE="ALL")+(ACT_SKU_SCOPE=$G113)))*(13&gt;ACT_END)*(ACT_END&gt;0)*IFERROR(ACT_POSTLIFT,0))),0)))</f>
        <v/>
      </c>
    </row>
    <row r="114">
      <c r="A114" t="inlineStr">
        <is>
          <t>R0110</t>
        </is>
      </c>
      <c r="B114">
        <f>Doors!$A$41</f>
        <v/>
      </c>
      <c r="C114">
        <f>Doors!$C$41</f>
        <v/>
      </c>
      <c r="D114">
        <f>Doors!$B$41</f>
        <v/>
      </c>
      <c r="E114">
        <f>Doors!$E$41</f>
        <v/>
      </c>
      <c r="F114">
        <f>Doors!$F$41</f>
        <v/>
      </c>
      <c r="G114" t="inlineStr">
        <is>
          <t>Pineapple Passion Fruit</t>
        </is>
      </c>
      <c r="H114">
        <f>Doors!$H$41</f>
        <v/>
      </c>
      <c r="I114">
        <f>Doors!$J$41</f>
        <v/>
      </c>
      <c r="J114" s="10">
        <f>IF(OR($H114&lt;&gt;"Y",1&lt;$I114),0,IF(SUMPRODUCT(((BULK_ENABLED="Y")*((BULK_TIER="ALL")+(BULK_TIER=$F114))*((BULK_SKU="ALL")+(BULK_SKU=$G114))*(BULK_START&lt;=1)*(BULK_END&gt;=1)))&gt;0,IFERROR(SUMPRODUCT(((BULK_ENABLED="Y")*((BULK_TIER="ALL")+(BULK_TIER=$F114))*((BULK_SKU="ALL")+(BULK_SKU=$G114))*(BULK_START&lt;=1)*(BULK_END&gt;=1))*IFERROR(BULK_VALUE,0))/MAX(1,SUMPRODUCT(((BULK_ENABLED="Y")*((BULK_TIER="ALL")+(BULK_TIER=$F114))*((BULK_SKU="ALL")+(BULK_SKU=$G114))*(BULK_START&lt;=1)*(BULK_END&gt;=1)))),0),ROUND((INDEX(VELOCITY_TABLE,MATCH($F114,TIER_LIST,0),2))*(IF((1-$I114+1)&lt;=0,0,IF((1-$I114+1)=1,RAMP_W1,IF((1-$I114+1)=2,RAMP_W2,IF((1-$I114+1)=3,RAMP_W3,RAMP_W4PLUS)))))*(INDEX(ACTIVE_MULT_TABLE,2,1))*(1+SUMPRODUCT(SIGN(((ACT_DOOR_SCOPE="ALL")+(ACT_DOOR_SCOPE="TIER_"&amp;$F114)+(ACT_DOOR_SCOPE=$B114)))*SIGN(((ACT_SKU_SCOPE="ALL")+(ACT_SKU_SCOPE=$G114)))*(ACT_START&lt;=1)*(ACT_END&gt;=1)*IFERROR(ACT_UPLIFT-1,0)))*(1+SUMPRODUCT(SIGN(((ACT_DOOR_SCOPE="ALL")+(ACT_DOOR_SCOPE="TIER_"&amp;$F114)+(ACT_DOOR_SCOPE=$B114)))*SIGN(((ACT_SKU_SCOPE="ALL")+(ACT_SKU_SCOPE=$G114)))*(1&gt;ACT_END)*(ACT_END&gt;0)*IFERROR(ACT_POSTLIFT,0))),0)))</f>
        <v/>
      </c>
      <c r="K114" s="10">
        <f>IF(OR($H114&lt;&gt;"Y",2&lt;$I114),0,IF(SUMPRODUCT(((BULK_ENABLED="Y")*((BULK_TIER="ALL")+(BULK_TIER=$F114))*((BULK_SKU="ALL")+(BULK_SKU=$G114))*(BULK_START&lt;=2)*(BULK_END&gt;=2)))&gt;0,IFERROR(SUMPRODUCT(((BULK_ENABLED="Y")*((BULK_TIER="ALL")+(BULK_TIER=$F114))*((BULK_SKU="ALL")+(BULK_SKU=$G114))*(BULK_START&lt;=2)*(BULK_END&gt;=2))*IFERROR(BULK_VALUE,0))/MAX(1,SUMPRODUCT(((BULK_ENABLED="Y")*((BULK_TIER="ALL")+(BULK_TIER=$F114))*((BULK_SKU="ALL")+(BULK_SKU=$G114))*(BULK_START&lt;=2)*(BULK_END&gt;=2)))),0),ROUND((INDEX(VELOCITY_TABLE,MATCH($F114,TIER_LIST,0),2))*(IF((2-$I114+1)&lt;=0,0,IF((2-$I114+1)=1,RAMP_W1,IF((2-$I114+1)=2,RAMP_W2,IF((2-$I114+1)=3,RAMP_W3,RAMP_W4PLUS)))))*(INDEX(ACTIVE_MULT_TABLE,2,1))*(1+SUMPRODUCT(SIGN(((ACT_DOOR_SCOPE="ALL")+(ACT_DOOR_SCOPE="TIER_"&amp;$F114)+(ACT_DOOR_SCOPE=$B114)))*SIGN(((ACT_SKU_SCOPE="ALL")+(ACT_SKU_SCOPE=$G114)))*(ACT_START&lt;=2)*(ACT_END&gt;=2)*IFERROR(ACT_UPLIFT-1,0)))*(1+SUMPRODUCT(SIGN(((ACT_DOOR_SCOPE="ALL")+(ACT_DOOR_SCOPE="TIER_"&amp;$F114)+(ACT_DOOR_SCOPE=$B114)))*SIGN(((ACT_SKU_SCOPE="ALL")+(ACT_SKU_SCOPE=$G114)))*(2&gt;ACT_END)*(ACT_END&gt;0)*IFERROR(ACT_POSTLIFT,0))),0)))</f>
        <v/>
      </c>
      <c r="L114" s="10">
        <f>IF(OR($H114&lt;&gt;"Y",3&lt;$I114),0,IF(SUMPRODUCT(((BULK_ENABLED="Y")*((BULK_TIER="ALL")+(BULK_TIER=$F114))*((BULK_SKU="ALL")+(BULK_SKU=$G114))*(BULK_START&lt;=3)*(BULK_END&gt;=3)))&gt;0,IFERROR(SUMPRODUCT(((BULK_ENABLED="Y")*((BULK_TIER="ALL")+(BULK_TIER=$F114))*((BULK_SKU="ALL")+(BULK_SKU=$G114))*(BULK_START&lt;=3)*(BULK_END&gt;=3))*IFERROR(BULK_VALUE,0))/MAX(1,SUMPRODUCT(((BULK_ENABLED="Y")*((BULK_TIER="ALL")+(BULK_TIER=$F114))*((BULK_SKU="ALL")+(BULK_SKU=$G114))*(BULK_START&lt;=3)*(BULK_END&gt;=3)))),0),ROUND((INDEX(VELOCITY_TABLE,MATCH($F114,TIER_LIST,0),2))*(IF((3-$I114+1)&lt;=0,0,IF((3-$I114+1)=1,RAMP_W1,IF((3-$I114+1)=2,RAMP_W2,IF((3-$I114+1)=3,RAMP_W3,RAMP_W4PLUS)))))*(INDEX(ACTIVE_MULT_TABLE,2,1))*(1+SUMPRODUCT(SIGN(((ACT_DOOR_SCOPE="ALL")+(ACT_DOOR_SCOPE="TIER_"&amp;$F114)+(ACT_DOOR_SCOPE=$B114)))*SIGN(((ACT_SKU_SCOPE="ALL")+(ACT_SKU_SCOPE=$G114)))*(ACT_START&lt;=3)*(ACT_END&gt;=3)*IFERROR(ACT_UPLIFT-1,0)))*(1+SUMPRODUCT(SIGN(((ACT_DOOR_SCOPE="ALL")+(ACT_DOOR_SCOPE="TIER_"&amp;$F114)+(ACT_DOOR_SCOPE=$B114)))*SIGN(((ACT_SKU_SCOPE="ALL")+(ACT_SKU_SCOPE=$G114)))*(3&gt;ACT_END)*(ACT_END&gt;0)*IFERROR(ACT_POSTLIFT,0))),0)))</f>
        <v/>
      </c>
      <c r="M114" s="10">
        <f>IF(OR($H114&lt;&gt;"Y",4&lt;$I114),0,IF(SUMPRODUCT(((BULK_ENABLED="Y")*((BULK_TIER="ALL")+(BULK_TIER=$F114))*((BULK_SKU="ALL")+(BULK_SKU=$G114))*(BULK_START&lt;=4)*(BULK_END&gt;=4)))&gt;0,IFERROR(SUMPRODUCT(((BULK_ENABLED="Y")*((BULK_TIER="ALL")+(BULK_TIER=$F114))*((BULK_SKU="ALL")+(BULK_SKU=$G114))*(BULK_START&lt;=4)*(BULK_END&gt;=4))*IFERROR(BULK_VALUE,0))/MAX(1,SUMPRODUCT(((BULK_ENABLED="Y")*((BULK_TIER="ALL")+(BULK_TIER=$F114))*((BULK_SKU="ALL")+(BULK_SKU=$G114))*(BULK_START&lt;=4)*(BULK_END&gt;=4)))),0),ROUND((INDEX(VELOCITY_TABLE,MATCH($F114,TIER_LIST,0),2))*(IF((4-$I114+1)&lt;=0,0,IF((4-$I114+1)=1,RAMP_W1,IF((4-$I114+1)=2,RAMP_W2,IF((4-$I114+1)=3,RAMP_W3,RAMP_W4PLUS)))))*(INDEX(ACTIVE_MULT_TABLE,2,1))*(1+SUMPRODUCT(SIGN(((ACT_DOOR_SCOPE="ALL")+(ACT_DOOR_SCOPE="TIER_"&amp;$F114)+(ACT_DOOR_SCOPE=$B114)))*SIGN(((ACT_SKU_SCOPE="ALL")+(ACT_SKU_SCOPE=$G114)))*(ACT_START&lt;=4)*(ACT_END&gt;=4)*IFERROR(ACT_UPLIFT-1,0)))*(1+SUMPRODUCT(SIGN(((ACT_DOOR_SCOPE="ALL")+(ACT_DOOR_SCOPE="TIER_"&amp;$F114)+(ACT_DOOR_SCOPE=$B114)))*SIGN(((ACT_SKU_SCOPE="ALL")+(ACT_SKU_SCOPE=$G114)))*(4&gt;ACT_END)*(ACT_END&gt;0)*IFERROR(ACT_POSTLIFT,0))),0)))</f>
        <v/>
      </c>
      <c r="N114" s="10">
        <f>IF(OR($H114&lt;&gt;"Y",5&lt;$I114),0,IF(SUMPRODUCT(((BULK_ENABLED="Y")*((BULK_TIER="ALL")+(BULK_TIER=$F114))*((BULK_SKU="ALL")+(BULK_SKU=$G114))*(BULK_START&lt;=5)*(BULK_END&gt;=5)))&gt;0,IFERROR(SUMPRODUCT(((BULK_ENABLED="Y")*((BULK_TIER="ALL")+(BULK_TIER=$F114))*((BULK_SKU="ALL")+(BULK_SKU=$G114))*(BULK_START&lt;=5)*(BULK_END&gt;=5))*IFERROR(BULK_VALUE,0))/MAX(1,SUMPRODUCT(((BULK_ENABLED="Y")*((BULK_TIER="ALL")+(BULK_TIER=$F114))*((BULK_SKU="ALL")+(BULK_SKU=$G114))*(BULK_START&lt;=5)*(BULK_END&gt;=5)))),0),ROUND((INDEX(VELOCITY_TABLE,MATCH($F114,TIER_LIST,0),2))*(IF((5-$I114+1)&lt;=0,0,IF((5-$I114+1)=1,RAMP_W1,IF((5-$I114+1)=2,RAMP_W2,IF((5-$I114+1)=3,RAMP_W3,RAMP_W4PLUS)))))*(INDEX(ACTIVE_MULT_TABLE,2,1))*(1+SUMPRODUCT(SIGN(((ACT_DOOR_SCOPE="ALL")+(ACT_DOOR_SCOPE="TIER_"&amp;$F114)+(ACT_DOOR_SCOPE=$B114)))*SIGN(((ACT_SKU_SCOPE="ALL")+(ACT_SKU_SCOPE=$G114)))*(ACT_START&lt;=5)*(ACT_END&gt;=5)*IFERROR(ACT_UPLIFT-1,0)))*(1+SUMPRODUCT(SIGN(((ACT_DOOR_SCOPE="ALL")+(ACT_DOOR_SCOPE="TIER_"&amp;$F114)+(ACT_DOOR_SCOPE=$B114)))*SIGN(((ACT_SKU_SCOPE="ALL")+(ACT_SKU_SCOPE=$G114)))*(5&gt;ACT_END)*(ACT_END&gt;0)*IFERROR(ACT_POSTLIFT,0))),0)))</f>
        <v/>
      </c>
      <c r="O114" s="10">
        <f>IF(OR($H114&lt;&gt;"Y",6&lt;$I114),0,IF(SUMPRODUCT(((BULK_ENABLED="Y")*((BULK_TIER="ALL")+(BULK_TIER=$F114))*((BULK_SKU="ALL")+(BULK_SKU=$G114))*(BULK_START&lt;=6)*(BULK_END&gt;=6)))&gt;0,IFERROR(SUMPRODUCT(((BULK_ENABLED="Y")*((BULK_TIER="ALL")+(BULK_TIER=$F114))*((BULK_SKU="ALL")+(BULK_SKU=$G114))*(BULK_START&lt;=6)*(BULK_END&gt;=6))*IFERROR(BULK_VALUE,0))/MAX(1,SUMPRODUCT(((BULK_ENABLED="Y")*((BULK_TIER="ALL")+(BULK_TIER=$F114))*((BULK_SKU="ALL")+(BULK_SKU=$G114))*(BULK_START&lt;=6)*(BULK_END&gt;=6)))),0),ROUND((INDEX(VELOCITY_TABLE,MATCH($F114,TIER_LIST,0),2))*(IF((6-$I114+1)&lt;=0,0,IF((6-$I114+1)=1,RAMP_W1,IF((6-$I114+1)=2,RAMP_W2,IF((6-$I114+1)=3,RAMP_W3,RAMP_W4PLUS)))))*(INDEX(ACTIVE_MULT_TABLE,2,1))*(1+SUMPRODUCT(SIGN(((ACT_DOOR_SCOPE="ALL")+(ACT_DOOR_SCOPE="TIER_"&amp;$F114)+(ACT_DOOR_SCOPE=$B114)))*SIGN(((ACT_SKU_SCOPE="ALL")+(ACT_SKU_SCOPE=$G114)))*(ACT_START&lt;=6)*(ACT_END&gt;=6)*IFERROR(ACT_UPLIFT-1,0)))*(1+SUMPRODUCT(SIGN(((ACT_DOOR_SCOPE="ALL")+(ACT_DOOR_SCOPE="TIER_"&amp;$F114)+(ACT_DOOR_SCOPE=$B114)))*SIGN(((ACT_SKU_SCOPE="ALL")+(ACT_SKU_SCOPE=$G114)))*(6&gt;ACT_END)*(ACT_END&gt;0)*IFERROR(ACT_POSTLIFT,0))),0)))</f>
        <v/>
      </c>
      <c r="P114" s="10">
        <f>IF(OR($H114&lt;&gt;"Y",7&lt;$I114),0,IF(SUMPRODUCT(((BULK_ENABLED="Y")*((BULK_TIER="ALL")+(BULK_TIER=$F114))*((BULK_SKU="ALL")+(BULK_SKU=$G114))*(BULK_START&lt;=7)*(BULK_END&gt;=7)))&gt;0,IFERROR(SUMPRODUCT(((BULK_ENABLED="Y")*((BULK_TIER="ALL")+(BULK_TIER=$F114))*((BULK_SKU="ALL")+(BULK_SKU=$G114))*(BULK_START&lt;=7)*(BULK_END&gt;=7))*IFERROR(BULK_VALUE,0))/MAX(1,SUMPRODUCT(((BULK_ENABLED="Y")*((BULK_TIER="ALL")+(BULK_TIER=$F114))*((BULK_SKU="ALL")+(BULK_SKU=$G114))*(BULK_START&lt;=7)*(BULK_END&gt;=7)))),0),ROUND((INDEX(VELOCITY_TABLE,MATCH($F114,TIER_LIST,0),2))*(IF((7-$I114+1)&lt;=0,0,IF((7-$I114+1)=1,RAMP_W1,IF((7-$I114+1)=2,RAMP_W2,IF((7-$I114+1)=3,RAMP_W3,RAMP_W4PLUS)))))*(INDEX(ACTIVE_MULT_TABLE,2,1))*(1+SUMPRODUCT(SIGN(((ACT_DOOR_SCOPE="ALL")+(ACT_DOOR_SCOPE="TIER_"&amp;$F114)+(ACT_DOOR_SCOPE=$B114)))*SIGN(((ACT_SKU_SCOPE="ALL")+(ACT_SKU_SCOPE=$G114)))*(ACT_START&lt;=7)*(ACT_END&gt;=7)*IFERROR(ACT_UPLIFT-1,0)))*(1+SUMPRODUCT(SIGN(((ACT_DOOR_SCOPE="ALL")+(ACT_DOOR_SCOPE="TIER_"&amp;$F114)+(ACT_DOOR_SCOPE=$B114)))*SIGN(((ACT_SKU_SCOPE="ALL")+(ACT_SKU_SCOPE=$G114)))*(7&gt;ACT_END)*(ACT_END&gt;0)*IFERROR(ACT_POSTLIFT,0))),0)))</f>
        <v/>
      </c>
      <c r="Q114" s="10">
        <f>IF(OR($H114&lt;&gt;"Y",8&lt;$I114),0,IF(SUMPRODUCT(((BULK_ENABLED="Y")*((BULK_TIER="ALL")+(BULK_TIER=$F114))*((BULK_SKU="ALL")+(BULK_SKU=$G114))*(BULK_START&lt;=8)*(BULK_END&gt;=8)))&gt;0,IFERROR(SUMPRODUCT(((BULK_ENABLED="Y")*((BULK_TIER="ALL")+(BULK_TIER=$F114))*((BULK_SKU="ALL")+(BULK_SKU=$G114))*(BULK_START&lt;=8)*(BULK_END&gt;=8))*IFERROR(BULK_VALUE,0))/MAX(1,SUMPRODUCT(((BULK_ENABLED="Y")*((BULK_TIER="ALL")+(BULK_TIER=$F114))*((BULK_SKU="ALL")+(BULK_SKU=$G114))*(BULK_START&lt;=8)*(BULK_END&gt;=8)))),0),ROUND((INDEX(VELOCITY_TABLE,MATCH($F114,TIER_LIST,0),2))*(IF((8-$I114+1)&lt;=0,0,IF((8-$I114+1)=1,RAMP_W1,IF((8-$I114+1)=2,RAMP_W2,IF((8-$I114+1)=3,RAMP_W3,RAMP_W4PLUS)))))*(INDEX(ACTIVE_MULT_TABLE,2,1))*(1+SUMPRODUCT(SIGN(((ACT_DOOR_SCOPE="ALL")+(ACT_DOOR_SCOPE="TIER_"&amp;$F114)+(ACT_DOOR_SCOPE=$B114)))*SIGN(((ACT_SKU_SCOPE="ALL")+(ACT_SKU_SCOPE=$G114)))*(ACT_START&lt;=8)*(ACT_END&gt;=8)*IFERROR(ACT_UPLIFT-1,0)))*(1+SUMPRODUCT(SIGN(((ACT_DOOR_SCOPE="ALL")+(ACT_DOOR_SCOPE="TIER_"&amp;$F114)+(ACT_DOOR_SCOPE=$B114)))*SIGN(((ACT_SKU_SCOPE="ALL")+(ACT_SKU_SCOPE=$G114)))*(8&gt;ACT_END)*(ACT_END&gt;0)*IFERROR(ACT_POSTLIFT,0))),0)))</f>
        <v/>
      </c>
      <c r="R114" s="10">
        <f>IF(OR($H114&lt;&gt;"Y",9&lt;$I114),0,IF(SUMPRODUCT(((BULK_ENABLED="Y")*((BULK_TIER="ALL")+(BULK_TIER=$F114))*((BULK_SKU="ALL")+(BULK_SKU=$G114))*(BULK_START&lt;=9)*(BULK_END&gt;=9)))&gt;0,IFERROR(SUMPRODUCT(((BULK_ENABLED="Y")*((BULK_TIER="ALL")+(BULK_TIER=$F114))*((BULK_SKU="ALL")+(BULK_SKU=$G114))*(BULK_START&lt;=9)*(BULK_END&gt;=9))*IFERROR(BULK_VALUE,0))/MAX(1,SUMPRODUCT(((BULK_ENABLED="Y")*((BULK_TIER="ALL")+(BULK_TIER=$F114))*((BULK_SKU="ALL")+(BULK_SKU=$G114))*(BULK_START&lt;=9)*(BULK_END&gt;=9)))),0),ROUND((INDEX(VELOCITY_TABLE,MATCH($F114,TIER_LIST,0),2))*(IF((9-$I114+1)&lt;=0,0,IF((9-$I114+1)=1,RAMP_W1,IF((9-$I114+1)=2,RAMP_W2,IF((9-$I114+1)=3,RAMP_W3,RAMP_W4PLUS)))))*(INDEX(ACTIVE_MULT_TABLE,2,1))*(1+SUMPRODUCT(SIGN(((ACT_DOOR_SCOPE="ALL")+(ACT_DOOR_SCOPE="TIER_"&amp;$F114)+(ACT_DOOR_SCOPE=$B114)))*SIGN(((ACT_SKU_SCOPE="ALL")+(ACT_SKU_SCOPE=$G114)))*(ACT_START&lt;=9)*(ACT_END&gt;=9)*IFERROR(ACT_UPLIFT-1,0)))*(1+SUMPRODUCT(SIGN(((ACT_DOOR_SCOPE="ALL")+(ACT_DOOR_SCOPE="TIER_"&amp;$F114)+(ACT_DOOR_SCOPE=$B114)))*SIGN(((ACT_SKU_SCOPE="ALL")+(ACT_SKU_SCOPE=$G114)))*(9&gt;ACT_END)*(ACT_END&gt;0)*IFERROR(ACT_POSTLIFT,0))),0)))</f>
        <v/>
      </c>
      <c r="S114" s="10">
        <f>IF(OR($H114&lt;&gt;"Y",10&lt;$I114),0,IF(SUMPRODUCT(((BULK_ENABLED="Y")*((BULK_TIER="ALL")+(BULK_TIER=$F114))*((BULK_SKU="ALL")+(BULK_SKU=$G114))*(BULK_START&lt;=10)*(BULK_END&gt;=10)))&gt;0,IFERROR(SUMPRODUCT(((BULK_ENABLED="Y")*((BULK_TIER="ALL")+(BULK_TIER=$F114))*((BULK_SKU="ALL")+(BULK_SKU=$G114))*(BULK_START&lt;=10)*(BULK_END&gt;=10))*IFERROR(BULK_VALUE,0))/MAX(1,SUMPRODUCT(((BULK_ENABLED="Y")*((BULK_TIER="ALL")+(BULK_TIER=$F114))*((BULK_SKU="ALL")+(BULK_SKU=$G114))*(BULK_START&lt;=10)*(BULK_END&gt;=10)))),0),ROUND((INDEX(VELOCITY_TABLE,MATCH($F114,TIER_LIST,0),2))*(IF((10-$I114+1)&lt;=0,0,IF((10-$I114+1)=1,RAMP_W1,IF((10-$I114+1)=2,RAMP_W2,IF((10-$I114+1)=3,RAMP_W3,RAMP_W4PLUS)))))*(INDEX(ACTIVE_MULT_TABLE,2,1))*(1+SUMPRODUCT(SIGN(((ACT_DOOR_SCOPE="ALL")+(ACT_DOOR_SCOPE="TIER_"&amp;$F114)+(ACT_DOOR_SCOPE=$B114)))*SIGN(((ACT_SKU_SCOPE="ALL")+(ACT_SKU_SCOPE=$G114)))*(ACT_START&lt;=10)*(ACT_END&gt;=10)*IFERROR(ACT_UPLIFT-1,0)))*(1+SUMPRODUCT(SIGN(((ACT_DOOR_SCOPE="ALL")+(ACT_DOOR_SCOPE="TIER_"&amp;$F114)+(ACT_DOOR_SCOPE=$B114)))*SIGN(((ACT_SKU_SCOPE="ALL")+(ACT_SKU_SCOPE=$G114)))*(10&gt;ACT_END)*(ACT_END&gt;0)*IFERROR(ACT_POSTLIFT,0))),0)))</f>
        <v/>
      </c>
      <c r="T114" s="10">
        <f>IF(OR($H114&lt;&gt;"Y",11&lt;$I114),0,IF(SUMPRODUCT(((BULK_ENABLED="Y")*((BULK_TIER="ALL")+(BULK_TIER=$F114))*((BULK_SKU="ALL")+(BULK_SKU=$G114))*(BULK_START&lt;=11)*(BULK_END&gt;=11)))&gt;0,IFERROR(SUMPRODUCT(((BULK_ENABLED="Y")*((BULK_TIER="ALL")+(BULK_TIER=$F114))*((BULK_SKU="ALL")+(BULK_SKU=$G114))*(BULK_START&lt;=11)*(BULK_END&gt;=11))*IFERROR(BULK_VALUE,0))/MAX(1,SUMPRODUCT(((BULK_ENABLED="Y")*((BULK_TIER="ALL")+(BULK_TIER=$F114))*((BULK_SKU="ALL")+(BULK_SKU=$G114))*(BULK_START&lt;=11)*(BULK_END&gt;=11)))),0),ROUND((INDEX(VELOCITY_TABLE,MATCH($F114,TIER_LIST,0),2))*(IF((11-$I114+1)&lt;=0,0,IF((11-$I114+1)=1,RAMP_W1,IF((11-$I114+1)=2,RAMP_W2,IF((11-$I114+1)=3,RAMP_W3,RAMP_W4PLUS)))))*(INDEX(ACTIVE_MULT_TABLE,2,1))*(1+SUMPRODUCT(SIGN(((ACT_DOOR_SCOPE="ALL")+(ACT_DOOR_SCOPE="TIER_"&amp;$F114)+(ACT_DOOR_SCOPE=$B114)))*SIGN(((ACT_SKU_SCOPE="ALL")+(ACT_SKU_SCOPE=$G114)))*(ACT_START&lt;=11)*(ACT_END&gt;=11)*IFERROR(ACT_UPLIFT-1,0)))*(1+SUMPRODUCT(SIGN(((ACT_DOOR_SCOPE="ALL")+(ACT_DOOR_SCOPE="TIER_"&amp;$F114)+(ACT_DOOR_SCOPE=$B114)))*SIGN(((ACT_SKU_SCOPE="ALL")+(ACT_SKU_SCOPE=$G114)))*(11&gt;ACT_END)*(ACT_END&gt;0)*IFERROR(ACT_POSTLIFT,0))),0)))</f>
        <v/>
      </c>
      <c r="U114" s="10">
        <f>IF(OR($H114&lt;&gt;"Y",12&lt;$I114),0,IF(SUMPRODUCT(((BULK_ENABLED="Y")*((BULK_TIER="ALL")+(BULK_TIER=$F114))*((BULK_SKU="ALL")+(BULK_SKU=$G114))*(BULK_START&lt;=12)*(BULK_END&gt;=12)))&gt;0,IFERROR(SUMPRODUCT(((BULK_ENABLED="Y")*((BULK_TIER="ALL")+(BULK_TIER=$F114))*((BULK_SKU="ALL")+(BULK_SKU=$G114))*(BULK_START&lt;=12)*(BULK_END&gt;=12))*IFERROR(BULK_VALUE,0))/MAX(1,SUMPRODUCT(((BULK_ENABLED="Y")*((BULK_TIER="ALL")+(BULK_TIER=$F114))*((BULK_SKU="ALL")+(BULK_SKU=$G114))*(BULK_START&lt;=12)*(BULK_END&gt;=12)))),0),ROUND((INDEX(VELOCITY_TABLE,MATCH($F114,TIER_LIST,0),2))*(IF((12-$I114+1)&lt;=0,0,IF((12-$I114+1)=1,RAMP_W1,IF((12-$I114+1)=2,RAMP_W2,IF((12-$I114+1)=3,RAMP_W3,RAMP_W4PLUS)))))*(INDEX(ACTIVE_MULT_TABLE,2,1))*(1+SUMPRODUCT(SIGN(((ACT_DOOR_SCOPE="ALL")+(ACT_DOOR_SCOPE="TIER_"&amp;$F114)+(ACT_DOOR_SCOPE=$B114)))*SIGN(((ACT_SKU_SCOPE="ALL")+(ACT_SKU_SCOPE=$G114)))*(ACT_START&lt;=12)*(ACT_END&gt;=12)*IFERROR(ACT_UPLIFT-1,0)))*(1+SUMPRODUCT(SIGN(((ACT_DOOR_SCOPE="ALL")+(ACT_DOOR_SCOPE="TIER_"&amp;$F114)+(ACT_DOOR_SCOPE=$B114)))*SIGN(((ACT_SKU_SCOPE="ALL")+(ACT_SKU_SCOPE=$G114)))*(12&gt;ACT_END)*(ACT_END&gt;0)*IFERROR(ACT_POSTLIFT,0))),0)))</f>
        <v/>
      </c>
      <c r="V114" s="10">
        <f>IF(OR($H114&lt;&gt;"Y",13&lt;$I114),0,IF(SUMPRODUCT(((BULK_ENABLED="Y")*((BULK_TIER="ALL")+(BULK_TIER=$F114))*((BULK_SKU="ALL")+(BULK_SKU=$G114))*(BULK_START&lt;=13)*(BULK_END&gt;=13)))&gt;0,IFERROR(SUMPRODUCT(((BULK_ENABLED="Y")*((BULK_TIER="ALL")+(BULK_TIER=$F114))*((BULK_SKU="ALL")+(BULK_SKU=$G114))*(BULK_START&lt;=13)*(BULK_END&gt;=13))*IFERROR(BULK_VALUE,0))/MAX(1,SUMPRODUCT(((BULK_ENABLED="Y")*((BULK_TIER="ALL")+(BULK_TIER=$F114))*((BULK_SKU="ALL")+(BULK_SKU=$G114))*(BULK_START&lt;=13)*(BULK_END&gt;=13)))),0),ROUND((INDEX(VELOCITY_TABLE,MATCH($F114,TIER_LIST,0),2))*(IF((13-$I114+1)&lt;=0,0,IF((13-$I114+1)=1,RAMP_W1,IF((13-$I114+1)=2,RAMP_W2,IF((13-$I114+1)=3,RAMP_W3,RAMP_W4PLUS)))))*(INDEX(ACTIVE_MULT_TABLE,2,1))*(1+SUMPRODUCT(SIGN(((ACT_DOOR_SCOPE="ALL")+(ACT_DOOR_SCOPE="TIER_"&amp;$F114)+(ACT_DOOR_SCOPE=$B114)))*SIGN(((ACT_SKU_SCOPE="ALL")+(ACT_SKU_SCOPE=$G114)))*(ACT_START&lt;=13)*(ACT_END&gt;=13)*IFERROR(ACT_UPLIFT-1,0)))*(1+SUMPRODUCT(SIGN(((ACT_DOOR_SCOPE="ALL")+(ACT_DOOR_SCOPE="TIER_"&amp;$F114)+(ACT_DOOR_SCOPE=$B114)))*SIGN(((ACT_SKU_SCOPE="ALL")+(ACT_SKU_SCOPE=$G114)))*(13&gt;ACT_END)*(ACT_END&gt;0)*IFERROR(ACT_POSTLIFT,0))),0)))</f>
        <v/>
      </c>
    </row>
    <row r="115">
      <c r="A115" t="inlineStr">
        <is>
          <t>R0111</t>
        </is>
      </c>
      <c r="B115">
        <f>Doors!$A$41</f>
        <v/>
      </c>
      <c r="C115">
        <f>Doors!$C$41</f>
        <v/>
      </c>
      <c r="D115">
        <f>Doors!$B$41</f>
        <v/>
      </c>
      <c r="E115">
        <f>Doors!$E$41</f>
        <v/>
      </c>
      <c r="F115">
        <f>Doors!$F$41</f>
        <v/>
      </c>
      <c r="G115" t="inlineStr">
        <is>
          <t>Raspberry</t>
        </is>
      </c>
      <c r="H115">
        <f>Doors!$I$41</f>
        <v/>
      </c>
      <c r="I115">
        <f>Doors!$J$41</f>
        <v/>
      </c>
      <c r="J115" s="10">
        <f>IF(OR($H115&lt;&gt;"Y",1&lt;$I115),0,IF(SUMPRODUCT(((BULK_ENABLED="Y")*((BULK_TIER="ALL")+(BULK_TIER=$F115))*((BULK_SKU="ALL")+(BULK_SKU=$G115))*(BULK_START&lt;=1)*(BULK_END&gt;=1)))&gt;0,IFERROR(SUMPRODUCT(((BULK_ENABLED="Y")*((BULK_TIER="ALL")+(BULK_TIER=$F115))*((BULK_SKU="ALL")+(BULK_SKU=$G115))*(BULK_START&lt;=1)*(BULK_END&gt;=1))*IFERROR(BULK_VALUE,0))/MAX(1,SUMPRODUCT(((BULK_ENABLED="Y")*((BULK_TIER="ALL")+(BULK_TIER=$F115))*((BULK_SKU="ALL")+(BULK_SKU=$G115))*(BULK_START&lt;=1)*(BULK_END&gt;=1)))),0),ROUND((INDEX(VELOCITY_TABLE,MATCH($F115,TIER_LIST,0),3))*(IF((1-$I115+1)&lt;=0,0,IF((1-$I115+1)=1,RAMP_W1,IF((1-$I115+1)=2,RAMP_W2,IF((1-$I115+1)=3,RAMP_W3,RAMP_W4PLUS)))))*(INDEX(ACTIVE_MULT_TABLE,3,1))*(1+SUMPRODUCT(SIGN(((ACT_DOOR_SCOPE="ALL")+(ACT_DOOR_SCOPE="TIER_"&amp;$F115)+(ACT_DOOR_SCOPE=$B115)))*SIGN(((ACT_SKU_SCOPE="ALL")+(ACT_SKU_SCOPE=$G115)))*(ACT_START&lt;=1)*(ACT_END&gt;=1)*IFERROR(ACT_UPLIFT-1,0)))*(1+SUMPRODUCT(SIGN(((ACT_DOOR_SCOPE="ALL")+(ACT_DOOR_SCOPE="TIER_"&amp;$F115)+(ACT_DOOR_SCOPE=$B115)))*SIGN(((ACT_SKU_SCOPE="ALL")+(ACT_SKU_SCOPE=$G115)))*(1&gt;ACT_END)*(ACT_END&gt;0)*IFERROR(ACT_POSTLIFT,0))),0)))</f>
        <v/>
      </c>
      <c r="K115" s="10">
        <f>IF(OR($H115&lt;&gt;"Y",2&lt;$I115),0,IF(SUMPRODUCT(((BULK_ENABLED="Y")*((BULK_TIER="ALL")+(BULK_TIER=$F115))*((BULK_SKU="ALL")+(BULK_SKU=$G115))*(BULK_START&lt;=2)*(BULK_END&gt;=2)))&gt;0,IFERROR(SUMPRODUCT(((BULK_ENABLED="Y")*((BULK_TIER="ALL")+(BULK_TIER=$F115))*((BULK_SKU="ALL")+(BULK_SKU=$G115))*(BULK_START&lt;=2)*(BULK_END&gt;=2))*IFERROR(BULK_VALUE,0))/MAX(1,SUMPRODUCT(((BULK_ENABLED="Y")*((BULK_TIER="ALL")+(BULK_TIER=$F115))*((BULK_SKU="ALL")+(BULK_SKU=$G115))*(BULK_START&lt;=2)*(BULK_END&gt;=2)))),0),ROUND((INDEX(VELOCITY_TABLE,MATCH($F115,TIER_LIST,0),3))*(IF((2-$I115+1)&lt;=0,0,IF((2-$I115+1)=1,RAMP_W1,IF((2-$I115+1)=2,RAMP_W2,IF((2-$I115+1)=3,RAMP_W3,RAMP_W4PLUS)))))*(INDEX(ACTIVE_MULT_TABLE,3,1))*(1+SUMPRODUCT(SIGN(((ACT_DOOR_SCOPE="ALL")+(ACT_DOOR_SCOPE="TIER_"&amp;$F115)+(ACT_DOOR_SCOPE=$B115)))*SIGN(((ACT_SKU_SCOPE="ALL")+(ACT_SKU_SCOPE=$G115)))*(ACT_START&lt;=2)*(ACT_END&gt;=2)*IFERROR(ACT_UPLIFT-1,0)))*(1+SUMPRODUCT(SIGN(((ACT_DOOR_SCOPE="ALL")+(ACT_DOOR_SCOPE="TIER_"&amp;$F115)+(ACT_DOOR_SCOPE=$B115)))*SIGN(((ACT_SKU_SCOPE="ALL")+(ACT_SKU_SCOPE=$G115)))*(2&gt;ACT_END)*(ACT_END&gt;0)*IFERROR(ACT_POSTLIFT,0))),0)))</f>
        <v/>
      </c>
      <c r="L115" s="10">
        <f>IF(OR($H115&lt;&gt;"Y",3&lt;$I115),0,IF(SUMPRODUCT(((BULK_ENABLED="Y")*((BULK_TIER="ALL")+(BULK_TIER=$F115))*((BULK_SKU="ALL")+(BULK_SKU=$G115))*(BULK_START&lt;=3)*(BULK_END&gt;=3)))&gt;0,IFERROR(SUMPRODUCT(((BULK_ENABLED="Y")*((BULK_TIER="ALL")+(BULK_TIER=$F115))*((BULK_SKU="ALL")+(BULK_SKU=$G115))*(BULK_START&lt;=3)*(BULK_END&gt;=3))*IFERROR(BULK_VALUE,0))/MAX(1,SUMPRODUCT(((BULK_ENABLED="Y")*((BULK_TIER="ALL")+(BULK_TIER=$F115))*((BULK_SKU="ALL")+(BULK_SKU=$G115))*(BULK_START&lt;=3)*(BULK_END&gt;=3)))),0),ROUND((INDEX(VELOCITY_TABLE,MATCH($F115,TIER_LIST,0),3))*(IF((3-$I115+1)&lt;=0,0,IF((3-$I115+1)=1,RAMP_W1,IF((3-$I115+1)=2,RAMP_W2,IF((3-$I115+1)=3,RAMP_W3,RAMP_W4PLUS)))))*(INDEX(ACTIVE_MULT_TABLE,3,1))*(1+SUMPRODUCT(SIGN(((ACT_DOOR_SCOPE="ALL")+(ACT_DOOR_SCOPE="TIER_"&amp;$F115)+(ACT_DOOR_SCOPE=$B115)))*SIGN(((ACT_SKU_SCOPE="ALL")+(ACT_SKU_SCOPE=$G115)))*(ACT_START&lt;=3)*(ACT_END&gt;=3)*IFERROR(ACT_UPLIFT-1,0)))*(1+SUMPRODUCT(SIGN(((ACT_DOOR_SCOPE="ALL")+(ACT_DOOR_SCOPE="TIER_"&amp;$F115)+(ACT_DOOR_SCOPE=$B115)))*SIGN(((ACT_SKU_SCOPE="ALL")+(ACT_SKU_SCOPE=$G115)))*(3&gt;ACT_END)*(ACT_END&gt;0)*IFERROR(ACT_POSTLIFT,0))),0)))</f>
        <v/>
      </c>
      <c r="M115" s="10">
        <f>IF(OR($H115&lt;&gt;"Y",4&lt;$I115),0,IF(SUMPRODUCT(((BULK_ENABLED="Y")*((BULK_TIER="ALL")+(BULK_TIER=$F115))*((BULK_SKU="ALL")+(BULK_SKU=$G115))*(BULK_START&lt;=4)*(BULK_END&gt;=4)))&gt;0,IFERROR(SUMPRODUCT(((BULK_ENABLED="Y")*((BULK_TIER="ALL")+(BULK_TIER=$F115))*((BULK_SKU="ALL")+(BULK_SKU=$G115))*(BULK_START&lt;=4)*(BULK_END&gt;=4))*IFERROR(BULK_VALUE,0))/MAX(1,SUMPRODUCT(((BULK_ENABLED="Y")*((BULK_TIER="ALL")+(BULK_TIER=$F115))*((BULK_SKU="ALL")+(BULK_SKU=$G115))*(BULK_START&lt;=4)*(BULK_END&gt;=4)))),0),ROUND((INDEX(VELOCITY_TABLE,MATCH($F115,TIER_LIST,0),3))*(IF((4-$I115+1)&lt;=0,0,IF((4-$I115+1)=1,RAMP_W1,IF((4-$I115+1)=2,RAMP_W2,IF((4-$I115+1)=3,RAMP_W3,RAMP_W4PLUS)))))*(INDEX(ACTIVE_MULT_TABLE,3,1))*(1+SUMPRODUCT(SIGN(((ACT_DOOR_SCOPE="ALL")+(ACT_DOOR_SCOPE="TIER_"&amp;$F115)+(ACT_DOOR_SCOPE=$B115)))*SIGN(((ACT_SKU_SCOPE="ALL")+(ACT_SKU_SCOPE=$G115)))*(ACT_START&lt;=4)*(ACT_END&gt;=4)*IFERROR(ACT_UPLIFT-1,0)))*(1+SUMPRODUCT(SIGN(((ACT_DOOR_SCOPE="ALL")+(ACT_DOOR_SCOPE="TIER_"&amp;$F115)+(ACT_DOOR_SCOPE=$B115)))*SIGN(((ACT_SKU_SCOPE="ALL")+(ACT_SKU_SCOPE=$G115)))*(4&gt;ACT_END)*(ACT_END&gt;0)*IFERROR(ACT_POSTLIFT,0))),0)))</f>
        <v/>
      </c>
      <c r="N115" s="10">
        <f>IF(OR($H115&lt;&gt;"Y",5&lt;$I115),0,IF(SUMPRODUCT(((BULK_ENABLED="Y")*((BULK_TIER="ALL")+(BULK_TIER=$F115))*((BULK_SKU="ALL")+(BULK_SKU=$G115))*(BULK_START&lt;=5)*(BULK_END&gt;=5)))&gt;0,IFERROR(SUMPRODUCT(((BULK_ENABLED="Y")*((BULK_TIER="ALL")+(BULK_TIER=$F115))*((BULK_SKU="ALL")+(BULK_SKU=$G115))*(BULK_START&lt;=5)*(BULK_END&gt;=5))*IFERROR(BULK_VALUE,0))/MAX(1,SUMPRODUCT(((BULK_ENABLED="Y")*((BULK_TIER="ALL")+(BULK_TIER=$F115))*((BULK_SKU="ALL")+(BULK_SKU=$G115))*(BULK_START&lt;=5)*(BULK_END&gt;=5)))),0),ROUND((INDEX(VELOCITY_TABLE,MATCH($F115,TIER_LIST,0),3))*(IF((5-$I115+1)&lt;=0,0,IF((5-$I115+1)=1,RAMP_W1,IF((5-$I115+1)=2,RAMP_W2,IF((5-$I115+1)=3,RAMP_W3,RAMP_W4PLUS)))))*(INDEX(ACTIVE_MULT_TABLE,3,1))*(1+SUMPRODUCT(SIGN(((ACT_DOOR_SCOPE="ALL")+(ACT_DOOR_SCOPE="TIER_"&amp;$F115)+(ACT_DOOR_SCOPE=$B115)))*SIGN(((ACT_SKU_SCOPE="ALL")+(ACT_SKU_SCOPE=$G115)))*(ACT_START&lt;=5)*(ACT_END&gt;=5)*IFERROR(ACT_UPLIFT-1,0)))*(1+SUMPRODUCT(SIGN(((ACT_DOOR_SCOPE="ALL")+(ACT_DOOR_SCOPE="TIER_"&amp;$F115)+(ACT_DOOR_SCOPE=$B115)))*SIGN(((ACT_SKU_SCOPE="ALL")+(ACT_SKU_SCOPE=$G115)))*(5&gt;ACT_END)*(ACT_END&gt;0)*IFERROR(ACT_POSTLIFT,0))),0)))</f>
        <v/>
      </c>
      <c r="O115" s="10">
        <f>IF(OR($H115&lt;&gt;"Y",6&lt;$I115),0,IF(SUMPRODUCT(((BULK_ENABLED="Y")*((BULK_TIER="ALL")+(BULK_TIER=$F115))*((BULK_SKU="ALL")+(BULK_SKU=$G115))*(BULK_START&lt;=6)*(BULK_END&gt;=6)))&gt;0,IFERROR(SUMPRODUCT(((BULK_ENABLED="Y")*((BULK_TIER="ALL")+(BULK_TIER=$F115))*((BULK_SKU="ALL")+(BULK_SKU=$G115))*(BULK_START&lt;=6)*(BULK_END&gt;=6))*IFERROR(BULK_VALUE,0))/MAX(1,SUMPRODUCT(((BULK_ENABLED="Y")*((BULK_TIER="ALL")+(BULK_TIER=$F115))*((BULK_SKU="ALL")+(BULK_SKU=$G115))*(BULK_START&lt;=6)*(BULK_END&gt;=6)))),0),ROUND((INDEX(VELOCITY_TABLE,MATCH($F115,TIER_LIST,0),3))*(IF((6-$I115+1)&lt;=0,0,IF((6-$I115+1)=1,RAMP_W1,IF((6-$I115+1)=2,RAMP_W2,IF((6-$I115+1)=3,RAMP_W3,RAMP_W4PLUS)))))*(INDEX(ACTIVE_MULT_TABLE,3,1))*(1+SUMPRODUCT(SIGN(((ACT_DOOR_SCOPE="ALL")+(ACT_DOOR_SCOPE="TIER_"&amp;$F115)+(ACT_DOOR_SCOPE=$B115)))*SIGN(((ACT_SKU_SCOPE="ALL")+(ACT_SKU_SCOPE=$G115)))*(ACT_START&lt;=6)*(ACT_END&gt;=6)*IFERROR(ACT_UPLIFT-1,0)))*(1+SUMPRODUCT(SIGN(((ACT_DOOR_SCOPE="ALL")+(ACT_DOOR_SCOPE="TIER_"&amp;$F115)+(ACT_DOOR_SCOPE=$B115)))*SIGN(((ACT_SKU_SCOPE="ALL")+(ACT_SKU_SCOPE=$G115)))*(6&gt;ACT_END)*(ACT_END&gt;0)*IFERROR(ACT_POSTLIFT,0))),0)))</f>
        <v/>
      </c>
      <c r="P115" s="10">
        <f>IF(OR($H115&lt;&gt;"Y",7&lt;$I115),0,IF(SUMPRODUCT(((BULK_ENABLED="Y")*((BULK_TIER="ALL")+(BULK_TIER=$F115))*((BULK_SKU="ALL")+(BULK_SKU=$G115))*(BULK_START&lt;=7)*(BULK_END&gt;=7)))&gt;0,IFERROR(SUMPRODUCT(((BULK_ENABLED="Y")*((BULK_TIER="ALL")+(BULK_TIER=$F115))*((BULK_SKU="ALL")+(BULK_SKU=$G115))*(BULK_START&lt;=7)*(BULK_END&gt;=7))*IFERROR(BULK_VALUE,0))/MAX(1,SUMPRODUCT(((BULK_ENABLED="Y")*((BULK_TIER="ALL")+(BULK_TIER=$F115))*((BULK_SKU="ALL")+(BULK_SKU=$G115))*(BULK_START&lt;=7)*(BULK_END&gt;=7)))),0),ROUND((INDEX(VELOCITY_TABLE,MATCH($F115,TIER_LIST,0),3))*(IF((7-$I115+1)&lt;=0,0,IF((7-$I115+1)=1,RAMP_W1,IF((7-$I115+1)=2,RAMP_W2,IF((7-$I115+1)=3,RAMP_W3,RAMP_W4PLUS)))))*(INDEX(ACTIVE_MULT_TABLE,3,1))*(1+SUMPRODUCT(SIGN(((ACT_DOOR_SCOPE="ALL")+(ACT_DOOR_SCOPE="TIER_"&amp;$F115)+(ACT_DOOR_SCOPE=$B115)))*SIGN(((ACT_SKU_SCOPE="ALL")+(ACT_SKU_SCOPE=$G115)))*(ACT_START&lt;=7)*(ACT_END&gt;=7)*IFERROR(ACT_UPLIFT-1,0)))*(1+SUMPRODUCT(SIGN(((ACT_DOOR_SCOPE="ALL")+(ACT_DOOR_SCOPE="TIER_"&amp;$F115)+(ACT_DOOR_SCOPE=$B115)))*SIGN(((ACT_SKU_SCOPE="ALL")+(ACT_SKU_SCOPE=$G115)))*(7&gt;ACT_END)*(ACT_END&gt;0)*IFERROR(ACT_POSTLIFT,0))),0)))</f>
        <v/>
      </c>
      <c r="Q115" s="10">
        <f>IF(OR($H115&lt;&gt;"Y",8&lt;$I115),0,IF(SUMPRODUCT(((BULK_ENABLED="Y")*((BULK_TIER="ALL")+(BULK_TIER=$F115))*((BULK_SKU="ALL")+(BULK_SKU=$G115))*(BULK_START&lt;=8)*(BULK_END&gt;=8)))&gt;0,IFERROR(SUMPRODUCT(((BULK_ENABLED="Y")*((BULK_TIER="ALL")+(BULK_TIER=$F115))*((BULK_SKU="ALL")+(BULK_SKU=$G115))*(BULK_START&lt;=8)*(BULK_END&gt;=8))*IFERROR(BULK_VALUE,0))/MAX(1,SUMPRODUCT(((BULK_ENABLED="Y")*((BULK_TIER="ALL")+(BULK_TIER=$F115))*((BULK_SKU="ALL")+(BULK_SKU=$G115))*(BULK_START&lt;=8)*(BULK_END&gt;=8)))),0),ROUND((INDEX(VELOCITY_TABLE,MATCH($F115,TIER_LIST,0),3))*(IF((8-$I115+1)&lt;=0,0,IF((8-$I115+1)=1,RAMP_W1,IF((8-$I115+1)=2,RAMP_W2,IF((8-$I115+1)=3,RAMP_W3,RAMP_W4PLUS)))))*(INDEX(ACTIVE_MULT_TABLE,3,1))*(1+SUMPRODUCT(SIGN(((ACT_DOOR_SCOPE="ALL")+(ACT_DOOR_SCOPE="TIER_"&amp;$F115)+(ACT_DOOR_SCOPE=$B115)))*SIGN(((ACT_SKU_SCOPE="ALL")+(ACT_SKU_SCOPE=$G115)))*(ACT_START&lt;=8)*(ACT_END&gt;=8)*IFERROR(ACT_UPLIFT-1,0)))*(1+SUMPRODUCT(SIGN(((ACT_DOOR_SCOPE="ALL")+(ACT_DOOR_SCOPE="TIER_"&amp;$F115)+(ACT_DOOR_SCOPE=$B115)))*SIGN(((ACT_SKU_SCOPE="ALL")+(ACT_SKU_SCOPE=$G115)))*(8&gt;ACT_END)*(ACT_END&gt;0)*IFERROR(ACT_POSTLIFT,0))),0)))</f>
        <v/>
      </c>
      <c r="R115" s="10">
        <f>IF(OR($H115&lt;&gt;"Y",9&lt;$I115),0,IF(SUMPRODUCT(((BULK_ENABLED="Y")*((BULK_TIER="ALL")+(BULK_TIER=$F115))*((BULK_SKU="ALL")+(BULK_SKU=$G115))*(BULK_START&lt;=9)*(BULK_END&gt;=9)))&gt;0,IFERROR(SUMPRODUCT(((BULK_ENABLED="Y")*((BULK_TIER="ALL")+(BULK_TIER=$F115))*((BULK_SKU="ALL")+(BULK_SKU=$G115))*(BULK_START&lt;=9)*(BULK_END&gt;=9))*IFERROR(BULK_VALUE,0))/MAX(1,SUMPRODUCT(((BULK_ENABLED="Y")*((BULK_TIER="ALL")+(BULK_TIER=$F115))*((BULK_SKU="ALL")+(BULK_SKU=$G115))*(BULK_START&lt;=9)*(BULK_END&gt;=9)))),0),ROUND((INDEX(VELOCITY_TABLE,MATCH($F115,TIER_LIST,0),3))*(IF((9-$I115+1)&lt;=0,0,IF((9-$I115+1)=1,RAMP_W1,IF((9-$I115+1)=2,RAMP_W2,IF((9-$I115+1)=3,RAMP_W3,RAMP_W4PLUS)))))*(INDEX(ACTIVE_MULT_TABLE,3,1))*(1+SUMPRODUCT(SIGN(((ACT_DOOR_SCOPE="ALL")+(ACT_DOOR_SCOPE="TIER_"&amp;$F115)+(ACT_DOOR_SCOPE=$B115)))*SIGN(((ACT_SKU_SCOPE="ALL")+(ACT_SKU_SCOPE=$G115)))*(ACT_START&lt;=9)*(ACT_END&gt;=9)*IFERROR(ACT_UPLIFT-1,0)))*(1+SUMPRODUCT(SIGN(((ACT_DOOR_SCOPE="ALL")+(ACT_DOOR_SCOPE="TIER_"&amp;$F115)+(ACT_DOOR_SCOPE=$B115)))*SIGN(((ACT_SKU_SCOPE="ALL")+(ACT_SKU_SCOPE=$G115)))*(9&gt;ACT_END)*(ACT_END&gt;0)*IFERROR(ACT_POSTLIFT,0))),0)))</f>
        <v/>
      </c>
      <c r="S115" s="10">
        <f>IF(OR($H115&lt;&gt;"Y",10&lt;$I115),0,IF(SUMPRODUCT(((BULK_ENABLED="Y")*((BULK_TIER="ALL")+(BULK_TIER=$F115))*((BULK_SKU="ALL")+(BULK_SKU=$G115))*(BULK_START&lt;=10)*(BULK_END&gt;=10)))&gt;0,IFERROR(SUMPRODUCT(((BULK_ENABLED="Y")*((BULK_TIER="ALL")+(BULK_TIER=$F115))*((BULK_SKU="ALL")+(BULK_SKU=$G115))*(BULK_START&lt;=10)*(BULK_END&gt;=10))*IFERROR(BULK_VALUE,0))/MAX(1,SUMPRODUCT(((BULK_ENABLED="Y")*((BULK_TIER="ALL")+(BULK_TIER=$F115))*((BULK_SKU="ALL")+(BULK_SKU=$G115))*(BULK_START&lt;=10)*(BULK_END&gt;=10)))),0),ROUND((INDEX(VELOCITY_TABLE,MATCH($F115,TIER_LIST,0),3))*(IF((10-$I115+1)&lt;=0,0,IF((10-$I115+1)=1,RAMP_W1,IF((10-$I115+1)=2,RAMP_W2,IF((10-$I115+1)=3,RAMP_W3,RAMP_W4PLUS)))))*(INDEX(ACTIVE_MULT_TABLE,3,1))*(1+SUMPRODUCT(SIGN(((ACT_DOOR_SCOPE="ALL")+(ACT_DOOR_SCOPE="TIER_"&amp;$F115)+(ACT_DOOR_SCOPE=$B115)))*SIGN(((ACT_SKU_SCOPE="ALL")+(ACT_SKU_SCOPE=$G115)))*(ACT_START&lt;=10)*(ACT_END&gt;=10)*IFERROR(ACT_UPLIFT-1,0)))*(1+SUMPRODUCT(SIGN(((ACT_DOOR_SCOPE="ALL")+(ACT_DOOR_SCOPE="TIER_"&amp;$F115)+(ACT_DOOR_SCOPE=$B115)))*SIGN(((ACT_SKU_SCOPE="ALL")+(ACT_SKU_SCOPE=$G115)))*(10&gt;ACT_END)*(ACT_END&gt;0)*IFERROR(ACT_POSTLIFT,0))),0)))</f>
        <v/>
      </c>
      <c r="T115" s="10">
        <f>IF(OR($H115&lt;&gt;"Y",11&lt;$I115),0,IF(SUMPRODUCT(((BULK_ENABLED="Y")*((BULK_TIER="ALL")+(BULK_TIER=$F115))*((BULK_SKU="ALL")+(BULK_SKU=$G115))*(BULK_START&lt;=11)*(BULK_END&gt;=11)))&gt;0,IFERROR(SUMPRODUCT(((BULK_ENABLED="Y")*((BULK_TIER="ALL")+(BULK_TIER=$F115))*((BULK_SKU="ALL")+(BULK_SKU=$G115))*(BULK_START&lt;=11)*(BULK_END&gt;=11))*IFERROR(BULK_VALUE,0))/MAX(1,SUMPRODUCT(((BULK_ENABLED="Y")*((BULK_TIER="ALL")+(BULK_TIER=$F115))*((BULK_SKU="ALL")+(BULK_SKU=$G115))*(BULK_START&lt;=11)*(BULK_END&gt;=11)))),0),ROUND((INDEX(VELOCITY_TABLE,MATCH($F115,TIER_LIST,0),3))*(IF((11-$I115+1)&lt;=0,0,IF((11-$I115+1)=1,RAMP_W1,IF((11-$I115+1)=2,RAMP_W2,IF((11-$I115+1)=3,RAMP_W3,RAMP_W4PLUS)))))*(INDEX(ACTIVE_MULT_TABLE,3,1))*(1+SUMPRODUCT(SIGN(((ACT_DOOR_SCOPE="ALL")+(ACT_DOOR_SCOPE="TIER_"&amp;$F115)+(ACT_DOOR_SCOPE=$B115)))*SIGN(((ACT_SKU_SCOPE="ALL")+(ACT_SKU_SCOPE=$G115)))*(ACT_START&lt;=11)*(ACT_END&gt;=11)*IFERROR(ACT_UPLIFT-1,0)))*(1+SUMPRODUCT(SIGN(((ACT_DOOR_SCOPE="ALL")+(ACT_DOOR_SCOPE="TIER_"&amp;$F115)+(ACT_DOOR_SCOPE=$B115)))*SIGN(((ACT_SKU_SCOPE="ALL")+(ACT_SKU_SCOPE=$G115)))*(11&gt;ACT_END)*(ACT_END&gt;0)*IFERROR(ACT_POSTLIFT,0))),0)))</f>
        <v/>
      </c>
      <c r="U115" s="10">
        <f>IF(OR($H115&lt;&gt;"Y",12&lt;$I115),0,IF(SUMPRODUCT(((BULK_ENABLED="Y")*((BULK_TIER="ALL")+(BULK_TIER=$F115))*((BULK_SKU="ALL")+(BULK_SKU=$G115))*(BULK_START&lt;=12)*(BULK_END&gt;=12)))&gt;0,IFERROR(SUMPRODUCT(((BULK_ENABLED="Y")*((BULK_TIER="ALL")+(BULK_TIER=$F115))*((BULK_SKU="ALL")+(BULK_SKU=$G115))*(BULK_START&lt;=12)*(BULK_END&gt;=12))*IFERROR(BULK_VALUE,0))/MAX(1,SUMPRODUCT(((BULK_ENABLED="Y")*((BULK_TIER="ALL")+(BULK_TIER=$F115))*((BULK_SKU="ALL")+(BULK_SKU=$G115))*(BULK_START&lt;=12)*(BULK_END&gt;=12)))),0),ROUND((INDEX(VELOCITY_TABLE,MATCH($F115,TIER_LIST,0),3))*(IF((12-$I115+1)&lt;=0,0,IF((12-$I115+1)=1,RAMP_W1,IF((12-$I115+1)=2,RAMP_W2,IF((12-$I115+1)=3,RAMP_W3,RAMP_W4PLUS)))))*(INDEX(ACTIVE_MULT_TABLE,3,1))*(1+SUMPRODUCT(SIGN(((ACT_DOOR_SCOPE="ALL")+(ACT_DOOR_SCOPE="TIER_"&amp;$F115)+(ACT_DOOR_SCOPE=$B115)))*SIGN(((ACT_SKU_SCOPE="ALL")+(ACT_SKU_SCOPE=$G115)))*(ACT_START&lt;=12)*(ACT_END&gt;=12)*IFERROR(ACT_UPLIFT-1,0)))*(1+SUMPRODUCT(SIGN(((ACT_DOOR_SCOPE="ALL")+(ACT_DOOR_SCOPE="TIER_"&amp;$F115)+(ACT_DOOR_SCOPE=$B115)))*SIGN(((ACT_SKU_SCOPE="ALL")+(ACT_SKU_SCOPE=$G115)))*(12&gt;ACT_END)*(ACT_END&gt;0)*IFERROR(ACT_POSTLIFT,0))),0)))</f>
        <v/>
      </c>
      <c r="V115" s="10">
        <f>IF(OR($H115&lt;&gt;"Y",13&lt;$I115),0,IF(SUMPRODUCT(((BULK_ENABLED="Y")*((BULK_TIER="ALL")+(BULK_TIER=$F115))*((BULK_SKU="ALL")+(BULK_SKU=$G115))*(BULK_START&lt;=13)*(BULK_END&gt;=13)))&gt;0,IFERROR(SUMPRODUCT(((BULK_ENABLED="Y")*((BULK_TIER="ALL")+(BULK_TIER=$F115))*((BULK_SKU="ALL")+(BULK_SKU=$G115))*(BULK_START&lt;=13)*(BULK_END&gt;=13))*IFERROR(BULK_VALUE,0))/MAX(1,SUMPRODUCT(((BULK_ENABLED="Y")*((BULK_TIER="ALL")+(BULK_TIER=$F115))*((BULK_SKU="ALL")+(BULK_SKU=$G115))*(BULK_START&lt;=13)*(BULK_END&gt;=13)))),0),ROUND((INDEX(VELOCITY_TABLE,MATCH($F115,TIER_LIST,0),3))*(IF((13-$I115+1)&lt;=0,0,IF((13-$I115+1)=1,RAMP_W1,IF((13-$I115+1)=2,RAMP_W2,IF((13-$I115+1)=3,RAMP_W3,RAMP_W4PLUS)))))*(INDEX(ACTIVE_MULT_TABLE,3,1))*(1+SUMPRODUCT(SIGN(((ACT_DOOR_SCOPE="ALL")+(ACT_DOOR_SCOPE="TIER_"&amp;$F115)+(ACT_DOOR_SCOPE=$B115)))*SIGN(((ACT_SKU_SCOPE="ALL")+(ACT_SKU_SCOPE=$G115)))*(ACT_START&lt;=13)*(ACT_END&gt;=13)*IFERROR(ACT_UPLIFT-1,0)))*(1+SUMPRODUCT(SIGN(((ACT_DOOR_SCOPE="ALL")+(ACT_DOOR_SCOPE="TIER_"&amp;$F115)+(ACT_DOOR_SCOPE=$B115)))*SIGN(((ACT_SKU_SCOPE="ALL")+(ACT_SKU_SCOPE=$G115)))*(13&gt;ACT_END)*(ACT_END&gt;0)*IFERROR(ACT_POSTLIFT,0))),0)))</f>
        <v/>
      </c>
    </row>
    <row r="116">
      <c r="A116" t="inlineStr">
        <is>
          <t>R0112</t>
        </is>
      </c>
      <c r="B116">
        <f>Doors!$A$42</f>
        <v/>
      </c>
      <c r="C116">
        <f>Doors!$C$42</f>
        <v/>
      </c>
      <c r="D116">
        <f>Doors!$B$42</f>
        <v/>
      </c>
      <c r="E116">
        <f>Doors!$E$42</f>
        <v/>
      </c>
      <c r="F116">
        <f>Doors!$F$42</f>
        <v/>
      </c>
      <c r="G116" t="inlineStr">
        <is>
          <t>Lime Lemon</t>
        </is>
      </c>
      <c r="H116">
        <f>Doors!$G$42</f>
        <v/>
      </c>
      <c r="I116">
        <f>Doors!$J$42</f>
        <v/>
      </c>
      <c r="J116" s="10">
        <f>IF(OR($H116&lt;&gt;"Y",1&lt;$I116),0,IF(SUMPRODUCT(((BULK_ENABLED="Y")*((BULK_TIER="ALL")+(BULK_TIER=$F116))*((BULK_SKU="ALL")+(BULK_SKU=$G116))*(BULK_START&lt;=1)*(BULK_END&gt;=1)))&gt;0,IFERROR(SUMPRODUCT(((BULK_ENABLED="Y")*((BULK_TIER="ALL")+(BULK_TIER=$F116))*((BULK_SKU="ALL")+(BULK_SKU=$G116))*(BULK_START&lt;=1)*(BULK_END&gt;=1))*IFERROR(BULK_VALUE,0))/MAX(1,SUMPRODUCT(((BULK_ENABLED="Y")*((BULK_TIER="ALL")+(BULK_TIER=$F116))*((BULK_SKU="ALL")+(BULK_SKU=$G116))*(BULK_START&lt;=1)*(BULK_END&gt;=1)))),0),ROUND((INDEX(VELOCITY_TABLE,MATCH($F116,TIER_LIST,0),1))*(IF((1-$I116+1)&lt;=0,0,IF((1-$I116+1)=1,RAMP_W1,IF((1-$I116+1)=2,RAMP_W2,IF((1-$I116+1)=3,RAMP_W3,RAMP_W4PLUS)))))*(INDEX(ACTIVE_MULT_TABLE,1,1))*(1+SUMPRODUCT(SIGN(((ACT_DOOR_SCOPE="ALL")+(ACT_DOOR_SCOPE="TIER_"&amp;$F116)+(ACT_DOOR_SCOPE=$B116)))*SIGN(((ACT_SKU_SCOPE="ALL")+(ACT_SKU_SCOPE=$G116)))*(ACT_START&lt;=1)*(ACT_END&gt;=1)*IFERROR(ACT_UPLIFT-1,0)))*(1+SUMPRODUCT(SIGN(((ACT_DOOR_SCOPE="ALL")+(ACT_DOOR_SCOPE="TIER_"&amp;$F116)+(ACT_DOOR_SCOPE=$B116)))*SIGN(((ACT_SKU_SCOPE="ALL")+(ACT_SKU_SCOPE=$G116)))*(1&gt;ACT_END)*(ACT_END&gt;0)*IFERROR(ACT_POSTLIFT,0))),0)))</f>
        <v/>
      </c>
      <c r="K116" s="10">
        <f>IF(OR($H116&lt;&gt;"Y",2&lt;$I116),0,IF(SUMPRODUCT(((BULK_ENABLED="Y")*((BULK_TIER="ALL")+(BULK_TIER=$F116))*((BULK_SKU="ALL")+(BULK_SKU=$G116))*(BULK_START&lt;=2)*(BULK_END&gt;=2)))&gt;0,IFERROR(SUMPRODUCT(((BULK_ENABLED="Y")*((BULK_TIER="ALL")+(BULK_TIER=$F116))*((BULK_SKU="ALL")+(BULK_SKU=$G116))*(BULK_START&lt;=2)*(BULK_END&gt;=2))*IFERROR(BULK_VALUE,0))/MAX(1,SUMPRODUCT(((BULK_ENABLED="Y")*((BULK_TIER="ALL")+(BULK_TIER=$F116))*((BULK_SKU="ALL")+(BULK_SKU=$G116))*(BULK_START&lt;=2)*(BULK_END&gt;=2)))),0),ROUND((INDEX(VELOCITY_TABLE,MATCH($F116,TIER_LIST,0),1))*(IF((2-$I116+1)&lt;=0,0,IF((2-$I116+1)=1,RAMP_W1,IF((2-$I116+1)=2,RAMP_W2,IF((2-$I116+1)=3,RAMP_W3,RAMP_W4PLUS)))))*(INDEX(ACTIVE_MULT_TABLE,1,1))*(1+SUMPRODUCT(SIGN(((ACT_DOOR_SCOPE="ALL")+(ACT_DOOR_SCOPE="TIER_"&amp;$F116)+(ACT_DOOR_SCOPE=$B116)))*SIGN(((ACT_SKU_SCOPE="ALL")+(ACT_SKU_SCOPE=$G116)))*(ACT_START&lt;=2)*(ACT_END&gt;=2)*IFERROR(ACT_UPLIFT-1,0)))*(1+SUMPRODUCT(SIGN(((ACT_DOOR_SCOPE="ALL")+(ACT_DOOR_SCOPE="TIER_"&amp;$F116)+(ACT_DOOR_SCOPE=$B116)))*SIGN(((ACT_SKU_SCOPE="ALL")+(ACT_SKU_SCOPE=$G116)))*(2&gt;ACT_END)*(ACT_END&gt;0)*IFERROR(ACT_POSTLIFT,0))),0)))</f>
        <v/>
      </c>
      <c r="L116" s="10">
        <f>IF(OR($H116&lt;&gt;"Y",3&lt;$I116),0,IF(SUMPRODUCT(((BULK_ENABLED="Y")*((BULK_TIER="ALL")+(BULK_TIER=$F116))*((BULK_SKU="ALL")+(BULK_SKU=$G116))*(BULK_START&lt;=3)*(BULK_END&gt;=3)))&gt;0,IFERROR(SUMPRODUCT(((BULK_ENABLED="Y")*((BULK_TIER="ALL")+(BULK_TIER=$F116))*((BULK_SKU="ALL")+(BULK_SKU=$G116))*(BULK_START&lt;=3)*(BULK_END&gt;=3))*IFERROR(BULK_VALUE,0))/MAX(1,SUMPRODUCT(((BULK_ENABLED="Y")*((BULK_TIER="ALL")+(BULK_TIER=$F116))*((BULK_SKU="ALL")+(BULK_SKU=$G116))*(BULK_START&lt;=3)*(BULK_END&gt;=3)))),0),ROUND((INDEX(VELOCITY_TABLE,MATCH($F116,TIER_LIST,0),1))*(IF((3-$I116+1)&lt;=0,0,IF((3-$I116+1)=1,RAMP_W1,IF((3-$I116+1)=2,RAMP_W2,IF((3-$I116+1)=3,RAMP_W3,RAMP_W4PLUS)))))*(INDEX(ACTIVE_MULT_TABLE,1,1))*(1+SUMPRODUCT(SIGN(((ACT_DOOR_SCOPE="ALL")+(ACT_DOOR_SCOPE="TIER_"&amp;$F116)+(ACT_DOOR_SCOPE=$B116)))*SIGN(((ACT_SKU_SCOPE="ALL")+(ACT_SKU_SCOPE=$G116)))*(ACT_START&lt;=3)*(ACT_END&gt;=3)*IFERROR(ACT_UPLIFT-1,0)))*(1+SUMPRODUCT(SIGN(((ACT_DOOR_SCOPE="ALL")+(ACT_DOOR_SCOPE="TIER_"&amp;$F116)+(ACT_DOOR_SCOPE=$B116)))*SIGN(((ACT_SKU_SCOPE="ALL")+(ACT_SKU_SCOPE=$G116)))*(3&gt;ACT_END)*(ACT_END&gt;0)*IFERROR(ACT_POSTLIFT,0))),0)))</f>
        <v/>
      </c>
      <c r="M116" s="10">
        <f>IF(OR($H116&lt;&gt;"Y",4&lt;$I116),0,IF(SUMPRODUCT(((BULK_ENABLED="Y")*((BULK_TIER="ALL")+(BULK_TIER=$F116))*((BULK_SKU="ALL")+(BULK_SKU=$G116))*(BULK_START&lt;=4)*(BULK_END&gt;=4)))&gt;0,IFERROR(SUMPRODUCT(((BULK_ENABLED="Y")*((BULK_TIER="ALL")+(BULK_TIER=$F116))*((BULK_SKU="ALL")+(BULK_SKU=$G116))*(BULK_START&lt;=4)*(BULK_END&gt;=4))*IFERROR(BULK_VALUE,0))/MAX(1,SUMPRODUCT(((BULK_ENABLED="Y")*((BULK_TIER="ALL")+(BULK_TIER=$F116))*((BULK_SKU="ALL")+(BULK_SKU=$G116))*(BULK_START&lt;=4)*(BULK_END&gt;=4)))),0),ROUND((INDEX(VELOCITY_TABLE,MATCH($F116,TIER_LIST,0),1))*(IF((4-$I116+1)&lt;=0,0,IF((4-$I116+1)=1,RAMP_W1,IF((4-$I116+1)=2,RAMP_W2,IF((4-$I116+1)=3,RAMP_W3,RAMP_W4PLUS)))))*(INDEX(ACTIVE_MULT_TABLE,1,1))*(1+SUMPRODUCT(SIGN(((ACT_DOOR_SCOPE="ALL")+(ACT_DOOR_SCOPE="TIER_"&amp;$F116)+(ACT_DOOR_SCOPE=$B116)))*SIGN(((ACT_SKU_SCOPE="ALL")+(ACT_SKU_SCOPE=$G116)))*(ACT_START&lt;=4)*(ACT_END&gt;=4)*IFERROR(ACT_UPLIFT-1,0)))*(1+SUMPRODUCT(SIGN(((ACT_DOOR_SCOPE="ALL")+(ACT_DOOR_SCOPE="TIER_"&amp;$F116)+(ACT_DOOR_SCOPE=$B116)))*SIGN(((ACT_SKU_SCOPE="ALL")+(ACT_SKU_SCOPE=$G116)))*(4&gt;ACT_END)*(ACT_END&gt;0)*IFERROR(ACT_POSTLIFT,0))),0)))</f>
        <v/>
      </c>
      <c r="N116" s="10">
        <f>IF(OR($H116&lt;&gt;"Y",5&lt;$I116),0,IF(SUMPRODUCT(((BULK_ENABLED="Y")*((BULK_TIER="ALL")+(BULK_TIER=$F116))*((BULK_SKU="ALL")+(BULK_SKU=$G116))*(BULK_START&lt;=5)*(BULK_END&gt;=5)))&gt;0,IFERROR(SUMPRODUCT(((BULK_ENABLED="Y")*((BULK_TIER="ALL")+(BULK_TIER=$F116))*((BULK_SKU="ALL")+(BULK_SKU=$G116))*(BULK_START&lt;=5)*(BULK_END&gt;=5))*IFERROR(BULK_VALUE,0))/MAX(1,SUMPRODUCT(((BULK_ENABLED="Y")*((BULK_TIER="ALL")+(BULK_TIER=$F116))*((BULK_SKU="ALL")+(BULK_SKU=$G116))*(BULK_START&lt;=5)*(BULK_END&gt;=5)))),0),ROUND((INDEX(VELOCITY_TABLE,MATCH($F116,TIER_LIST,0),1))*(IF((5-$I116+1)&lt;=0,0,IF((5-$I116+1)=1,RAMP_W1,IF((5-$I116+1)=2,RAMP_W2,IF((5-$I116+1)=3,RAMP_W3,RAMP_W4PLUS)))))*(INDEX(ACTIVE_MULT_TABLE,1,1))*(1+SUMPRODUCT(SIGN(((ACT_DOOR_SCOPE="ALL")+(ACT_DOOR_SCOPE="TIER_"&amp;$F116)+(ACT_DOOR_SCOPE=$B116)))*SIGN(((ACT_SKU_SCOPE="ALL")+(ACT_SKU_SCOPE=$G116)))*(ACT_START&lt;=5)*(ACT_END&gt;=5)*IFERROR(ACT_UPLIFT-1,0)))*(1+SUMPRODUCT(SIGN(((ACT_DOOR_SCOPE="ALL")+(ACT_DOOR_SCOPE="TIER_"&amp;$F116)+(ACT_DOOR_SCOPE=$B116)))*SIGN(((ACT_SKU_SCOPE="ALL")+(ACT_SKU_SCOPE=$G116)))*(5&gt;ACT_END)*(ACT_END&gt;0)*IFERROR(ACT_POSTLIFT,0))),0)))</f>
        <v/>
      </c>
      <c r="O116" s="10">
        <f>IF(OR($H116&lt;&gt;"Y",6&lt;$I116),0,IF(SUMPRODUCT(((BULK_ENABLED="Y")*((BULK_TIER="ALL")+(BULK_TIER=$F116))*((BULK_SKU="ALL")+(BULK_SKU=$G116))*(BULK_START&lt;=6)*(BULK_END&gt;=6)))&gt;0,IFERROR(SUMPRODUCT(((BULK_ENABLED="Y")*((BULK_TIER="ALL")+(BULK_TIER=$F116))*((BULK_SKU="ALL")+(BULK_SKU=$G116))*(BULK_START&lt;=6)*(BULK_END&gt;=6))*IFERROR(BULK_VALUE,0))/MAX(1,SUMPRODUCT(((BULK_ENABLED="Y")*((BULK_TIER="ALL")+(BULK_TIER=$F116))*((BULK_SKU="ALL")+(BULK_SKU=$G116))*(BULK_START&lt;=6)*(BULK_END&gt;=6)))),0),ROUND((INDEX(VELOCITY_TABLE,MATCH($F116,TIER_LIST,0),1))*(IF((6-$I116+1)&lt;=0,0,IF((6-$I116+1)=1,RAMP_W1,IF((6-$I116+1)=2,RAMP_W2,IF((6-$I116+1)=3,RAMP_W3,RAMP_W4PLUS)))))*(INDEX(ACTIVE_MULT_TABLE,1,1))*(1+SUMPRODUCT(SIGN(((ACT_DOOR_SCOPE="ALL")+(ACT_DOOR_SCOPE="TIER_"&amp;$F116)+(ACT_DOOR_SCOPE=$B116)))*SIGN(((ACT_SKU_SCOPE="ALL")+(ACT_SKU_SCOPE=$G116)))*(ACT_START&lt;=6)*(ACT_END&gt;=6)*IFERROR(ACT_UPLIFT-1,0)))*(1+SUMPRODUCT(SIGN(((ACT_DOOR_SCOPE="ALL")+(ACT_DOOR_SCOPE="TIER_"&amp;$F116)+(ACT_DOOR_SCOPE=$B116)))*SIGN(((ACT_SKU_SCOPE="ALL")+(ACT_SKU_SCOPE=$G116)))*(6&gt;ACT_END)*(ACT_END&gt;0)*IFERROR(ACT_POSTLIFT,0))),0)))</f>
        <v/>
      </c>
      <c r="P116" s="10">
        <f>IF(OR($H116&lt;&gt;"Y",7&lt;$I116),0,IF(SUMPRODUCT(((BULK_ENABLED="Y")*((BULK_TIER="ALL")+(BULK_TIER=$F116))*((BULK_SKU="ALL")+(BULK_SKU=$G116))*(BULK_START&lt;=7)*(BULK_END&gt;=7)))&gt;0,IFERROR(SUMPRODUCT(((BULK_ENABLED="Y")*((BULK_TIER="ALL")+(BULK_TIER=$F116))*((BULK_SKU="ALL")+(BULK_SKU=$G116))*(BULK_START&lt;=7)*(BULK_END&gt;=7))*IFERROR(BULK_VALUE,0))/MAX(1,SUMPRODUCT(((BULK_ENABLED="Y")*((BULK_TIER="ALL")+(BULK_TIER=$F116))*((BULK_SKU="ALL")+(BULK_SKU=$G116))*(BULK_START&lt;=7)*(BULK_END&gt;=7)))),0),ROUND((INDEX(VELOCITY_TABLE,MATCH($F116,TIER_LIST,0),1))*(IF((7-$I116+1)&lt;=0,0,IF((7-$I116+1)=1,RAMP_W1,IF((7-$I116+1)=2,RAMP_W2,IF((7-$I116+1)=3,RAMP_W3,RAMP_W4PLUS)))))*(INDEX(ACTIVE_MULT_TABLE,1,1))*(1+SUMPRODUCT(SIGN(((ACT_DOOR_SCOPE="ALL")+(ACT_DOOR_SCOPE="TIER_"&amp;$F116)+(ACT_DOOR_SCOPE=$B116)))*SIGN(((ACT_SKU_SCOPE="ALL")+(ACT_SKU_SCOPE=$G116)))*(ACT_START&lt;=7)*(ACT_END&gt;=7)*IFERROR(ACT_UPLIFT-1,0)))*(1+SUMPRODUCT(SIGN(((ACT_DOOR_SCOPE="ALL")+(ACT_DOOR_SCOPE="TIER_"&amp;$F116)+(ACT_DOOR_SCOPE=$B116)))*SIGN(((ACT_SKU_SCOPE="ALL")+(ACT_SKU_SCOPE=$G116)))*(7&gt;ACT_END)*(ACT_END&gt;0)*IFERROR(ACT_POSTLIFT,0))),0)))</f>
        <v/>
      </c>
      <c r="Q116" s="10">
        <f>IF(OR($H116&lt;&gt;"Y",8&lt;$I116),0,IF(SUMPRODUCT(((BULK_ENABLED="Y")*((BULK_TIER="ALL")+(BULK_TIER=$F116))*((BULK_SKU="ALL")+(BULK_SKU=$G116))*(BULK_START&lt;=8)*(BULK_END&gt;=8)))&gt;0,IFERROR(SUMPRODUCT(((BULK_ENABLED="Y")*((BULK_TIER="ALL")+(BULK_TIER=$F116))*((BULK_SKU="ALL")+(BULK_SKU=$G116))*(BULK_START&lt;=8)*(BULK_END&gt;=8))*IFERROR(BULK_VALUE,0))/MAX(1,SUMPRODUCT(((BULK_ENABLED="Y")*((BULK_TIER="ALL")+(BULK_TIER=$F116))*((BULK_SKU="ALL")+(BULK_SKU=$G116))*(BULK_START&lt;=8)*(BULK_END&gt;=8)))),0),ROUND((INDEX(VELOCITY_TABLE,MATCH($F116,TIER_LIST,0),1))*(IF((8-$I116+1)&lt;=0,0,IF((8-$I116+1)=1,RAMP_W1,IF((8-$I116+1)=2,RAMP_W2,IF((8-$I116+1)=3,RAMP_W3,RAMP_W4PLUS)))))*(INDEX(ACTIVE_MULT_TABLE,1,1))*(1+SUMPRODUCT(SIGN(((ACT_DOOR_SCOPE="ALL")+(ACT_DOOR_SCOPE="TIER_"&amp;$F116)+(ACT_DOOR_SCOPE=$B116)))*SIGN(((ACT_SKU_SCOPE="ALL")+(ACT_SKU_SCOPE=$G116)))*(ACT_START&lt;=8)*(ACT_END&gt;=8)*IFERROR(ACT_UPLIFT-1,0)))*(1+SUMPRODUCT(SIGN(((ACT_DOOR_SCOPE="ALL")+(ACT_DOOR_SCOPE="TIER_"&amp;$F116)+(ACT_DOOR_SCOPE=$B116)))*SIGN(((ACT_SKU_SCOPE="ALL")+(ACT_SKU_SCOPE=$G116)))*(8&gt;ACT_END)*(ACT_END&gt;0)*IFERROR(ACT_POSTLIFT,0))),0)))</f>
        <v/>
      </c>
      <c r="R116" s="10">
        <f>IF(OR($H116&lt;&gt;"Y",9&lt;$I116),0,IF(SUMPRODUCT(((BULK_ENABLED="Y")*((BULK_TIER="ALL")+(BULK_TIER=$F116))*((BULK_SKU="ALL")+(BULK_SKU=$G116))*(BULK_START&lt;=9)*(BULK_END&gt;=9)))&gt;0,IFERROR(SUMPRODUCT(((BULK_ENABLED="Y")*((BULK_TIER="ALL")+(BULK_TIER=$F116))*((BULK_SKU="ALL")+(BULK_SKU=$G116))*(BULK_START&lt;=9)*(BULK_END&gt;=9))*IFERROR(BULK_VALUE,0))/MAX(1,SUMPRODUCT(((BULK_ENABLED="Y")*((BULK_TIER="ALL")+(BULK_TIER=$F116))*((BULK_SKU="ALL")+(BULK_SKU=$G116))*(BULK_START&lt;=9)*(BULK_END&gt;=9)))),0),ROUND((INDEX(VELOCITY_TABLE,MATCH($F116,TIER_LIST,0),1))*(IF((9-$I116+1)&lt;=0,0,IF((9-$I116+1)=1,RAMP_W1,IF((9-$I116+1)=2,RAMP_W2,IF((9-$I116+1)=3,RAMP_W3,RAMP_W4PLUS)))))*(INDEX(ACTIVE_MULT_TABLE,1,1))*(1+SUMPRODUCT(SIGN(((ACT_DOOR_SCOPE="ALL")+(ACT_DOOR_SCOPE="TIER_"&amp;$F116)+(ACT_DOOR_SCOPE=$B116)))*SIGN(((ACT_SKU_SCOPE="ALL")+(ACT_SKU_SCOPE=$G116)))*(ACT_START&lt;=9)*(ACT_END&gt;=9)*IFERROR(ACT_UPLIFT-1,0)))*(1+SUMPRODUCT(SIGN(((ACT_DOOR_SCOPE="ALL")+(ACT_DOOR_SCOPE="TIER_"&amp;$F116)+(ACT_DOOR_SCOPE=$B116)))*SIGN(((ACT_SKU_SCOPE="ALL")+(ACT_SKU_SCOPE=$G116)))*(9&gt;ACT_END)*(ACT_END&gt;0)*IFERROR(ACT_POSTLIFT,0))),0)))</f>
        <v/>
      </c>
      <c r="S116" s="10">
        <f>IF(OR($H116&lt;&gt;"Y",10&lt;$I116),0,IF(SUMPRODUCT(((BULK_ENABLED="Y")*((BULK_TIER="ALL")+(BULK_TIER=$F116))*((BULK_SKU="ALL")+(BULK_SKU=$G116))*(BULK_START&lt;=10)*(BULK_END&gt;=10)))&gt;0,IFERROR(SUMPRODUCT(((BULK_ENABLED="Y")*((BULK_TIER="ALL")+(BULK_TIER=$F116))*((BULK_SKU="ALL")+(BULK_SKU=$G116))*(BULK_START&lt;=10)*(BULK_END&gt;=10))*IFERROR(BULK_VALUE,0))/MAX(1,SUMPRODUCT(((BULK_ENABLED="Y")*((BULK_TIER="ALL")+(BULK_TIER=$F116))*((BULK_SKU="ALL")+(BULK_SKU=$G116))*(BULK_START&lt;=10)*(BULK_END&gt;=10)))),0),ROUND((INDEX(VELOCITY_TABLE,MATCH($F116,TIER_LIST,0),1))*(IF((10-$I116+1)&lt;=0,0,IF((10-$I116+1)=1,RAMP_W1,IF((10-$I116+1)=2,RAMP_W2,IF((10-$I116+1)=3,RAMP_W3,RAMP_W4PLUS)))))*(INDEX(ACTIVE_MULT_TABLE,1,1))*(1+SUMPRODUCT(SIGN(((ACT_DOOR_SCOPE="ALL")+(ACT_DOOR_SCOPE="TIER_"&amp;$F116)+(ACT_DOOR_SCOPE=$B116)))*SIGN(((ACT_SKU_SCOPE="ALL")+(ACT_SKU_SCOPE=$G116)))*(ACT_START&lt;=10)*(ACT_END&gt;=10)*IFERROR(ACT_UPLIFT-1,0)))*(1+SUMPRODUCT(SIGN(((ACT_DOOR_SCOPE="ALL")+(ACT_DOOR_SCOPE="TIER_"&amp;$F116)+(ACT_DOOR_SCOPE=$B116)))*SIGN(((ACT_SKU_SCOPE="ALL")+(ACT_SKU_SCOPE=$G116)))*(10&gt;ACT_END)*(ACT_END&gt;0)*IFERROR(ACT_POSTLIFT,0))),0)))</f>
        <v/>
      </c>
      <c r="T116" s="10">
        <f>IF(OR($H116&lt;&gt;"Y",11&lt;$I116),0,IF(SUMPRODUCT(((BULK_ENABLED="Y")*((BULK_TIER="ALL")+(BULK_TIER=$F116))*((BULK_SKU="ALL")+(BULK_SKU=$G116))*(BULK_START&lt;=11)*(BULK_END&gt;=11)))&gt;0,IFERROR(SUMPRODUCT(((BULK_ENABLED="Y")*((BULK_TIER="ALL")+(BULK_TIER=$F116))*((BULK_SKU="ALL")+(BULK_SKU=$G116))*(BULK_START&lt;=11)*(BULK_END&gt;=11))*IFERROR(BULK_VALUE,0))/MAX(1,SUMPRODUCT(((BULK_ENABLED="Y")*((BULK_TIER="ALL")+(BULK_TIER=$F116))*((BULK_SKU="ALL")+(BULK_SKU=$G116))*(BULK_START&lt;=11)*(BULK_END&gt;=11)))),0),ROUND((INDEX(VELOCITY_TABLE,MATCH($F116,TIER_LIST,0),1))*(IF((11-$I116+1)&lt;=0,0,IF((11-$I116+1)=1,RAMP_W1,IF((11-$I116+1)=2,RAMP_W2,IF((11-$I116+1)=3,RAMP_W3,RAMP_W4PLUS)))))*(INDEX(ACTIVE_MULT_TABLE,1,1))*(1+SUMPRODUCT(SIGN(((ACT_DOOR_SCOPE="ALL")+(ACT_DOOR_SCOPE="TIER_"&amp;$F116)+(ACT_DOOR_SCOPE=$B116)))*SIGN(((ACT_SKU_SCOPE="ALL")+(ACT_SKU_SCOPE=$G116)))*(ACT_START&lt;=11)*(ACT_END&gt;=11)*IFERROR(ACT_UPLIFT-1,0)))*(1+SUMPRODUCT(SIGN(((ACT_DOOR_SCOPE="ALL")+(ACT_DOOR_SCOPE="TIER_"&amp;$F116)+(ACT_DOOR_SCOPE=$B116)))*SIGN(((ACT_SKU_SCOPE="ALL")+(ACT_SKU_SCOPE=$G116)))*(11&gt;ACT_END)*(ACT_END&gt;0)*IFERROR(ACT_POSTLIFT,0))),0)))</f>
        <v/>
      </c>
      <c r="U116" s="10">
        <f>IF(OR($H116&lt;&gt;"Y",12&lt;$I116),0,IF(SUMPRODUCT(((BULK_ENABLED="Y")*((BULK_TIER="ALL")+(BULK_TIER=$F116))*((BULK_SKU="ALL")+(BULK_SKU=$G116))*(BULK_START&lt;=12)*(BULK_END&gt;=12)))&gt;0,IFERROR(SUMPRODUCT(((BULK_ENABLED="Y")*((BULK_TIER="ALL")+(BULK_TIER=$F116))*((BULK_SKU="ALL")+(BULK_SKU=$G116))*(BULK_START&lt;=12)*(BULK_END&gt;=12))*IFERROR(BULK_VALUE,0))/MAX(1,SUMPRODUCT(((BULK_ENABLED="Y")*((BULK_TIER="ALL")+(BULK_TIER=$F116))*((BULK_SKU="ALL")+(BULK_SKU=$G116))*(BULK_START&lt;=12)*(BULK_END&gt;=12)))),0),ROUND((INDEX(VELOCITY_TABLE,MATCH($F116,TIER_LIST,0),1))*(IF((12-$I116+1)&lt;=0,0,IF((12-$I116+1)=1,RAMP_W1,IF((12-$I116+1)=2,RAMP_W2,IF((12-$I116+1)=3,RAMP_W3,RAMP_W4PLUS)))))*(INDEX(ACTIVE_MULT_TABLE,1,1))*(1+SUMPRODUCT(SIGN(((ACT_DOOR_SCOPE="ALL")+(ACT_DOOR_SCOPE="TIER_"&amp;$F116)+(ACT_DOOR_SCOPE=$B116)))*SIGN(((ACT_SKU_SCOPE="ALL")+(ACT_SKU_SCOPE=$G116)))*(ACT_START&lt;=12)*(ACT_END&gt;=12)*IFERROR(ACT_UPLIFT-1,0)))*(1+SUMPRODUCT(SIGN(((ACT_DOOR_SCOPE="ALL")+(ACT_DOOR_SCOPE="TIER_"&amp;$F116)+(ACT_DOOR_SCOPE=$B116)))*SIGN(((ACT_SKU_SCOPE="ALL")+(ACT_SKU_SCOPE=$G116)))*(12&gt;ACT_END)*(ACT_END&gt;0)*IFERROR(ACT_POSTLIFT,0))),0)))</f>
        <v/>
      </c>
      <c r="V116" s="10">
        <f>IF(OR($H116&lt;&gt;"Y",13&lt;$I116),0,IF(SUMPRODUCT(((BULK_ENABLED="Y")*((BULK_TIER="ALL")+(BULK_TIER=$F116))*((BULK_SKU="ALL")+(BULK_SKU=$G116))*(BULK_START&lt;=13)*(BULK_END&gt;=13)))&gt;0,IFERROR(SUMPRODUCT(((BULK_ENABLED="Y")*((BULK_TIER="ALL")+(BULK_TIER=$F116))*((BULK_SKU="ALL")+(BULK_SKU=$G116))*(BULK_START&lt;=13)*(BULK_END&gt;=13))*IFERROR(BULK_VALUE,0))/MAX(1,SUMPRODUCT(((BULK_ENABLED="Y")*((BULK_TIER="ALL")+(BULK_TIER=$F116))*((BULK_SKU="ALL")+(BULK_SKU=$G116))*(BULK_START&lt;=13)*(BULK_END&gt;=13)))),0),ROUND((INDEX(VELOCITY_TABLE,MATCH($F116,TIER_LIST,0),1))*(IF((13-$I116+1)&lt;=0,0,IF((13-$I116+1)=1,RAMP_W1,IF((13-$I116+1)=2,RAMP_W2,IF((13-$I116+1)=3,RAMP_W3,RAMP_W4PLUS)))))*(INDEX(ACTIVE_MULT_TABLE,1,1))*(1+SUMPRODUCT(SIGN(((ACT_DOOR_SCOPE="ALL")+(ACT_DOOR_SCOPE="TIER_"&amp;$F116)+(ACT_DOOR_SCOPE=$B116)))*SIGN(((ACT_SKU_SCOPE="ALL")+(ACT_SKU_SCOPE=$G116)))*(ACT_START&lt;=13)*(ACT_END&gt;=13)*IFERROR(ACT_UPLIFT-1,0)))*(1+SUMPRODUCT(SIGN(((ACT_DOOR_SCOPE="ALL")+(ACT_DOOR_SCOPE="TIER_"&amp;$F116)+(ACT_DOOR_SCOPE=$B116)))*SIGN(((ACT_SKU_SCOPE="ALL")+(ACT_SKU_SCOPE=$G116)))*(13&gt;ACT_END)*(ACT_END&gt;0)*IFERROR(ACT_POSTLIFT,0))),0)))</f>
        <v/>
      </c>
    </row>
    <row r="117">
      <c r="A117" t="inlineStr">
        <is>
          <t>R0113</t>
        </is>
      </c>
      <c r="B117">
        <f>Doors!$A$42</f>
        <v/>
      </c>
      <c r="C117">
        <f>Doors!$C$42</f>
        <v/>
      </c>
      <c r="D117">
        <f>Doors!$B$42</f>
        <v/>
      </c>
      <c r="E117">
        <f>Doors!$E$42</f>
        <v/>
      </c>
      <c r="F117">
        <f>Doors!$F$42</f>
        <v/>
      </c>
      <c r="G117" t="inlineStr">
        <is>
          <t>Pineapple Passion Fruit</t>
        </is>
      </c>
      <c r="H117">
        <f>Doors!$H$42</f>
        <v/>
      </c>
      <c r="I117">
        <f>Doors!$J$42</f>
        <v/>
      </c>
      <c r="J117" s="10">
        <f>IF(OR($H117&lt;&gt;"Y",1&lt;$I117),0,IF(SUMPRODUCT(((BULK_ENABLED="Y")*((BULK_TIER="ALL")+(BULK_TIER=$F117))*((BULK_SKU="ALL")+(BULK_SKU=$G117))*(BULK_START&lt;=1)*(BULK_END&gt;=1)))&gt;0,IFERROR(SUMPRODUCT(((BULK_ENABLED="Y")*((BULK_TIER="ALL")+(BULK_TIER=$F117))*((BULK_SKU="ALL")+(BULK_SKU=$G117))*(BULK_START&lt;=1)*(BULK_END&gt;=1))*IFERROR(BULK_VALUE,0))/MAX(1,SUMPRODUCT(((BULK_ENABLED="Y")*((BULK_TIER="ALL")+(BULK_TIER=$F117))*((BULK_SKU="ALL")+(BULK_SKU=$G117))*(BULK_START&lt;=1)*(BULK_END&gt;=1)))),0),ROUND((INDEX(VELOCITY_TABLE,MATCH($F117,TIER_LIST,0),2))*(IF((1-$I117+1)&lt;=0,0,IF((1-$I117+1)=1,RAMP_W1,IF((1-$I117+1)=2,RAMP_W2,IF((1-$I117+1)=3,RAMP_W3,RAMP_W4PLUS)))))*(INDEX(ACTIVE_MULT_TABLE,2,1))*(1+SUMPRODUCT(SIGN(((ACT_DOOR_SCOPE="ALL")+(ACT_DOOR_SCOPE="TIER_"&amp;$F117)+(ACT_DOOR_SCOPE=$B117)))*SIGN(((ACT_SKU_SCOPE="ALL")+(ACT_SKU_SCOPE=$G117)))*(ACT_START&lt;=1)*(ACT_END&gt;=1)*IFERROR(ACT_UPLIFT-1,0)))*(1+SUMPRODUCT(SIGN(((ACT_DOOR_SCOPE="ALL")+(ACT_DOOR_SCOPE="TIER_"&amp;$F117)+(ACT_DOOR_SCOPE=$B117)))*SIGN(((ACT_SKU_SCOPE="ALL")+(ACT_SKU_SCOPE=$G117)))*(1&gt;ACT_END)*(ACT_END&gt;0)*IFERROR(ACT_POSTLIFT,0))),0)))</f>
        <v/>
      </c>
      <c r="K117" s="10">
        <f>IF(OR($H117&lt;&gt;"Y",2&lt;$I117),0,IF(SUMPRODUCT(((BULK_ENABLED="Y")*((BULK_TIER="ALL")+(BULK_TIER=$F117))*((BULK_SKU="ALL")+(BULK_SKU=$G117))*(BULK_START&lt;=2)*(BULK_END&gt;=2)))&gt;0,IFERROR(SUMPRODUCT(((BULK_ENABLED="Y")*((BULK_TIER="ALL")+(BULK_TIER=$F117))*((BULK_SKU="ALL")+(BULK_SKU=$G117))*(BULK_START&lt;=2)*(BULK_END&gt;=2))*IFERROR(BULK_VALUE,0))/MAX(1,SUMPRODUCT(((BULK_ENABLED="Y")*((BULK_TIER="ALL")+(BULK_TIER=$F117))*((BULK_SKU="ALL")+(BULK_SKU=$G117))*(BULK_START&lt;=2)*(BULK_END&gt;=2)))),0),ROUND((INDEX(VELOCITY_TABLE,MATCH($F117,TIER_LIST,0),2))*(IF((2-$I117+1)&lt;=0,0,IF((2-$I117+1)=1,RAMP_W1,IF((2-$I117+1)=2,RAMP_W2,IF((2-$I117+1)=3,RAMP_W3,RAMP_W4PLUS)))))*(INDEX(ACTIVE_MULT_TABLE,2,1))*(1+SUMPRODUCT(SIGN(((ACT_DOOR_SCOPE="ALL")+(ACT_DOOR_SCOPE="TIER_"&amp;$F117)+(ACT_DOOR_SCOPE=$B117)))*SIGN(((ACT_SKU_SCOPE="ALL")+(ACT_SKU_SCOPE=$G117)))*(ACT_START&lt;=2)*(ACT_END&gt;=2)*IFERROR(ACT_UPLIFT-1,0)))*(1+SUMPRODUCT(SIGN(((ACT_DOOR_SCOPE="ALL")+(ACT_DOOR_SCOPE="TIER_"&amp;$F117)+(ACT_DOOR_SCOPE=$B117)))*SIGN(((ACT_SKU_SCOPE="ALL")+(ACT_SKU_SCOPE=$G117)))*(2&gt;ACT_END)*(ACT_END&gt;0)*IFERROR(ACT_POSTLIFT,0))),0)))</f>
        <v/>
      </c>
      <c r="L117" s="10">
        <f>IF(OR($H117&lt;&gt;"Y",3&lt;$I117),0,IF(SUMPRODUCT(((BULK_ENABLED="Y")*((BULK_TIER="ALL")+(BULK_TIER=$F117))*((BULK_SKU="ALL")+(BULK_SKU=$G117))*(BULK_START&lt;=3)*(BULK_END&gt;=3)))&gt;0,IFERROR(SUMPRODUCT(((BULK_ENABLED="Y")*((BULK_TIER="ALL")+(BULK_TIER=$F117))*((BULK_SKU="ALL")+(BULK_SKU=$G117))*(BULK_START&lt;=3)*(BULK_END&gt;=3))*IFERROR(BULK_VALUE,0))/MAX(1,SUMPRODUCT(((BULK_ENABLED="Y")*((BULK_TIER="ALL")+(BULK_TIER=$F117))*((BULK_SKU="ALL")+(BULK_SKU=$G117))*(BULK_START&lt;=3)*(BULK_END&gt;=3)))),0),ROUND((INDEX(VELOCITY_TABLE,MATCH($F117,TIER_LIST,0),2))*(IF((3-$I117+1)&lt;=0,0,IF((3-$I117+1)=1,RAMP_W1,IF((3-$I117+1)=2,RAMP_W2,IF((3-$I117+1)=3,RAMP_W3,RAMP_W4PLUS)))))*(INDEX(ACTIVE_MULT_TABLE,2,1))*(1+SUMPRODUCT(SIGN(((ACT_DOOR_SCOPE="ALL")+(ACT_DOOR_SCOPE="TIER_"&amp;$F117)+(ACT_DOOR_SCOPE=$B117)))*SIGN(((ACT_SKU_SCOPE="ALL")+(ACT_SKU_SCOPE=$G117)))*(ACT_START&lt;=3)*(ACT_END&gt;=3)*IFERROR(ACT_UPLIFT-1,0)))*(1+SUMPRODUCT(SIGN(((ACT_DOOR_SCOPE="ALL")+(ACT_DOOR_SCOPE="TIER_"&amp;$F117)+(ACT_DOOR_SCOPE=$B117)))*SIGN(((ACT_SKU_SCOPE="ALL")+(ACT_SKU_SCOPE=$G117)))*(3&gt;ACT_END)*(ACT_END&gt;0)*IFERROR(ACT_POSTLIFT,0))),0)))</f>
        <v/>
      </c>
      <c r="M117" s="10">
        <f>IF(OR($H117&lt;&gt;"Y",4&lt;$I117),0,IF(SUMPRODUCT(((BULK_ENABLED="Y")*((BULK_TIER="ALL")+(BULK_TIER=$F117))*((BULK_SKU="ALL")+(BULK_SKU=$G117))*(BULK_START&lt;=4)*(BULK_END&gt;=4)))&gt;0,IFERROR(SUMPRODUCT(((BULK_ENABLED="Y")*((BULK_TIER="ALL")+(BULK_TIER=$F117))*((BULK_SKU="ALL")+(BULK_SKU=$G117))*(BULK_START&lt;=4)*(BULK_END&gt;=4))*IFERROR(BULK_VALUE,0))/MAX(1,SUMPRODUCT(((BULK_ENABLED="Y")*((BULK_TIER="ALL")+(BULK_TIER=$F117))*((BULK_SKU="ALL")+(BULK_SKU=$G117))*(BULK_START&lt;=4)*(BULK_END&gt;=4)))),0),ROUND((INDEX(VELOCITY_TABLE,MATCH($F117,TIER_LIST,0),2))*(IF((4-$I117+1)&lt;=0,0,IF((4-$I117+1)=1,RAMP_W1,IF((4-$I117+1)=2,RAMP_W2,IF((4-$I117+1)=3,RAMP_W3,RAMP_W4PLUS)))))*(INDEX(ACTIVE_MULT_TABLE,2,1))*(1+SUMPRODUCT(SIGN(((ACT_DOOR_SCOPE="ALL")+(ACT_DOOR_SCOPE="TIER_"&amp;$F117)+(ACT_DOOR_SCOPE=$B117)))*SIGN(((ACT_SKU_SCOPE="ALL")+(ACT_SKU_SCOPE=$G117)))*(ACT_START&lt;=4)*(ACT_END&gt;=4)*IFERROR(ACT_UPLIFT-1,0)))*(1+SUMPRODUCT(SIGN(((ACT_DOOR_SCOPE="ALL")+(ACT_DOOR_SCOPE="TIER_"&amp;$F117)+(ACT_DOOR_SCOPE=$B117)))*SIGN(((ACT_SKU_SCOPE="ALL")+(ACT_SKU_SCOPE=$G117)))*(4&gt;ACT_END)*(ACT_END&gt;0)*IFERROR(ACT_POSTLIFT,0))),0)))</f>
        <v/>
      </c>
      <c r="N117" s="10">
        <f>IF(OR($H117&lt;&gt;"Y",5&lt;$I117),0,IF(SUMPRODUCT(((BULK_ENABLED="Y")*((BULK_TIER="ALL")+(BULK_TIER=$F117))*((BULK_SKU="ALL")+(BULK_SKU=$G117))*(BULK_START&lt;=5)*(BULK_END&gt;=5)))&gt;0,IFERROR(SUMPRODUCT(((BULK_ENABLED="Y")*((BULK_TIER="ALL")+(BULK_TIER=$F117))*((BULK_SKU="ALL")+(BULK_SKU=$G117))*(BULK_START&lt;=5)*(BULK_END&gt;=5))*IFERROR(BULK_VALUE,0))/MAX(1,SUMPRODUCT(((BULK_ENABLED="Y")*((BULK_TIER="ALL")+(BULK_TIER=$F117))*((BULK_SKU="ALL")+(BULK_SKU=$G117))*(BULK_START&lt;=5)*(BULK_END&gt;=5)))),0),ROUND((INDEX(VELOCITY_TABLE,MATCH($F117,TIER_LIST,0),2))*(IF((5-$I117+1)&lt;=0,0,IF((5-$I117+1)=1,RAMP_W1,IF((5-$I117+1)=2,RAMP_W2,IF((5-$I117+1)=3,RAMP_W3,RAMP_W4PLUS)))))*(INDEX(ACTIVE_MULT_TABLE,2,1))*(1+SUMPRODUCT(SIGN(((ACT_DOOR_SCOPE="ALL")+(ACT_DOOR_SCOPE="TIER_"&amp;$F117)+(ACT_DOOR_SCOPE=$B117)))*SIGN(((ACT_SKU_SCOPE="ALL")+(ACT_SKU_SCOPE=$G117)))*(ACT_START&lt;=5)*(ACT_END&gt;=5)*IFERROR(ACT_UPLIFT-1,0)))*(1+SUMPRODUCT(SIGN(((ACT_DOOR_SCOPE="ALL")+(ACT_DOOR_SCOPE="TIER_"&amp;$F117)+(ACT_DOOR_SCOPE=$B117)))*SIGN(((ACT_SKU_SCOPE="ALL")+(ACT_SKU_SCOPE=$G117)))*(5&gt;ACT_END)*(ACT_END&gt;0)*IFERROR(ACT_POSTLIFT,0))),0)))</f>
        <v/>
      </c>
      <c r="O117" s="10">
        <f>IF(OR($H117&lt;&gt;"Y",6&lt;$I117),0,IF(SUMPRODUCT(((BULK_ENABLED="Y")*((BULK_TIER="ALL")+(BULK_TIER=$F117))*((BULK_SKU="ALL")+(BULK_SKU=$G117))*(BULK_START&lt;=6)*(BULK_END&gt;=6)))&gt;0,IFERROR(SUMPRODUCT(((BULK_ENABLED="Y")*((BULK_TIER="ALL")+(BULK_TIER=$F117))*((BULK_SKU="ALL")+(BULK_SKU=$G117))*(BULK_START&lt;=6)*(BULK_END&gt;=6))*IFERROR(BULK_VALUE,0))/MAX(1,SUMPRODUCT(((BULK_ENABLED="Y")*((BULK_TIER="ALL")+(BULK_TIER=$F117))*((BULK_SKU="ALL")+(BULK_SKU=$G117))*(BULK_START&lt;=6)*(BULK_END&gt;=6)))),0),ROUND((INDEX(VELOCITY_TABLE,MATCH($F117,TIER_LIST,0),2))*(IF((6-$I117+1)&lt;=0,0,IF((6-$I117+1)=1,RAMP_W1,IF((6-$I117+1)=2,RAMP_W2,IF((6-$I117+1)=3,RAMP_W3,RAMP_W4PLUS)))))*(INDEX(ACTIVE_MULT_TABLE,2,1))*(1+SUMPRODUCT(SIGN(((ACT_DOOR_SCOPE="ALL")+(ACT_DOOR_SCOPE="TIER_"&amp;$F117)+(ACT_DOOR_SCOPE=$B117)))*SIGN(((ACT_SKU_SCOPE="ALL")+(ACT_SKU_SCOPE=$G117)))*(ACT_START&lt;=6)*(ACT_END&gt;=6)*IFERROR(ACT_UPLIFT-1,0)))*(1+SUMPRODUCT(SIGN(((ACT_DOOR_SCOPE="ALL")+(ACT_DOOR_SCOPE="TIER_"&amp;$F117)+(ACT_DOOR_SCOPE=$B117)))*SIGN(((ACT_SKU_SCOPE="ALL")+(ACT_SKU_SCOPE=$G117)))*(6&gt;ACT_END)*(ACT_END&gt;0)*IFERROR(ACT_POSTLIFT,0))),0)))</f>
        <v/>
      </c>
      <c r="P117" s="10">
        <f>IF(OR($H117&lt;&gt;"Y",7&lt;$I117),0,IF(SUMPRODUCT(((BULK_ENABLED="Y")*((BULK_TIER="ALL")+(BULK_TIER=$F117))*((BULK_SKU="ALL")+(BULK_SKU=$G117))*(BULK_START&lt;=7)*(BULK_END&gt;=7)))&gt;0,IFERROR(SUMPRODUCT(((BULK_ENABLED="Y")*((BULK_TIER="ALL")+(BULK_TIER=$F117))*((BULK_SKU="ALL")+(BULK_SKU=$G117))*(BULK_START&lt;=7)*(BULK_END&gt;=7))*IFERROR(BULK_VALUE,0))/MAX(1,SUMPRODUCT(((BULK_ENABLED="Y")*((BULK_TIER="ALL")+(BULK_TIER=$F117))*((BULK_SKU="ALL")+(BULK_SKU=$G117))*(BULK_START&lt;=7)*(BULK_END&gt;=7)))),0),ROUND((INDEX(VELOCITY_TABLE,MATCH($F117,TIER_LIST,0),2))*(IF((7-$I117+1)&lt;=0,0,IF((7-$I117+1)=1,RAMP_W1,IF((7-$I117+1)=2,RAMP_W2,IF((7-$I117+1)=3,RAMP_W3,RAMP_W4PLUS)))))*(INDEX(ACTIVE_MULT_TABLE,2,1))*(1+SUMPRODUCT(SIGN(((ACT_DOOR_SCOPE="ALL")+(ACT_DOOR_SCOPE="TIER_"&amp;$F117)+(ACT_DOOR_SCOPE=$B117)))*SIGN(((ACT_SKU_SCOPE="ALL")+(ACT_SKU_SCOPE=$G117)))*(ACT_START&lt;=7)*(ACT_END&gt;=7)*IFERROR(ACT_UPLIFT-1,0)))*(1+SUMPRODUCT(SIGN(((ACT_DOOR_SCOPE="ALL")+(ACT_DOOR_SCOPE="TIER_"&amp;$F117)+(ACT_DOOR_SCOPE=$B117)))*SIGN(((ACT_SKU_SCOPE="ALL")+(ACT_SKU_SCOPE=$G117)))*(7&gt;ACT_END)*(ACT_END&gt;0)*IFERROR(ACT_POSTLIFT,0))),0)))</f>
        <v/>
      </c>
      <c r="Q117" s="10">
        <f>IF(OR($H117&lt;&gt;"Y",8&lt;$I117),0,IF(SUMPRODUCT(((BULK_ENABLED="Y")*((BULK_TIER="ALL")+(BULK_TIER=$F117))*((BULK_SKU="ALL")+(BULK_SKU=$G117))*(BULK_START&lt;=8)*(BULK_END&gt;=8)))&gt;0,IFERROR(SUMPRODUCT(((BULK_ENABLED="Y")*((BULK_TIER="ALL")+(BULK_TIER=$F117))*((BULK_SKU="ALL")+(BULK_SKU=$G117))*(BULK_START&lt;=8)*(BULK_END&gt;=8))*IFERROR(BULK_VALUE,0))/MAX(1,SUMPRODUCT(((BULK_ENABLED="Y")*((BULK_TIER="ALL")+(BULK_TIER=$F117))*((BULK_SKU="ALL")+(BULK_SKU=$G117))*(BULK_START&lt;=8)*(BULK_END&gt;=8)))),0),ROUND((INDEX(VELOCITY_TABLE,MATCH($F117,TIER_LIST,0),2))*(IF((8-$I117+1)&lt;=0,0,IF((8-$I117+1)=1,RAMP_W1,IF((8-$I117+1)=2,RAMP_W2,IF((8-$I117+1)=3,RAMP_W3,RAMP_W4PLUS)))))*(INDEX(ACTIVE_MULT_TABLE,2,1))*(1+SUMPRODUCT(SIGN(((ACT_DOOR_SCOPE="ALL")+(ACT_DOOR_SCOPE="TIER_"&amp;$F117)+(ACT_DOOR_SCOPE=$B117)))*SIGN(((ACT_SKU_SCOPE="ALL")+(ACT_SKU_SCOPE=$G117)))*(ACT_START&lt;=8)*(ACT_END&gt;=8)*IFERROR(ACT_UPLIFT-1,0)))*(1+SUMPRODUCT(SIGN(((ACT_DOOR_SCOPE="ALL")+(ACT_DOOR_SCOPE="TIER_"&amp;$F117)+(ACT_DOOR_SCOPE=$B117)))*SIGN(((ACT_SKU_SCOPE="ALL")+(ACT_SKU_SCOPE=$G117)))*(8&gt;ACT_END)*(ACT_END&gt;0)*IFERROR(ACT_POSTLIFT,0))),0)))</f>
        <v/>
      </c>
      <c r="R117" s="10">
        <f>IF(OR($H117&lt;&gt;"Y",9&lt;$I117),0,IF(SUMPRODUCT(((BULK_ENABLED="Y")*((BULK_TIER="ALL")+(BULK_TIER=$F117))*((BULK_SKU="ALL")+(BULK_SKU=$G117))*(BULK_START&lt;=9)*(BULK_END&gt;=9)))&gt;0,IFERROR(SUMPRODUCT(((BULK_ENABLED="Y")*((BULK_TIER="ALL")+(BULK_TIER=$F117))*((BULK_SKU="ALL")+(BULK_SKU=$G117))*(BULK_START&lt;=9)*(BULK_END&gt;=9))*IFERROR(BULK_VALUE,0))/MAX(1,SUMPRODUCT(((BULK_ENABLED="Y")*((BULK_TIER="ALL")+(BULK_TIER=$F117))*((BULK_SKU="ALL")+(BULK_SKU=$G117))*(BULK_START&lt;=9)*(BULK_END&gt;=9)))),0),ROUND((INDEX(VELOCITY_TABLE,MATCH($F117,TIER_LIST,0),2))*(IF((9-$I117+1)&lt;=0,0,IF((9-$I117+1)=1,RAMP_W1,IF((9-$I117+1)=2,RAMP_W2,IF((9-$I117+1)=3,RAMP_W3,RAMP_W4PLUS)))))*(INDEX(ACTIVE_MULT_TABLE,2,1))*(1+SUMPRODUCT(SIGN(((ACT_DOOR_SCOPE="ALL")+(ACT_DOOR_SCOPE="TIER_"&amp;$F117)+(ACT_DOOR_SCOPE=$B117)))*SIGN(((ACT_SKU_SCOPE="ALL")+(ACT_SKU_SCOPE=$G117)))*(ACT_START&lt;=9)*(ACT_END&gt;=9)*IFERROR(ACT_UPLIFT-1,0)))*(1+SUMPRODUCT(SIGN(((ACT_DOOR_SCOPE="ALL")+(ACT_DOOR_SCOPE="TIER_"&amp;$F117)+(ACT_DOOR_SCOPE=$B117)))*SIGN(((ACT_SKU_SCOPE="ALL")+(ACT_SKU_SCOPE=$G117)))*(9&gt;ACT_END)*(ACT_END&gt;0)*IFERROR(ACT_POSTLIFT,0))),0)))</f>
        <v/>
      </c>
      <c r="S117" s="10">
        <f>IF(OR($H117&lt;&gt;"Y",10&lt;$I117),0,IF(SUMPRODUCT(((BULK_ENABLED="Y")*((BULK_TIER="ALL")+(BULK_TIER=$F117))*((BULK_SKU="ALL")+(BULK_SKU=$G117))*(BULK_START&lt;=10)*(BULK_END&gt;=10)))&gt;0,IFERROR(SUMPRODUCT(((BULK_ENABLED="Y")*((BULK_TIER="ALL")+(BULK_TIER=$F117))*((BULK_SKU="ALL")+(BULK_SKU=$G117))*(BULK_START&lt;=10)*(BULK_END&gt;=10))*IFERROR(BULK_VALUE,0))/MAX(1,SUMPRODUCT(((BULK_ENABLED="Y")*((BULK_TIER="ALL")+(BULK_TIER=$F117))*((BULK_SKU="ALL")+(BULK_SKU=$G117))*(BULK_START&lt;=10)*(BULK_END&gt;=10)))),0),ROUND((INDEX(VELOCITY_TABLE,MATCH($F117,TIER_LIST,0),2))*(IF((10-$I117+1)&lt;=0,0,IF((10-$I117+1)=1,RAMP_W1,IF((10-$I117+1)=2,RAMP_W2,IF((10-$I117+1)=3,RAMP_W3,RAMP_W4PLUS)))))*(INDEX(ACTIVE_MULT_TABLE,2,1))*(1+SUMPRODUCT(SIGN(((ACT_DOOR_SCOPE="ALL")+(ACT_DOOR_SCOPE="TIER_"&amp;$F117)+(ACT_DOOR_SCOPE=$B117)))*SIGN(((ACT_SKU_SCOPE="ALL")+(ACT_SKU_SCOPE=$G117)))*(ACT_START&lt;=10)*(ACT_END&gt;=10)*IFERROR(ACT_UPLIFT-1,0)))*(1+SUMPRODUCT(SIGN(((ACT_DOOR_SCOPE="ALL")+(ACT_DOOR_SCOPE="TIER_"&amp;$F117)+(ACT_DOOR_SCOPE=$B117)))*SIGN(((ACT_SKU_SCOPE="ALL")+(ACT_SKU_SCOPE=$G117)))*(10&gt;ACT_END)*(ACT_END&gt;0)*IFERROR(ACT_POSTLIFT,0))),0)))</f>
        <v/>
      </c>
      <c r="T117" s="10">
        <f>IF(OR($H117&lt;&gt;"Y",11&lt;$I117),0,IF(SUMPRODUCT(((BULK_ENABLED="Y")*((BULK_TIER="ALL")+(BULK_TIER=$F117))*((BULK_SKU="ALL")+(BULK_SKU=$G117))*(BULK_START&lt;=11)*(BULK_END&gt;=11)))&gt;0,IFERROR(SUMPRODUCT(((BULK_ENABLED="Y")*((BULK_TIER="ALL")+(BULK_TIER=$F117))*((BULK_SKU="ALL")+(BULK_SKU=$G117))*(BULK_START&lt;=11)*(BULK_END&gt;=11))*IFERROR(BULK_VALUE,0))/MAX(1,SUMPRODUCT(((BULK_ENABLED="Y")*((BULK_TIER="ALL")+(BULK_TIER=$F117))*((BULK_SKU="ALL")+(BULK_SKU=$G117))*(BULK_START&lt;=11)*(BULK_END&gt;=11)))),0),ROUND((INDEX(VELOCITY_TABLE,MATCH($F117,TIER_LIST,0),2))*(IF((11-$I117+1)&lt;=0,0,IF((11-$I117+1)=1,RAMP_W1,IF((11-$I117+1)=2,RAMP_W2,IF((11-$I117+1)=3,RAMP_W3,RAMP_W4PLUS)))))*(INDEX(ACTIVE_MULT_TABLE,2,1))*(1+SUMPRODUCT(SIGN(((ACT_DOOR_SCOPE="ALL")+(ACT_DOOR_SCOPE="TIER_"&amp;$F117)+(ACT_DOOR_SCOPE=$B117)))*SIGN(((ACT_SKU_SCOPE="ALL")+(ACT_SKU_SCOPE=$G117)))*(ACT_START&lt;=11)*(ACT_END&gt;=11)*IFERROR(ACT_UPLIFT-1,0)))*(1+SUMPRODUCT(SIGN(((ACT_DOOR_SCOPE="ALL")+(ACT_DOOR_SCOPE="TIER_"&amp;$F117)+(ACT_DOOR_SCOPE=$B117)))*SIGN(((ACT_SKU_SCOPE="ALL")+(ACT_SKU_SCOPE=$G117)))*(11&gt;ACT_END)*(ACT_END&gt;0)*IFERROR(ACT_POSTLIFT,0))),0)))</f>
        <v/>
      </c>
      <c r="U117" s="10">
        <f>IF(OR($H117&lt;&gt;"Y",12&lt;$I117),0,IF(SUMPRODUCT(((BULK_ENABLED="Y")*((BULK_TIER="ALL")+(BULK_TIER=$F117))*((BULK_SKU="ALL")+(BULK_SKU=$G117))*(BULK_START&lt;=12)*(BULK_END&gt;=12)))&gt;0,IFERROR(SUMPRODUCT(((BULK_ENABLED="Y")*((BULK_TIER="ALL")+(BULK_TIER=$F117))*((BULK_SKU="ALL")+(BULK_SKU=$G117))*(BULK_START&lt;=12)*(BULK_END&gt;=12))*IFERROR(BULK_VALUE,0))/MAX(1,SUMPRODUCT(((BULK_ENABLED="Y")*((BULK_TIER="ALL")+(BULK_TIER=$F117))*((BULK_SKU="ALL")+(BULK_SKU=$G117))*(BULK_START&lt;=12)*(BULK_END&gt;=12)))),0),ROUND((INDEX(VELOCITY_TABLE,MATCH($F117,TIER_LIST,0),2))*(IF((12-$I117+1)&lt;=0,0,IF((12-$I117+1)=1,RAMP_W1,IF((12-$I117+1)=2,RAMP_W2,IF((12-$I117+1)=3,RAMP_W3,RAMP_W4PLUS)))))*(INDEX(ACTIVE_MULT_TABLE,2,1))*(1+SUMPRODUCT(SIGN(((ACT_DOOR_SCOPE="ALL")+(ACT_DOOR_SCOPE="TIER_"&amp;$F117)+(ACT_DOOR_SCOPE=$B117)))*SIGN(((ACT_SKU_SCOPE="ALL")+(ACT_SKU_SCOPE=$G117)))*(ACT_START&lt;=12)*(ACT_END&gt;=12)*IFERROR(ACT_UPLIFT-1,0)))*(1+SUMPRODUCT(SIGN(((ACT_DOOR_SCOPE="ALL")+(ACT_DOOR_SCOPE="TIER_"&amp;$F117)+(ACT_DOOR_SCOPE=$B117)))*SIGN(((ACT_SKU_SCOPE="ALL")+(ACT_SKU_SCOPE=$G117)))*(12&gt;ACT_END)*(ACT_END&gt;0)*IFERROR(ACT_POSTLIFT,0))),0)))</f>
        <v/>
      </c>
      <c r="V117" s="10">
        <f>IF(OR($H117&lt;&gt;"Y",13&lt;$I117),0,IF(SUMPRODUCT(((BULK_ENABLED="Y")*((BULK_TIER="ALL")+(BULK_TIER=$F117))*((BULK_SKU="ALL")+(BULK_SKU=$G117))*(BULK_START&lt;=13)*(BULK_END&gt;=13)))&gt;0,IFERROR(SUMPRODUCT(((BULK_ENABLED="Y")*((BULK_TIER="ALL")+(BULK_TIER=$F117))*((BULK_SKU="ALL")+(BULK_SKU=$G117))*(BULK_START&lt;=13)*(BULK_END&gt;=13))*IFERROR(BULK_VALUE,0))/MAX(1,SUMPRODUCT(((BULK_ENABLED="Y")*((BULK_TIER="ALL")+(BULK_TIER=$F117))*((BULK_SKU="ALL")+(BULK_SKU=$G117))*(BULK_START&lt;=13)*(BULK_END&gt;=13)))),0),ROUND((INDEX(VELOCITY_TABLE,MATCH($F117,TIER_LIST,0),2))*(IF((13-$I117+1)&lt;=0,0,IF((13-$I117+1)=1,RAMP_W1,IF((13-$I117+1)=2,RAMP_W2,IF((13-$I117+1)=3,RAMP_W3,RAMP_W4PLUS)))))*(INDEX(ACTIVE_MULT_TABLE,2,1))*(1+SUMPRODUCT(SIGN(((ACT_DOOR_SCOPE="ALL")+(ACT_DOOR_SCOPE="TIER_"&amp;$F117)+(ACT_DOOR_SCOPE=$B117)))*SIGN(((ACT_SKU_SCOPE="ALL")+(ACT_SKU_SCOPE=$G117)))*(ACT_START&lt;=13)*(ACT_END&gt;=13)*IFERROR(ACT_UPLIFT-1,0)))*(1+SUMPRODUCT(SIGN(((ACT_DOOR_SCOPE="ALL")+(ACT_DOOR_SCOPE="TIER_"&amp;$F117)+(ACT_DOOR_SCOPE=$B117)))*SIGN(((ACT_SKU_SCOPE="ALL")+(ACT_SKU_SCOPE=$G117)))*(13&gt;ACT_END)*(ACT_END&gt;0)*IFERROR(ACT_POSTLIFT,0))),0)))</f>
        <v/>
      </c>
    </row>
    <row r="118">
      <c r="A118" t="inlineStr">
        <is>
          <t>R0114</t>
        </is>
      </c>
      <c r="B118">
        <f>Doors!$A$42</f>
        <v/>
      </c>
      <c r="C118">
        <f>Doors!$C$42</f>
        <v/>
      </c>
      <c r="D118">
        <f>Doors!$B$42</f>
        <v/>
      </c>
      <c r="E118">
        <f>Doors!$E$42</f>
        <v/>
      </c>
      <c r="F118">
        <f>Doors!$F$42</f>
        <v/>
      </c>
      <c r="G118" t="inlineStr">
        <is>
          <t>Raspberry</t>
        </is>
      </c>
      <c r="H118">
        <f>Doors!$I$42</f>
        <v/>
      </c>
      <c r="I118">
        <f>Doors!$J$42</f>
        <v/>
      </c>
      <c r="J118" s="10">
        <f>IF(OR($H118&lt;&gt;"Y",1&lt;$I118),0,IF(SUMPRODUCT(((BULK_ENABLED="Y")*((BULK_TIER="ALL")+(BULK_TIER=$F118))*((BULK_SKU="ALL")+(BULK_SKU=$G118))*(BULK_START&lt;=1)*(BULK_END&gt;=1)))&gt;0,IFERROR(SUMPRODUCT(((BULK_ENABLED="Y")*((BULK_TIER="ALL")+(BULK_TIER=$F118))*((BULK_SKU="ALL")+(BULK_SKU=$G118))*(BULK_START&lt;=1)*(BULK_END&gt;=1))*IFERROR(BULK_VALUE,0))/MAX(1,SUMPRODUCT(((BULK_ENABLED="Y")*((BULK_TIER="ALL")+(BULK_TIER=$F118))*((BULK_SKU="ALL")+(BULK_SKU=$G118))*(BULK_START&lt;=1)*(BULK_END&gt;=1)))),0),ROUND((INDEX(VELOCITY_TABLE,MATCH($F118,TIER_LIST,0),3))*(IF((1-$I118+1)&lt;=0,0,IF((1-$I118+1)=1,RAMP_W1,IF((1-$I118+1)=2,RAMP_W2,IF((1-$I118+1)=3,RAMP_W3,RAMP_W4PLUS)))))*(INDEX(ACTIVE_MULT_TABLE,3,1))*(1+SUMPRODUCT(SIGN(((ACT_DOOR_SCOPE="ALL")+(ACT_DOOR_SCOPE="TIER_"&amp;$F118)+(ACT_DOOR_SCOPE=$B118)))*SIGN(((ACT_SKU_SCOPE="ALL")+(ACT_SKU_SCOPE=$G118)))*(ACT_START&lt;=1)*(ACT_END&gt;=1)*IFERROR(ACT_UPLIFT-1,0)))*(1+SUMPRODUCT(SIGN(((ACT_DOOR_SCOPE="ALL")+(ACT_DOOR_SCOPE="TIER_"&amp;$F118)+(ACT_DOOR_SCOPE=$B118)))*SIGN(((ACT_SKU_SCOPE="ALL")+(ACT_SKU_SCOPE=$G118)))*(1&gt;ACT_END)*(ACT_END&gt;0)*IFERROR(ACT_POSTLIFT,0))),0)))</f>
        <v/>
      </c>
      <c r="K118" s="10">
        <f>IF(OR($H118&lt;&gt;"Y",2&lt;$I118),0,IF(SUMPRODUCT(((BULK_ENABLED="Y")*((BULK_TIER="ALL")+(BULK_TIER=$F118))*((BULK_SKU="ALL")+(BULK_SKU=$G118))*(BULK_START&lt;=2)*(BULK_END&gt;=2)))&gt;0,IFERROR(SUMPRODUCT(((BULK_ENABLED="Y")*((BULK_TIER="ALL")+(BULK_TIER=$F118))*((BULK_SKU="ALL")+(BULK_SKU=$G118))*(BULK_START&lt;=2)*(BULK_END&gt;=2))*IFERROR(BULK_VALUE,0))/MAX(1,SUMPRODUCT(((BULK_ENABLED="Y")*((BULK_TIER="ALL")+(BULK_TIER=$F118))*((BULK_SKU="ALL")+(BULK_SKU=$G118))*(BULK_START&lt;=2)*(BULK_END&gt;=2)))),0),ROUND((INDEX(VELOCITY_TABLE,MATCH($F118,TIER_LIST,0),3))*(IF((2-$I118+1)&lt;=0,0,IF((2-$I118+1)=1,RAMP_W1,IF((2-$I118+1)=2,RAMP_W2,IF((2-$I118+1)=3,RAMP_W3,RAMP_W4PLUS)))))*(INDEX(ACTIVE_MULT_TABLE,3,1))*(1+SUMPRODUCT(SIGN(((ACT_DOOR_SCOPE="ALL")+(ACT_DOOR_SCOPE="TIER_"&amp;$F118)+(ACT_DOOR_SCOPE=$B118)))*SIGN(((ACT_SKU_SCOPE="ALL")+(ACT_SKU_SCOPE=$G118)))*(ACT_START&lt;=2)*(ACT_END&gt;=2)*IFERROR(ACT_UPLIFT-1,0)))*(1+SUMPRODUCT(SIGN(((ACT_DOOR_SCOPE="ALL")+(ACT_DOOR_SCOPE="TIER_"&amp;$F118)+(ACT_DOOR_SCOPE=$B118)))*SIGN(((ACT_SKU_SCOPE="ALL")+(ACT_SKU_SCOPE=$G118)))*(2&gt;ACT_END)*(ACT_END&gt;0)*IFERROR(ACT_POSTLIFT,0))),0)))</f>
        <v/>
      </c>
      <c r="L118" s="10">
        <f>IF(OR($H118&lt;&gt;"Y",3&lt;$I118),0,IF(SUMPRODUCT(((BULK_ENABLED="Y")*((BULK_TIER="ALL")+(BULK_TIER=$F118))*((BULK_SKU="ALL")+(BULK_SKU=$G118))*(BULK_START&lt;=3)*(BULK_END&gt;=3)))&gt;0,IFERROR(SUMPRODUCT(((BULK_ENABLED="Y")*((BULK_TIER="ALL")+(BULK_TIER=$F118))*((BULK_SKU="ALL")+(BULK_SKU=$G118))*(BULK_START&lt;=3)*(BULK_END&gt;=3))*IFERROR(BULK_VALUE,0))/MAX(1,SUMPRODUCT(((BULK_ENABLED="Y")*((BULK_TIER="ALL")+(BULK_TIER=$F118))*((BULK_SKU="ALL")+(BULK_SKU=$G118))*(BULK_START&lt;=3)*(BULK_END&gt;=3)))),0),ROUND((INDEX(VELOCITY_TABLE,MATCH($F118,TIER_LIST,0),3))*(IF((3-$I118+1)&lt;=0,0,IF((3-$I118+1)=1,RAMP_W1,IF((3-$I118+1)=2,RAMP_W2,IF((3-$I118+1)=3,RAMP_W3,RAMP_W4PLUS)))))*(INDEX(ACTIVE_MULT_TABLE,3,1))*(1+SUMPRODUCT(SIGN(((ACT_DOOR_SCOPE="ALL")+(ACT_DOOR_SCOPE="TIER_"&amp;$F118)+(ACT_DOOR_SCOPE=$B118)))*SIGN(((ACT_SKU_SCOPE="ALL")+(ACT_SKU_SCOPE=$G118)))*(ACT_START&lt;=3)*(ACT_END&gt;=3)*IFERROR(ACT_UPLIFT-1,0)))*(1+SUMPRODUCT(SIGN(((ACT_DOOR_SCOPE="ALL")+(ACT_DOOR_SCOPE="TIER_"&amp;$F118)+(ACT_DOOR_SCOPE=$B118)))*SIGN(((ACT_SKU_SCOPE="ALL")+(ACT_SKU_SCOPE=$G118)))*(3&gt;ACT_END)*(ACT_END&gt;0)*IFERROR(ACT_POSTLIFT,0))),0)))</f>
        <v/>
      </c>
      <c r="M118" s="10">
        <f>IF(OR($H118&lt;&gt;"Y",4&lt;$I118),0,IF(SUMPRODUCT(((BULK_ENABLED="Y")*((BULK_TIER="ALL")+(BULK_TIER=$F118))*((BULK_SKU="ALL")+(BULK_SKU=$G118))*(BULK_START&lt;=4)*(BULK_END&gt;=4)))&gt;0,IFERROR(SUMPRODUCT(((BULK_ENABLED="Y")*((BULK_TIER="ALL")+(BULK_TIER=$F118))*((BULK_SKU="ALL")+(BULK_SKU=$G118))*(BULK_START&lt;=4)*(BULK_END&gt;=4))*IFERROR(BULK_VALUE,0))/MAX(1,SUMPRODUCT(((BULK_ENABLED="Y")*((BULK_TIER="ALL")+(BULK_TIER=$F118))*((BULK_SKU="ALL")+(BULK_SKU=$G118))*(BULK_START&lt;=4)*(BULK_END&gt;=4)))),0),ROUND((INDEX(VELOCITY_TABLE,MATCH($F118,TIER_LIST,0),3))*(IF((4-$I118+1)&lt;=0,0,IF((4-$I118+1)=1,RAMP_W1,IF((4-$I118+1)=2,RAMP_W2,IF((4-$I118+1)=3,RAMP_W3,RAMP_W4PLUS)))))*(INDEX(ACTIVE_MULT_TABLE,3,1))*(1+SUMPRODUCT(SIGN(((ACT_DOOR_SCOPE="ALL")+(ACT_DOOR_SCOPE="TIER_"&amp;$F118)+(ACT_DOOR_SCOPE=$B118)))*SIGN(((ACT_SKU_SCOPE="ALL")+(ACT_SKU_SCOPE=$G118)))*(ACT_START&lt;=4)*(ACT_END&gt;=4)*IFERROR(ACT_UPLIFT-1,0)))*(1+SUMPRODUCT(SIGN(((ACT_DOOR_SCOPE="ALL")+(ACT_DOOR_SCOPE="TIER_"&amp;$F118)+(ACT_DOOR_SCOPE=$B118)))*SIGN(((ACT_SKU_SCOPE="ALL")+(ACT_SKU_SCOPE=$G118)))*(4&gt;ACT_END)*(ACT_END&gt;0)*IFERROR(ACT_POSTLIFT,0))),0)))</f>
        <v/>
      </c>
      <c r="N118" s="10">
        <f>IF(OR($H118&lt;&gt;"Y",5&lt;$I118),0,IF(SUMPRODUCT(((BULK_ENABLED="Y")*((BULK_TIER="ALL")+(BULK_TIER=$F118))*((BULK_SKU="ALL")+(BULK_SKU=$G118))*(BULK_START&lt;=5)*(BULK_END&gt;=5)))&gt;0,IFERROR(SUMPRODUCT(((BULK_ENABLED="Y")*((BULK_TIER="ALL")+(BULK_TIER=$F118))*((BULK_SKU="ALL")+(BULK_SKU=$G118))*(BULK_START&lt;=5)*(BULK_END&gt;=5))*IFERROR(BULK_VALUE,0))/MAX(1,SUMPRODUCT(((BULK_ENABLED="Y")*((BULK_TIER="ALL")+(BULK_TIER=$F118))*((BULK_SKU="ALL")+(BULK_SKU=$G118))*(BULK_START&lt;=5)*(BULK_END&gt;=5)))),0),ROUND((INDEX(VELOCITY_TABLE,MATCH($F118,TIER_LIST,0),3))*(IF((5-$I118+1)&lt;=0,0,IF((5-$I118+1)=1,RAMP_W1,IF((5-$I118+1)=2,RAMP_W2,IF((5-$I118+1)=3,RAMP_W3,RAMP_W4PLUS)))))*(INDEX(ACTIVE_MULT_TABLE,3,1))*(1+SUMPRODUCT(SIGN(((ACT_DOOR_SCOPE="ALL")+(ACT_DOOR_SCOPE="TIER_"&amp;$F118)+(ACT_DOOR_SCOPE=$B118)))*SIGN(((ACT_SKU_SCOPE="ALL")+(ACT_SKU_SCOPE=$G118)))*(ACT_START&lt;=5)*(ACT_END&gt;=5)*IFERROR(ACT_UPLIFT-1,0)))*(1+SUMPRODUCT(SIGN(((ACT_DOOR_SCOPE="ALL")+(ACT_DOOR_SCOPE="TIER_"&amp;$F118)+(ACT_DOOR_SCOPE=$B118)))*SIGN(((ACT_SKU_SCOPE="ALL")+(ACT_SKU_SCOPE=$G118)))*(5&gt;ACT_END)*(ACT_END&gt;0)*IFERROR(ACT_POSTLIFT,0))),0)))</f>
        <v/>
      </c>
      <c r="O118" s="10">
        <f>IF(OR($H118&lt;&gt;"Y",6&lt;$I118),0,IF(SUMPRODUCT(((BULK_ENABLED="Y")*((BULK_TIER="ALL")+(BULK_TIER=$F118))*((BULK_SKU="ALL")+(BULK_SKU=$G118))*(BULK_START&lt;=6)*(BULK_END&gt;=6)))&gt;0,IFERROR(SUMPRODUCT(((BULK_ENABLED="Y")*((BULK_TIER="ALL")+(BULK_TIER=$F118))*((BULK_SKU="ALL")+(BULK_SKU=$G118))*(BULK_START&lt;=6)*(BULK_END&gt;=6))*IFERROR(BULK_VALUE,0))/MAX(1,SUMPRODUCT(((BULK_ENABLED="Y")*((BULK_TIER="ALL")+(BULK_TIER=$F118))*((BULK_SKU="ALL")+(BULK_SKU=$G118))*(BULK_START&lt;=6)*(BULK_END&gt;=6)))),0),ROUND((INDEX(VELOCITY_TABLE,MATCH($F118,TIER_LIST,0),3))*(IF((6-$I118+1)&lt;=0,0,IF((6-$I118+1)=1,RAMP_W1,IF((6-$I118+1)=2,RAMP_W2,IF((6-$I118+1)=3,RAMP_W3,RAMP_W4PLUS)))))*(INDEX(ACTIVE_MULT_TABLE,3,1))*(1+SUMPRODUCT(SIGN(((ACT_DOOR_SCOPE="ALL")+(ACT_DOOR_SCOPE="TIER_"&amp;$F118)+(ACT_DOOR_SCOPE=$B118)))*SIGN(((ACT_SKU_SCOPE="ALL")+(ACT_SKU_SCOPE=$G118)))*(ACT_START&lt;=6)*(ACT_END&gt;=6)*IFERROR(ACT_UPLIFT-1,0)))*(1+SUMPRODUCT(SIGN(((ACT_DOOR_SCOPE="ALL")+(ACT_DOOR_SCOPE="TIER_"&amp;$F118)+(ACT_DOOR_SCOPE=$B118)))*SIGN(((ACT_SKU_SCOPE="ALL")+(ACT_SKU_SCOPE=$G118)))*(6&gt;ACT_END)*(ACT_END&gt;0)*IFERROR(ACT_POSTLIFT,0))),0)))</f>
        <v/>
      </c>
      <c r="P118" s="10">
        <f>IF(OR($H118&lt;&gt;"Y",7&lt;$I118),0,IF(SUMPRODUCT(((BULK_ENABLED="Y")*((BULK_TIER="ALL")+(BULK_TIER=$F118))*((BULK_SKU="ALL")+(BULK_SKU=$G118))*(BULK_START&lt;=7)*(BULK_END&gt;=7)))&gt;0,IFERROR(SUMPRODUCT(((BULK_ENABLED="Y")*((BULK_TIER="ALL")+(BULK_TIER=$F118))*((BULK_SKU="ALL")+(BULK_SKU=$G118))*(BULK_START&lt;=7)*(BULK_END&gt;=7))*IFERROR(BULK_VALUE,0))/MAX(1,SUMPRODUCT(((BULK_ENABLED="Y")*((BULK_TIER="ALL")+(BULK_TIER=$F118))*((BULK_SKU="ALL")+(BULK_SKU=$G118))*(BULK_START&lt;=7)*(BULK_END&gt;=7)))),0),ROUND((INDEX(VELOCITY_TABLE,MATCH($F118,TIER_LIST,0),3))*(IF((7-$I118+1)&lt;=0,0,IF((7-$I118+1)=1,RAMP_W1,IF((7-$I118+1)=2,RAMP_W2,IF((7-$I118+1)=3,RAMP_W3,RAMP_W4PLUS)))))*(INDEX(ACTIVE_MULT_TABLE,3,1))*(1+SUMPRODUCT(SIGN(((ACT_DOOR_SCOPE="ALL")+(ACT_DOOR_SCOPE="TIER_"&amp;$F118)+(ACT_DOOR_SCOPE=$B118)))*SIGN(((ACT_SKU_SCOPE="ALL")+(ACT_SKU_SCOPE=$G118)))*(ACT_START&lt;=7)*(ACT_END&gt;=7)*IFERROR(ACT_UPLIFT-1,0)))*(1+SUMPRODUCT(SIGN(((ACT_DOOR_SCOPE="ALL")+(ACT_DOOR_SCOPE="TIER_"&amp;$F118)+(ACT_DOOR_SCOPE=$B118)))*SIGN(((ACT_SKU_SCOPE="ALL")+(ACT_SKU_SCOPE=$G118)))*(7&gt;ACT_END)*(ACT_END&gt;0)*IFERROR(ACT_POSTLIFT,0))),0)))</f>
        <v/>
      </c>
      <c r="Q118" s="10">
        <f>IF(OR($H118&lt;&gt;"Y",8&lt;$I118),0,IF(SUMPRODUCT(((BULK_ENABLED="Y")*((BULK_TIER="ALL")+(BULK_TIER=$F118))*((BULK_SKU="ALL")+(BULK_SKU=$G118))*(BULK_START&lt;=8)*(BULK_END&gt;=8)))&gt;0,IFERROR(SUMPRODUCT(((BULK_ENABLED="Y")*((BULK_TIER="ALL")+(BULK_TIER=$F118))*((BULK_SKU="ALL")+(BULK_SKU=$G118))*(BULK_START&lt;=8)*(BULK_END&gt;=8))*IFERROR(BULK_VALUE,0))/MAX(1,SUMPRODUCT(((BULK_ENABLED="Y")*((BULK_TIER="ALL")+(BULK_TIER=$F118))*((BULK_SKU="ALL")+(BULK_SKU=$G118))*(BULK_START&lt;=8)*(BULK_END&gt;=8)))),0),ROUND((INDEX(VELOCITY_TABLE,MATCH($F118,TIER_LIST,0),3))*(IF((8-$I118+1)&lt;=0,0,IF((8-$I118+1)=1,RAMP_W1,IF((8-$I118+1)=2,RAMP_W2,IF((8-$I118+1)=3,RAMP_W3,RAMP_W4PLUS)))))*(INDEX(ACTIVE_MULT_TABLE,3,1))*(1+SUMPRODUCT(SIGN(((ACT_DOOR_SCOPE="ALL")+(ACT_DOOR_SCOPE="TIER_"&amp;$F118)+(ACT_DOOR_SCOPE=$B118)))*SIGN(((ACT_SKU_SCOPE="ALL")+(ACT_SKU_SCOPE=$G118)))*(ACT_START&lt;=8)*(ACT_END&gt;=8)*IFERROR(ACT_UPLIFT-1,0)))*(1+SUMPRODUCT(SIGN(((ACT_DOOR_SCOPE="ALL")+(ACT_DOOR_SCOPE="TIER_"&amp;$F118)+(ACT_DOOR_SCOPE=$B118)))*SIGN(((ACT_SKU_SCOPE="ALL")+(ACT_SKU_SCOPE=$G118)))*(8&gt;ACT_END)*(ACT_END&gt;0)*IFERROR(ACT_POSTLIFT,0))),0)))</f>
        <v/>
      </c>
      <c r="R118" s="10">
        <f>IF(OR($H118&lt;&gt;"Y",9&lt;$I118),0,IF(SUMPRODUCT(((BULK_ENABLED="Y")*((BULK_TIER="ALL")+(BULK_TIER=$F118))*((BULK_SKU="ALL")+(BULK_SKU=$G118))*(BULK_START&lt;=9)*(BULK_END&gt;=9)))&gt;0,IFERROR(SUMPRODUCT(((BULK_ENABLED="Y")*((BULK_TIER="ALL")+(BULK_TIER=$F118))*((BULK_SKU="ALL")+(BULK_SKU=$G118))*(BULK_START&lt;=9)*(BULK_END&gt;=9))*IFERROR(BULK_VALUE,0))/MAX(1,SUMPRODUCT(((BULK_ENABLED="Y")*((BULK_TIER="ALL")+(BULK_TIER=$F118))*((BULK_SKU="ALL")+(BULK_SKU=$G118))*(BULK_START&lt;=9)*(BULK_END&gt;=9)))),0),ROUND((INDEX(VELOCITY_TABLE,MATCH($F118,TIER_LIST,0),3))*(IF((9-$I118+1)&lt;=0,0,IF((9-$I118+1)=1,RAMP_W1,IF((9-$I118+1)=2,RAMP_W2,IF((9-$I118+1)=3,RAMP_W3,RAMP_W4PLUS)))))*(INDEX(ACTIVE_MULT_TABLE,3,1))*(1+SUMPRODUCT(SIGN(((ACT_DOOR_SCOPE="ALL")+(ACT_DOOR_SCOPE="TIER_"&amp;$F118)+(ACT_DOOR_SCOPE=$B118)))*SIGN(((ACT_SKU_SCOPE="ALL")+(ACT_SKU_SCOPE=$G118)))*(ACT_START&lt;=9)*(ACT_END&gt;=9)*IFERROR(ACT_UPLIFT-1,0)))*(1+SUMPRODUCT(SIGN(((ACT_DOOR_SCOPE="ALL")+(ACT_DOOR_SCOPE="TIER_"&amp;$F118)+(ACT_DOOR_SCOPE=$B118)))*SIGN(((ACT_SKU_SCOPE="ALL")+(ACT_SKU_SCOPE=$G118)))*(9&gt;ACT_END)*(ACT_END&gt;0)*IFERROR(ACT_POSTLIFT,0))),0)))</f>
        <v/>
      </c>
      <c r="S118" s="10">
        <f>IF(OR($H118&lt;&gt;"Y",10&lt;$I118),0,IF(SUMPRODUCT(((BULK_ENABLED="Y")*((BULK_TIER="ALL")+(BULK_TIER=$F118))*((BULK_SKU="ALL")+(BULK_SKU=$G118))*(BULK_START&lt;=10)*(BULK_END&gt;=10)))&gt;0,IFERROR(SUMPRODUCT(((BULK_ENABLED="Y")*((BULK_TIER="ALL")+(BULK_TIER=$F118))*((BULK_SKU="ALL")+(BULK_SKU=$G118))*(BULK_START&lt;=10)*(BULK_END&gt;=10))*IFERROR(BULK_VALUE,0))/MAX(1,SUMPRODUCT(((BULK_ENABLED="Y")*((BULK_TIER="ALL")+(BULK_TIER=$F118))*((BULK_SKU="ALL")+(BULK_SKU=$G118))*(BULK_START&lt;=10)*(BULK_END&gt;=10)))),0),ROUND((INDEX(VELOCITY_TABLE,MATCH($F118,TIER_LIST,0),3))*(IF((10-$I118+1)&lt;=0,0,IF((10-$I118+1)=1,RAMP_W1,IF((10-$I118+1)=2,RAMP_W2,IF((10-$I118+1)=3,RAMP_W3,RAMP_W4PLUS)))))*(INDEX(ACTIVE_MULT_TABLE,3,1))*(1+SUMPRODUCT(SIGN(((ACT_DOOR_SCOPE="ALL")+(ACT_DOOR_SCOPE="TIER_"&amp;$F118)+(ACT_DOOR_SCOPE=$B118)))*SIGN(((ACT_SKU_SCOPE="ALL")+(ACT_SKU_SCOPE=$G118)))*(ACT_START&lt;=10)*(ACT_END&gt;=10)*IFERROR(ACT_UPLIFT-1,0)))*(1+SUMPRODUCT(SIGN(((ACT_DOOR_SCOPE="ALL")+(ACT_DOOR_SCOPE="TIER_"&amp;$F118)+(ACT_DOOR_SCOPE=$B118)))*SIGN(((ACT_SKU_SCOPE="ALL")+(ACT_SKU_SCOPE=$G118)))*(10&gt;ACT_END)*(ACT_END&gt;0)*IFERROR(ACT_POSTLIFT,0))),0)))</f>
        <v/>
      </c>
      <c r="T118" s="10">
        <f>IF(OR($H118&lt;&gt;"Y",11&lt;$I118),0,IF(SUMPRODUCT(((BULK_ENABLED="Y")*((BULK_TIER="ALL")+(BULK_TIER=$F118))*((BULK_SKU="ALL")+(BULK_SKU=$G118))*(BULK_START&lt;=11)*(BULK_END&gt;=11)))&gt;0,IFERROR(SUMPRODUCT(((BULK_ENABLED="Y")*((BULK_TIER="ALL")+(BULK_TIER=$F118))*((BULK_SKU="ALL")+(BULK_SKU=$G118))*(BULK_START&lt;=11)*(BULK_END&gt;=11))*IFERROR(BULK_VALUE,0))/MAX(1,SUMPRODUCT(((BULK_ENABLED="Y")*((BULK_TIER="ALL")+(BULK_TIER=$F118))*((BULK_SKU="ALL")+(BULK_SKU=$G118))*(BULK_START&lt;=11)*(BULK_END&gt;=11)))),0),ROUND((INDEX(VELOCITY_TABLE,MATCH($F118,TIER_LIST,0),3))*(IF((11-$I118+1)&lt;=0,0,IF((11-$I118+1)=1,RAMP_W1,IF((11-$I118+1)=2,RAMP_W2,IF((11-$I118+1)=3,RAMP_W3,RAMP_W4PLUS)))))*(INDEX(ACTIVE_MULT_TABLE,3,1))*(1+SUMPRODUCT(SIGN(((ACT_DOOR_SCOPE="ALL")+(ACT_DOOR_SCOPE="TIER_"&amp;$F118)+(ACT_DOOR_SCOPE=$B118)))*SIGN(((ACT_SKU_SCOPE="ALL")+(ACT_SKU_SCOPE=$G118)))*(ACT_START&lt;=11)*(ACT_END&gt;=11)*IFERROR(ACT_UPLIFT-1,0)))*(1+SUMPRODUCT(SIGN(((ACT_DOOR_SCOPE="ALL")+(ACT_DOOR_SCOPE="TIER_"&amp;$F118)+(ACT_DOOR_SCOPE=$B118)))*SIGN(((ACT_SKU_SCOPE="ALL")+(ACT_SKU_SCOPE=$G118)))*(11&gt;ACT_END)*(ACT_END&gt;0)*IFERROR(ACT_POSTLIFT,0))),0)))</f>
        <v/>
      </c>
      <c r="U118" s="10">
        <f>IF(OR($H118&lt;&gt;"Y",12&lt;$I118),0,IF(SUMPRODUCT(((BULK_ENABLED="Y")*((BULK_TIER="ALL")+(BULK_TIER=$F118))*((BULK_SKU="ALL")+(BULK_SKU=$G118))*(BULK_START&lt;=12)*(BULK_END&gt;=12)))&gt;0,IFERROR(SUMPRODUCT(((BULK_ENABLED="Y")*((BULK_TIER="ALL")+(BULK_TIER=$F118))*((BULK_SKU="ALL")+(BULK_SKU=$G118))*(BULK_START&lt;=12)*(BULK_END&gt;=12))*IFERROR(BULK_VALUE,0))/MAX(1,SUMPRODUCT(((BULK_ENABLED="Y")*((BULK_TIER="ALL")+(BULK_TIER=$F118))*((BULK_SKU="ALL")+(BULK_SKU=$G118))*(BULK_START&lt;=12)*(BULK_END&gt;=12)))),0),ROUND((INDEX(VELOCITY_TABLE,MATCH($F118,TIER_LIST,0),3))*(IF((12-$I118+1)&lt;=0,0,IF((12-$I118+1)=1,RAMP_W1,IF((12-$I118+1)=2,RAMP_W2,IF((12-$I118+1)=3,RAMP_W3,RAMP_W4PLUS)))))*(INDEX(ACTIVE_MULT_TABLE,3,1))*(1+SUMPRODUCT(SIGN(((ACT_DOOR_SCOPE="ALL")+(ACT_DOOR_SCOPE="TIER_"&amp;$F118)+(ACT_DOOR_SCOPE=$B118)))*SIGN(((ACT_SKU_SCOPE="ALL")+(ACT_SKU_SCOPE=$G118)))*(ACT_START&lt;=12)*(ACT_END&gt;=12)*IFERROR(ACT_UPLIFT-1,0)))*(1+SUMPRODUCT(SIGN(((ACT_DOOR_SCOPE="ALL")+(ACT_DOOR_SCOPE="TIER_"&amp;$F118)+(ACT_DOOR_SCOPE=$B118)))*SIGN(((ACT_SKU_SCOPE="ALL")+(ACT_SKU_SCOPE=$G118)))*(12&gt;ACT_END)*(ACT_END&gt;0)*IFERROR(ACT_POSTLIFT,0))),0)))</f>
        <v/>
      </c>
      <c r="V118" s="10">
        <f>IF(OR($H118&lt;&gt;"Y",13&lt;$I118),0,IF(SUMPRODUCT(((BULK_ENABLED="Y")*((BULK_TIER="ALL")+(BULK_TIER=$F118))*((BULK_SKU="ALL")+(BULK_SKU=$G118))*(BULK_START&lt;=13)*(BULK_END&gt;=13)))&gt;0,IFERROR(SUMPRODUCT(((BULK_ENABLED="Y")*((BULK_TIER="ALL")+(BULK_TIER=$F118))*((BULK_SKU="ALL")+(BULK_SKU=$G118))*(BULK_START&lt;=13)*(BULK_END&gt;=13))*IFERROR(BULK_VALUE,0))/MAX(1,SUMPRODUCT(((BULK_ENABLED="Y")*((BULK_TIER="ALL")+(BULK_TIER=$F118))*((BULK_SKU="ALL")+(BULK_SKU=$G118))*(BULK_START&lt;=13)*(BULK_END&gt;=13)))),0),ROUND((INDEX(VELOCITY_TABLE,MATCH($F118,TIER_LIST,0),3))*(IF((13-$I118+1)&lt;=0,0,IF((13-$I118+1)=1,RAMP_W1,IF((13-$I118+1)=2,RAMP_W2,IF((13-$I118+1)=3,RAMP_W3,RAMP_W4PLUS)))))*(INDEX(ACTIVE_MULT_TABLE,3,1))*(1+SUMPRODUCT(SIGN(((ACT_DOOR_SCOPE="ALL")+(ACT_DOOR_SCOPE="TIER_"&amp;$F118)+(ACT_DOOR_SCOPE=$B118)))*SIGN(((ACT_SKU_SCOPE="ALL")+(ACT_SKU_SCOPE=$G118)))*(ACT_START&lt;=13)*(ACT_END&gt;=13)*IFERROR(ACT_UPLIFT-1,0)))*(1+SUMPRODUCT(SIGN(((ACT_DOOR_SCOPE="ALL")+(ACT_DOOR_SCOPE="TIER_"&amp;$F118)+(ACT_DOOR_SCOPE=$B118)))*SIGN(((ACT_SKU_SCOPE="ALL")+(ACT_SKU_SCOPE=$G118)))*(13&gt;ACT_END)*(ACT_END&gt;0)*IFERROR(ACT_POSTLIFT,0))),0)))</f>
        <v/>
      </c>
    </row>
    <row r="119">
      <c r="A119" t="inlineStr">
        <is>
          <t>R0115</t>
        </is>
      </c>
      <c r="B119">
        <f>Doors!$A$43</f>
        <v/>
      </c>
      <c r="C119">
        <f>Doors!$C$43</f>
        <v/>
      </c>
      <c r="D119">
        <f>Doors!$B$43</f>
        <v/>
      </c>
      <c r="E119">
        <f>Doors!$E$43</f>
        <v/>
      </c>
      <c r="F119">
        <f>Doors!$F$43</f>
        <v/>
      </c>
      <c r="G119" t="inlineStr">
        <is>
          <t>Lime Lemon</t>
        </is>
      </c>
      <c r="H119">
        <f>Doors!$G$43</f>
        <v/>
      </c>
      <c r="I119">
        <f>Doors!$J$43</f>
        <v/>
      </c>
      <c r="J119" s="10">
        <f>IF(OR($H119&lt;&gt;"Y",1&lt;$I119),0,IF(SUMPRODUCT(((BULK_ENABLED="Y")*((BULK_TIER="ALL")+(BULK_TIER=$F119))*((BULK_SKU="ALL")+(BULK_SKU=$G119))*(BULK_START&lt;=1)*(BULK_END&gt;=1)))&gt;0,IFERROR(SUMPRODUCT(((BULK_ENABLED="Y")*((BULK_TIER="ALL")+(BULK_TIER=$F119))*((BULK_SKU="ALL")+(BULK_SKU=$G119))*(BULK_START&lt;=1)*(BULK_END&gt;=1))*IFERROR(BULK_VALUE,0))/MAX(1,SUMPRODUCT(((BULK_ENABLED="Y")*((BULK_TIER="ALL")+(BULK_TIER=$F119))*((BULK_SKU="ALL")+(BULK_SKU=$G119))*(BULK_START&lt;=1)*(BULK_END&gt;=1)))),0),ROUND((INDEX(VELOCITY_TABLE,MATCH($F119,TIER_LIST,0),1))*(IF((1-$I119+1)&lt;=0,0,IF((1-$I119+1)=1,RAMP_W1,IF((1-$I119+1)=2,RAMP_W2,IF((1-$I119+1)=3,RAMP_W3,RAMP_W4PLUS)))))*(INDEX(ACTIVE_MULT_TABLE,1,1))*(1+SUMPRODUCT(SIGN(((ACT_DOOR_SCOPE="ALL")+(ACT_DOOR_SCOPE="TIER_"&amp;$F119)+(ACT_DOOR_SCOPE=$B119)))*SIGN(((ACT_SKU_SCOPE="ALL")+(ACT_SKU_SCOPE=$G119)))*(ACT_START&lt;=1)*(ACT_END&gt;=1)*IFERROR(ACT_UPLIFT-1,0)))*(1+SUMPRODUCT(SIGN(((ACT_DOOR_SCOPE="ALL")+(ACT_DOOR_SCOPE="TIER_"&amp;$F119)+(ACT_DOOR_SCOPE=$B119)))*SIGN(((ACT_SKU_SCOPE="ALL")+(ACT_SKU_SCOPE=$G119)))*(1&gt;ACT_END)*(ACT_END&gt;0)*IFERROR(ACT_POSTLIFT,0))),0)))</f>
        <v/>
      </c>
      <c r="K119" s="10">
        <f>IF(OR($H119&lt;&gt;"Y",2&lt;$I119),0,IF(SUMPRODUCT(((BULK_ENABLED="Y")*((BULK_TIER="ALL")+(BULK_TIER=$F119))*((BULK_SKU="ALL")+(BULK_SKU=$G119))*(BULK_START&lt;=2)*(BULK_END&gt;=2)))&gt;0,IFERROR(SUMPRODUCT(((BULK_ENABLED="Y")*((BULK_TIER="ALL")+(BULK_TIER=$F119))*((BULK_SKU="ALL")+(BULK_SKU=$G119))*(BULK_START&lt;=2)*(BULK_END&gt;=2))*IFERROR(BULK_VALUE,0))/MAX(1,SUMPRODUCT(((BULK_ENABLED="Y")*((BULK_TIER="ALL")+(BULK_TIER=$F119))*((BULK_SKU="ALL")+(BULK_SKU=$G119))*(BULK_START&lt;=2)*(BULK_END&gt;=2)))),0),ROUND((INDEX(VELOCITY_TABLE,MATCH($F119,TIER_LIST,0),1))*(IF((2-$I119+1)&lt;=0,0,IF((2-$I119+1)=1,RAMP_W1,IF((2-$I119+1)=2,RAMP_W2,IF((2-$I119+1)=3,RAMP_W3,RAMP_W4PLUS)))))*(INDEX(ACTIVE_MULT_TABLE,1,1))*(1+SUMPRODUCT(SIGN(((ACT_DOOR_SCOPE="ALL")+(ACT_DOOR_SCOPE="TIER_"&amp;$F119)+(ACT_DOOR_SCOPE=$B119)))*SIGN(((ACT_SKU_SCOPE="ALL")+(ACT_SKU_SCOPE=$G119)))*(ACT_START&lt;=2)*(ACT_END&gt;=2)*IFERROR(ACT_UPLIFT-1,0)))*(1+SUMPRODUCT(SIGN(((ACT_DOOR_SCOPE="ALL")+(ACT_DOOR_SCOPE="TIER_"&amp;$F119)+(ACT_DOOR_SCOPE=$B119)))*SIGN(((ACT_SKU_SCOPE="ALL")+(ACT_SKU_SCOPE=$G119)))*(2&gt;ACT_END)*(ACT_END&gt;0)*IFERROR(ACT_POSTLIFT,0))),0)))</f>
        <v/>
      </c>
      <c r="L119" s="10">
        <f>IF(OR($H119&lt;&gt;"Y",3&lt;$I119),0,IF(SUMPRODUCT(((BULK_ENABLED="Y")*((BULK_TIER="ALL")+(BULK_TIER=$F119))*((BULK_SKU="ALL")+(BULK_SKU=$G119))*(BULK_START&lt;=3)*(BULK_END&gt;=3)))&gt;0,IFERROR(SUMPRODUCT(((BULK_ENABLED="Y")*((BULK_TIER="ALL")+(BULK_TIER=$F119))*((BULK_SKU="ALL")+(BULK_SKU=$G119))*(BULK_START&lt;=3)*(BULK_END&gt;=3))*IFERROR(BULK_VALUE,0))/MAX(1,SUMPRODUCT(((BULK_ENABLED="Y")*((BULK_TIER="ALL")+(BULK_TIER=$F119))*((BULK_SKU="ALL")+(BULK_SKU=$G119))*(BULK_START&lt;=3)*(BULK_END&gt;=3)))),0),ROUND((INDEX(VELOCITY_TABLE,MATCH($F119,TIER_LIST,0),1))*(IF((3-$I119+1)&lt;=0,0,IF((3-$I119+1)=1,RAMP_W1,IF((3-$I119+1)=2,RAMP_W2,IF((3-$I119+1)=3,RAMP_W3,RAMP_W4PLUS)))))*(INDEX(ACTIVE_MULT_TABLE,1,1))*(1+SUMPRODUCT(SIGN(((ACT_DOOR_SCOPE="ALL")+(ACT_DOOR_SCOPE="TIER_"&amp;$F119)+(ACT_DOOR_SCOPE=$B119)))*SIGN(((ACT_SKU_SCOPE="ALL")+(ACT_SKU_SCOPE=$G119)))*(ACT_START&lt;=3)*(ACT_END&gt;=3)*IFERROR(ACT_UPLIFT-1,0)))*(1+SUMPRODUCT(SIGN(((ACT_DOOR_SCOPE="ALL")+(ACT_DOOR_SCOPE="TIER_"&amp;$F119)+(ACT_DOOR_SCOPE=$B119)))*SIGN(((ACT_SKU_SCOPE="ALL")+(ACT_SKU_SCOPE=$G119)))*(3&gt;ACT_END)*(ACT_END&gt;0)*IFERROR(ACT_POSTLIFT,0))),0)))</f>
        <v/>
      </c>
      <c r="M119" s="10">
        <f>IF(OR($H119&lt;&gt;"Y",4&lt;$I119),0,IF(SUMPRODUCT(((BULK_ENABLED="Y")*((BULK_TIER="ALL")+(BULK_TIER=$F119))*((BULK_SKU="ALL")+(BULK_SKU=$G119))*(BULK_START&lt;=4)*(BULK_END&gt;=4)))&gt;0,IFERROR(SUMPRODUCT(((BULK_ENABLED="Y")*((BULK_TIER="ALL")+(BULK_TIER=$F119))*((BULK_SKU="ALL")+(BULK_SKU=$G119))*(BULK_START&lt;=4)*(BULK_END&gt;=4))*IFERROR(BULK_VALUE,0))/MAX(1,SUMPRODUCT(((BULK_ENABLED="Y")*((BULK_TIER="ALL")+(BULK_TIER=$F119))*((BULK_SKU="ALL")+(BULK_SKU=$G119))*(BULK_START&lt;=4)*(BULK_END&gt;=4)))),0),ROUND((INDEX(VELOCITY_TABLE,MATCH($F119,TIER_LIST,0),1))*(IF((4-$I119+1)&lt;=0,0,IF((4-$I119+1)=1,RAMP_W1,IF((4-$I119+1)=2,RAMP_W2,IF((4-$I119+1)=3,RAMP_W3,RAMP_W4PLUS)))))*(INDEX(ACTIVE_MULT_TABLE,1,1))*(1+SUMPRODUCT(SIGN(((ACT_DOOR_SCOPE="ALL")+(ACT_DOOR_SCOPE="TIER_"&amp;$F119)+(ACT_DOOR_SCOPE=$B119)))*SIGN(((ACT_SKU_SCOPE="ALL")+(ACT_SKU_SCOPE=$G119)))*(ACT_START&lt;=4)*(ACT_END&gt;=4)*IFERROR(ACT_UPLIFT-1,0)))*(1+SUMPRODUCT(SIGN(((ACT_DOOR_SCOPE="ALL")+(ACT_DOOR_SCOPE="TIER_"&amp;$F119)+(ACT_DOOR_SCOPE=$B119)))*SIGN(((ACT_SKU_SCOPE="ALL")+(ACT_SKU_SCOPE=$G119)))*(4&gt;ACT_END)*(ACT_END&gt;0)*IFERROR(ACT_POSTLIFT,0))),0)))</f>
        <v/>
      </c>
      <c r="N119" s="10">
        <f>IF(OR($H119&lt;&gt;"Y",5&lt;$I119),0,IF(SUMPRODUCT(((BULK_ENABLED="Y")*((BULK_TIER="ALL")+(BULK_TIER=$F119))*((BULK_SKU="ALL")+(BULK_SKU=$G119))*(BULK_START&lt;=5)*(BULK_END&gt;=5)))&gt;0,IFERROR(SUMPRODUCT(((BULK_ENABLED="Y")*((BULK_TIER="ALL")+(BULK_TIER=$F119))*((BULK_SKU="ALL")+(BULK_SKU=$G119))*(BULK_START&lt;=5)*(BULK_END&gt;=5))*IFERROR(BULK_VALUE,0))/MAX(1,SUMPRODUCT(((BULK_ENABLED="Y")*((BULK_TIER="ALL")+(BULK_TIER=$F119))*((BULK_SKU="ALL")+(BULK_SKU=$G119))*(BULK_START&lt;=5)*(BULK_END&gt;=5)))),0),ROUND((INDEX(VELOCITY_TABLE,MATCH($F119,TIER_LIST,0),1))*(IF((5-$I119+1)&lt;=0,0,IF((5-$I119+1)=1,RAMP_W1,IF((5-$I119+1)=2,RAMP_W2,IF((5-$I119+1)=3,RAMP_W3,RAMP_W4PLUS)))))*(INDEX(ACTIVE_MULT_TABLE,1,1))*(1+SUMPRODUCT(SIGN(((ACT_DOOR_SCOPE="ALL")+(ACT_DOOR_SCOPE="TIER_"&amp;$F119)+(ACT_DOOR_SCOPE=$B119)))*SIGN(((ACT_SKU_SCOPE="ALL")+(ACT_SKU_SCOPE=$G119)))*(ACT_START&lt;=5)*(ACT_END&gt;=5)*IFERROR(ACT_UPLIFT-1,0)))*(1+SUMPRODUCT(SIGN(((ACT_DOOR_SCOPE="ALL")+(ACT_DOOR_SCOPE="TIER_"&amp;$F119)+(ACT_DOOR_SCOPE=$B119)))*SIGN(((ACT_SKU_SCOPE="ALL")+(ACT_SKU_SCOPE=$G119)))*(5&gt;ACT_END)*(ACT_END&gt;0)*IFERROR(ACT_POSTLIFT,0))),0)))</f>
        <v/>
      </c>
      <c r="O119" s="10">
        <f>IF(OR($H119&lt;&gt;"Y",6&lt;$I119),0,IF(SUMPRODUCT(((BULK_ENABLED="Y")*((BULK_TIER="ALL")+(BULK_TIER=$F119))*((BULK_SKU="ALL")+(BULK_SKU=$G119))*(BULK_START&lt;=6)*(BULK_END&gt;=6)))&gt;0,IFERROR(SUMPRODUCT(((BULK_ENABLED="Y")*((BULK_TIER="ALL")+(BULK_TIER=$F119))*((BULK_SKU="ALL")+(BULK_SKU=$G119))*(BULK_START&lt;=6)*(BULK_END&gt;=6))*IFERROR(BULK_VALUE,0))/MAX(1,SUMPRODUCT(((BULK_ENABLED="Y")*((BULK_TIER="ALL")+(BULK_TIER=$F119))*((BULK_SKU="ALL")+(BULK_SKU=$G119))*(BULK_START&lt;=6)*(BULK_END&gt;=6)))),0),ROUND((INDEX(VELOCITY_TABLE,MATCH($F119,TIER_LIST,0),1))*(IF((6-$I119+1)&lt;=0,0,IF((6-$I119+1)=1,RAMP_W1,IF((6-$I119+1)=2,RAMP_W2,IF((6-$I119+1)=3,RAMP_W3,RAMP_W4PLUS)))))*(INDEX(ACTIVE_MULT_TABLE,1,1))*(1+SUMPRODUCT(SIGN(((ACT_DOOR_SCOPE="ALL")+(ACT_DOOR_SCOPE="TIER_"&amp;$F119)+(ACT_DOOR_SCOPE=$B119)))*SIGN(((ACT_SKU_SCOPE="ALL")+(ACT_SKU_SCOPE=$G119)))*(ACT_START&lt;=6)*(ACT_END&gt;=6)*IFERROR(ACT_UPLIFT-1,0)))*(1+SUMPRODUCT(SIGN(((ACT_DOOR_SCOPE="ALL")+(ACT_DOOR_SCOPE="TIER_"&amp;$F119)+(ACT_DOOR_SCOPE=$B119)))*SIGN(((ACT_SKU_SCOPE="ALL")+(ACT_SKU_SCOPE=$G119)))*(6&gt;ACT_END)*(ACT_END&gt;0)*IFERROR(ACT_POSTLIFT,0))),0)))</f>
        <v/>
      </c>
      <c r="P119" s="10">
        <f>IF(OR($H119&lt;&gt;"Y",7&lt;$I119),0,IF(SUMPRODUCT(((BULK_ENABLED="Y")*((BULK_TIER="ALL")+(BULK_TIER=$F119))*((BULK_SKU="ALL")+(BULK_SKU=$G119))*(BULK_START&lt;=7)*(BULK_END&gt;=7)))&gt;0,IFERROR(SUMPRODUCT(((BULK_ENABLED="Y")*((BULK_TIER="ALL")+(BULK_TIER=$F119))*((BULK_SKU="ALL")+(BULK_SKU=$G119))*(BULK_START&lt;=7)*(BULK_END&gt;=7))*IFERROR(BULK_VALUE,0))/MAX(1,SUMPRODUCT(((BULK_ENABLED="Y")*((BULK_TIER="ALL")+(BULK_TIER=$F119))*((BULK_SKU="ALL")+(BULK_SKU=$G119))*(BULK_START&lt;=7)*(BULK_END&gt;=7)))),0),ROUND((INDEX(VELOCITY_TABLE,MATCH($F119,TIER_LIST,0),1))*(IF((7-$I119+1)&lt;=0,0,IF((7-$I119+1)=1,RAMP_W1,IF((7-$I119+1)=2,RAMP_W2,IF((7-$I119+1)=3,RAMP_W3,RAMP_W4PLUS)))))*(INDEX(ACTIVE_MULT_TABLE,1,1))*(1+SUMPRODUCT(SIGN(((ACT_DOOR_SCOPE="ALL")+(ACT_DOOR_SCOPE="TIER_"&amp;$F119)+(ACT_DOOR_SCOPE=$B119)))*SIGN(((ACT_SKU_SCOPE="ALL")+(ACT_SKU_SCOPE=$G119)))*(ACT_START&lt;=7)*(ACT_END&gt;=7)*IFERROR(ACT_UPLIFT-1,0)))*(1+SUMPRODUCT(SIGN(((ACT_DOOR_SCOPE="ALL")+(ACT_DOOR_SCOPE="TIER_"&amp;$F119)+(ACT_DOOR_SCOPE=$B119)))*SIGN(((ACT_SKU_SCOPE="ALL")+(ACT_SKU_SCOPE=$G119)))*(7&gt;ACT_END)*(ACT_END&gt;0)*IFERROR(ACT_POSTLIFT,0))),0)))</f>
        <v/>
      </c>
      <c r="Q119" s="10">
        <f>IF(OR($H119&lt;&gt;"Y",8&lt;$I119),0,IF(SUMPRODUCT(((BULK_ENABLED="Y")*((BULK_TIER="ALL")+(BULK_TIER=$F119))*((BULK_SKU="ALL")+(BULK_SKU=$G119))*(BULK_START&lt;=8)*(BULK_END&gt;=8)))&gt;0,IFERROR(SUMPRODUCT(((BULK_ENABLED="Y")*((BULK_TIER="ALL")+(BULK_TIER=$F119))*((BULK_SKU="ALL")+(BULK_SKU=$G119))*(BULK_START&lt;=8)*(BULK_END&gt;=8))*IFERROR(BULK_VALUE,0))/MAX(1,SUMPRODUCT(((BULK_ENABLED="Y")*((BULK_TIER="ALL")+(BULK_TIER=$F119))*((BULK_SKU="ALL")+(BULK_SKU=$G119))*(BULK_START&lt;=8)*(BULK_END&gt;=8)))),0),ROUND((INDEX(VELOCITY_TABLE,MATCH($F119,TIER_LIST,0),1))*(IF((8-$I119+1)&lt;=0,0,IF((8-$I119+1)=1,RAMP_W1,IF((8-$I119+1)=2,RAMP_W2,IF((8-$I119+1)=3,RAMP_W3,RAMP_W4PLUS)))))*(INDEX(ACTIVE_MULT_TABLE,1,1))*(1+SUMPRODUCT(SIGN(((ACT_DOOR_SCOPE="ALL")+(ACT_DOOR_SCOPE="TIER_"&amp;$F119)+(ACT_DOOR_SCOPE=$B119)))*SIGN(((ACT_SKU_SCOPE="ALL")+(ACT_SKU_SCOPE=$G119)))*(ACT_START&lt;=8)*(ACT_END&gt;=8)*IFERROR(ACT_UPLIFT-1,0)))*(1+SUMPRODUCT(SIGN(((ACT_DOOR_SCOPE="ALL")+(ACT_DOOR_SCOPE="TIER_"&amp;$F119)+(ACT_DOOR_SCOPE=$B119)))*SIGN(((ACT_SKU_SCOPE="ALL")+(ACT_SKU_SCOPE=$G119)))*(8&gt;ACT_END)*(ACT_END&gt;0)*IFERROR(ACT_POSTLIFT,0))),0)))</f>
        <v/>
      </c>
      <c r="R119" s="10">
        <f>IF(OR($H119&lt;&gt;"Y",9&lt;$I119),0,IF(SUMPRODUCT(((BULK_ENABLED="Y")*((BULK_TIER="ALL")+(BULK_TIER=$F119))*((BULK_SKU="ALL")+(BULK_SKU=$G119))*(BULK_START&lt;=9)*(BULK_END&gt;=9)))&gt;0,IFERROR(SUMPRODUCT(((BULK_ENABLED="Y")*((BULK_TIER="ALL")+(BULK_TIER=$F119))*((BULK_SKU="ALL")+(BULK_SKU=$G119))*(BULK_START&lt;=9)*(BULK_END&gt;=9))*IFERROR(BULK_VALUE,0))/MAX(1,SUMPRODUCT(((BULK_ENABLED="Y")*((BULK_TIER="ALL")+(BULK_TIER=$F119))*((BULK_SKU="ALL")+(BULK_SKU=$G119))*(BULK_START&lt;=9)*(BULK_END&gt;=9)))),0),ROUND((INDEX(VELOCITY_TABLE,MATCH($F119,TIER_LIST,0),1))*(IF((9-$I119+1)&lt;=0,0,IF((9-$I119+1)=1,RAMP_W1,IF((9-$I119+1)=2,RAMP_W2,IF((9-$I119+1)=3,RAMP_W3,RAMP_W4PLUS)))))*(INDEX(ACTIVE_MULT_TABLE,1,1))*(1+SUMPRODUCT(SIGN(((ACT_DOOR_SCOPE="ALL")+(ACT_DOOR_SCOPE="TIER_"&amp;$F119)+(ACT_DOOR_SCOPE=$B119)))*SIGN(((ACT_SKU_SCOPE="ALL")+(ACT_SKU_SCOPE=$G119)))*(ACT_START&lt;=9)*(ACT_END&gt;=9)*IFERROR(ACT_UPLIFT-1,0)))*(1+SUMPRODUCT(SIGN(((ACT_DOOR_SCOPE="ALL")+(ACT_DOOR_SCOPE="TIER_"&amp;$F119)+(ACT_DOOR_SCOPE=$B119)))*SIGN(((ACT_SKU_SCOPE="ALL")+(ACT_SKU_SCOPE=$G119)))*(9&gt;ACT_END)*(ACT_END&gt;0)*IFERROR(ACT_POSTLIFT,0))),0)))</f>
        <v/>
      </c>
      <c r="S119" s="10">
        <f>IF(OR($H119&lt;&gt;"Y",10&lt;$I119),0,IF(SUMPRODUCT(((BULK_ENABLED="Y")*((BULK_TIER="ALL")+(BULK_TIER=$F119))*((BULK_SKU="ALL")+(BULK_SKU=$G119))*(BULK_START&lt;=10)*(BULK_END&gt;=10)))&gt;0,IFERROR(SUMPRODUCT(((BULK_ENABLED="Y")*((BULK_TIER="ALL")+(BULK_TIER=$F119))*((BULK_SKU="ALL")+(BULK_SKU=$G119))*(BULK_START&lt;=10)*(BULK_END&gt;=10))*IFERROR(BULK_VALUE,0))/MAX(1,SUMPRODUCT(((BULK_ENABLED="Y")*((BULK_TIER="ALL")+(BULK_TIER=$F119))*((BULK_SKU="ALL")+(BULK_SKU=$G119))*(BULK_START&lt;=10)*(BULK_END&gt;=10)))),0),ROUND((INDEX(VELOCITY_TABLE,MATCH($F119,TIER_LIST,0),1))*(IF((10-$I119+1)&lt;=0,0,IF((10-$I119+1)=1,RAMP_W1,IF((10-$I119+1)=2,RAMP_W2,IF((10-$I119+1)=3,RAMP_W3,RAMP_W4PLUS)))))*(INDEX(ACTIVE_MULT_TABLE,1,1))*(1+SUMPRODUCT(SIGN(((ACT_DOOR_SCOPE="ALL")+(ACT_DOOR_SCOPE="TIER_"&amp;$F119)+(ACT_DOOR_SCOPE=$B119)))*SIGN(((ACT_SKU_SCOPE="ALL")+(ACT_SKU_SCOPE=$G119)))*(ACT_START&lt;=10)*(ACT_END&gt;=10)*IFERROR(ACT_UPLIFT-1,0)))*(1+SUMPRODUCT(SIGN(((ACT_DOOR_SCOPE="ALL")+(ACT_DOOR_SCOPE="TIER_"&amp;$F119)+(ACT_DOOR_SCOPE=$B119)))*SIGN(((ACT_SKU_SCOPE="ALL")+(ACT_SKU_SCOPE=$G119)))*(10&gt;ACT_END)*(ACT_END&gt;0)*IFERROR(ACT_POSTLIFT,0))),0)))</f>
        <v/>
      </c>
      <c r="T119" s="10">
        <f>IF(OR($H119&lt;&gt;"Y",11&lt;$I119),0,IF(SUMPRODUCT(((BULK_ENABLED="Y")*((BULK_TIER="ALL")+(BULK_TIER=$F119))*((BULK_SKU="ALL")+(BULK_SKU=$G119))*(BULK_START&lt;=11)*(BULK_END&gt;=11)))&gt;0,IFERROR(SUMPRODUCT(((BULK_ENABLED="Y")*((BULK_TIER="ALL")+(BULK_TIER=$F119))*((BULK_SKU="ALL")+(BULK_SKU=$G119))*(BULK_START&lt;=11)*(BULK_END&gt;=11))*IFERROR(BULK_VALUE,0))/MAX(1,SUMPRODUCT(((BULK_ENABLED="Y")*((BULK_TIER="ALL")+(BULK_TIER=$F119))*((BULK_SKU="ALL")+(BULK_SKU=$G119))*(BULK_START&lt;=11)*(BULK_END&gt;=11)))),0),ROUND((INDEX(VELOCITY_TABLE,MATCH($F119,TIER_LIST,0),1))*(IF((11-$I119+1)&lt;=0,0,IF((11-$I119+1)=1,RAMP_W1,IF((11-$I119+1)=2,RAMP_W2,IF((11-$I119+1)=3,RAMP_W3,RAMP_W4PLUS)))))*(INDEX(ACTIVE_MULT_TABLE,1,1))*(1+SUMPRODUCT(SIGN(((ACT_DOOR_SCOPE="ALL")+(ACT_DOOR_SCOPE="TIER_"&amp;$F119)+(ACT_DOOR_SCOPE=$B119)))*SIGN(((ACT_SKU_SCOPE="ALL")+(ACT_SKU_SCOPE=$G119)))*(ACT_START&lt;=11)*(ACT_END&gt;=11)*IFERROR(ACT_UPLIFT-1,0)))*(1+SUMPRODUCT(SIGN(((ACT_DOOR_SCOPE="ALL")+(ACT_DOOR_SCOPE="TIER_"&amp;$F119)+(ACT_DOOR_SCOPE=$B119)))*SIGN(((ACT_SKU_SCOPE="ALL")+(ACT_SKU_SCOPE=$G119)))*(11&gt;ACT_END)*(ACT_END&gt;0)*IFERROR(ACT_POSTLIFT,0))),0)))</f>
        <v/>
      </c>
      <c r="U119" s="10">
        <f>IF(OR($H119&lt;&gt;"Y",12&lt;$I119),0,IF(SUMPRODUCT(((BULK_ENABLED="Y")*((BULK_TIER="ALL")+(BULK_TIER=$F119))*((BULK_SKU="ALL")+(BULK_SKU=$G119))*(BULK_START&lt;=12)*(BULK_END&gt;=12)))&gt;0,IFERROR(SUMPRODUCT(((BULK_ENABLED="Y")*((BULK_TIER="ALL")+(BULK_TIER=$F119))*((BULK_SKU="ALL")+(BULK_SKU=$G119))*(BULK_START&lt;=12)*(BULK_END&gt;=12))*IFERROR(BULK_VALUE,0))/MAX(1,SUMPRODUCT(((BULK_ENABLED="Y")*((BULK_TIER="ALL")+(BULK_TIER=$F119))*((BULK_SKU="ALL")+(BULK_SKU=$G119))*(BULK_START&lt;=12)*(BULK_END&gt;=12)))),0),ROUND((INDEX(VELOCITY_TABLE,MATCH($F119,TIER_LIST,0),1))*(IF((12-$I119+1)&lt;=0,0,IF((12-$I119+1)=1,RAMP_W1,IF((12-$I119+1)=2,RAMP_W2,IF((12-$I119+1)=3,RAMP_W3,RAMP_W4PLUS)))))*(INDEX(ACTIVE_MULT_TABLE,1,1))*(1+SUMPRODUCT(SIGN(((ACT_DOOR_SCOPE="ALL")+(ACT_DOOR_SCOPE="TIER_"&amp;$F119)+(ACT_DOOR_SCOPE=$B119)))*SIGN(((ACT_SKU_SCOPE="ALL")+(ACT_SKU_SCOPE=$G119)))*(ACT_START&lt;=12)*(ACT_END&gt;=12)*IFERROR(ACT_UPLIFT-1,0)))*(1+SUMPRODUCT(SIGN(((ACT_DOOR_SCOPE="ALL")+(ACT_DOOR_SCOPE="TIER_"&amp;$F119)+(ACT_DOOR_SCOPE=$B119)))*SIGN(((ACT_SKU_SCOPE="ALL")+(ACT_SKU_SCOPE=$G119)))*(12&gt;ACT_END)*(ACT_END&gt;0)*IFERROR(ACT_POSTLIFT,0))),0)))</f>
        <v/>
      </c>
      <c r="V119" s="10">
        <f>IF(OR($H119&lt;&gt;"Y",13&lt;$I119),0,IF(SUMPRODUCT(((BULK_ENABLED="Y")*((BULK_TIER="ALL")+(BULK_TIER=$F119))*((BULK_SKU="ALL")+(BULK_SKU=$G119))*(BULK_START&lt;=13)*(BULK_END&gt;=13)))&gt;0,IFERROR(SUMPRODUCT(((BULK_ENABLED="Y")*((BULK_TIER="ALL")+(BULK_TIER=$F119))*((BULK_SKU="ALL")+(BULK_SKU=$G119))*(BULK_START&lt;=13)*(BULK_END&gt;=13))*IFERROR(BULK_VALUE,0))/MAX(1,SUMPRODUCT(((BULK_ENABLED="Y")*((BULK_TIER="ALL")+(BULK_TIER=$F119))*((BULK_SKU="ALL")+(BULK_SKU=$G119))*(BULK_START&lt;=13)*(BULK_END&gt;=13)))),0),ROUND((INDEX(VELOCITY_TABLE,MATCH($F119,TIER_LIST,0),1))*(IF((13-$I119+1)&lt;=0,0,IF((13-$I119+1)=1,RAMP_W1,IF((13-$I119+1)=2,RAMP_W2,IF((13-$I119+1)=3,RAMP_W3,RAMP_W4PLUS)))))*(INDEX(ACTIVE_MULT_TABLE,1,1))*(1+SUMPRODUCT(SIGN(((ACT_DOOR_SCOPE="ALL")+(ACT_DOOR_SCOPE="TIER_"&amp;$F119)+(ACT_DOOR_SCOPE=$B119)))*SIGN(((ACT_SKU_SCOPE="ALL")+(ACT_SKU_SCOPE=$G119)))*(ACT_START&lt;=13)*(ACT_END&gt;=13)*IFERROR(ACT_UPLIFT-1,0)))*(1+SUMPRODUCT(SIGN(((ACT_DOOR_SCOPE="ALL")+(ACT_DOOR_SCOPE="TIER_"&amp;$F119)+(ACT_DOOR_SCOPE=$B119)))*SIGN(((ACT_SKU_SCOPE="ALL")+(ACT_SKU_SCOPE=$G119)))*(13&gt;ACT_END)*(ACT_END&gt;0)*IFERROR(ACT_POSTLIFT,0))),0)))</f>
        <v/>
      </c>
    </row>
    <row r="120">
      <c r="A120" t="inlineStr">
        <is>
          <t>R0116</t>
        </is>
      </c>
      <c r="B120">
        <f>Doors!$A$43</f>
        <v/>
      </c>
      <c r="C120">
        <f>Doors!$C$43</f>
        <v/>
      </c>
      <c r="D120">
        <f>Doors!$B$43</f>
        <v/>
      </c>
      <c r="E120">
        <f>Doors!$E$43</f>
        <v/>
      </c>
      <c r="F120">
        <f>Doors!$F$43</f>
        <v/>
      </c>
      <c r="G120" t="inlineStr">
        <is>
          <t>Pineapple Passion Fruit</t>
        </is>
      </c>
      <c r="H120">
        <f>Doors!$H$43</f>
        <v/>
      </c>
      <c r="I120">
        <f>Doors!$J$43</f>
        <v/>
      </c>
      <c r="J120" s="10">
        <f>IF(OR($H120&lt;&gt;"Y",1&lt;$I120),0,IF(SUMPRODUCT(((BULK_ENABLED="Y")*((BULK_TIER="ALL")+(BULK_TIER=$F120))*((BULK_SKU="ALL")+(BULK_SKU=$G120))*(BULK_START&lt;=1)*(BULK_END&gt;=1)))&gt;0,IFERROR(SUMPRODUCT(((BULK_ENABLED="Y")*((BULK_TIER="ALL")+(BULK_TIER=$F120))*((BULK_SKU="ALL")+(BULK_SKU=$G120))*(BULK_START&lt;=1)*(BULK_END&gt;=1))*IFERROR(BULK_VALUE,0))/MAX(1,SUMPRODUCT(((BULK_ENABLED="Y")*((BULK_TIER="ALL")+(BULK_TIER=$F120))*((BULK_SKU="ALL")+(BULK_SKU=$G120))*(BULK_START&lt;=1)*(BULK_END&gt;=1)))),0),ROUND((INDEX(VELOCITY_TABLE,MATCH($F120,TIER_LIST,0),2))*(IF((1-$I120+1)&lt;=0,0,IF((1-$I120+1)=1,RAMP_W1,IF((1-$I120+1)=2,RAMP_W2,IF((1-$I120+1)=3,RAMP_W3,RAMP_W4PLUS)))))*(INDEX(ACTIVE_MULT_TABLE,2,1))*(1+SUMPRODUCT(SIGN(((ACT_DOOR_SCOPE="ALL")+(ACT_DOOR_SCOPE="TIER_"&amp;$F120)+(ACT_DOOR_SCOPE=$B120)))*SIGN(((ACT_SKU_SCOPE="ALL")+(ACT_SKU_SCOPE=$G120)))*(ACT_START&lt;=1)*(ACT_END&gt;=1)*IFERROR(ACT_UPLIFT-1,0)))*(1+SUMPRODUCT(SIGN(((ACT_DOOR_SCOPE="ALL")+(ACT_DOOR_SCOPE="TIER_"&amp;$F120)+(ACT_DOOR_SCOPE=$B120)))*SIGN(((ACT_SKU_SCOPE="ALL")+(ACT_SKU_SCOPE=$G120)))*(1&gt;ACT_END)*(ACT_END&gt;0)*IFERROR(ACT_POSTLIFT,0))),0)))</f>
        <v/>
      </c>
      <c r="K120" s="10">
        <f>IF(OR($H120&lt;&gt;"Y",2&lt;$I120),0,IF(SUMPRODUCT(((BULK_ENABLED="Y")*((BULK_TIER="ALL")+(BULK_TIER=$F120))*((BULK_SKU="ALL")+(BULK_SKU=$G120))*(BULK_START&lt;=2)*(BULK_END&gt;=2)))&gt;0,IFERROR(SUMPRODUCT(((BULK_ENABLED="Y")*((BULK_TIER="ALL")+(BULK_TIER=$F120))*((BULK_SKU="ALL")+(BULK_SKU=$G120))*(BULK_START&lt;=2)*(BULK_END&gt;=2))*IFERROR(BULK_VALUE,0))/MAX(1,SUMPRODUCT(((BULK_ENABLED="Y")*((BULK_TIER="ALL")+(BULK_TIER=$F120))*((BULK_SKU="ALL")+(BULK_SKU=$G120))*(BULK_START&lt;=2)*(BULK_END&gt;=2)))),0),ROUND((INDEX(VELOCITY_TABLE,MATCH($F120,TIER_LIST,0),2))*(IF((2-$I120+1)&lt;=0,0,IF((2-$I120+1)=1,RAMP_W1,IF((2-$I120+1)=2,RAMP_W2,IF((2-$I120+1)=3,RAMP_W3,RAMP_W4PLUS)))))*(INDEX(ACTIVE_MULT_TABLE,2,1))*(1+SUMPRODUCT(SIGN(((ACT_DOOR_SCOPE="ALL")+(ACT_DOOR_SCOPE="TIER_"&amp;$F120)+(ACT_DOOR_SCOPE=$B120)))*SIGN(((ACT_SKU_SCOPE="ALL")+(ACT_SKU_SCOPE=$G120)))*(ACT_START&lt;=2)*(ACT_END&gt;=2)*IFERROR(ACT_UPLIFT-1,0)))*(1+SUMPRODUCT(SIGN(((ACT_DOOR_SCOPE="ALL")+(ACT_DOOR_SCOPE="TIER_"&amp;$F120)+(ACT_DOOR_SCOPE=$B120)))*SIGN(((ACT_SKU_SCOPE="ALL")+(ACT_SKU_SCOPE=$G120)))*(2&gt;ACT_END)*(ACT_END&gt;0)*IFERROR(ACT_POSTLIFT,0))),0)))</f>
        <v/>
      </c>
      <c r="L120" s="10">
        <f>IF(OR($H120&lt;&gt;"Y",3&lt;$I120),0,IF(SUMPRODUCT(((BULK_ENABLED="Y")*((BULK_TIER="ALL")+(BULK_TIER=$F120))*((BULK_SKU="ALL")+(BULK_SKU=$G120))*(BULK_START&lt;=3)*(BULK_END&gt;=3)))&gt;0,IFERROR(SUMPRODUCT(((BULK_ENABLED="Y")*((BULK_TIER="ALL")+(BULK_TIER=$F120))*((BULK_SKU="ALL")+(BULK_SKU=$G120))*(BULK_START&lt;=3)*(BULK_END&gt;=3))*IFERROR(BULK_VALUE,0))/MAX(1,SUMPRODUCT(((BULK_ENABLED="Y")*((BULK_TIER="ALL")+(BULK_TIER=$F120))*((BULK_SKU="ALL")+(BULK_SKU=$G120))*(BULK_START&lt;=3)*(BULK_END&gt;=3)))),0),ROUND((INDEX(VELOCITY_TABLE,MATCH($F120,TIER_LIST,0),2))*(IF((3-$I120+1)&lt;=0,0,IF((3-$I120+1)=1,RAMP_W1,IF((3-$I120+1)=2,RAMP_W2,IF((3-$I120+1)=3,RAMP_W3,RAMP_W4PLUS)))))*(INDEX(ACTIVE_MULT_TABLE,2,1))*(1+SUMPRODUCT(SIGN(((ACT_DOOR_SCOPE="ALL")+(ACT_DOOR_SCOPE="TIER_"&amp;$F120)+(ACT_DOOR_SCOPE=$B120)))*SIGN(((ACT_SKU_SCOPE="ALL")+(ACT_SKU_SCOPE=$G120)))*(ACT_START&lt;=3)*(ACT_END&gt;=3)*IFERROR(ACT_UPLIFT-1,0)))*(1+SUMPRODUCT(SIGN(((ACT_DOOR_SCOPE="ALL")+(ACT_DOOR_SCOPE="TIER_"&amp;$F120)+(ACT_DOOR_SCOPE=$B120)))*SIGN(((ACT_SKU_SCOPE="ALL")+(ACT_SKU_SCOPE=$G120)))*(3&gt;ACT_END)*(ACT_END&gt;0)*IFERROR(ACT_POSTLIFT,0))),0)))</f>
        <v/>
      </c>
      <c r="M120" s="10">
        <f>IF(OR($H120&lt;&gt;"Y",4&lt;$I120),0,IF(SUMPRODUCT(((BULK_ENABLED="Y")*((BULK_TIER="ALL")+(BULK_TIER=$F120))*((BULK_SKU="ALL")+(BULK_SKU=$G120))*(BULK_START&lt;=4)*(BULK_END&gt;=4)))&gt;0,IFERROR(SUMPRODUCT(((BULK_ENABLED="Y")*((BULK_TIER="ALL")+(BULK_TIER=$F120))*((BULK_SKU="ALL")+(BULK_SKU=$G120))*(BULK_START&lt;=4)*(BULK_END&gt;=4))*IFERROR(BULK_VALUE,0))/MAX(1,SUMPRODUCT(((BULK_ENABLED="Y")*((BULK_TIER="ALL")+(BULK_TIER=$F120))*((BULK_SKU="ALL")+(BULK_SKU=$G120))*(BULK_START&lt;=4)*(BULK_END&gt;=4)))),0),ROUND((INDEX(VELOCITY_TABLE,MATCH($F120,TIER_LIST,0),2))*(IF((4-$I120+1)&lt;=0,0,IF((4-$I120+1)=1,RAMP_W1,IF((4-$I120+1)=2,RAMP_W2,IF((4-$I120+1)=3,RAMP_W3,RAMP_W4PLUS)))))*(INDEX(ACTIVE_MULT_TABLE,2,1))*(1+SUMPRODUCT(SIGN(((ACT_DOOR_SCOPE="ALL")+(ACT_DOOR_SCOPE="TIER_"&amp;$F120)+(ACT_DOOR_SCOPE=$B120)))*SIGN(((ACT_SKU_SCOPE="ALL")+(ACT_SKU_SCOPE=$G120)))*(ACT_START&lt;=4)*(ACT_END&gt;=4)*IFERROR(ACT_UPLIFT-1,0)))*(1+SUMPRODUCT(SIGN(((ACT_DOOR_SCOPE="ALL")+(ACT_DOOR_SCOPE="TIER_"&amp;$F120)+(ACT_DOOR_SCOPE=$B120)))*SIGN(((ACT_SKU_SCOPE="ALL")+(ACT_SKU_SCOPE=$G120)))*(4&gt;ACT_END)*(ACT_END&gt;0)*IFERROR(ACT_POSTLIFT,0))),0)))</f>
        <v/>
      </c>
      <c r="N120" s="10">
        <f>IF(OR($H120&lt;&gt;"Y",5&lt;$I120),0,IF(SUMPRODUCT(((BULK_ENABLED="Y")*((BULK_TIER="ALL")+(BULK_TIER=$F120))*((BULK_SKU="ALL")+(BULK_SKU=$G120))*(BULK_START&lt;=5)*(BULK_END&gt;=5)))&gt;0,IFERROR(SUMPRODUCT(((BULK_ENABLED="Y")*((BULK_TIER="ALL")+(BULK_TIER=$F120))*((BULK_SKU="ALL")+(BULK_SKU=$G120))*(BULK_START&lt;=5)*(BULK_END&gt;=5))*IFERROR(BULK_VALUE,0))/MAX(1,SUMPRODUCT(((BULK_ENABLED="Y")*((BULK_TIER="ALL")+(BULK_TIER=$F120))*((BULK_SKU="ALL")+(BULK_SKU=$G120))*(BULK_START&lt;=5)*(BULK_END&gt;=5)))),0),ROUND((INDEX(VELOCITY_TABLE,MATCH($F120,TIER_LIST,0),2))*(IF((5-$I120+1)&lt;=0,0,IF((5-$I120+1)=1,RAMP_W1,IF((5-$I120+1)=2,RAMP_W2,IF((5-$I120+1)=3,RAMP_W3,RAMP_W4PLUS)))))*(INDEX(ACTIVE_MULT_TABLE,2,1))*(1+SUMPRODUCT(SIGN(((ACT_DOOR_SCOPE="ALL")+(ACT_DOOR_SCOPE="TIER_"&amp;$F120)+(ACT_DOOR_SCOPE=$B120)))*SIGN(((ACT_SKU_SCOPE="ALL")+(ACT_SKU_SCOPE=$G120)))*(ACT_START&lt;=5)*(ACT_END&gt;=5)*IFERROR(ACT_UPLIFT-1,0)))*(1+SUMPRODUCT(SIGN(((ACT_DOOR_SCOPE="ALL")+(ACT_DOOR_SCOPE="TIER_"&amp;$F120)+(ACT_DOOR_SCOPE=$B120)))*SIGN(((ACT_SKU_SCOPE="ALL")+(ACT_SKU_SCOPE=$G120)))*(5&gt;ACT_END)*(ACT_END&gt;0)*IFERROR(ACT_POSTLIFT,0))),0)))</f>
        <v/>
      </c>
      <c r="O120" s="10">
        <f>IF(OR($H120&lt;&gt;"Y",6&lt;$I120),0,IF(SUMPRODUCT(((BULK_ENABLED="Y")*((BULK_TIER="ALL")+(BULK_TIER=$F120))*((BULK_SKU="ALL")+(BULK_SKU=$G120))*(BULK_START&lt;=6)*(BULK_END&gt;=6)))&gt;0,IFERROR(SUMPRODUCT(((BULK_ENABLED="Y")*((BULK_TIER="ALL")+(BULK_TIER=$F120))*((BULK_SKU="ALL")+(BULK_SKU=$G120))*(BULK_START&lt;=6)*(BULK_END&gt;=6))*IFERROR(BULK_VALUE,0))/MAX(1,SUMPRODUCT(((BULK_ENABLED="Y")*((BULK_TIER="ALL")+(BULK_TIER=$F120))*((BULK_SKU="ALL")+(BULK_SKU=$G120))*(BULK_START&lt;=6)*(BULK_END&gt;=6)))),0),ROUND((INDEX(VELOCITY_TABLE,MATCH($F120,TIER_LIST,0),2))*(IF((6-$I120+1)&lt;=0,0,IF((6-$I120+1)=1,RAMP_W1,IF((6-$I120+1)=2,RAMP_W2,IF((6-$I120+1)=3,RAMP_W3,RAMP_W4PLUS)))))*(INDEX(ACTIVE_MULT_TABLE,2,1))*(1+SUMPRODUCT(SIGN(((ACT_DOOR_SCOPE="ALL")+(ACT_DOOR_SCOPE="TIER_"&amp;$F120)+(ACT_DOOR_SCOPE=$B120)))*SIGN(((ACT_SKU_SCOPE="ALL")+(ACT_SKU_SCOPE=$G120)))*(ACT_START&lt;=6)*(ACT_END&gt;=6)*IFERROR(ACT_UPLIFT-1,0)))*(1+SUMPRODUCT(SIGN(((ACT_DOOR_SCOPE="ALL")+(ACT_DOOR_SCOPE="TIER_"&amp;$F120)+(ACT_DOOR_SCOPE=$B120)))*SIGN(((ACT_SKU_SCOPE="ALL")+(ACT_SKU_SCOPE=$G120)))*(6&gt;ACT_END)*(ACT_END&gt;0)*IFERROR(ACT_POSTLIFT,0))),0)))</f>
        <v/>
      </c>
      <c r="P120" s="10">
        <f>IF(OR($H120&lt;&gt;"Y",7&lt;$I120),0,IF(SUMPRODUCT(((BULK_ENABLED="Y")*((BULK_TIER="ALL")+(BULK_TIER=$F120))*((BULK_SKU="ALL")+(BULK_SKU=$G120))*(BULK_START&lt;=7)*(BULK_END&gt;=7)))&gt;0,IFERROR(SUMPRODUCT(((BULK_ENABLED="Y")*((BULK_TIER="ALL")+(BULK_TIER=$F120))*((BULK_SKU="ALL")+(BULK_SKU=$G120))*(BULK_START&lt;=7)*(BULK_END&gt;=7))*IFERROR(BULK_VALUE,0))/MAX(1,SUMPRODUCT(((BULK_ENABLED="Y")*((BULK_TIER="ALL")+(BULK_TIER=$F120))*((BULK_SKU="ALL")+(BULK_SKU=$G120))*(BULK_START&lt;=7)*(BULK_END&gt;=7)))),0),ROUND((INDEX(VELOCITY_TABLE,MATCH($F120,TIER_LIST,0),2))*(IF((7-$I120+1)&lt;=0,0,IF((7-$I120+1)=1,RAMP_W1,IF((7-$I120+1)=2,RAMP_W2,IF((7-$I120+1)=3,RAMP_W3,RAMP_W4PLUS)))))*(INDEX(ACTIVE_MULT_TABLE,2,1))*(1+SUMPRODUCT(SIGN(((ACT_DOOR_SCOPE="ALL")+(ACT_DOOR_SCOPE="TIER_"&amp;$F120)+(ACT_DOOR_SCOPE=$B120)))*SIGN(((ACT_SKU_SCOPE="ALL")+(ACT_SKU_SCOPE=$G120)))*(ACT_START&lt;=7)*(ACT_END&gt;=7)*IFERROR(ACT_UPLIFT-1,0)))*(1+SUMPRODUCT(SIGN(((ACT_DOOR_SCOPE="ALL")+(ACT_DOOR_SCOPE="TIER_"&amp;$F120)+(ACT_DOOR_SCOPE=$B120)))*SIGN(((ACT_SKU_SCOPE="ALL")+(ACT_SKU_SCOPE=$G120)))*(7&gt;ACT_END)*(ACT_END&gt;0)*IFERROR(ACT_POSTLIFT,0))),0)))</f>
        <v/>
      </c>
      <c r="Q120" s="10">
        <f>IF(OR($H120&lt;&gt;"Y",8&lt;$I120),0,IF(SUMPRODUCT(((BULK_ENABLED="Y")*((BULK_TIER="ALL")+(BULK_TIER=$F120))*((BULK_SKU="ALL")+(BULK_SKU=$G120))*(BULK_START&lt;=8)*(BULK_END&gt;=8)))&gt;0,IFERROR(SUMPRODUCT(((BULK_ENABLED="Y")*((BULK_TIER="ALL")+(BULK_TIER=$F120))*((BULK_SKU="ALL")+(BULK_SKU=$G120))*(BULK_START&lt;=8)*(BULK_END&gt;=8))*IFERROR(BULK_VALUE,0))/MAX(1,SUMPRODUCT(((BULK_ENABLED="Y")*((BULK_TIER="ALL")+(BULK_TIER=$F120))*((BULK_SKU="ALL")+(BULK_SKU=$G120))*(BULK_START&lt;=8)*(BULK_END&gt;=8)))),0),ROUND((INDEX(VELOCITY_TABLE,MATCH($F120,TIER_LIST,0),2))*(IF((8-$I120+1)&lt;=0,0,IF((8-$I120+1)=1,RAMP_W1,IF((8-$I120+1)=2,RAMP_W2,IF((8-$I120+1)=3,RAMP_W3,RAMP_W4PLUS)))))*(INDEX(ACTIVE_MULT_TABLE,2,1))*(1+SUMPRODUCT(SIGN(((ACT_DOOR_SCOPE="ALL")+(ACT_DOOR_SCOPE="TIER_"&amp;$F120)+(ACT_DOOR_SCOPE=$B120)))*SIGN(((ACT_SKU_SCOPE="ALL")+(ACT_SKU_SCOPE=$G120)))*(ACT_START&lt;=8)*(ACT_END&gt;=8)*IFERROR(ACT_UPLIFT-1,0)))*(1+SUMPRODUCT(SIGN(((ACT_DOOR_SCOPE="ALL")+(ACT_DOOR_SCOPE="TIER_"&amp;$F120)+(ACT_DOOR_SCOPE=$B120)))*SIGN(((ACT_SKU_SCOPE="ALL")+(ACT_SKU_SCOPE=$G120)))*(8&gt;ACT_END)*(ACT_END&gt;0)*IFERROR(ACT_POSTLIFT,0))),0)))</f>
        <v/>
      </c>
      <c r="R120" s="10">
        <f>IF(OR($H120&lt;&gt;"Y",9&lt;$I120),0,IF(SUMPRODUCT(((BULK_ENABLED="Y")*((BULK_TIER="ALL")+(BULK_TIER=$F120))*((BULK_SKU="ALL")+(BULK_SKU=$G120))*(BULK_START&lt;=9)*(BULK_END&gt;=9)))&gt;0,IFERROR(SUMPRODUCT(((BULK_ENABLED="Y")*((BULK_TIER="ALL")+(BULK_TIER=$F120))*((BULK_SKU="ALL")+(BULK_SKU=$G120))*(BULK_START&lt;=9)*(BULK_END&gt;=9))*IFERROR(BULK_VALUE,0))/MAX(1,SUMPRODUCT(((BULK_ENABLED="Y")*((BULK_TIER="ALL")+(BULK_TIER=$F120))*((BULK_SKU="ALL")+(BULK_SKU=$G120))*(BULK_START&lt;=9)*(BULK_END&gt;=9)))),0),ROUND((INDEX(VELOCITY_TABLE,MATCH($F120,TIER_LIST,0),2))*(IF((9-$I120+1)&lt;=0,0,IF((9-$I120+1)=1,RAMP_W1,IF((9-$I120+1)=2,RAMP_W2,IF((9-$I120+1)=3,RAMP_W3,RAMP_W4PLUS)))))*(INDEX(ACTIVE_MULT_TABLE,2,1))*(1+SUMPRODUCT(SIGN(((ACT_DOOR_SCOPE="ALL")+(ACT_DOOR_SCOPE="TIER_"&amp;$F120)+(ACT_DOOR_SCOPE=$B120)))*SIGN(((ACT_SKU_SCOPE="ALL")+(ACT_SKU_SCOPE=$G120)))*(ACT_START&lt;=9)*(ACT_END&gt;=9)*IFERROR(ACT_UPLIFT-1,0)))*(1+SUMPRODUCT(SIGN(((ACT_DOOR_SCOPE="ALL")+(ACT_DOOR_SCOPE="TIER_"&amp;$F120)+(ACT_DOOR_SCOPE=$B120)))*SIGN(((ACT_SKU_SCOPE="ALL")+(ACT_SKU_SCOPE=$G120)))*(9&gt;ACT_END)*(ACT_END&gt;0)*IFERROR(ACT_POSTLIFT,0))),0)))</f>
        <v/>
      </c>
      <c r="S120" s="10">
        <f>IF(OR($H120&lt;&gt;"Y",10&lt;$I120),0,IF(SUMPRODUCT(((BULK_ENABLED="Y")*((BULK_TIER="ALL")+(BULK_TIER=$F120))*((BULK_SKU="ALL")+(BULK_SKU=$G120))*(BULK_START&lt;=10)*(BULK_END&gt;=10)))&gt;0,IFERROR(SUMPRODUCT(((BULK_ENABLED="Y")*((BULK_TIER="ALL")+(BULK_TIER=$F120))*((BULK_SKU="ALL")+(BULK_SKU=$G120))*(BULK_START&lt;=10)*(BULK_END&gt;=10))*IFERROR(BULK_VALUE,0))/MAX(1,SUMPRODUCT(((BULK_ENABLED="Y")*((BULK_TIER="ALL")+(BULK_TIER=$F120))*((BULK_SKU="ALL")+(BULK_SKU=$G120))*(BULK_START&lt;=10)*(BULK_END&gt;=10)))),0),ROUND((INDEX(VELOCITY_TABLE,MATCH($F120,TIER_LIST,0),2))*(IF((10-$I120+1)&lt;=0,0,IF((10-$I120+1)=1,RAMP_W1,IF((10-$I120+1)=2,RAMP_W2,IF((10-$I120+1)=3,RAMP_W3,RAMP_W4PLUS)))))*(INDEX(ACTIVE_MULT_TABLE,2,1))*(1+SUMPRODUCT(SIGN(((ACT_DOOR_SCOPE="ALL")+(ACT_DOOR_SCOPE="TIER_"&amp;$F120)+(ACT_DOOR_SCOPE=$B120)))*SIGN(((ACT_SKU_SCOPE="ALL")+(ACT_SKU_SCOPE=$G120)))*(ACT_START&lt;=10)*(ACT_END&gt;=10)*IFERROR(ACT_UPLIFT-1,0)))*(1+SUMPRODUCT(SIGN(((ACT_DOOR_SCOPE="ALL")+(ACT_DOOR_SCOPE="TIER_"&amp;$F120)+(ACT_DOOR_SCOPE=$B120)))*SIGN(((ACT_SKU_SCOPE="ALL")+(ACT_SKU_SCOPE=$G120)))*(10&gt;ACT_END)*(ACT_END&gt;0)*IFERROR(ACT_POSTLIFT,0))),0)))</f>
        <v/>
      </c>
      <c r="T120" s="10">
        <f>IF(OR($H120&lt;&gt;"Y",11&lt;$I120),0,IF(SUMPRODUCT(((BULK_ENABLED="Y")*((BULK_TIER="ALL")+(BULK_TIER=$F120))*((BULK_SKU="ALL")+(BULK_SKU=$G120))*(BULK_START&lt;=11)*(BULK_END&gt;=11)))&gt;0,IFERROR(SUMPRODUCT(((BULK_ENABLED="Y")*((BULK_TIER="ALL")+(BULK_TIER=$F120))*((BULK_SKU="ALL")+(BULK_SKU=$G120))*(BULK_START&lt;=11)*(BULK_END&gt;=11))*IFERROR(BULK_VALUE,0))/MAX(1,SUMPRODUCT(((BULK_ENABLED="Y")*((BULK_TIER="ALL")+(BULK_TIER=$F120))*((BULK_SKU="ALL")+(BULK_SKU=$G120))*(BULK_START&lt;=11)*(BULK_END&gt;=11)))),0),ROUND((INDEX(VELOCITY_TABLE,MATCH($F120,TIER_LIST,0),2))*(IF((11-$I120+1)&lt;=0,0,IF((11-$I120+1)=1,RAMP_W1,IF((11-$I120+1)=2,RAMP_W2,IF((11-$I120+1)=3,RAMP_W3,RAMP_W4PLUS)))))*(INDEX(ACTIVE_MULT_TABLE,2,1))*(1+SUMPRODUCT(SIGN(((ACT_DOOR_SCOPE="ALL")+(ACT_DOOR_SCOPE="TIER_"&amp;$F120)+(ACT_DOOR_SCOPE=$B120)))*SIGN(((ACT_SKU_SCOPE="ALL")+(ACT_SKU_SCOPE=$G120)))*(ACT_START&lt;=11)*(ACT_END&gt;=11)*IFERROR(ACT_UPLIFT-1,0)))*(1+SUMPRODUCT(SIGN(((ACT_DOOR_SCOPE="ALL")+(ACT_DOOR_SCOPE="TIER_"&amp;$F120)+(ACT_DOOR_SCOPE=$B120)))*SIGN(((ACT_SKU_SCOPE="ALL")+(ACT_SKU_SCOPE=$G120)))*(11&gt;ACT_END)*(ACT_END&gt;0)*IFERROR(ACT_POSTLIFT,0))),0)))</f>
        <v/>
      </c>
      <c r="U120" s="10">
        <f>IF(OR($H120&lt;&gt;"Y",12&lt;$I120),0,IF(SUMPRODUCT(((BULK_ENABLED="Y")*((BULK_TIER="ALL")+(BULK_TIER=$F120))*((BULK_SKU="ALL")+(BULK_SKU=$G120))*(BULK_START&lt;=12)*(BULK_END&gt;=12)))&gt;0,IFERROR(SUMPRODUCT(((BULK_ENABLED="Y")*((BULK_TIER="ALL")+(BULK_TIER=$F120))*((BULK_SKU="ALL")+(BULK_SKU=$G120))*(BULK_START&lt;=12)*(BULK_END&gt;=12))*IFERROR(BULK_VALUE,0))/MAX(1,SUMPRODUCT(((BULK_ENABLED="Y")*((BULK_TIER="ALL")+(BULK_TIER=$F120))*((BULK_SKU="ALL")+(BULK_SKU=$G120))*(BULK_START&lt;=12)*(BULK_END&gt;=12)))),0),ROUND((INDEX(VELOCITY_TABLE,MATCH($F120,TIER_LIST,0),2))*(IF((12-$I120+1)&lt;=0,0,IF((12-$I120+1)=1,RAMP_W1,IF((12-$I120+1)=2,RAMP_W2,IF((12-$I120+1)=3,RAMP_W3,RAMP_W4PLUS)))))*(INDEX(ACTIVE_MULT_TABLE,2,1))*(1+SUMPRODUCT(SIGN(((ACT_DOOR_SCOPE="ALL")+(ACT_DOOR_SCOPE="TIER_"&amp;$F120)+(ACT_DOOR_SCOPE=$B120)))*SIGN(((ACT_SKU_SCOPE="ALL")+(ACT_SKU_SCOPE=$G120)))*(ACT_START&lt;=12)*(ACT_END&gt;=12)*IFERROR(ACT_UPLIFT-1,0)))*(1+SUMPRODUCT(SIGN(((ACT_DOOR_SCOPE="ALL")+(ACT_DOOR_SCOPE="TIER_"&amp;$F120)+(ACT_DOOR_SCOPE=$B120)))*SIGN(((ACT_SKU_SCOPE="ALL")+(ACT_SKU_SCOPE=$G120)))*(12&gt;ACT_END)*(ACT_END&gt;0)*IFERROR(ACT_POSTLIFT,0))),0)))</f>
        <v/>
      </c>
      <c r="V120" s="10">
        <f>IF(OR($H120&lt;&gt;"Y",13&lt;$I120),0,IF(SUMPRODUCT(((BULK_ENABLED="Y")*((BULK_TIER="ALL")+(BULK_TIER=$F120))*((BULK_SKU="ALL")+(BULK_SKU=$G120))*(BULK_START&lt;=13)*(BULK_END&gt;=13)))&gt;0,IFERROR(SUMPRODUCT(((BULK_ENABLED="Y")*((BULK_TIER="ALL")+(BULK_TIER=$F120))*((BULK_SKU="ALL")+(BULK_SKU=$G120))*(BULK_START&lt;=13)*(BULK_END&gt;=13))*IFERROR(BULK_VALUE,0))/MAX(1,SUMPRODUCT(((BULK_ENABLED="Y")*((BULK_TIER="ALL")+(BULK_TIER=$F120))*((BULK_SKU="ALL")+(BULK_SKU=$G120))*(BULK_START&lt;=13)*(BULK_END&gt;=13)))),0),ROUND((INDEX(VELOCITY_TABLE,MATCH($F120,TIER_LIST,0),2))*(IF((13-$I120+1)&lt;=0,0,IF((13-$I120+1)=1,RAMP_W1,IF((13-$I120+1)=2,RAMP_W2,IF((13-$I120+1)=3,RAMP_W3,RAMP_W4PLUS)))))*(INDEX(ACTIVE_MULT_TABLE,2,1))*(1+SUMPRODUCT(SIGN(((ACT_DOOR_SCOPE="ALL")+(ACT_DOOR_SCOPE="TIER_"&amp;$F120)+(ACT_DOOR_SCOPE=$B120)))*SIGN(((ACT_SKU_SCOPE="ALL")+(ACT_SKU_SCOPE=$G120)))*(ACT_START&lt;=13)*(ACT_END&gt;=13)*IFERROR(ACT_UPLIFT-1,0)))*(1+SUMPRODUCT(SIGN(((ACT_DOOR_SCOPE="ALL")+(ACT_DOOR_SCOPE="TIER_"&amp;$F120)+(ACT_DOOR_SCOPE=$B120)))*SIGN(((ACT_SKU_SCOPE="ALL")+(ACT_SKU_SCOPE=$G120)))*(13&gt;ACT_END)*(ACT_END&gt;0)*IFERROR(ACT_POSTLIFT,0))),0)))</f>
        <v/>
      </c>
    </row>
    <row r="121">
      <c r="A121" t="inlineStr">
        <is>
          <t>R0117</t>
        </is>
      </c>
      <c r="B121">
        <f>Doors!$A$43</f>
        <v/>
      </c>
      <c r="C121">
        <f>Doors!$C$43</f>
        <v/>
      </c>
      <c r="D121">
        <f>Doors!$B$43</f>
        <v/>
      </c>
      <c r="E121">
        <f>Doors!$E$43</f>
        <v/>
      </c>
      <c r="F121">
        <f>Doors!$F$43</f>
        <v/>
      </c>
      <c r="G121" t="inlineStr">
        <is>
          <t>Raspberry</t>
        </is>
      </c>
      <c r="H121">
        <f>Doors!$I$43</f>
        <v/>
      </c>
      <c r="I121">
        <f>Doors!$J$43</f>
        <v/>
      </c>
      <c r="J121" s="10">
        <f>IF(OR($H121&lt;&gt;"Y",1&lt;$I121),0,IF(SUMPRODUCT(((BULK_ENABLED="Y")*((BULK_TIER="ALL")+(BULK_TIER=$F121))*((BULK_SKU="ALL")+(BULK_SKU=$G121))*(BULK_START&lt;=1)*(BULK_END&gt;=1)))&gt;0,IFERROR(SUMPRODUCT(((BULK_ENABLED="Y")*((BULK_TIER="ALL")+(BULK_TIER=$F121))*((BULK_SKU="ALL")+(BULK_SKU=$G121))*(BULK_START&lt;=1)*(BULK_END&gt;=1))*IFERROR(BULK_VALUE,0))/MAX(1,SUMPRODUCT(((BULK_ENABLED="Y")*((BULK_TIER="ALL")+(BULK_TIER=$F121))*((BULK_SKU="ALL")+(BULK_SKU=$G121))*(BULK_START&lt;=1)*(BULK_END&gt;=1)))),0),ROUND((INDEX(VELOCITY_TABLE,MATCH($F121,TIER_LIST,0),3))*(IF((1-$I121+1)&lt;=0,0,IF((1-$I121+1)=1,RAMP_W1,IF((1-$I121+1)=2,RAMP_W2,IF((1-$I121+1)=3,RAMP_W3,RAMP_W4PLUS)))))*(INDEX(ACTIVE_MULT_TABLE,3,1))*(1+SUMPRODUCT(SIGN(((ACT_DOOR_SCOPE="ALL")+(ACT_DOOR_SCOPE="TIER_"&amp;$F121)+(ACT_DOOR_SCOPE=$B121)))*SIGN(((ACT_SKU_SCOPE="ALL")+(ACT_SKU_SCOPE=$G121)))*(ACT_START&lt;=1)*(ACT_END&gt;=1)*IFERROR(ACT_UPLIFT-1,0)))*(1+SUMPRODUCT(SIGN(((ACT_DOOR_SCOPE="ALL")+(ACT_DOOR_SCOPE="TIER_"&amp;$F121)+(ACT_DOOR_SCOPE=$B121)))*SIGN(((ACT_SKU_SCOPE="ALL")+(ACT_SKU_SCOPE=$G121)))*(1&gt;ACT_END)*(ACT_END&gt;0)*IFERROR(ACT_POSTLIFT,0))),0)))</f>
        <v/>
      </c>
      <c r="K121" s="10">
        <f>IF(OR($H121&lt;&gt;"Y",2&lt;$I121),0,IF(SUMPRODUCT(((BULK_ENABLED="Y")*((BULK_TIER="ALL")+(BULK_TIER=$F121))*((BULK_SKU="ALL")+(BULK_SKU=$G121))*(BULK_START&lt;=2)*(BULK_END&gt;=2)))&gt;0,IFERROR(SUMPRODUCT(((BULK_ENABLED="Y")*((BULK_TIER="ALL")+(BULK_TIER=$F121))*((BULK_SKU="ALL")+(BULK_SKU=$G121))*(BULK_START&lt;=2)*(BULK_END&gt;=2))*IFERROR(BULK_VALUE,0))/MAX(1,SUMPRODUCT(((BULK_ENABLED="Y")*((BULK_TIER="ALL")+(BULK_TIER=$F121))*((BULK_SKU="ALL")+(BULK_SKU=$G121))*(BULK_START&lt;=2)*(BULK_END&gt;=2)))),0),ROUND((INDEX(VELOCITY_TABLE,MATCH($F121,TIER_LIST,0),3))*(IF((2-$I121+1)&lt;=0,0,IF((2-$I121+1)=1,RAMP_W1,IF((2-$I121+1)=2,RAMP_W2,IF((2-$I121+1)=3,RAMP_W3,RAMP_W4PLUS)))))*(INDEX(ACTIVE_MULT_TABLE,3,1))*(1+SUMPRODUCT(SIGN(((ACT_DOOR_SCOPE="ALL")+(ACT_DOOR_SCOPE="TIER_"&amp;$F121)+(ACT_DOOR_SCOPE=$B121)))*SIGN(((ACT_SKU_SCOPE="ALL")+(ACT_SKU_SCOPE=$G121)))*(ACT_START&lt;=2)*(ACT_END&gt;=2)*IFERROR(ACT_UPLIFT-1,0)))*(1+SUMPRODUCT(SIGN(((ACT_DOOR_SCOPE="ALL")+(ACT_DOOR_SCOPE="TIER_"&amp;$F121)+(ACT_DOOR_SCOPE=$B121)))*SIGN(((ACT_SKU_SCOPE="ALL")+(ACT_SKU_SCOPE=$G121)))*(2&gt;ACT_END)*(ACT_END&gt;0)*IFERROR(ACT_POSTLIFT,0))),0)))</f>
        <v/>
      </c>
      <c r="L121" s="10">
        <f>IF(OR($H121&lt;&gt;"Y",3&lt;$I121),0,IF(SUMPRODUCT(((BULK_ENABLED="Y")*((BULK_TIER="ALL")+(BULK_TIER=$F121))*((BULK_SKU="ALL")+(BULK_SKU=$G121))*(BULK_START&lt;=3)*(BULK_END&gt;=3)))&gt;0,IFERROR(SUMPRODUCT(((BULK_ENABLED="Y")*((BULK_TIER="ALL")+(BULK_TIER=$F121))*((BULK_SKU="ALL")+(BULK_SKU=$G121))*(BULK_START&lt;=3)*(BULK_END&gt;=3))*IFERROR(BULK_VALUE,0))/MAX(1,SUMPRODUCT(((BULK_ENABLED="Y")*((BULK_TIER="ALL")+(BULK_TIER=$F121))*((BULK_SKU="ALL")+(BULK_SKU=$G121))*(BULK_START&lt;=3)*(BULK_END&gt;=3)))),0),ROUND((INDEX(VELOCITY_TABLE,MATCH($F121,TIER_LIST,0),3))*(IF((3-$I121+1)&lt;=0,0,IF((3-$I121+1)=1,RAMP_W1,IF((3-$I121+1)=2,RAMP_W2,IF((3-$I121+1)=3,RAMP_W3,RAMP_W4PLUS)))))*(INDEX(ACTIVE_MULT_TABLE,3,1))*(1+SUMPRODUCT(SIGN(((ACT_DOOR_SCOPE="ALL")+(ACT_DOOR_SCOPE="TIER_"&amp;$F121)+(ACT_DOOR_SCOPE=$B121)))*SIGN(((ACT_SKU_SCOPE="ALL")+(ACT_SKU_SCOPE=$G121)))*(ACT_START&lt;=3)*(ACT_END&gt;=3)*IFERROR(ACT_UPLIFT-1,0)))*(1+SUMPRODUCT(SIGN(((ACT_DOOR_SCOPE="ALL")+(ACT_DOOR_SCOPE="TIER_"&amp;$F121)+(ACT_DOOR_SCOPE=$B121)))*SIGN(((ACT_SKU_SCOPE="ALL")+(ACT_SKU_SCOPE=$G121)))*(3&gt;ACT_END)*(ACT_END&gt;0)*IFERROR(ACT_POSTLIFT,0))),0)))</f>
        <v/>
      </c>
      <c r="M121" s="10">
        <f>IF(OR($H121&lt;&gt;"Y",4&lt;$I121),0,IF(SUMPRODUCT(((BULK_ENABLED="Y")*((BULK_TIER="ALL")+(BULK_TIER=$F121))*((BULK_SKU="ALL")+(BULK_SKU=$G121))*(BULK_START&lt;=4)*(BULK_END&gt;=4)))&gt;0,IFERROR(SUMPRODUCT(((BULK_ENABLED="Y")*((BULK_TIER="ALL")+(BULK_TIER=$F121))*((BULK_SKU="ALL")+(BULK_SKU=$G121))*(BULK_START&lt;=4)*(BULK_END&gt;=4))*IFERROR(BULK_VALUE,0))/MAX(1,SUMPRODUCT(((BULK_ENABLED="Y")*((BULK_TIER="ALL")+(BULK_TIER=$F121))*((BULK_SKU="ALL")+(BULK_SKU=$G121))*(BULK_START&lt;=4)*(BULK_END&gt;=4)))),0),ROUND((INDEX(VELOCITY_TABLE,MATCH($F121,TIER_LIST,0),3))*(IF((4-$I121+1)&lt;=0,0,IF((4-$I121+1)=1,RAMP_W1,IF((4-$I121+1)=2,RAMP_W2,IF((4-$I121+1)=3,RAMP_W3,RAMP_W4PLUS)))))*(INDEX(ACTIVE_MULT_TABLE,3,1))*(1+SUMPRODUCT(SIGN(((ACT_DOOR_SCOPE="ALL")+(ACT_DOOR_SCOPE="TIER_"&amp;$F121)+(ACT_DOOR_SCOPE=$B121)))*SIGN(((ACT_SKU_SCOPE="ALL")+(ACT_SKU_SCOPE=$G121)))*(ACT_START&lt;=4)*(ACT_END&gt;=4)*IFERROR(ACT_UPLIFT-1,0)))*(1+SUMPRODUCT(SIGN(((ACT_DOOR_SCOPE="ALL")+(ACT_DOOR_SCOPE="TIER_"&amp;$F121)+(ACT_DOOR_SCOPE=$B121)))*SIGN(((ACT_SKU_SCOPE="ALL")+(ACT_SKU_SCOPE=$G121)))*(4&gt;ACT_END)*(ACT_END&gt;0)*IFERROR(ACT_POSTLIFT,0))),0)))</f>
        <v/>
      </c>
      <c r="N121" s="10">
        <f>IF(OR($H121&lt;&gt;"Y",5&lt;$I121),0,IF(SUMPRODUCT(((BULK_ENABLED="Y")*((BULK_TIER="ALL")+(BULK_TIER=$F121))*((BULK_SKU="ALL")+(BULK_SKU=$G121))*(BULK_START&lt;=5)*(BULK_END&gt;=5)))&gt;0,IFERROR(SUMPRODUCT(((BULK_ENABLED="Y")*((BULK_TIER="ALL")+(BULK_TIER=$F121))*((BULK_SKU="ALL")+(BULK_SKU=$G121))*(BULK_START&lt;=5)*(BULK_END&gt;=5))*IFERROR(BULK_VALUE,0))/MAX(1,SUMPRODUCT(((BULK_ENABLED="Y")*((BULK_TIER="ALL")+(BULK_TIER=$F121))*((BULK_SKU="ALL")+(BULK_SKU=$G121))*(BULK_START&lt;=5)*(BULK_END&gt;=5)))),0),ROUND((INDEX(VELOCITY_TABLE,MATCH($F121,TIER_LIST,0),3))*(IF((5-$I121+1)&lt;=0,0,IF((5-$I121+1)=1,RAMP_W1,IF((5-$I121+1)=2,RAMP_W2,IF((5-$I121+1)=3,RAMP_W3,RAMP_W4PLUS)))))*(INDEX(ACTIVE_MULT_TABLE,3,1))*(1+SUMPRODUCT(SIGN(((ACT_DOOR_SCOPE="ALL")+(ACT_DOOR_SCOPE="TIER_"&amp;$F121)+(ACT_DOOR_SCOPE=$B121)))*SIGN(((ACT_SKU_SCOPE="ALL")+(ACT_SKU_SCOPE=$G121)))*(ACT_START&lt;=5)*(ACT_END&gt;=5)*IFERROR(ACT_UPLIFT-1,0)))*(1+SUMPRODUCT(SIGN(((ACT_DOOR_SCOPE="ALL")+(ACT_DOOR_SCOPE="TIER_"&amp;$F121)+(ACT_DOOR_SCOPE=$B121)))*SIGN(((ACT_SKU_SCOPE="ALL")+(ACT_SKU_SCOPE=$G121)))*(5&gt;ACT_END)*(ACT_END&gt;0)*IFERROR(ACT_POSTLIFT,0))),0)))</f>
        <v/>
      </c>
      <c r="O121" s="10">
        <f>IF(OR($H121&lt;&gt;"Y",6&lt;$I121),0,IF(SUMPRODUCT(((BULK_ENABLED="Y")*((BULK_TIER="ALL")+(BULK_TIER=$F121))*((BULK_SKU="ALL")+(BULK_SKU=$G121))*(BULK_START&lt;=6)*(BULK_END&gt;=6)))&gt;0,IFERROR(SUMPRODUCT(((BULK_ENABLED="Y")*((BULK_TIER="ALL")+(BULK_TIER=$F121))*((BULK_SKU="ALL")+(BULK_SKU=$G121))*(BULK_START&lt;=6)*(BULK_END&gt;=6))*IFERROR(BULK_VALUE,0))/MAX(1,SUMPRODUCT(((BULK_ENABLED="Y")*((BULK_TIER="ALL")+(BULK_TIER=$F121))*((BULK_SKU="ALL")+(BULK_SKU=$G121))*(BULK_START&lt;=6)*(BULK_END&gt;=6)))),0),ROUND((INDEX(VELOCITY_TABLE,MATCH($F121,TIER_LIST,0),3))*(IF((6-$I121+1)&lt;=0,0,IF((6-$I121+1)=1,RAMP_W1,IF((6-$I121+1)=2,RAMP_W2,IF((6-$I121+1)=3,RAMP_W3,RAMP_W4PLUS)))))*(INDEX(ACTIVE_MULT_TABLE,3,1))*(1+SUMPRODUCT(SIGN(((ACT_DOOR_SCOPE="ALL")+(ACT_DOOR_SCOPE="TIER_"&amp;$F121)+(ACT_DOOR_SCOPE=$B121)))*SIGN(((ACT_SKU_SCOPE="ALL")+(ACT_SKU_SCOPE=$G121)))*(ACT_START&lt;=6)*(ACT_END&gt;=6)*IFERROR(ACT_UPLIFT-1,0)))*(1+SUMPRODUCT(SIGN(((ACT_DOOR_SCOPE="ALL")+(ACT_DOOR_SCOPE="TIER_"&amp;$F121)+(ACT_DOOR_SCOPE=$B121)))*SIGN(((ACT_SKU_SCOPE="ALL")+(ACT_SKU_SCOPE=$G121)))*(6&gt;ACT_END)*(ACT_END&gt;0)*IFERROR(ACT_POSTLIFT,0))),0)))</f>
        <v/>
      </c>
      <c r="P121" s="10">
        <f>IF(OR($H121&lt;&gt;"Y",7&lt;$I121),0,IF(SUMPRODUCT(((BULK_ENABLED="Y")*((BULK_TIER="ALL")+(BULK_TIER=$F121))*((BULK_SKU="ALL")+(BULK_SKU=$G121))*(BULK_START&lt;=7)*(BULK_END&gt;=7)))&gt;0,IFERROR(SUMPRODUCT(((BULK_ENABLED="Y")*((BULK_TIER="ALL")+(BULK_TIER=$F121))*((BULK_SKU="ALL")+(BULK_SKU=$G121))*(BULK_START&lt;=7)*(BULK_END&gt;=7))*IFERROR(BULK_VALUE,0))/MAX(1,SUMPRODUCT(((BULK_ENABLED="Y")*((BULK_TIER="ALL")+(BULK_TIER=$F121))*((BULK_SKU="ALL")+(BULK_SKU=$G121))*(BULK_START&lt;=7)*(BULK_END&gt;=7)))),0),ROUND((INDEX(VELOCITY_TABLE,MATCH($F121,TIER_LIST,0),3))*(IF((7-$I121+1)&lt;=0,0,IF((7-$I121+1)=1,RAMP_W1,IF((7-$I121+1)=2,RAMP_W2,IF((7-$I121+1)=3,RAMP_W3,RAMP_W4PLUS)))))*(INDEX(ACTIVE_MULT_TABLE,3,1))*(1+SUMPRODUCT(SIGN(((ACT_DOOR_SCOPE="ALL")+(ACT_DOOR_SCOPE="TIER_"&amp;$F121)+(ACT_DOOR_SCOPE=$B121)))*SIGN(((ACT_SKU_SCOPE="ALL")+(ACT_SKU_SCOPE=$G121)))*(ACT_START&lt;=7)*(ACT_END&gt;=7)*IFERROR(ACT_UPLIFT-1,0)))*(1+SUMPRODUCT(SIGN(((ACT_DOOR_SCOPE="ALL")+(ACT_DOOR_SCOPE="TIER_"&amp;$F121)+(ACT_DOOR_SCOPE=$B121)))*SIGN(((ACT_SKU_SCOPE="ALL")+(ACT_SKU_SCOPE=$G121)))*(7&gt;ACT_END)*(ACT_END&gt;0)*IFERROR(ACT_POSTLIFT,0))),0)))</f>
        <v/>
      </c>
      <c r="Q121" s="10">
        <f>IF(OR($H121&lt;&gt;"Y",8&lt;$I121),0,IF(SUMPRODUCT(((BULK_ENABLED="Y")*((BULK_TIER="ALL")+(BULK_TIER=$F121))*((BULK_SKU="ALL")+(BULK_SKU=$G121))*(BULK_START&lt;=8)*(BULK_END&gt;=8)))&gt;0,IFERROR(SUMPRODUCT(((BULK_ENABLED="Y")*((BULK_TIER="ALL")+(BULK_TIER=$F121))*((BULK_SKU="ALL")+(BULK_SKU=$G121))*(BULK_START&lt;=8)*(BULK_END&gt;=8))*IFERROR(BULK_VALUE,0))/MAX(1,SUMPRODUCT(((BULK_ENABLED="Y")*((BULK_TIER="ALL")+(BULK_TIER=$F121))*((BULK_SKU="ALL")+(BULK_SKU=$G121))*(BULK_START&lt;=8)*(BULK_END&gt;=8)))),0),ROUND((INDEX(VELOCITY_TABLE,MATCH($F121,TIER_LIST,0),3))*(IF((8-$I121+1)&lt;=0,0,IF((8-$I121+1)=1,RAMP_W1,IF((8-$I121+1)=2,RAMP_W2,IF((8-$I121+1)=3,RAMP_W3,RAMP_W4PLUS)))))*(INDEX(ACTIVE_MULT_TABLE,3,1))*(1+SUMPRODUCT(SIGN(((ACT_DOOR_SCOPE="ALL")+(ACT_DOOR_SCOPE="TIER_"&amp;$F121)+(ACT_DOOR_SCOPE=$B121)))*SIGN(((ACT_SKU_SCOPE="ALL")+(ACT_SKU_SCOPE=$G121)))*(ACT_START&lt;=8)*(ACT_END&gt;=8)*IFERROR(ACT_UPLIFT-1,0)))*(1+SUMPRODUCT(SIGN(((ACT_DOOR_SCOPE="ALL")+(ACT_DOOR_SCOPE="TIER_"&amp;$F121)+(ACT_DOOR_SCOPE=$B121)))*SIGN(((ACT_SKU_SCOPE="ALL")+(ACT_SKU_SCOPE=$G121)))*(8&gt;ACT_END)*(ACT_END&gt;0)*IFERROR(ACT_POSTLIFT,0))),0)))</f>
        <v/>
      </c>
      <c r="R121" s="10">
        <f>IF(OR($H121&lt;&gt;"Y",9&lt;$I121),0,IF(SUMPRODUCT(((BULK_ENABLED="Y")*((BULK_TIER="ALL")+(BULK_TIER=$F121))*((BULK_SKU="ALL")+(BULK_SKU=$G121))*(BULK_START&lt;=9)*(BULK_END&gt;=9)))&gt;0,IFERROR(SUMPRODUCT(((BULK_ENABLED="Y")*((BULK_TIER="ALL")+(BULK_TIER=$F121))*((BULK_SKU="ALL")+(BULK_SKU=$G121))*(BULK_START&lt;=9)*(BULK_END&gt;=9))*IFERROR(BULK_VALUE,0))/MAX(1,SUMPRODUCT(((BULK_ENABLED="Y")*((BULK_TIER="ALL")+(BULK_TIER=$F121))*((BULK_SKU="ALL")+(BULK_SKU=$G121))*(BULK_START&lt;=9)*(BULK_END&gt;=9)))),0),ROUND((INDEX(VELOCITY_TABLE,MATCH($F121,TIER_LIST,0),3))*(IF((9-$I121+1)&lt;=0,0,IF((9-$I121+1)=1,RAMP_W1,IF((9-$I121+1)=2,RAMP_W2,IF((9-$I121+1)=3,RAMP_W3,RAMP_W4PLUS)))))*(INDEX(ACTIVE_MULT_TABLE,3,1))*(1+SUMPRODUCT(SIGN(((ACT_DOOR_SCOPE="ALL")+(ACT_DOOR_SCOPE="TIER_"&amp;$F121)+(ACT_DOOR_SCOPE=$B121)))*SIGN(((ACT_SKU_SCOPE="ALL")+(ACT_SKU_SCOPE=$G121)))*(ACT_START&lt;=9)*(ACT_END&gt;=9)*IFERROR(ACT_UPLIFT-1,0)))*(1+SUMPRODUCT(SIGN(((ACT_DOOR_SCOPE="ALL")+(ACT_DOOR_SCOPE="TIER_"&amp;$F121)+(ACT_DOOR_SCOPE=$B121)))*SIGN(((ACT_SKU_SCOPE="ALL")+(ACT_SKU_SCOPE=$G121)))*(9&gt;ACT_END)*(ACT_END&gt;0)*IFERROR(ACT_POSTLIFT,0))),0)))</f>
        <v/>
      </c>
      <c r="S121" s="10">
        <f>IF(OR($H121&lt;&gt;"Y",10&lt;$I121),0,IF(SUMPRODUCT(((BULK_ENABLED="Y")*((BULK_TIER="ALL")+(BULK_TIER=$F121))*((BULK_SKU="ALL")+(BULK_SKU=$G121))*(BULK_START&lt;=10)*(BULK_END&gt;=10)))&gt;0,IFERROR(SUMPRODUCT(((BULK_ENABLED="Y")*((BULK_TIER="ALL")+(BULK_TIER=$F121))*((BULK_SKU="ALL")+(BULK_SKU=$G121))*(BULK_START&lt;=10)*(BULK_END&gt;=10))*IFERROR(BULK_VALUE,0))/MAX(1,SUMPRODUCT(((BULK_ENABLED="Y")*((BULK_TIER="ALL")+(BULK_TIER=$F121))*((BULK_SKU="ALL")+(BULK_SKU=$G121))*(BULK_START&lt;=10)*(BULK_END&gt;=10)))),0),ROUND((INDEX(VELOCITY_TABLE,MATCH($F121,TIER_LIST,0),3))*(IF((10-$I121+1)&lt;=0,0,IF((10-$I121+1)=1,RAMP_W1,IF((10-$I121+1)=2,RAMP_W2,IF((10-$I121+1)=3,RAMP_W3,RAMP_W4PLUS)))))*(INDEX(ACTIVE_MULT_TABLE,3,1))*(1+SUMPRODUCT(SIGN(((ACT_DOOR_SCOPE="ALL")+(ACT_DOOR_SCOPE="TIER_"&amp;$F121)+(ACT_DOOR_SCOPE=$B121)))*SIGN(((ACT_SKU_SCOPE="ALL")+(ACT_SKU_SCOPE=$G121)))*(ACT_START&lt;=10)*(ACT_END&gt;=10)*IFERROR(ACT_UPLIFT-1,0)))*(1+SUMPRODUCT(SIGN(((ACT_DOOR_SCOPE="ALL")+(ACT_DOOR_SCOPE="TIER_"&amp;$F121)+(ACT_DOOR_SCOPE=$B121)))*SIGN(((ACT_SKU_SCOPE="ALL")+(ACT_SKU_SCOPE=$G121)))*(10&gt;ACT_END)*(ACT_END&gt;0)*IFERROR(ACT_POSTLIFT,0))),0)))</f>
        <v/>
      </c>
      <c r="T121" s="10">
        <f>IF(OR($H121&lt;&gt;"Y",11&lt;$I121),0,IF(SUMPRODUCT(((BULK_ENABLED="Y")*((BULK_TIER="ALL")+(BULK_TIER=$F121))*((BULK_SKU="ALL")+(BULK_SKU=$G121))*(BULK_START&lt;=11)*(BULK_END&gt;=11)))&gt;0,IFERROR(SUMPRODUCT(((BULK_ENABLED="Y")*((BULK_TIER="ALL")+(BULK_TIER=$F121))*((BULK_SKU="ALL")+(BULK_SKU=$G121))*(BULK_START&lt;=11)*(BULK_END&gt;=11))*IFERROR(BULK_VALUE,0))/MAX(1,SUMPRODUCT(((BULK_ENABLED="Y")*((BULK_TIER="ALL")+(BULK_TIER=$F121))*((BULK_SKU="ALL")+(BULK_SKU=$G121))*(BULK_START&lt;=11)*(BULK_END&gt;=11)))),0),ROUND((INDEX(VELOCITY_TABLE,MATCH($F121,TIER_LIST,0),3))*(IF((11-$I121+1)&lt;=0,0,IF((11-$I121+1)=1,RAMP_W1,IF((11-$I121+1)=2,RAMP_W2,IF((11-$I121+1)=3,RAMP_W3,RAMP_W4PLUS)))))*(INDEX(ACTIVE_MULT_TABLE,3,1))*(1+SUMPRODUCT(SIGN(((ACT_DOOR_SCOPE="ALL")+(ACT_DOOR_SCOPE="TIER_"&amp;$F121)+(ACT_DOOR_SCOPE=$B121)))*SIGN(((ACT_SKU_SCOPE="ALL")+(ACT_SKU_SCOPE=$G121)))*(ACT_START&lt;=11)*(ACT_END&gt;=11)*IFERROR(ACT_UPLIFT-1,0)))*(1+SUMPRODUCT(SIGN(((ACT_DOOR_SCOPE="ALL")+(ACT_DOOR_SCOPE="TIER_"&amp;$F121)+(ACT_DOOR_SCOPE=$B121)))*SIGN(((ACT_SKU_SCOPE="ALL")+(ACT_SKU_SCOPE=$G121)))*(11&gt;ACT_END)*(ACT_END&gt;0)*IFERROR(ACT_POSTLIFT,0))),0)))</f>
        <v/>
      </c>
      <c r="U121" s="10">
        <f>IF(OR($H121&lt;&gt;"Y",12&lt;$I121),0,IF(SUMPRODUCT(((BULK_ENABLED="Y")*((BULK_TIER="ALL")+(BULK_TIER=$F121))*((BULK_SKU="ALL")+(BULK_SKU=$G121))*(BULK_START&lt;=12)*(BULK_END&gt;=12)))&gt;0,IFERROR(SUMPRODUCT(((BULK_ENABLED="Y")*((BULK_TIER="ALL")+(BULK_TIER=$F121))*((BULK_SKU="ALL")+(BULK_SKU=$G121))*(BULK_START&lt;=12)*(BULK_END&gt;=12))*IFERROR(BULK_VALUE,0))/MAX(1,SUMPRODUCT(((BULK_ENABLED="Y")*((BULK_TIER="ALL")+(BULK_TIER=$F121))*((BULK_SKU="ALL")+(BULK_SKU=$G121))*(BULK_START&lt;=12)*(BULK_END&gt;=12)))),0),ROUND((INDEX(VELOCITY_TABLE,MATCH($F121,TIER_LIST,0),3))*(IF((12-$I121+1)&lt;=0,0,IF((12-$I121+1)=1,RAMP_W1,IF((12-$I121+1)=2,RAMP_W2,IF((12-$I121+1)=3,RAMP_W3,RAMP_W4PLUS)))))*(INDEX(ACTIVE_MULT_TABLE,3,1))*(1+SUMPRODUCT(SIGN(((ACT_DOOR_SCOPE="ALL")+(ACT_DOOR_SCOPE="TIER_"&amp;$F121)+(ACT_DOOR_SCOPE=$B121)))*SIGN(((ACT_SKU_SCOPE="ALL")+(ACT_SKU_SCOPE=$G121)))*(ACT_START&lt;=12)*(ACT_END&gt;=12)*IFERROR(ACT_UPLIFT-1,0)))*(1+SUMPRODUCT(SIGN(((ACT_DOOR_SCOPE="ALL")+(ACT_DOOR_SCOPE="TIER_"&amp;$F121)+(ACT_DOOR_SCOPE=$B121)))*SIGN(((ACT_SKU_SCOPE="ALL")+(ACT_SKU_SCOPE=$G121)))*(12&gt;ACT_END)*(ACT_END&gt;0)*IFERROR(ACT_POSTLIFT,0))),0)))</f>
        <v/>
      </c>
      <c r="V121" s="10">
        <f>IF(OR($H121&lt;&gt;"Y",13&lt;$I121),0,IF(SUMPRODUCT(((BULK_ENABLED="Y")*((BULK_TIER="ALL")+(BULK_TIER=$F121))*((BULK_SKU="ALL")+(BULK_SKU=$G121))*(BULK_START&lt;=13)*(BULK_END&gt;=13)))&gt;0,IFERROR(SUMPRODUCT(((BULK_ENABLED="Y")*((BULK_TIER="ALL")+(BULK_TIER=$F121))*((BULK_SKU="ALL")+(BULK_SKU=$G121))*(BULK_START&lt;=13)*(BULK_END&gt;=13))*IFERROR(BULK_VALUE,0))/MAX(1,SUMPRODUCT(((BULK_ENABLED="Y")*((BULK_TIER="ALL")+(BULK_TIER=$F121))*((BULK_SKU="ALL")+(BULK_SKU=$G121))*(BULK_START&lt;=13)*(BULK_END&gt;=13)))),0),ROUND((INDEX(VELOCITY_TABLE,MATCH($F121,TIER_LIST,0),3))*(IF((13-$I121+1)&lt;=0,0,IF((13-$I121+1)=1,RAMP_W1,IF((13-$I121+1)=2,RAMP_W2,IF((13-$I121+1)=3,RAMP_W3,RAMP_W4PLUS)))))*(INDEX(ACTIVE_MULT_TABLE,3,1))*(1+SUMPRODUCT(SIGN(((ACT_DOOR_SCOPE="ALL")+(ACT_DOOR_SCOPE="TIER_"&amp;$F121)+(ACT_DOOR_SCOPE=$B121)))*SIGN(((ACT_SKU_SCOPE="ALL")+(ACT_SKU_SCOPE=$G121)))*(ACT_START&lt;=13)*(ACT_END&gt;=13)*IFERROR(ACT_UPLIFT-1,0)))*(1+SUMPRODUCT(SIGN(((ACT_DOOR_SCOPE="ALL")+(ACT_DOOR_SCOPE="TIER_"&amp;$F121)+(ACT_DOOR_SCOPE=$B121)))*SIGN(((ACT_SKU_SCOPE="ALL")+(ACT_SKU_SCOPE=$G121)))*(13&gt;ACT_END)*(ACT_END&gt;0)*IFERROR(ACT_POSTLIFT,0))),0)))</f>
        <v/>
      </c>
    </row>
    <row r="122">
      <c r="A122" t="inlineStr">
        <is>
          <t>R0118</t>
        </is>
      </c>
      <c r="B122">
        <f>Doors!$A$44</f>
        <v/>
      </c>
      <c r="C122">
        <f>Doors!$C$44</f>
        <v/>
      </c>
      <c r="D122">
        <f>Doors!$B$44</f>
        <v/>
      </c>
      <c r="E122">
        <f>Doors!$E$44</f>
        <v/>
      </c>
      <c r="F122">
        <f>Doors!$F$44</f>
        <v/>
      </c>
      <c r="G122" t="inlineStr">
        <is>
          <t>Lime Lemon</t>
        </is>
      </c>
      <c r="H122">
        <f>Doors!$G$44</f>
        <v/>
      </c>
      <c r="I122">
        <f>Doors!$J$44</f>
        <v/>
      </c>
      <c r="J122" s="10">
        <f>IF(OR($H122&lt;&gt;"Y",1&lt;$I122),0,IF(SUMPRODUCT(((BULK_ENABLED="Y")*((BULK_TIER="ALL")+(BULK_TIER=$F122))*((BULK_SKU="ALL")+(BULK_SKU=$G122))*(BULK_START&lt;=1)*(BULK_END&gt;=1)))&gt;0,IFERROR(SUMPRODUCT(((BULK_ENABLED="Y")*((BULK_TIER="ALL")+(BULK_TIER=$F122))*((BULK_SKU="ALL")+(BULK_SKU=$G122))*(BULK_START&lt;=1)*(BULK_END&gt;=1))*IFERROR(BULK_VALUE,0))/MAX(1,SUMPRODUCT(((BULK_ENABLED="Y")*((BULK_TIER="ALL")+(BULK_TIER=$F122))*((BULK_SKU="ALL")+(BULK_SKU=$G122))*(BULK_START&lt;=1)*(BULK_END&gt;=1)))),0),ROUND((INDEX(VELOCITY_TABLE,MATCH($F122,TIER_LIST,0),1))*(IF((1-$I122+1)&lt;=0,0,IF((1-$I122+1)=1,RAMP_W1,IF((1-$I122+1)=2,RAMP_W2,IF((1-$I122+1)=3,RAMP_W3,RAMP_W4PLUS)))))*(INDEX(ACTIVE_MULT_TABLE,1,1))*(1+SUMPRODUCT(SIGN(((ACT_DOOR_SCOPE="ALL")+(ACT_DOOR_SCOPE="TIER_"&amp;$F122)+(ACT_DOOR_SCOPE=$B122)))*SIGN(((ACT_SKU_SCOPE="ALL")+(ACT_SKU_SCOPE=$G122)))*(ACT_START&lt;=1)*(ACT_END&gt;=1)*IFERROR(ACT_UPLIFT-1,0)))*(1+SUMPRODUCT(SIGN(((ACT_DOOR_SCOPE="ALL")+(ACT_DOOR_SCOPE="TIER_"&amp;$F122)+(ACT_DOOR_SCOPE=$B122)))*SIGN(((ACT_SKU_SCOPE="ALL")+(ACT_SKU_SCOPE=$G122)))*(1&gt;ACT_END)*(ACT_END&gt;0)*IFERROR(ACT_POSTLIFT,0))),0)))</f>
        <v/>
      </c>
      <c r="K122" s="10">
        <f>IF(OR($H122&lt;&gt;"Y",2&lt;$I122),0,IF(SUMPRODUCT(((BULK_ENABLED="Y")*((BULK_TIER="ALL")+(BULK_TIER=$F122))*((BULK_SKU="ALL")+(BULK_SKU=$G122))*(BULK_START&lt;=2)*(BULK_END&gt;=2)))&gt;0,IFERROR(SUMPRODUCT(((BULK_ENABLED="Y")*((BULK_TIER="ALL")+(BULK_TIER=$F122))*((BULK_SKU="ALL")+(BULK_SKU=$G122))*(BULK_START&lt;=2)*(BULK_END&gt;=2))*IFERROR(BULK_VALUE,0))/MAX(1,SUMPRODUCT(((BULK_ENABLED="Y")*((BULK_TIER="ALL")+(BULK_TIER=$F122))*((BULK_SKU="ALL")+(BULK_SKU=$G122))*(BULK_START&lt;=2)*(BULK_END&gt;=2)))),0),ROUND((INDEX(VELOCITY_TABLE,MATCH($F122,TIER_LIST,0),1))*(IF((2-$I122+1)&lt;=0,0,IF((2-$I122+1)=1,RAMP_W1,IF((2-$I122+1)=2,RAMP_W2,IF((2-$I122+1)=3,RAMP_W3,RAMP_W4PLUS)))))*(INDEX(ACTIVE_MULT_TABLE,1,1))*(1+SUMPRODUCT(SIGN(((ACT_DOOR_SCOPE="ALL")+(ACT_DOOR_SCOPE="TIER_"&amp;$F122)+(ACT_DOOR_SCOPE=$B122)))*SIGN(((ACT_SKU_SCOPE="ALL")+(ACT_SKU_SCOPE=$G122)))*(ACT_START&lt;=2)*(ACT_END&gt;=2)*IFERROR(ACT_UPLIFT-1,0)))*(1+SUMPRODUCT(SIGN(((ACT_DOOR_SCOPE="ALL")+(ACT_DOOR_SCOPE="TIER_"&amp;$F122)+(ACT_DOOR_SCOPE=$B122)))*SIGN(((ACT_SKU_SCOPE="ALL")+(ACT_SKU_SCOPE=$G122)))*(2&gt;ACT_END)*(ACT_END&gt;0)*IFERROR(ACT_POSTLIFT,0))),0)))</f>
        <v/>
      </c>
      <c r="L122" s="10">
        <f>IF(OR($H122&lt;&gt;"Y",3&lt;$I122),0,IF(SUMPRODUCT(((BULK_ENABLED="Y")*((BULK_TIER="ALL")+(BULK_TIER=$F122))*((BULK_SKU="ALL")+(BULK_SKU=$G122))*(BULK_START&lt;=3)*(BULK_END&gt;=3)))&gt;0,IFERROR(SUMPRODUCT(((BULK_ENABLED="Y")*((BULK_TIER="ALL")+(BULK_TIER=$F122))*((BULK_SKU="ALL")+(BULK_SKU=$G122))*(BULK_START&lt;=3)*(BULK_END&gt;=3))*IFERROR(BULK_VALUE,0))/MAX(1,SUMPRODUCT(((BULK_ENABLED="Y")*((BULK_TIER="ALL")+(BULK_TIER=$F122))*((BULK_SKU="ALL")+(BULK_SKU=$G122))*(BULK_START&lt;=3)*(BULK_END&gt;=3)))),0),ROUND((INDEX(VELOCITY_TABLE,MATCH($F122,TIER_LIST,0),1))*(IF((3-$I122+1)&lt;=0,0,IF((3-$I122+1)=1,RAMP_W1,IF((3-$I122+1)=2,RAMP_W2,IF((3-$I122+1)=3,RAMP_W3,RAMP_W4PLUS)))))*(INDEX(ACTIVE_MULT_TABLE,1,1))*(1+SUMPRODUCT(SIGN(((ACT_DOOR_SCOPE="ALL")+(ACT_DOOR_SCOPE="TIER_"&amp;$F122)+(ACT_DOOR_SCOPE=$B122)))*SIGN(((ACT_SKU_SCOPE="ALL")+(ACT_SKU_SCOPE=$G122)))*(ACT_START&lt;=3)*(ACT_END&gt;=3)*IFERROR(ACT_UPLIFT-1,0)))*(1+SUMPRODUCT(SIGN(((ACT_DOOR_SCOPE="ALL")+(ACT_DOOR_SCOPE="TIER_"&amp;$F122)+(ACT_DOOR_SCOPE=$B122)))*SIGN(((ACT_SKU_SCOPE="ALL")+(ACT_SKU_SCOPE=$G122)))*(3&gt;ACT_END)*(ACT_END&gt;0)*IFERROR(ACT_POSTLIFT,0))),0)))</f>
        <v/>
      </c>
      <c r="M122" s="10">
        <f>IF(OR($H122&lt;&gt;"Y",4&lt;$I122),0,IF(SUMPRODUCT(((BULK_ENABLED="Y")*((BULK_TIER="ALL")+(BULK_TIER=$F122))*((BULK_SKU="ALL")+(BULK_SKU=$G122))*(BULK_START&lt;=4)*(BULK_END&gt;=4)))&gt;0,IFERROR(SUMPRODUCT(((BULK_ENABLED="Y")*((BULK_TIER="ALL")+(BULK_TIER=$F122))*((BULK_SKU="ALL")+(BULK_SKU=$G122))*(BULK_START&lt;=4)*(BULK_END&gt;=4))*IFERROR(BULK_VALUE,0))/MAX(1,SUMPRODUCT(((BULK_ENABLED="Y")*((BULK_TIER="ALL")+(BULK_TIER=$F122))*((BULK_SKU="ALL")+(BULK_SKU=$G122))*(BULK_START&lt;=4)*(BULK_END&gt;=4)))),0),ROUND((INDEX(VELOCITY_TABLE,MATCH($F122,TIER_LIST,0),1))*(IF((4-$I122+1)&lt;=0,0,IF((4-$I122+1)=1,RAMP_W1,IF((4-$I122+1)=2,RAMP_W2,IF((4-$I122+1)=3,RAMP_W3,RAMP_W4PLUS)))))*(INDEX(ACTIVE_MULT_TABLE,1,1))*(1+SUMPRODUCT(SIGN(((ACT_DOOR_SCOPE="ALL")+(ACT_DOOR_SCOPE="TIER_"&amp;$F122)+(ACT_DOOR_SCOPE=$B122)))*SIGN(((ACT_SKU_SCOPE="ALL")+(ACT_SKU_SCOPE=$G122)))*(ACT_START&lt;=4)*(ACT_END&gt;=4)*IFERROR(ACT_UPLIFT-1,0)))*(1+SUMPRODUCT(SIGN(((ACT_DOOR_SCOPE="ALL")+(ACT_DOOR_SCOPE="TIER_"&amp;$F122)+(ACT_DOOR_SCOPE=$B122)))*SIGN(((ACT_SKU_SCOPE="ALL")+(ACT_SKU_SCOPE=$G122)))*(4&gt;ACT_END)*(ACT_END&gt;0)*IFERROR(ACT_POSTLIFT,0))),0)))</f>
        <v/>
      </c>
      <c r="N122" s="10">
        <f>IF(OR($H122&lt;&gt;"Y",5&lt;$I122),0,IF(SUMPRODUCT(((BULK_ENABLED="Y")*((BULK_TIER="ALL")+(BULK_TIER=$F122))*((BULK_SKU="ALL")+(BULK_SKU=$G122))*(BULK_START&lt;=5)*(BULK_END&gt;=5)))&gt;0,IFERROR(SUMPRODUCT(((BULK_ENABLED="Y")*((BULK_TIER="ALL")+(BULK_TIER=$F122))*((BULK_SKU="ALL")+(BULK_SKU=$G122))*(BULK_START&lt;=5)*(BULK_END&gt;=5))*IFERROR(BULK_VALUE,0))/MAX(1,SUMPRODUCT(((BULK_ENABLED="Y")*((BULK_TIER="ALL")+(BULK_TIER=$F122))*((BULK_SKU="ALL")+(BULK_SKU=$G122))*(BULK_START&lt;=5)*(BULK_END&gt;=5)))),0),ROUND((INDEX(VELOCITY_TABLE,MATCH($F122,TIER_LIST,0),1))*(IF((5-$I122+1)&lt;=0,0,IF((5-$I122+1)=1,RAMP_W1,IF((5-$I122+1)=2,RAMP_W2,IF((5-$I122+1)=3,RAMP_W3,RAMP_W4PLUS)))))*(INDEX(ACTIVE_MULT_TABLE,1,1))*(1+SUMPRODUCT(SIGN(((ACT_DOOR_SCOPE="ALL")+(ACT_DOOR_SCOPE="TIER_"&amp;$F122)+(ACT_DOOR_SCOPE=$B122)))*SIGN(((ACT_SKU_SCOPE="ALL")+(ACT_SKU_SCOPE=$G122)))*(ACT_START&lt;=5)*(ACT_END&gt;=5)*IFERROR(ACT_UPLIFT-1,0)))*(1+SUMPRODUCT(SIGN(((ACT_DOOR_SCOPE="ALL")+(ACT_DOOR_SCOPE="TIER_"&amp;$F122)+(ACT_DOOR_SCOPE=$B122)))*SIGN(((ACT_SKU_SCOPE="ALL")+(ACT_SKU_SCOPE=$G122)))*(5&gt;ACT_END)*(ACT_END&gt;0)*IFERROR(ACT_POSTLIFT,0))),0)))</f>
        <v/>
      </c>
      <c r="O122" s="10">
        <f>IF(OR($H122&lt;&gt;"Y",6&lt;$I122),0,IF(SUMPRODUCT(((BULK_ENABLED="Y")*((BULK_TIER="ALL")+(BULK_TIER=$F122))*((BULK_SKU="ALL")+(BULK_SKU=$G122))*(BULK_START&lt;=6)*(BULK_END&gt;=6)))&gt;0,IFERROR(SUMPRODUCT(((BULK_ENABLED="Y")*((BULK_TIER="ALL")+(BULK_TIER=$F122))*((BULK_SKU="ALL")+(BULK_SKU=$G122))*(BULK_START&lt;=6)*(BULK_END&gt;=6))*IFERROR(BULK_VALUE,0))/MAX(1,SUMPRODUCT(((BULK_ENABLED="Y")*((BULK_TIER="ALL")+(BULK_TIER=$F122))*((BULK_SKU="ALL")+(BULK_SKU=$G122))*(BULK_START&lt;=6)*(BULK_END&gt;=6)))),0),ROUND((INDEX(VELOCITY_TABLE,MATCH($F122,TIER_LIST,0),1))*(IF((6-$I122+1)&lt;=0,0,IF((6-$I122+1)=1,RAMP_W1,IF((6-$I122+1)=2,RAMP_W2,IF((6-$I122+1)=3,RAMP_W3,RAMP_W4PLUS)))))*(INDEX(ACTIVE_MULT_TABLE,1,1))*(1+SUMPRODUCT(SIGN(((ACT_DOOR_SCOPE="ALL")+(ACT_DOOR_SCOPE="TIER_"&amp;$F122)+(ACT_DOOR_SCOPE=$B122)))*SIGN(((ACT_SKU_SCOPE="ALL")+(ACT_SKU_SCOPE=$G122)))*(ACT_START&lt;=6)*(ACT_END&gt;=6)*IFERROR(ACT_UPLIFT-1,0)))*(1+SUMPRODUCT(SIGN(((ACT_DOOR_SCOPE="ALL")+(ACT_DOOR_SCOPE="TIER_"&amp;$F122)+(ACT_DOOR_SCOPE=$B122)))*SIGN(((ACT_SKU_SCOPE="ALL")+(ACT_SKU_SCOPE=$G122)))*(6&gt;ACT_END)*(ACT_END&gt;0)*IFERROR(ACT_POSTLIFT,0))),0)))</f>
        <v/>
      </c>
      <c r="P122" s="10">
        <f>IF(OR($H122&lt;&gt;"Y",7&lt;$I122),0,IF(SUMPRODUCT(((BULK_ENABLED="Y")*((BULK_TIER="ALL")+(BULK_TIER=$F122))*((BULK_SKU="ALL")+(BULK_SKU=$G122))*(BULK_START&lt;=7)*(BULK_END&gt;=7)))&gt;0,IFERROR(SUMPRODUCT(((BULK_ENABLED="Y")*((BULK_TIER="ALL")+(BULK_TIER=$F122))*((BULK_SKU="ALL")+(BULK_SKU=$G122))*(BULK_START&lt;=7)*(BULK_END&gt;=7))*IFERROR(BULK_VALUE,0))/MAX(1,SUMPRODUCT(((BULK_ENABLED="Y")*((BULK_TIER="ALL")+(BULK_TIER=$F122))*((BULK_SKU="ALL")+(BULK_SKU=$G122))*(BULK_START&lt;=7)*(BULK_END&gt;=7)))),0),ROUND((INDEX(VELOCITY_TABLE,MATCH($F122,TIER_LIST,0),1))*(IF((7-$I122+1)&lt;=0,0,IF((7-$I122+1)=1,RAMP_W1,IF((7-$I122+1)=2,RAMP_W2,IF((7-$I122+1)=3,RAMP_W3,RAMP_W4PLUS)))))*(INDEX(ACTIVE_MULT_TABLE,1,1))*(1+SUMPRODUCT(SIGN(((ACT_DOOR_SCOPE="ALL")+(ACT_DOOR_SCOPE="TIER_"&amp;$F122)+(ACT_DOOR_SCOPE=$B122)))*SIGN(((ACT_SKU_SCOPE="ALL")+(ACT_SKU_SCOPE=$G122)))*(ACT_START&lt;=7)*(ACT_END&gt;=7)*IFERROR(ACT_UPLIFT-1,0)))*(1+SUMPRODUCT(SIGN(((ACT_DOOR_SCOPE="ALL")+(ACT_DOOR_SCOPE="TIER_"&amp;$F122)+(ACT_DOOR_SCOPE=$B122)))*SIGN(((ACT_SKU_SCOPE="ALL")+(ACT_SKU_SCOPE=$G122)))*(7&gt;ACT_END)*(ACT_END&gt;0)*IFERROR(ACT_POSTLIFT,0))),0)))</f>
        <v/>
      </c>
      <c r="Q122" s="10">
        <f>IF(OR($H122&lt;&gt;"Y",8&lt;$I122),0,IF(SUMPRODUCT(((BULK_ENABLED="Y")*((BULK_TIER="ALL")+(BULK_TIER=$F122))*((BULK_SKU="ALL")+(BULK_SKU=$G122))*(BULK_START&lt;=8)*(BULK_END&gt;=8)))&gt;0,IFERROR(SUMPRODUCT(((BULK_ENABLED="Y")*((BULK_TIER="ALL")+(BULK_TIER=$F122))*((BULK_SKU="ALL")+(BULK_SKU=$G122))*(BULK_START&lt;=8)*(BULK_END&gt;=8))*IFERROR(BULK_VALUE,0))/MAX(1,SUMPRODUCT(((BULK_ENABLED="Y")*((BULK_TIER="ALL")+(BULK_TIER=$F122))*((BULK_SKU="ALL")+(BULK_SKU=$G122))*(BULK_START&lt;=8)*(BULK_END&gt;=8)))),0),ROUND((INDEX(VELOCITY_TABLE,MATCH($F122,TIER_LIST,0),1))*(IF((8-$I122+1)&lt;=0,0,IF((8-$I122+1)=1,RAMP_W1,IF((8-$I122+1)=2,RAMP_W2,IF((8-$I122+1)=3,RAMP_W3,RAMP_W4PLUS)))))*(INDEX(ACTIVE_MULT_TABLE,1,1))*(1+SUMPRODUCT(SIGN(((ACT_DOOR_SCOPE="ALL")+(ACT_DOOR_SCOPE="TIER_"&amp;$F122)+(ACT_DOOR_SCOPE=$B122)))*SIGN(((ACT_SKU_SCOPE="ALL")+(ACT_SKU_SCOPE=$G122)))*(ACT_START&lt;=8)*(ACT_END&gt;=8)*IFERROR(ACT_UPLIFT-1,0)))*(1+SUMPRODUCT(SIGN(((ACT_DOOR_SCOPE="ALL")+(ACT_DOOR_SCOPE="TIER_"&amp;$F122)+(ACT_DOOR_SCOPE=$B122)))*SIGN(((ACT_SKU_SCOPE="ALL")+(ACT_SKU_SCOPE=$G122)))*(8&gt;ACT_END)*(ACT_END&gt;0)*IFERROR(ACT_POSTLIFT,0))),0)))</f>
        <v/>
      </c>
      <c r="R122" s="10">
        <f>IF(OR($H122&lt;&gt;"Y",9&lt;$I122),0,IF(SUMPRODUCT(((BULK_ENABLED="Y")*((BULK_TIER="ALL")+(BULK_TIER=$F122))*((BULK_SKU="ALL")+(BULK_SKU=$G122))*(BULK_START&lt;=9)*(BULK_END&gt;=9)))&gt;0,IFERROR(SUMPRODUCT(((BULK_ENABLED="Y")*((BULK_TIER="ALL")+(BULK_TIER=$F122))*((BULK_SKU="ALL")+(BULK_SKU=$G122))*(BULK_START&lt;=9)*(BULK_END&gt;=9))*IFERROR(BULK_VALUE,0))/MAX(1,SUMPRODUCT(((BULK_ENABLED="Y")*((BULK_TIER="ALL")+(BULK_TIER=$F122))*((BULK_SKU="ALL")+(BULK_SKU=$G122))*(BULK_START&lt;=9)*(BULK_END&gt;=9)))),0),ROUND((INDEX(VELOCITY_TABLE,MATCH($F122,TIER_LIST,0),1))*(IF((9-$I122+1)&lt;=0,0,IF((9-$I122+1)=1,RAMP_W1,IF((9-$I122+1)=2,RAMP_W2,IF((9-$I122+1)=3,RAMP_W3,RAMP_W4PLUS)))))*(INDEX(ACTIVE_MULT_TABLE,1,1))*(1+SUMPRODUCT(SIGN(((ACT_DOOR_SCOPE="ALL")+(ACT_DOOR_SCOPE="TIER_"&amp;$F122)+(ACT_DOOR_SCOPE=$B122)))*SIGN(((ACT_SKU_SCOPE="ALL")+(ACT_SKU_SCOPE=$G122)))*(ACT_START&lt;=9)*(ACT_END&gt;=9)*IFERROR(ACT_UPLIFT-1,0)))*(1+SUMPRODUCT(SIGN(((ACT_DOOR_SCOPE="ALL")+(ACT_DOOR_SCOPE="TIER_"&amp;$F122)+(ACT_DOOR_SCOPE=$B122)))*SIGN(((ACT_SKU_SCOPE="ALL")+(ACT_SKU_SCOPE=$G122)))*(9&gt;ACT_END)*(ACT_END&gt;0)*IFERROR(ACT_POSTLIFT,0))),0)))</f>
        <v/>
      </c>
      <c r="S122" s="10">
        <f>IF(OR($H122&lt;&gt;"Y",10&lt;$I122),0,IF(SUMPRODUCT(((BULK_ENABLED="Y")*((BULK_TIER="ALL")+(BULK_TIER=$F122))*((BULK_SKU="ALL")+(BULK_SKU=$G122))*(BULK_START&lt;=10)*(BULK_END&gt;=10)))&gt;0,IFERROR(SUMPRODUCT(((BULK_ENABLED="Y")*((BULK_TIER="ALL")+(BULK_TIER=$F122))*((BULK_SKU="ALL")+(BULK_SKU=$G122))*(BULK_START&lt;=10)*(BULK_END&gt;=10))*IFERROR(BULK_VALUE,0))/MAX(1,SUMPRODUCT(((BULK_ENABLED="Y")*((BULK_TIER="ALL")+(BULK_TIER=$F122))*((BULK_SKU="ALL")+(BULK_SKU=$G122))*(BULK_START&lt;=10)*(BULK_END&gt;=10)))),0),ROUND((INDEX(VELOCITY_TABLE,MATCH($F122,TIER_LIST,0),1))*(IF((10-$I122+1)&lt;=0,0,IF((10-$I122+1)=1,RAMP_W1,IF((10-$I122+1)=2,RAMP_W2,IF((10-$I122+1)=3,RAMP_W3,RAMP_W4PLUS)))))*(INDEX(ACTIVE_MULT_TABLE,1,1))*(1+SUMPRODUCT(SIGN(((ACT_DOOR_SCOPE="ALL")+(ACT_DOOR_SCOPE="TIER_"&amp;$F122)+(ACT_DOOR_SCOPE=$B122)))*SIGN(((ACT_SKU_SCOPE="ALL")+(ACT_SKU_SCOPE=$G122)))*(ACT_START&lt;=10)*(ACT_END&gt;=10)*IFERROR(ACT_UPLIFT-1,0)))*(1+SUMPRODUCT(SIGN(((ACT_DOOR_SCOPE="ALL")+(ACT_DOOR_SCOPE="TIER_"&amp;$F122)+(ACT_DOOR_SCOPE=$B122)))*SIGN(((ACT_SKU_SCOPE="ALL")+(ACT_SKU_SCOPE=$G122)))*(10&gt;ACT_END)*(ACT_END&gt;0)*IFERROR(ACT_POSTLIFT,0))),0)))</f>
        <v/>
      </c>
      <c r="T122" s="10">
        <f>IF(OR($H122&lt;&gt;"Y",11&lt;$I122),0,IF(SUMPRODUCT(((BULK_ENABLED="Y")*((BULK_TIER="ALL")+(BULK_TIER=$F122))*((BULK_SKU="ALL")+(BULK_SKU=$G122))*(BULK_START&lt;=11)*(BULK_END&gt;=11)))&gt;0,IFERROR(SUMPRODUCT(((BULK_ENABLED="Y")*((BULK_TIER="ALL")+(BULK_TIER=$F122))*((BULK_SKU="ALL")+(BULK_SKU=$G122))*(BULK_START&lt;=11)*(BULK_END&gt;=11))*IFERROR(BULK_VALUE,0))/MAX(1,SUMPRODUCT(((BULK_ENABLED="Y")*((BULK_TIER="ALL")+(BULK_TIER=$F122))*((BULK_SKU="ALL")+(BULK_SKU=$G122))*(BULK_START&lt;=11)*(BULK_END&gt;=11)))),0),ROUND((INDEX(VELOCITY_TABLE,MATCH($F122,TIER_LIST,0),1))*(IF((11-$I122+1)&lt;=0,0,IF((11-$I122+1)=1,RAMP_W1,IF((11-$I122+1)=2,RAMP_W2,IF((11-$I122+1)=3,RAMP_W3,RAMP_W4PLUS)))))*(INDEX(ACTIVE_MULT_TABLE,1,1))*(1+SUMPRODUCT(SIGN(((ACT_DOOR_SCOPE="ALL")+(ACT_DOOR_SCOPE="TIER_"&amp;$F122)+(ACT_DOOR_SCOPE=$B122)))*SIGN(((ACT_SKU_SCOPE="ALL")+(ACT_SKU_SCOPE=$G122)))*(ACT_START&lt;=11)*(ACT_END&gt;=11)*IFERROR(ACT_UPLIFT-1,0)))*(1+SUMPRODUCT(SIGN(((ACT_DOOR_SCOPE="ALL")+(ACT_DOOR_SCOPE="TIER_"&amp;$F122)+(ACT_DOOR_SCOPE=$B122)))*SIGN(((ACT_SKU_SCOPE="ALL")+(ACT_SKU_SCOPE=$G122)))*(11&gt;ACT_END)*(ACT_END&gt;0)*IFERROR(ACT_POSTLIFT,0))),0)))</f>
        <v/>
      </c>
      <c r="U122" s="10">
        <f>IF(OR($H122&lt;&gt;"Y",12&lt;$I122),0,IF(SUMPRODUCT(((BULK_ENABLED="Y")*((BULK_TIER="ALL")+(BULK_TIER=$F122))*((BULK_SKU="ALL")+(BULK_SKU=$G122))*(BULK_START&lt;=12)*(BULK_END&gt;=12)))&gt;0,IFERROR(SUMPRODUCT(((BULK_ENABLED="Y")*((BULK_TIER="ALL")+(BULK_TIER=$F122))*((BULK_SKU="ALL")+(BULK_SKU=$G122))*(BULK_START&lt;=12)*(BULK_END&gt;=12))*IFERROR(BULK_VALUE,0))/MAX(1,SUMPRODUCT(((BULK_ENABLED="Y")*((BULK_TIER="ALL")+(BULK_TIER=$F122))*((BULK_SKU="ALL")+(BULK_SKU=$G122))*(BULK_START&lt;=12)*(BULK_END&gt;=12)))),0),ROUND((INDEX(VELOCITY_TABLE,MATCH($F122,TIER_LIST,0),1))*(IF((12-$I122+1)&lt;=0,0,IF((12-$I122+1)=1,RAMP_W1,IF((12-$I122+1)=2,RAMP_W2,IF((12-$I122+1)=3,RAMP_W3,RAMP_W4PLUS)))))*(INDEX(ACTIVE_MULT_TABLE,1,1))*(1+SUMPRODUCT(SIGN(((ACT_DOOR_SCOPE="ALL")+(ACT_DOOR_SCOPE="TIER_"&amp;$F122)+(ACT_DOOR_SCOPE=$B122)))*SIGN(((ACT_SKU_SCOPE="ALL")+(ACT_SKU_SCOPE=$G122)))*(ACT_START&lt;=12)*(ACT_END&gt;=12)*IFERROR(ACT_UPLIFT-1,0)))*(1+SUMPRODUCT(SIGN(((ACT_DOOR_SCOPE="ALL")+(ACT_DOOR_SCOPE="TIER_"&amp;$F122)+(ACT_DOOR_SCOPE=$B122)))*SIGN(((ACT_SKU_SCOPE="ALL")+(ACT_SKU_SCOPE=$G122)))*(12&gt;ACT_END)*(ACT_END&gt;0)*IFERROR(ACT_POSTLIFT,0))),0)))</f>
        <v/>
      </c>
      <c r="V122" s="10">
        <f>IF(OR($H122&lt;&gt;"Y",13&lt;$I122),0,IF(SUMPRODUCT(((BULK_ENABLED="Y")*((BULK_TIER="ALL")+(BULK_TIER=$F122))*((BULK_SKU="ALL")+(BULK_SKU=$G122))*(BULK_START&lt;=13)*(BULK_END&gt;=13)))&gt;0,IFERROR(SUMPRODUCT(((BULK_ENABLED="Y")*((BULK_TIER="ALL")+(BULK_TIER=$F122))*((BULK_SKU="ALL")+(BULK_SKU=$G122))*(BULK_START&lt;=13)*(BULK_END&gt;=13))*IFERROR(BULK_VALUE,0))/MAX(1,SUMPRODUCT(((BULK_ENABLED="Y")*((BULK_TIER="ALL")+(BULK_TIER=$F122))*((BULK_SKU="ALL")+(BULK_SKU=$G122))*(BULK_START&lt;=13)*(BULK_END&gt;=13)))),0),ROUND((INDEX(VELOCITY_TABLE,MATCH($F122,TIER_LIST,0),1))*(IF((13-$I122+1)&lt;=0,0,IF((13-$I122+1)=1,RAMP_W1,IF((13-$I122+1)=2,RAMP_W2,IF((13-$I122+1)=3,RAMP_W3,RAMP_W4PLUS)))))*(INDEX(ACTIVE_MULT_TABLE,1,1))*(1+SUMPRODUCT(SIGN(((ACT_DOOR_SCOPE="ALL")+(ACT_DOOR_SCOPE="TIER_"&amp;$F122)+(ACT_DOOR_SCOPE=$B122)))*SIGN(((ACT_SKU_SCOPE="ALL")+(ACT_SKU_SCOPE=$G122)))*(ACT_START&lt;=13)*(ACT_END&gt;=13)*IFERROR(ACT_UPLIFT-1,0)))*(1+SUMPRODUCT(SIGN(((ACT_DOOR_SCOPE="ALL")+(ACT_DOOR_SCOPE="TIER_"&amp;$F122)+(ACT_DOOR_SCOPE=$B122)))*SIGN(((ACT_SKU_SCOPE="ALL")+(ACT_SKU_SCOPE=$G122)))*(13&gt;ACT_END)*(ACT_END&gt;0)*IFERROR(ACT_POSTLIFT,0))),0)))</f>
        <v/>
      </c>
    </row>
    <row r="123">
      <c r="A123" t="inlineStr">
        <is>
          <t>R0119</t>
        </is>
      </c>
      <c r="B123">
        <f>Doors!$A$44</f>
        <v/>
      </c>
      <c r="C123">
        <f>Doors!$C$44</f>
        <v/>
      </c>
      <c r="D123">
        <f>Doors!$B$44</f>
        <v/>
      </c>
      <c r="E123">
        <f>Doors!$E$44</f>
        <v/>
      </c>
      <c r="F123">
        <f>Doors!$F$44</f>
        <v/>
      </c>
      <c r="G123" t="inlineStr">
        <is>
          <t>Pineapple Passion Fruit</t>
        </is>
      </c>
      <c r="H123">
        <f>Doors!$H$44</f>
        <v/>
      </c>
      <c r="I123">
        <f>Doors!$J$44</f>
        <v/>
      </c>
      <c r="J123" s="10">
        <f>IF(OR($H123&lt;&gt;"Y",1&lt;$I123),0,IF(SUMPRODUCT(((BULK_ENABLED="Y")*((BULK_TIER="ALL")+(BULK_TIER=$F123))*((BULK_SKU="ALL")+(BULK_SKU=$G123))*(BULK_START&lt;=1)*(BULK_END&gt;=1)))&gt;0,IFERROR(SUMPRODUCT(((BULK_ENABLED="Y")*((BULK_TIER="ALL")+(BULK_TIER=$F123))*((BULK_SKU="ALL")+(BULK_SKU=$G123))*(BULK_START&lt;=1)*(BULK_END&gt;=1))*IFERROR(BULK_VALUE,0))/MAX(1,SUMPRODUCT(((BULK_ENABLED="Y")*((BULK_TIER="ALL")+(BULK_TIER=$F123))*((BULK_SKU="ALL")+(BULK_SKU=$G123))*(BULK_START&lt;=1)*(BULK_END&gt;=1)))),0),ROUND((INDEX(VELOCITY_TABLE,MATCH($F123,TIER_LIST,0),2))*(IF((1-$I123+1)&lt;=0,0,IF((1-$I123+1)=1,RAMP_W1,IF((1-$I123+1)=2,RAMP_W2,IF((1-$I123+1)=3,RAMP_W3,RAMP_W4PLUS)))))*(INDEX(ACTIVE_MULT_TABLE,2,1))*(1+SUMPRODUCT(SIGN(((ACT_DOOR_SCOPE="ALL")+(ACT_DOOR_SCOPE="TIER_"&amp;$F123)+(ACT_DOOR_SCOPE=$B123)))*SIGN(((ACT_SKU_SCOPE="ALL")+(ACT_SKU_SCOPE=$G123)))*(ACT_START&lt;=1)*(ACT_END&gt;=1)*IFERROR(ACT_UPLIFT-1,0)))*(1+SUMPRODUCT(SIGN(((ACT_DOOR_SCOPE="ALL")+(ACT_DOOR_SCOPE="TIER_"&amp;$F123)+(ACT_DOOR_SCOPE=$B123)))*SIGN(((ACT_SKU_SCOPE="ALL")+(ACT_SKU_SCOPE=$G123)))*(1&gt;ACT_END)*(ACT_END&gt;0)*IFERROR(ACT_POSTLIFT,0))),0)))</f>
        <v/>
      </c>
      <c r="K123" s="10">
        <f>IF(OR($H123&lt;&gt;"Y",2&lt;$I123),0,IF(SUMPRODUCT(((BULK_ENABLED="Y")*((BULK_TIER="ALL")+(BULK_TIER=$F123))*((BULK_SKU="ALL")+(BULK_SKU=$G123))*(BULK_START&lt;=2)*(BULK_END&gt;=2)))&gt;0,IFERROR(SUMPRODUCT(((BULK_ENABLED="Y")*((BULK_TIER="ALL")+(BULK_TIER=$F123))*((BULK_SKU="ALL")+(BULK_SKU=$G123))*(BULK_START&lt;=2)*(BULK_END&gt;=2))*IFERROR(BULK_VALUE,0))/MAX(1,SUMPRODUCT(((BULK_ENABLED="Y")*((BULK_TIER="ALL")+(BULK_TIER=$F123))*((BULK_SKU="ALL")+(BULK_SKU=$G123))*(BULK_START&lt;=2)*(BULK_END&gt;=2)))),0),ROUND((INDEX(VELOCITY_TABLE,MATCH($F123,TIER_LIST,0),2))*(IF((2-$I123+1)&lt;=0,0,IF((2-$I123+1)=1,RAMP_W1,IF((2-$I123+1)=2,RAMP_W2,IF((2-$I123+1)=3,RAMP_W3,RAMP_W4PLUS)))))*(INDEX(ACTIVE_MULT_TABLE,2,1))*(1+SUMPRODUCT(SIGN(((ACT_DOOR_SCOPE="ALL")+(ACT_DOOR_SCOPE="TIER_"&amp;$F123)+(ACT_DOOR_SCOPE=$B123)))*SIGN(((ACT_SKU_SCOPE="ALL")+(ACT_SKU_SCOPE=$G123)))*(ACT_START&lt;=2)*(ACT_END&gt;=2)*IFERROR(ACT_UPLIFT-1,0)))*(1+SUMPRODUCT(SIGN(((ACT_DOOR_SCOPE="ALL")+(ACT_DOOR_SCOPE="TIER_"&amp;$F123)+(ACT_DOOR_SCOPE=$B123)))*SIGN(((ACT_SKU_SCOPE="ALL")+(ACT_SKU_SCOPE=$G123)))*(2&gt;ACT_END)*(ACT_END&gt;0)*IFERROR(ACT_POSTLIFT,0))),0)))</f>
        <v/>
      </c>
      <c r="L123" s="10">
        <f>IF(OR($H123&lt;&gt;"Y",3&lt;$I123),0,IF(SUMPRODUCT(((BULK_ENABLED="Y")*((BULK_TIER="ALL")+(BULK_TIER=$F123))*((BULK_SKU="ALL")+(BULK_SKU=$G123))*(BULK_START&lt;=3)*(BULK_END&gt;=3)))&gt;0,IFERROR(SUMPRODUCT(((BULK_ENABLED="Y")*((BULK_TIER="ALL")+(BULK_TIER=$F123))*((BULK_SKU="ALL")+(BULK_SKU=$G123))*(BULK_START&lt;=3)*(BULK_END&gt;=3))*IFERROR(BULK_VALUE,0))/MAX(1,SUMPRODUCT(((BULK_ENABLED="Y")*((BULK_TIER="ALL")+(BULK_TIER=$F123))*((BULK_SKU="ALL")+(BULK_SKU=$G123))*(BULK_START&lt;=3)*(BULK_END&gt;=3)))),0),ROUND((INDEX(VELOCITY_TABLE,MATCH($F123,TIER_LIST,0),2))*(IF((3-$I123+1)&lt;=0,0,IF((3-$I123+1)=1,RAMP_W1,IF((3-$I123+1)=2,RAMP_W2,IF((3-$I123+1)=3,RAMP_W3,RAMP_W4PLUS)))))*(INDEX(ACTIVE_MULT_TABLE,2,1))*(1+SUMPRODUCT(SIGN(((ACT_DOOR_SCOPE="ALL")+(ACT_DOOR_SCOPE="TIER_"&amp;$F123)+(ACT_DOOR_SCOPE=$B123)))*SIGN(((ACT_SKU_SCOPE="ALL")+(ACT_SKU_SCOPE=$G123)))*(ACT_START&lt;=3)*(ACT_END&gt;=3)*IFERROR(ACT_UPLIFT-1,0)))*(1+SUMPRODUCT(SIGN(((ACT_DOOR_SCOPE="ALL")+(ACT_DOOR_SCOPE="TIER_"&amp;$F123)+(ACT_DOOR_SCOPE=$B123)))*SIGN(((ACT_SKU_SCOPE="ALL")+(ACT_SKU_SCOPE=$G123)))*(3&gt;ACT_END)*(ACT_END&gt;0)*IFERROR(ACT_POSTLIFT,0))),0)))</f>
        <v/>
      </c>
      <c r="M123" s="10">
        <f>IF(OR($H123&lt;&gt;"Y",4&lt;$I123),0,IF(SUMPRODUCT(((BULK_ENABLED="Y")*((BULK_TIER="ALL")+(BULK_TIER=$F123))*((BULK_SKU="ALL")+(BULK_SKU=$G123))*(BULK_START&lt;=4)*(BULK_END&gt;=4)))&gt;0,IFERROR(SUMPRODUCT(((BULK_ENABLED="Y")*((BULK_TIER="ALL")+(BULK_TIER=$F123))*((BULK_SKU="ALL")+(BULK_SKU=$G123))*(BULK_START&lt;=4)*(BULK_END&gt;=4))*IFERROR(BULK_VALUE,0))/MAX(1,SUMPRODUCT(((BULK_ENABLED="Y")*((BULK_TIER="ALL")+(BULK_TIER=$F123))*((BULK_SKU="ALL")+(BULK_SKU=$G123))*(BULK_START&lt;=4)*(BULK_END&gt;=4)))),0),ROUND((INDEX(VELOCITY_TABLE,MATCH($F123,TIER_LIST,0),2))*(IF((4-$I123+1)&lt;=0,0,IF((4-$I123+1)=1,RAMP_W1,IF((4-$I123+1)=2,RAMP_W2,IF((4-$I123+1)=3,RAMP_W3,RAMP_W4PLUS)))))*(INDEX(ACTIVE_MULT_TABLE,2,1))*(1+SUMPRODUCT(SIGN(((ACT_DOOR_SCOPE="ALL")+(ACT_DOOR_SCOPE="TIER_"&amp;$F123)+(ACT_DOOR_SCOPE=$B123)))*SIGN(((ACT_SKU_SCOPE="ALL")+(ACT_SKU_SCOPE=$G123)))*(ACT_START&lt;=4)*(ACT_END&gt;=4)*IFERROR(ACT_UPLIFT-1,0)))*(1+SUMPRODUCT(SIGN(((ACT_DOOR_SCOPE="ALL")+(ACT_DOOR_SCOPE="TIER_"&amp;$F123)+(ACT_DOOR_SCOPE=$B123)))*SIGN(((ACT_SKU_SCOPE="ALL")+(ACT_SKU_SCOPE=$G123)))*(4&gt;ACT_END)*(ACT_END&gt;0)*IFERROR(ACT_POSTLIFT,0))),0)))</f>
        <v/>
      </c>
      <c r="N123" s="10">
        <f>IF(OR($H123&lt;&gt;"Y",5&lt;$I123),0,IF(SUMPRODUCT(((BULK_ENABLED="Y")*((BULK_TIER="ALL")+(BULK_TIER=$F123))*((BULK_SKU="ALL")+(BULK_SKU=$G123))*(BULK_START&lt;=5)*(BULK_END&gt;=5)))&gt;0,IFERROR(SUMPRODUCT(((BULK_ENABLED="Y")*((BULK_TIER="ALL")+(BULK_TIER=$F123))*((BULK_SKU="ALL")+(BULK_SKU=$G123))*(BULK_START&lt;=5)*(BULK_END&gt;=5))*IFERROR(BULK_VALUE,0))/MAX(1,SUMPRODUCT(((BULK_ENABLED="Y")*((BULK_TIER="ALL")+(BULK_TIER=$F123))*((BULK_SKU="ALL")+(BULK_SKU=$G123))*(BULK_START&lt;=5)*(BULK_END&gt;=5)))),0),ROUND((INDEX(VELOCITY_TABLE,MATCH($F123,TIER_LIST,0),2))*(IF((5-$I123+1)&lt;=0,0,IF((5-$I123+1)=1,RAMP_W1,IF((5-$I123+1)=2,RAMP_W2,IF((5-$I123+1)=3,RAMP_W3,RAMP_W4PLUS)))))*(INDEX(ACTIVE_MULT_TABLE,2,1))*(1+SUMPRODUCT(SIGN(((ACT_DOOR_SCOPE="ALL")+(ACT_DOOR_SCOPE="TIER_"&amp;$F123)+(ACT_DOOR_SCOPE=$B123)))*SIGN(((ACT_SKU_SCOPE="ALL")+(ACT_SKU_SCOPE=$G123)))*(ACT_START&lt;=5)*(ACT_END&gt;=5)*IFERROR(ACT_UPLIFT-1,0)))*(1+SUMPRODUCT(SIGN(((ACT_DOOR_SCOPE="ALL")+(ACT_DOOR_SCOPE="TIER_"&amp;$F123)+(ACT_DOOR_SCOPE=$B123)))*SIGN(((ACT_SKU_SCOPE="ALL")+(ACT_SKU_SCOPE=$G123)))*(5&gt;ACT_END)*(ACT_END&gt;0)*IFERROR(ACT_POSTLIFT,0))),0)))</f>
        <v/>
      </c>
      <c r="O123" s="10">
        <f>IF(OR($H123&lt;&gt;"Y",6&lt;$I123),0,IF(SUMPRODUCT(((BULK_ENABLED="Y")*((BULK_TIER="ALL")+(BULK_TIER=$F123))*((BULK_SKU="ALL")+(BULK_SKU=$G123))*(BULK_START&lt;=6)*(BULK_END&gt;=6)))&gt;0,IFERROR(SUMPRODUCT(((BULK_ENABLED="Y")*((BULK_TIER="ALL")+(BULK_TIER=$F123))*((BULK_SKU="ALL")+(BULK_SKU=$G123))*(BULK_START&lt;=6)*(BULK_END&gt;=6))*IFERROR(BULK_VALUE,0))/MAX(1,SUMPRODUCT(((BULK_ENABLED="Y")*((BULK_TIER="ALL")+(BULK_TIER=$F123))*((BULK_SKU="ALL")+(BULK_SKU=$G123))*(BULK_START&lt;=6)*(BULK_END&gt;=6)))),0),ROUND((INDEX(VELOCITY_TABLE,MATCH($F123,TIER_LIST,0),2))*(IF((6-$I123+1)&lt;=0,0,IF((6-$I123+1)=1,RAMP_W1,IF((6-$I123+1)=2,RAMP_W2,IF((6-$I123+1)=3,RAMP_W3,RAMP_W4PLUS)))))*(INDEX(ACTIVE_MULT_TABLE,2,1))*(1+SUMPRODUCT(SIGN(((ACT_DOOR_SCOPE="ALL")+(ACT_DOOR_SCOPE="TIER_"&amp;$F123)+(ACT_DOOR_SCOPE=$B123)))*SIGN(((ACT_SKU_SCOPE="ALL")+(ACT_SKU_SCOPE=$G123)))*(ACT_START&lt;=6)*(ACT_END&gt;=6)*IFERROR(ACT_UPLIFT-1,0)))*(1+SUMPRODUCT(SIGN(((ACT_DOOR_SCOPE="ALL")+(ACT_DOOR_SCOPE="TIER_"&amp;$F123)+(ACT_DOOR_SCOPE=$B123)))*SIGN(((ACT_SKU_SCOPE="ALL")+(ACT_SKU_SCOPE=$G123)))*(6&gt;ACT_END)*(ACT_END&gt;0)*IFERROR(ACT_POSTLIFT,0))),0)))</f>
        <v/>
      </c>
      <c r="P123" s="10">
        <f>IF(OR($H123&lt;&gt;"Y",7&lt;$I123),0,IF(SUMPRODUCT(((BULK_ENABLED="Y")*((BULK_TIER="ALL")+(BULK_TIER=$F123))*((BULK_SKU="ALL")+(BULK_SKU=$G123))*(BULK_START&lt;=7)*(BULK_END&gt;=7)))&gt;0,IFERROR(SUMPRODUCT(((BULK_ENABLED="Y")*((BULK_TIER="ALL")+(BULK_TIER=$F123))*((BULK_SKU="ALL")+(BULK_SKU=$G123))*(BULK_START&lt;=7)*(BULK_END&gt;=7))*IFERROR(BULK_VALUE,0))/MAX(1,SUMPRODUCT(((BULK_ENABLED="Y")*((BULK_TIER="ALL")+(BULK_TIER=$F123))*((BULK_SKU="ALL")+(BULK_SKU=$G123))*(BULK_START&lt;=7)*(BULK_END&gt;=7)))),0),ROUND((INDEX(VELOCITY_TABLE,MATCH($F123,TIER_LIST,0),2))*(IF((7-$I123+1)&lt;=0,0,IF((7-$I123+1)=1,RAMP_W1,IF((7-$I123+1)=2,RAMP_W2,IF((7-$I123+1)=3,RAMP_W3,RAMP_W4PLUS)))))*(INDEX(ACTIVE_MULT_TABLE,2,1))*(1+SUMPRODUCT(SIGN(((ACT_DOOR_SCOPE="ALL")+(ACT_DOOR_SCOPE="TIER_"&amp;$F123)+(ACT_DOOR_SCOPE=$B123)))*SIGN(((ACT_SKU_SCOPE="ALL")+(ACT_SKU_SCOPE=$G123)))*(ACT_START&lt;=7)*(ACT_END&gt;=7)*IFERROR(ACT_UPLIFT-1,0)))*(1+SUMPRODUCT(SIGN(((ACT_DOOR_SCOPE="ALL")+(ACT_DOOR_SCOPE="TIER_"&amp;$F123)+(ACT_DOOR_SCOPE=$B123)))*SIGN(((ACT_SKU_SCOPE="ALL")+(ACT_SKU_SCOPE=$G123)))*(7&gt;ACT_END)*(ACT_END&gt;0)*IFERROR(ACT_POSTLIFT,0))),0)))</f>
        <v/>
      </c>
      <c r="Q123" s="10">
        <f>IF(OR($H123&lt;&gt;"Y",8&lt;$I123),0,IF(SUMPRODUCT(((BULK_ENABLED="Y")*((BULK_TIER="ALL")+(BULK_TIER=$F123))*((BULK_SKU="ALL")+(BULK_SKU=$G123))*(BULK_START&lt;=8)*(BULK_END&gt;=8)))&gt;0,IFERROR(SUMPRODUCT(((BULK_ENABLED="Y")*((BULK_TIER="ALL")+(BULK_TIER=$F123))*((BULK_SKU="ALL")+(BULK_SKU=$G123))*(BULK_START&lt;=8)*(BULK_END&gt;=8))*IFERROR(BULK_VALUE,0))/MAX(1,SUMPRODUCT(((BULK_ENABLED="Y")*((BULK_TIER="ALL")+(BULK_TIER=$F123))*((BULK_SKU="ALL")+(BULK_SKU=$G123))*(BULK_START&lt;=8)*(BULK_END&gt;=8)))),0),ROUND((INDEX(VELOCITY_TABLE,MATCH($F123,TIER_LIST,0),2))*(IF((8-$I123+1)&lt;=0,0,IF((8-$I123+1)=1,RAMP_W1,IF((8-$I123+1)=2,RAMP_W2,IF((8-$I123+1)=3,RAMP_W3,RAMP_W4PLUS)))))*(INDEX(ACTIVE_MULT_TABLE,2,1))*(1+SUMPRODUCT(SIGN(((ACT_DOOR_SCOPE="ALL")+(ACT_DOOR_SCOPE="TIER_"&amp;$F123)+(ACT_DOOR_SCOPE=$B123)))*SIGN(((ACT_SKU_SCOPE="ALL")+(ACT_SKU_SCOPE=$G123)))*(ACT_START&lt;=8)*(ACT_END&gt;=8)*IFERROR(ACT_UPLIFT-1,0)))*(1+SUMPRODUCT(SIGN(((ACT_DOOR_SCOPE="ALL")+(ACT_DOOR_SCOPE="TIER_"&amp;$F123)+(ACT_DOOR_SCOPE=$B123)))*SIGN(((ACT_SKU_SCOPE="ALL")+(ACT_SKU_SCOPE=$G123)))*(8&gt;ACT_END)*(ACT_END&gt;0)*IFERROR(ACT_POSTLIFT,0))),0)))</f>
        <v/>
      </c>
      <c r="R123" s="10">
        <f>IF(OR($H123&lt;&gt;"Y",9&lt;$I123),0,IF(SUMPRODUCT(((BULK_ENABLED="Y")*((BULK_TIER="ALL")+(BULK_TIER=$F123))*((BULK_SKU="ALL")+(BULK_SKU=$G123))*(BULK_START&lt;=9)*(BULK_END&gt;=9)))&gt;0,IFERROR(SUMPRODUCT(((BULK_ENABLED="Y")*((BULK_TIER="ALL")+(BULK_TIER=$F123))*((BULK_SKU="ALL")+(BULK_SKU=$G123))*(BULK_START&lt;=9)*(BULK_END&gt;=9))*IFERROR(BULK_VALUE,0))/MAX(1,SUMPRODUCT(((BULK_ENABLED="Y")*((BULK_TIER="ALL")+(BULK_TIER=$F123))*((BULK_SKU="ALL")+(BULK_SKU=$G123))*(BULK_START&lt;=9)*(BULK_END&gt;=9)))),0),ROUND((INDEX(VELOCITY_TABLE,MATCH($F123,TIER_LIST,0),2))*(IF((9-$I123+1)&lt;=0,0,IF((9-$I123+1)=1,RAMP_W1,IF((9-$I123+1)=2,RAMP_W2,IF((9-$I123+1)=3,RAMP_W3,RAMP_W4PLUS)))))*(INDEX(ACTIVE_MULT_TABLE,2,1))*(1+SUMPRODUCT(SIGN(((ACT_DOOR_SCOPE="ALL")+(ACT_DOOR_SCOPE="TIER_"&amp;$F123)+(ACT_DOOR_SCOPE=$B123)))*SIGN(((ACT_SKU_SCOPE="ALL")+(ACT_SKU_SCOPE=$G123)))*(ACT_START&lt;=9)*(ACT_END&gt;=9)*IFERROR(ACT_UPLIFT-1,0)))*(1+SUMPRODUCT(SIGN(((ACT_DOOR_SCOPE="ALL")+(ACT_DOOR_SCOPE="TIER_"&amp;$F123)+(ACT_DOOR_SCOPE=$B123)))*SIGN(((ACT_SKU_SCOPE="ALL")+(ACT_SKU_SCOPE=$G123)))*(9&gt;ACT_END)*(ACT_END&gt;0)*IFERROR(ACT_POSTLIFT,0))),0)))</f>
        <v/>
      </c>
      <c r="S123" s="10">
        <f>IF(OR($H123&lt;&gt;"Y",10&lt;$I123),0,IF(SUMPRODUCT(((BULK_ENABLED="Y")*((BULK_TIER="ALL")+(BULK_TIER=$F123))*((BULK_SKU="ALL")+(BULK_SKU=$G123))*(BULK_START&lt;=10)*(BULK_END&gt;=10)))&gt;0,IFERROR(SUMPRODUCT(((BULK_ENABLED="Y")*((BULK_TIER="ALL")+(BULK_TIER=$F123))*((BULK_SKU="ALL")+(BULK_SKU=$G123))*(BULK_START&lt;=10)*(BULK_END&gt;=10))*IFERROR(BULK_VALUE,0))/MAX(1,SUMPRODUCT(((BULK_ENABLED="Y")*((BULK_TIER="ALL")+(BULK_TIER=$F123))*((BULK_SKU="ALL")+(BULK_SKU=$G123))*(BULK_START&lt;=10)*(BULK_END&gt;=10)))),0),ROUND((INDEX(VELOCITY_TABLE,MATCH($F123,TIER_LIST,0),2))*(IF((10-$I123+1)&lt;=0,0,IF((10-$I123+1)=1,RAMP_W1,IF((10-$I123+1)=2,RAMP_W2,IF((10-$I123+1)=3,RAMP_W3,RAMP_W4PLUS)))))*(INDEX(ACTIVE_MULT_TABLE,2,1))*(1+SUMPRODUCT(SIGN(((ACT_DOOR_SCOPE="ALL")+(ACT_DOOR_SCOPE="TIER_"&amp;$F123)+(ACT_DOOR_SCOPE=$B123)))*SIGN(((ACT_SKU_SCOPE="ALL")+(ACT_SKU_SCOPE=$G123)))*(ACT_START&lt;=10)*(ACT_END&gt;=10)*IFERROR(ACT_UPLIFT-1,0)))*(1+SUMPRODUCT(SIGN(((ACT_DOOR_SCOPE="ALL")+(ACT_DOOR_SCOPE="TIER_"&amp;$F123)+(ACT_DOOR_SCOPE=$B123)))*SIGN(((ACT_SKU_SCOPE="ALL")+(ACT_SKU_SCOPE=$G123)))*(10&gt;ACT_END)*(ACT_END&gt;0)*IFERROR(ACT_POSTLIFT,0))),0)))</f>
        <v/>
      </c>
      <c r="T123" s="10">
        <f>IF(OR($H123&lt;&gt;"Y",11&lt;$I123),0,IF(SUMPRODUCT(((BULK_ENABLED="Y")*((BULK_TIER="ALL")+(BULK_TIER=$F123))*((BULK_SKU="ALL")+(BULK_SKU=$G123))*(BULK_START&lt;=11)*(BULK_END&gt;=11)))&gt;0,IFERROR(SUMPRODUCT(((BULK_ENABLED="Y")*((BULK_TIER="ALL")+(BULK_TIER=$F123))*((BULK_SKU="ALL")+(BULK_SKU=$G123))*(BULK_START&lt;=11)*(BULK_END&gt;=11))*IFERROR(BULK_VALUE,0))/MAX(1,SUMPRODUCT(((BULK_ENABLED="Y")*((BULK_TIER="ALL")+(BULK_TIER=$F123))*((BULK_SKU="ALL")+(BULK_SKU=$G123))*(BULK_START&lt;=11)*(BULK_END&gt;=11)))),0),ROUND((INDEX(VELOCITY_TABLE,MATCH($F123,TIER_LIST,0),2))*(IF((11-$I123+1)&lt;=0,0,IF((11-$I123+1)=1,RAMP_W1,IF((11-$I123+1)=2,RAMP_W2,IF((11-$I123+1)=3,RAMP_W3,RAMP_W4PLUS)))))*(INDEX(ACTIVE_MULT_TABLE,2,1))*(1+SUMPRODUCT(SIGN(((ACT_DOOR_SCOPE="ALL")+(ACT_DOOR_SCOPE="TIER_"&amp;$F123)+(ACT_DOOR_SCOPE=$B123)))*SIGN(((ACT_SKU_SCOPE="ALL")+(ACT_SKU_SCOPE=$G123)))*(ACT_START&lt;=11)*(ACT_END&gt;=11)*IFERROR(ACT_UPLIFT-1,0)))*(1+SUMPRODUCT(SIGN(((ACT_DOOR_SCOPE="ALL")+(ACT_DOOR_SCOPE="TIER_"&amp;$F123)+(ACT_DOOR_SCOPE=$B123)))*SIGN(((ACT_SKU_SCOPE="ALL")+(ACT_SKU_SCOPE=$G123)))*(11&gt;ACT_END)*(ACT_END&gt;0)*IFERROR(ACT_POSTLIFT,0))),0)))</f>
        <v/>
      </c>
      <c r="U123" s="10">
        <f>IF(OR($H123&lt;&gt;"Y",12&lt;$I123),0,IF(SUMPRODUCT(((BULK_ENABLED="Y")*((BULK_TIER="ALL")+(BULK_TIER=$F123))*((BULK_SKU="ALL")+(BULK_SKU=$G123))*(BULK_START&lt;=12)*(BULK_END&gt;=12)))&gt;0,IFERROR(SUMPRODUCT(((BULK_ENABLED="Y")*((BULK_TIER="ALL")+(BULK_TIER=$F123))*((BULK_SKU="ALL")+(BULK_SKU=$G123))*(BULK_START&lt;=12)*(BULK_END&gt;=12))*IFERROR(BULK_VALUE,0))/MAX(1,SUMPRODUCT(((BULK_ENABLED="Y")*((BULK_TIER="ALL")+(BULK_TIER=$F123))*((BULK_SKU="ALL")+(BULK_SKU=$G123))*(BULK_START&lt;=12)*(BULK_END&gt;=12)))),0),ROUND((INDEX(VELOCITY_TABLE,MATCH($F123,TIER_LIST,0),2))*(IF((12-$I123+1)&lt;=0,0,IF((12-$I123+1)=1,RAMP_W1,IF((12-$I123+1)=2,RAMP_W2,IF((12-$I123+1)=3,RAMP_W3,RAMP_W4PLUS)))))*(INDEX(ACTIVE_MULT_TABLE,2,1))*(1+SUMPRODUCT(SIGN(((ACT_DOOR_SCOPE="ALL")+(ACT_DOOR_SCOPE="TIER_"&amp;$F123)+(ACT_DOOR_SCOPE=$B123)))*SIGN(((ACT_SKU_SCOPE="ALL")+(ACT_SKU_SCOPE=$G123)))*(ACT_START&lt;=12)*(ACT_END&gt;=12)*IFERROR(ACT_UPLIFT-1,0)))*(1+SUMPRODUCT(SIGN(((ACT_DOOR_SCOPE="ALL")+(ACT_DOOR_SCOPE="TIER_"&amp;$F123)+(ACT_DOOR_SCOPE=$B123)))*SIGN(((ACT_SKU_SCOPE="ALL")+(ACT_SKU_SCOPE=$G123)))*(12&gt;ACT_END)*(ACT_END&gt;0)*IFERROR(ACT_POSTLIFT,0))),0)))</f>
        <v/>
      </c>
      <c r="V123" s="10">
        <f>IF(OR($H123&lt;&gt;"Y",13&lt;$I123),0,IF(SUMPRODUCT(((BULK_ENABLED="Y")*((BULK_TIER="ALL")+(BULK_TIER=$F123))*((BULK_SKU="ALL")+(BULK_SKU=$G123))*(BULK_START&lt;=13)*(BULK_END&gt;=13)))&gt;0,IFERROR(SUMPRODUCT(((BULK_ENABLED="Y")*((BULK_TIER="ALL")+(BULK_TIER=$F123))*((BULK_SKU="ALL")+(BULK_SKU=$G123))*(BULK_START&lt;=13)*(BULK_END&gt;=13))*IFERROR(BULK_VALUE,0))/MAX(1,SUMPRODUCT(((BULK_ENABLED="Y")*((BULK_TIER="ALL")+(BULK_TIER=$F123))*((BULK_SKU="ALL")+(BULK_SKU=$G123))*(BULK_START&lt;=13)*(BULK_END&gt;=13)))),0),ROUND((INDEX(VELOCITY_TABLE,MATCH($F123,TIER_LIST,0),2))*(IF((13-$I123+1)&lt;=0,0,IF((13-$I123+1)=1,RAMP_W1,IF((13-$I123+1)=2,RAMP_W2,IF((13-$I123+1)=3,RAMP_W3,RAMP_W4PLUS)))))*(INDEX(ACTIVE_MULT_TABLE,2,1))*(1+SUMPRODUCT(SIGN(((ACT_DOOR_SCOPE="ALL")+(ACT_DOOR_SCOPE="TIER_"&amp;$F123)+(ACT_DOOR_SCOPE=$B123)))*SIGN(((ACT_SKU_SCOPE="ALL")+(ACT_SKU_SCOPE=$G123)))*(ACT_START&lt;=13)*(ACT_END&gt;=13)*IFERROR(ACT_UPLIFT-1,0)))*(1+SUMPRODUCT(SIGN(((ACT_DOOR_SCOPE="ALL")+(ACT_DOOR_SCOPE="TIER_"&amp;$F123)+(ACT_DOOR_SCOPE=$B123)))*SIGN(((ACT_SKU_SCOPE="ALL")+(ACT_SKU_SCOPE=$G123)))*(13&gt;ACT_END)*(ACT_END&gt;0)*IFERROR(ACT_POSTLIFT,0))),0)))</f>
        <v/>
      </c>
    </row>
    <row r="124">
      <c r="A124" t="inlineStr">
        <is>
          <t>R0120</t>
        </is>
      </c>
      <c r="B124">
        <f>Doors!$A$44</f>
        <v/>
      </c>
      <c r="C124">
        <f>Doors!$C$44</f>
        <v/>
      </c>
      <c r="D124">
        <f>Doors!$B$44</f>
        <v/>
      </c>
      <c r="E124">
        <f>Doors!$E$44</f>
        <v/>
      </c>
      <c r="F124">
        <f>Doors!$F$44</f>
        <v/>
      </c>
      <c r="G124" t="inlineStr">
        <is>
          <t>Raspberry</t>
        </is>
      </c>
      <c r="H124">
        <f>Doors!$I$44</f>
        <v/>
      </c>
      <c r="I124">
        <f>Doors!$J$44</f>
        <v/>
      </c>
      <c r="J124" s="10">
        <f>IF(OR($H124&lt;&gt;"Y",1&lt;$I124),0,IF(SUMPRODUCT(((BULK_ENABLED="Y")*((BULK_TIER="ALL")+(BULK_TIER=$F124))*((BULK_SKU="ALL")+(BULK_SKU=$G124))*(BULK_START&lt;=1)*(BULK_END&gt;=1)))&gt;0,IFERROR(SUMPRODUCT(((BULK_ENABLED="Y")*((BULK_TIER="ALL")+(BULK_TIER=$F124))*((BULK_SKU="ALL")+(BULK_SKU=$G124))*(BULK_START&lt;=1)*(BULK_END&gt;=1))*IFERROR(BULK_VALUE,0))/MAX(1,SUMPRODUCT(((BULK_ENABLED="Y")*((BULK_TIER="ALL")+(BULK_TIER=$F124))*((BULK_SKU="ALL")+(BULK_SKU=$G124))*(BULK_START&lt;=1)*(BULK_END&gt;=1)))),0),ROUND((INDEX(VELOCITY_TABLE,MATCH($F124,TIER_LIST,0),3))*(IF((1-$I124+1)&lt;=0,0,IF((1-$I124+1)=1,RAMP_W1,IF((1-$I124+1)=2,RAMP_W2,IF((1-$I124+1)=3,RAMP_W3,RAMP_W4PLUS)))))*(INDEX(ACTIVE_MULT_TABLE,3,1))*(1+SUMPRODUCT(SIGN(((ACT_DOOR_SCOPE="ALL")+(ACT_DOOR_SCOPE="TIER_"&amp;$F124)+(ACT_DOOR_SCOPE=$B124)))*SIGN(((ACT_SKU_SCOPE="ALL")+(ACT_SKU_SCOPE=$G124)))*(ACT_START&lt;=1)*(ACT_END&gt;=1)*IFERROR(ACT_UPLIFT-1,0)))*(1+SUMPRODUCT(SIGN(((ACT_DOOR_SCOPE="ALL")+(ACT_DOOR_SCOPE="TIER_"&amp;$F124)+(ACT_DOOR_SCOPE=$B124)))*SIGN(((ACT_SKU_SCOPE="ALL")+(ACT_SKU_SCOPE=$G124)))*(1&gt;ACT_END)*(ACT_END&gt;0)*IFERROR(ACT_POSTLIFT,0))),0)))</f>
        <v/>
      </c>
      <c r="K124" s="10">
        <f>IF(OR($H124&lt;&gt;"Y",2&lt;$I124),0,IF(SUMPRODUCT(((BULK_ENABLED="Y")*((BULK_TIER="ALL")+(BULK_TIER=$F124))*((BULK_SKU="ALL")+(BULK_SKU=$G124))*(BULK_START&lt;=2)*(BULK_END&gt;=2)))&gt;0,IFERROR(SUMPRODUCT(((BULK_ENABLED="Y")*((BULK_TIER="ALL")+(BULK_TIER=$F124))*((BULK_SKU="ALL")+(BULK_SKU=$G124))*(BULK_START&lt;=2)*(BULK_END&gt;=2))*IFERROR(BULK_VALUE,0))/MAX(1,SUMPRODUCT(((BULK_ENABLED="Y")*((BULK_TIER="ALL")+(BULK_TIER=$F124))*((BULK_SKU="ALL")+(BULK_SKU=$G124))*(BULK_START&lt;=2)*(BULK_END&gt;=2)))),0),ROUND((INDEX(VELOCITY_TABLE,MATCH($F124,TIER_LIST,0),3))*(IF((2-$I124+1)&lt;=0,0,IF((2-$I124+1)=1,RAMP_W1,IF((2-$I124+1)=2,RAMP_W2,IF((2-$I124+1)=3,RAMP_W3,RAMP_W4PLUS)))))*(INDEX(ACTIVE_MULT_TABLE,3,1))*(1+SUMPRODUCT(SIGN(((ACT_DOOR_SCOPE="ALL")+(ACT_DOOR_SCOPE="TIER_"&amp;$F124)+(ACT_DOOR_SCOPE=$B124)))*SIGN(((ACT_SKU_SCOPE="ALL")+(ACT_SKU_SCOPE=$G124)))*(ACT_START&lt;=2)*(ACT_END&gt;=2)*IFERROR(ACT_UPLIFT-1,0)))*(1+SUMPRODUCT(SIGN(((ACT_DOOR_SCOPE="ALL")+(ACT_DOOR_SCOPE="TIER_"&amp;$F124)+(ACT_DOOR_SCOPE=$B124)))*SIGN(((ACT_SKU_SCOPE="ALL")+(ACT_SKU_SCOPE=$G124)))*(2&gt;ACT_END)*(ACT_END&gt;0)*IFERROR(ACT_POSTLIFT,0))),0)))</f>
        <v/>
      </c>
      <c r="L124" s="10">
        <f>IF(OR($H124&lt;&gt;"Y",3&lt;$I124),0,IF(SUMPRODUCT(((BULK_ENABLED="Y")*((BULK_TIER="ALL")+(BULK_TIER=$F124))*((BULK_SKU="ALL")+(BULK_SKU=$G124))*(BULK_START&lt;=3)*(BULK_END&gt;=3)))&gt;0,IFERROR(SUMPRODUCT(((BULK_ENABLED="Y")*((BULK_TIER="ALL")+(BULK_TIER=$F124))*((BULK_SKU="ALL")+(BULK_SKU=$G124))*(BULK_START&lt;=3)*(BULK_END&gt;=3))*IFERROR(BULK_VALUE,0))/MAX(1,SUMPRODUCT(((BULK_ENABLED="Y")*((BULK_TIER="ALL")+(BULK_TIER=$F124))*((BULK_SKU="ALL")+(BULK_SKU=$G124))*(BULK_START&lt;=3)*(BULK_END&gt;=3)))),0),ROUND((INDEX(VELOCITY_TABLE,MATCH($F124,TIER_LIST,0),3))*(IF((3-$I124+1)&lt;=0,0,IF((3-$I124+1)=1,RAMP_W1,IF((3-$I124+1)=2,RAMP_W2,IF((3-$I124+1)=3,RAMP_W3,RAMP_W4PLUS)))))*(INDEX(ACTIVE_MULT_TABLE,3,1))*(1+SUMPRODUCT(SIGN(((ACT_DOOR_SCOPE="ALL")+(ACT_DOOR_SCOPE="TIER_"&amp;$F124)+(ACT_DOOR_SCOPE=$B124)))*SIGN(((ACT_SKU_SCOPE="ALL")+(ACT_SKU_SCOPE=$G124)))*(ACT_START&lt;=3)*(ACT_END&gt;=3)*IFERROR(ACT_UPLIFT-1,0)))*(1+SUMPRODUCT(SIGN(((ACT_DOOR_SCOPE="ALL")+(ACT_DOOR_SCOPE="TIER_"&amp;$F124)+(ACT_DOOR_SCOPE=$B124)))*SIGN(((ACT_SKU_SCOPE="ALL")+(ACT_SKU_SCOPE=$G124)))*(3&gt;ACT_END)*(ACT_END&gt;0)*IFERROR(ACT_POSTLIFT,0))),0)))</f>
        <v/>
      </c>
      <c r="M124" s="10">
        <f>IF(OR($H124&lt;&gt;"Y",4&lt;$I124),0,IF(SUMPRODUCT(((BULK_ENABLED="Y")*((BULK_TIER="ALL")+(BULK_TIER=$F124))*((BULK_SKU="ALL")+(BULK_SKU=$G124))*(BULK_START&lt;=4)*(BULK_END&gt;=4)))&gt;0,IFERROR(SUMPRODUCT(((BULK_ENABLED="Y")*((BULK_TIER="ALL")+(BULK_TIER=$F124))*((BULK_SKU="ALL")+(BULK_SKU=$G124))*(BULK_START&lt;=4)*(BULK_END&gt;=4))*IFERROR(BULK_VALUE,0))/MAX(1,SUMPRODUCT(((BULK_ENABLED="Y")*((BULK_TIER="ALL")+(BULK_TIER=$F124))*((BULK_SKU="ALL")+(BULK_SKU=$G124))*(BULK_START&lt;=4)*(BULK_END&gt;=4)))),0),ROUND((INDEX(VELOCITY_TABLE,MATCH($F124,TIER_LIST,0),3))*(IF((4-$I124+1)&lt;=0,0,IF((4-$I124+1)=1,RAMP_W1,IF((4-$I124+1)=2,RAMP_W2,IF((4-$I124+1)=3,RAMP_W3,RAMP_W4PLUS)))))*(INDEX(ACTIVE_MULT_TABLE,3,1))*(1+SUMPRODUCT(SIGN(((ACT_DOOR_SCOPE="ALL")+(ACT_DOOR_SCOPE="TIER_"&amp;$F124)+(ACT_DOOR_SCOPE=$B124)))*SIGN(((ACT_SKU_SCOPE="ALL")+(ACT_SKU_SCOPE=$G124)))*(ACT_START&lt;=4)*(ACT_END&gt;=4)*IFERROR(ACT_UPLIFT-1,0)))*(1+SUMPRODUCT(SIGN(((ACT_DOOR_SCOPE="ALL")+(ACT_DOOR_SCOPE="TIER_"&amp;$F124)+(ACT_DOOR_SCOPE=$B124)))*SIGN(((ACT_SKU_SCOPE="ALL")+(ACT_SKU_SCOPE=$G124)))*(4&gt;ACT_END)*(ACT_END&gt;0)*IFERROR(ACT_POSTLIFT,0))),0)))</f>
        <v/>
      </c>
      <c r="N124" s="10">
        <f>IF(OR($H124&lt;&gt;"Y",5&lt;$I124),0,IF(SUMPRODUCT(((BULK_ENABLED="Y")*((BULK_TIER="ALL")+(BULK_TIER=$F124))*((BULK_SKU="ALL")+(BULK_SKU=$G124))*(BULK_START&lt;=5)*(BULK_END&gt;=5)))&gt;0,IFERROR(SUMPRODUCT(((BULK_ENABLED="Y")*((BULK_TIER="ALL")+(BULK_TIER=$F124))*((BULK_SKU="ALL")+(BULK_SKU=$G124))*(BULK_START&lt;=5)*(BULK_END&gt;=5))*IFERROR(BULK_VALUE,0))/MAX(1,SUMPRODUCT(((BULK_ENABLED="Y")*((BULK_TIER="ALL")+(BULK_TIER=$F124))*((BULK_SKU="ALL")+(BULK_SKU=$G124))*(BULK_START&lt;=5)*(BULK_END&gt;=5)))),0),ROUND((INDEX(VELOCITY_TABLE,MATCH($F124,TIER_LIST,0),3))*(IF((5-$I124+1)&lt;=0,0,IF((5-$I124+1)=1,RAMP_W1,IF((5-$I124+1)=2,RAMP_W2,IF((5-$I124+1)=3,RAMP_W3,RAMP_W4PLUS)))))*(INDEX(ACTIVE_MULT_TABLE,3,1))*(1+SUMPRODUCT(SIGN(((ACT_DOOR_SCOPE="ALL")+(ACT_DOOR_SCOPE="TIER_"&amp;$F124)+(ACT_DOOR_SCOPE=$B124)))*SIGN(((ACT_SKU_SCOPE="ALL")+(ACT_SKU_SCOPE=$G124)))*(ACT_START&lt;=5)*(ACT_END&gt;=5)*IFERROR(ACT_UPLIFT-1,0)))*(1+SUMPRODUCT(SIGN(((ACT_DOOR_SCOPE="ALL")+(ACT_DOOR_SCOPE="TIER_"&amp;$F124)+(ACT_DOOR_SCOPE=$B124)))*SIGN(((ACT_SKU_SCOPE="ALL")+(ACT_SKU_SCOPE=$G124)))*(5&gt;ACT_END)*(ACT_END&gt;0)*IFERROR(ACT_POSTLIFT,0))),0)))</f>
        <v/>
      </c>
      <c r="O124" s="10">
        <f>IF(OR($H124&lt;&gt;"Y",6&lt;$I124),0,IF(SUMPRODUCT(((BULK_ENABLED="Y")*((BULK_TIER="ALL")+(BULK_TIER=$F124))*((BULK_SKU="ALL")+(BULK_SKU=$G124))*(BULK_START&lt;=6)*(BULK_END&gt;=6)))&gt;0,IFERROR(SUMPRODUCT(((BULK_ENABLED="Y")*((BULK_TIER="ALL")+(BULK_TIER=$F124))*((BULK_SKU="ALL")+(BULK_SKU=$G124))*(BULK_START&lt;=6)*(BULK_END&gt;=6))*IFERROR(BULK_VALUE,0))/MAX(1,SUMPRODUCT(((BULK_ENABLED="Y")*((BULK_TIER="ALL")+(BULK_TIER=$F124))*((BULK_SKU="ALL")+(BULK_SKU=$G124))*(BULK_START&lt;=6)*(BULK_END&gt;=6)))),0),ROUND((INDEX(VELOCITY_TABLE,MATCH($F124,TIER_LIST,0),3))*(IF((6-$I124+1)&lt;=0,0,IF((6-$I124+1)=1,RAMP_W1,IF((6-$I124+1)=2,RAMP_W2,IF((6-$I124+1)=3,RAMP_W3,RAMP_W4PLUS)))))*(INDEX(ACTIVE_MULT_TABLE,3,1))*(1+SUMPRODUCT(SIGN(((ACT_DOOR_SCOPE="ALL")+(ACT_DOOR_SCOPE="TIER_"&amp;$F124)+(ACT_DOOR_SCOPE=$B124)))*SIGN(((ACT_SKU_SCOPE="ALL")+(ACT_SKU_SCOPE=$G124)))*(ACT_START&lt;=6)*(ACT_END&gt;=6)*IFERROR(ACT_UPLIFT-1,0)))*(1+SUMPRODUCT(SIGN(((ACT_DOOR_SCOPE="ALL")+(ACT_DOOR_SCOPE="TIER_"&amp;$F124)+(ACT_DOOR_SCOPE=$B124)))*SIGN(((ACT_SKU_SCOPE="ALL")+(ACT_SKU_SCOPE=$G124)))*(6&gt;ACT_END)*(ACT_END&gt;0)*IFERROR(ACT_POSTLIFT,0))),0)))</f>
        <v/>
      </c>
      <c r="P124" s="10">
        <f>IF(OR($H124&lt;&gt;"Y",7&lt;$I124),0,IF(SUMPRODUCT(((BULK_ENABLED="Y")*((BULK_TIER="ALL")+(BULK_TIER=$F124))*((BULK_SKU="ALL")+(BULK_SKU=$G124))*(BULK_START&lt;=7)*(BULK_END&gt;=7)))&gt;0,IFERROR(SUMPRODUCT(((BULK_ENABLED="Y")*((BULK_TIER="ALL")+(BULK_TIER=$F124))*((BULK_SKU="ALL")+(BULK_SKU=$G124))*(BULK_START&lt;=7)*(BULK_END&gt;=7))*IFERROR(BULK_VALUE,0))/MAX(1,SUMPRODUCT(((BULK_ENABLED="Y")*((BULK_TIER="ALL")+(BULK_TIER=$F124))*((BULK_SKU="ALL")+(BULK_SKU=$G124))*(BULK_START&lt;=7)*(BULK_END&gt;=7)))),0),ROUND((INDEX(VELOCITY_TABLE,MATCH($F124,TIER_LIST,0),3))*(IF((7-$I124+1)&lt;=0,0,IF((7-$I124+1)=1,RAMP_W1,IF((7-$I124+1)=2,RAMP_W2,IF((7-$I124+1)=3,RAMP_W3,RAMP_W4PLUS)))))*(INDEX(ACTIVE_MULT_TABLE,3,1))*(1+SUMPRODUCT(SIGN(((ACT_DOOR_SCOPE="ALL")+(ACT_DOOR_SCOPE="TIER_"&amp;$F124)+(ACT_DOOR_SCOPE=$B124)))*SIGN(((ACT_SKU_SCOPE="ALL")+(ACT_SKU_SCOPE=$G124)))*(ACT_START&lt;=7)*(ACT_END&gt;=7)*IFERROR(ACT_UPLIFT-1,0)))*(1+SUMPRODUCT(SIGN(((ACT_DOOR_SCOPE="ALL")+(ACT_DOOR_SCOPE="TIER_"&amp;$F124)+(ACT_DOOR_SCOPE=$B124)))*SIGN(((ACT_SKU_SCOPE="ALL")+(ACT_SKU_SCOPE=$G124)))*(7&gt;ACT_END)*(ACT_END&gt;0)*IFERROR(ACT_POSTLIFT,0))),0)))</f>
        <v/>
      </c>
      <c r="Q124" s="10">
        <f>IF(OR($H124&lt;&gt;"Y",8&lt;$I124),0,IF(SUMPRODUCT(((BULK_ENABLED="Y")*((BULK_TIER="ALL")+(BULK_TIER=$F124))*((BULK_SKU="ALL")+(BULK_SKU=$G124))*(BULK_START&lt;=8)*(BULK_END&gt;=8)))&gt;0,IFERROR(SUMPRODUCT(((BULK_ENABLED="Y")*((BULK_TIER="ALL")+(BULK_TIER=$F124))*((BULK_SKU="ALL")+(BULK_SKU=$G124))*(BULK_START&lt;=8)*(BULK_END&gt;=8))*IFERROR(BULK_VALUE,0))/MAX(1,SUMPRODUCT(((BULK_ENABLED="Y")*((BULK_TIER="ALL")+(BULK_TIER=$F124))*((BULK_SKU="ALL")+(BULK_SKU=$G124))*(BULK_START&lt;=8)*(BULK_END&gt;=8)))),0),ROUND((INDEX(VELOCITY_TABLE,MATCH($F124,TIER_LIST,0),3))*(IF((8-$I124+1)&lt;=0,0,IF((8-$I124+1)=1,RAMP_W1,IF((8-$I124+1)=2,RAMP_W2,IF((8-$I124+1)=3,RAMP_W3,RAMP_W4PLUS)))))*(INDEX(ACTIVE_MULT_TABLE,3,1))*(1+SUMPRODUCT(SIGN(((ACT_DOOR_SCOPE="ALL")+(ACT_DOOR_SCOPE="TIER_"&amp;$F124)+(ACT_DOOR_SCOPE=$B124)))*SIGN(((ACT_SKU_SCOPE="ALL")+(ACT_SKU_SCOPE=$G124)))*(ACT_START&lt;=8)*(ACT_END&gt;=8)*IFERROR(ACT_UPLIFT-1,0)))*(1+SUMPRODUCT(SIGN(((ACT_DOOR_SCOPE="ALL")+(ACT_DOOR_SCOPE="TIER_"&amp;$F124)+(ACT_DOOR_SCOPE=$B124)))*SIGN(((ACT_SKU_SCOPE="ALL")+(ACT_SKU_SCOPE=$G124)))*(8&gt;ACT_END)*(ACT_END&gt;0)*IFERROR(ACT_POSTLIFT,0))),0)))</f>
        <v/>
      </c>
      <c r="R124" s="10">
        <f>IF(OR($H124&lt;&gt;"Y",9&lt;$I124),0,IF(SUMPRODUCT(((BULK_ENABLED="Y")*((BULK_TIER="ALL")+(BULK_TIER=$F124))*((BULK_SKU="ALL")+(BULK_SKU=$G124))*(BULK_START&lt;=9)*(BULK_END&gt;=9)))&gt;0,IFERROR(SUMPRODUCT(((BULK_ENABLED="Y")*((BULK_TIER="ALL")+(BULK_TIER=$F124))*((BULK_SKU="ALL")+(BULK_SKU=$G124))*(BULK_START&lt;=9)*(BULK_END&gt;=9))*IFERROR(BULK_VALUE,0))/MAX(1,SUMPRODUCT(((BULK_ENABLED="Y")*((BULK_TIER="ALL")+(BULK_TIER=$F124))*((BULK_SKU="ALL")+(BULK_SKU=$G124))*(BULK_START&lt;=9)*(BULK_END&gt;=9)))),0),ROUND((INDEX(VELOCITY_TABLE,MATCH($F124,TIER_LIST,0),3))*(IF((9-$I124+1)&lt;=0,0,IF((9-$I124+1)=1,RAMP_W1,IF((9-$I124+1)=2,RAMP_W2,IF((9-$I124+1)=3,RAMP_W3,RAMP_W4PLUS)))))*(INDEX(ACTIVE_MULT_TABLE,3,1))*(1+SUMPRODUCT(SIGN(((ACT_DOOR_SCOPE="ALL")+(ACT_DOOR_SCOPE="TIER_"&amp;$F124)+(ACT_DOOR_SCOPE=$B124)))*SIGN(((ACT_SKU_SCOPE="ALL")+(ACT_SKU_SCOPE=$G124)))*(ACT_START&lt;=9)*(ACT_END&gt;=9)*IFERROR(ACT_UPLIFT-1,0)))*(1+SUMPRODUCT(SIGN(((ACT_DOOR_SCOPE="ALL")+(ACT_DOOR_SCOPE="TIER_"&amp;$F124)+(ACT_DOOR_SCOPE=$B124)))*SIGN(((ACT_SKU_SCOPE="ALL")+(ACT_SKU_SCOPE=$G124)))*(9&gt;ACT_END)*(ACT_END&gt;0)*IFERROR(ACT_POSTLIFT,0))),0)))</f>
        <v/>
      </c>
      <c r="S124" s="10">
        <f>IF(OR($H124&lt;&gt;"Y",10&lt;$I124),0,IF(SUMPRODUCT(((BULK_ENABLED="Y")*((BULK_TIER="ALL")+(BULK_TIER=$F124))*((BULK_SKU="ALL")+(BULK_SKU=$G124))*(BULK_START&lt;=10)*(BULK_END&gt;=10)))&gt;0,IFERROR(SUMPRODUCT(((BULK_ENABLED="Y")*((BULK_TIER="ALL")+(BULK_TIER=$F124))*((BULK_SKU="ALL")+(BULK_SKU=$G124))*(BULK_START&lt;=10)*(BULK_END&gt;=10))*IFERROR(BULK_VALUE,0))/MAX(1,SUMPRODUCT(((BULK_ENABLED="Y")*((BULK_TIER="ALL")+(BULK_TIER=$F124))*((BULK_SKU="ALL")+(BULK_SKU=$G124))*(BULK_START&lt;=10)*(BULK_END&gt;=10)))),0),ROUND((INDEX(VELOCITY_TABLE,MATCH($F124,TIER_LIST,0),3))*(IF((10-$I124+1)&lt;=0,0,IF((10-$I124+1)=1,RAMP_W1,IF((10-$I124+1)=2,RAMP_W2,IF((10-$I124+1)=3,RAMP_W3,RAMP_W4PLUS)))))*(INDEX(ACTIVE_MULT_TABLE,3,1))*(1+SUMPRODUCT(SIGN(((ACT_DOOR_SCOPE="ALL")+(ACT_DOOR_SCOPE="TIER_"&amp;$F124)+(ACT_DOOR_SCOPE=$B124)))*SIGN(((ACT_SKU_SCOPE="ALL")+(ACT_SKU_SCOPE=$G124)))*(ACT_START&lt;=10)*(ACT_END&gt;=10)*IFERROR(ACT_UPLIFT-1,0)))*(1+SUMPRODUCT(SIGN(((ACT_DOOR_SCOPE="ALL")+(ACT_DOOR_SCOPE="TIER_"&amp;$F124)+(ACT_DOOR_SCOPE=$B124)))*SIGN(((ACT_SKU_SCOPE="ALL")+(ACT_SKU_SCOPE=$G124)))*(10&gt;ACT_END)*(ACT_END&gt;0)*IFERROR(ACT_POSTLIFT,0))),0)))</f>
        <v/>
      </c>
      <c r="T124" s="10">
        <f>IF(OR($H124&lt;&gt;"Y",11&lt;$I124),0,IF(SUMPRODUCT(((BULK_ENABLED="Y")*((BULK_TIER="ALL")+(BULK_TIER=$F124))*((BULK_SKU="ALL")+(BULK_SKU=$G124))*(BULK_START&lt;=11)*(BULK_END&gt;=11)))&gt;0,IFERROR(SUMPRODUCT(((BULK_ENABLED="Y")*((BULK_TIER="ALL")+(BULK_TIER=$F124))*((BULK_SKU="ALL")+(BULK_SKU=$G124))*(BULK_START&lt;=11)*(BULK_END&gt;=11))*IFERROR(BULK_VALUE,0))/MAX(1,SUMPRODUCT(((BULK_ENABLED="Y")*((BULK_TIER="ALL")+(BULK_TIER=$F124))*((BULK_SKU="ALL")+(BULK_SKU=$G124))*(BULK_START&lt;=11)*(BULK_END&gt;=11)))),0),ROUND((INDEX(VELOCITY_TABLE,MATCH($F124,TIER_LIST,0),3))*(IF((11-$I124+1)&lt;=0,0,IF((11-$I124+1)=1,RAMP_W1,IF((11-$I124+1)=2,RAMP_W2,IF((11-$I124+1)=3,RAMP_W3,RAMP_W4PLUS)))))*(INDEX(ACTIVE_MULT_TABLE,3,1))*(1+SUMPRODUCT(SIGN(((ACT_DOOR_SCOPE="ALL")+(ACT_DOOR_SCOPE="TIER_"&amp;$F124)+(ACT_DOOR_SCOPE=$B124)))*SIGN(((ACT_SKU_SCOPE="ALL")+(ACT_SKU_SCOPE=$G124)))*(ACT_START&lt;=11)*(ACT_END&gt;=11)*IFERROR(ACT_UPLIFT-1,0)))*(1+SUMPRODUCT(SIGN(((ACT_DOOR_SCOPE="ALL")+(ACT_DOOR_SCOPE="TIER_"&amp;$F124)+(ACT_DOOR_SCOPE=$B124)))*SIGN(((ACT_SKU_SCOPE="ALL")+(ACT_SKU_SCOPE=$G124)))*(11&gt;ACT_END)*(ACT_END&gt;0)*IFERROR(ACT_POSTLIFT,0))),0)))</f>
        <v/>
      </c>
      <c r="U124" s="10">
        <f>IF(OR($H124&lt;&gt;"Y",12&lt;$I124),0,IF(SUMPRODUCT(((BULK_ENABLED="Y")*((BULK_TIER="ALL")+(BULK_TIER=$F124))*((BULK_SKU="ALL")+(BULK_SKU=$G124))*(BULK_START&lt;=12)*(BULK_END&gt;=12)))&gt;0,IFERROR(SUMPRODUCT(((BULK_ENABLED="Y")*((BULK_TIER="ALL")+(BULK_TIER=$F124))*((BULK_SKU="ALL")+(BULK_SKU=$G124))*(BULK_START&lt;=12)*(BULK_END&gt;=12))*IFERROR(BULK_VALUE,0))/MAX(1,SUMPRODUCT(((BULK_ENABLED="Y")*((BULK_TIER="ALL")+(BULK_TIER=$F124))*((BULK_SKU="ALL")+(BULK_SKU=$G124))*(BULK_START&lt;=12)*(BULK_END&gt;=12)))),0),ROUND((INDEX(VELOCITY_TABLE,MATCH($F124,TIER_LIST,0),3))*(IF((12-$I124+1)&lt;=0,0,IF((12-$I124+1)=1,RAMP_W1,IF((12-$I124+1)=2,RAMP_W2,IF((12-$I124+1)=3,RAMP_W3,RAMP_W4PLUS)))))*(INDEX(ACTIVE_MULT_TABLE,3,1))*(1+SUMPRODUCT(SIGN(((ACT_DOOR_SCOPE="ALL")+(ACT_DOOR_SCOPE="TIER_"&amp;$F124)+(ACT_DOOR_SCOPE=$B124)))*SIGN(((ACT_SKU_SCOPE="ALL")+(ACT_SKU_SCOPE=$G124)))*(ACT_START&lt;=12)*(ACT_END&gt;=12)*IFERROR(ACT_UPLIFT-1,0)))*(1+SUMPRODUCT(SIGN(((ACT_DOOR_SCOPE="ALL")+(ACT_DOOR_SCOPE="TIER_"&amp;$F124)+(ACT_DOOR_SCOPE=$B124)))*SIGN(((ACT_SKU_SCOPE="ALL")+(ACT_SKU_SCOPE=$G124)))*(12&gt;ACT_END)*(ACT_END&gt;0)*IFERROR(ACT_POSTLIFT,0))),0)))</f>
        <v/>
      </c>
      <c r="V124" s="10">
        <f>IF(OR($H124&lt;&gt;"Y",13&lt;$I124),0,IF(SUMPRODUCT(((BULK_ENABLED="Y")*((BULK_TIER="ALL")+(BULK_TIER=$F124))*((BULK_SKU="ALL")+(BULK_SKU=$G124))*(BULK_START&lt;=13)*(BULK_END&gt;=13)))&gt;0,IFERROR(SUMPRODUCT(((BULK_ENABLED="Y")*((BULK_TIER="ALL")+(BULK_TIER=$F124))*((BULK_SKU="ALL")+(BULK_SKU=$G124))*(BULK_START&lt;=13)*(BULK_END&gt;=13))*IFERROR(BULK_VALUE,0))/MAX(1,SUMPRODUCT(((BULK_ENABLED="Y")*((BULK_TIER="ALL")+(BULK_TIER=$F124))*((BULK_SKU="ALL")+(BULK_SKU=$G124))*(BULK_START&lt;=13)*(BULK_END&gt;=13)))),0),ROUND((INDEX(VELOCITY_TABLE,MATCH($F124,TIER_LIST,0),3))*(IF((13-$I124+1)&lt;=0,0,IF((13-$I124+1)=1,RAMP_W1,IF((13-$I124+1)=2,RAMP_W2,IF((13-$I124+1)=3,RAMP_W3,RAMP_W4PLUS)))))*(INDEX(ACTIVE_MULT_TABLE,3,1))*(1+SUMPRODUCT(SIGN(((ACT_DOOR_SCOPE="ALL")+(ACT_DOOR_SCOPE="TIER_"&amp;$F124)+(ACT_DOOR_SCOPE=$B124)))*SIGN(((ACT_SKU_SCOPE="ALL")+(ACT_SKU_SCOPE=$G124)))*(ACT_START&lt;=13)*(ACT_END&gt;=13)*IFERROR(ACT_UPLIFT-1,0)))*(1+SUMPRODUCT(SIGN(((ACT_DOOR_SCOPE="ALL")+(ACT_DOOR_SCOPE="TIER_"&amp;$F124)+(ACT_DOOR_SCOPE=$B124)))*SIGN(((ACT_SKU_SCOPE="ALL")+(ACT_SKU_SCOPE=$G124)))*(13&gt;ACT_END)*(ACT_END&gt;0)*IFERROR(ACT_POSTLIFT,0))),0)))</f>
        <v/>
      </c>
    </row>
    <row r="125">
      <c r="A125" t="inlineStr">
        <is>
          <t>R0121</t>
        </is>
      </c>
      <c r="B125">
        <f>Doors!$A$45</f>
        <v/>
      </c>
      <c r="C125">
        <f>Doors!$C$45</f>
        <v/>
      </c>
      <c r="D125">
        <f>Doors!$B$45</f>
        <v/>
      </c>
      <c r="E125">
        <f>Doors!$E$45</f>
        <v/>
      </c>
      <c r="F125">
        <f>Doors!$F$45</f>
        <v/>
      </c>
      <c r="G125" t="inlineStr">
        <is>
          <t>Lime Lemon</t>
        </is>
      </c>
      <c r="H125">
        <f>Doors!$G$45</f>
        <v/>
      </c>
      <c r="I125">
        <f>Doors!$J$45</f>
        <v/>
      </c>
      <c r="J125" s="10">
        <f>IF(OR($H125&lt;&gt;"Y",1&lt;$I125),0,IF(SUMPRODUCT(((BULK_ENABLED="Y")*((BULK_TIER="ALL")+(BULK_TIER=$F125))*((BULK_SKU="ALL")+(BULK_SKU=$G125))*(BULK_START&lt;=1)*(BULK_END&gt;=1)))&gt;0,IFERROR(SUMPRODUCT(((BULK_ENABLED="Y")*((BULK_TIER="ALL")+(BULK_TIER=$F125))*((BULK_SKU="ALL")+(BULK_SKU=$G125))*(BULK_START&lt;=1)*(BULK_END&gt;=1))*IFERROR(BULK_VALUE,0))/MAX(1,SUMPRODUCT(((BULK_ENABLED="Y")*((BULK_TIER="ALL")+(BULK_TIER=$F125))*((BULK_SKU="ALL")+(BULK_SKU=$G125))*(BULK_START&lt;=1)*(BULK_END&gt;=1)))),0),ROUND((INDEX(VELOCITY_TABLE,MATCH($F125,TIER_LIST,0),1))*(IF((1-$I125+1)&lt;=0,0,IF((1-$I125+1)=1,RAMP_W1,IF((1-$I125+1)=2,RAMP_W2,IF((1-$I125+1)=3,RAMP_W3,RAMP_W4PLUS)))))*(INDEX(ACTIVE_MULT_TABLE,1,1))*(1+SUMPRODUCT(SIGN(((ACT_DOOR_SCOPE="ALL")+(ACT_DOOR_SCOPE="TIER_"&amp;$F125)+(ACT_DOOR_SCOPE=$B125)))*SIGN(((ACT_SKU_SCOPE="ALL")+(ACT_SKU_SCOPE=$G125)))*(ACT_START&lt;=1)*(ACT_END&gt;=1)*IFERROR(ACT_UPLIFT-1,0)))*(1+SUMPRODUCT(SIGN(((ACT_DOOR_SCOPE="ALL")+(ACT_DOOR_SCOPE="TIER_"&amp;$F125)+(ACT_DOOR_SCOPE=$B125)))*SIGN(((ACT_SKU_SCOPE="ALL")+(ACT_SKU_SCOPE=$G125)))*(1&gt;ACT_END)*(ACT_END&gt;0)*IFERROR(ACT_POSTLIFT,0))),0)))</f>
        <v/>
      </c>
      <c r="K125" s="10">
        <f>IF(OR($H125&lt;&gt;"Y",2&lt;$I125),0,IF(SUMPRODUCT(((BULK_ENABLED="Y")*((BULK_TIER="ALL")+(BULK_TIER=$F125))*((BULK_SKU="ALL")+(BULK_SKU=$G125))*(BULK_START&lt;=2)*(BULK_END&gt;=2)))&gt;0,IFERROR(SUMPRODUCT(((BULK_ENABLED="Y")*((BULK_TIER="ALL")+(BULK_TIER=$F125))*((BULK_SKU="ALL")+(BULK_SKU=$G125))*(BULK_START&lt;=2)*(BULK_END&gt;=2))*IFERROR(BULK_VALUE,0))/MAX(1,SUMPRODUCT(((BULK_ENABLED="Y")*((BULK_TIER="ALL")+(BULK_TIER=$F125))*((BULK_SKU="ALL")+(BULK_SKU=$G125))*(BULK_START&lt;=2)*(BULK_END&gt;=2)))),0),ROUND((INDEX(VELOCITY_TABLE,MATCH($F125,TIER_LIST,0),1))*(IF((2-$I125+1)&lt;=0,0,IF((2-$I125+1)=1,RAMP_W1,IF((2-$I125+1)=2,RAMP_W2,IF((2-$I125+1)=3,RAMP_W3,RAMP_W4PLUS)))))*(INDEX(ACTIVE_MULT_TABLE,1,1))*(1+SUMPRODUCT(SIGN(((ACT_DOOR_SCOPE="ALL")+(ACT_DOOR_SCOPE="TIER_"&amp;$F125)+(ACT_DOOR_SCOPE=$B125)))*SIGN(((ACT_SKU_SCOPE="ALL")+(ACT_SKU_SCOPE=$G125)))*(ACT_START&lt;=2)*(ACT_END&gt;=2)*IFERROR(ACT_UPLIFT-1,0)))*(1+SUMPRODUCT(SIGN(((ACT_DOOR_SCOPE="ALL")+(ACT_DOOR_SCOPE="TIER_"&amp;$F125)+(ACT_DOOR_SCOPE=$B125)))*SIGN(((ACT_SKU_SCOPE="ALL")+(ACT_SKU_SCOPE=$G125)))*(2&gt;ACT_END)*(ACT_END&gt;0)*IFERROR(ACT_POSTLIFT,0))),0)))</f>
        <v/>
      </c>
      <c r="L125" s="10">
        <f>IF(OR($H125&lt;&gt;"Y",3&lt;$I125),0,IF(SUMPRODUCT(((BULK_ENABLED="Y")*((BULK_TIER="ALL")+(BULK_TIER=$F125))*((BULK_SKU="ALL")+(BULK_SKU=$G125))*(BULK_START&lt;=3)*(BULK_END&gt;=3)))&gt;0,IFERROR(SUMPRODUCT(((BULK_ENABLED="Y")*((BULK_TIER="ALL")+(BULK_TIER=$F125))*((BULK_SKU="ALL")+(BULK_SKU=$G125))*(BULK_START&lt;=3)*(BULK_END&gt;=3))*IFERROR(BULK_VALUE,0))/MAX(1,SUMPRODUCT(((BULK_ENABLED="Y")*((BULK_TIER="ALL")+(BULK_TIER=$F125))*((BULK_SKU="ALL")+(BULK_SKU=$G125))*(BULK_START&lt;=3)*(BULK_END&gt;=3)))),0),ROUND((INDEX(VELOCITY_TABLE,MATCH($F125,TIER_LIST,0),1))*(IF((3-$I125+1)&lt;=0,0,IF((3-$I125+1)=1,RAMP_W1,IF((3-$I125+1)=2,RAMP_W2,IF((3-$I125+1)=3,RAMP_W3,RAMP_W4PLUS)))))*(INDEX(ACTIVE_MULT_TABLE,1,1))*(1+SUMPRODUCT(SIGN(((ACT_DOOR_SCOPE="ALL")+(ACT_DOOR_SCOPE="TIER_"&amp;$F125)+(ACT_DOOR_SCOPE=$B125)))*SIGN(((ACT_SKU_SCOPE="ALL")+(ACT_SKU_SCOPE=$G125)))*(ACT_START&lt;=3)*(ACT_END&gt;=3)*IFERROR(ACT_UPLIFT-1,0)))*(1+SUMPRODUCT(SIGN(((ACT_DOOR_SCOPE="ALL")+(ACT_DOOR_SCOPE="TIER_"&amp;$F125)+(ACT_DOOR_SCOPE=$B125)))*SIGN(((ACT_SKU_SCOPE="ALL")+(ACT_SKU_SCOPE=$G125)))*(3&gt;ACT_END)*(ACT_END&gt;0)*IFERROR(ACT_POSTLIFT,0))),0)))</f>
        <v/>
      </c>
      <c r="M125" s="10">
        <f>IF(OR($H125&lt;&gt;"Y",4&lt;$I125),0,IF(SUMPRODUCT(((BULK_ENABLED="Y")*((BULK_TIER="ALL")+(BULK_TIER=$F125))*((BULK_SKU="ALL")+(BULK_SKU=$G125))*(BULK_START&lt;=4)*(BULK_END&gt;=4)))&gt;0,IFERROR(SUMPRODUCT(((BULK_ENABLED="Y")*((BULK_TIER="ALL")+(BULK_TIER=$F125))*((BULK_SKU="ALL")+(BULK_SKU=$G125))*(BULK_START&lt;=4)*(BULK_END&gt;=4))*IFERROR(BULK_VALUE,0))/MAX(1,SUMPRODUCT(((BULK_ENABLED="Y")*((BULK_TIER="ALL")+(BULK_TIER=$F125))*((BULK_SKU="ALL")+(BULK_SKU=$G125))*(BULK_START&lt;=4)*(BULK_END&gt;=4)))),0),ROUND((INDEX(VELOCITY_TABLE,MATCH($F125,TIER_LIST,0),1))*(IF((4-$I125+1)&lt;=0,0,IF((4-$I125+1)=1,RAMP_W1,IF((4-$I125+1)=2,RAMP_W2,IF((4-$I125+1)=3,RAMP_W3,RAMP_W4PLUS)))))*(INDEX(ACTIVE_MULT_TABLE,1,1))*(1+SUMPRODUCT(SIGN(((ACT_DOOR_SCOPE="ALL")+(ACT_DOOR_SCOPE="TIER_"&amp;$F125)+(ACT_DOOR_SCOPE=$B125)))*SIGN(((ACT_SKU_SCOPE="ALL")+(ACT_SKU_SCOPE=$G125)))*(ACT_START&lt;=4)*(ACT_END&gt;=4)*IFERROR(ACT_UPLIFT-1,0)))*(1+SUMPRODUCT(SIGN(((ACT_DOOR_SCOPE="ALL")+(ACT_DOOR_SCOPE="TIER_"&amp;$F125)+(ACT_DOOR_SCOPE=$B125)))*SIGN(((ACT_SKU_SCOPE="ALL")+(ACT_SKU_SCOPE=$G125)))*(4&gt;ACT_END)*(ACT_END&gt;0)*IFERROR(ACT_POSTLIFT,0))),0)))</f>
        <v/>
      </c>
      <c r="N125" s="10">
        <f>IF(OR($H125&lt;&gt;"Y",5&lt;$I125),0,IF(SUMPRODUCT(((BULK_ENABLED="Y")*((BULK_TIER="ALL")+(BULK_TIER=$F125))*((BULK_SKU="ALL")+(BULK_SKU=$G125))*(BULK_START&lt;=5)*(BULK_END&gt;=5)))&gt;0,IFERROR(SUMPRODUCT(((BULK_ENABLED="Y")*((BULK_TIER="ALL")+(BULK_TIER=$F125))*((BULK_SKU="ALL")+(BULK_SKU=$G125))*(BULK_START&lt;=5)*(BULK_END&gt;=5))*IFERROR(BULK_VALUE,0))/MAX(1,SUMPRODUCT(((BULK_ENABLED="Y")*((BULK_TIER="ALL")+(BULK_TIER=$F125))*((BULK_SKU="ALL")+(BULK_SKU=$G125))*(BULK_START&lt;=5)*(BULK_END&gt;=5)))),0),ROUND((INDEX(VELOCITY_TABLE,MATCH($F125,TIER_LIST,0),1))*(IF((5-$I125+1)&lt;=0,0,IF((5-$I125+1)=1,RAMP_W1,IF((5-$I125+1)=2,RAMP_W2,IF((5-$I125+1)=3,RAMP_W3,RAMP_W4PLUS)))))*(INDEX(ACTIVE_MULT_TABLE,1,1))*(1+SUMPRODUCT(SIGN(((ACT_DOOR_SCOPE="ALL")+(ACT_DOOR_SCOPE="TIER_"&amp;$F125)+(ACT_DOOR_SCOPE=$B125)))*SIGN(((ACT_SKU_SCOPE="ALL")+(ACT_SKU_SCOPE=$G125)))*(ACT_START&lt;=5)*(ACT_END&gt;=5)*IFERROR(ACT_UPLIFT-1,0)))*(1+SUMPRODUCT(SIGN(((ACT_DOOR_SCOPE="ALL")+(ACT_DOOR_SCOPE="TIER_"&amp;$F125)+(ACT_DOOR_SCOPE=$B125)))*SIGN(((ACT_SKU_SCOPE="ALL")+(ACT_SKU_SCOPE=$G125)))*(5&gt;ACT_END)*(ACT_END&gt;0)*IFERROR(ACT_POSTLIFT,0))),0)))</f>
        <v/>
      </c>
      <c r="O125" s="10">
        <f>IF(OR($H125&lt;&gt;"Y",6&lt;$I125),0,IF(SUMPRODUCT(((BULK_ENABLED="Y")*((BULK_TIER="ALL")+(BULK_TIER=$F125))*((BULK_SKU="ALL")+(BULK_SKU=$G125))*(BULK_START&lt;=6)*(BULK_END&gt;=6)))&gt;0,IFERROR(SUMPRODUCT(((BULK_ENABLED="Y")*((BULK_TIER="ALL")+(BULK_TIER=$F125))*((BULK_SKU="ALL")+(BULK_SKU=$G125))*(BULK_START&lt;=6)*(BULK_END&gt;=6))*IFERROR(BULK_VALUE,0))/MAX(1,SUMPRODUCT(((BULK_ENABLED="Y")*((BULK_TIER="ALL")+(BULK_TIER=$F125))*((BULK_SKU="ALL")+(BULK_SKU=$G125))*(BULK_START&lt;=6)*(BULK_END&gt;=6)))),0),ROUND((INDEX(VELOCITY_TABLE,MATCH($F125,TIER_LIST,0),1))*(IF((6-$I125+1)&lt;=0,0,IF((6-$I125+1)=1,RAMP_W1,IF((6-$I125+1)=2,RAMP_W2,IF((6-$I125+1)=3,RAMP_W3,RAMP_W4PLUS)))))*(INDEX(ACTIVE_MULT_TABLE,1,1))*(1+SUMPRODUCT(SIGN(((ACT_DOOR_SCOPE="ALL")+(ACT_DOOR_SCOPE="TIER_"&amp;$F125)+(ACT_DOOR_SCOPE=$B125)))*SIGN(((ACT_SKU_SCOPE="ALL")+(ACT_SKU_SCOPE=$G125)))*(ACT_START&lt;=6)*(ACT_END&gt;=6)*IFERROR(ACT_UPLIFT-1,0)))*(1+SUMPRODUCT(SIGN(((ACT_DOOR_SCOPE="ALL")+(ACT_DOOR_SCOPE="TIER_"&amp;$F125)+(ACT_DOOR_SCOPE=$B125)))*SIGN(((ACT_SKU_SCOPE="ALL")+(ACT_SKU_SCOPE=$G125)))*(6&gt;ACT_END)*(ACT_END&gt;0)*IFERROR(ACT_POSTLIFT,0))),0)))</f>
        <v/>
      </c>
      <c r="P125" s="10">
        <f>IF(OR($H125&lt;&gt;"Y",7&lt;$I125),0,IF(SUMPRODUCT(((BULK_ENABLED="Y")*((BULK_TIER="ALL")+(BULK_TIER=$F125))*((BULK_SKU="ALL")+(BULK_SKU=$G125))*(BULK_START&lt;=7)*(BULK_END&gt;=7)))&gt;0,IFERROR(SUMPRODUCT(((BULK_ENABLED="Y")*((BULK_TIER="ALL")+(BULK_TIER=$F125))*((BULK_SKU="ALL")+(BULK_SKU=$G125))*(BULK_START&lt;=7)*(BULK_END&gt;=7))*IFERROR(BULK_VALUE,0))/MAX(1,SUMPRODUCT(((BULK_ENABLED="Y")*((BULK_TIER="ALL")+(BULK_TIER=$F125))*((BULK_SKU="ALL")+(BULK_SKU=$G125))*(BULK_START&lt;=7)*(BULK_END&gt;=7)))),0),ROUND((INDEX(VELOCITY_TABLE,MATCH($F125,TIER_LIST,0),1))*(IF((7-$I125+1)&lt;=0,0,IF((7-$I125+1)=1,RAMP_W1,IF((7-$I125+1)=2,RAMP_W2,IF((7-$I125+1)=3,RAMP_W3,RAMP_W4PLUS)))))*(INDEX(ACTIVE_MULT_TABLE,1,1))*(1+SUMPRODUCT(SIGN(((ACT_DOOR_SCOPE="ALL")+(ACT_DOOR_SCOPE="TIER_"&amp;$F125)+(ACT_DOOR_SCOPE=$B125)))*SIGN(((ACT_SKU_SCOPE="ALL")+(ACT_SKU_SCOPE=$G125)))*(ACT_START&lt;=7)*(ACT_END&gt;=7)*IFERROR(ACT_UPLIFT-1,0)))*(1+SUMPRODUCT(SIGN(((ACT_DOOR_SCOPE="ALL")+(ACT_DOOR_SCOPE="TIER_"&amp;$F125)+(ACT_DOOR_SCOPE=$B125)))*SIGN(((ACT_SKU_SCOPE="ALL")+(ACT_SKU_SCOPE=$G125)))*(7&gt;ACT_END)*(ACT_END&gt;0)*IFERROR(ACT_POSTLIFT,0))),0)))</f>
        <v/>
      </c>
      <c r="Q125" s="10">
        <f>IF(OR($H125&lt;&gt;"Y",8&lt;$I125),0,IF(SUMPRODUCT(((BULK_ENABLED="Y")*((BULK_TIER="ALL")+(BULK_TIER=$F125))*((BULK_SKU="ALL")+(BULK_SKU=$G125))*(BULK_START&lt;=8)*(BULK_END&gt;=8)))&gt;0,IFERROR(SUMPRODUCT(((BULK_ENABLED="Y")*((BULK_TIER="ALL")+(BULK_TIER=$F125))*((BULK_SKU="ALL")+(BULK_SKU=$G125))*(BULK_START&lt;=8)*(BULK_END&gt;=8))*IFERROR(BULK_VALUE,0))/MAX(1,SUMPRODUCT(((BULK_ENABLED="Y")*((BULK_TIER="ALL")+(BULK_TIER=$F125))*((BULK_SKU="ALL")+(BULK_SKU=$G125))*(BULK_START&lt;=8)*(BULK_END&gt;=8)))),0),ROUND((INDEX(VELOCITY_TABLE,MATCH($F125,TIER_LIST,0),1))*(IF((8-$I125+1)&lt;=0,0,IF((8-$I125+1)=1,RAMP_W1,IF((8-$I125+1)=2,RAMP_W2,IF((8-$I125+1)=3,RAMP_W3,RAMP_W4PLUS)))))*(INDEX(ACTIVE_MULT_TABLE,1,1))*(1+SUMPRODUCT(SIGN(((ACT_DOOR_SCOPE="ALL")+(ACT_DOOR_SCOPE="TIER_"&amp;$F125)+(ACT_DOOR_SCOPE=$B125)))*SIGN(((ACT_SKU_SCOPE="ALL")+(ACT_SKU_SCOPE=$G125)))*(ACT_START&lt;=8)*(ACT_END&gt;=8)*IFERROR(ACT_UPLIFT-1,0)))*(1+SUMPRODUCT(SIGN(((ACT_DOOR_SCOPE="ALL")+(ACT_DOOR_SCOPE="TIER_"&amp;$F125)+(ACT_DOOR_SCOPE=$B125)))*SIGN(((ACT_SKU_SCOPE="ALL")+(ACT_SKU_SCOPE=$G125)))*(8&gt;ACT_END)*(ACT_END&gt;0)*IFERROR(ACT_POSTLIFT,0))),0)))</f>
        <v/>
      </c>
      <c r="R125" s="10">
        <f>IF(OR($H125&lt;&gt;"Y",9&lt;$I125),0,IF(SUMPRODUCT(((BULK_ENABLED="Y")*((BULK_TIER="ALL")+(BULK_TIER=$F125))*((BULK_SKU="ALL")+(BULK_SKU=$G125))*(BULK_START&lt;=9)*(BULK_END&gt;=9)))&gt;0,IFERROR(SUMPRODUCT(((BULK_ENABLED="Y")*((BULK_TIER="ALL")+(BULK_TIER=$F125))*((BULK_SKU="ALL")+(BULK_SKU=$G125))*(BULK_START&lt;=9)*(BULK_END&gt;=9))*IFERROR(BULK_VALUE,0))/MAX(1,SUMPRODUCT(((BULK_ENABLED="Y")*((BULK_TIER="ALL")+(BULK_TIER=$F125))*((BULK_SKU="ALL")+(BULK_SKU=$G125))*(BULK_START&lt;=9)*(BULK_END&gt;=9)))),0),ROUND((INDEX(VELOCITY_TABLE,MATCH($F125,TIER_LIST,0),1))*(IF((9-$I125+1)&lt;=0,0,IF((9-$I125+1)=1,RAMP_W1,IF((9-$I125+1)=2,RAMP_W2,IF((9-$I125+1)=3,RAMP_W3,RAMP_W4PLUS)))))*(INDEX(ACTIVE_MULT_TABLE,1,1))*(1+SUMPRODUCT(SIGN(((ACT_DOOR_SCOPE="ALL")+(ACT_DOOR_SCOPE="TIER_"&amp;$F125)+(ACT_DOOR_SCOPE=$B125)))*SIGN(((ACT_SKU_SCOPE="ALL")+(ACT_SKU_SCOPE=$G125)))*(ACT_START&lt;=9)*(ACT_END&gt;=9)*IFERROR(ACT_UPLIFT-1,0)))*(1+SUMPRODUCT(SIGN(((ACT_DOOR_SCOPE="ALL")+(ACT_DOOR_SCOPE="TIER_"&amp;$F125)+(ACT_DOOR_SCOPE=$B125)))*SIGN(((ACT_SKU_SCOPE="ALL")+(ACT_SKU_SCOPE=$G125)))*(9&gt;ACT_END)*(ACT_END&gt;0)*IFERROR(ACT_POSTLIFT,0))),0)))</f>
        <v/>
      </c>
      <c r="S125" s="10">
        <f>IF(OR($H125&lt;&gt;"Y",10&lt;$I125),0,IF(SUMPRODUCT(((BULK_ENABLED="Y")*((BULK_TIER="ALL")+(BULK_TIER=$F125))*((BULK_SKU="ALL")+(BULK_SKU=$G125))*(BULK_START&lt;=10)*(BULK_END&gt;=10)))&gt;0,IFERROR(SUMPRODUCT(((BULK_ENABLED="Y")*((BULK_TIER="ALL")+(BULK_TIER=$F125))*((BULK_SKU="ALL")+(BULK_SKU=$G125))*(BULK_START&lt;=10)*(BULK_END&gt;=10))*IFERROR(BULK_VALUE,0))/MAX(1,SUMPRODUCT(((BULK_ENABLED="Y")*((BULK_TIER="ALL")+(BULK_TIER=$F125))*((BULK_SKU="ALL")+(BULK_SKU=$G125))*(BULK_START&lt;=10)*(BULK_END&gt;=10)))),0),ROUND((INDEX(VELOCITY_TABLE,MATCH($F125,TIER_LIST,0),1))*(IF((10-$I125+1)&lt;=0,0,IF((10-$I125+1)=1,RAMP_W1,IF((10-$I125+1)=2,RAMP_W2,IF((10-$I125+1)=3,RAMP_W3,RAMP_W4PLUS)))))*(INDEX(ACTIVE_MULT_TABLE,1,1))*(1+SUMPRODUCT(SIGN(((ACT_DOOR_SCOPE="ALL")+(ACT_DOOR_SCOPE="TIER_"&amp;$F125)+(ACT_DOOR_SCOPE=$B125)))*SIGN(((ACT_SKU_SCOPE="ALL")+(ACT_SKU_SCOPE=$G125)))*(ACT_START&lt;=10)*(ACT_END&gt;=10)*IFERROR(ACT_UPLIFT-1,0)))*(1+SUMPRODUCT(SIGN(((ACT_DOOR_SCOPE="ALL")+(ACT_DOOR_SCOPE="TIER_"&amp;$F125)+(ACT_DOOR_SCOPE=$B125)))*SIGN(((ACT_SKU_SCOPE="ALL")+(ACT_SKU_SCOPE=$G125)))*(10&gt;ACT_END)*(ACT_END&gt;0)*IFERROR(ACT_POSTLIFT,0))),0)))</f>
        <v/>
      </c>
      <c r="T125" s="10">
        <f>IF(OR($H125&lt;&gt;"Y",11&lt;$I125),0,IF(SUMPRODUCT(((BULK_ENABLED="Y")*((BULK_TIER="ALL")+(BULK_TIER=$F125))*((BULK_SKU="ALL")+(BULK_SKU=$G125))*(BULK_START&lt;=11)*(BULK_END&gt;=11)))&gt;0,IFERROR(SUMPRODUCT(((BULK_ENABLED="Y")*((BULK_TIER="ALL")+(BULK_TIER=$F125))*((BULK_SKU="ALL")+(BULK_SKU=$G125))*(BULK_START&lt;=11)*(BULK_END&gt;=11))*IFERROR(BULK_VALUE,0))/MAX(1,SUMPRODUCT(((BULK_ENABLED="Y")*((BULK_TIER="ALL")+(BULK_TIER=$F125))*((BULK_SKU="ALL")+(BULK_SKU=$G125))*(BULK_START&lt;=11)*(BULK_END&gt;=11)))),0),ROUND((INDEX(VELOCITY_TABLE,MATCH($F125,TIER_LIST,0),1))*(IF((11-$I125+1)&lt;=0,0,IF((11-$I125+1)=1,RAMP_W1,IF((11-$I125+1)=2,RAMP_W2,IF((11-$I125+1)=3,RAMP_W3,RAMP_W4PLUS)))))*(INDEX(ACTIVE_MULT_TABLE,1,1))*(1+SUMPRODUCT(SIGN(((ACT_DOOR_SCOPE="ALL")+(ACT_DOOR_SCOPE="TIER_"&amp;$F125)+(ACT_DOOR_SCOPE=$B125)))*SIGN(((ACT_SKU_SCOPE="ALL")+(ACT_SKU_SCOPE=$G125)))*(ACT_START&lt;=11)*(ACT_END&gt;=11)*IFERROR(ACT_UPLIFT-1,0)))*(1+SUMPRODUCT(SIGN(((ACT_DOOR_SCOPE="ALL")+(ACT_DOOR_SCOPE="TIER_"&amp;$F125)+(ACT_DOOR_SCOPE=$B125)))*SIGN(((ACT_SKU_SCOPE="ALL")+(ACT_SKU_SCOPE=$G125)))*(11&gt;ACT_END)*(ACT_END&gt;0)*IFERROR(ACT_POSTLIFT,0))),0)))</f>
        <v/>
      </c>
      <c r="U125" s="10">
        <f>IF(OR($H125&lt;&gt;"Y",12&lt;$I125),0,IF(SUMPRODUCT(((BULK_ENABLED="Y")*((BULK_TIER="ALL")+(BULK_TIER=$F125))*((BULK_SKU="ALL")+(BULK_SKU=$G125))*(BULK_START&lt;=12)*(BULK_END&gt;=12)))&gt;0,IFERROR(SUMPRODUCT(((BULK_ENABLED="Y")*((BULK_TIER="ALL")+(BULK_TIER=$F125))*((BULK_SKU="ALL")+(BULK_SKU=$G125))*(BULK_START&lt;=12)*(BULK_END&gt;=12))*IFERROR(BULK_VALUE,0))/MAX(1,SUMPRODUCT(((BULK_ENABLED="Y")*((BULK_TIER="ALL")+(BULK_TIER=$F125))*((BULK_SKU="ALL")+(BULK_SKU=$G125))*(BULK_START&lt;=12)*(BULK_END&gt;=12)))),0),ROUND((INDEX(VELOCITY_TABLE,MATCH($F125,TIER_LIST,0),1))*(IF((12-$I125+1)&lt;=0,0,IF((12-$I125+1)=1,RAMP_W1,IF((12-$I125+1)=2,RAMP_W2,IF((12-$I125+1)=3,RAMP_W3,RAMP_W4PLUS)))))*(INDEX(ACTIVE_MULT_TABLE,1,1))*(1+SUMPRODUCT(SIGN(((ACT_DOOR_SCOPE="ALL")+(ACT_DOOR_SCOPE="TIER_"&amp;$F125)+(ACT_DOOR_SCOPE=$B125)))*SIGN(((ACT_SKU_SCOPE="ALL")+(ACT_SKU_SCOPE=$G125)))*(ACT_START&lt;=12)*(ACT_END&gt;=12)*IFERROR(ACT_UPLIFT-1,0)))*(1+SUMPRODUCT(SIGN(((ACT_DOOR_SCOPE="ALL")+(ACT_DOOR_SCOPE="TIER_"&amp;$F125)+(ACT_DOOR_SCOPE=$B125)))*SIGN(((ACT_SKU_SCOPE="ALL")+(ACT_SKU_SCOPE=$G125)))*(12&gt;ACT_END)*(ACT_END&gt;0)*IFERROR(ACT_POSTLIFT,0))),0)))</f>
        <v/>
      </c>
      <c r="V125" s="10">
        <f>IF(OR($H125&lt;&gt;"Y",13&lt;$I125),0,IF(SUMPRODUCT(((BULK_ENABLED="Y")*((BULK_TIER="ALL")+(BULK_TIER=$F125))*((BULK_SKU="ALL")+(BULK_SKU=$G125))*(BULK_START&lt;=13)*(BULK_END&gt;=13)))&gt;0,IFERROR(SUMPRODUCT(((BULK_ENABLED="Y")*((BULK_TIER="ALL")+(BULK_TIER=$F125))*((BULK_SKU="ALL")+(BULK_SKU=$G125))*(BULK_START&lt;=13)*(BULK_END&gt;=13))*IFERROR(BULK_VALUE,0))/MAX(1,SUMPRODUCT(((BULK_ENABLED="Y")*((BULK_TIER="ALL")+(BULK_TIER=$F125))*((BULK_SKU="ALL")+(BULK_SKU=$G125))*(BULK_START&lt;=13)*(BULK_END&gt;=13)))),0),ROUND((INDEX(VELOCITY_TABLE,MATCH($F125,TIER_LIST,0),1))*(IF((13-$I125+1)&lt;=0,0,IF((13-$I125+1)=1,RAMP_W1,IF((13-$I125+1)=2,RAMP_W2,IF((13-$I125+1)=3,RAMP_W3,RAMP_W4PLUS)))))*(INDEX(ACTIVE_MULT_TABLE,1,1))*(1+SUMPRODUCT(SIGN(((ACT_DOOR_SCOPE="ALL")+(ACT_DOOR_SCOPE="TIER_"&amp;$F125)+(ACT_DOOR_SCOPE=$B125)))*SIGN(((ACT_SKU_SCOPE="ALL")+(ACT_SKU_SCOPE=$G125)))*(ACT_START&lt;=13)*(ACT_END&gt;=13)*IFERROR(ACT_UPLIFT-1,0)))*(1+SUMPRODUCT(SIGN(((ACT_DOOR_SCOPE="ALL")+(ACT_DOOR_SCOPE="TIER_"&amp;$F125)+(ACT_DOOR_SCOPE=$B125)))*SIGN(((ACT_SKU_SCOPE="ALL")+(ACT_SKU_SCOPE=$G125)))*(13&gt;ACT_END)*(ACT_END&gt;0)*IFERROR(ACT_POSTLIFT,0))),0)))</f>
        <v/>
      </c>
    </row>
    <row r="126">
      <c r="A126" t="inlineStr">
        <is>
          <t>R0122</t>
        </is>
      </c>
      <c r="B126">
        <f>Doors!$A$45</f>
        <v/>
      </c>
      <c r="C126">
        <f>Doors!$C$45</f>
        <v/>
      </c>
      <c r="D126">
        <f>Doors!$B$45</f>
        <v/>
      </c>
      <c r="E126">
        <f>Doors!$E$45</f>
        <v/>
      </c>
      <c r="F126">
        <f>Doors!$F$45</f>
        <v/>
      </c>
      <c r="G126" t="inlineStr">
        <is>
          <t>Pineapple Passion Fruit</t>
        </is>
      </c>
      <c r="H126">
        <f>Doors!$H$45</f>
        <v/>
      </c>
      <c r="I126">
        <f>Doors!$J$45</f>
        <v/>
      </c>
      <c r="J126" s="10">
        <f>IF(OR($H126&lt;&gt;"Y",1&lt;$I126),0,IF(SUMPRODUCT(((BULK_ENABLED="Y")*((BULK_TIER="ALL")+(BULK_TIER=$F126))*((BULK_SKU="ALL")+(BULK_SKU=$G126))*(BULK_START&lt;=1)*(BULK_END&gt;=1)))&gt;0,IFERROR(SUMPRODUCT(((BULK_ENABLED="Y")*((BULK_TIER="ALL")+(BULK_TIER=$F126))*((BULK_SKU="ALL")+(BULK_SKU=$G126))*(BULK_START&lt;=1)*(BULK_END&gt;=1))*IFERROR(BULK_VALUE,0))/MAX(1,SUMPRODUCT(((BULK_ENABLED="Y")*((BULK_TIER="ALL")+(BULK_TIER=$F126))*((BULK_SKU="ALL")+(BULK_SKU=$G126))*(BULK_START&lt;=1)*(BULK_END&gt;=1)))),0),ROUND((INDEX(VELOCITY_TABLE,MATCH($F126,TIER_LIST,0),2))*(IF((1-$I126+1)&lt;=0,0,IF((1-$I126+1)=1,RAMP_W1,IF((1-$I126+1)=2,RAMP_W2,IF((1-$I126+1)=3,RAMP_W3,RAMP_W4PLUS)))))*(INDEX(ACTIVE_MULT_TABLE,2,1))*(1+SUMPRODUCT(SIGN(((ACT_DOOR_SCOPE="ALL")+(ACT_DOOR_SCOPE="TIER_"&amp;$F126)+(ACT_DOOR_SCOPE=$B126)))*SIGN(((ACT_SKU_SCOPE="ALL")+(ACT_SKU_SCOPE=$G126)))*(ACT_START&lt;=1)*(ACT_END&gt;=1)*IFERROR(ACT_UPLIFT-1,0)))*(1+SUMPRODUCT(SIGN(((ACT_DOOR_SCOPE="ALL")+(ACT_DOOR_SCOPE="TIER_"&amp;$F126)+(ACT_DOOR_SCOPE=$B126)))*SIGN(((ACT_SKU_SCOPE="ALL")+(ACT_SKU_SCOPE=$G126)))*(1&gt;ACT_END)*(ACT_END&gt;0)*IFERROR(ACT_POSTLIFT,0))),0)))</f>
        <v/>
      </c>
      <c r="K126" s="10">
        <f>IF(OR($H126&lt;&gt;"Y",2&lt;$I126),0,IF(SUMPRODUCT(((BULK_ENABLED="Y")*((BULK_TIER="ALL")+(BULK_TIER=$F126))*((BULK_SKU="ALL")+(BULK_SKU=$G126))*(BULK_START&lt;=2)*(BULK_END&gt;=2)))&gt;0,IFERROR(SUMPRODUCT(((BULK_ENABLED="Y")*((BULK_TIER="ALL")+(BULK_TIER=$F126))*((BULK_SKU="ALL")+(BULK_SKU=$G126))*(BULK_START&lt;=2)*(BULK_END&gt;=2))*IFERROR(BULK_VALUE,0))/MAX(1,SUMPRODUCT(((BULK_ENABLED="Y")*((BULK_TIER="ALL")+(BULK_TIER=$F126))*((BULK_SKU="ALL")+(BULK_SKU=$G126))*(BULK_START&lt;=2)*(BULK_END&gt;=2)))),0),ROUND((INDEX(VELOCITY_TABLE,MATCH($F126,TIER_LIST,0),2))*(IF((2-$I126+1)&lt;=0,0,IF((2-$I126+1)=1,RAMP_W1,IF((2-$I126+1)=2,RAMP_W2,IF((2-$I126+1)=3,RAMP_W3,RAMP_W4PLUS)))))*(INDEX(ACTIVE_MULT_TABLE,2,1))*(1+SUMPRODUCT(SIGN(((ACT_DOOR_SCOPE="ALL")+(ACT_DOOR_SCOPE="TIER_"&amp;$F126)+(ACT_DOOR_SCOPE=$B126)))*SIGN(((ACT_SKU_SCOPE="ALL")+(ACT_SKU_SCOPE=$G126)))*(ACT_START&lt;=2)*(ACT_END&gt;=2)*IFERROR(ACT_UPLIFT-1,0)))*(1+SUMPRODUCT(SIGN(((ACT_DOOR_SCOPE="ALL")+(ACT_DOOR_SCOPE="TIER_"&amp;$F126)+(ACT_DOOR_SCOPE=$B126)))*SIGN(((ACT_SKU_SCOPE="ALL")+(ACT_SKU_SCOPE=$G126)))*(2&gt;ACT_END)*(ACT_END&gt;0)*IFERROR(ACT_POSTLIFT,0))),0)))</f>
        <v/>
      </c>
      <c r="L126" s="10">
        <f>IF(OR($H126&lt;&gt;"Y",3&lt;$I126),0,IF(SUMPRODUCT(((BULK_ENABLED="Y")*((BULK_TIER="ALL")+(BULK_TIER=$F126))*((BULK_SKU="ALL")+(BULK_SKU=$G126))*(BULK_START&lt;=3)*(BULK_END&gt;=3)))&gt;0,IFERROR(SUMPRODUCT(((BULK_ENABLED="Y")*((BULK_TIER="ALL")+(BULK_TIER=$F126))*((BULK_SKU="ALL")+(BULK_SKU=$G126))*(BULK_START&lt;=3)*(BULK_END&gt;=3))*IFERROR(BULK_VALUE,0))/MAX(1,SUMPRODUCT(((BULK_ENABLED="Y")*((BULK_TIER="ALL")+(BULK_TIER=$F126))*((BULK_SKU="ALL")+(BULK_SKU=$G126))*(BULK_START&lt;=3)*(BULK_END&gt;=3)))),0),ROUND((INDEX(VELOCITY_TABLE,MATCH($F126,TIER_LIST,0),2))*(IF((3-$I126+1)&lt;=0,0,IF((3-$I126+1)=1,RAMP_W1,IF((3-$I126+1)=2,RAMP_W2,IF((3-$I126+1)=3,RAMP_W3,RAMP_W4PLUS)))))*(INDEX(ACTIVE_MULT_TABLE,2,1))*(1+SUMPRODUCT(SIGN(((ACT_DOOR_SCOPE="ALL")+(ACT_DOOR_SCOPE="TIER_"&amp;$F126)+(ACT_DOOR_SCOPE=$B126)))*SIGN(((ACT_SKU_SCOPE="ALL")+(ACT_SKU_SCOPE=$G126)))*(ACT_START&lt;=3)*(ACT_END&gt;=3)*IFERROR(ACT_UPLIFT-1,0)))*(1+SUMPRODUCT(SIGN(((ACT_DOOR_SCOPE="ALL")+(ACT_DOOR_SCOPE="TIER_"&amp;$F126)+(ACT_DOOR_SCOPE=$B126)))*SIGN(((ACT_SKU_SCOPE="ALL")+(ACT_SKU_SCOPE=$G126)))*(3&gt;ACT_END)*(ACT_END&gt;0)*IFERROR(ACT_POSTLIFT,0))),0)))</f>
        <v/>
      </c>
      <c r="M126" s="10">
        <f>IF(OR($H126&lt;&gt;"Y",4&lt;$I126),0,IF(SUMPRODUCT(((BULK_ENABLED="Y")*((BULK_TIER="ALL")+(BULK_TIER=$F126))*((BULK_SKU="ALL")+(BULK_SKU=$G126))*(BULK_START&lt;=4)*(BULK_END&gt;=4)))&gt;0,IFERROR(SUMPRODUCT(((BULK_ENABLED="Y")*((BULK_TIER="ALL")+(BULK_TIER=$F126))*((BULK_SKU="ALL")+(BULK_SKU=$G126))*(BULK_START&lt;=4)*(BULK_END&gt;=4))*IFERROR(BULK_VALUE,0))/MAX(1,SUMPRODUCT(((BULK_ENABLED="Y")*((BULK_TIER="ALL")+(BULK_TIER=$F126))*((BULK_SKU="ALL")+(BULK_SKU=$G126))*(BULK_START&lt;=4)*(BULK_END&gt;=4)))),0),ROUND((INDEX(VELOCITY_TABLE,MATCH($F126,TIER_LIST,0),2))*(IF((4-$I126+1)&lt;=0,0,IF((4-$I126+1)=1,RAMP_W1,IF((4-$I126+1)=2,RAMP_W2,IF((4-$I126+1)=3,RAMP_W3,RAMP_W4PLUS)))))*(INDEX(ACTIVE_MULT_TABLE,2,1))*(1+SUMPRODUCT(SIGN(((ACT_DOOR_SCOPE="ALL")+(ACT_DOOR_SCOPE="TIER_"&amp;$F126)+(ACT_DOOR_SCOPE=$B126)))*SIGN(((ACT_SKU_SCOPE="ALL")+(ACT_SKU_SCOPE=$G126)))*(ACT_START&lt;=4)*(ACT_END&gt;=4)*IFERROR(ACT_UPLIFT-1,0)))*(1+SUMPRODUCT(SIGN(((ACT_DOOR_SCOPE="ALL")+(ACT_DOOR_SCOPE="TIER_"&amp;$F126)+(ACT_DOOR_SCOPE=$B126)))*SIGN(((ACT_SKU_SCOPE="ALL")+(ACT_SKU_SCOPE=$G126)))*(4&gt;ACT_END)*(ACT_END&gt;0)*IFERROR(ACT_POSTLIFT,0))),0)))</f>
        <v/>
      </c>
      <c r="N126" s="10">
        <f>IF(OR($H126&lt;&gt;"Y",5&lt;$I126),0,IF(SUMPRODUCT(((BULK_ENABLED="Y")*((BULK_TIER="ALL")+(BULK_TIER=$F126))*((BULK_SKU="ALL")+(BULK_SKU=$G126))*(BULK_START&lt;=5)*(BULK_END&gt;=5)))&gt;0,IFERROR(SUMPRODUCT(((BULK_ENABLED="Y")*((BULK_TIER="ALL")+(BULK_TIER=$F126))*((BULK_SKU="ALL")+(BULK_SKU=$G126))*(BULK_START&lt;=5)*(BULK_END&gt;=5))*IFERROR(BULK_VALUE,0))/MAX(1,SUMPRODUCT(((BULK_ENABLED="Y")*((BULK_TIER="ALL")+(BULK_TIER=$F126))*((BULK_SKU="ALL")+(BULK_SKU=$G126))*(BULK_START&lt;=5)*(BULK_END&gt;=5)))),0),ROUND((INDEX(VELOCITY_TABLE,MATCH($F126,TIER_LIST,0),2))*(IF((5-$I126+1)&lt;=0,0,IF((5-$I126+1)=1,RAMP_W1,IF((5-$I126+1)=2,RAMP_W2,IF((5-$I126+1)=3,RAMP_W3,RAMP_W4PLUS)))))*(INDEX(ACTIVE_MULT_TABLE,2,1))*(1+SUMPRODUCT(SIGN(((ACT_DOOR_SCOPE="ALL")+(ACT_DOOR_SCOPE="TIER_"&amp;$F126)+(ACT_DOOR_SCOPE=$B126)))*SIGN(((ACT_SKU_SCOPE="ALL")+(ACT_SKU_SCOPE=$G126)))*(ACT_START&lt;=5)*(ACT_END&gt;=5)*IFERROR(ACT_UPLIFT-1,0)))*(1+SUMPRODUCT(SIGN(((ACT_DOOR_SCOPE="ALL")+(ACT_DOOR_SCOPE="TIER_"&amp;$F126)+(ACT_DOOR_SCOPE=$B126)))*SIGN(((ACT_SKU_SCOPE="ALL")+(ACT_SKU_SCOPE=$G126)))*(5&gt;ACT_END)*(ACT_END&gt;0)*IFERROR(ACT_POSTLIFT,0))),0)))</f>
        <v/>
      </c>
      <c r="O126" s="10">
        <f>IF(OR($H126&lt;&gt;"Y",6&lt;$I126),0,IF(SUMPRODUCT(((BULK_ENABLED="Y")*((BULK_TIER="ALL")+(BULK_TIER=$F126))*((BULK_SKU="ALL")+(BULK_SKU=$G126))*(BULK_START&lt;=6)*(BULK_END&gt;=6)))&gt;0,IFERROR(SUMPRODUCT(((BULK_ENABLED="Y")*((BULK_TIER="ALL")+(BULK_TIER=$F126))*((BULK_SKU="ALL")+(BULK_SKU=$G126))*(BULK_START&lt;=6)*(BULK_END&gt;=6))*IFERROR(BULK_VALUE,0))/MAX(1,SUMPRODUCT(((BULK_ENABLED="Y")*((BULK_TIER="ALL")+(BULK_TIER=$F126))*((BULK_SKU="ALL")+(BULK_SKU=$G126))*(BULK_START&lt;=6)*(BULK_END&gt;=6)))),0),ROUND((INDEX(VELOCITY_TABLE,MATCH($F126,TIER_LIST,0),2))*(IF((6-$I126+1)&lt;=0,0,IF((6-$I126+1)=1,RAMP_W1,IF((6-$I126+1)=2,RAMP_W2,IF((6-$I126+1)=3,RAMP_W3,RAMP_W4PLUS)))))*(INDEX(ACTIVE_MULT_TABLE,2,1))*(1+SUMPRODUCT(SIGN(((ACT_DOOR_SCOPE="ALL")+(ACT_DOOR_SCOPE="TIER_"&amp;$F126)+(ACT_DOOR_SCOPE=$B126)))*SIGN(((ACT_SKU_SCOPE="ALL")+(ACT_SKU_SCOPE=$G126)))*(ACT_START&lt;=6)*(ACT_END&gt;=6)*IFERROR(ACT_UPLIFT-1,0)))*(1+SUMPRODUCT(SIGN(((ACT_DOOR_SCOPE="ALL")+(ACT_DOOR_SCOPE="TIER_"&amp;$F126)+(ACT_DOOR_SCOPE=$B126)))*SIGN(((ACT_SKU_SCOPE="ALL")+(ACT_SKU_SCOPE=$G126)))*(6&gt;ACT_END)*(ACT_END&gt;0)*IFERROR(ACT_POSTLIFT,0))),0)))</f>
        <v/>
      </c>
      <c r="P126" s="10">
        <f>IF(OR($H126&lt;&gt;"Y",7&lt;$I126),0,IF(SUMPRODUCT(((BULK_ENABLED="Y")*((BULK_TIER="ALL")+(BULK_TIER=$F126))*((BULK_SKU="ALL")+(BULK_SKU=$G126))*(BULK_START&lt;=7)*(BULK_END&gt;=7)))&gt;0,IFERROR(SUMPRODUCT(((BULK_ENABLED="Y")*((BULK_TIER="ALL")+(BULK_TIER=$F126))*((BULK_SKU="ALL")+(BULK_SKU=$G126))*(BULK_START&lt;=7)*(BULK_END&gt;=7))*IFERROR(BULK_VALUE,0))/MAX(1,SUMPRODUCT(((BULK_ENABLED="Y")*((BULK_TIER="ALL")+(BULK_TIER=$F126))*((BULK_SKU="ALL")+(BULK_SKU=$G126))*(BULK_START&lt;=7)*(BULK_END&gt;=7)))),0),ROUND((INDEX(VELOCITY_TABLE,MATCH($F126,TIER_LIST,0),2))*(IF((7-$I126+1)&lt;=0,0,IF((7-$I126+1)=1,RAMP_W1,IF((7-$I126+1)=2,RAMP_W2,IF((7-$I126+1)=3,RAMP_W3,RAMP_W4PLUS)))))*(INDEX(ACTIVE_MULT_TABLE,2,1))*(1+SUMPRODUCT(SIGN(((ACT_DOOR_SCOPE="ALL")+(ACT_DOOR_SCOPE="TIER_"&amp;$F126)+(ACT_DOOR_SCOPE=$B126)))*SIGN(((ACT_SKU_SCOPE="ALL")+(ACT_SKU_SCOPE=$G126)))*(ACT_START&lt;=7)*(ACT_END&gt;=7)*IFERROR(ACT_UPLIFT-1,0)))*(1+SUMPRODUCT(SIGN(((ACT_DOOR_SCOPE="ALL")+(ACT_DOOR_SCOPE="TIER_"&amp;$F126)+(ACT_DOOR_SCOPE=$B126)))*SIGN(((ACT_SKU_SCOPE="ALL")+(ACT_SKU_SCOPE=$G126)))*(7&gt;ACT_END)*(ACT_END&gt;0)*IFERROR(ACT_POSTLIFT,0))),0)))</f>
        <v/>
      </c>
      <c r="Q126" s="10">
        <f>IF(OR($H126&lt;&gt;"Y",8&lt;$I126),0,IF(SUMPRODUCT(((BULK_ENABLED="Y")*((BULK_TIER="ALL")+(BULK_TIER=$F126))*((BULK_SKU="ALL")+(BULK_SKU=$G126))*(BULK_START&lt;=8)*(BULK_END&gt;=8)))&gt;0,IFERROR(SUMPRODUCT(((BULK_ENABLED="Y")*((BULK_TIER="ALL")+(BULK_TIER=$F126))*((BULK_SKU="ALL")+(BULK_SKU=$G126))*(BULK_START&lt;=8)*(BULK_END&gt;=8))*IFERROR(BULK_VALUE,0))/MAX(1,SUMPRODUCT(((BULK_ENABLED="Y")*((BULK_TIER="ALL")+(BULK_TIER=$F126))*((BULK_SKU="ALL")+(BULK_SKU=$G126))*(BULK_START&lt;=8)*(BULK_END&gt;=8)))),0),ROUND((INDEX(VELOCITY_TABLE,MATCH($F126,TIER_LIST,0),2))*(IF((8-$I126+1)&lt;=0,0,IF((8-$I126+1)=1,RAMP_W1,IF((8-$I126+1)=2,RAMP_W2,IF((8-$I126+1)=3,RAMP_W3,RAMP_W4PLUS)))))*(INDEX(ACTIVE_MULT_TABLE,2,1))*(1+SUMPRODUCT(SIGN(((ACT_DOOR_SCOPE="ALL")+(ACT_DOOR_SCOPE="TIER_"&amp;$F126)+(ACT_DOOR_SCOPE=$B126)))*SIGN(((ACT_SKU_SCOPE="ALL")+(ACT_SKU_SCOPE=$G126)))*(ACT_START&lt;=8)*(ACT_END&gt;=8)*IFERROR(ACT_UPLIFT-1,0)))*(1+SUMPRODUCT(SIGN(((ACT_DOOR_SCOPE="ALL")+(ACT_DOOR_SCOPE="TIER_"&amp;$F126)+(ACT_DOOR_SCOPE=$B126)))*SIGN(((ACT_SKU_SCOPE="ALL")+(ACT_SKU_SCOPE=$G126)))*(8&gt;ACT_END)*(ACT_END&gt;0)*IFERROR(ACT_POSTLIFT,0))),0)))</f>
        <v/>
      </c>
      <c r="R126" s="10">
        <f>IF(OR($H126&lt;&gt;"Y",9&lt;$I126),0,IF(SUMPRODUCT(((BULK_ENABLED="Y")*((BULK_TIER="ALL")+(BULK_TIER=$F126))*((BULK_SKU="ALL")+(BULK_SKU=$G126))*(BULK_START&lt;=9)*(BULK_END&gt;=9)))&gt;0,IFERROR(SUMPRODUCT(((BULK_ENABLED="Y")*((BULK_TIER="ALL")+(BULK_TIER=$F126))*((BULK_SKU="ALL")+(BULK_SKU=$G126))*(BULK_START&lt;=9)*(BULK_END&gt;=9))*IFERROR(BULK_VALUE,0))/MAX(1,SUMPRODUCT(((BULK_ENABLED="Y")*((BULK_TIER="ALL")+(BULK_TIER=$F126))*((BULK_SKU="ALL")+(BULK_SKU=$G126))*(BULK_START&lt;=9)*(BULK_END&gt;=9)))),0),ROUND((INDEX(VELOCITY_TABLE,MATCH($F126,TIER_LIST,0),2))*(IF((9-$I126+1)&lt;=0,0,IF((9-$I126+1)=1,RAMP_W1,IF((9-$I126+1)=2,RAMP_W2,IF((9-$I126+1)=3,RAMP_W3,RAMP_W4PLUS)))))*(INDEX(ACTIVE_MULT_TABLE,2,1))*(1+SUMPRODUCT(SIGN(((ACT_DOOR_SCOPE="ALL")+(ACT_DOOR_SCOPE="TIER_"&amp;$F126)+(ACT_DOOR_SCOPE=$B126)))*SIGN(((ACT_SKU_SCOPE="ALL")+(ACT_SKU_SCOPE=$G126)))*(ACT_START&lt;=9)*(ACT_END&gt;=9)*IFERROR(ACT_UPLIFT-1,0)))*(1+SUMPRODUCT(SIGN(((ACT_DOOR_SCOPE="ALL")+(ACT_DOOR_SCOPE="TIER_"&amp;$F126)+(ACT_DOOR_SCOPE=$B126)))*SIGN(((ACT_SKU_SCOPE="ALL")+(ACT_SKU_SCOPE=$G126)))*(9&gt;ACT_END)*(ACT_END&gt;0)*IFERROR(ACT_POSTLIFT,0))),0)))</f>
        <v/>
      </c>
      <c r="S126" s="10">
        <f>IF(OR($H126&lt;&gt;"Y",10&lt;$I126),0,IF(SUMPRODUCT(((BULK_ENABLED="Y")*((BULK_TIER="ALL")+(BULK_TIER=$F126))*((BULK_SKU="ALL")+(BULK_SKU=$G126))*(BULK_START&lt;=10)*(BULK_END&gt;=10)))&gt;0,IFERROR(SUMPRODUCT(((BULK_ENABLED="Y")*((BULK_TIER="ALL")+(BULK_TIER=$F126))*((BULK_SKU="ALL")+(BULK_SKU=$G126))*(BULK_START&lt;=10)*(BULK_END&gt;=10))*IFERROR(BULK_VALUE,0))/MAX(1,SUMPRODUCT(((BULK_ENABLED="Y")*((BULK_TIER="ALL")+(BULK_TIER=$F126))*((BULK_SKU="ALL")+(BULK_SKU=$G126))*(BULK_START&lt;=10)*(BULK_END&gt;=10)))),0),ROUND((INDEX(VELOCITY_TABLE,MATCH($F126,TIER_LIST,0),2))*(IF((10-$I126+1)&lt;=0,0,IF((10-$I126+1)=1,RAMP_W1,IF((10-$I126+1)=2,RAMP_W2,IF((10-$I126+1)=3,RAMP_W3,RAMP_W4PLUS)))))*(INDEX(ACTIVE_MULT_TABLE,2,1))*(1+SUMPRODUCT(SIGN(((ACT_DOOR_SCOPE="ALL")+(ACT_DOOR_SCOPE="TIER_"&amp;$F126)+(ACT_DOOR_SCOPE=$B126)))*SIGN(((ACT_SKU_SCOPE="ALL")+(ACT_SKU_SCOPE=$G126)))*(ACT_START&lt;=10)*(ACT_END&gt;=10)*IFERROR(ACT_UPLIFT-1,0)))*(1+SUMPRODUCT(SIGN(((ACT_DOOR_SCOPE="ALL")+(ACT_DOOR_SCOPE="TIER_"&amp;$F126)+(ACT_DOOR_SCOPE=$B126)))*SIGN(((ACT_SKU_SCOPE="ALL")+(ACT_SKU_SCOPE=$G126)))*(10&gt;ACT_END)*(ACT_END&gt;0)*IFERROR(ACT_POSTLIFT,0))),0)))</f>
        <v/>
      </c>
      <c r="T126" s="10">
        <f>IF(OR($H126&lt;&gt;"Y",11&lt;$I126),0,IF(SUMPRODUCT(((BULK_ENABLED="Y")*((BULK_TIER="ALL")+(BULK_TIER=$F126))*((BULK_SKU="ALL")+(BULK_SKU=$G126))*(BULK_START&lt;=11)*(BULK_END&gt;=11)))&gt;0,IFERROR(SUMPRODUCT(((BULK_ENABLED="Y")*((BULK_TIER="ALL")+(BULK_TIER=$F126))*((BULK_SKU="ALL")+(BULK_SKU=$G126))*(BULK_START&lt;=11)*(BULK_END&gt;=11))*IFERROR(BULK_VALUE,0))/MAX(1,SUMPRODUCT(((BULK_ENABLED="Y")*((BULK_TIER="ALL")+(BULK_TIER=$F126))*((BULK_SKU="ALL")+(BULK_SKU=$G126))*(BULK_START&lt;=11)*(BULK_END&gt;=11)))),0),ROUND((INDEX(VELOCITY_TABLE,MATCH($F126,TIER_LIST,0),2))*(IF((11-$I126+1)&lt;=0,0,IF((11-$I126+1)=1,RAMP_W1,IF((11-$I126+1)=2,RAMP_W2,IF((11-$I126+1)=3,RAMP_W3,RAMP_W4PLUS)))))*(INDEX(ACTIVE_MULT_TABLE,2,1))*(1+SUMPRODUCT(SIGN(((ACT_DOOR_SCOPE="ALL")+(ACT_DOOR_SCOPE="TIER_"&amp;$F126)+(ACT_DOOR_SCOPE=$B126)))*SIGN(((ACT_SKU_SCOPE="ALL")+(ACT_SKU_SCOPE=$G126)))*(ACT_START&lt;=11)*(ACT_END&gt;=11)*IFERROR(ACT_UPLIFT-1,0)))*(1+SUMPRODUCT(SIGN(((ACT_DOOR_SCOPE="ALL")+(ACT_DOOR_SCOPE="TIER_"&amp;$F126)+(ACT_DOOR_SCOPE=$B126)))*SIGN(((ACT_SKU_SCOPE="ALL")+(ACT_SKU_SCOPE=$G126)))*(11&gt;ACT_END)*(ACT_END&gt;0)*IFERROR(ACT_POSTLIFT,0))),0)))</f>
        <v/>
      </c>
      <c r="U126" s="10">
        <f>IF(OR($H126&lt;&gt;"Y",12&lt;$I126),0,IF(SUMPRODUCT(((BULK_ENABLED="Y")*((BULK_TIER="ALL")+(BULK_TIER=$F126))*((BULK_SKU="ALL")+(BULK_SKU=$G126))*(BULK_START&lt;=12)*(BULK_END&gt;=12)))&gt;0,IFERROR(SUMPRODUCT(((BULK_ENABLED="Y")*((BULK_TIER="ALL")+(BULK_TIER=$F126))*((BULK_SKU="ALL")+(BULK_SKU=$G126))*(BULK_START&lt;=12)*(BULK_END&gt;=12))*IFERROR(BULK_VALUE,0))/MAX(1,SUMPRODUCT(((BULK_ENABLED="Y")*((BULK_TIER="ALL")+(BULK_TIER=$F126))*((BULK_SKU="ALL")+(BULK_SKU=$G126))*(BULK_START&lt;=12)*(BULK_END&gt;=12)))),0),ROUND((INDEX(VELOCITY_TABLE,MATCH($F126,TIER_LIST,0),2))*(IF((12-$I126+1)&lt;=0,0,IF((12-$I126+1)=1,RAMP_W1,IF((12-$I126+1)=2,RAMP_W2,IF((12-$I126+1)=3,RAMP_W3,RAMP_W4PLUS)))))*(INDEX(ACTIVE_MULT_TABLE,2,1))*(1+SUMPRODUCT(SIGN(((ACT_DOOR_SCOPE="ALL")+(ACT_DOOR_SCOPE="TIER_"&amp;$F126)+(ACT_DOOR_SCOPE=$B126)))*SIGN(((ACT_SKU_SCOPE="ALL")+(ACT_SKU_SCOPE=$G126)))*(ACT_START&lt;=12)*(ACT_END&gt;=12)*IFERROR(ACT_UPLIFT-1,0)))*(1+SUMPRODUCT(SIGN(((ACT_DOOR_SCOPE="ALL")+(ACT_DOOR_SCOPE="TIER_"&amp;$F126)+(ACT_DOOR_SCOPE=$B126)))*SIGN(((ACT_SKU_SCOPE="ALL")+(ACT_SKU_SCOPE=$G126)))*(12&gt;ACT_END)*(ACT_END&gt;0)*IFERROR(ACT_POSTLIFT,0))),0)))</f>
        <v/>
      </c>
      <c r="V126" s="10">
        <f>IF(OR($H126&lt;&gt;"Y",13&lt;$I126),0,IF(SUMPRODUCT(((BULK_ENABLED="Y")*((BULK_TIER="ALL")+(BULK_TIER=$F126))*((BULK_SKU="ALL")+(BULK_SKU=$G126))*(BULK_START&lt;=13)*(BULK_END&gt;=13)))&gt;0,IFERROR(SUMPRODUCT(((BULK_ENABLED="Y")*((BULK_TIER="ALL")+(BULK_TIER=$F126))*((BULK_SKU="ALL")+(BULK_SKU=$G126))*(BULK_START&lt;=13)*(BULK_END&gt;=13))*IFERROR(BULK_VALUE,0))/MAX(1,SUMPRODUCT(((BULK_ENABLED="Y")*((BULK_TIER="ALL")+(BULK_TIER=$F126))*((BULK_SKU="ALL")+(BULK_SKU=$G126))*(BULK_START&lt;=13)*(BULK_END&gt;=13)))),0),ROUND((INDEX(VELOCITY_TABLE,MATCH($F126,TIER_LIST,0),2))*(IF((13-$I126+1)&lt;=0,0,IF((13-$I126+1)=1,RAMP_W1,IF((13-$I126+1)=2,RAMP_W2,IF((13-$I126+1)=3,RAMP_W3,RAMP_W4PLUS)))))*(INDEX(ACTIVE_MULT_TABLE,2,1))*(1+SUMPRODUCT(SIGN(((ACT_DOOR_SCOPE="ALL")+(ACT_DOOR_SCOPE="TIER_"&amp;$F126)+(ACT_DOOR_SCOPE=$B126)))*SIGN(((ACT_SKU_SCOPE="ALL")+(ACT_SKU_SCOPE=$G126)))*(ACT_START&lt;=13)*(ACT_END&gt;=13)*IFERROR(ACT_UPLIFT-1,0)))*(1+SUMPRODUCT(SIGN(((ACT_DOOR_SCOPE="ALL")+(ACT_DOOR_SCOPE="TIER_"&amp;$F126)+(ACT_DOOR_SCOPE=$B126)))*SIGN(((ACT_SKU_SCOPE="ALL")+(ACT_SKU_SCOPE=$G126)))*(13&gt;ACT_END)*(ACT_END&gt;0)*IFERROR(ACT_POSTLIFT,0))),0)))</f>
        <v/>
      </c>
    </row>
    <row r="127">
      <c r="A127" t="inlineStr">
        <is>
          <t>R0123</t>
        </is>
      </c>
      <c r="B127">
        <f>Doors!$A$45</f>
        <v/>
      </c>
      <c r="C127">
        <f>Doors!$C$45</f>
        <v/>
      </c>
      <c r="D127">
        <f>Doors!$B$45</f>
        <v/>
      </c>
      <c r="E127">
        <f>Doors!$E$45</f>
        <v/>
      </c>
      <c r="F127">
        <f>Doors!$F$45</f>
        <v/>
      </c>
      <c r="G127" t="inlineStr">
        <is>
          <t>Raspberry</t>
        </is>
      </c>
      <c r="H127">
        <f>Doors!$I$45</f>
        <v/>
      </c>
      <c r="I127">
        <f>Doors!$J$45</f>
        <v/>
      </c>
      <c r="J127" s="10">
        <f>IF(OR($H127&lt;&gt;"Y",1&lt;$I127),0,IF(SUMPRODUCT(((BULK_ENABLED="Y")*((BULK_TIER="ALL")+(BULK_TIER=$F127))*((BULK_SKU="ALL")+(BULK_SKU=$G127))*(BULK_START&lt;=1)*(BULK_END&gt;=1)))&gt;0,IFERROR(SUMPRODUCT(((BULK_ENABLED="Y")*((BULK_TIER="ALL")+(BULK_TIER=$F127))*((BULK_SKU="ALL")+(BULK_SKU=$G127))*(BULK_START&lt;=1)*(BULK_END&gt;=1))*IFERROR(BULK_VALUE,0))/MAX(1,SUMPRODUCT(((BULK_ENABLED="Y")*((BULK_TIER="ALL")+(BULK_TIER=$F127))*((BULK_SKU="ALL")+(BULK_SKU=$G127))*(BULK_START&lt;=1)*(BULK_END&gt;=1)))),0),ROUND((INDEX(VELOCITY_TABLE,MATCH($F127,TIER_LIST,0),3))*(IF((1-$I127+1)&lt;=0,0,IF((1-$I127+1)=1,RAMP_W1,IF((1-$I127+1)=2,RAMP_W2,IF((1-$I127+1)=3,RAMP_W3,RAMP_W4PLUS)))))*(INDEX(ACTIVE_MULT_TABLE,3,1))*(1+SUMPRODUCT(SIGN(((ACT_DOOR_SCOPE="ALL")+(ACT_DOOR_SCOPE="TIER_"&amp;$F127)+(ACT_DOOR_SCOPE=$B127)))*SIGN(((ACT_SKU_SCOPE="ALL")+(ACT_SKU_SCOPE=$G127)))*(ACT_START&lt;=1)*(ACT_END&gt;=1)*IFERROR(ACT_UPLIFT-1,0)))*(1+SUMPRODUCT(SIGN(((ACT_DOOR_SCOPE="ALL")+(ACT_DOOR_SCOPE="TIER_"&amp;$F127)+(ACT_DOOR_SCOPE=$B127)))*SIGN(((ACT_SKU_SCOPE="ALL")+(ACT_SKU_SCOPE=$G127)))*(1&gt;ACT_END)*(ACT_END&gt;0)*IFERROR(ACT_POSTLIFT,0))),0)))</f>
        <v/>
      </c>
      <c r="K127" s="10">
        <f>IF(OR($H127&lt;&gt;"Y",2&lt;$I127),0,IF(SUMPRODUCT(((BULK_ENABLED="Y")*((BULK_TIER="ALL")+(BULK_TIER=$F127))*((BULK_SKU="ALL")+(BULK_SKU=$G127))*(BULK_START&lt;=2)*(BULK_END&gt;=2)))&gt;0,IFERROR(SUMPRODUCT(((BULK_ENABLED="Y")*((BULK_TIER="ALL")+(BULK_TIER=$F127))*((BULK_SKU="ALL")+(BULK_SKU=$G127))*(BULK_START&lt;=2)*(BULK_END&gt;=2))*IFERROR(BULK_VALUE,0))/MAX(1,SUMPRODUCT(((BULK_ENABLED="Y")*((BULK_TIER="ALL")+(BULK_TIER=$F127))*((BULK_SKU="ALL")+(BULK_SKU=$G127))*(BULK_START&lt;=2)*(BULK_END&gt;=2)))),0),ROUND((INDEX(VELOCITY_TABLE,MATCH($F127,TIER_LIST,0),3))*(IF((2-$I127+1)&lt;=0,0,IF((2-$I127+1)=1,RAMP_W1,IF((2-$I127+1)=2,RAMP_W2,IF((2-$I127+1)=3,RAMP_W3,RAMP_W4PLUS)))))*(INDEX(ACTIVE_MULT_TABLE,3,1))*(1+SUMPRODUCT(SIGN(((ACT_DOOR_SCOPE="ALL")+(ACT_DOOR_SCOPE="TIER_"&amp;$F127)+(ACT_DOOR_SCOPE=$B127)))*SIGN(((ACT_SKU_SCOPE="ALL")+(ACT_SKU_SCOPE=$G127)))*(ACT_START&lt;=2)*(ACT_END&gt;=2)*IFERROR(ACT_UPLIFT-1,0)))*(1+SUMPRODUCT(SIGN(((ACT_DOOR_SCOPE="ALL")+(ACT_DOOR_SCOPE="TIER_"&amp;$F127)+(ACT_DOOR_SCOPE=$B127)))*SIGN(((ACT_SKU_SCOPE="ALL")+(ACT_SKU_SCOPE=$G127)))*(2&gt;ACT_END)*(ACT_END&gt;0)*IFERROR(ACT_POSTLIFT,0))),0)))</f>
        <v/>
      </c>
      <c r="L127" s="10">
        <f>IF(OR($H127&lt;&gt;"Y",3&lt;$I127),0,IF(SUMPRODUCT(((BULK_ENABLED="Y")*((BULK_TIER="ALL")+(BULK_TIER=$F127))*((BULK_SKU="ALL")+(BULK_SKU=$G127))*(BULK_START&lt;=3)*(BULK_END&gt;=3)))&gt;0,IFERROR(SUMPRODUCT(((BULK_ENABLED="Y")*((BULK_TIER="ALL")+(BULK_TIER=$F127))*((BULK_SKU="ALL")+(BULK_SKU=$G127))*(BULK_START&lt;=3)*(BULK_END&gt;=3))*IFERROR(BULK_VALUE,0))/MAX(1,SUMPRODUCT(((BULK_ENABLED="Y")*((BULK_TIER="ALL")+(BULK_TIER=$F127))*((BULK_SKU="ALL")+(BULK_SKU=$G127))*(BULK_START&lt;=3)*(BULK_END&gt;=3)))),0),ROUND((INDEX(VELOCITY_TABLE,MATCH($F127,TIER_LIST,0),3))*(IF((3-$I127+1)&lt;=0,0,IF((3-$I127+1)=1,RAMP_W1,IF((3-$I127+1)=2,RAMP_W2,IF((3-$I127+1)=3,RAMP_W3,RAMP_W4PLUS)))))*(INDEX(ACTIVE_MULT_TABLE,3,1))*(1+SUMPRODUCT(SIGN(((ACT_DOOR_SCOPE="ALL")+(ACT_DOOR_SCOPE="TIER_"&amp;$F127)+(ACT_DOOR_SCOPE=$B127)))*SIGN(((ACT_SKU_SCOPE="ALL")+(ACT_SKU_SCOPE=$G127)))*(ACT_START&lt;=3)*(ACT_END&gt;=3)*IFERROR(ACT_UPLIFT-1,0)))*(1+SUMPRODUCT(SIGN(((ACT_DOOR_SCOPE="ALL")+(ACT_DOOR_SCOPE="TIER_"&amp;$F127)+(ACT_DOOR_SCOPE=$B127)))*SIGN(((ACT_SKU_SCOPE="ALL")+(ACT_SKU_SCOPE=$G127)))*(3&gt;ACT_END)*(ACT_END&gt;0)*IFERROR(ACT_POSTLIFT,0))),0)))</f>
        <v/>
      </c>
      <c r="M127" s="10">
        <f>IF(OR($H127&lt;&gt;"Y",4&lt;$I127),0,IF(SUMPRODUCT(((BULK_ENABLED="Y")*((BULK_TIER="ALL")+(BULK_TIER=$F127))*((BULK_SKU="ALL")+(BULK_SKU=$G127))*(BULK_START&lt;=4)*(BULK_END&gt;=4)))&gt;0,IFERROR(SUMPRODUCT(((BULK_ENABLED="Y")*((BULK_TIER="ALL")+(BULK_TIER=$F127))*((BULK_SKU="ALL")+(BULK_SKU=$G127))*(BULK_START&lt;=4)*(BULK_END&gt;=4))*IFERROR(BULK_VALUE,0))/MAX(1,SUMPRODUCT(((BULK_ENABLED="Y")*((BULK_TIER="ALL")+(BULK_TIER=$F127))*((BULK_SKU="ALL")+(BULK_SKU=$G127))*(BULK_START&lt;=4)*(BULK_END&gt;=4)))),0),ROUND((INDEX(VELOCITY_TABLE,MATCH($F127,TIER_LIST,0),3))*(IF((4-$I127+1)&lt;=0,0,IF((4-$I127+1)=1,RAMP_W1,IF((4-$I127+1)=2,RAMP_W2,IF((4-$I127+1)=3,RAMP_W3,RAMP_W4PLUS)))))*(INDEX(ACTIVE_MULT_TABLE,3,1))*(1+SUMPRODUCT(SIGN(((ACT_DOOR_SCOPE="ALL")+(ACT_DOOR_SCOPE="TIER_"&amp;$F127)+(ACT_DOOR_SCOPE=$B127)))*SIGN(((ACT_SKU_SCOPE="ALL")+(ACT_SKU_SCOPE=$G127)))*(ACT_START&lt;=4)*(ACT_END&gt;=4)*IFERROR(ACT_UPLIFT-1,0)))*(1+SUMPRODUCT(SIGN(((ACT_DOOR_SCOPE="ALL")+(ACT_DOOR_SCOPE="TIER_"&amp;$F127)+(ACT_DOOR_SCOPE=$B127)))*SIGN(((ACT_SKU_SCOPE="ALL")+(ACT_SKU_SCOPE=$G127)))*(4&gt;ACT_END)*(ACT_END&gt;0)*IFERROR(ACT_POSTLIFT,0))),0)))</f>
        <v/>
      </c>
      <c r="N127" s="10">
        <f>IF(OR($H127&lt;&gt;"Y",5&lt;$I127),0,IF(SUMPRODUCT(((BULK_ENABLED="Y")*((BULK_TIER="ALL")+(BULK_TIER=$F127))*((BULK_SKU="ALL")+(BULK_SKU=$G127))*(BULK_START&lt;=5)*(BULK_END&gt;=5)))&gt;0,IFERROR(SUMPRODUCT(((BULK_ENABLED="Y")*((BULK_TIER="ALL")+(BULK_TIER=$F127))*((BULK_SKU="ALL")+(BULK_SKU=$G127))*(BULK_START&lt;=5)*(BULK_END&gt;=5))*IFERROR(BULK_VALUE,0))/MAX(1,SUMPRODUCT(((BULK_ENABLED="Y")*((BULK_TIER="ALL")+(BULK_TIER=$F127))*((BULK_SKU="ALL")+(BULK_SKU=$G127))*(BULK_START&lt;=5)*(BULK_END&gt;=5)))),0),ROUND((INDEX(VELOCITY_TABLE,MATCH($F127,TIER_LIST,0),3))*(IF((5-$I127+1)&lt;=0,0,IF((5-$I127+1)=1,RAMP_W1,IF((5-$I127+1)=2,RAMP_W2,IF((5-$I127+1)=3,RAMP_W3,RAMP_W4PLUS)))))*(INDEX(ACTIVE_MULT_TABLE,3,1))*(1+SUMPRODUCT(SIGN(((ACT_DOOR_SCOPE="ALL")+(ACT_DOOR_SCOPE="TIER_"&amp;$F127)+(ACT_DOOR_SCOPE=$B127)))*SIGN(((ACT_SKU_SCOPE="ALL")+(ACT_SKU_SCOPE=$G127)))*(ACT_START&lt;=5)*(ACT_END&gt;=5)*IFERROR(ACT_UPLIFT-1,0)))*(1+SUMPRODUCT(SIGN(((ACT_DOOR_SCOPE="ALL")+(ACT_DOOR_SCOPE="TIER_"&amp;$F127)+(ACT_DOOR_SCOPE=$B127)))*SIGN(((ACT_SKU_SCOPE="ALL")+(ACT_SKU_SCOPE=$G127)))*(5&gt;ACT_END)*(ACT_END&gt;0)*IFERROR(ACT_POSTLIFT,0))),0)))</f>
        <v/>
      </c>
      <c r="O127" s="10">
        <f>IF(OR($H127&lt;&gt;"Y",6&lt;$I127),0,IF(SUMPRODUCT(((BULK_ENABLED="Y")*((BULK_TIER="ALL")+(BULK_TIER=$F127))*((BULK_SKU="ALL")+(BULK_SKU=$G127))*(BULK_START&lt;=6)*(BULK_END&gt;=6)))&gt;0,IFERROR(SUMPRODUCT(((BULK_ENABLED="Y")*((BULK_TIER="ALL")+(BULK_TIER=$F127))*((BULK_SKU="ALL")+(BULK_SKU=$G127))*(BULK_START&lt;=6)*(BULK_END&gt;=6))*IFERROR(BULK_VALUE,0))/MAX(1,SUMPRODUCT(((BULK_ENABLED="Y")*((BULK_TIER="ALL")+(BULK_TIER=$F127))*((BULK_SKU="ALL")+(BULK_SKU=$G127))*(BULK_START&lt;=6)*(BULK_END&gt;=6)))),0),ROUND((INDEX(VELOCITY_TABLE,MATCH($F127,TIER_LIST,0),3))*(IF((6-$I127+1)&lt;=0,0,IF((6-$I127+1)=1,RAMP_W1,IF((6-$I127+1)=2,RAMP_W2,IF((6-$I127+1)=3,RAMP_W3,RAMP_W4PLUS)))))*(INDEX(ACTIVE_MULT_TABLE,3,1))*(1+SUMPRODUCT(SIGN(((ACT_DOOR_SCOPE="ALL")+(ACT_DOOR_SCOPE="TIER_"&amp;$F127)+(ACT_DOOR_SCOPE=$B127)))*SIGN(((ACT_SKU_SCOPE="ALL")+(ACT_SKU_SCOPE=$G127)))*(ACT_START&lt;=6)*(ACT_END&gt;=6)*IFERROR(ACT_UPLIFT-1,0)))*(1+SUMPRODUCT(SIGN(((ACT_DOOR_SCOPE="ALL")+(ACT_DOOR_SCOPE="TIER_"&amp;$F127)+(ACT_DOOR_SCOPE=$B127)))*SIGN(((ACT_SKU_SCOPE="ALL")+(ACT_SKU_SCOPE=$G127)))*(6&gt;ACT_END)*(ACT_END&gt;0)*IFERROR(ACT_POSTLIFT,0))),0)))</f>
        <v/>
      </c>
      <c r="P127" s="10">
        <f>IF(OR($H127&lt;&gt;"Y",7&lt;$I127),0,IF(SUMPRODUCT(((BULK_ENABLED="Y")*((BULK_TIER="ALL")+(BULK_TIER=$F127))*((BULK_SKU="ALL")+(BULK_SKU=$G127))*(BULK_START&lt;=7)*(BULK_END&gt;=7)))&gt;0,IFERROR(SUMPRODUCT(((BULK_ENABLED="Y")*((BULK_TIER="ALL")+(BULK_TIER=$F127))*((BULK_SKU="ALL")+(BULK_SKU=$G127))*(BULK_START&lt;=7)*(BULK_END&gt;=7))*IFERROR(BULK_VALUE,0))/MAX(1,SUMPRODUCT(((BULK_ENABLED="Y")*((BULK_TIER="ALL")+(BULK_TIER=$F127))*((BULK_SKU="ALL")+(BULK_SKU=$G127))*(BULK_START&lt;=7)*(BULK_END&gt;=7)))),0),ROUND((INDEX(VELOCITY_TABLE,MATCH($F127,TIER_LIST,0),3))*(IF((7-$I127+1)&lt;=0,0,IF((7-$I127+1)=1,RAMP_W1,IF((7-$I127+1)=2,RAMP_W2,IF((7-$I127+1)=3,RAMP_W3,RAMP_W4PLUS)))))*(INDEX(ACTIVE_MULT_TABLE,3,1))*(1+SUMPRODUCT(SIGN(((ACT_DOOR_SCOPE="ALL")+(ACT_DOOR_SCOPE="TIER_"&amp;$F127)+(ACT_DOOR_SCOPE=$B127)))*SIGN(((ACT_SKU_SCOPE="ALL")+(ACT_SKU_SCOPE=$G127)))*(ACT_START&lt;=7)*(ACT_END&gt;=7)*IFERROR(ACT_UPLIFT-1,0)))*(1+SUMPRODUCT(SIGN(((ACT_DOOR_SCOPE="ALL")+(ACT_DOOR_SCOPE="TIER_"&amp;$F127)+(ACT_DOOR_SCOPE=$B127)))*SIGN(((ACT_SKU_SCOPE="ALL")+(ACT_SKU_SCOPE=$G127)))*(7&gt;ACT_END)*(ACT_END&gt;0)*IFERROR(ACT_POSTLIFT,0))),0)))</f>
        <v/>
      </c>
      <c r="Q127" s="10">
        <f>IF(OR($H127&lt;&gt;"Y",8&lt;$I127),0,IF(SUMPRODUCT(((BULK_ENABLED="Y")*((BULK_TIER="ALL")+(BULK_TIER=$F127))*((BULK_SKU="ALL")+(BULK_SKU=$G127))*(BULK_START&lt;=8)*(BULK_END&gt;=8)))&gt;0,IFERROR(SUMPRODUCT(((BULK_ENABLED="Y")*((BULK_TIER="ALL")+(BULK_TIER=$F127))*((BULK_SKU="ALL")+(BULK_SKU=$G127))*(BULK_START&lt;=8)*(BULK_END&gt;=8))*IFERROR(BULK_VALUE,0))/MAX(1,SUMPRODUCT(((BULK_ENABLED="Y")*((BULK_TIER="ALL")+(BULK_TIER=$F127))*((BULK_SKU="ALL")+(BULK_SKU=$G127))*(BULK_START&lt;=8)*(BULK_END&gt;=8)))),0),ROUND((INDEX(VELOCITY_TABLE,MATCH($F127,TIER_LIST,0),3))*(IF((8-$I127+1)&lt;=0,0,IF((8-$I127+1)=1,RAMP_W1,IF((8-$I127+1)=2,RAMP_W2,IF((8-$I127+1)=3,RAMP_W3,RAMP_W4PLUS)))))*(INDEX(ACTIVE_MULT_TABLE,3,1))*(1+SUMPRODUCT(SIGN(((ACT_DOOR_SCOPE="ALL")+(ACT_DOOR_SCOPE="TIER_"&amp;$F127)+(ACT_DOOR_SCOPE=$B127)))*SIGN(((ACT_SKU_SCOPE="ALL")+(ACT_SKU_SCOPE=$G127)))*(ACT_START&lt;=8)*(ACT_END&gt;=8)*IFERROR(ACT_UPLIFT-1,0)))*(1+SUMPRODUCT(SIGN(((ACT_DOOR_SCOPE="ALL")+(ACT_DOOR_SCOPE="TIER_"&amp;$F127)+(ACT_DOOR_SCOPE=$B127)))*SIGN(((ACT_SKU_SCOPE="ALL")+(ACT_SKU_SCOPE=$G127)))*(8&gt;ACT_END)*(ACT_END&gt;0)*IFERROR(ACT_POSTLIFT,0))),0)))</f>
        <v/>
      </c>
      <c r="R127" s="10">
        <f>IF(OR($H127&lt;&gt;"Y",9&lt;$I127),0,IF(SUMPRODUCT(((BULK_ENABLED="Y")*((BULK_TIER="ALL")+(BULK_TIER=$F127))*((BULK_SKU="ALL")+(BULK_SKU=$G127))*(BULK_START&lt;=9)*(BULK_END&gt;=9)))&gt;0,IFERROR(SUMPRODUCT(((BULK_ENABLED="Y")*((BULK_TIER="ALL")+(BULK_TIER=$F127))*((BULK_SKU="ALL")+(BULK_SKU=$G127))*(BULK_START&lt;=9)*(BULK_END&gt;=9))*IFERROR(BULK_VALUE,0))/MAX(1,SUMPRODUCT(((BULK_ENABLED="Y")*((BULK_TIER="ALL")+(BULK_TIER=$F127))*((BULK_SKU="ALL")+(BULK_SKU=$G127))*(BULK_START&lt;=9)*(BULK_END&gt;=9)))),0),ROUND((INDEX(VELOCITY_TABLE,MATCH($F127,TIER_LIST,0),3))*(IF((9-$I127+1)&lt;=0,0,IF((9-$I127+1)=1,RAMP_W1,IF((9-$I127+1)=2,RAMP_W2,IF((9-$I127+1)=3,RAMP_W3,RAMP_W4PLUS)))))*(INDEX(ACTIVE_MULT_TABLE,3,1))*(1+SUMPRODUCT(SIGN(((ACT_DOOR_SCOPE="ALL")+(ACT_DOOR_SCOPE="TIER_"&amp;$F127)+(ACT_DOOR_SCOPE=$B127)))*SIGN(((ACT_SKU_SCOPE="ALL")+(ACT_SKU_SCOPE=$G127)))*(ACT_START&lt;=9)*(ACT_END&gt;=9)*IFERROR(ACT_UPLIFT-1,0)))*(1+SUMPRODUCT(SIGN(((ACT_DOOR_SCOPE="ALL")+(ACT_DOOR_SCOPE="TIER_"&amp;$F127)+(ACT_DOOR_SCOPE=$B127)))*SIGN(((ACT_SKU_SCOPE="ALL")+(ACT_SKU_SCOPE=$G127)))*(9&gt;ACT_END)*(ACT_END&gt;0)*IFERROR(ACT_POSTLIFT,0))),0)))</f>
        <v/>
      </c>
      <c r="S127" s="10">
        <f>IF(OR($H127&lt;&gt;"Y",10&lt;$I127),0,IF(SUMPRODUCT(((BULK_ENABLED="Y")*((BULK_TIER="ALL")+(BULK_TIER=$F127))*((BULK_SKU="ALL")+(BULK_SKU=$G127))*(BULK_START&lt;=10)*(BULK_END&gt;=10)))&gt;0,IFERROR(SUMPRODUCT(((BULK_ENABLED="Y")*((BULK_TIER="ALL")+(BULK_TIER=$F127))*((BULK_SKU="ALL")+(BULK_SKU=$G127))*(BULK_START&lt;=10)*(BULK_END&gt;=10))*IFERROR(BULK_VALUE,0))/MAX(1,SUMPRODUCT(((BULK_ENABLED="Y")*((BULK_TIER="ALL")+(BULK_TIER=$F127))*((BULK_SKU="ALL")+(BULK_SKU=$G127))*(BULK_START&lt;=10)*(BULK_END&gt;=10)))),0),ROUND((INDEX(VELOCITY_TABLE,MATCH($F127,TIER_LIST,0),3))*(IF((10-$I127+1)&lt;=0,0,IF((10-$I127+1)=1,RAMP_W1,IF((10-$I127+1)=2,RAMP_W2,IF((10-$I127+1)=3,RAMP_W3,RAMP_W4PLUS)))))*(INDEX(ACTIVE_MULT_TABLE,3,1))*(1+SUMPRODUCT(SIGN(((ACT_DOOR_SCOPE="ALL")+(ACT_DOOR_SCOPE="TIER_"&amp;$F127)+(ACT_DOOR_SCOPE=$B127)))*SIGN(((ACT_SKU_SCOPE="ALL")+(ACT_SKU_SCOPE=$G127)))*(ACT_START&lt;=10)*(ACT_END&gt;=10)*IFERROR(ACT_UPLIFT-1,0)))*(1+SUMPRODUCT(SIGN(((ACT_DOOR_SCOPE="ALL")+(ACT_DOOR_SCOPE="TIER_"&amp;$F127)+(ACT_DOOR_SCOPE=$B127)))*SIGN(((ACT_SKU_SCOPE="ALL")+(ACT_SKU_SCOPE=$G127)))*(10&gt;ACT_END)*(ACT_END&gt;0)*IFERROR(ACT_POSTLIFT,0))),0)))</f>
        <v/>
      </c>
      <c r="T127" s="10">
        <f>IF(OR($H127&lt;&gt;"Y",11&lt;$I127),0,IF(SUMPRODUCT(((BULK_ENABLED="Y")*((BULK_TIER="ALL")+(BULK_TIER=$F127))*((BULK_SKU="ALL")+(BULK_SKU=$G127))*(BULK_START&lt;=11)*(BULK_END&gt;=11)))&gt;0,IFERROR(SUMPRODUCT(((BULK_ENABLED="Y")*((BULK_TIER="ALL")+(BULK_TIER=$F127))*((BULK_SKU="ALL")+(BULK_SKU=$G127))*(BULK_START&lt;=11)*(BULK_END&gt;=11))*IFERROR(BULK_VALUE,0))/MAX(1,SUMPRODUCT(((BULK_ENABLED="Y")*((BULK_TIER="ALL")+(BULK_TIER=$F127))*((BULK_SKU="ALL")+(BULK_SKU=$G127))*(BULK_START&lt;=11)*(BULK_END&gt;=11)))),0),ROUND((INDEX(VELOCITY_TABLE,MATCH($F127,TIER_LIST,0),3))*(IF((11-$I127+1)&lt;=0,0,IF((11-$I127+1)=1,RAMP_W1,IF((11-$I127+1)=2,RAMP_W2,IF((11-$I127+1)=3,RAMP_W3,RAMP_W4PLUS)))))*(INDEX(ACTIVE_MULT_TABLE,3,1))*(1+SUMPRODUCT(SIGN(((ACT_DOOR_SCOPE="ALL")+(ACT_DOOR_SCOPE="TIER_"&amp;$F127)+(ACT_DOOR_SCOPE=$B127)))*SIGN(((ACT_SKU_SCOPE="ALL")+(ACT_SKU_SCOPE=$G127)))*(ACT_START&lt;=11)*(ACT_END&gt;=11)*IFERROR(ACT_UPLIFT-1,0)))*(1+SUMPRODUCT(SIGN(((ACT_DOOR_SCOPE="ALL")+(ACT_DOOR_SCOPE="TIER_"&amp;$F127)+(ACT_DOOR_SCOPE=$B127)))*SIGN(((ACT_SKU_SCOPE="ALL")+(ACT_SKU_SCOPE=$G127)))*(11&gt;ACT_END)*(ACT_END&gt;0)*IFERROR(ACT_POSTLIFT,0))),0)))</f>
        <v/>
      </c>
      <c r="U127" s="10">
        <f>IF(OR($H127&lt;&gt;"Y",12&lt;$I127),0,IF(SUMPRODUCT(((BULK_ENABLED="Y")*((BULK_TIER="ALL")+(BULK_TIER=$F127))*((BULK_SKU="ALL")+(BULK_SKU=$G127))*(BULK_START&lt;=12)*(BULK_END&gt;=12)))&gt;0,IFERROR(SUMPRODUCT(((BULK_ENABLED="Y")*((BULK_TIER="ALL")+(BULK_TIER=$F127))*((BULK_SKU="ALL")+(BULK_SKU=$G127))*(BULK_START&lt;=12)*(BULK_END&gt;=12))*IFERROR(BULK_VALUE,0))/MAX(1,SUMPRODUCT(((BULK_ENABLED="Y")*((BULK_TIER="ALL")+(BULK_TIER=$F127))*((BULK_SKU="ALL")+(BULK_SKU=$G127))*(BULK_START&lt;=12)*(BULK_END&gt;=12)))),0),ROUND((INDEX(VELOCITY_TABLE,MATCH($F127,TIER_LIST,0),3))*(IF((12-$I127+1)&lt;=0,0,IF((12-$I127+1)=1,RAMP_W1,IF((12-$I127+1)=2,RAMP_W2,IF((12-$I127+1)=3,RAMP_W3,RAMP_W4PLUS)))))*(INDEX(ACTIVE_MULT_TABLE,3,1))*(1+SUMPRODUCT(SIGN(((ACT_DOOR_SCOPE="ALL")+(ACT_DOOR_SCOPE="TIER_"&amp;$F127)+(ACT_DOOR_SCOPE=$B127)))*SIGN(((ACT_SKU_SCOPE="ALL")+(ACT_SKU_SCOPE=$G127)))*(ACT_START&lt;=12)*(ACT_END&gt;=12)*IFERROR(ACT_UPLIFT-1,0)))*(1+SUMPRODUCT(SIGN(((ACT_DOOR_SCOPE="ALL")+(ACT_DOOR_SCOPE="TIER_"&amp;$F127)+(ACT_DOOR_SCOPE=$B127)))*SIGN(((ACT_SKU_SCOPE="ALL")+(ACT_SKU_SCOPE=$G127)))*(12&gt;ACT_END)*(ACT_END&gt;0)*IFERROR(ACT_POSTLIFT,0))),0)))</f>
        <v/>
      </c>
      <c r="V127" s="10">
        <f>IF(OR($H127&lt;&gt;"Y",13&lt;$I127),0,IF(SUMPRODUCT(((BULK_ENABLED="Y")*((BULK_TIER="ALL")+(BULK_TIER=$F127))*((BULK_SKU="ALL")+(BULK_SKU=$G127))*(BULK_START&lt;=13)*(BULK_END&gt;=13)))&gt;0,IFERROR(SUMPRODUCT(((BULK_ENABLED="Y")*((BULK_TIER="ALL")+(BULK_TIER=$F127))*((BULK_SKU="ALL")+(BULK_SKU=$G127))*(BULK_START&lt;=13)*(BULK_END&gt;=13))*IFERROR(BULK_VALUE,0))/MAX(1,SUMPRODUCT(((BULK_ENABLED="Y")*((BULK_TIER="ALL")+(BULK_TIER=$F127))*((BULK_SKU="ALL")+(BULK_SKU=$G127))*(BULK_START&lt;=13)*(BULK_END&gt;=13)))),0),ROUND((INDEX(VELOCITY_TABLE,MATCH($F127,TIER_LIST,0),3))*(IF((13-$I127+1)&lt;=0,0,IF((13-$I127+1)=1,RAMP_W1,IF((13-$I127+1)=2,RAMP_W2,IF((13-$I127+1)=3,RAMP_W3,RAMP_W4PLUS)))))*(INDEX(ACTIVE_MULT_TABLE,3,1))*(1+SUMPRODUCT(SIGN(((ACT_DOOR_SCOPE="ALL")+(ACT_DOOR_SCOPE="TIER_"&amp;$F127)+(ACT_DOOR_SCOPE=$B127)))*SIGN(((ACT_SKU_SCOPE="ALL")+(ACT_SKU_SCOPE=$G127)))*(ACT_START&lt;=13)*(ACT_END&gt;=13)*IFERROR(ACT_UPLIFT-1,0)))*(1+SUMPRODUCT(SIGN(((ACT_DOOR_SCOPE="ALL")+(ACT_DOOR_SCOPE="TIER_"&amp;$F127)+(ACT_DOOR_SCOPE=$B127)))*SIGN(((ACT_SKU_SCOPE="ALL")+(ACT_SKU_SCOPE=$G127)))*(13&gt;ACT_END)*(ACT_END&gt;0)*IFERROR(ACT_POSTLIFT,0))),0)))</f>
        <v/>
      </c>
    </row>
    <row r="128">
      <c r="A128" t="inlineStr">
        <is>
          <t>R0124</t>
        </is>
      </c>
      <c r="B128">
        <f>Doors!$A$46</f>
        <v/>
      </c>
      <c r="C128">
        <f>Doors!$C$46</f>
        <v/>
      </c>
      <c r="D128">
        <f>Doors!$B$46</f>
        <v/>
      </c>
      <c r="E128">
        <f>Doors!$E$46</f>
        <v/>
      </c>
      <c r="F128">
        <f>Doors!$F$46</f>
        <v/>
      </c>
      <c r="G128" t="inlineStr">
        <is>
          <t>Lime Lemon</t>
        </is>
      </c>
      <c r="H128">
        <f>Doors!$G$46</f>
        <v/>
      </c>
      <c r="I128">
        <f>Doors!$J$46</f>
        <v/>
      </c>
      <c r="J128" s="10">
        <f>IF(OR($H128&lt;&gt;"Y",1&lt;$I128),0,IF(SUMPRODUCT(((BULK_ENABLED="Y")*((BULK_TIER="ALL")+(BULK_TIER=$F128))*((BULK_SKU="ALL")+(BULK_SKU=$G128))*(BULK_START&lt;=1)*(BULK_END&gt;=1)))&gt;0,IFERROR(SUMPRODUCT(((BULK_ENABLED="Y")*((BULK_TIER="ALL")+(BULK_TIER=$F128))*((BULK_SKU="ALL")+(BULK_SKU=$G128))*(BULK_START&lt;=1)*(BULK_END&gt;=1))*IFERROR(BULK_VALUE,0))/MAX(1,SUMPRODUCT(((BULK_ENABLED="Y")*((BULK_TIER="ALL")+(BULK_TIER=$F128))*((BULK_SKU="ALL")+(BULK_SKU=$G128))*(BULK_START&lt;=1)*(BULK_END&gt;=1)))),0),ROUND((INDEX(VELOCITY_TABLE,MATCH($F128,TIER_LIST,0),1))*(IF((1-$I128+1)&lt;=0,0,IF((1-$I128+1)=1,RAMP_W1,IF((1-$I128+1)=2,RAMP_W2,IF((1-$I128+1)=3,RAMP_W3,RAMP_W4PLUS)))))*(INDEX(ACTIVE_MULT_TABLE,1,1))*(1+SUMPRODUCT(SIGN(((ACT_DOOR_SCOPE="ALL")+(ACT_DOOR_SCOPE="TIER_"&amp;$F128)+(ACT_DOOR_SCOPE=$B128)))*SIGN(((ACT_SKU_SCOPE="ALL")+(ACT_SKU_SCOPE=$G128)))*(ACT_START&lt;=1)*(ACT_END&gt;=1)*IFERROR(ACT_UPLIFT-1,0)))*(1+SUMPRODUCT(SIGN(((ACT_DOOR_SCOPE="ALL")+(ACT_DOOR_SCOPE="TIER_"&amp;$F128)+(ACT_DOOR_SCOPE=$B128)))*SIGN(((ACT_SKU_SCOPE="ALL")+(ACT_SKU_SCOPE=$G128)))*(1&gt;ACT_END)*(ACT_END&gt;0)*IFERROR(ACT_POSTLIFT,0))),0)))</f>
        <v/>
      </c>
      <c r="K128" s="10">
        <f>IF(OR($H128&lt;&gt;"Y",2&lt;$I128),0,IF(SUMPRODUCT(((BULK_ENABLED="Y")*((BULK_TIER="ALL")+(BULK_TIER=$F128))*((BULK_SKU="ALL")+(BULK_SKU=$G128))*(BULK_START&lt;=2)*(BULK_END&gt;=2)))&gt;0,IFERROR(SUMPRODUCT(((BULK_ENABLED="Y")*((BULK_TIER="ALL")+(BULK_TIER=$F128))*((BULK_SKU="ALL")+(BULK_SKU=$G128))*(BULK_START&lt;=2)*(BULK_END&gt;=2))*IFERROR(BULK_VALUE,0))/MAX(1,SUMPRODUCT(((BULK_ENABLED="Y")*((BULK_TIER="ALL")+(BULK_TIER=$F128))*((BULK_SKU="ALL")+(BULK_SKU=$G128))*(BULK_START&lt;=2)*(BULK_END&gt;=2)))),0),ROUND((INDEX(VELOCITY_TABLE,MATCH($F128,TIER_LIST,0),1))*(IF((2-$I128+1)&lt;=0,0,IF((2-$I128+1)=1,RAMP_W1,IF((2-$I128+1)=2,RAMP_W2,IF((2-$I128+1)=3,RAMP_W3,RAMP_W4PLUS)))))*(INDEX(ACTIVE_MULT_TABLE,1,1))*(1+SUMPRODUCT(SIGN(((ACT_DOOR_SCOPE="ALL")+(ACT_DOOR_SCOPE="TIER_"&amp;$F128)+(ACT_DOOR_SCOPE=$B128)))*SIGN(((ACT_SKU_SCOPE="ALL")+(ACT_SKU_SCOPE=$G128)))*(ACT_START&lt;=2)*(ACT_END&gt;=2)*IFERROR(ACT_UPLIFT-1,0)))*(1+SUMPRODUCT(SIGN(((ACT_DOOR_SCOPE="ALL")+(ACT_DOOR_SCOPE="TIER_"&amp;$F128)+(ACT_DOOR_SCOPE=$B128)))*SIGN(((ACT_SKU_SCOPE="ALL")+(ACT_SKU_SCOPE=$G128)))*(2&gt;ACT_END)*(ACT_END&gt;0)*IFERROR(ACT_POSTLIFT,0))),0)))</f>
        <v/>
      </c>
      <c r="L128" s="10">
        <f>IF(OR($H128&lt;&gt;"Y",3&lt;$I128),0,IF(SUMPRODUCT(((BULK_ENABLED="Y")*((BULK_TIER="ALL")+(BULK_TIER=$F128))*((BULK_SKU="ALL")+(BULK_SKU=$G128))*(BULK_START&lt;=3)*(BULK_END&gt;=3)))&gt;0,IFERROR(SUMPRODUCT(((BULK_ENABLED="Y")*((BULK_TIER="ALL")+(BULK_TIER=$F128))*((BULK_SKU="ALL")+(BULK_SKU=$G128))*(BULK_START&lt;=3)*(BULK_END&gt;=3))*IFERROR(BULK_VALUE,0))/MAX(1,SUMPRODUCT(((BULK_ENABLED="Y")*((BULK_TIER="ALL")+(BULK_TIER=$F128))*((BULK_SKU="ALL")+(BULK_SKU=$G128))*(BULK_START&lt;=3)*(BULK_END&gt;=3)))),0),ROUND((INDEX(VELOCITY_TABLE,MATCH($F128,TIER_LIST,0),1))*(IF((3-$I128+1)&lt;=0,0,IF((3-$I128+1)=1,RAMP_W1,IF((3-$I128+1)=2,RAMP_W2,IF((3-$I128+1)=3,RAMP_W3,RAMP_W4PLUS)))))*(INDEX(ACTIVE_MULT_TABLE,1,1))*(1+SUMPRODUCT(SIGN(((ACT_DOOR_SCOPE="ALL")+(ACT_DOOR_SCOPE="TIER_"&amp;$F128)+(ACT_DOOR_SCOPE=$B128)))*SIGN(((ACT_SKU_SCOPE="ALL")+(ACT_SKU_SCOPE=$G128)))*(ACT_START&lt;=3)*(ACT_END&gt;=3)*IFERROR(ACT_UPLIFT-1,0)))*(1+SUMPRODUCT(SIGN(((ACT_DOOR_SCOPE="ALL")+(ACT_DOOR_SCOPE="TIER_"&amp;$F128)+(ACT_DOOR_SCOPE=$B128)))*SIGN(((ACT_SKU_SCOPE="ALL")+(ACT_SKU_SCOPE=$G128)))*(3&gt;ACT_END)*(ACT_END&gt;0)*IFERROR(ACT_POSTLIFT,0))),0)))</f>
        <v/>
      </c>
      <c r="M128" s="10">
        <f>IF(OR($H128&lt;&gt;"Y",4&lt;$I128),0,IF(SUMPRODUCT(((BULK_ENABLED="Y")*((BULK_TIER="ALL")+(BULK_TIER=$F128))*((BULK_SKU="ALL")+(BULK_SKU=$G128))*(BULK_START&lt;=4)*(BULK_END&gt;=4)))&gt;0,IFERROR(SUMPRODUCT(((BULK_ENABLED="Y")*((BULK_TIER="ALL")+(BULK_TIER=$F128))*((BULK_SKU="ALL")+(BULK_SKU=$G128))*(BULK_START&lt;=4)*(BULK_END&gt;=4))*IFERROR(BULK_VALUE,0))/MAX(1,SUMPRODUCT(((BULK_ENABLED="Y")*((BULK_TIER="ALL")+(BULK_TIER=$F128))*((BULK_SKU="ALL")+(BULK_SKU=$G128))*(BULK_START&lt;=4)*(BULK_END&gt;=4)))),0),ROUND((INDEX(VELOCITY_TABLE,MATCH($F128,TIER_LIST,0),1))*(IF((4-$I128+1)&lt;=0,0,IF((4-$I128+1)=1,RAMP_W1,IF((4-$I128+1)=2,RAMP_W2,IF((4-$I128+1)=3,RAMP_W3,RAMP_W4PLUS)))))*(INDEX(ACTIVE_MULT_TABLE,1,1))*(1+SUMPRODUCT(SIGN(((ACT_DOOR_SCOPE="ALL")+(ACT_DOOR_SCOPE="TIER_"&amp;$F128)+(ACT_DOOR_SCOPE=$B128)))*SIGN(((ACT_SKU_SCOPE="ALL")+(ACT_SKU_SCOPE=$G128)))*(ACT_START&lt;=4)*(ACT_END&gt;=4)*IFERROR(ACT_UPLIFT-1,0)))*(1+SUMPRODUCT(SIGN(((ACT_DOOR_SCOPE="ALL")+(ACT_DOOR_SCOPE="TIER_"&amp;$F128)+(ACT_DOOR_SCOPE=$B128)))*SIGN(((ACT_SKU_SCOPE="ALL")+(ACT_SKU_SCOPE=$G128)))*(4&gt;ACT_END)*(ACT_END&gt;0)*IFERROR(ACT_POSTLIFT,0))),0)))</f>
        <v/>
      </c>
      <c r="N128" s="10">
        <f>IF(OR($H128&lt;&gt;"Y",5&lt;$I128),0,IF(SUMPRODUCT(((BULK_ENABLED="Y")*((BULK_TIER="ALL")+(BULK_TIER=$F128))*((BULK_SKU="ALL")+(BULK_SKU=$G128))*(BULK_START&lt;=5)*(BULK_END&gt;=5)))&gt;0,IFERROR(SUMPRODUCT(((BULK_ENABLED="Y")*((BULK_TIER="ALL")+(BULK_TIER=$F128))*((BULK_SKU="ALL")+(BULK_SKU=$G128))*(BULK_START&lt;=5)*(BULK_END&gt;=5))*IFERROR(BULK_VALUE,0))/MAX(1,SUMPRODUCT(((BULK_ENABLED="Y")*((BULK_TIER="ALL")+(BULK_TIER=$F128))*((BULK_SKU="ALL")+(BULK_SKU=$G128))*(BULK_START&lt;=5)*(BULK_END&gt;=5)))),0),ROUND((INDEX(VELOCITY_TABLE,MATCH($F128,TIER_LIST,0),1))*(IF((5-$I128+1)&lt;=0,0,IF((5-$I128+1)=1,RAMP_W1,IF((5-$I128+1)=2,RAMP_W2,IF((5-$I128+1)=3,RAMP_W3,RAMP_W4PLUS)))))*(INDEX(ACTIVE_MULT_TABLE,1,1))*(1+SUMPRODUCT(SIGN(((ACT_DOOR_SCOPE="ALL")+(ACT_DOOR_SCOPE="TIER_"&amp;$F128)+(ACT_DOOR_SCOPE=$B128)))*SIGN(((ACT_SKU_SCOPE="ALL")+(ACT_SKU_SCOPE=$G128)))*(ACT_START&lt;=5)*(ACT_END&gt;=5)*IFERROR(ACT_UPLIFT-1,0)))*(1+SUMPRODUCT(SIGN(((ACT_DOOR_SCOPE="ALL")+(ACT_DOOR_SCOPE="TIER_"&amp;$F128)+(ACT_DOOR_SCOPE=$B128)))*SIGN(((ACT_SKU_SCOPE="ALL")+(ACT_SKU_SCOPE=$G128)))*(5&gt;ACT_END)*(ACT_END&gt;0)*IFERROR(ACT_POSTLIFT,0))),0)))</f>
        <v/>
      </c>
      <c r="O128" s="10">
        <f>IF(OR($H128&lt;&gt;"Y",6&lt;$I128),0,IF(SUMPRODUCT(((BULK_ENABLED="Y")*((BULK_TIER="ALL")+(BULK_TIER=$F128))*((BULK_SKU="ALL")+(BULK_SKU=$G128))*(BULK_START&lt;=6)*(BULK_END&gt;=6)))&gt;0,IFERROR(SUMPRODUCT(((BULK_ENABLED="Y")*((BULK_TIER="ALL")+(BULK_TIER=$F128))*((BULK_SKU="ALL")+(BULK_SKU=$G128))*(BULK_START&lt;=6)*(BULK_END&gt;=6))*IFERROR(BULK_VALUE,0))/MAX(1,SUMPRODUCT(((BULK_ENABLED="Y")*((BULK_TIER="ALL")+(BULK_TIER=$F128))*((BULK_SKU="ALL")+(BULK_SKU=$G128))*(BULK_START&lt;=6)*(BULK_END&gt;=6)))),0),ROUND((INDEX(VELOCITY_TABLE,MATCH($F128,TIER_LIST,0),1))*(IF((6-$I128+1)&lt;=0,0,IF((6-$I128+1)=1,RAMP_W1,IF((6-$I128+1)=2,RAMP_W2,IF((6-$I128+1)=3,RAMP_W3,RAMP_W4PLUS)))))*(INDEX(ACTIVE_MULT_TABLE,1,1))*(1+SUMPRODUCT(SIGN(((ACT_DOOR_SCOPE="ALL")+(ACT_DOOR_SCOPE="TIER_"&amp;$F128)+(ACT_DOOR_SCOPE=$B128)))*SIGN(((ACT_SKU_SCOPE="ALL")+(ACT_SKU_SCOPE=$G128)))*(ACT_START&lt;=6)*(ACT_END&gt;=6)*IFERROR(ACT_UPLIFT-1,0)))*(1+SUMPRODUCT(SIGN(((ACT_DOOR_SCOPE="ALL")+(ACT_DOOR_SCOPE="TIER_"&amp;$F128)+(ACT_DOOR_SCOPE=$B128)))*SIGN(((ACT_SKU_SCOPE="ALL")+(ACT_SKU_SCOPE=$G128)))*(6&gt;ACT_END)*(ACT_END&gt;0)*IFERROR(ACT_POSTLIFT,0))),0)))</f>
        <v/>
      </c>
      <c r="P128" s="10">
        <f>IF(OR($H128&lt;&gt;"Y",7&lt;$I128),0,IF(SUMPRODUCT(((BULK_ENABLED="Y")*((BULK_TIER="ALL")+(BULK_TIER=$F128))*((BULK_SKU="ALL")+(BULK_SKU=$G128))*(BULK_START&lt;=7)*(BULK_END&gt;=7)))&gt;0,IFERROR(SUMPRODUCT(((BULK_ENABLED="Y")*((BULK_TIER="ALL")+(BULK_TIER=$F128))*((BULK_SKU="ALL")+(BULK_SKU=$G128))*(BULK_START&lt;=7)*(BULK_END&gt;=7))*IFERROR(BULK_VALUE,0))/MAX(1,SUMPRODUCT(((BULK_ENABLED="Y")*((BULK_TIER="ALL")+(BULK_TIER=$F128))*((BULK_SKU="ALL")+(BULK_SKU=$G128))*(BULK_START&lt;=7)*(BULK_END&gt;=7)))),0),ROUND((INDEX(VELOCITY_TABLE,MATCH($F128,TIER_LIST,0),1))*(IF((7-$I128+1)&lt;=0,0,IF((7-$I128+1)=1,RAMP_W1,IF((7-$I128+1)=2,RAMP_W2,IF((7-$I128+1)=3,RAMP_W3,RAMP_W4PLUS)))))*(INDEX(ACTIVE_MULT_TABLE,1,1))*(1+SUMPRODUCT(SIGN(((ACT_DOOR_SCOPE="ALL")+(ACT_DOOR_SCOPE="TIER_"&amp;$F128)+(ACT_DOOR_SCOPE=$B128)))*SIGN(((ACT_SKU_SCOPE="ALL")+(ACT_SKU_SCOPE=$G128)))*(ACT_START&lt;=7)*(ACT_END&gt;=7)*IFERROR(ACT_UPLIFT-1,0)))*(1+SUMPRODUCT(SIGN(((ACT_DOOR_SCOPE="ALL")+(ACT_DOOR_SCOPE="TIER_"&amp;$F128)+(ACT_DOOR_SCOPE=$B128)))*SIGN(((ACT_SKU_SCOPE="ALL")+(ACT_SKU_SCOPE=$G128)))*(7&gt;ACT_END)*(ACT_END&gt;0)*IFERROR(ACT_POSTLIFT,0))),0)))</f>
        <v/>
      </c>
      <c r="Q128" s="10">
        <f>IF(OR($H128&lt;&gt;"Y",8&lt;$I128),0,IF(SUMPRODUCT(((BULK_ENABLED="Y")*((BULK_TIER="ALL")+(BULK_TIER=$F128))*((BULK_SKU="ALL")+(BULK_SKU=$G128))*(BULK_START&lt;=8)*(BULK_END&gt;=8)))&gt;0,IFERROR(SUMPRODUCT(((BULK_ENABLED="Y")*((BULK_TIER="ALL")+(BULK_TIER=$F128))*((BULK_SKU="ALL")+(BULK_SKU=$G128))*(BULK_START&lt;=8)*(BULK_END&gt;=8))*IFERROR(BULK_VALUE,0))/MAX(1,SUMPRODUCT(((BULK_ENABLED="Y")*((BULK_TIER="ALL")+(BULK_TIER=$F128))*((BULK_SKU="ALL")+(BULK_SKU=$G128))*(BULK_START&lt;=8)*(BULK_END&gt;=8)))),0),ROUND((INDEX(VELOCITY_TABLE,MATCH($F128,TIER_LIST,0),1))*(IF((8-$I128+1)&lt;=0,0,IF((8-$I128+1)=1,RAMP_W1,IF((8-$I128+1)=2,RAMP_W2,IF((8-$I128+1)=3,RAMP_W3,RAMP_W4PLUS)))))*(INDEX(ACTIVE_MULT_TABLE,1,1))*(1+SUMPRODUCT(SIGN(((ACT_DOOR_SCOPE="ALL")+(ACT_DOOR_SCOPE="TIER_"&amp;$F128)+(ACT_DOOR_SCOPE=$B128)))*SIGN(((ACT_SKU_SCOPE="ALL")+(ACT_SKU_SCOPE=$G128)))*(ACT_START&lt;=8)*(ACT_END&gt;=8)*IFERROR(ACT_UPLIFT-1,0)))*(1+SUMPRODUCT(SIGN(((ACT_DOOR_SCOPE="ALL")+(ACT_DOOR_SCOPE="TIER_"&amp;$F128)+(ACT_DOOR_SCOPE=$B128)))*SIGN(((ACT_SKU_SCOPE="ALL")+(ACT_SKU_SCOPE=$G128)))*(8&gt;ACT_END)*(ACT_END&gt;0)*IFERROR(ACT_POSTLIFT,0))),0)))</f>
        <v/>
      </c>
      <c r="R128" s="10">
        <f>IF(OR($H128&lt;&gt;"Y",9&lt;$I128),0,IF(SUMPRODUCT(((BULK_ENABLED="Y")*((BULK_TIER="ALL")+(BULK_TIER=$F128))*((BULK_SKU="ALL")+(BULK_SKU=$G128))*(BULK_START&lt;=9)*(BULK_END&gt;=9)))&gt;0,IFERROR(SUMPRODUCT(((BULK_ENABLED="Y")*((BULK_TIER="ALL")+(BULK_TIER=$F128))*((BULK_SKU="ALL")+(BULK_SKU=$G128))*(BULK_START&lt;=9)*(BULK_END&gt;=9))*IFERROR(BULK_VALUE,0))/MAX(1,SUMPRODUCT(((BULK_ENABLED="Y")*((BULK_TIER="ALL")+(BULK_TIER=$F128))*((BULK_SKU="ALL")+(BULK_SKU=$G128))*(BULK_START&lt;=9)*(BULK_END&gt;=9)))),0),ROUND((INDEX(VELOCITY_TABLE,MATCH($F128,TIER_LIST,0),1))*(IF((9-$I128+1)&lt;=0,0,IF((9-$I128+1)=1,RAMP_W1,IF((9-$I128+1)=2,RAMP_W2,IF((9-$I128+1)=3,RAMP_W3,RAMP_W4PLUS)))))*(INDEX(ACTIVE_MULT_TABLE,1,1))*(1+SUMPRODUCT(SIGN(((ACT_DOOR_SCOPE="ALL")+(ACT_DOOR_SCOPE="TIER_"&amp;$F128)+(ACT_DOOR_SCOPE=$B128)))*SIGN(((ACT_SKU_SCOPE="ALL")+(ACT_SKU_SCOPE=$G128)))*(ACT_START&lt;=9)*(ACT_END&gt;=9)*IFERROR(ACT_UPLIFT-1,0)))*(1+SUMPRODUCT(SIGN(((ACT_DOOR_SCOPE="ALL")+(ACT_DOOR_SCOPE="TIER_"&amp;$F128)+(ACT_DOOR_SCOPE=$B128)))*SIGN(((ACT_SKU_SCOPE="ALL")+(ACT_SKU_SCOPE=$G128)))*(9&gt;ACT_END)*(ACT_END&gt;0)*IFERROR(ACT_POSTLIFT,0))),0)))</f>
        <v/>
      </c>
      <c r="S128" s="10">
        <f>IF(OR($H128&lt;&gt;"Y",10&lt;$I128),0,IF(SUMPRODUCT(((BULK_ENABLED="Y")*((BULK_TIER="ALL")+(BULK_TIER=$F128))*((BULK_SKU="ALL")+(BULK_SKU=$G128))*(BULK_START&lt;=10)*(BULK_END&gt;=10)))&gt;0,IFERROR(SUMPRODUCT(((BULK_ENABLED="Y")*((BULK_TIER="ALL")+(BULK_TIER=$F128))*((BULK_SKU="ALL")+(BULK_SKU=$G128))*(BULK_START&lt;=10)*(BULK_END&gt;=10))*IFERROR(BULK_VALUE,0))/MAX(1,SUMPRODUCT(((BULK_ENABLED="Y")*((BULK_TIER="ALL")+(BULK_TIER=$F128))*((BULK_SKU="ALL")+(BULK_SKU=$G128))*(BULK_START&lt;=10)*(BULK_END&gt;=10)))),0),ROUND((INDEX(VELOCITY_TABLE,MATCH($F128,TIER_LIST,0),1))*(IF((10-$I128+1)&lt;=0,0,IF((10-$I128+1)=1,RAMP_W1,IF((10-$I128+1)=2,RAMP_W2,IF((10-$I128+1)=3,RAMP_W3,RAMP_W4PLUS)))))*(INDEX(ACTIVE_MULT_TABLE,1,1))*(1+SUMPRODUCT(SIGN(((ACT_DOOR_SCOPE="ALL")+(ACT_DOOR_SCOPE="TIER_"&amp;$F128)+(ACT_DOOR_SCOPE=$B128)))*SIGN(((ACT_SKU_SCOPE="ALL")+(ACT_SKU_SCOPE=$G128)))*(ACT_START&lt;=10)*(ACT_END&gt;=10)*IFERROR(ACT_UPLIFT-1,0)))*(1+SUMPRODUCT(SIGN(((ACT_DOOR_SCOPE="ALL")+(ACT_DOOR_SCOPE="TIER_"&amp;$F128)+(ACT_DOOR_SCOPE=$B128)))*SIGN(((ACT_SKU_SCOPE="ALL")+(ACT_SKU_SCOPE=$G128)))*(10&gt;ACT_END)*(ACT_END&gt;0)*IFERROR(ACT_POSTLIFT,0))),0)))</f>
        <v/>
      </c>
      <c r="T128" s="10">
        <f>IF(OR($H128&lt;&gt;"Y",11&lt;$I128),0,IF(SUMPRODUCT(((BULK_ENABLED="Y")*((BULK_TIER="ALL")+(BULK_TIER=$F128))*((BULK_SKU="ALL")+(BULK_SKU=$G128))*(BULK_START&lt;=11)*(BULK_END&gt;=11)))&gt;0,IFERROR(SUMPRODUCT(((BULK_ENABLED="Y")*((BULK_TIER="ALL")+(BULK_TIER=$F128))*((BULK_SKU="ALL")+(BULK_SKU=$G128))*(BULK_START&lt;=11)*(BULK_END&gt;=11))*IFERROR(BULK_VALUE,0))/MAX(1,SUMPRODUCT(((BULK_ENABLED="Y")*((BULK_TIER="ALL")+(BULK_TIER=$F128))*((BULK_SKU="ALL")+(BULK_SKU=$G128))*(BULK_START&lt;=11)*(BULK_END&gt;=11)))),0),ROUND((INDEX(VELOCITY_TABLE,MATCH($F128,TIER_LIST,0),1))*(IF((11-$I128+1)&lt;=0,0,IF((11-$I128+1)=1,RAMP_W1,IF((11-$I128+1)=2,RAMP_W2,IF((11-$I128+1)=3,RAMP_W3,RAMP_W4PLUS)))))*(INDEX(ACTIVE_MULT_TABLE,1,1))*(1+SUMPRODUCT(SIGN(((ACT_DOOR_SCOPE="ALL")+(ACT_DOOR_SCOPE="TIER_"&amp;$F128)+(ACT_DOOR_SCOPE=$B128)))*SIGN(((ACT_SKU_SCOPE="ALL")+(ACT_SKU_SCOPE=$G128)))*(ACT_START&lt;=11)*(ACT_END&gt;=11)*IFERROR(ACT_UPLIFT-1,0)))*(1+SUMPRODUCT(SIGN(((ACT_DOOR_SCOPE="ALL")+(ACT_DOOR_SCOPE="TIER_"&amp;$F128)+(ACT_DOOR_SCOPE=$B128)))*SIGN(((ACT_SKU_SCOPE="ALL")+(ACT_SKU_SCOPE=$G128)))*(11&gt;ACT_END)*(ACT_END&gt;0)*IFERROR(ACT_POSTLIFT,0))),0)))</f>
        <v/>
      </c>
      <c r="U128" s="10">
        <f>IF(OR($H128&lt;&gt;"Y",12&lt;$I128),0,IF(SUMPRODUCT(((BULK_ENABLED="Y")*((BULK_TIER="ALL")+(BULK_TIER=$F128))*((BULK_SKU="ALL")+(BULK_SKU=$G128))*(BULK_START&lt;=12)*(BULK_END&gt;=12)))&gt;0,IFERROR(SUMPRODUCT(((BULK_ENABLED="Y")*((BULK_TIER="ALL")+(BULK_TIER=$F128))*((BULK_SKU="ALL")+(BULK_SKU=$G128))*(BULK_START&lt;=12)*(BULK_END&gt;=12))*IFERROR(BULK_VALUE,0))/MAX(1,SUMPRODUCT(((BULK_ENABLED="Y")*((BULK_TIER="ALL")+(BULK_TIER=$F128))*((BULK_SKU="ALL")+(BULK_SKU=$G128))*(BULK_START&lt;=12)*(BULK_END&gt;=12)))),0),ROUND((INDEX(VELOCITY_TABLE,MATCH($F128,TIER_LIST,0),1))*(IF((12-$I128+1)&lt;=0,0,IF((12-$I128+1)=1,RAMP_W1,IF((12-$I128+1)=2,RAMP_W2,IF((12-$I128+1)=3,RAMP_W3,RAMP_W4PLUS)))))*(INDEX(ACTIVE_MULT_TABLE,1,1))*(1+SUMPRODUCT(SIGN(((ACT_DOOR_SCOPE="ALL")+(ACT_DOOR_SCOPE="TIER_"&amp;$F128)+(ACT_DOOR_SCOPE=$B128)))*SIGN(((ACT_SKU_SCOPE="ALL")+(ACT_SKU_SCOPE=$G128)))*(ACT_START&lt;=12)*(ACT_END&gt;=12)*IFERROR(ACT_UPLIFT-1,0)))*(1+SUMPRODUCT(SIGN(((ACT_DOOR_SCOPE="ALL")+(ACT_DOOR_SCOPE="TIER_"&amp;$F128)+(ACT_DOOR_SCOPE=$B128)))*SIGN(((ACT_SKU_SCOPE="ALL")+(ACT_SKU_SCOPE=$G128)))*(12&gt;ACT_END)*(ACT_END&gt;0)*IFERROR(ACT_POSTLIFT,0))),0)))</f>
        <v/>
      </c>
      <c r="V128" s="10">
        <f>IF(OR($H128&lt;&gt;"Y",13&lt;$I128),0,IF(SUMPRODUCT(((BULK_ENABLED="Y")*((BULK_TIER="ALL")+(BULK_TIER=$F128))*((BULK_SKU="ALL")+(BULK_SKU=$G128))*(BULK_START&lt;=13)*(BULK_END&gt;=13)))&gt;0,IFERROR(SUMPRODUCT(((BULK_ENABLED="Y")*((BULK_TIER="ALL")+(BULK_TIER=$F128))*((BULK_SKU="ALL")+(BULK_SKU=$G128))*(BULK_START&lt;=13)*(BULK_END&gt;=13))*IFERROR(BULK_VALUE,0))/MAX(1,SUMPRODUCT(((BULK_ENABLED="Y")*((BULK_TIER="ALL")+(BULK_TIER=$F128))*((BULK_SKU="ALL")+(BULK_SKU=$G128))*(BULK_START&lt;=13)*(BULK_END&gt;=13)))),0),ROUND((INDEX(VELOCITY_TABLE,MATCH($F128,TIER_LIST,0),1))*(IF((13-$I128+1)&lt;=0,0,IF((13-$I128+1)=1,RAMP_W1,IF((13-$I128+1)=2,RAMP_W2,IF((13-$I128+1)=3,RAMP_W3,RAMP_W4PLUS)))))*(INDEX(ACTIVE_MULT_TABLE,1,1))*(1+SUMPRODUCT(SIGN(((ACT_DOOR_SCOPE="ALL")+(ACT_DOOR_SCOPE="TIER_"&amp;$F128)+(ACT_DOOR_SCOPE=$B128)))*SIGN(((ACT_SKU_SCOPE="ALL")+(ACT_SKU_SCOPE=$G128)))*(ACT_START&lt;=13)*(ACT_END&gt;=13)*IFERROR(ACT_UPLIFT-1,0)))*(1+SUMPRODUCT(SIGN(((ACT_DOOR_SCOPE="ALL")+(ACT_DOOR_SCOPE="TIER_"&amp;$F128)+(ACT_DOOR_SCOPE=$B128)))*SIGN(((ACT_SKU_SCOPE="ALL")+(ACT_SKU_SCOPE=$G128)))*(13&gt;ACT_END)*(ACT_END&gt;0)*IFERROR(ACT_POSTLIFT,0))),0)))</f>
        <v/>
      </c>
    </row>
    <row r="129">
      <c r="A129" t="inlineStr">
        <is>
          <t>R0125</t>
        </is>
      </c>
      <c r="B129">
        <f>Doors!$A$46</f>
        <v/>
      </c>
      <c r="C129">
        <f>Doors!$C$46</f>
        <v/>
      </c>
      <c r="D129">
        <f>Doors!$B$46</f>
        <v/>
      </c>
      <c r="E129">
        <f>Doors!$E$46</f>
        <v/>
      </c>
      <c r="F129">
        <f>Doors!$F$46</f>
        <v/>
      </c>
      <c r="G129" t="inlineStr">
        <is>
          <t>Pineapple Passion Fruit</t>
        </is>
      </c>
      <c r="H129">
        <f>Doors!$H$46</f>
        <v/>
      </c>
      <c r="I129">
        <f>Doors!$J$46</f>
        <v/>
      </c>
      <c r="J129" s="10">
        <f>IF(OR($H129&lt;&gt;"Y",1&lt;$I129),0,IF(SUMPRODUCT(((BULK_ENABLED="Y")*((BULK_TIER="ALL")+(BULK_TIER=$F129))*((BULK_SKU="ALL")+(BULK_SKU=$G129))*(BULK_START&lt;=1)*(BULK_END&gt;=1)))&gt;0,IFERROR(SUMPRODUCT(((BULK_ENABLED="Y")*((BULK_TIER="ALL")+(BULK_TIER=$F129))*((BULK_SKU="ALL")+(BULK_SKU=$G129))*(BULK_START&lt;=1)*(BULK_END&gt;=1))*IFERROR(BULK_VALUE,0))/MAX(1,SUMPRODUCT(((BULK_ENABLED="Y")*((BULK_TIER="ALL")+(BULK_TIER=$F129))*((BULK_SKU="ALL")+(BULK_SKU=$G129))*(BULK_START&lt;=1)*(BULK_END&gt;=1)))),0),ROUND((INDEX(VELOCITY_TABLE,MATCH($F129,TIER_LIST,0),2))*(IF((1-$I129+1)&lt;=0,0,IF((1-$I129+1)=1,RAMP_W1,IF((1-$I129+1)=2,RAMP_W2,IF((1-$I129+1)=3,RAMP_W3,RAMP_W4PLUS)))))*(INDEX(ACTIVE_MULT_TABLE,2,1))*(1+SUMPRODUCT(SIGN(((ACT_DOOR_SCOPE="ALL")+(ACT_DOOR_SCOPE="TIER_"&amp;$F129)+(ACT_DOOR_SCOPE=$B129)))*SIGN(((ACT_SKU_SCOPE="ALL")+(ACT_SKU_SCOPE=$G129)))*(ACT_START&lt;=1)*(ACT_END&gt;=1)*IFERROR(ACT_UPLIFT-1,0)))*(1+SUMPRODUCT(SIGN(((ACT_DOOR_SCOPE="ALL")+(ACT_DOOR_SCOPE="TIER_"&amp;$F129)+(ACT_DOOR_SCOPE=$B129)))*SIGN(((ACT_SKU_SCOPE="ALL")+(ACT_SKU_SCOPE=$G129)))*(1&gt;ACT_END)*(ACT_END&gt;0)*IFERROR(ACT_POSTLIFT,0))),0)))</f>
        <v/>
      </c>
      <c r="K129" s="10">
        <f>IF(OR($H129&lt;&gt;"Y",2&lt;$I129),0,IF(SUMPRODUCT(((BULK_ENABLED="Y")*((BULK_TIER="ALL")+(BULK_TIER=$F129))*((BULK_SKU="ALL")+(BULK_SKU=$G129))*(BULK_START&lt;=2)*(BULK_END&gt;=2)))&gt;0,IFERROR(SUMPRODUCT(((BULK_ENABLED="Y")*((BULK_TIER="ALL")+(BULK_TIER=$F129))*((BULK_SKU="ALL")+(BULK_SKU=$G129))*(BULK_START&lt;=2)*(BULK_END&gt;=2))*IFERROR(BULK_VALUE,0))/MAX(1,SUMPRODUCT(((BULK_ENABLED="Y")*((BULK_TIER="ALL")+(BULK_TIER=$F129))*((BULK_SKU="ALL")+(BULK_SKU=$G129))*(BULK_START&lt;=2)*(BULK_END&gt;=2)))),0),ROUND((INDEX(VELOCITY_TABLE,MATCH($F129,TIER_LIST,0),2))*(IF((2-$I129+1)&lt;=0,0,IF((2-$I129+1)=1,RAMP_W1,IF((2-$I129+1)=2,RAMP_W2,IF((2-$I129+1)=3,RAMP_W3,RAMP_W4PLUS)))))*(INDEX(ACTIVE_MULT_TABLE,2,1))*(1+SUMPRODUCT(SIGN(((ACT_DOOR_SCOPE="ALL")+(ACT_DOOR_SCOPE="TIER_"&amp;$F129)+(ACT_DOOR_SCOPE=$B129)))*SIGN(((ACT_SKU_SCOPE="ALL")+(ACT_SKU_SCOPE=$G129)))*(ACT_START&lt;=2)*(ACT_END&gt;=2)*IFERROR(ACT_UPLIFT-1,0)))*(1+SUMPRODUCT(SIGN(((ACT_DOOR_SCOPE="ALL")+(ACT_DOOR_SCOPE="TIER_"&amp;$F129)+(ACT_DOOR_SCOPE=$B129)))*SIGN(((ACT_SKU_SCOPE="ALL")+(ACT_SKU_SCOPE=$G129)))*(2&gt;ACT_END)*(ACT_END&gt;0)*IFERROR(ACT_POSTLIFT,0))),0)))</f>
        <v/>
      </c>
      <c r="L129" s="10">
        <f>IF(OR($H129&lt;&gt;"Y",3&lt;$I129),0,IF(SUMPRODUCT(((BULK_ENABLED="Y")*((BULK_TIER="ALL")+(BULK_TIER=$F129))*((BULK_SKU="ALL")+(BULK_SKU=$G129))*(BULK_START&lt;=3)*(BULK_END&gt;=3)))&gt;0,IFERROR(SUMPRODUCT(((BULK_ENABLED="Y")*((BULK_TIER="ALL")+(BULK_TIER=$F129))*((BULK_SKU="ALL")+(BULK_SKU=$G129))*(BULK_START&lt;=3)*(BULK_END&gt;=3))*IFERROR(BULK_VALUE,0))/MAX(1,SUMPRODUCT(((BULK_ENABLED="Y")*((BULK_TIER="ALL")+(BULK_TIER=$F129))*((BULK_SKU="ALL")+(BULK_SKU=$G129))*(BULK_START&lt;=3)*(BULK_END&gt;=3)))),0),ROUND((INDEX(VELOCITY_TABLE,MATCH($F129,TIER_LIST,0),2))*(IF((3-$I129+1)&lt;=0,0,IF((3-$I129+1)=1,RAMP_W1,IF((3-$I129+1)=2,RAMP_W2,IF((3-$I129+1)=3,RAMP_W3,RAMP_W4PLUS)))))*(INDEX(ACTIVE_MULT_TABLE,2,1))*(1+SUMPRODUCT(SIGN(((ACT_DOOR_SCOPE="ALL")+(ACT_DOOR_SCOPE="TIER_"&amp;$F129)+(ACT_DOOR_SCOPE=$B129)))*SIGN(((ACT_SKU_SCOPE="ALL")+(ACT_SKU_SCOPE=$G129)))*(ACT_START&lt;=3)*(ACT_END&gt;=3)*IFERROR(ACT_UPLIFT-1,0)))*(1+SUMPRODUCT(SIGN(((ACT_DOOR_SCOPE="ALL")+(ACT_DOOR_SCOPE="TIER_"&amp;$F129)+(ACT_DOOR_SCOPE=$B129)))*SIGN(((ACT_SKU_SCOPE="ALL")+(ACT_SKU_SCOPE=$G129)))*(3&gt;ACT_END)*(ACT_END&gt;0)*IFERROR(ACT_POSTLIFT,0))),0)))</f>
        <v/>
      </c>
      <c r="M129" s="10">
        <f>IF(OR($H129&lt;&gt;"Y",4&lt;$I129),0,IF(SUMPRODUCT(((BULK_ENABLED="Y")*((BULK_TIER="ALL")+(BULK_TIER=$F129))*((BULK_SKU="ALL")+(BULK_SKU=$G129))*(BULK_START&lt;=4)*(BULK_END&gt;=4)))&gt;0,IFERROR(SUMPRODUCT(((BULK_ENABLED="Y")*((BULK_TIER="ALL")+(BULK_TIER=$F129))*((BULK_SKU="ALL")+(BULK_SKU=$G129))*(BULK_START&lt;=4)*(BULK_END&gt;=4))*IFERROR(BULK_VALUE,0))/MAX(1,SUMPRODUCT(((BULK_ENABLED="Y")*((BULK_TIER="ALL")+(BULK_TIER=$F129))*((BULK_SKU="ALL")+(BULK_SKU=$G129))*(BULK_START&lt;=4)*(BULK_END&gt;=4)))),0),ROUND((INDEX(VELOCITY_TABLE,MATCH($F129,TIER_LIST,0),2))*(IF((4-$I129+1)&lt;=0,0,IF((4-$I129+1)=1,RAMP_W1,IF((4-$I129+1)=2,RAMP_W2,IF((4-$I129+1)=3,RAMP_W3,RAMP_W4PLUS)))))*(INDEX(ACTIVE_MULT_TABLE,2,1))*(1+SUMPRODUCT(SIGN(((ACT_DOOR_SCOPE="ALL")+(ACT_DOOR_SCOPE="TIER_"&amp;$F129)+(ACT_DOOR_SCOPE=$B129)))*SIGN(((ACT_SKU_SCOPE="ALL")+(ACT_SKU_SCOPE=$G129)))*(ACT_START&lt;=4)*(ACT_END&gt;=4)*IFERROR(ACT_UPLIFT-1,0)))*(1+SUMPRODUCT(SIGN(((ACT_DOOR_SCOPE="ALL")+(ACT_DOOR_SCOPE="TIER_"&amp;$F129)+(ACT_DOOR_SCOPE=$B129)))*SIGN(((ACT_SKU_SCOPE="ALL")+(ACT_SKU_SCOPE=$G129)))*(4&gt;ACT_END)*(ACT_END&gt;0)*IFERROR(ACT_POSTLIFT,0))),0)))</f>
        <v/>
      </c>
      <c r="N129" s="10">
        <f>IF(OR($H129&lt;&gt;"Y",5&lt;$I129),0,IF(SUMPRODUCT(((BULK_ENABLED="Y")*((BULK_TIER="ALL")+(BULK_TIER=$F129))*((BULK_SKU="ALL")+(BULK_SKU=$G129))*(BULK_START&lt;=5)*(BULK_END&gt;=5)))&gt;0,IFERROR(SUMPRODUCT(((BULK_ENABLED="Y")*((BULK_TIER="ALL")+(BULK_TIER=$F129))*((BULK_SKU="ALL")+(BULK_SKU=$G129))*(BULK_START&lt;=5)*(BULK_END&gt;=5))*IFERROR(BULK_VALUE,0))/MAX(1,SUMPRODUCT(((BULK_ENABLED="Y")*((BULK_TIER="ALL")+(BULK_TIER=$F129))*((BULK_SKU="ALL")+(BULK_SKU=$G129))*(BULK_START&lt;=5)*(BULK_END&gt;=5)))),0),ROUND((INDEX(VELOCITY_TABLE,MATCH($F129,TIER_LIST,0),2))*(IF((5-$I129+1)&lt;=0,0,IF((5-$I129+1)=1,RAMP_W1,IF((5-$I129+1)=2,RAMP_W2,IF((5-$I129+1)=3,RAMP_W3,RAMP_W4PLUS)))))*(INDEX(ACTIVE_MULT_TABLE,2,1))*(1+SUMPRODUCT(SIGN(((ACT_DOOR_SCOPE="ALL")+(ACT_DOOR_SCOPE="TIER_"&amp;$F129)+(ACT_DOOR_SCOPE=$B129)))*SIGN(((ACT_SKU_SCOPE="ALL")+(ACT_SKU_SCOPE=$G129)))*(ACT_START&lt;=5)*(ACT_END&gt;=5)*IFERROR(ACT_UPLIFT-1,0)))*(1+SUMPRODUCT(SIGN(((ACT_DOOR_SCOPE="ALL")+(ACT_DOOR_SCOPE="TIER_"&amp;$F129)+(ACT_DOOR_SCOPE=$B129)))*SIGN(((ACT_SKU_SCOPE="ALL")+(ACT_SKU_SCOPE=$G129)))*(5&gt;ACT_END)*(ACT_END&gt;0)*IFERROR(ACT_POSTLIFT,0))),0)))</f>
        <v/>
      </c>
      <c r="O129" s="10">
        <f>IF(OR($H129&lt;&gt;"Y",6&lt;$I129),0,IF(SUMPRODUCT(((BULK_ENABLED="Y")*((BULK_TIER="ALL")+(BULK_TIER=$F129))*((BULK_SKU="ALL")+(BULK_SKU=$G129))*(BULK_START&lt;=6)*(BULK_END&gt;=6)))&gt;0,IFERROR(SUMPRODUCT(((BULK_ENABLED="Y")*((BULK_TIER="ALL")+(BULK_TIER=$F129))*((BULK_SKU="ALL")+(BULK_SKU=$G129))*(BULK_START&lt;=6)*(BULK_END&gt;=6))*IFERROR(BULK_VALUE,0))/MAX(1,SUMPRODUCT(((BULK_ENABLED="Y")*((BULK_TIER="ALL")+(BULK_TIER=$F129))*((BULK_SKU="ALL")+(BULK_SKU=$G129))*(BULK_START&lt;=6)*(BULK_END&gt;=6)))),0),ROUND((INDEX(VELOCITY_TABLE,MATCH($F129,TIER_LIST,0),2))*(IF((6-$I129+1)&lt;=0,0,IF((6-$I129+1)=1,RAMP_W1,IF((6-$I129+1)=2,RAMP_W2,IF((6-$I129+1)=3,RAMP_W3,RAMP_W4PLUS)))))*(INDEX(ACTIVE_MULT_TABLE,2,1))*(1+SUMPRODUCT(SIGN(((ACT_DOOR_SCOPE="ALL")+(ACT_DOOR_SCOPE="TIER_"&amp;$F129)+(ACT_DOOR_SCOPE=$B129)))*SIGN(((ACT_SKU_SCOPE="ALL")+(ACT_SKU_SCOPE=$G129)))*(ACT_START&lt;=6)*(ACT_END&gt;=6)*IFERROR(ACT_UPLIFT-1,0)))*(1+SUMPRODUCT(SIGN(((ACT_DOOR_SCOPE="ALL")+(ACT_DOOR_SCOPE="TIER_"&amp;$F129)+(ACT_DOOR_SCOPE=$B129)))*SIGN(((ACT_SKU_SCOPE="ALL")+(ACT_SKU_SCOPE=$G129)))*(6&gt;ACT_END)*(ACT_END&gt;0)*IFERROR(ACT_POSTLIFT,0))),0)))</f>
        <v/>
      </c>
      <c r="P129" s="10">
        <f>IF(OR($H129&lt;&gt;"Y",7&lt;$I129),0,IF(SUMPRODUCT(((BULK_ENABLED="Y")*((BULK_TIER="ALL")+(BULK_TIER=$F129))*((BULK_SKU="ALL")+(BULK_SKU=$G129))*(BULK_START&lt;=7)*(BULK_END&gt;=7)))&gt;0,IFERROR(SUMPRODUCT(((BULK_ENABLED="Y")*((BULK_TIER="ALL")+(BULK_TIER=$F129))*((BULK_SKU="ALL")+(BULK_SKU=$G129))*(BULK_START&lt;=7)*(BULK_END&gt;=7))*IFERROR(BULK_VALUE,0))/MAX(1,SUMPRODUCT(((BULK_ENABLED="Y")*((BULK_TIER="ALL")+(BULK_TIER=$F129))*((BULK_SKU="ALL")+(BULK_SKU=$G129))*(BULK_START&lt;=7)*(BULK_END&gt;=7)))),0),ROUND((INDEX(VELOCITY_TABLE,MATCH($F129,TIER_LIST,0),2))*(IF((7-$I129+1)&lt;=0,0,IF((7-$I129+1)=1,RAMP_W1,IF((7-$I129+1)=2,RAMP_W2,IF((7-$I129+1)=3,RAMP_W3,RAMP_W4PLUS)))))*(INDEX(ACTIVE_MULT_TABLE,2,1))*(1+SUMPRODUCT(SIGN(((ACT_DOOR_SCOPE="ALL")+(ACT_DOOR_SCOPE="TIER_"&amp;$F129)+(ACT_DOOR_SCOPE=$B129)))*SIGN(((ACT_SKU_SCOPE="ALL")+(ACT_SKU_SCOPE=$G129)))*(ACT_START&lt;=7)*(ACT_END&gt;=7)*IFERROR(ACT_UPLIFT-1,0)))*(1+SUMPRODUCT(SIGN(((ACT_DOOR_SCOPE="ALL")+(ACT_DOOR_SCOPE="TIER_"&amp;$F129)+(ACT_DOOR_SCOPE=$B129)))*SIGN(((ACT_SKU_SCOPE="ALL")+(ACT_SKU_SCOPE=$G129)))*(7&gt;ACT_END)*(ACT_END&gt;0)*IFERROR(ACT_POSTLIFT,0))),0)))</f>
        <v/>
      </c>
      <c r="Q129" s="10">
        <f>IF(OR($H129&lt;&gt;"Y",8&lt;$I129),0,IF(SUMPRODUCT(((BULK_ENABLED="Y")*((BULK_TIER="ALL")+(BULK_TIER=$F129))*((BULK_SKU="ALL")+(BULK_SKU=$G129))*(BULK_START&lt;=8)*(BULK_END&gt;=8)))&gt;0,IFERROR(SUMPRODUCT(((BULK_ENABLED="Y")*((BULK_TIER="ALL")+(BULK_TIER=$F129))*((BULK_SKU="ALL")+(BULK_SKU=$G129))*(BULK_START&lt;=8)*(BULK_END&gt;=8))*IFERROR(BULK_VALUE,0))/MAX(1,SUMPRODUCT(((BULK_ENABLED="Y")*((BULK_TIER="ALL")+(BULK_TIER=$F129))*((BULK_SKU="ALL")+(BULK_SKU=$G129))*(BULK_START&lt;=8)*(BULK_END&gt;=8)))),0),ROUND((INDEX(VELOCITY_TABLE,MATCH($F129,TIER_LIST,0),2))*(IF((8-$I129+1)&lt;=0,0,IF((8-$I129+1)=1,RAMP_W1,IF((8-$I129+1)=2,RAMP_W2,IF((8-$I129+1)=3,RAMP_W3,RAMP_W4PLUS)))))*(INDEX(ACTIVE_MULT_TABLE,2,1))*(1+SUMPRODUCT(SIGN(((ACT_DOOR_SCOPE="ALL")+(ACT_DOOR_SCOPE="TIER_"&amp;$F129)+(ACT_DOOR_SCOPE=$B129)))*SIGN(((ACT_SKU_SCOPE="ALL")+(ACT_SKU_SCOPE=$G129)))*(ACT_START&lt;=8)*(ACT_END&gt;=8)*IFERROR(ACT_UPLIFT-1,0)))*(1+SUMPRODUCT(SIGN(((ACT_DOOR_SCOPE="ALL")+(ACT_DOOR_SCOPE="TIER_"&amp;$F129)+(ACT_DOOR_SCOPE=$B129)))*SIGN(((ACT_SKU_SCOPE="ALL")+(ACT_SKU_SCOPE=$G129)))*(8&gt;ACT_END)*(ACT_END&gt;0)*IFERROR(ACT_POSTLIFT,0))),0)))</f>
        <v/>
      </c>
      <c r="R129" s="10">
        <f>IF(OR($H129&lt;&gt;"Y",9&lt;$I129),0,IF(SUMPRODUCT(((BULK_ENABLED="Y")*((BULK_TIER="ALL")+(BULK_TIER=$F129))*((BULK_SKU="ALL")+(BULK_SKU=$G129))*(BULK_START&lt;=9)*(BULK_END&gt;=9)))&gt;0,IFERROR(SUMPRODUCT(((BULK_ENABLED="Y")*((BULK_TIER="ALL")+(BULK_TIER=$F129))*((BULK_SKU="ALL")+(BULK_SKU=$G129))*(BULK_START&lt;=9)*(BULK_END&gt;=9))*IFERROR(BULK_VALUE,0))/MAX(1,SUMPRODUCT(((BULK_ENABLED="Y")*((BULK_TIER="ALL")+(BULK_TIER=$F129))*((BULK_SKU="ALL")+(BULK_SKU=$G129))*(BULK_START&lt;=9)*(BULK_END&gt;=9)))),0),ROUND((INDEX(VELOCITY_TABLE,MATCH($F129,TIER_LIST,0),2))*(IF((9-$I129+1)&lt;=0,0,IF((9-$I129+1)=1,RAMP_W1,IF((9-$I129+1)=2,RAMP_W2,IF((9-$I129+1)=3,RAMP_W3,RAMP_W4PLUS)))))*(INDEX(ACTIVE_MULT_TABLE,2,1))*(1+SUMPRODUCT(SIGN(((ACT_DOOR_SCOPE="ALL")+(ACT_DOOR_SCOPE="TIER_"&amp;$F129)+(ACT_DOOR_SCOPE=$B129)))*SIGN(((ACT_SKU_SCOPE="ALL")+(ACT_SKU_SCOPE=$G129)))*(ACT_START&lt;=9)*(ACT_END&gt;=9)*IFERROR(ACT_UPLIFT-1,0)))*(1+SUMPRODUCT(SIGN(((ACT_DOOR_SCOPE="ALL")+(ACT_DOOR_SCOPE="TIER_"&amp;$F129)+(ACT_DOOR_SCOPE=$B129)))*SIGN(((ACT_SKU_SCOPE="ALL")+(ACT_SKU_SCOPE=$G129)))*(9&gt;ACT_END)*(ACT_END&gt;0)*IFERROR(ACT_POSTLIFT,0))),0)))</f>
        <v/>
      </c>
      <c r="S129" s="10">
        <f>IF(OR($H129&lt;&gt;"Y",10&lt;$I129),0,IF(SUMPRODUCT(((BULK_ENABLED="Y")*((BULK_TIER="ALL")+(BULK_TIER=$F129))*((BULK_SKU="ALL")+(BULK_SKU=$G129))*(BULK_START&lt;=10)*(BULK_END&gt;=10)))&gt;0,IFERROR(SUMPRODUCT(((BULK_ENABLED="Y")*((BULK_TIER="ALL")+(BULK_TIER=$F129))*((BULK_SKU="ALL")+(BULK_SKU=$G129))*(BULK_START&lt;=10)*(BULK_END&gt;=10))*IFERROR(BULK_VALUE,0))/MAX(1,SUMPRODUCT(((BULK_ENABLED="Y")*((BULK_TIER="ALL")+(BULK_TIER=$F129))*((BULK_SKU="ALL")+(BULK_SKU=$G129))*(BULK_START&lt;=10)*(BULK_END&gt;=10)))),0),ROUND((INDEX(VELOCITY_TABLE,MATCH($F129,TIER_LIST,0),2))*(IF((10-$I129+1)&lt;=0,0,IF((10-$I129+1)=1,RAMP_W1,IF((10-$I129+1)=2,RAMP_W2,IF((10-$I129+1)=3,RAMP_W3,RAMP_W4PLUS)))))*(INDEX(ACTIVE_MULT_TABLE,2,1))*(1+SUMPRODUCT(SIGN(((ACT_DOOR_SCOPE="ALL")+(ACT_DOOR_SCOPE="TIER_"&amp;$F129)+(ACT_DOOR_SCOPE=$B129)))*SIGN(((ACT_SKU_SCOPE="ALL")+(ACT_SKU_SCOPE=$G129)))*(ACT_START&lt;=10)*(ACT_END&gt;=10)*IFERROR(ACT_UPLIFT-1,0)))*(1+SUMPRODUCT(SIGN(((ACT_DOOR_SCOPE="ALL")+(ACT_DOOR_SCOPE="TIER_"&amp;$F129)+(ACT_DOOR_SCOPE=$B129)))*SIGN(((ACT_SKU_SCOPE="ALL")+(ACT_SKU_SCOPE=$G129)))*(10&gt;ACT_END)*(ACT_END&gt;0)*IFERROR(ACT_POSTLIFT,0))),0)))</f>
        <v/>
      </c>
      <c r="T129" s="10">
        <f>IF(OR($H129&lt;&gt;"Y",11&lt;$I129),0,IF(SUMPRODUCT(((BULK_ENABLED="Y")*((BULK_TIER="ALL")+(BULK_TIER=$F129))*((BULK_SKU="ALL")+(BULK_SKU=$G129))*(BULK_START&lt;=11)*(BULK_END&gt;=11)))&gt;0,IFERROR(SUMPRODUCT(((BULK_ENABLED="Y")*((BULK_TIER="ALL")+(BULK_TIER=$F129))*((BULK_SKU="ALL")+(BULK_SKU=$G129))*(BULK_START&lt;=11)*(BULK_END&gt;=11))*IFERROR(BULK_VALUE,0))/MAX(1,SUMPRODUCT(((BULK_ENABLED="Y")*((BULK_TIER="ALL")+(BULK_TIER=$F129))*((BULK_SKU="ALL")+(BULK_SKU=$G129))*(BULK_START&lt;=11)*(BULK_END&gt;=11)))),0),ROUND((INDEX(VELOCITY_TABLE,MATCH($F129,TIER_LIST,0),2))*(IF((11-$I129+1)&lt;=0,0,IF((11-$I129+1)=1,RAMP_W1,IF((11-$I129+1)=2,RAMP_W2,IF((11-$I129+1)=3,RAMP_W3,RAMP_W4PLUS)))))*(INDEX(ACTIVE_MULT_TABLE,2,1))*(1+SUMPRODUCT(SIGN(((ACT_DOOR_SCOPE="ALL")+(ACT_DOOR_SCOPE="TIER_"&amp;$F129)+(ACT_DOOR_SCOPE=$B129)))*SIGN(((ACT_SKU_SCOPE="ALL")+(ACT_SKU_SCOPE=$G129)))*(ACT_START&lt;=11)*(ACT_END&gt;=11)*IFERROR(ACT_UPLIFT-1,0)))*(1+SUMPRODUCT(SIGN(((ACT_DOOR_SCOPE="ALL")+(ACT_DOOR_SCOPE="TIER_"&amp;$F129)+(ACT_DOOR_SCOPE=$B129)))*SIGN(((ACT_SKU_SCOPE="ALL")+(ACT_SKU_SCOPE=$G129)))*(11&gt;ACT_END)*(ACT_END&gt;0)*IFERROR(ACT_POSTLIFT,0))),0)))</f>
        <v/>
      </c>
      <c r="U129" s="10">
        <f>IF(OR($H129&lt;&gt;"Y",12&lt;$I129),0,IF(SUMPRODUCT(((BULK_ENABLED="Y")*((BULK_TIER="ALL")+(BULK_TIER=$F129))*((BULK_SKU="ALL")+(BULK_SKU=$G129))*(BULK_START&lt;=12)*(BULK_END&gt;=12)))&gt;0,IFERROR(SUMPRODUCT(((BULK_ENABLED="Y")*((BULK_TIER="ALL")+(BULK_TIER=$F129))*((BULK_SKU="ALL")+(BULK_SKU=$G129))*(BULK_START&lt;=12)*(BULK_END&gt;=12))*IFERROR(BULK_VALUE,0))/MAX(1,SUMPRODUCT(((BULK_ENABLED="Y")*((BULK_TIER="ALL")+(BULK_TIER=$F129))*((BULK_SKU="ALL")+(BULK_SKU=$G129))*(BULK_START&lt;=12)*(BULK_END&gt;=12)))),0),ROUND((INDEX(VELOCITY_TABLE,MATCH($F129,TIER_LIST,0),2))*(IF((12-$I129+1)&lt;=0,0,IF((12-$I129+1)=1,RAMP_W1,IF((12-$I129+1)=2,RAMP_W2,IF((12-$I129+1)=3,RAMP_W3,RAMP_W4PLUS)))))*(INDEX(ACTIVE_MULT_TABLE,2,1))*(1+SUMPRODUCT(SIGN(((ACT_DOOR_SCOPE="ALL")+(ACT_DOOR_SCOPE="TIER_"&amp;$F129)+(ACT_DOOR_SCOPE=$B129)))*SIGN(((ACT_SKU_SCOPE="ALL")+(ACT_SKU_SCOPE=$G129)))*(ACT_START&lt;=12)*(ACT_END&gt;=12)*IFERROR(ACT_UPLIFT-1,0)))*(1+SUMPRODUCT(SIGN(((ACT_DOOR_SCOPE="ALL")+(ACT_DOOR_SCOPE="TIER_"&amp;$F129)+(ACT_DOOR_SCOPE=$B129)))*SIGN(((ACT_SKU_SCOPE="ALL")+(ACT_SKU_SCOPE=$G129)))*(12&gt;ACT_END)*(ACT_END&gt;0)*IFERROR(ACT_POSTLIFT,0))),0)))</f>
        <v/>
      </c>
      <c r="V129" s="10">
        <f>IF(OR($H129&lt;&gt;"Y",13&lt;$I129),0,IF(SUMPRODUCT(((BULK_ENABLED="Y")*((BULK_TIER="ALL")+(BULK_TIER=$F129))*((BULK_SKU="ALL")+(BULK_SKU=$G129))*(BULK_START&lt;=13)*(BULK_END&gt;=13)))&gt;0,IFERROR(SUMPRODUCT(((BULK_ENABLED="Y")*((BULK_TIER="ALL")+(BULK_TIER=$F129))*((BULK_SKU="ALL")+(BULK_SKU=$G129))*(BULK_START&lt;=13)*(BULK_END&gt;=13))*IFERROR(BULK_VALUE,0))/MAX(1,SUMPRODUCT(((BULK_ENABLED="Y")*((BULK_TIER="ALL")+(BULK_TIER=$F129))*((BULK_SKU="ALL")+(BULK_SKU=$G129))*(BULK_START&lt;=13)*(BULK_END&gt;=13)))),0),ROUND((INDEX(VELOCITY_TABLE,MATCH($F129,TIER_LIST,0),2))*(IF((13-$I129+1)&lt;=0,0,IF((13-$I129+1)=1,RAMP_W1,IF((13-$I129+1)=2,RAMP_W2,IF((13-$I129+1)=3,RAMP_W3,RAMP_W4PLUS)))))*(INDEX(ACTIVE_MULT_TABLE,2,1))*(1+SUMPRODUCT(SIGN(((ACT_DOOR_SCOPE="ALL")+(ACT_DOOR_SCOPE="TIER_"&amp;$F129)+(ACT_DOOR_SCOPE=$B129)))*SIGN(((ACT_SKU_SCOPE="ALL")+(ACT_SKU_SCOPE=$G129)))*(ACT_START&lt;=13)*(ACT_END&gt;=13)*IFERROR(ACT_UPLIFT-1,0)))*(1+SUMPRODUCT(SIGN(((ACT_DOOR_SCOPE="ALL")+(ACT_DOOR_SCOPE="TIER_"&amp;$F129)+(ACT_DOOR_SCOPE=$B129)))*SIGN(((ACT_SKU_SCOPE="ALL")+(ACT_SKU_SCOPE=$G129)))*(13&gt;ACT_END)*(ACT_END&gt;0)*IFERROR(ACT_POSTLIFT,0))),0)))</f>
        <v/>
      </c>
    </row>
    <row r="130">
      <c r="A130" t="inlineStr">
        <is>
          <t>R0126</t>
        </is>
      </c>
      <c r="B130">
        <f>Doors!$A$46</f>
        <v/>
      </c>
      <c r="C130">
        <f>Doors!$C$46</f>
        <v/>
      </c>
      <c r="D130">
        <f>Doors!$B$46</f>
        <v/>
      </c>
      <c r="E130">
        <f>Doors!$E$46</f>
        <v/>
      </c>
      <c r="F130">
        <f>Doors!$F$46</f>
        <v/>
      </c>
      <c r="G130" t="inlineStr">
        <is>
          <t>Raspberry</t>
        </is>
      </c>
      <c r="H130">
        <f>Doors!$I$46</f>
        <v/>
      </c>
      <c r="I130">
        <f>Doors!$J$46</f>
        <v/>
      </c>
      <c r="J130" s="10">
        <f>IF(OR($H130&lt;&gt;"Y",1&lt;$I130),0,IF(SUMPRODUCT(((BULK_ENABLED="Y")*((BULK_TIER="ALL")+(BULK_TIER=$F130))*((BULK_SKU="ALL")+(BULK_SKU=$G130))*(BULK_START&lt;=1)*(BULK_END&gt;=1)))&gt;0,IFERROR(SUMPRODUCT(((BULK_ENABLED="Y")*((BULK_TIER="ALL")+(BULK_TIER=$F130))*((BULK_SKU="ALL")+(BULK_SKU=$G130))*(BULK_START&lt;=1)*(BULK_END&gt;=1))*IFERROR(BULK_VALUE,0))/MAX(1,SUMPRODUCT(((BULK_ENABLED="Y")*((BULK_TIER="ALL")+(BULK_TIER=$F130))*((BULK_SKU="ALL")+(BULK_SKU=$G130))*(BULK_START&lt;=1)*(BULK_END&gt;=1)))),0),ROUND((INDEX(VELOCITY_TABLE,MATCH($F130,TIER_LIST,0),3))*(IF((1-$I130+1)&lt;=0,0,IF((1-$I130+1)=1,RAMP_W1,IF((1-$I130+1)=2,RAMP_W2,IF((1-$I130+1)=3,RAMP_W3,RAMP_W4PLUS)))))*(INDEX(ACTIVE_MULT_TABLE,3,1))*(1+SUMPRODUCT(SIGN(((ACT_DOOR_SCOPE="ALL")+(ACT_DOOR_SCOPE="TIER_"&amp;$F130)+(ACT_DOOR_SCOPE=$B130)))*SIGN(((ACT_SKU_SCOPE="ALL")+(ACT_SKU_SCOPE=$G130)))*(ACT_START&lt;=1)*(ACT_END&gt;=1)*IFERROR(ACT_UPLIFT-1,0)))*(1+SUMPRODUCT(SIGN(((ACT_DOOR_SCOPE="ALL")+(ACT_DOOR_SCOPE="TIER_"&amp;$F130)+(ACT_DOOR_SCOPE=$B130)))*SIGN(((ACT_SKU_SCOPE="ALL")+(ACT_SKU_SCOPE=$G130)))*(1&gt;ACT_END)*(ACT_END&gt;0)*IFERROR(ACT_POSTLIFT,0))),0)))</f>
        <v/>
      </c>
      <c r="K130" s="10">
        <f>IF(OR($H130&lt;&gt;"Y",2&lt;$I130),0,IF(SUMPRODUCT(((BULK_ENABLED="Y")*((BULK_TIER="ALL")+(BULK_TIER=$F130))*((BULK_SKU="ALL")+(BULK_SKU=$G130))*(BULK_START&lt;=2)*(BULK_END&gt;=2)))&gt;0,IFERROR(SUMPRODUCT(((BULK_ENABLED="Y")*((BULK_TIER="ALL")+(BULK_TIER=$F130))*((BULK_SKU="ALL")+(BULK_SKU=$G130))*(BULK_START&lt;=2)*(BULK_END&gt;=2))*IFERROR(BULK_VALUE,0))/MAX(1,SUMPRODUCT(((BULK_ENABLED="Y")*((BULK_TIER="ALL")+(BULK_TIER=$F130))*((BULK_SKU="ALL")+(BULK_SKU=$G130))*(BULK_START&lt;=2)*(BULK_END&gt;=2)))),0),ROUND((INDEX(VELOCITY_TABLE,MATCH($F130,TIER_LIST,0),3))*(IF((2-$I130+1)&lt;=0,0,IF((2-$I130+1)=1,RAMP_W1,IF((2-$I130+1)=2,RAMP_W2,IF((2-$I130+1)=3,RAMP_W3,RAMP_W4PLUS)))))*(INDEX(ACTIVE_MULT_TABLE,3,1))*(1+SUMPRODUCT(SIGN(((ACT_DOOR_SCOPE="ALL")+(ACT_DOOR_SCOPE="TIER_"&amp;$F130)+(ACT_DOOR_SCOPE=$B130)))*SIGN(((ACT_SKU_SCOPE="ALL")+(ACT_SKU_SCOPE=$G130)))*(ACT_START&lt;=2)*(ACT_END&gt;=2)*IFERROR(ACT_UPLIFT-1,0)))*(1+SUMPRODUCT(SIGN(((ACT_DOOR_SCOPE="ALL")+(ACT_DOOR_SCOPE="TIER_"&amp;$F130)+(ACT_DOOR_SCOPE=$B130)))*SIGN(((ACT_SKU_SCOPE="ALL")+(ACT_SKU_SCOPE=$G130)))*(2&gt;ACT_END)*(ACT_END&gt;0)*IFERROR(ACT_POSTLIFT,0))),0)))</f>
        <v/>
      </c>
      <c r="L130" s="10">
        <f>IF(OR($H130&lt;&gt;"Y",3&lt;$I130),0,IF(SUMPRODUCT(((BULK_ENABLED="Y")*((BULK_TIER="ALL")+(BULK_TIER=$F130))*((BULK_SKU="ALL")+(BULK_SKU=$G130))*(BULK_START&lt;=3)*(BULK_END&gt;=3)))&gt;0,IFERROR(SUMPRODUCT(((BULK_ENABLED="Y")*((BULK_TIER="ALL")+(BULK_TIER=$F130))*((BULK_SKU="ALL")+(BULK_SKU=$G130))*(BULK_START&lt;=3)*(BULK_END&gt;=3))*IFERROR(BULK_VALUE,0))/MAX(1,SUMPRODUCT(((BULK_ENABLED="Y")*((BULK_TIER="ALL")+(BULK_TIER=$F130))*((BULK_SKU="ALL")+(BULK_SKU=$G130))*(BULK_START&lt;=3)*(BULK_END&gt;=3)))),0),ROUND((INDEX(VELOCITY_TABLE,MATCH($F130,TIER_LIST,0),3))*(IF((3-$I130+1)&lt;=0,0,IF((3-$I130+1)=1,RAMP_W1,IF((3-$I130+1)=2,RAMP_W2,IF((3-$I130+1)=3,RAMP_W3,RAMP_W4PLUS)))))*(INDEX(ACTIVE_MULT_TABLE,3,1))*(1+SUMPRODUCT(SIGN(((ACT_DOOR_SCOPE="ALL")+(ACT_DOOR_SCOPE="TIER_"&amp;$F130)+(ACT_DOOR_SCOPE=$B130)))*SIGN(((ACT_SKU_SCOPE="ALL")+(ACT_SKU_SCOPE=$G130)))*(ACT_START&lt;=3)*(ACT_END&gt;=3)*IFERROR(ACT_UPLIFT-1,0)))*(1+SUMPRODUCT(SIGN(((ACT_DOOR_SCOPE="ALL")+(ACT_DOOR_SCOPE="TIER_"&amp;$F130)+(ACT_DOOR_SCOPE=$B130)))*SIGN(((ACT_SKU_SCOPE="ALL")+(ACT_SKU_SCOPE=$G130)))*(3&gt;ACT_END)*(ACT_END&gt;0)*IFERROR(ACT_POSTLIFT,0))),0)))</f>
        <v/>
      </c>
      <c r="M130" s="10">
        <f>IF(OR($H130&lt;&gt;"Y",4&lt;$I130),0,IF(SUMPRODUCT(((BULK_ENABLED="Y")*((BULK_TIER="ALL")+(BULK_TIER=$F130))*((BULK_SKU="ALL")+(BULK_SKU=$G130))*(BULK_START&lt;=4)*(BULK_END&gt;=4)))&gt;0,IFERROR(SUMPRODUCT(((BULK_ENABLED="Y")*((BULK_TIER="ALL")+(BULK_TIER=$F130))*((BULK_SKU="ALL")+(BULK_SKU=$G130))*(BULK_START&lt;=4)*(BULK_END&gt;=4))*IFERROR(BULK_VALUE,0))/MAX(1,SUMPRODUCT(((BULK_ENABLED="Y")*((BULK_TIER="ALL")+(BULK_TIER=$F130))*((BULK_SKU="ALL")+(BULK_SKU=$G130))*(BULK_START&lt;=4)*(BULK_END&gt;=4)))),0),ROUND((INDEX(VELOCITY_TABLE,MATCH($F130,TIER_LIST,0),3))*(IF((4-$I130+1)&lt;=0,0,IF((4-$I130+1)=1,RAMP_W1,IF((4-$I130+1)=2,RAMP_W2,IF((4-$I130+1)=3,RAMP_W3,RAMP_W4PLUS)))))*(INDEX(ACTIVE_MULT_TABLE,3,1))*(1+SUMPRODUCT(SIGN(((ACT_DOOR_SCOPE="ALL")+(ACT_DOOR_SCOPE="TIER_"&amp;$F130)+(ACT_DOOR_SCOPE=$B130)))*SIGN(((ACT_SKU_SCOPE="ALL")+(ACT_SKU_SCOPE=$G130)))*(ACT_START&lt;=4)*(ACT_END&gt;=4)*IFERROR(ACT_UPLIFT-1,0)))*(1+SUMPRODUCT(SIGN(((ACT_DOOR_SCOPE="ALL")+(ACT_DOOR_SCOPE="TIER_"&amp;$F130)+(ACT_DOOR_SCOPE=$B130)))*SIGN(((ACT_SKU_SCOPE="ALL")+(ACT_SKU_SCOPE=$G130)))*(4&gt;ACT_END)*(ACT_END&gt;0)*IFERROR(ACT_POSTLIFT,0))),0)))</f>
        <v/>
      </c>
      <c r="N130" s="10">
        <f>IF(OR($H130&lt;&gt;"Y",5&lt;$I130),0,IF(SUMPRODUCT(((BULK_ENABLED="Y")*((BULK_TIER="ALL")+(BULK_TIER=$F130))*((BULK_SKU="ALL")+(BULK_SKU=$G130))*(BULK_START&lt;=5)*(BULK_END&gt;=5)))&gt;0,IFERROR(SUMPRODUCT(((BULK_ENABLED="Y")*((BULK_TIER="ALL")+(BULK_TIER=$F130))*((BULK_SKU="ALL")+(BULK_SKU=$G130))*(BULK_START&lt;=5)*(BULK_END&gt;=5))*IFERROR(BULK_VALUE,0))/MAX(1,SUMPRODUCT(((BULK_ENABLED="Y")*((BULK_TIER="ALL")+(BULK_TIER=$F130))*((BULK_SKU="ALL")+(BULK_SKU=$G130))*(BULK_START&lt;=5)*(BULK_END&gt;=5)))),0),ROUND((INDEX(VELOCITY_TABLE,MATCH($F130,TIER_LIST,0),3))*(IF((5-$I130+1)&lt;=0,0,IF((5-$I130+1)=1,RAMP_W1,IF((5-$I130+1)=2,RAMP_W2,IF((5-$I130+1)=3,RAMP_W3,RAMP_W4PLUS)))))*(INDEX(ACTIVE_MULT_TABLE,3,1))*(1+SUMPRODUCT(SIGN(((ACT_DOOR_SCOPE="ALL")+(ACT_DOOR_SCOPE="TIER_"&amp;$F130)+(ACT_DOOR_SCOPE=$B130)))*SIGN(((ACT_SKU_SCOPE="ALL")+(ACT_SKU_SCOPE=$G130)))*(ACT_START&lt;=5)*(ACT_END&gt;=5)*IFERROR(ACT_UPLIFT-1,0)))*(1+SUMPRODUCT(SIGN(((ACT_DOOR_SCOPE="ALL")+(ACT_DOOR_SCOPE="TIER_"&amp;$F130)+(ACT_DOOR_SCOPE=$B130)))*SIGN(((ACT_SKU_SCOPE="ALL")+(ACT_SKU_SCOPE=$G130)))*(5&gt;ACT_END)*(ACT_END&gt;0)*IFERROR(ACT_POSTLIFT,0))),0)))</f>
        <v/>
      </c>
      <c r="O130" s="10">
        <f>IF(OR($H130&lt;&gt;"Y",6&lt;$I130),0,IF(SUMPRODUCT(((BULK_ENABLED="Y")*((BULK_TIER="ALL")+(BULK_TIER=$F130))*((BULK_SKU="ALL")+(BULK_SKU=$G130))*(BULK_START&lt;=6)*(BULK_END&gt;=6)))&gt;0,IFERROR(SUMPRODUCT(((BULK_ENABLED="Y")*((BULK_TIER="ALL")+(BULK_TIER=$F130))*((BULK_SKU="ALL")+(BULK_SKU=$G130))*(BULK_START&lt;=6)*(BULK_END&gt;=6))*IFERROR(BULK_VALUE,0))/MAX(1,SUMPRODUCT(((BULK_ENABLED="Y")*((BULK_TIER="ALL")+(BULK_TIER=$F130))*((BULK_SKU="ALL")+(BULK_SKU=$G130))*(BULK_START&lt;=6)*(BULK_END&gt;=6)))),0),ROUND((INDEX(VELOCITY_TABLE,MATCH($F130,TIER_LIST,0),3))*(IF((6-$I130+1)&lt;=0,0,IF((6-$I130+1)=1,RAMP_W1,IF((6-$I130+1)=2,RAMP_W2,IF((6-$I130+1)=3,RAMP_W3,RAMP_W4PLUS)))))*(INDEX(ACTIVE_MULT_TABLE,3,1))*(1+SUMPRODUCT(SIGN(((ACT_DOOR_SCOPE="ALL")+(ACT_DOOR_SCOPE="TIER_"&amp;$F130)+(ACT_DOOR_SCOPE=$B130)))*SIGN(((ACT_SKU_SCOPE="ALL")+(ACT_SKU_SCOPE=$G130)))*(ACT_START&lt;=6)*(ACT_END&gt;=6)*IFERROR(ACT_UPLIFT-1,0)))*(1+SUMPRODUCT(SIGN(((ACT_DOOR_SCOPE="ALL")+(ACT_DOOR_SCOPE="TIER_"&amp;$F130)+(ACT_DOOR_SCOPE=$B130)))*SIGN(((ACT_SKU_SCOPE="ALL")+(ACT_SKU_SCOPE=$G130)))*(6&gt;ACT_END)*(ACT_END&gt;0)*IFERROR(ACT_POSTLIFT,0))),0)))</f>
        <v/>
      </c>
      <c r="P130" s="10">
        <f>IF(OR($H130&lt;&gt;"Y",7&lt;$I130),0,IF(SUMPRODUCT(((BULK_ENABLED="Y")*((BULK_TIER="ALL")+(BULK_TIER=$F130))*((BULK_SKU="ALL")+(BULK_SKU=$G130))*(BULK_START&lt;=7)*(BULK_END&gt;=7)))&gt;0,IFERROR(SUMPRODUCT(((BULK_ENABLED="Y")*((BULK_TIER="ALL")+(BULK_TIER=$F130))*((BULK_SKU="ALL")+(BULK_SKU=$G130))*(BULK_START&lt;=7)*(BULK_END&gt;=7))*IFERROR(BULK_VALUE,0))/MAX(1,SUMPRODUCT(((BULK_ENABLED="Y")*((BULK_TIER="ALL")+(BULK_TIER=$F130))*((BULK_SKU="ALL")+(BULK_SKU=$G130))*(BULK_START&lt;=7)*(BULK_END&gt;=7)))),0),ROUND((INDEX(VELOCITY_TABLE,MATCH($F130,TIER_LIST,0),3))*(IF((7-$I130+1)&lt;=0,0,IF((7-$I130+1)=1,RAMP_W1,IF((7-$I130+1)=2,RAMP_W2,IF((7-$I130+1)=3,RAMP_W3,RAMP_W4PLUS)))))*(INDEX(ACTIVE_MULT_TABLE,3,1))*(1+SUMPRODUCT(SIGN(((ACT_DOOR_SCOPE="ALL")+(ACT_DOOR_SCOPE="TIER_"&amp;$F130)+(ACT_DOOR_SCOPE=$B130)))*SIGN(((ACT_SKU_SCOPE="ALL")+(ACT_SKU_SCOPE=$G130)))*(ACT_START&lt;=7)*(ACT_END&gt;=7)*IFERROR(ACT_UPLIFT-1,0)))*(1+SUMPRODUCT(SIGN(((ACT_DOOR_SCOPE="ALL")+(ACT_DOOR_SCOPE="TIER_"&amp;$F130)+(ACT_DOOR_SCOPE=$B130)))*SIGN(((ACT_SKU_SCOPE="ALL")+(ACT_SKU_SCOPE=$G130)))*(7&gt;ACT_END)*(ACT_END&gt;0)*IFERROR(ACT_POSTLIFT,0))),0)))</f>
        <v/>
      </c>
      <c r="Q130" s="10">
        <f>IF(OR($H130&lt;&gt;"Y",8&lt;$I130),0,IF(SUMPRODUCT(((BULK_ENABLED="Y")*((BULK_TIER="ALL")+(BULK_TIER=$F130))*((BULK_SKU="ALL")+(BULK_SKU=$G130))*(BULK_START&lt;=8)*(BULK_END&gt;=8)))&gt;0,IFERROR(SUMPRODUCT(((BULK_ENABLED="Y")*((BULK_TIER="ALL")+(BULK_TIER=$F130))*((BULK_SKU="ALL")+(BULK_SKU=$G130))*(BULK_START&lt;=8)*(BULK_END&gt;=8))*IFERROR(BULK_VALUE,0))/MAX(1,SUMPRODUCT(((BULK_ENABLED="Y")*((BULK_TIER="ALL")+(BULK_TIER=$F130))*((BULK_SKU="ALL")+(BULK_SKU=$G130))*(BULK_START&lt;=8)*(BULK_END&gt;=8)))),0),ROUND((INDEX(VELOCITY_TABLE,MATCH($F130,TIER_LIST,0),3))*(IF((8-$I130+1)&lt;=0,0,IF((8-$I130+1)=1,RAMP_W1,IF((8-$I130+1)=2,RAMP_W2,IF((8-$I130+1)=3,RAMP_W3,RAMP_W4PLUS)))))*(INDEX(ACTIVE_MULT_TABLE,3,1))*(1+SUMPRODUCT(SIGN(((ACT_DOOR_SCOPE="ALL")+(ACT_DOOR_SCOPE="TIER_"&amp;$F130)+(ACT_DOOR_SCOPE=$B130)))*SIGN(((ACT_SKU_SCOPE="ALL")+(ACT_SKU_SCOPE=$G130)))*(ACT_START&lt;=8)*(ACT_END&gt;=8)*IFERROR(ACT_UPLIFT-1,0)))*(1+SUMPRODUCT(SIGN(((ACT_DOOR_SCOPE="ALL")+(ACT_DOOR_SCOPE="TIER_"&amp;$F130)+(ACT_DOOR_SCOPE=$B130)))*SIGN(((ACT_SKU_SCOPE="ALL")+(ACT_SKU_SCOPE=$G130)))*(8&gt;ACT_END)*(ACT_END&gt;0)*IFERROR(ACT_POSTLIFT,0))),0)))</f>
        <v/>
      </c>
      <c r="R130" s="10">
        <f>IF(OR($H130&lt;&gt;"Y",9&lt;$I130),0,IF(SUMPRODUCT(((BULK_ENABLED="Y")*((BULK_TIER="ALL")+(BULK_TIER=$F130))*((BULK_SKU="ALL")+(BULK_SKU=$G130))*(BULK_START&lt;=9)*(BULK_END&gt;=9)))&gt;0,IFERROR(SUMPRODUCT(((BULK_ENABLED="Y")*((BULK_TIER="ALL")+(BULK_TIER=$F130))*((BULK_SKU="ALL")+(BULK_SKU=$G130))*(BULK_START&lt;=9)*(BULK_END&gt;=9))*IFERROR(BULK_VALUE,0))/MAX(1,SUMPRODUCT(((BULK_ENABLED="Y")*((BULK_TIER="ALL")+(BULK_TIER=$F130))*((BULK_SKU="ALL")+(BULK_SKU=$G130))*(BULK_START&lt;=9)*(BULK_END&gt;=9)))),0),ROUND((INDEX(VELOCITY_TABLE,MATCH($F130,TIER_LIST,0),3))*(IF((9-$I130+1)&lt;=0,0,IF((9-$I130+1)=1,RAMP_W1,IF((9-$I130+1)=2,RAMP_W2,IF((9-$I130+1)=3,RAMP_W3,RAMP_W4PLUS)))))*(INDEX(ACTIVE_MULT_TABLE,3,1))*(1+SUMPRODUCT(SIGN(((ACT_DOOR_SCOPE="ALL")+(ACT_DOOR_SCOPE="TIER_"&amp;$F130)+(ACT_DOOR_SCOPE=$B130)))*SIGN(((ACT_SKU_SCOPE="ALL")+(ACT_SKU_SCOPE=$G130)))*(ACT_START&lt;=9)*(ACT_END&gt;=9)*IFERROR(ACT_UPLIFT-1,0)))*(1+SUMPRODUCT(SIGN(((ACT_DOOR_SCOPE="ALL")+(ACT_DOOR_SCOPE="TIER_"&amp;$F130)+(ACT_DOOR_SCOPE=$B130)))*SIGN(((ACT_SKU_SCOPE="ALL")+(ACT_SKU_SCOPE=$G130)))*(9&gt;ACT_END)*(ACT_END&gt;0)*IFERROR(ACT_POSTLIFT,0))),0)))</f>
        <v/>
      </c>
      <c r="S130" s="10">
        <f>IF(OR($H130&lt;&gt;"Y",10&lt;$I130),0,IF(SUMPRODUCT(((BULK_ENABLED="Y")*((BULK_TIER="ALL")+(BULK_TIER=$F130))*((BULK_SKU="ALL")+(BULK_SKU=$G130))*(BULK_START&lt;=10)*(BULK_END&gt;=10)))&gt;0,IFERROR(SUMPRODUCT(((BULK_ENABLED="Y")*((BULK_TIER="ALL")+(BULK_TIER=$F130))*((BULK_SKU="ALL")+(BULK_SKU=$G130))*(BULK_START&lt;=10)*(BULK_END&gt;=10))*IFERROR(BULK_VALUE,0))/MAX(1,SUMPRODUCT(((BULK_ENABLED="Y")*((BULK_TIER="ALL")+(BULK_TIER=$F130))*((BULK_SKU="ALL")+(BULK_SKU=$G130))*(BULK_START&lt;=10)*(BULK_END&gt;=10)))),0),ROUND((INDEX(VELOCITY_TABLE,MATCH($F130,TIER_LIST,0),3))*(IF((10-$I130+1)&lt;=0,0,IF((10-$I130+1)=1,RAMP_W1,IF((10-$I130+1)=2,RAMP_W2,IF((10-$I130+1)=3,RAMP_W3,RAMP_W4PLUS)))))*(INDEX(ACTIVE_MULT_TABLE,3,1))*(1+SUMPRODUCT(SIGN(((ACT_DOOR_SCOPE="ALL")+(ACT_DOOR_SCOPE="TIER_"&amp;$F130)+(ACT_DOOR_SCOPE=$B130)))*SIGN(((ACT_SKU_SCOPE="ALL")+(ACT_SKU_SCOPE=$G130)))*(ACT_START&lt;=10)*(ACT_END&gt;=10)*IFERROR(ACT_UPLIFT-1,0)))*(1+SUMPRODUCT(SIGN(((ACT_DOOR_SCOPE="ALL")+(ACT_DOOR_SCOPE="TIER_"&amp;$F130)+(ACT_DOOR_SCOPE=$B130)))*SIGN(((ACT_SKU_SCOPE="ALL")+(ACT_SKU_SCOPE=$G130)))*(10&gt;ACT_END)*(ACT_END&gt;0)*IFERROR(ACT_POSTLIFT,0))),0)))</f>
        <v/>
      </c>
      <c r="T130" s="10">
        <f>IF(OR($H130&lt;&gt;"Y",11&lt;$I130),0,IF(SUMPRODUCT(((BULK_ENABLED="Y")*((BULK_TIER="ALL")+(BULK_TIER=$F130))*((BULK_SKU="ALL")+(BULK_SKU=$G130))*(BULK_START&lt;=11)*(BULK_END&gt;=11)))&gt;0,IFERROR(SUMPRODUCT(((BULK_ENABLED="Y")*((BULK_TIER="ALL")+(BULK_TIER=$F130))*((BULK_SKU="ALL")+(BULK_SKU=$G130))*(BULK_START&lt;=11)*(BULK_END&gt;=11))*IFERROR(BULK_VALUE,0))/MAX(1,SUMPRODUCT(((BULK_ENABLED="Y")*((BULK_TIER="ALL")+(BULK_TIER=$F130))*((BULK_SKU="ALL")+(BULK_SKU=$G130))*(BULK_START&lt;=11)*(BULK_END&gt;=11)))),0),ROUND((INDEX(VELOCITY_TABLE,MATCH($F130,TIER_LIST,0),3))*(IF((11-$I130+1)&lt;=0,0,IF((11-$I130+1)=1,RAMP_W1,IF((11-$I130+1)=2,RAMP_W2,IF((11-$I130+1)=3,RAMP_W3,RAMP_W4PLUS)))))*(INDEX(ACTIVE_MULT_TABLE,3,1))*(1+SUMPRODUCT(SIGN(((ACT_DOOR_SCOPE="ALL")+(ACT_DOOR_SCOPE="TIER_"&amp;$F130)+(ACT_DOOR_SCOPE=$B130)))*SIGN(((ACT_SKU_SCOPE="ALL")+(ACT_SKU_SCOPE=$G130)))*(ACT_START&lt;=11)*(ACT_END&gt;=11)*IFERROR(ACT_UPLIFT-1,0)))*(1+SUMPRODUCT(SIGN(((ACT_DOOR_SCOPE="ALL")+(ACT_DOOR_SCOPE="TIER_"&amp;$F130)+(ACT_DOOR_SCOPE=$B130)))*SIGN(((ACT_SKU_SCOPE="ALL")+(ACT_SKU_SCOPE=$G130)))*(11&gt;ACT_END)*(ACT_END&gt;0)*IFERROR(ACT_POSTLIFT,0))),0)))</f>
        <v/>
      </c>
      <c r="U130" s="10">
        <f>IF(OR($H130&lt;&gt;"Y",12&lt;$I130),0,IF(SUMPRODUCT(((BULK_ENABLED="Y")*((BULK_TIER="ALL")+(BULK_TIER=$F130))*((BULK_SKU="ALL")+(BULK_SKU=$G130))*(BULK_START&lt;=12)*(BULK_END&gt;=12)))&gt;0,IFERROR(SUMPRODUCT(((BULK_ENABLED="Y")*((BULK_TIER="ALL")+(BULK_TIER=$F130))*((BULK_SKU="ALL")+(BULK_SKU=$G130))*(BULK_START&lt;=12)*(BULK_END&gt;=12))*IFERROR(BULK_VALUE,0))/MAX(1,SUMPRODUCT(((BULK_ENABLED="Y")*((BULK_TIER="ALL")+(BULK_TIER=$F130))*((BULK_SKU="ALL")+(BULK_SKU=$G130))*(BULK_START&lt;=12)*(BULK_END&gt;=12)))),0),ROUND((INDEX(VELOCITY_TABLE,MATCH($F130,TIER_LIST,0),3))*(IF((12-$I130+1)&lt;=0,0,IF((12-$I130+1)=1,RAMP_W1,IF((12-$I130+1)=2,RAMP_W2,IF((12-$I130+1)=3,RAMP_W3,RAMP_W4PLUS)))))*(INDEX(ACTIVE_MULT_TABLE,3,1))*(1+SUMPRODUCT(SIGN(((ACT_DOOR_SCOPE="ALL")+(ACT_DOOR_SCOPE="TIER_"&amp;$F130)+(ACT_DOOR_SCOPE=$B130)))*SIGN(((ACT_SKU_SCOPE="ALL")+(ACT_SKU_SCOPE=$G130)))*(ACT_START&lt;=12)*(ACT_END&gt;=12)*IFERROR(ACT_UPLIFT-1,0)))*(1+SUMPRODUCT(SIGN(((ACT_DOOR_SCOPE="ALL")+(ACT_DOOR_SCOPE="TIER_"&amp;$F130)+(ACT_DOOR_SCOPE=$B130)))*SIGN(((ACT_SKU_SCOPE="ALL")+(ACT_SKU_SCOPE=$G130)))*(12&gt;ACT_END)*(ACT_END&gt;0)*IFERROR(ACT_POSTLIFT,0))),0)))</f>
        <v/>
      </c>
      <c r="V130" s="10">
        <f>IF(OR($H130&lt;&gt;"Y",13&lt;$I130),0,IF(SUMPRODUCT(((BULK_ENABLED="Y")*((BULK_TIER="ALL")+(BULK_TIER=$F130))*((BULK_SKU="ALL")+(BULK_SKU=$G130))*(BULK_START&lt;=13)*(BULK_END&gt;=13)))&gt;0,IFERROR(SUMPRODUCT(((BULK_ENABLED="Y")*((BULK_TIER="ALL")+(BULK_TIER=$F130))*((BULK_SKU="ALL")+(BULK_SKU=$G130))*(BULK_START&lt;=13)*(BULK_END&gt;=13))*IFERROR(BULK_VALUE,0))/MAX(1,SUMPRODUCT(((BULK_ENABLED="Y")*((BULK_TIER="ALL")+(BULK_TIER=$F130))*((BULK_SKU="ALL")+(BULK_SKU=$G130))*(BULK_START&lt;=13)*(BULK_END&gt;=13)))),0),ROUND((INDEX(VELOCITY_TABLE,MATCH($F130,TIER_LIST,0),3))*(IF((13-$I130+1)&lt;=0,0,IF((13-$I130+1)=1,RAMP_W1,IF((13-$I130+1)=2,RAMP_W2,IF((13-$I130+1)=3,RAMP_W3,RAMP_W4PLUS)))))*(INDEX(ACTIVE_MULT_TABLE,3,1))*(1+SUMPRODUCT(SIGN(((ACT_DOOR_SCOPE="ALL")+(ACT_DOOR_SCOPE="TIER_"&amp;$F130)+(ACT_DOOR_SCOPE=$B130)))*SIGN(((ACT_SKU_SCOPE="ALL")+(ACT_SKU_SCOPE=$G130)))*(ACT_START&lt;=13)*(ACT_END&gt;=13)*IFERROR(ACT_UPLIFT-1,0)))*(1+SUMPRODUCT(SIGN(((ACT_DOOR_SCOPE="ALL")+(ACT_DOOR_SCOPE="TIER_"&amp;$F130)+(ACT_DOOR_SCOPE=$B130)))*SIGN(((ACT_SKU_SCOPE="ALL")+(ACT_SKU_SCOPE=$G130)))*(13&gt;ACT_END)*(ACT_END&gt;0)*IFERROR(ACT_POSTLIFT,0))),0)))</f>
        <v/>
      </c>
    </row>
    <row r="131">
      <c r="A131" t="inlineStr">
        <is>
          <t>R0127</t>
        </is>
      </c>
      <c r="B131">
        <f>Doors!$A$47</f>
        <v/>
      </c>
      <c r="C131">
        <f>Doors!$C$47</f>
        <v/>
      </c>
      <c r="D131">
        <f>Doors!$B$47</f>
        <v/>
      </c>
      <c r="E131">
        <f>Doors!$E$47</f>
        <v/>
      </c>
      <c r="F131">
        <f>Doors!$F$47</f>
        <v/>
      </c>
      <c r="G131" t="inlineStr">
        <is>
          <t>Lime Lemon</t>
        </is>
      </c>
      <c r="H131">
        <f>Doors!$G$47</f>
        <v/>
      </c>
      <c r="I131">
        <f>Doors!$J$47</f>
        <v/>
      </c>
      <c r="J131" s="10">
        <f>IF(OR($H131&lt;&gt;"Y",1&lt;$I131),0,IF(SUMPRODUCT(((BULK_ENABLED="Y")*((BULK_TIER="ALL")+(BULK_TIER=$F131))*((BULK_SKU="ALL")+(BULK_SKU=$G131))*(BULK_START&lt;=1)*(BULK_END&gt;=1)))&gt;0,IFERROR(SUMPRODUCT(((BULK_ENABLED="Y")*((BULK_TIER="ALL")+(BULK_TIER=$F131))*((BULK_SKU="ALL")+(BULK_SKU=$G131))*(BULK_START&lt;=1)*(BULK_END&gt;=1))*IFERROR(BULK_VALUE,0))/MAX(1,SUMPRODUCT(((BULK_ENABLED="Y")*((BULK_TIER="ALL")+(BULK_TIER=$F131))*((BULK_SKU="ALL")+(BULK_SKU=$G131))*(BULK_START&lt;=1)*(BULK_END&gt;=1)))),0),ROUND((INDEX(VELOCITY_TABLE,MATCH($F131,TIER_LIST,0),1))*(IF((1-$I131+1)&lt;=0,0,IF((1-$I131+1)=1,RAMP_W1,IF((1-$I131+1)=2,RAMP_W2,IF((1-$I131+1)=3,RAMP_W3,RAMP_W4PLUS)))))*(INDEX(ACTIVE_MULT_TABLE,1,1))*(1+SUMPRODUCT(SIGN(((ACT_DOOR_SCOPE="ALL")+(ACT_DOOR_SCOPE="TIER_"&amp;$F131)+(ACT_DOOR_SCOPE=$B131)))*SIGN(((ACT_SKU_SCOPE="ALL")+(ACT_SKU_SCOPE=$G131)))*(ACT_START&lt;=1)*(ACT_END&gt;=1)*IFERROR(ACT_UPLIFT-1,0)))*(1+SUMPRODUCT(SIGN(((ACT_DOOR_SCOPE="ALL")+(ACT_DOOR_SCOPE="TIER_"&amp;$F131)+(ACT_DOOR_SCOPE=$B131)))*SIGN(((ACT_SKU_SCOPE="ALL")+(ACT_SKU_SCOPE=$G131)))*(1&gt;ACT_END)*(ACT_END&gt;0)*IFERROR(ACT_POSTLIFT,0))),0)))</f>
        <v/>
      </c>
      <c r="K131" s="10">
        <f>IF(OR($H131&lt;&gt;"Y",2&lt;$I131),0,IF(SUMPRODUCT(((BULK_ENABLED="Y")*((BULK_TIER="ALL")+(BULK_TIER=$F131))*((BULK_SKU="ALL")+(BULK_SKU=$G131))*(BULK_START&lt;=2)*(BULK_END&gt;=2)))&gt;0,IFERROR(SUMPRODUCT(((BULK_ENABLED="Y")*((BULK_TIER="ALL")+(BULK_TIER=$F131))*((BULK_SKU="ALL")+(BULK_SKU=$G131))*(BULK_START&lt;=2)*(BULK_END&gt;=2))*IFERROR(BULK_VALUE,0))/MAX(1,SUMPRODUCT(((BULK_ENABLED="Y")*((BULK_TIER="ALL")+(BULK_TIER=$F131))*((BULK_SKU="ALL")+(BULK_SKU=$G131))*(BULK_START&lt;=2)*(BULK_END&gt;=2)))),0),ROUND((INDEX(VELOCITY_TABLE,MATCH($F131,TIER_LIST,0),1))*(IF((2-$I131+1)&lt;=0,0,IF((2-$I131+1)=1,RAMP_W1,IF((2-$I131+1)=2,RAMP_W2,IF((2-$I131+1)=3,RAMP_W3,RAMP_W4PLUS)))))*(INDEX(ACTIVE_MULT_TABLE,1,1))*(1+SUMPRODUCT(SIGN(((ACT_DOOR_SCOPE="ALL")+(ACT_DOOR_SCOPE="TIER_"&amp;$F131)+(ACT_DOOR_SCOPE=$B131)))*SIGN(((ACT_SKU_SCOPE="ALL")+(ACT_SKU_SCOPE=$G131)))*(ACT_START&lt;=2)*(ACT_END&gt;=2)*IFERROR(ACT_UPLIFT-1,0)))*(1+SUMPRODUCT(SIGN(((ACT_DOOR_SCOPE="ALL")+(ACT_DOOR_SCOPE="TIER_"&amp;$F131)+(ACT_DOOR_SCOPE=$B131)))*SIGN(((ACT_SKU_SCOPE="ALL")+(ACT_SKU_SCOPE=$G131)))*(2&gt;ACT_END)*(ACT_END&gt;0)*IFERROR(ACT_POSTLIFT,0))),0)))</f>
        <v/>
      </c>
      <c r="L131" s="10">
        <f>IF(OR($H131&lt;&gt;"Y",3&lt;$I131),0,IF(SUMPRODUCT(((BULK_ENABLED="Y")*((BULK_TIER="ALL")+(BULK_TIER=$F131))*((BULK_SKU="ALL")+(BULK_SKU=$G131))*(BULK_START&lt;=3)*(BULK_END&gt;=3)))&gt;0,IFERROR(SUMPRODUCT(((BULK_ENABLED="Y")*((BULK_TIER="ALL")+(BULK_TIER=$F131))*((BULK_SKU="ALL")+(BULK_SKU=$G131))*(BULK_START&lt;=3)*(BULK_END&gt;=3))*IFERROR(BULK_VALUE,0))/MAX(1,SUMPRODUCT(((BULK_ENABLED="Y")*((BULK_TIER="ALL")+(BULK_TIER=$F131))*((BULK_SKU="ALL")+(BULK_SKU=$G131))*(BULK_START&lt;=3)*(BULK_END&gt;=3)))),0),ROUND((INDEX(VELOCITY_TABLE,MATCH($F131,TIER_LIST,0),1))*(IF((3-$I131+1)&lt;=0,0,IF((3-$I131+1)=1,RAMP_W1,IF((3-$I131+1)=2,RAMP_W2,IF((3-$I131+1)=3,RAMP_W3,RAMP_W4PLUS)))))*(INDEX(ACTIVE_MULT_TABLE,1,1))*(1+SUMPRODUCT(SIGN(((ACT_DOOR_SCOPE="ALL")+(ACT_DOOR_SCOPE="TIER_"&amp;$F131)+(ACT_DOOR_SCOPE=$B131)))*SIGN(((ACT_SKU_SCOPE="ALL")+(ACT_SKU_SCOPE=$G131)))*(ACT_START&lt;=3)*(ACT_END&gt;=3)*IFERROR(ACT_UPLIFT-1,0)))*(1+SUMPRODUCT(SIGN(((ACT_DOOR_SCOPE="ALL")+(ACT_DOOR_SCOPE="TIER_"&amp;$F131)+(ACT_DOOR_SCOPE=$B131)))*SIGN(((ACT_SKU_SCOPE="ALL")+(ACT_SKU_SCOPE=$G131)))*(3&gt;ACT_END)*(ACT_END&gt;0)*IFERROR(ACT_POSTLIFT,0))),0)))</f>
        <v/>
      </c>
      <c r="M131" s="10">
        <f>IF(OR($H131&lt;&gt;"Y",4&lt;$I131),0,IF(SUMPRODUCT(((BULK_ENABLED="Y")*((BULK_TIER="ALL")+(BULK_TIER=$F131))*((BULK_SKU="ALL")+(BULK_SKU=$G131))*(BULK_START&lt;=4)*(BULK_END&gt;=4)))&gt;0,IFERROR(SUMPRODUCT(((BULK_ENABLED="Y")*((BULK_TIER="ALL")+(BULK_TIER=$F131))*((BULK_SKU="ALL")+(BULK_SKU=$G131))*(BULK_START&lt;=4)*(BULK_END&gt;=4))*IFERROR(BULK_VALUE,0))/MAX(1,SUMPRODUCT(((BULK_ENABLED="Y")*((BULK_TIER="ALL")+(BULK_TIER=$F131))*((BULK_SKU="ALL")+(BULK_SKU=$G131))*(BULK_START&lt;=4)*(BULK_END&gt;=4)))),0),ROUND((INDEX(VELOCITY_TABLE,MATCH($F131,TIER_LIST,0),1))*(IF((4-$I131+1)&lt;=0,0,IF((4-$I131+1)=1,RAMP_W1,IF((4-$I131+1)=2,RAMP_W2,IF((4-$I131+1)=3,RAMP_W3,RAMP_W4PLUS)))))*(INDEX(ACTIVE_MULT_TABLE,1,1))*(1+SUMPRODUCT(SIGN(((ACT_DOOR_SCOPE="ALL")+(ACT_DOOR_SCOPE="TIER_"&amp;$F131)+(ACT_DOOR_SCOPE=$B131)))*SIGN(((ACT_SKU_SCOPE="ALL")+(ACT_SKU_SCOPE=$G131)))*(ACT_START&lt;=4)*(ACT_END&gt;=4)*IFERROR(ACT_UPLIFT-1,0)))*(1+SUMPRODUCT(SIGN(((ACT_DOOR_SCOPE="ALL")+(ACT_DOOR_SCOPE="TIER_"&amp;$F131)+(ACT_DOOR_SCOPE=$B131)))*SIGN(((ACT_SKU_SCOPE="ALL")+(ACT_SKU_SCOPE=$G131)))*(4&gt;ACT_END)*(ACT_END&gt;0)*IFERROR(ACT_POSTLIFT,0))),0)))</f>
        <v/>
      </c>
      <c r="N131" s="10">
        <f>IF(OR($H131&lt;&gt;"Y",5&lt;$I131),0,IF(SUMPRODUCT(((BULK_ENABLED="Y")*((BULK_TIER="ALL")+(BULK_TIER=$F131))*((BULK_SKU="ALL")+(BULK_SKU=$G131))*(BULK_START&lt;=5)*(BULK_END&gt;=5)))&gt;0,IFERROR(SUMPRODUCT(((BULK_ENABLED="Y")*((BULK_TIER="ALL")+(BULK_TIER=$F131))*((BULK_SKU="ALL")+(BULK_SKU=$G131))*(BULK_START&lt;=5)*(BULK_END&gt;=5))*IFERROR(BULK_VALUE,0))/MAX(1,SUMPRODUCT(((BULK_ENABLED="Y")*((BULK_TIER="ALL")+(BULK_TIER=$F131))*((BULK_SKU="ALL")+(BULK_SKU=$G131))*(BULK_START&lt;=5)*(BULK_END&gt;=5)))),0),ROUND((INDEX(VELOCITY_TABLE,MATCH($F131,TIER_LIST,0),1))*(IF((5-$I131+1)&lt;=0,0,IF((5-$I131+1)=1,RAMP_W1,IF((5-$I131+1)=2,RAMP_W2,IF((5-$I131+1)=3,RAMP_W3,RAMP_W4PLUS)))))*(INDEX(ACTIVE_MULT_TABLE,1,1))*(1+SUMPRODUCT(SIGN(((ACT_DOOR_SCOPE="ALL")+(ACT_DOOR_SCOPE="TIER_"&amp;$F131)+(ACT_DOOR_SCOPE=$B131)))*SIGN(((ACT_SKU_SCOPE="ALL")+(ACT_SKU_SCOPE=$G131)))*(ACT_START&lt;=5)*(ACT_END&gt;=5)*IFERROR(ACT_UPLIFT-1,0)))*(1+SUMPRODUCT(SIGN(((ACT_DOOR_SCOPE="ALL")+(ACT_DOOR_SCOPE="TIER_"&amp;$F131)+(ACT_DOOR_SCOPE=$B131)))*SIGN(((ACT_SKU_SCOPE="ALL")+(ACT_SKU_SCOPE=$G131)))*(5&gt;ACT_END)*(ACT_END&gt;0)*IFERROR(ACT_POSTLIFT,0))),0)))</f>
        <v/>
      </c>
      <c r="O131" s="10">
        <f>IF(OR($H131&lt;&gt;"Y",6&lt;$I131),0,IF(SUMPRODUCT(((BULK_ENABLED="Y")*((BULK_TIER="ALL")+(BULK_TIER=$F131))*((BULK_SKU="ALL")+(BULK_SKU=$G131))*(BULK_START&lt;=6)*(BULK_END&gt;=6)))&gt;0,IFERROR(SUMPRODUCT(((BULK_ENABLED="Y")*((BULK_TIER="ALL")+(BULK_TIER=$F131))*((BULK_SKU="ALL")+(BULK_SKU=$G131))*(BULK_START&lt;=6)*(BULK_END&gt;=6))*IFERROR(BULK_VALUE,0))/MAX(1,SUMPRODUCT(((BULK_ENABLED="Y")*((BULK_TIER="ALL")+(BULK_TIER=$F131))*((BULK_SKU="ALL")+(BULK_SKU=$G131))*(BULK_START&lt;=6)*(BULK_END&gt;=6)))),0),ROUND((INDEX(VELOCITY_TABLE,MATCH($F131,TIER_LIST,0),1))*(IF((6-$I131+1)&lt;=0,0,IF((6-$I131+1)=1,RAMP_W1,IF((6-$I131+1)=2,RAMP_W2,IF((6-$I131+1)=3,RAMP_W3,RAMP_W4PLUS)))))*(INDEX(ACTIVE_MULT_TABLE,1,1))*(1+SUMPRODUCT(SIGN(((ACT_DOOR_SCOPE="ALL")+(ACT_DOOR_SCOPE="TIER_"&amp;$F131)+(ACT_DOOR_SCOPE=$B131)))*SIGN(((ACT_SKU_SCOPE="ALL")+(ACT_SKU_SCOPE=$G131)))*(ACT_START&lt;=6)*(ACT_END&gt;=6)*IFERROR(ACT_UPLIFT-1,0)))*(1+SUMPRODUCT(SIGN(((ACT_DOOR_SCOPE="ALL")+(ACT_DOOR_SCOPE="TIER_"&amp;$F131)+(ACT_DOOR_SCOPE=$B131)))*SIGN(((ACT_SKU_SCOPE="ALL")+(ACT_SKU_SCOPE=$G131)))*(6&gt;ACT_END)*(ACT_END&gt;0)*IFERROR(ACT_POSTLIFT,0))),0)))</f>
        <v/>
      </c>
      <c r="P131" s="10">
        <f>IF(OR($H131&lt;&gt;"Y",7&lt;$I131),0,IF(SUMPRODUCT(((BULK_ENABLED="Y")*((BULK_TIER="ALL")+(BULK_TIER=$F131))*((BULK_SKU="ALL")+(BULK_SKU=$G131))*(BULK_START&lt;=7)*(BULK_END&gt;=7)))&gt;0,IFERROR(SUMPRODUCT(((BULK_ENABLED="Y")*((BULK_TIER="ALL")+(BULK_TIER=$F131))*((BULK_SKU="ALL")+(BULK_SKU=$G131))*(BULK_START&lt;=7)*(BULK_END&gt;=7))*IFERROR(BULK_VALUE,0))/MAX(1,SUMPRODUCT(((BULK_ENABLED="Y")*((BULK_TIER="ALL")+(BULK_TIER=$F131))*((BULK_SKU="ALL")+(BULK_SKU=$G131))*(BULK_START&lt;=7)*(BULK_END&gt;=7)))),0),ROUND((INDEX(VELOCITY_TABLE,MATCH($F131,TIER_LIST,0),1))*(IF((7-$I131+1)&lt;=0,0,IF((7-$I131+1)=1,RAMP_W1,IF((7-$I131+1)=2,RAMP_W2,IF((7-$I131+1)=3,RAMP_W3,RAMP_W4PLUS)))))*(INDEX(ACTIVE_MULT_TABLE,1,1))*(1+SUMPRODUCT(SIGN(((ACT_DOOR_SCOPE="ALL")+(ACT_DOOR_SCOPE="TIER_"&amp;$F131)+(ACT_DOOR_SCOPE=$B131)))*SIGN(((ACT_SKU_SCOPE="ALL")+(ACT_SKU_SCOPE=$G131)))*(ACT_START&lt;=7)*(ACT_END&gt;=7)*IFERROR(ACT_UPLIFT-1,0)))*(1+SUMPRODUCT(SIGN(((ACT_DOOR_SCOPE="ALL")+(ACT_DOOR_SCOPE="TIER_"&amp;$F131)+(ACT_DOOR_SCOPE=$B131)))*SIGN(((ACT_SKU_SCOPE="ALL")+(ACT_SKU_SCOPE=$G131)))*(7&gt;ACT_END)*(ACT_END&gt;0)*IFERROR(ACT_POSTLIFT,0))),0)))</f>
        <v/>
      </c>
      <c r="Q131" s="10">
        <f>IF(OR($H131&lt;&gt;"Y",8&lt;$I131),0,IF(SUMPRODUCT(((BULK_ENABLED="Y")*((BULK_TIER="ALL")+(BULK_TIER=$F131))*((BULK_SKU="ALL")+(BULK_SKU=$G131))*(BULK_START&lt;=8)*(BULK_END&gt;=8)))&gt;0,IFERROR(SUMPRODUCT(((BULK_ENABLED="Y")*((BULK_TIER="ALL")+(BULK_TIER=$F131))*((BULK_SKU="ALL")+(BULK_SKU=$G131))*(BULK_START&lt;=8)*(BULK_END&gt;=8))*IFERROR(BULK_VALUE,0))/MAX(1,SUMPRODUCT(((BULK_ENABLED="Y")*((BULK_TIER="ALL")+(BULK_TIER=$F131))*((BULK_SKU="ALL")+(BULK_SKU=$G131))*(BULK_START&lt;=8)*(BULK_END&gt;=8)))),0),ROUND((INDEX(VELOCITY_TABLE,MATCH($F131,TIER_LIST,0),1))*(IF((8-$I131+1)&lt;=0,0,IF((8-$I131+1)=1,RAMP_W1,IF((8-$I131+1)=2,RAMP_W2,IF((8-$I131+1)=3,RAMP_W3,RAMP_W4PLUS)))))*(INDEX(ACTIVE_MULT_TABLE,1,1))*(1+SUMPRODUCT(SIGN(((ACT_DOOR_SCOPE="ALL")+(ACT_DOOR_SCOPE="TIER_"&amp;$F131)+(ACT_DOOR_SCOPE=$B131)))*SIGN(((ACT_SKU_SCOPE="ALL")+(ACT_SKU_SCOPE=$G131)))*(ACT_START&lt;=8)*(ACT_END&gt;=8)*IFERROR(ACT_UPLIFT-1,0)))*(1+SUMPRODUCT(SIGN(((ACT_DOOR_SCOPE="ALL")+(ACT_DOOR_SCOPE="TIER_"&amp;$F131)+(ACT_DOOR_SCOPE=$B131)))*SIGN(((ACT_SKU_SCOPE="ALL")+(ACT_SKU_SCOPE=$G131)))*(8&gt;ACT_END)*(ACT_END&gt;0)*IFERROR(ACT_POSTLIFT,0))),0)))</f>
        <v/>
      </c>
      <c r="R131" s="10">
        <f>IF(OR($H131&lt;&gt;"Y",9&lt;$I131),0,IF(SUMPRODUCT(((BULK_ENABLED="Y")*((BULK_TIER="ALL")+(BULK_TIER=$F131))*((BULK_SKU="ALL")+(BULK_SKU=$G131))*(BULK_START&lt;=9)*(BULK_END&gt;=9)))&gt;0,IFERROR(SUMPRODUCT(((BULK_ENABLED="Y")*((BULK_TIER="ALL")+(BULK_TIER=$F131))*((BULK_SKU="ALL")+(BULK_SKU=$G131))*(BULK_START&lt;=9)*(BULK_END&gt;=9))*IFERROR(BULK_VALUE,0))/MAX(1,SUMPRODUCT(((BULK_ENABLED="Y")*((BULK_TIER="ALL")+(BULK_TIER=$F131))*((BULK_SKU="ALL")+(BULK_SKU=$G131))*(BULK_START&lt;=9)*(BULK_END&gt;=9)))),0),ROUND((INDEX(VELOCITY_TABLE,MATCH($F131,TIER_LIST,0),1))*(IF((9-$I131+1)&lt;=0,0,IF((9-$I131+1)=1,RAMP_W1,IF((9-$I131+1)=2,RAMP_W2,IF((9-$I131+1)=3,RAMP_W3,RAMP_W4PLUS)))))*(INDEX(ACTIVE_MULT_TABLE,1,1))*(1+SUMPRODUCT(SIGN(((ACT_DOOR_SCOPE="ALL")+(ACT_DOOR_SCOPE="TIER_"&amp;$F131)+(ACT_DOOR_SCOPE=$B131)))*SIGN(((ACT_SKU_SCOPE="ALL")+(ACT_SKU_SCOPE=$G131)))*(ACT_START&lt;=9)*(ACT_END&gt;=9)*IFERROR(ACT_UPLIFT-1,0)))*(1+SUMPRODUCT(SIGN(((ACT_DOOR_SCOPE="ALL")+(ACT_DOOR_SCOPE="TIER_"&amp;$F131)+(ACT_DOOR_SCOPE=$B131)))*SIGN(((ACT_SKU_SCOPE="ALL")+(ACT_SKU_SCOPE=$G131)))*(9&gt;ACT_END)*(ACT_END&gt;0)*IFERROR(ACT_POSTLIFT,0))),0)))</f>
        <v/>
      </c>
      <c r="S131" s="10">
        <f>IF(OR($H131&lt;&gt;"Y",10&lt;$I131),0,IF(SUMPRODUCT(((BULK_ENABLED="Y")*((BULK_TIER="ALL")+(BULK_TIER=$F131))*((BULK_SKU="ALL")+(BULK_SKU=$G131))*(BULK_START&lt;=10)*(BULK_END&gt;=10)))&gt;0,IFERROR(SUMPRODUCT(((BULK_ENABLED="Y")*((BULK_TIER="ALL")+(BULK_TIER=$F131))*((BULK_SKU="ALL")+(BULK_SKU=$G131))*(BULK_START&lt;=10)*(BULK_END&gt;=10))*IFERROR(BULK_VALUE,0))/MAX(1,SUMPRODUCT(((BULK_ENABLED="Y")*((BULK_TIER="ALL")+(BULK_TIER=$F131))*((BULK_SKU="ALL")+(BULK_SKU=$G131))*(BULK_START&lt;=10)*(BULK_END&gt;=10)))),0),ROUND((INDEX(VELOCITY_TABLE,MATCH($F131,TIER_LIST,0),1))*(IF((10-$I131+1)&lt;=0,0,IF((10-$I131+1)=1,RAMP_W1,IF((10-$I131+1)=2,RAMP_W2,IF((10-$I131+1)=3,RAMP_W3,RAMP_W4PLUS)))))*(INDEX(ACTIVE_MULT_TABLE,1,1))*(1+SUMPRODUCT(SIGN(((ACT_DOOR_SCOPE="ALL")+(ACT_DOOR_SCOPE="TIER_"&amp;$F131)+(ACT_DOOR_SCOPE=$B131)))*SIGN(((ACT_SKU_SCOPE="ALL")+(ACT_SKU_SCOPE=$G131)))*(ACT_START&lt;=10)*(ACT_END&gt;=10)*IFERROR(ACT_UPLIFT-1,0)))*(1+SUMPRODUCT(SIGN(((ACT_DOOR_SCOPE="ALL")+(ACT_DOOR_SCOPE="TIER_"&amp;$F131)+(ACT_DOOR_SCOPE=$B131)))*SIGN(((ACT_SKU_SCOPE="ALL")+(ACT_SKU_SCOPE=$G131)))*(10&gt;ACT_END)*(ACT_END&gt;0)*IFERROR(ACT_POSTLIFT,0))),0)))</f>
        <v/>
      </c>
      <c r="T131" s="10">
        <f>IF(OR($H131&lt;&gt;"Y",11&lt;$I131),0,IF(SUMPRODUCT(((BULK_ENABLED="Y")*((BULK_TIER="ALL")+(BULK_TIER=$F131))*((BULK_SKU="ALL")+(BULK_SKU=$G131))*(BULK_START&lt;=11)*(BULK_END&gt;=11)))&gt;0,IFERROR(SUMPRODUCT(((BULK_ENABLED="Y")*((BULK_TIER="ALL")+(BULK_TIER=$F131))*((BULK_SKU="ALL")+(BULK_SKU=$G131))*(BULK_START&lt;=11)*(BULK_END&gt;=11))*IFERROR(BULK_VALUE,0))/MAX(1,SUMPRODUCT(((BULK_ENABLED="Y")*((BULK_TIER="ALL")+(BULK_TIER=$F131))*((BULK_SKU="ALL")+(BULK_SKU=$G131))*(BULK_START&lt;=11)*(BULK_END&gt;=11)))),0),ROUND((INDEX(VELOCITY_TABLE,MATCH($F131,TIER_LIST,0),1))*(IF((11-$I131+1)&lt;=0,0,IF((11-$I131+1)=1,RAMP_W1,IF((11-$I131+1)=2,RAMP_W2,IF((11-$I131+1)=3,RAMP_W3,RAMP_W4PLUS)))))*(INDEX(ACTIVE_MULT_TABLE,1,1))*(1+SUMPRODUCT(SIGN(((ACT_DOOR_SCOPE="ALL")+(ACT_DOOR_SCOPE="TIER_"&amp;$F131)+(ACT_DOOR_SCOPE=$B131)))*SIGN(((ACT_SKU_SCOPE="ALL")+(ACT_SKU_SCOPE=$G131)))*(ACT_START&lt;=11)*(ACT_END&gt;=11)*IFERROR(ACT_UPLIFT-1,0)))*(1+SUMPRODUCT(SIGN(((ACT_DOOR_SCOPE="ALL")+(ACT_DOOR_SCOPE="TIER_"&amp;$F131)+(ACT_DOOR_SCOPE=$B131)))*SIGN(((ACT_SKU_SCOPE="ALL")+(ACT_SKU_SCOPE=$G131)))*(11&gt;ACT_END)*(ACT_END&gt;0)*IFERROR(ACT_POSTLIFT,0))),0)))</f>
        <v/>
      </c>
      <c r="U131" s="10">
        <f>IF(OR($H131&lt;&gt;"Y",12&lt;$I131),0,IF(SUMPRODUCT(((BULK_ENABLED="Y")*((BULK_TIER="ALL")+(BULK_TIER=$F131))*((BULK_SKU="ALL")+(BULK_SKU=$G131))*(BULK_START&lt;=12)*(BULK_END&gt;=12)))&gt;0,IFERROR(SUMPRODUCT(((BULK_ENABLED="Y")*((BULK_TIER="ALL")+(BULK_TIER=$F131))*((BULK_SKU="ALL")+(BULK_SKU=$G131))*(BULK_START&lt;=12)*(BULK_END&gt;=12))*IFERROR(BULK_VALUE,0))/MAX(1,SUMPRODUCT(((BULK_ENABLED="Y")*((BULK_TIER="ALL")+(BULK_TIER=$F131))*((BULK_SKU="ALL")+(BULK_SKU=$G131))*(BULK_START&lt;=12)*(BULK_END&gt;=12)))),0),ROUND((INDEX(VELOCITY_TABLE,MATCH($F131,TIER_LIST,0),1))*(IF((12-$I131+1)&lt;=0,0,IF((12-$I131+1)=1,RAMP_W1,IF((12-$I131+1)=2,RAMP_W2,IF((12-$I131+1)=3,RAMP_W3,RAMP_W4PLUS)))))*(INDEX(ACTIVE_MULT_TABLE,1,1))*(1+SUMPRODUCT(SIGN(((ACT_DOOR_SCOPE="ALL")+(ACT_DOOR_SCOPE="TIER_"&amp;$F131)+(ACT_DOOR_SCOPE=$B131)))*SIGN(((ACT_SKU_SCOPE="ALL")+(ACT_SKU_SCOPE=$G131)))*(ACT_START&lt;=12)*(ACT_END&gt;=12)*IFERROR(ACT_UPLIFT-1,0)))*(1+SUMPRODUCT(SIGN(((ACT_DOOR_SCOPE="ALL")+(ACT_DOOR_SCOPE="TIER_"&amp;$F131)+(ACT_DOOR_SCOPE=$B131)))*SIGN(((ACT_SKU_SCOPE="ALL")+(ACT_SKU_SCOPE=$G131)))*(12&gt;ACT_END)*(ACT_END&gt;0)*IFERROR(ACT_POSTLIFT,0))),0)))</f>
        <v/>
      </c>
      <c r="V131" s="10">
        <f>IF(OR($H131&lt;&gt;"Y",13&lt;$I131),0,IF(SUMPRODUCT(((BULK_ENABLED="Y")*((BULK_TIER="ALL")+(BULK_TIER=$F131))*((BULK_SKU="ALL")+(BULK_SKU=$G131))*(BULK_START&lt;=13)*(BULK_END&gt;=13)))&gt;0,IFERROR(SUMPRODUCT(((BULK_ENABLED="Y")*((BULK_TIER="ALL")+(BULK_TIER=$F131))*((BULK_SKU="ALL")+(BULK_SKU=$G131))*(BULK_START&lt;=13)*(BULK_END&gt;=13))*IFERROR(BULK_VALUE,0))/MAX(1,SUMPRODUCT(((BULK_ENABLED="Y")*((BULK_TIER="ALL")+(BULK_TIER=$F131))*((BULK_SKU="ALL")+(BULK_SKU=$G131))*(BULK_START&lt;=13)*(BULK_END&gt;=13)))),0),ROUND((INDEX(VELOCITY_TABLE,MATCH($F131,TIER_LIST,0),1))*(IF((13-$I131+1)&lt;=0,0,IF((13-$I131+1)=1,RAMP_W1,IF((13-$I131+1)=2,RAMP_W2,IF((13-$I131+1)=3,RAMP_W3,RAMP_W4PLUS)))))*(INDEX(ACTIVE_MULT_TABLE,1,1))*(1+SUMPRODUCT(SIGN(((ACT_DOOR_SCOPE="ALL")+(ACT_DOOR_SCOPE="TIER_"&amp;$F131)+(ACT_DOOR_SCOPE=$B131)))*SIGN(((ACT_SKU_SCOPE="ALL")+(ACT_SKU_SCOPE=$G131)))*(ACT_START&lt;=13)*(ACT_END&gt;=13)*IFERROR(ACT_UPLIFT-1,0)))*(1+SUMPRODUCT(SIGN(((ACT_DOOR_SCOPE="ALL")+(ACT_DOOR_SCOPE="TIER_"&amp;$F131)+(ACT_DOOR_SCOPE=$B131)))*SIGN(((ACT_SKU_SCOPE="ALL")+(ACT_SKU_SCOPE=$G131)))*(13&gt;ACT_END)*(ACT_END&gt;0)*IFERROR(ACT_POSTLIFT,0))),0)))</f>
        <v/>
      </c>
    </row>
    <row r="132">
      <c r="A132" t="inlineStr">
        <is>
          <t>R0128</t>
        </is>
      </c>
      <c r="B132">
        <f>Doors!$A$47</f>
        <v/>
      </c>
      <c r="C132">
        <f>Doors!$C$47</f>
        <v/>
      </c>
      <c r="D132">
        <f>Doors!$B$47</f>
        <v/>
      </c>
      <c r="E132">
        <f>Doors!$E$47</f>
        <v/>
      </c>
      <c r="F132">
        <f>Doors!$F$47</f>
        <v/>
      </c>
      <c r="G132" t="inlineStr">
        <is>
          <t>Pineapple Passion Fruit</t>
        </is>
      </c>
      <c r="H132">
        <f>Doors!$H$47</f>
        <v/>
      </c>
      <c r="I132">
        <f>Doors!$J$47</f>
        <v/>
      </c>
      <c r="J132" s="10">
        <f>IF(OR($H132&lt;&gt;"Y",1&lt;$I132),0,IF(SUMPRODUCT(((BULK_ENABLED="Y")*((BULK_TIER="ALL")+(BULK_TIER=$F132))*((BULK_SKU="ALL")+(BULK_SKU=$G132))*(BULK_START&lt;=1)*(BULK_END&gt;=1)))&gt;0,IFERROR(SUMPRODUCT(((BULK_ENABLED="Y")*((BULK_TIER="ALL")+(BULK_TIER=$F132))*((BULK_SKU="ALL")+(BULK_SKU=$G132))*(BULK_START&lt;=1)*(BULK_END&gt;=1))*IFERROR(BULK_VALUE,0))/MAX(1,SUMPRODUCT(((BULK_ENABLED="Y")*((BULK_TIER="ALL")+(BULK_TIER=$F132))*((BULK_SKU="ALL")+(BULK_SKU=$G132))*(BULK_START&lt;=1)*(BULK_END&gt;=1)))),0),ROUND((INDEX(VELOCITY_TABLE,MATCH($F132,TIER_LIST,0),2))*(IF((1-$I132+1)&lt;=0,0,IF((1-$I132+1)=1,RAMP_W1,IF((1-$I132+1)=2,RAMP_W2,IF((1-$I132+1)=3,RAMP_W3,RAMP_W4PLUS)))))*(INDEX(ACTIVE_MULT_TABLE,2,1))*(1+SUMPRODUCT(SIGN(((ACT_DOOR_SCOPE="ALL")+(ACT_DOOR_SCOPE="TIER_"&amp;$F132)+(ACT_DOOR_SCOPE=$B132)))*SIGN(((ACT_SKU_SCOPE="ALL")+(ACT_SKU_SCOPE=$G132)))*(ACT_START&lt;=1)*(ACT_END&gt;=1)*IFERROR(ACT_UPLIFT-1,0)))*(1+SUMPRODUCT(SIGN(((ACT_DOOR_SCOPE="ALL")+(ACT_DOOR_SCOPE="TIER_"&amp;$F132)+(ACT_DOOR_SCOPE=$B132)))*SIGN(((ACT_SKU_SCOPE="ALL")+(ACT_SKU_SCOPE=$G132)))*(1&gt;ACT_END)*(ACT_END&gt;0)*IFERROR(ACT_POSTLIFT,0))),0)))</f>
        <v/>
      </c>
      <c r="K132" s="10">
        <f>IF(OR($H132&lt;&gt;"Y",2&lt;$I132),0,IF(SUMPRODUCT(((BULK_ENABLED="Y")*((BULK_TIER="ALL")+(BULK_TIER=$F132))*((BULK_SKU="ALL")+(BULK_SKU=$G132))*(BULK_START&lt;=2)*(BULK_END&gt;=2)))&gt;0,IFERROR(SUMPRODUCT(((BULK_ENABLED="Y")*((BULK_TIER="ALL")+(BULK_TIER=$F132))*((BULK_SKU="ALL")+(BULK_SKU=$G132))*(BULK_START&lt;=2)*(BULK_END&gt;=2))*IFERROR(BULK_VALUE,0))/MAX(1,SUMPRODUCT(((BULK_ENABLED="Y")*((BULK_TIER="ALL")+(BULK_TIER=$F132))*((BULK_SKU="ALL")+(BULK_SKU=$G132))*(BULK_START&lt;=2)*(BULK_END&gt;=2)))),0),ROUND((INDEX(VELOCITY_TABLE,MATCH($F132,TIER_LIST,0),2))*(IF((2-$I132+1)&lt;=0,0,IF((2-$I132+1)=1,RAMP_W1,IF((2-$I132+1)=2,RAMP_W2,IF((2-$I132+1)=3,RAMP_W3,RAMP_W4PLUS)))))*(INDEX(ACTIVE_MULT_TABLE,2,1))*(1+SUMPRODUCT(SIGN(((ACT_DOOR_SCOPE="ALL")+(ACT_DOOR_SCOPE="TIER_"&amp;$F132)+(ACT_DOOR_SCOPE=$B132)))*SIGN(((ACT_SKU_SCOPE="ALL")+(ACT_SKU_SCOPE=$G132)))*(ACT_START&lt;=2)*(ACT_END&gt;=2)*IFERROR(ACT_UPLIFT-1,0)))*(1+SUMPRODUCT(SIGN(((ACT_DOOR_SCOPE="ALL")+(ACT_DOOR_SCOPE="TIER_"&amp;$F132)+(ACT_DOOR_SCOPE=$B132)))*SIGN(((ACT_SKU_SCOPE="ALL")+(ACT_SKU_SCOPE=$G132)))*(2&gt;ACT_END)*(ACT_END&gt;0)*IFERROR(ACT_POSTLIFT,0))),0)))</f>
        <v/>
      </c>
      <c r="L132" s="10">
        <f>IF(OR($H132&lt;&gt;"Y",3&lt;$I132),0,IF(SUMPRODUCT(((BULK_ENABLED="Y")*((BULK_TIER="ALL")+(BULK_TIER=$F132))*((BULK_SKU="ALL")+(BULK_SKU=$G132))*(BULK_START&lt;=3)*(BULK_END&gt;=3)))&gt;0,IFERROR(SUMPRODUCT(((BULK_ENABLED="Y")*((BULK_TIER="ALL")+(BULK_TIER=$F132))*((BULK_SKU="ALL")+(BULK_SKU=$G132))*(BULK_START&lt;=3)*(BULK_END&gt;=3))*IFERROR(BULK_VALUE,0))/MAX(1,SUMPRODUCT(((BULK_ENABLED="Y")*((BULK_TIER="ALL")+(BULK_TIER=$F132))*((BULK_SKU="ALL")+(BULK_SKU=$G132))*(BULK_START&lt;=3)*(BULK_END&gt;=3)))),0),ROUND((INDEX(VELOCITY_TABLE,MATCH($F132,TIER_LIST,0),2))*(IF((3-$I132+1)&lt;=0,0,IF((3-$I132+1)=1,RAMP_W1,IF((3-$I132+1)=2,RAMP_W2,IF((3-$I132+1)=3,RAMP_W3,RAMP_W4PLUS)))))*(INDEX(ACTIVE_MULT_TABLE,2,1))*(1+SUMPRODUCT(SIGN(((ACT_DOOR_SCOPE="ALL")+(ACT_DOOR_SCOPE="TIER_"&amp;$F132)+(ACT_DOOR_SCOPE=$B132)))*SIGN(((ACT_SKU_SCOPE="ALL")+(ACT_SKU_SCOPE=$G132)))*(ACT_START&lt;=3)*(ACT_END&gt;=3)*IFERROR(ACT_UPLIFT-1,0)))*(1+SUMPRODUCT(SIGN(((ACT_DOOR_SCOPE="ALL")+(ACT_DOOR_SCOPE="TIER_"&amp;$F132)+(ACT_DOOR_SCOPE=$B132)))*SIGN(((ACT_SKU_SCOPE="ALL")+(ACT_SKU_SCOPE=$G132)))*(3&gt;ACT_END)*(ACT_END&gt;0)*IFERROR(ACT_POSTLIFT,0))),0)))</f>
        <v/>
      </c>
      <c r="M132" s="10">
        <f>IF(OR($H132&lt;&gt;"Y",4&lt;$I132),0,IF(SUMPRODUCT(((BULK_ENABLED="Y")*((BULK_TIER="ALL")+(BULK_TIER=$F132))*((BULK_SKU="ALL")+(BULK_SKU=$G132))*(BULK_START&lt;=4)*(BULK_END&gt;=4)))&gt;0,IFERROR(SUMPRODUCT(((BULK_ENABLED="Y")*((BULK_TIER="ALL")+(BULK_TIER=$F132))*((BULK_SKU="ALL")+(BULK_SKU=$G132))*(BULK_START&lt;=4)*(BULK_END&gt;=4))*IFERROR(BULK_VALUE,0))/MAX(1,SUMPRODUCT(((BULK_ENABLED="Y")*((BULK_TIER="ALL")+(BULK_TIER=$F132))*((BULK_SKU="ALL")+(BULK_SKU=$G132))*(BULK_START&lt;=4)*(BULK_END&gt;=4)))),0),ROUND((INDEX(VELOCITY_TABLE,MATCH($F132,TIER_LIST,0),2))*(IF((4-$I132+1)&lt;=0,0,IF((4-$I132+1)=1,RAMP_W1,IF((4-$I132+1)=2,RAMP_W2,IF((4-$I132+1)=3,RAMP_W3,RAMP_W4PLUS)))))*(INDEX(ACTIVE_MULT_TABLE,2,1))*(1+SUMPRODUCT(SIGN(((ACT_DOOR_SCOPE="ALL")+(ACT_DOOR_SCOPE="TIER_"&amp;$F132)+(ACT_DOOR_SCOPE=$B132)))*SIGN(((ACT_SKU_SCOPE="ALL")+(ACT_SKU_SCOPE=$G132)))*(ACT_START&lt;=4)*(ACT_END&gt;=4)*IFERROR(ACT_UPLIFT-1,0)))*(1+SUMPRODUCT(SIGN(((ACT_DOOR_SCOPE="ALL")+(ACT_DOOR_SCOPE="TIER_"&amp;$F132)+(ACT_DOOR_SCOPE=$B132)))*SIGN(((ACT_SKU_SCOPE="ALL")+(ACT_SKU_SCOPE=$G132)))*(4&gt;ACT_END)*(ACT_END&gt;0)*IFERROR(ACT_POSTLIFT,0))),0)))</f>
        <v/>
      </c>
      <c r="N132" s="10">
        <f>IF(OR($H132&lt;&gt;"Y",5&lt;$I132),0,IF(SUMPRODUCT(((BULK_ENABLED="Y")*((BULK_TIER="ALL")+(BULK_TIER=$F132))*((BULK_SKU="ALL")+(BULK_SKU=$G132))*(BULK_START&lt;=5)*(BULK_END&gt;=5)))&gt;0,IFERROR(SUMPRODUCT(((BULK_ENABLED="Y")*((BULK_TIER="ALL")+(BULK_TIER=$F132))*((BULK_SKU="ALL")+(BULK_SKU=$G132))*(BULK_START&lt;=5)*(BULK_END&gt;=5))*IFERROR(BULK_VALUE,0))/MAX(1,SUMPRODUCT(((BULK_ENABLED="Y")*((BULK_TIER="ALL")+(BULK_TIER=$F132))*((BULK_SKU="ALL")+(BULK_SKU=$G132))*(BULK_START&lt;=5)*(BULK_END&gt;=5)))),0),ROUND((INDEX(VELOCITY_TABLE,MATCH($F132,TIER_LIST,0),2))*(IF((5-$I132+1)&lt;=0,0,IF((5-$I132+1)=1,RAMP_W1,IF((5-$I132+1)=2,RAMP_W2,IF((5-$I132+1)=3,RAMP_W3,RAMP_W4PLUS)))))*(INDEX(ACTIVE_MULT_TABLE,2,1))*(1+SUMPRODUCT(SIGN(((ACT_DOOR_SCOPE="ALL")+(ACT_DOOR_SCOPE="TIER_"&amp;$F132)+(ACT_DOOR_SCOPE=$B132)))*SIGN(((ACT_SKU_SCOPE="ALL")+(ACT_SKU_SCOPE=$G132)))*(ACT_START&lt;=5)*(ACT_END&gt;=5)*IFERROR(ACT_UPLIFT-1,0)))*(1+SUMPRODUCT(SIGN(((ACT_DOOR_SCOPE="ALL")+(ACT_DOOR_SCOPE="TIER_"&amp;$F132)+(ACT_DOOR_SCOPE=$B132)))*SIGN(((ACT_SKU_SCOPE="ALL")+(ACT_SKU_SCOPE=$G132)))*(5&gt;ACT_END)*(ACT_END&gt;0)*IFERROR(ACT_POSTLIFT,0))),0)))</f>
        <v/>
      </c>
      <c r="O132" s="10">
        <f>IF(OR($H132&lt;&gt;"Y",6&lt;$I132),0,IF(SUMPRODUCT(((BULK_ENABLED="Y")*((BULK_TIER="ALL")+(BULK_TIER=$F132))*((BULK_SKU="ALL")+(BULK_SKU=$G132))*(BULK_START&lt;=6)*(BULK_END&gt;=6)))&gt;0,IFERROR(SUMPRODUCT(((BULK_ENABLED="Y")*((BULK_TIER="ALL")+(BULK_TIER=$F132))*((BULK_SKU="ALL")+(BULK_SKU=$G132))*(BULK_START&lt;=6)*(BULK_END&gt;=6))*IFERROR(BULK_VALUE,0))/MAX(1,SUMPRODUCT(((BULK_ENABLED="Y")*((BULK_TIER="ALL")+(BULK_TIER=$F132))*((BULK_SKU="ALL")+(BULK_SKU=$G132))*(BULK_START&lt;=6)*(BULK_END&gt;=6)))),0),ROUND((INDEX(VELOCITY_TABLE,MATCH($F132,TIER_LIST,0),2))*(IF((6-$I132+1)&lt;=0,0,IF((6-$I132+1)=1,RAMP_W1,IF((6-$I132+1)=2,RAMP_W2,IF((6-$I132+1)=3,RAMP_W3,RAMP_W4PLUS)))))*(INDEX(ACTIVE_MULT_TABLE,2,1))*(1+SUMPRODUCT(SIGN(((ACT_DOOR_SCOPE="ALL")+(ACT_DOOR_SCOPE="TIER_"&amp;$F132)+(ACT_DOOR_SCOPE=$B132)))*SIGN(((ACT_SKU_SCOPE="ALL")+(ACT_SKU_SCOPE=$G132)))*(ACT_START&lt;=6)*(ACT_END&gt;=6)*IFERROR(ACT_UPLIFT-1,0)))*(1+SUMPRODUCT(SIGN(((ACT_DOOR_SCOPE="ALL")+(ACT_DOOR_SCOPE="TIER_"&amp;$F132)+(ACT_DOOR_SCOPE=$B132)))*SIGN(((ACT_SKU_SCOPE="ALL")+(ACT_SKU_SCOPE=$G132)))*(6&gt;ACT_END)*(ACT_END&gt;0)*IFERROR(ACT_POSTLIFT,0))),0)))</f>
        <v/>
      </c>
      <c r="P132" s="10">
        <f>IF(OR($H132&lt;&gt;"Y",7&lt;$I132),0,IF(SUMPRODUCT(((BULK_ENABLED="Y")*((BULK_TIER="ALL")+(BULK_TIER=$F132))*((BULK_SKU="ALL")+(BULK_SKU=$G132))*(BULK_START&lt;=7)*(BULK_END&gt;=7)))&gt;0,IFERROR(SUMPRODUCT(((BULK_ENABLED="Y")*((BULK_TIER="ALL")+(BULK_TIER=$F132))*((BULK_SKU="ALL")+(BULK_SKU=$G132))*(BULK_START&lt;=7)*(BULK_END&gt;=7))*IFERROR(BULK_VALUE,0))/MAX(1,SUMPRODUCT(((BULK_ENABLED="Y")*((BULK_TIER="ALL")+(BULK_TIER=$F132))*((BULK_SKU="ALL")+(BULK_SKU=$G132))*(BULK_START&lt;=7)*(BULK_END&gt;=7)))),0),ROUND((INDEX(VELOCITY_TABLE,MATCH($F132,TIER_LIST,0),2))*(IF((7-$I132+1)&lt;=0,0,IF((7-$I132+1)=1,RAMP_W1,IF((7-$I132+1)=2,RAMP_W2,IF((7-$I132+1)=3,RAMP_W3,RAMP_W4PLUS)))))*(INDEX(ACTIVE_MULT_TABLE,2,1))*(1+SUMPRODUCT(SIGN(((ACT_DOOR_SCOPE="ALL")+(ACT_DOOR_SCOPE="TIER_"&amp;$F132)+(ACT_DOOR_SCOPE=$B132)))*SIGN(((ACT_SKU_SCOPE="ALL")+(ACT_SKU_SCOPE=$G132)))*(ACT_START&lt;=7)*(ACT_END&gt;=7)*IFERROR(ACT_UPLIFT-1,0)))*(1+SUMPRODUCT(SIGN(((ACT_DOOR_SCOPE="ALL")+(ACT_DOOR_SCOPE="TIER_"&amp;$F132)+(ACT_DOOR_SCOPE=$B132)))*SIGN(((ACT_SKU_SCOPE="ALL")+(ACT_SKU_SCOPE=$G132)))*(7&gt;ACT_END)*(ACT_END&gt;0)*IFERROR(ACT_POSTLIFT,0))),0)))</f>
        <v/>
      </c>
      <c r="Q132" s="10">
        <f>IF(OR($H132&lt;&gt;"Y",8&lt;$I132),0,IF(SUMPRODUCT(((BULK_ENABLED="Y")*((BULK_TIER="ALL")+(BULK_TIER=$F132))*((BULK_SKU="ALL")+(BULK_SKU=$G132))*(BULK_START&lt;=8)*(BULK_END&gt;=8)))&gt;0,IFERROR(SUMPRODUCT(((BULK_ENABLED="Y")*((BULK_TIER="ALL")+(BULK_TIER=$F132))*((BULK_SKU="ALL")+(BULK_SKU=$G132))*(BULK_START&lt;=8)*(BULK_END&gt;=8))*IFERROR(BULK_VALUE,0))/MAX(1,SUMPRODUCT(((BULK_ENABLED="Y")*((BULK_TIER="ALL")+(BULK_TIER=$F132))*((BULK_SKU="ALL")+(BULK_SKU=$G132))*(BULK_START&lt;=8)*(BULK_END&gt;=8)))),0),ROUND((INDEX(VELOCITY_TABLE,MATCH($F132,TIER_LIST,0),2))*(IF((8-$I132+1)&lt;=0,0,IF((8-$I132+1)=1,RAMP_W1,IF((8-$I132+1)=2,RAMP_W2,IF((8-$I132+1)=3,RAMP_W3,RAMP_W4PLUS)))))*(INDEX(ACTIVE_MULT_TABLE,2,1))*(1+SUMPRODUCT(SIGN(((ACT_DOOR_SCOPE="ALL")+(ACT_DOOR_SCOPE="TIER_"&amp;$F132)+(ACT_DOOR_SCOPE=$B132)))*SIGN(((ACT_SKU_SCOPE="ALL")+(ACT_SKU_SCOPE=$G132)))*(ACT_START&lt;=8)*(ACT_END&gt;=8)*IFERROR(ACT_UPLIFT-1,0)))*(1+SUMPRODUCT(SIGN(((ACT_DOOR_SCOPE="ALL")+(ACT_DOOR_SCOPE="TIER_"&amp;$F132)+(ACT_DOOR_SCOPE=$B132)))*SIGN(((ACT_SKU_SCOPE="ALL")+(ACT_SKU_SCOPE=$G132)))*(8&gt;ACT_END)*(ACT_END&gt;0)*IFERROR(ACT_POSTLIFT,0))),0)))</f>
        <v/>
      </c>
      <c r="R132" s="10">
        <f>IF(OR($H132&lt;&gt;"Y",9&lt;$I132),0,IF(SUMPRODUCT(((BULK_ENABLED="Y")*((BULK_TIER="ALL")+(BULK_TIER=$F132))*((BULK_SKU="ALL")+(BULK_SKU=$G132))*(BULK_START&lt;=9)*(BULK_END&gt;=9)))&gt;0,IFERROR(SUMPRODUCT(((BULK_ENABLED="Y")*((BULK_TIER="ALL")+(BULK_TIER=$F132))*((BULK_SKU="ALL")+(BULK_SKU=$G132))*(BULK_START&lt;=9)*(BULK_END&gt;=9))*IFERROR(BULK_VALUE,0))/MAX(1,SUMPRODUCT(((BULK_ENABLED="Y")*((BULK_TIER="ALL")+(BULK_TIER=$F132))*((BULK_SKU="ALL")+(BULK_SKU=$G132))*(BULK_START&lt;=9)*(BULK_END&gt;=9)))),0),ROUND((INDEX(VELOCITY_TABLE,MATCH($F132,TIER_LIST,0),2))*(IF((9-$I132+1)&lt;=0,0,IF((9-$I132+1)=1,RAMP_W1,IF((9-$I132+1)=2,RAMP_W2,IF((9-$I132+1)=3,RAMP_W3,RAMP_W4PLUS)))))*(INDEX(ACTIVE_MULT_TABLE,2,1))*(1+SUMPRODUCT(SIGN(((ACT_DOOR_SCOPE="ALL")+(ACT_DOOR_SCOPE="TIER_"&amp;$F132)+(ACT_DOOR_SCOPE=$B132)))*SIGN(((ACT_SKU_SCOPE="ALL")+(ACT_SKU_SCOPE=$G132)))*(ACT_START&lt;=9)*(ACT_END&gt;=9)*IFERROR(ACT_UPLIFT-1,0)))*(1+SUMPRODUCT(SIGN(((ACT_DOOR_SCOPE="ALL")+(ACT_DOOR_SCOPE="TIER_"&amp;$F132)+(ACT_DOOR_SCOPE=$B132)))*SIGN(((ACT_SKU_SCOPE="ALL")+(ACT_SKU_SCOPE=$G132)))*(9&gt;ACT_END)*(ACT_END&gt;0)*IFERROR(ACT_POSTLIFT,0))),0)))</f>
        <v/>
      </c>
      <c r="S132" s="10">
        <f>IF(OR($H132&lt;&gt;"Y",10&lt;$I132),0,IF(SUMPRODUCT(((BULK_ENABLED="Y")*((BULK_TIER="ALL")+(BULK_TIER=$F132))*((BULK_SKU="ALL")+(BULK_SKU=$G132))*(BULK_START&lt;=10)*(BULK_END&gt;=10)))&gt;0,IFERROR(SUMPRODUCT(((BULK_ENABLED="Y")*((BULK_TIER="ALL")+(BULK_TIER=$F132))*((BULK_SKU="ALL")+(BULK_SKU=$G132))*(BULK_START&lt;=10)*(BULK_END&gt;=10))*IFERROR(BULK_VALUE,0))/MAX(1,SUMPRODUCT(((BULK_ENABLED="Y")*((BULK_TIER="ALL")+(BULK_TIER=$F132))*((BULK_SKU="ALL")+(BULK_SKU=$G132))*(BULK_START&lt;=10)*(BULK_END&gt;=10)))),0),ROUND((INDEX(VELOCITY_TABLE,MATCH($F132,TIER_LIST,0),2))*(IF((10-$I132+1)&lt;=0,0,IF((10-$I132+1)=1,RAMP_W1,IF((10-$I132+1)=2,RAMP_W2,IF((10-$I132+1)=3,RAMP_W3,RAMP_W4PLUS)))))*(INDEX(ACTIVE_MULT_TABLE,2,1))*(1+SUMPRODUCT(SIGN(((ACT_DOOR_SCOPE="ALL")+(ACT_DOOR_SCOPE="TIER_"&amp;$F132)+(ACT_DOOR_SCOPE=$B132)))*SIGN(((ACT_SKU_SCOPE="ALL")+(ACT_SKU_SCOPE=$G132)))*(ACT_START&lt;=10)*(ACT_END&gt;=10)*IFERROR(ACT_UPLIFT-1,0)))*(1+SUMPRODUCT(SIGN(((ACT_DOOR_SCOPE="ALL")+(ACT_DOOR_SCOPE="TIER_"&amp;$F132)+(ACT_DOOR_SCOPE=$B132)))*SIGN(((ACT_SKU_SCOPE="ALL")+(ACT_SKU_SCOPE=$G132)))*(10&gt;ACT_END)*(ACT_END&gt;0)*IFERROR(ACT_POSTLIFT,0))),0)))</f>
        <v/>
      </c>
      <c r="T132" s="10">
        <f>IF(OR($H132&lt;&gt;"Y",11&lt;$I132),0,IF(SUMPRODUCT(((BULK_ENABLED="Y")*((BULK_TIER="ALL")+(BULK_TIER=$F132))*((BULK_SKU="ALL")+(BULK_SKU=$G132))*(BULK_START&lt;=11)*(BULK_END&gt;=11)))&gt;0,IFERROR(SUMPRODUCT(((BULK_ENABLED="Y")*((BULK_TIER="ALL")+(BULK_TIER=$F132))*((BULK_SKU="ALL")+(BULK_SKU=$G132))*(BULK_START&lt;=11)*(BULK_END&gt;=11))*IFERROR(BULK_VALUE,0))/MAX(1,SUMPRODUCT(((BULK_ENABLED="Y")*((BULK_TIER="ALL")+(BULK_TIER=$F132))*((BULK_SKU="ALL")+(BULK_SKU=$G132))*(BULK_START&lt;=11)*(BULK_END&gt;=11)))),0),ROUND((INDEX(VELOCITY_TABLE,MATCH($F132,TIER_LIST,0),2))*(IF((11-$I132+1)&lt;=0,0,IF((11-$I132+1)=1,RAMP_W1,IF((11-$I132+1)=2,RAMP_W2,IF((11-$I132+1)=3,RAMP_W3,RAMP_W4PLUS)))))*(INDEX(ACTIVE_MULT_TABLE,2,1))*(1+SUMPRODUCT(SIGN(((ACT_DOOR_SCOPE="ALL")+(ACT_DOOR_SCOPE="TIER_"&amp;$F132)+(ACT_DOOR_SCOPE=$B132)))*SIGN(((ACT_SKU_SCOPE="ALL")+(ACT_SKU_SCOPE=$G132)))*(ACT_START&lt;=11)*(ACT_END&gt;=11)*IFERROR(ACT_UPLIFT-1,0)))*(1+SUMPRODUCT(SIGN(((ACT_DOOR_SCOPE="ALL")+(ACT_DOOR_SCOPE="TIER_"&amp;$F132)+(ACT_DOOR_SCOPE=$B132)))*SIGN(((ACT_SKU_SCOPE="ALL")+(ACT_SKU_SCOPE=$G132)))*(11&gt;ACT_END)*(ACT_END&gt;0)*IFERROR(ACT_POSTLIFT,0))),0)))</f>
        <v/>
      </c>
      <c r="U132" s="10">
        <f>IF(OR($H132&lt;&gt;"Y",12&lt;$I132),0,IF(SUMPRODUCT(((BULK_ENABLED="Y")*((BULK_TIER="ALL")+(BULK_TIER=$F132))*((BULK_SKU="ALL")+(BULK_SKU=$G132))*(BULK_START&lt;=12)*(BULK_END&gt;=12)))&gt;0,IFERROR(SUMPRODUCT(((BULK_ENABLED="Y")*((BULK_TIER="ALL")+(BULK_TIER=$F132))*((BULK_SKU="ALL")+(BULK_SKU=$G132))*(BULK_START&lt;=12)*(BULK_END&gt;=12))*IFERROR(BULK_VALUE,0))/MAX(1,SUMPRODUCT(((BULK_ENABLED="Y")*((BULK_TIER="ALL")+(BULK_TIER=$F132))*((BULK_SKU="ALL")+(BULK_SKU=$G132))*(BULK_START&lt;=12)*(BULK_END&gt;=12)))),0),ROUND((INDEX(VELOCITY_TABLE,MATCH($F132,TIER_LIST,0),2))*(IF((12-$I132+1)&lt;=0,0,IF((12-$I132+1)=1,RAMP_W1,IF((12-$I132+1)=2,RAMP_W2,IF((12-$I132+1)=3,RAMP_W3,RAMP_W4PLUS)))))*(INDEX(ACTIVE_MULT_TABLE,2,1))*(1+SUMPRODUCT(SIGN(((ACT_DOOR_SCOPE="ALL")+(ACT_DOOR_SCOPE="TIER_"&amp;$F132)+(ACT_DOOR_SCOPE=$B132)))*SIGN(((ACT_SKU_SCOPE="ALL")+(ACT_SKU_SCOPE=$G132)))*(ACT_START&lt;=12)*(ACT_END&gt;=12)*IFERROR(ACT_UPLIFT-1,0)))*(1+SUMPRODUCT(SIGN(((ACT_DOOR_SCOPE="ALL")+(ACT_DOOR_SCOPE="TIER_"&amp;$F132)+(ACT_DOOR_SCOPE=$B132)))*SIGN(((ACT_SKU_SCOPE="ALL")+(ACT_SKU_SCOPE=$G132)))*(12&gt;ACT_END)*(ACT_END&gt;0)*IFERROR(ACT_POSTLIFT,0))),0)))</f>
        <v/>
      </c>
      <c r="V132" s="10">
        <f>IF(OR($H132&lt;&gt;"Y",13&lt;$I132),0,IF(SUMPRODUCT(((BULK_ENABLED="Y")*((BULK_TIER="ALL")+(BULK_TIER=$F132))*((BULK_SKU="ALL")+(BULK_SKU=$G132))*(BULK_START&lt;=13)*(BULK_END&gt;=13)))&gt;0,IFERROR(SUMPRODUCT(((BULK_ENABLED="Y")*((BULK_TIER="ALL")+(BULK_TIER=$F132))*((BULK_SKU="ALL")+(BULK_SKU=$G132))*(BULK_START&lt;=13)*(BULK_END&gt;=13))*IFERROR(BULK_VALUE,0))/MAX(1,SUMPRODUCT(((BULK_ENABLED="Y")*((BULK_TIER="ALL")+(BULK_TIER=$F132))*((BULK_SKU="ALL")+(BULK_SKU=$G132))*(BULK_START&lt;=13)*(BULK_END&gt;=13)))),0),ROUND((INDEX(VELOCITY_TABLE,MATCH($F132,TIER_LIST,0),2))*(IF((13-$I132+1)&lt;=0,0,IF((13-$I132+1)=1,RAMP_W1,IF((13-$I132+1)=2,RAMP_W2,IF((13-$I132+1)=3,RAMP_W3,RAMP_W4PLUS)))))*(INDEX(ACTIVE_MULT_TABLE,2,1))*(1+SUMPRODUCT(SIGN(((ACT_DOOR_SCOPE="ALL")+(ACT_DOOR_SCOPE="TIER_"&amp;$F132)+(ACT_DOOR_SCOPE=$B132)))*SIGN(((ACT_SKU_SCOPE="ALL")+(ACT_SKU_SCOPE=$G132)))*(ACT_START&lt;=13)*(ACT_END&gt;=13)*IFERROR(ACT_UPLIFT-1,0)))*(1+SUMPRODUCT(SIGN(((ACT_DOOR_SCOPE="ALL")+(ACT_DOOR_SCOPE="TIER_"&amp;$F132)+(ACT_DOOR_SCOPE=$B132)))*SIGN(((ACT_SKU_SCOPE="ALL")+(ACT_SKU_SCOPE=$G132)))*(13&gt;ACT_END)*(ACT_END&gt;0)*IFERROR(ACT_POSTLIFT,0))),0)))</f>
        <v/>
      </c>
    </row>
    <row r="133">
      <c r="A133" t="inlineStr">
        <is>
          <t>R0129</t>
        </is>
      </c>
      <c r="B133">
        <f>Doors!$A$47</f>
        <v/>
      </c>
      <c r="C133">
        <f>Doors!$C$47</f>
        <v/>
      </c>
      <c r="D133">
        <f>Doors!$B$47</f>
        <v/>
      </c>
      <c r="E133">
        <f>Doors!$E$47</f>
        <v/>
      </c>
      <c r="F133">
        <f>Doors!$F$47</f>
        <v/>
      </c>
      <c r="G133" t="inlineStr">
        <is>
          <t>Raspberry</t>
        </is>
      </c>
      <c r="H133">
        <f>Doors!$I$47</f>
        <v/>
      </c>
      <c r="I133">
        <f>Doors!$J$47</f>
        <v/>
      </c>
      <c r="J133" s="10">
        <f>IF(OR($H133&lt;&gt;"Y",1&lt;$I133),0,IF(SUMPRODUCT(((BULK_ENABLED="Y")*((BULK_TIER="ALL")+(BULK_TIER=$F133))*((BULK_SKU="ALL")+(BULK_SKU=$G133))*(BULK_START&lt;=1)*(BULK_END&gt;=1)))&gt;0,IFERROR(SUMPRODUCT(((BULK_ENABLED="Y")*((BULK_TIER="ALL")+(BULK_TIER=$F133))*((BULK_SKU="ALL")+(BULK_SKU=$G133))*(BULK_START&lt;=1)*(BULK_END&gt;=1))*IFERROR(BULK_VALUE,0))/MAX(1,SUMPRODUCT(((BULK_ENABLED="Y")*((BULK_TIER="ALL")+(BULK_TIER=$F133))*((BULK_SKU="ALL")+(BULK_SKU=$G133))*(BULK_START&lt;=1)*(BULK_END&gt;=1)))),0),ROUND((INDEX(VELOCITY_TABLE,MATCH($F133,TIER_LIST,0),3))*(IF((1-$I133+1)&lt;=0,0,IF((1-$I133+1)=1,RAMP_W1,IF((1-$I133+1)=2,RAMP_W2,IF((1-$I133+1)=3,RAMP_W3,RAMP_W4PLUS)))))*(INDEX(ACTIVE_MULT_TABLE,3,1))*(1+SUMPRODUCT(SIGN(((ACT_DOOR_SCOPE="ALL")+(ACT_DOOR_SCOPE="TIER_"&amp;$F133)+(ACT_DOOR_SCOPE=$B133)))*SIGN(((ACT_SKU_SCOPE="ALL")+(ACT_SKU_SCOPE=$G133)))*(ACT_START&lt;=1)*(ACT_END&gt;=1)*IFERROR(ACT_UPLIFT-1,0)))*(1+SUMPRODUCT(SIGN(((ACT_DOOR_SCOPE="ALL")+(ACT_DOOR_SCOPE="TIER_"&amp;$F133)+(ACT_DOOR_SCOPE=$B133)))*SIGN(((ACT_SKU_SCOPE="ALL")+(ACT_SKU_SCOPE=$G133)))*(1&gt;ACT_END)*(ACT_END&gt;0)*IFERROR(ACT_POSTLIFT,0))),0)))</f>
        <v/>
      </c>
      <c r="K133" s="10">
        <f>IF(OR($H133&lt;&gt;"Y",2&lt;$I133),0,IF(SUMPRODUCT(((BULK_ENABLED="Y")*((BULK_TIER="ALL")+(BULK_TIER=$F133))*((BULK_SKU="ALL")+(BULK_SKU=$G133))*(BULK_START&lt;=2)*(BULK_END&gt;=2)))&gt;0,IFERROR(SUMPRODUCT(((BULK_ENABLED="Y")*((BULK_TIER="ALL")+(BULK_TIER=$F133))*((BULK_SKU="ALL")+(BULK_SKU=$G133))*(BULK_START&lt;=2)*(BULK_END&gt;=2))*IFERROR(BULK_VALUE,0))/MAX(1,SUMPRODUCT(((BULK_ENABLED="Y")*((BULK_TIER="ALL")+(BULK_TIER=$F133))*((BULK_SKU="ALL")+(BULK_SKU=$G133))*(BULK_START&lt;=2)*(BULK_END&gt;=2)))),0),ROUND((INDEX(VELOCITY_TABLE,MATCH($F133,TIER_LIST,0),3))*(IF((2-$I133+1)&lt;=0,0,IF((2-$I133+1)=1,RAMP_W1,IF((2-$I133+1)=2,RAMP_W2,IF((2-$I133+1)=3,RAMP_W3,RAMP_W4PLUS)))))*(INDEX(ACTIVE_MULT_TABLE,3,1))*(1+SUMPRODUCT(SIGN(((ACT_DOOR_SCOPE="ALL")+(ACT_DOOR_SCOPE="TIER_"&amp;$F133)+(ACT_DOOR_SCOPE=$B133)))*SIGN(((ACT_SKU_SCOPE="ALL")+(ACT_SKU_SCOPE=$G133)))*(ACT_START&lt;=2)*(ACT_END&gt;=2)*IFERROR(ACT_UPLIFT-1,0)))*(1+SUMPRODUCT(SIGN(((ACT_DOOR_SCOPE="ALL")+(ACT_DOOR_SCOPE="TIER_"&amp;$F133)+(ACT_DOOR_SCOPE=$B133)))*SIGN(((ACT_SKU_SCOPE="ALL")+(ACT_SKU_SCOPE=$G133)))*(2&gt;ACT_END)*(ACT_END&gt;0)*IFERROR(ACT_POSTLIFT,0))),0)))</f>
        <v/>
      </c>
      <c r="L133" s="10">
        <f>IF(OR($H133&lt;&gt;"Y",3&lt;$I133),0,IF(SUMPRODUCT(((BULK_ENABLED="Y")*((BULK_TIER="ALL")+(BULK_TIER=$F133))*((BULK_SKU="ALL")+(BULK_SKU=$G133))*(BULK_START&lt;=3)*(BULK_END&gt;=3)))&gt;0,IFERROR(SUMPRODUCT(((BULK_ENABLED="Y")*((BULK_TIER="ALL")+(BULK_TIER=$F133))*((BULK_SKU="ALL")+(BULK_SKU=$G133))*(BULK_START&lt;=3)*(BULK_END&gt;=3))*IFERROR(BULK_VALUE,0))/MAX(1,SUMPRODUCT(((BULK_ENABLED="Y")*((BULK_TIER="ALL")+(BULK_TIER=$F133))*((BULK_SKU="ALL")+(BULK_SKU=$G133))*(BULK_START&lt;=3)*(BULK_END&gt;=3)))),0),ROUND((INDEX(VELOCITY_TABLE,MATCH($F133,TIER_LIST,0),3))*(IF((3-$I133+1)&lt;=0,0,IF((3-$I133+1)=1,RAMP_W1,IF((3-$I133+1)=2,RAMP_W2,IF((3-$I133+1)=3,RAMP_W3,RAMP_W4PLUS)))))*(INDEX(ACTIVE_MULT_TABLE,3,1))*(1+SUMPRODUCT(SIGN(((ACT_DOOR_SCOPE="ALL")+(ACT_DOOR_SCOPE="TIER_"&amp;$F133)+(ACT_DOOR_SCOPE=$B133)))*SIGN(((ACT_SKU_SCOPE="ALL")+(ACT_SKU_SCOPE=$G133)))*(ACT_START&lt;=3)*(ACT_END&gt;=3)*IFERROR(ACT_UPLIFT-1,0)))*(1+SUMPRODUCT(SIGN(((ACT_DOOR_SCOPE="ALL")+(ACT_DOOR_SCOPE="TIER_"&amp;$F133)+(ACT_DOOR_SCOPE=$B133)))*SIGN(((ACT_SKU_SCOPE="ALL")+(ACT_SKU_SCOPE=$G133)))*(3&gt;ACT_END)*(ACT_END&gt;0)*IFERROR(ACT_POSTLIFT,0))),0)))</f>
        <v/>
      </c>
      <c r="M133" s="10">
        <f>IF(OR($H133&lt;&gt;"Y",4&lt;$I133),0,IF(SUMPRODUCT(((BULK_ENABLED="Y")*((BULK_TIER="ALL")+(BULK_TIER=$F133))*((BULK_SKU="ALL")+(BULK_SKU=$G133))*(BULK_START&lt;=4)*(BULK_END&gt;=4)))&gt;0,IFERROR(SUMPRODUCT(((BULK_ENABLED="Y")*((BULK_TIER="ALL")+(BULK_TIER=$F133))*((BULK_SKU="ALL")+(BULK_SKU=$G133))*(BULK_START&lt;=4)*(BULK_END&gt;=4))*IFERROR(BULK_VALUE,0))/MAX(1,SUMPRODUCT(((BULK_ENABLED="Y")*((BULK_TIER="ALL")+(BULK_TIER=$F133))*((BULK_SKU="ALL")+(BULK_SKU=$G133))*(BULK_START&lt;=4)*(BULK_END&gt;=4)))),0),ROUND((INDEX(VELOCITY_TABLE,MATCH($F133,TIER_LIST,0),3))*(IF((4-$I133+1)&lt;=0,0,IF((4-$I133+1)=1,RAMP_W1,IF((4-$I133+1)=2,RAMP_W2,IF((4-$I133+1)=3,RAMP_W3,RAMP_W4PLUS)))))*(INDEX(ACTIVE_MULT_TABLE,3,1))*(1+SUMPRODUCT(SIGN(((ACT_DOOR_SCOPE="ALL")+(ACT_DOOR_SCOPE="TIER_"&amp;$F133)+(ACT_DOOR_SCOPE=$B133)))*SIGN(((ACT_SKU_SCOPE="ALL")+(ACT_SKU_SCOPE=$G133)))*(ACT_START&lt;=4)*(ACT_END&gt;=4)*IFERROR(ACT_UPLIFT-1,0)))*(1+SUMPRODUCT(SIGN(((ACT_DOOR_SCOPE="ALL")+(ACT_DOOR_SCOPE="TIER_"&amp;$F133)+(ACT_DOOR_SCOPE=$B133)))*SIGN(((ACT_SKU_SCOPE="ALL")+(ACT_SKU_SCOPE=$G133)))*(4&gt;ACT_END)*(ACT_END&gt;0)*IFERROR(ACT_POSTLIFT,0))),0)))</f>
        <v/>
      </c>
      <c r="N133" s="10">
        <f>IF(OR($H133&lt;&gt;"Y",5&lt;$I133),0,IF(SUMPRODUCT(((BULK_ENABLED="Y")*((BULK_TIER="ALL")+(BULK_TIER=$F133))*((BULK_SKU="ALL")+(BULK_SKU=$G133))*(BULK_START&lt;=5)*(BULK_END&gt;=5)))&gt;0,IFERROR(SUMPRODUCT(((BULK_ENABLED="Y")*((BULK_TIER="ALL")+(BULK_TIER=$F133))*((BULK_SKU="ALL")+(BULK_SKU=$G133))*(BULK_START&lt;=5)*(BULK_END&gt;=5))*IFERROR(BULK_VALUE,0))/MAX(1,SUMPRODUCT(((BULK_ENABLED="Y")*((BULK_TIER="ALL")+(BULK_TIER=$F133))*((BULK_SKU="ALL")+(BULK_SKU=$G133))*(BULK_START&lt;=5)*(BULK_END&gt;=5)))),0),ROUND((INDEX(VELOCITY_TABLE,MATCH($F133,TIER_LIST,0),3))*(IF((5-$I133+1)&lt;=0,0,IF((5-$I133+1)=1,RAMP_W1,IF((5-$I133+1)=2,RAMP_W2,IF((5-$I133+1)=3,RAMP_W3,RAMP_W4PLUS)))))*(INDEX(ACTIVE_MULT_TABLE,3,1))*(1+SUMPRODUCT(SIGN(((ACT_DOOR_SCOPE="ALL")+(ACT_DOOR_SCOPE="TIER_"&amp;$F133)+(ACT_DOOR_SCOPE=$B133)))*SIGN(((ACT_SKU_SCOPE="ALL")+(ACT_SKU_SCOPE=$G133)))*(ACT_START&lt;=5)*(ACT_END&gt;=5)*IFERROR(ACT_UPLIFT-1,0)))*(1+SUMPRODUCT(SIGN(((ACT_DOOR_SCOPE="ALL")+(ACT_DOOR_SCOPE="TIER_"&amp;$F133)+(ACT_DOOR_SCOPE=$B133)))*SIGN(((ACT_SKU_SCOPE="ALL")+(ACT_SKU_SCOPE=$G133)))*(5&gt;ACT_END)*(ACT_END&gt;0)*IFERROR(ACT_POSTLIFT,0))),0)))</f>
        <v/>
      </c>
      <c r="O133" s="10">
        <f>IF(OR($H133&lt;&gt;"Y",6&lt;$I133),0,IF(SUMPRODUCT(((BULK_ENABLED="Y")*((BULK_TIER="ALL")+(BULK_TIER=$F133))*((BULK_SKU="ALL")+(BULK_SKU=$G133))*(BULK_START&lt;=6)*(BULK_END&gt;=6)))&gt;0,IFERROR(SUMPRODUCT(((BULK_ENABLED="Y")*((BULK_TIER="ALL")+(BULK_TIER=$F133))*((BULK_SKU="ALL")+(BULK_SKU=$G133))*(BULK_START&lt;=6)*(BULK_END&gt;=6))*IFERROR(BULK_VALUE,0))/MAX(1,SUMPRODUCT(((BULK_ENABLED="Y")*((BULK_TIER="ALL")+(BULK_TIER=$F133))*((BULK_SKU="ALL")+(BULK_SKU=$G133))*(BULK_START&lt;=6)*(BULK_END&gt;=6)))),0),ROUND((INDEX(VELOCITY_TABLE,MATCH($F133,TIER_LIST,0),3))*(IF((6-$I133+1)&lt;=0,0,IF((6-$I133+1)=1,RAMP_W1,IF((6-$I133+1)=2,RAMP_W2,IF((6-$I133+1)=3,RAMP_W3,RAMP_W4PLUS)))))*(INDEX(ACTIVE_MULT_TABLE,3,1))*(1+SUMPRODUCT(SIGN(((ACT_DOOR_SCOPE="ALL")+(ACT_DOOR_SCOPE="TIER_"&amp;$F133)+(ACT_DOOR_SCOPE=$B133)))*SIGN(((ACT_SKU_SCOPE="ALL")+(ACT_SKU_SCOPE=$G133)))*(ACT_START&lt;=6)*(ACT_END&gt;=6)*IFERROR(ACT_UPLIFT-1,0)))*(1+SUMPRODUCT(SIGN(((ACT_DOOR_SCOPE="ALL")+(ACT_DOOR_SCOPE="TIER_"&amp;$F133)+(ACT_DOOR_SCOPE=$B133)))*SIGN(((ACT_SKU_SCOPE="ALL")+(ACT_SKU_SCOPE=$G133)))*(6&gt;ACT_END)*(ACT_END&gt;0)*IFERROR(ACT_POSTLIFT,0))),0)))</f>
        <v/>
      </c>
      <c r="P133" s="10">
        <f>IF(OR($H133&lt;&gt;"Y",7&lt;$I133),0,IF(SUMPRODUCT(((BULK_ENABLED="Y")*((BULK_TIER="ALL")+(BULK_TIER=$F133))*((BULK_SKU="ALL")+(BULK_SKU=$G133))*(BULK_START&lt;=7)*(BULK_END&gt;=7)))&gt;0,IFERROR(SUMPRODUCT(((BULK_ENABLED="Y")*((BULK_TIER="ALL")+(BULK_TIER=$F133))*((BULK_SKU="ALL")+(BULK_SKU=$G133))*(BULK_START&lt;=7)*(BULK_END&gt;=7))*IFERROR(BULK_VALUE,0))/MAX(1,SUMPRODUCT(((BULK_ENABLED="Y")*((BULK_TIER="ALL")+(BULK_TIER=$F133))*((BULK_SKU="ALL")+(BULK_SKU=$G133))*(BULK_START&lt;=7)*(BULK_END&gt;=7)))),0),ROUND((INDEX(VELOCITY_TABLE,MATCH($F133,TIER_LIST,0),3))*(IF((7-$I133+1)&lt;=0,0,IF((7-$I133+1)=1,RAMP_W1,IF((7-$I133+1)=2,RAMP_W2,IF((7-$I133+1)=3,RAMP_W3,RAMP_W4PLUS)))))*(INDEX(ACTIVE_MULT_TABLE,3,1))*(1+SUMPRODUCT(SIGN(((ACT_DOOR_SCOPE="ALL")+(ACT_DOOR_SCOPE="TIER_"&amp;$F133)+(ACT_DOOR_SCOPE=$B133)))*SIGN(((ACT_SKU_SCOPE="ALL")+(ACT_SKU_SCOPE=$G133)))*(ACT_START&lt;=7)*(ACT_END&gt;=7)*IFERROR(ACT_UPLIFT-1,0)))*(1+SUMPRODUCT(SIGN(((ACT_DOOR_SCOPE="ALL")+(ACT_DOOR_SCOPE="TIER_"&amp;$F133)+(ACT_DOOR_SCOPE=$B133)))*SIGN(((ACT_SKU_SCOPE="ALL")+(ACT_SKU_SCOPE=$G133)))*(7&gt;ACT_END)*(ACT_END&gt;0)*IFERROR(ACT_POSTLIFT,0))),0)))</f>
        <v/>
      </c>
      <c r="Q133" s="10">
        <f>IF(OR($H133&lt;&gt;"Y",8&lt;$I133),0,IF(SUMPRODUCT(((BULK_ENABLED="Y")*((BULK_TIER="ALL")+(BULK_TIER=$F133))*((BULK_SKU="ALL")+(BULK_SKU=$G133))*(BULK_START&lt;=8)*(BULK_END&gt;=8)))&gt;0,IFERROR(SUMPRODUCT(((BULK_ENABLED="Y")*((BULK_TIER="ALL")+(BULK_TIER=$F133))*((BULK_SKU="ALL")+(BULK_SKU=$G133))*(BULK_START&lt;=8)*(BULK_END&gt;=8))*IFERROR(BULK_VALUE,0))/MAX(1,SUMPRODUCT(((BULK_ENABLED="Y")*((BULK_TIER="ALL")+(BULK_TIER=$F133))*((BULK_SKU="ALL")+(BULK_SKU=$G133))*(BULK_START&lt;=8)*(BULK_END&gt;=8)))),0),ROUND((INDEX(VELOCITY_TABLE,MATCH($F133,TIER_LIST,0),3))*(IF((8-$I133+1)&lt;=0,0,IF((8-$I133+1)=1,RAMP_W1,IF((8-$I133+1)=2,RAMP_W2,IF((8-$I133+1)=3,RAMP_W3,RAMP_W4PLUS)))))*(INDEX(ACTIVE_MULT_TABLE,3,1))*(1+SUMPRODUCT(SIGN(((ACT_DOOR_SCOPE="ALL")+(ACT_DOOR_SCOPE="TIER_"&amp;$F133)+(ACT_DOOR_SCOPE=$B133)))*SIGN(((ACT_SKU_SCOPE="ALL")+(ACT_SKU_SCOPE=$G133)))*(ACT_START&lt;=8)*(ACT_END&gt;=8)*IFERROR(ACT_UPLIFT-1,0)))*(1+SUMPRODUCT(SIGN(((ACT_DOOR_SCOPE="ALL")+(ACT_DOOR_SCOPE="TIER_"&amp;$F133)+(ACT_DOOR_SCOPE=$B133)))*SIGN(((ACT_SKU_SCOPE="ALL")+(ACT_SKU_SCOPE=$G133)))*(8&gt;ACT_END)*(ACT_END&gt;0)*IFERROR(ACT_POSTLIFT,0))),0)))</f>
        <v/>
      </c>
      <c r="R133" s="10">
        <f>IF(OR($H133&lt;&gt;"Y",9&lt;$I133),0,IF(SUMPRODUCT(((BULK_ENABLED="Y")*((BULK_TIER="ALL")+(BULK_TIER=$F133))*((BULK_SKU="ALL")+(BULK_SKU=$G133))*(BULK_START&lt;=9)*(BULK_END&gt;=9)))&gt;0,IFERROR(SUMPRODUCT(((BULK_ENABLED="Y")*((BULK_TIER="ALL")+(BULK_TIER=$F133))*((BULK_SKU="ALL")+(BULK_SKU=$G133))*(BULK_START&lt;=9)*(BULK_END&gt;=9))*IFERROR(BULK_VALUE,0))/MAX(1,SUMPRODUCT(((BULK_ENABLED="Y")*((BULK_TIER="ALL")+(BULK_TIER=$F133))*((BULK_SKU="ALL")+(BULK_SKU=$G133))*(BULK_START&lt;=9)*(BULK_END&gt;=9)))),0),ROUND((INDEX(VELOCITY_TABLE,MATCH($F133,TIER_LIST,0),3))*(IF((9-$I133+1)&lt;=0,0,IF((9-$I133+1)=1,RAMP_W1,IF((9-$I133+1)=2,RAMP_W2,IF((9-$I133+1)=3,RAMP_W3,RAMP_W4PLUS)))))*(INDEX(ACTIVE_MULT_TABLE,3,1))*(1+SUMPRODUCT(SIGN(((ACT_DOOR_SCOPE="ALL")+(ACT_DOOR_SCOPE="TIER_"&amp;$F133)+(ACT_DOOR_SCOPE=$B133)))*SIGN(((ACT_SKU_SCOPE="ALL")+(ACT_SKU_SCOPE=$G133)))*(ACT_START&lt;=9)*(ACT_END&gt;=9)*IFERROR(ACT_UPLIFT-1,0)))*(1+SUMPRODUCT(SIGN(((ACT_DOOR_SCOPE="ALL")+(ACT_DOOR_SCOPE="TIER_"&amp;$F133)+(ACT_DOOR_SCOPE=$B133)))*SIGN(((ACT_SKU_SCOPE="ALL")+(ACT_SKU_SCOPE=$G133)))*(9&gt;ACT_END)*(ACT_END&gt;0)*IFERROR(ACT_POSTLIFT,0))),0)))</f>
        <v/>
      </c>
      <c r="S133" s="10">
        <f>IF(OR($H133&lt;&gt;"Y",10&lt;$I133),0,IF(SUMPRODUCT(((BULK_ENABLED="Y")*((BULK_TIER="ALL")+(BULK_TIER=$F133))*((BULK_SKU="ALL")+(BULK_SKU=$G133))*(BULK_START&lt;=10)*(BULK_END&gt;=10)))&gt;0,IFERROR(SUMPRODUCT(((BULK_ENABLED="Y")*((BULK_TIER="ALL")+(BULK_TIER=$F133))*((BULK_SKU="ALL")+(BULK_SKU=$G133))*(BULK_START&lt;=10)*(BULK_END&gt;=10))*IFERROR(BULK_VALUE,0))/MAX(1,SUMPRODUCT(((BULK_ENABLED="Y")*((BULK_TIER="ALL")+(BULK_TIER=$F133))*((BULK_SKU="ALL")+(BULK_SKU=$G133))*(BULK_START&lt;=10)*(BULK_END&gt;=10)))),0),ROUND((INDEX(VELOCITY_TABLE,MATCH($F133,TIER_LIST,0),3))*(IF((10-$I133+1)&lt;=0,0,IF((10-$I133+1)=1,RAMP_W1,IF((10-$I133+1)=2,RAMP_W2,IF((10-$I133+1)=3,RAMP_W3,RAMP_W4PLUS)))))*(INDEX(ACTIVE_MULT_TABLE,3,1))*(1+SUMPRODUCT(SIGN(((ACT_DOOR_SCOPE="ALL")+(ACT_DOOR_SCOPE="TIER_"&amp;$F133)+(ACT_DOOR_SCOPE=$B133)))*SIGN(((ACT_SKU_SCOPE="ALL")+(ACT_SKU_SCOPE=$G133)))*(ACT_START&lt;=10)*(ACT_END&gt;=10)*IFERROR(ACT_UPLIFT-1,0)))*(1+SUMPRODUCT(SIGN(((ACT_DOOR_SCOPE="ALL")+(ACT_DOOR_SCOPE="TIER_"&amp;$F133)+(ACT_DOOR_SCOPE=$B133)))*SIGN(((ACT_SKU_SCOPE="ALL")+(ACT_SKU_SCOPE=$G133)))*(10&gt;ACT_END)*(ACT_END&gt;0)*IFERROR(ACT_POSTLIFT,0))),0)))</f>
        <v/>
      </c>
      <c r="T133" s="10">
        <f>IF(OR($H133&lt;&gt;"Y",11&lt;$I133),0,IF(SUMPRODUCT(((BULK_ENABLED="Y")*((BULK_TIER="ALL")+(BULK_TIER=$F133))*((BULK_SKU="ALL")+(BULK_SKU=$G133))*(BULK_START&lt;=11)*(BULK_END&gt;=11)))&gt;0,IFERROR(SUMPRODUCT(((BULK_ENABLED="Y")*((BULK_TIER="ALL")+(BULK_TIER=$F133))*((BULK_SKU="ALL")+(BULK_SKU=$G133))*(BULK_START&lt;=11)*(BULK_END&gt;=11))*IFERROR(BULK_VALUE,0))/MAX(1,SUMPRODUCT(((BULK_ENABLED="Y")*((BULK_TIER="ALL")+(BULK_TIER=$F133))*((BULK_SKU="ALL")+(BULK_SKU=$G133))*(BULK_START&lt;=11)*(BULK_END&gt;=11)))),0),ROUND((INDEX(VELOCITY_TABLE,MATCH($F133,TIER_LIST,0),3))*(IF((11-$I133+1)&lt;=0,0,IF((11-$I133+1)=1,RAMP_W1,IF((11-$I133+1)=2,RAMP_W2,IF((11-$I133+1)=3,RAMP_W3,RAMP_W4PLUS)))))*(INDEX(ACTIVE_MULT_TABLE,3,1))*(1+SUMPRODUCT(SIGN(((ACT_DOOR_SCOPE="ALL")+(ACT_DOOR_SCOPE="TIER_"&amp;$F133)+(ACT_DOOR_SCOPE=$B133)))*SIGN(((ACT_SKU_SCOPE="ALL")+(ACT_SKU_SCOPE=$G133)))*(ACT_START&lt;=11)*(ACT_END&gt;=11)*IFERROR(ACT_UPLIFT-1,0)))*(1+SUMPRODUCT(SIGN(((ACT_DOOR_SCOPE="ALL")+(ACT_DOOR_SCOPE="TIER_"&amp;$F133)+(ACT_DOOR_SCOPE=$B133)))*SIGN(((ACT_SKU_SCOPE="ALL")+(ACT_SKU_SCOPE=$G133)))*(11&gt;ACT_END)*(ACT_END&gt;0)*IFERROR(ACT_POSTLIFT,0))),0)))</f>
        <v/>
      </c>
      <c r="U133" s="10">
        <f>IF(OR($H133&lt;&gt;"Y",12&lt;$I133),0,IF(SUMPRODUCT(((BULK_ENABLED="Y")*((BULK_TIER="ALL")+(BULK_TIER=$F133))*((BULK_SKU="ALL")+(BULK_SKU=$G133))*(BULK_START&lt;=12)*(BULK_END&gt;=12)))&gt;0,IFERROR(SUMPRODUCT(((BULK_ENABLED="Y")*((BULK_TIER="ALL")+(BULK_TIER=$F133))*((BULK_SKU="ALL")+(BULK_SKU=$G133))*(BULK_START&lt;=12)*(BULK_END&gt;=12))*IFERROR(BULK_VALUE,0))/MAX(1,SUMPRODUCT(((BULK_ENABLED="Y")*((BULK_TIER="ALL")+(BULK_TIER=$F133))*((BULK_SKU="ALL")+(BULK_SKU=$G133))*(BULK_START&lt;=12)*(BULK_END&gt;=12)))),0),ROUND((INDEX(VELOCITY_TABLE,MATCH($F133,TIER_LIST,0),3))*(IF((12-$I133+1)&lt;=0,0,IF((12-$I133+1)=1,RAMP_W1,IF((12-$I133+1)=2,RAMP_W2,IF((12-$I133+1)=3,RAMP_W3,RAMP_W4PLUS)))))*(INDEX(ACTIVE_MULT_TABLE,3,1))*(1+SUMPRODUCT(SIGN(((ACT_DOOR_SCOPE="ALL")+(ACT_DOOR_SCOPE="TIER_"&amp;$F133)+(ACT_DOOR_SCOPE=$B133)))*SIGN(((ACT_SKU_SCOPE="ALL")+(ACT_SKU_SCOPE=$G133)))*(ACT_START&lt;=12)*(ACT_END&gt;=12)*IFERROR(ACT_UPLIFT-1,0)))*(1+SUMPRODUCT(SIGN(((ACT_DOOR_SCOPE="ALL")+(ACT_DOOR_SCOPE="TIER_"&amp;$F133)+(ACT_DOOR_SCOPE=$B133)))*SIGN(((ACT_SKU_SCOPE="ALL")+(ACT_SKU_SCOPE=$G133)))*(12&gt;ACT_END)*(ACT_END&gt;0)*IFERROR(ACT_POSTLIFT,0))),0)))</f>
        <v/>
      </c>
      <c r="V133" s="10">
        <f>IF(OR($H133&lt;&gt;"Y",13&lt;$I133),0,IF(SUMPRODUCT(((BULK_ENABLED="Y")*((BULK_TIER="ALL")+(BULK_TIER=$F133))*((BULK_SKU="ALL")+(BULK_SKU=$G133))*(BULK_START&lt;=13)*(BULK_END&gt;=13)))&gt;0,IFERROR(SUMPRODUCT(((BULK_ENABLED="Y")*((BULK_TIER="ALL")+(BULK_TIER=$F133))*((BULK_SKU="ALL")+(BULK_SKU=$G133))*(BULK_START&lt;=13)*(BULK_END&gt;=13))*IFERROR(BULK_VALUE,0))/MAX(1,SUMPRODUCT(((BULK_ENABLED="Y")*((BULK_TIER="ALL")+(BULK_TIER=$F133))*((BULK_SKU="ALL")+(BULK_SKU=$G133))*(BULK_START&lt;=13)*(BULK_END&gt;=13)))),0),ROUND((INDEX(VELOCITY_TABLE,MATCH($F133,TIER_LIST,0),3))*(IF((13-$I133+1)&lt;=0,0,IF((13-$I133+1)=1,RAMP_W1,IF((13-$I133+1)=2,RAMP_W2,IF((13-$I133+1)=3,RAMP_W3,RAMP_W4PLUS)))))*(INDEX(ACTIVE_MULT_TABLE,3,1))*(1+SUMPRODUCT(SIGN(((ACT_DOOR_SCOPE="ALL")+(ACT_DOOR_SCOPE="TIER_"&amp;$F133)+(ACT_DOOR_SCOPE=$B133)))*SIGN(((ACT_SKU_SCOPE="ALL")+(ACT_SKU_SCOPE=$G133)))*(ACT_START&lt;=13)*(ACT_END&gt;=13)*IFERROR(ACT_UPLIFT-1,0)))*(1+SUMPRODUCT(SIGN(((ACT_DOOR_SCOPE="ALL")+(ACT_DOOR_SCOPE="TIER_"&amp;$F133)+(ACT_DOOR_SCOPE=$B133)))*SIGN(((ACT_SKU_SCOPE="ALL")+(ACT_SKU_SCOPE=$G133)))*(13&gt;ACT_END)*(ACT_END&gt;0)*IFERROR(ACT_POSTLIFT,0))),0)))</f>
        <v/>
      </c>
    </row>
    <row r="134">
      <c r="A134" t="inlineStr">
        <is>
          <t>R0130</t>
        </is>
      </c>
      <c r="B134">
        <f>Doors!$A$48</f>
        <v/>
      </c>
      <c r="C134">
        <f>Doors!$C$48</f>
        <v/>
      </c>
      <c r="D134">
        <f>Doors!$B$48</f>
        <v/>
      </c>
      <c r="E134">
        <f>Doors!$E$48</f>
        <v/>
      </c>
      <c r="F134">
        <f>Doors!$F$48</f>
        <v/>
      </c>
      <c r="G134" t="inlineStr">
        <is>
          <t>Lime Lemon</t>
        </is>
      </c>
      <c r="H134">
        <f>Doors!$G$48</f>
        <v/>
      </c>
      <c r="I134">
        <f>Doors!$J$48</f>
        <v/>
      </c>
      <c r="J134" s="10">
        <f>IF(OR($H134&lt;&gt;"Y",1&lt;$I134),0,IF(SUMPRODUCT(((BULK_ENABLED="Y")*((BULK_TIER="ALL")+(BULK_TIER=$F134))*((BULK_SKU="ALL")+(BULK_SKU=$G134))*(BULK_START&lt;=1)*(BULK_END&gt;=1)))&gt;0,IFERROR(SUMPRODUCT(((BULK_ENABLED="Y")*((BULK_TIER="ALL")+(BULK_TIER=$F134))*((BULK_SKU="ALL")+(BULK_SKU=$G134))*(BULK_START&lt;=1)*(BULK_END&gt;=1))*IFERROR(BULK_VALUE,0))/MAX(1,SUMPRODUCT(((BULK_ENABLED="Y")*((BULK_TIER="ALL")+(BULK_TIER=$F134))*((BULK_SKU="ALL")+(BULK_SKU=$G134))*(BULK_START&lt;=1)*(BULK_END&gt;=1)))),0),ROUND((INDEX(VELOCITY_TABLE,MATCH($F134,TIER_LIST,0),1))*(IF((1-$I134+1)&lt;=0,0,IF((1-$I134+1)=1,RAMP_W1,IF((1-$I134+1)=2,RAMP_W2,IF((1-$I134+1)=3,RAMP_W3,RAMP_W4PLUS)))))*(INDEX(ACTIVE_MULT_TABLE,1,1))*(1+SUMPRODUCT(SIGN(((ACT_DOOR_SCOPE="ALL")+(ACT_DOOR_SCOPE="TIER_"&amp;$F134)+(ACT_DOOR_SCOPE=$B134)))*SIGN(((ACT_SKU_SCOPE="ALL")+(ACT_SKU_SCOPE=$G134)))*(ACT_START&lt;=1)*(ACT_END&gt;=1)*IFERROR(ACT_UPLIFT-1,0)))*(1+SUMPRODUCT(SIGN(((ACT_DOOR_SCOPE="ALL")+(ACT_DOOR_SCOPE="TIER_"&amp;$F134)+(ACT_DOOR_SCOPE=$B134)))*SIGN(((ACT_SKU_SCOPE="ALL")+(ACT_SKU_SCOPE=$G134)))*(1&gt;ACT_END)*(ACT_END&gt;0)*IFERROR(ACT_POSTLIFT,0))),0)))</f>
        <v/>
      </c>
      <c r="K134" s="10">
        <f>IF(OR($H134&lt;&gt;"Y",2&lt;$I134),0,IF(SUMPRODUCT(((BULK_ENABLED="Y")*((BULK_TIER="ALL")+(BULK_TIER=$F134))*((BULK_SKU="ALL")+(BULK_SKU=$G134))*(BULK_START&lt;=2)*(BULK_END&gt;=2)))&gt;0,IFERROR(SUMPRODUCT(((BULK_ENABLED="Y")*((BULK_TIER="ALL")+(BULK_TIER=$F134))*((BULK_SKU="ALL")+(BULK_SKU=$G134))*(BULK_START&lt;=2)*(BULK_END&gt;=2))*IFERROR(BULK_VALUE,0))/MAX(1,SUMPRODUCT(((BULK_ENABLED="Y")*((BULK_TIER="ALL")+(BULK_TIER=$F134))*((BULK_SKU="ALL")+(BULK_SKU=$G134))*(BULK_START&lt;=2)*(BULK_END&gt;=2)))),0),ROUND((INDEX(VELOCITY_TABLE,MATCH($F134,TIER_LIST,0),1))*(IF((2-$I134+1)&lt;=0,0,IF((2-$I134+1)=1,RAMP_W1,IF((2-$I134+1)=2,RAMP_W2,IF((2-$I134+1)=3,RAMP_W3,RAMP_W4PLUS)))))*(INDEX(ACTIVE_MULT_TABLE,1,1))*(1+SUMPRODUCT(SIGN(((ACT_DOOR_SCOPE="ALL")+(ACT_DOOR_SCOPE="TIER_"&amp;$F134)+(ACT_DOOR_SCOPE=$B134)))*SIGN(((ACT_SKU_SCOPE="ALL")+(ACT_SKU_SCOPE=$G134)))*(ACT_START&lt;=2)*(ACT_END&gt;=2)*IFERROR(ACT_UPLIFT-1,0)))*(1+SUMPRODUCT(SIGN(((ACT_DOOR_SCOPE="ALL")+(ACT_DOOR_SCOPE="TIER_"&amp;$F134)+(ACT_DOOR_SCOPE=$B134)))*SIGN(((ACT_SKU_SCOPE="ALL")+(ACT_SKU_SCOPE=$G134)))*(2&gt;ACT_END)*(ACT_END&gt;0)*IFERROR(ACT_POSTLIFT,0))),0)))</f>
        <v/>
      </c>
      <c r="L134" s="10">
        <f>IF(OR($H134&lt;&gt;"Y",3&lt;$I134),0,IF(SUMPRODUCT(((BULK_ENABLED="Y")*((BULK_TIER="ALL")+(BULK_TIER=$F134))*((BULK_SKU="ALL")+(BULK_SKU=$G134))*(BULK_START&lt;=3)*(BULK_END&gt;=3)))&gt;0,IFERROR(SUMPRODUCT(((BULK_ENABLED="Y")*((BULK_TIER="ALL")+(BULK_TIER=$F134))*((BULK_SKU="ALL")+(BULK_SKU=$G134))*(BULK_START&lt;=3)*(BULK_END&gt;=3))*IFERROR(BULK_VALUE,0))/MAX(1,SUMPRODUCT(((BULK_ENABLED="Y")*((BULK_TIER="ALL")+(BULK_TIER=$F134))*((BULK_SKU="ALL")+(BULK_SKU=$G134))*(BULK_START&lt;=3)*(BULK_END&gt;=3)))),0),ROUND((INDEX(VELOCITY_TABLE,MATCH($F134,TIER_LIST,0),1))*(IF((3-$I134+1)&lt;=0,0,IF((3-$I134+1)=1,RAMP_W1,IF((3-$I134+1)=2,RAMP_W2,IF((3-$I134+1)=3,RAMP_W3,RAMP_W4PLUS)))))*(INDEX(ACTIVE_MULT_TABLE,1,1))*(1+SUMPRODUCT(SIGN(((ACT_DOOR_SCOPE="ALL")+(ACT_DOOR_SCOPE="TIER_"&amp;$F134)+(ACT_DOOR_SCOPE=$B134)))*SIGN(((ACT_SKU_SCOPE="ALL")+(ACT_SKU_SCOPE=$G134)))*(ACT_START&lt;=3)*(ACT_END&gt;=3)*IFERROR(ACT_UPLIFT-1,0)))*(1+SUMPRODUCT(SIGN(((ACT_DOOR_SCOPE="ALL")+(ACT_DOOR_SCOPE="TIER_"&amp;$F134)+(ACT_DOOR_SCOPE=$B134)))*SIGN(((ACT_SKU_SCOPE="ALL")+(ACT_SKU_SCOPE=$G134)))*(3&gt;ACT_END)*(ACT_END&gt;0)*IFERROR(ACT_POSTLIFT,0))),0)))</f>
        <v/>
      </c>
      <c r="M134" s="10">
        <f>IF(OR($H134&lt;&gt;"Y",4&lt;$I134),0,IF(SUMPRODUCT(((BULK_ENABLED="Y")*((BULK_TIER="ALL")+(BULK_TIER=$F134))*((BULK_SKU="ALL")+(BULK_SKU=$G134))*(BULK_START&lt;=4)*(BULK_END&gt;=4)))&gt;0,IFERROR(SUMPRODUCT(((BULK_ENABLED="Y")*((BULK_TIER="ALL")+(BULK_TIER=$F134))*((BULK_SKU="ALL")+(BULK_SKU=$G134))*(BULK_START&lt;=4)*(BULK_END&gt;=4))*IFERROR(BULK_VALUE,0))/MAX(1,SUMPRODUCT(((BULK_ENABLED="Y")*((BULK_TIER="ALL")+(BULK_TIER=$F134))*((BULK_SKU="ALL")+(BULK_SKU=$G134))*(BULK_START&lt;=4)*(BULK_END&gt;=4)))),0),ROUND((INDEX(VELOCITY_TABLE,MATCH($F134,TIER_LIST,0),1))*(IF((4-$I134+1)&lt;=0,0,IF((4-$I134+1)=1,RAMP_W1,IF((4-$I134+1)=2,RAMP_W2,IF((4-$I134+1)=3,RAMP_W3,RAMP_W4PLUS)))))*(INDEX(ACTIVE_MULT_TABLE,1,1))*(1+SUMPRODUCT(SIGN(((ACT_DOOR_SCOPE="ALL")+(ACT_DOOR_SCOPE="TIER_"&amp;$F134)+(ACT_DOOR_SCOPE=$B134)))*SIGN(((ACT_SKU_SCOPE="ALL")+(ACT_SKU_SCOPE=$G134)))*(ACT_START&lt;=4)*(ACT_END&gt;=4)*IFERROR(ACT_UPLIFT-1,0)))*(1+SUMPRODUCT(SIGN(((ACT_DOOR_SCOPE="ALL")+(ACT_DOOR_SCOPE="TIER_"&amp;$F134)+(ACT_DOOR_SCOPE=$B134)))*SIGN(((ACT_SKU_SCOPE="ALL")+(ACT_SKU_SCOPE=$G134)))*(4&gt;ACT_END)*(ACT_END&gt;0)*IFERROR(ACT_POSTLIFT,0))),0)))</f>
        <v/>
      </c>
      <c r="N134" s="10">
        <f>IF(OR($H134&lt;&gt;"Y",5&lt;$I134),0,IF(SUMPRODUCT(((BULK_ENABLED="Y")*((BULK_TIER="ALL")+(BULK_TIER=$F134))*((BULK_SKU="ALL")+(BULK_SKU=$G134))*(BULK_START&lt;=5)*(BULK_END&gt;=5)))&gt;0,IFERROR(SUMPRODUCT(((BULK_ENABLED="Y")*((BULK_TIER="ALL")+(BULK_TIER=$F134))*((BULK_SKU="ALL")+(BULK_SKU=$G134))*(BULK_START&lt;=5)*(BULK_END&gt;=5))*IFERROR(BULK_VALUE,0))/MAX(1,SUMPRODUCT(((BULK_ENABLED="Y")*((BULK_TIER="ALL")+(BULK_TIER=$F134))*((BULK_SKU="ALL")+(BULK_SKU=$G134))*(BULK_START&lt;=5)*(BULK_END&gt;=5)))),0),ROUND((INDEX(VELOCITY_TABLE,MATCH($F134,TIER_LIST,0),1))*(IF((5-$I134+1)&lt;=0,0,IF((5-$I134+1)=1,RAMP_W1,IF((5-$I134+1)=2,RAMP_W2,IF((5-$I134+1)=3,RAMP_W3,RAMP_W4PLUS)))))*(INDEX(ACTIVE_MULT_TABLE,1,1))*(1+SUMPRODUCT(SIGN(((ACT_DOOR_SCOPE="ALL")+(ACT_DOOR_SCOPE="TIER_"&amp;$F134)+(ACT_DOOR_SCOPE=$B134)))*SIGN(((ACT_SKU_SCOPE="ALL")+(ACT_SKU_SCOPE=$G134)))*(ACT_START&lt;=5)*(ACT_END&gt;=5)*IFERROR(ACT_UPLIFT-1,0)))*(1+SUMPRODUCT(SIGN(((ACT_DOOR_SCOPE="ALL")+(ACT_DOOR_SCOPE="TIER_"&amp;$F134)+(ACT_DOOR_SCOPE=$B134)))*SIGN(((ACT_SKU_SCOPE="ALL")+(ACT_SKU_SCOPE=$G134)))*(5&gt;ACT_END)*(ACT_END&gt;0)*IFERROR(ACT_POSTLIFT,0))),0)))</f>
        <v/>
      </c>
      <c r="O134" s="10">
        <f>IF(OR($H134&lt;&gt;"Y",6&lt;$I134),0,IF(SUMPRODUCT(((BULK_ENABLED="Y")*((BULK_TIER="ALL")+(BULK_TIER=$F134))*((BULK_SKU="ALL")+(BULK_SKU=$G134))*(BULK_START&lt;=6)*(BULK_END&gt;=6)))&gt;0,IFERROR(SUMPRODUCT(((BULK_ENABLED="Y")*((BULK_TIER="ALL")+(BULK_TIER=$F134))*((BULK_SKU="ALL")+(BULK_SKU=$G134))*(BULK_START&lt;=6)*(BULK_END&gt;=6))*IFERROR(BULK_VALUE,0))/MAX(1,SUMPRODUCT(((BULK_ENABLED="Y")*((BULK_TIER="ALL")+(BULK_TIER=$F134))*((BULK_SKU="ALL")+(BULK_SKU=$G134))*(BULK_START&lt;=6)*(BULK_END&gt;=6)))),0),ROUND((INDEX(VELOCITY_TABLE,MATCH($F134,TIER_LIST,0),1))*(IF((6-$I134+1)&lt;=0,0,IF((6-$I134+1)=1,RAMP_W1,IF((6-$I134+1)=2,RAMP_W2,IF((6-$I134+1)=3,RAMP_W3,RAMP_W4PLUS)))))*(INDEX(ACTIVE_MULT_TABLE,1,1))*(1+SUMPRODUCT(SIGN(((ACT_DOOR_SCOPE="ALL")+(ACT_DOOR_SCOPE="TIER_"&amp;$F134)+(ACT_DOOR_SCOPE=$B134)))*SIGN(((ACT_SKU_SCOPE="ALL")+(ACT_SKU_SCOPE=$G134)))*(ACT_START&lt;=6)*(ACT_END&gt;=6)*IFERROR(ACT_UPLIFT-1,0)))*(1+SUMPRODUCT(SIGN(((ACT_DOOR_SCOPE="ALL")+(ACT_DOOR_SCOPE="TIER_"&amp;$F134)+(ACT_DOOR_SCOPE=$B134)))*SIGN(((ACT_SKU_SCOPE="ALL")+(ACT_SKU_SCOPE=$G134)))*(6&gt;ACT_END)*(ACT_END&gt;0)*IFERROR(ACT_POSTLIFT,0))),0)))</f>
        <v/>
      </c>
      <c r="P134" s="10">
        <f>IF(OR($H134&lt;&gt;"Y",7&lt;$I134),0,IF(SUMPRODUCT(((BULK_ENABLED="Y")*((BULK_TIER="ALL")+(BULK_TIER=$F134))*((BULK_SKU="ALL")+(BULK_SKU=$G134))*(BULK_START&lt;=7)*(BULK_END&gt;=7)))&gt;0,IFERROR(SUMPRODUCT(((BULK_ENABLED="Y")*((BULK_TIER="ALL")+(BULK_TIER=$F134))*((BULK_SKU="ALL")+(BULK_SKU=$G134))*(BULK_START&lt;=7)*(BULK_END&gt;=7))*IFERROR(BULK_VALUE,0))/MAX(1,SUMPRODUCT(((BULK_ENABLED="Y")*((BULK_TIER="ALL")+(BULK_TIER=$F134))*((BULK_SKU="ALL")+(BULK_SKU=$G134))*(BULK_START&lt;=7)*(BULK_END&gt;=7)))),0),ROUND((INDEX(VELOCITY_TABLE,MATCH($F134,TIER_LIST,0),1))*(IF((7-$I134+1)&lt;=0,0,IF((7-$I134+1)=1,RAMP_W1,IF((7-$I134+1)=2,RAMP_W2,IF((7-$I134+1)=3,RAMP_W3,RAMP_W4PLUS)))))*(INDEX(ACTIVE_MULT_TABLE,1,1))*(1+SUMPRODUCT(SIGN(((ACT_DOOR_SCOPE="ALL")+(ACT_DOOR_SCOPE="TIER_"&amp;$F134)+(ACT_DOOR_SCOPE=$B134)))*SIGN(((ACT_SKU_SCOPE="ALL")+(ACT_SKU_SCOPE=$G134)))*(ACT_START&lt;=7)*(ACT_END&gt;=7)*IFERROR(ACT_UPLIFT-1,0)))*(1+SUMPRODUCT(SIGN(((ACT_DOOR_SCOPE="ALL")+(ACT_DOOR_SCOPE="TIER_"&amp;$F134)+(ACT_DOOR_SCOPE=$B134)))*SIGN(((ACT_SKU_SCOPE="ALL")+(ACT_SKU_SCOPE=$G134)))*(7&gt;ACT_END)*(ACT_END&gt;0)*IFERROR(ACT_POSTLIFT,0))),0)))</f>
        <v/>
      </c>
      <c r="Q134" s="10">
        <f>IF(OR($H134&lt;&gt;"Y",8&lt;$I134),0,IF(SUMPRODUCT(((BULK_ENABLED="Y")*((BULK_TIER="ALL")+(BULK_TIER=$F134))*((BULK_SKU="ALL")+(BULK_SKU=$G134))*(BULK_START&lt;=8)*(BULK_END&gt;=8)))&gt;0,IFERROR(SUMPRODUCT(((BULK_ENABLED="Y")*((BULK_TIER="ALL")+(BULK_TIER=$F134))*((BULK_SKU="ALL")+(BULK_SKU=$G134))*(BULK_START&lt;=8)*(BULK_END&gt;=8))*IFERROR(BULK_VALUE,0))/MAX(1,SUMPRODUCT(((BULK_ENABLED="Y")*((BULK_TIER="ALL")+(BULK_TIER=$F134))*((BULK_SKU="ALL")+(BULK_SKU=$G134))*(BULK_START&lt;=8)*(BULK_END&gt;=8)))),0),ROUND((INDEX(VELOCITY_TABLE,MATCH($F134,TIER_LIST,0),1))*(IF((8-$I134+1)&lt;=0,0,IF((8-$I134+1)=1,RAMP_W1,IF((8-$I134+1)=2,RAMP_W2,IF((8-$I134+1)=3,RAMP_W3,RAMP_W4PLUS)))))*(INDEX(ACTIVE_MULT_TABLE,1,1))*(1+SUMPRODUCT(SIGN(((ACT_DOOR_SCOPE="ALL")+(ACT_DOOR_SCOPE="TIER_"&amp;$F134)+(ACT_DOOR_SCOPE=$B134)))*SIGN(((ACT_SKU_SCOPE="ALL")+(ACT_SKU_SCOPE=$G134)))*(ACT_START&lt;=8)*(ACT_END&gt;=8)*IFERROR(ACT_UPLIFT-1,0)))*(1+SUMPRODUCT(SIGN(((ACT_DOOR_SCOPE="ALL")+(ACT_DOOR_SCOPE="TIER_"&amp;$F134)+(ACT_DOOR_SCOPE=$B134)))*SIGN(((ACT_SKU_SCOPE="ALL")+(ACT_SKU_SCOPE=$G134)))*(8&gt;ACT_END)*(ACT_END&gt;0)*IFERROR(ACT_POSTLIFT,0))),0)))</f>
        <v/>
      </c>
      <c r="R134" s="10">
        <f>IF(OR($H134&lt;&gt;"Y",9&lt;$I134),0,IF(SUMPRODUCT(((BULK_ENABLED="Y")*((BULK_TIER="ALL")+(BULK_TIER=$F134))*((BULK_SKU="ALL")+(BULK_SKU=$G134))*(BULK_START&lt;=9)*(BULK_END&gt;=9)))&gt;0,IFERROR(SUMPRODUCT(((BULK_ENABLED="Y")*((BULK_TIER="ALL")+(BULK_TIER=$F134))*((BULK_SKU="ALL")+(BULK_SKU=$G134))*(BULK_START&lt;=9)*(BULK_END&gt;=9))*IFERROR(BULK_VALUE,0))/MAX(1,SUMPRODUCT(((BULK_ENABLED="Y")*((BULK_TIER="ALL")+(BULK_TIER=$F134))*((BULK_SKU="ALL")+(BULK_SKU=$G134))*(BULK_START&lt;=9)*(BULK_END&gt;=9)))),0),ROUND((INDEX(VELOCITY_TABLE,MATCH($F134,TIER_LIST,0),1))*(IF((9-$I134+1)&lt;=0,0,IF((9-$I134+1)=1,RAMP_W1,IF((9-$I134+1)=2,RAMP_W2,IF((9-$I134+1)=3,RAMP_W3,RAMP_W4PLUS)))))*(INDEX(ACTIVE_MULT_TABLE,1,1))*(1+SUMPRODUCT(SIGN(((ACT_DOOR_SCOPE="ALL")+(ACT_DOOR_SCOPE="TIER_"&amp;$F134)+(ACT_DOOR_SCOPE=$B134)))*SIGN(((ACT_SKU_SCOPE="ALL")+(ACT_SKU_SCOPE=$G134)))*(ACT_START&lt;=9)*(ACT_END&gt;=9)*IFERROR(ACT_UPLIFT-1,0)))*(1+SUMPRODUCT(SIGN(((ACT_DOOR_SCOPE="ALL")+(ACT_DOOR_SCOPE="TIER_"&amp;$F134)+(ACT_DOOR_SCOPE=$B134)))*SIGN(((ACT_SKU_SCOPE="ALL")+(ACT_SKU_SCOPE=$G134)))*(9&gt;ACT_END)*(ACT_END&gt;0)*IFERROR(ACT_POSTLIFT,0))),0)))</f>
        <v/>
      </c>
      <c r="S134" s="10">
        <f>IF(OR($H134&lt;&gt;"Y",10&lt;$I134),0,IF(SUMPRODUCT(((BULK_ENABLED="Y")*((BULK_TIER="ALL")+(BULK_TIER=$F134))*((BULK_SKU="ALL")+(BULK_SKU=$G134))*(BULK_START&lt;=10)*(BULK_END&gt;=10)))&gt;0,IFERROR(SUMPRODUCT(((BULK_ENABLED="Y")*((BULK_TIER="ALL")+(BULK_TIER=$F134))*((BULK_SKU="ALL")+(BULK_SKU=$G134))*(BULK_START&lt;=10)*(BULK_END&gt;=10))*IFERROR(BULK_VALUE,0))/MAX(1,SUMPRODUCT(((BULK_ENABLED="Y")*((BULK_TIER="ALL")+(BULK_TIER=$F134))*((BULK_SKU="ALL")+(BULK_SKU=$G134))*(BULK_START&lt;=10)*(BULK_END&gt;=10)))),0),ROUND((INDEX(VELOCITY_TABLE,MATCH($F134,TIER_LIST,0),1))*(IF((10-$I134+1)&lt;=0,0,IF((10-$I134+1)=1,RAMP_W1,IF((10-$I134+1)=2,RAMP_W2,IF((10-$I134+1)=3,RAMP_W3,RAMP_W4PLUS)))))*(INDEX(ACTIVE_MULT_TABLE,1,1))*(1+SUMPRODUCT(SIGN(((ACT_DOOR_SCOPE="ALL")+(ACT_DOOR_SCOPE="TIER_"&amp;$F134)+(ACT_DOOR_SCOPE=$B134)))*SIGN(((ACT_SKU_SCOPE="ALL")+(ACT_SKU_SCOPE=$G134)))*(ACT_START&lt;=10)*(ACT_END&gt;=10)*IFERROR(ACT_UPLIFT-1,0)))*(1+SUMPRODUCT(SIGN(((ACT_DOOR_SCOPE="ALL")+(ACT_DOOR_SCOPE="TIER_"&amp;$F134)+(ACT_DOOR_SCOPE=$B134)))*SIGN(((ACT_SKU_SCOPE="ALL")+(ACT_SKU_SCOPE=$G134)))*(10&gt;ACT_END)*(ACT_END&gt;0)*IFERROR(ACT_POSTLIFT,0))),0)))</f>
        <v/>
      </c>
      <c r="T134" s="10">
        <f>IF(OR($H134&lt;&gt;"Y",11&lt;$I134),0,IF(SUMPRODUCT(((BULK_ENABLED="Y")*((BULK_TIER="ALL")+(BULK_TIER=$F134))*((BULK_SKU="ALL")+(BULK_SKU=$G134))*(BULK_START&lt;=11)*(BULK_END&gt;=11)))&gt;0,IFERROR(SUMPRODUCT(((BULK_ENABLED="Y")*((BULK_TIER="ALL")+(BULK_TIER=$F134))*((BULK_SKU="ALL")+(BULK_SKU=$G134))*(BULK_START&lt;=11)*(BULK_END&gt;=11))*IFERROR(BULK_VALUE,0))/MAX(1,SUMPRODUCT(((BULK_ENABLED="Y")*((BULK_TIER="ALL")+(BULK_TIER=$F134))*((BULK_SKU="ALL")+(BULK_SKU=$G134))*(BULK_START&lt;=11)*(BULK_END&gt;=11)))),0),ROUND((INDEX(VELOCITY_TABLE,MATCH($F134,TIER_LIST,0),1))*(IF((11-$I134+1)&lt;=0,0,IF((11-$I134+1)=1,RAMP_W1,IF((11-$I134+1)=2,RAMP_W2,IF((11-$I134+1)=3,RAMP_W3,RAMP_W4PLUS)))))*(INDEX(ACTIVE_MULT_TABLE,1,1))*(1+SUMPRODUCT(SIGN(((ACT_DOOR_SCOPE="ALL")+(ACT_DOOR_SCOPE="TIER_"&amp;$F134)+(ACT_DOOR_SCOPE=$B134)))*SIGN(((ACT_SKU_SCOPE="ALL")+(ACT_SKU_SCOPE=$G134)))*(ACT_START&lt;=11)*(ACT_END&gt;=11)*IFERROR(ACT_UPLIFT-1,0)))*(1+SUMPRODUCT(SIGN(((ACT_DOOR_SCOPE="ALL")+(ACT_DOOR_SCOPE="TIER_"&amp;$F134)+(ACT_DOOR_SCOPE=$B134)))*SIGN(((ACT_SKU_SCOPE="ALL")+(ACT_SKU_SCOPE=$G134)))*(11&gt;ACT_END)*(ACT_END&gt;0)*IFERROR(ACT_POSTLIFT,0))),0)))</f>
        <v/>
      </c>
      <c r="U134" s="10">
        <f>IF(OR($H134&lt;&gt;"Y",12&lt;$I134),0,IF(SUMPRODUCT(((BULK_ENABLED="Y")*((BULK_TIER="ALL")+(BULK_TIER=$F134))*((BULK_SKU="ALL")+(BULK_SKU=$G134))*(BULK_START&lt;=12)*(BULK_END&gt;=12)))&gt;0,IFERROR(SUMPRODUCT(((BULK_ENABLED="Y")*((BULK_TIER="ALL")+(BULK_TIER=$F134))*((BULK_SKU="ALL")+(BULK_SKU=$G134))*(BULK_START&lt;=12)*(BULK_END&gt;=12))*IFERROR(BULK_VALUE,0))/MAX(1,SUMPRODUCT(((BULK_ENABLED="Y")*((BULK_TIER="ALL")+(BULK_TIER=$F134))*((BULK_SKU="ALL")+(BULK_SKU=$G134))*(BULK_START&lt;=12)*(BULK_END&gt;=12)))),0),ROUND((INDEX(VELOCITY_TABLE,MATCH($F134,TIER_LIST,0),1))*(IF((12-$I134+1)&lt;=0,0,IF((12-$I134+1)=1,RAMP_W1,IF((12-$I134+1)=2,RAMP_W2,IF((12-$I134+1)=3,RAMP_W3,RAMP_W4PLUS)))))*(INDEX(ACTIVE_MULT_TABLE,1,1))*(1+SUMPRODUCT(SIGN(((ACT_DOOR_SCOPE="ALL")+(ACT_DOOR_SCOPE="TIER_"&amp;$F134)+(ACT_DOOR_SCOPE=$B134)))*SIGN(((ACT_SKU_SCOPE="ALL")+(ACT_SKU_SCOPE=$G134)))*(ACT_START&lt;=12)*(ACT_END&gt;=12)*IFERROR(ACT_UPLIFT-1,0)))*(1+SUMPRODUCT(SIGN(((ACT_DOOR_SCOPE="ALL")+(ACT_DOOR_SCOPE="TIER_"&amp;$F134)+(ACT_DOOR_SCOPE=$B134)))*SIGN(((ACT_SKU_SCOPE="ALL")+(ACT_SKU_SCOPE=$G134)))*(12&gt;ACT_END)*(ACT_END&gt;0)*IFERROR(ACT_POSTLIFT,0))),0)))</f>
        <v/>
      </c>
      <c r="V134" s="10">
        <f>IF(OR($H134&lt;&gt;"Y",13&lt;$I134),0,IF(SUMPRODUCT(((BULK_ENABLED="Y")*((BULK_TIER="ALL")+(BULK_TIER=$F134))*((BULK_SKU="ALL")+(BULK_SKU=$G134))*(BULK_START&lt;=13)*(BULK_END&gt;=13)))&gt;0,IFERROR(SUMPRODUCT(((BULK_ENABLED="Y")*((BULK_TIER="ALL")+(BULK_TIER=$F134))*((BULK_SKU="ALL")+(BULK_SKU=$G134))*(BULK_START&lt;=13)*(BULK_END&gt;=13))*IFERROR(BULK_VALUE,0))/MAX(1,SUMPRODUCT(((BULK_ENABLED="Y")*((BULK_TIER="ALL")+(BULK_TIER=$F134))*((BULK_SKU="ALL")+(BULK_SKU=$G134))*(BULK_START&lt;=13)*(BULK_END&gt;=13)))),0),ROUND((INDEX(VELOCITY_TABLE,MATCH($F134,TIER_LIST,0),1))*(IF((13-$I134+1)&lt;=0,0,IF((13-$I134+1)=1,RAMP_W1,IF((13-$I134+1)=2,RAMP_W2,IF((13-$I134+1)=3,RAMP_W3,RAMP_W4PLUS)))))*(INDEX(ACTIVE_MULT_TABLE,1,1))*(1+SUMPRODUCT(SIGN(((ACT_DOOR_SCOPE="ALL")+(ACT_DOOR_SCOPE="TIER_"&amp;$F134)+(ACT_DOOR_SCOPE=$B134)))*SIGN(((ACT_SKU_SCOPE="ALL")+(ACT_SKU_SCOPE=$G134)))*(ACT_START&lt;=13)*(ACT_END&gt;=13)*IFERROR(ACT_UPLIFT-1,0)))*(1+SUMPRODUCT(SIGN(((ACT_DOOR_SCOPE="ALL")+(ACT_DOOR_SCOPE="TIER_"&amp;$F134)+(ACT_DOOR_SCOPE=$B134)))*SIGN(((ACT_SKU_SCOPE="ALL")+(ACT_SKU_SCOPE=$G134)))*(13&gt;ACT_END)*(ACT_END&gt;0)*IFERROR(ACT_POSTLIFT,0))),0)))</f>
        <v/>
      </c>
    </row>
    <row r="135">
      <c r="A135" t="inlineStr">
        <is>
          <t>R0131</t>
        </is>
      </c>
      <c r="B135">
        <f>Doors!$A$48</f>
        <v/>
      </c>
      <c r="C135">
        <f>Doors!$C$48</f>
        <v/>
      </c>
      <c r="D135">
        <f>Doors!$B$48</f>
        <v/>
      </c>
      <c r="E135">
        <f>Doors!$E$48</f>
        <v/>
      </c>
      <c r="F135">
        <f>Doors!$F$48</f>
        <v/>
      </c>
      <c r="G135" t="inlineStr">
        <is>
          <t>Pineapple Passion Fruit</t>
        </is>
      </c>
      <c r="H135">
        <f>Doors!$H$48</f>
        <v/>
      </c>
      <c r="I135">
        <f>Doors!$J$48</f>
        <v/>
      </c>
      <c r="J135" s="10">
        <f>IF(OR($H135&lt;&gt;"Y",1&lt;$I135),0,IF(SUMPRODUCT(((BULK_ENABLED="Y")*((BULK_TIER="ALL")+(BULK_TIER=$F135))*((BULK_SKU="ALL")+(BULK_SKU=$G135))*(BULK_START&lt;=1)*(BULK_END&gt;=1)))&gt;0,IFERROR(SUMPRODUCT(((BULK_ENABLED="Y")*((BULK_TIER="ALL")+(BULK_TIER=$F135))*((BULK_SKU="ALL")+(BULK_SKU=$G135))*(BULK_START&lt;=1)*(BULK_END&gt;=1))*IFERROR(BULK_VALUE,0))/MAX(1,SUMPRODUCT(((BULK_ENABLED="Y")*((BULK_TIER="ALL")+(BULK_TIER=$F135))*((BULK_SKU="ALL")+(BULK_SKU=$G135))*(BULK_START&lt;=1)*(BULK_END&gt;=1)))),0),ROUND((INDEX(VELOCITY_TABLE,MATCH($F135,TIER_LIST,0),2))*(IF((1-$I135+1)&lt;=0,0,IF((1-$I135+1)=1,RAMP_W1,IF((1-$I135+1)=2,RAMP_W2,IF((1-$I135+1)=3,RAMP_W3,RAMP_W4PLUS)))))*(INDEX(ACTIVE_MULT_TABLE,2,1))*(1+SUMPRODUCT(SIGN(((ACT_DOOR_SCOPE="ALL")+(ACT_DOOR_SCOPE="TIER_"&amp;$F135)+(ACT_DOOR_SCOPE=$B135)))*SIGN(((ACT_SKU_SCOPE="ALL")+(ACT_SKU_SCOPE=$G135)))*(ACT_START&lt;=1)*(ACT_END&gt;=1)*IFERROR(ACT_UPLIFT-1,0)))*(1+SUMPRODUCT(SIGN(((ACT_DOOR_SCOPE="ALL")+(ACT_DOOR_SCOPE="TIER_"&amp;$F135)+(ACT_DOOR_SCOPE=$B135)))*SIGN(((ACT_SKU_SCOPE="ALL")+(ACT_SKU_SCOPE=$G135)))*(1&gt;ACT_END)*(ACT_END&gt;0)*IFERROR(ACT_POSTLIFT,0))),0)))</f>
        <v/>
      </c>
      <c r="K135" s="10">
        <f>IF(OR($H135&lt;&gt;"Y",2&lt;$I135),0,IF(SUMPRODUCT(((BULK_ENABLED="Y")*((BULK_TIER="ALL")+(BULK_TIER=$F135))*((BULK_SKU="ALL")+(BULK_SKU=$G135))*(BULK_START&lt;=2)*(BULK_END&gt;=2)))&gt;0,IFERROR(SUMPRODUCT(((BULK_ENABLED="Y")*((BULK_TIER="ALL")+(BULK_TIER=$F135))*((BULK_SKU="ALL")+(BULK_SKU=$G135))*(BULK_START&lt;=2)*(BULK_END&gt;=2))*IFERROR(BULK_VALUE,0))/MAX(1,SUMPRODUCT(((BULK_ENABLED="Y")*((BULK_TIER="ALL")+(BULK_TIER=$F135))*((BULK_SKU="ALL")+(BULK_SKU=$G135))*(BULK_START&lt;=2)*(BULK_END&gt;=2)))),0),ROUND((INDEX(VELOCITY_TABLE,MATCH($F135,TIER_LIST,0),2))*(IF((2-$I135+1)&lt;=0,0,IF((2-$I135+1)=1,RAMP_W1,IF((2-$I135+1)=2,RAMP_W2,IF((2-$I135+1)=3,RAMP_W3,RAMP_W4PLUS)))))*(INDEX(ACTIVE_MULT_TABLE,2,1))*(1+SUMPRODUCT(SIGN(((ACT_DOOR_SCOPE="ALL")+(ACT_DOOR_SCOPE="TIER_"&amp;$F135)+(ACT_DOOR_SCOPE=$B135)))*SIGN(((ACT_SKU_SCOPE="ALL")+(ACT_SKU_SCOPE=$G135)))*(ACT_START&lt;=2)*(ACT_END&gt;=2)*IFERROR(ACT_UPLIFT-1,0)))*(1+SUMPRODUCT(SIGN(((ACT_DOOR_SCOPE="ALL")+(ACT_DOOR_SCOPE="TIER_"&amp;$F135)+(ACT_DOOR_SCOPE=$B135)))*SIGN(((ACT_SKU_SCOPE="ALL")+(ACT_SKU_SCOPE=$G135)))*(2&gt;ACT_END)*(ACT_END&gt;0)*IFERROR(ACT_POSTLIFT,0))),0)))</f>
        <v/>
      </c>
      <c r="L135" s="10">
        <f>IF(OR($H135&lt;&gt;"Y",3&lt;$I135),0,IF(SUMPRODUCT(((BULK_ENABLED="Y")*((BULK_TIER="ALL")+(BULK_TIER=$F135))*((BULK_SKU="ALL")+(BULK_SKU=$G135))*(BULK_START&lt;=3)*(BULK_END&gt;=3)))&gt;0,IFERROR(SUMPRODUCT(((BULK_ENABLED="Y")*((BULK_TIER="ALL")+(BULK_TIER=$F135))*((BULK_SKU="ALL")+(BULK_SKU=$G135))*(BULK_START&lt;=3)*(BULK_END&gt;=3))*IFERROR(BULK_VALUE,0))/MAX(1,SUMPRODUCT(((BULK_ENABLED="Y")*((BULK_TIER="ALL")+(BULK_TIER=$F135))*((BULK_SKU="ALL")+(BULK_SKU=$G135))*(BULK_START&lt;=3)*(BULK_END&gt;=3)))),0),ROUND((INDEX(VELOCITY_TABLE,MATCH($F135,TIER_LIST,0),2))*(IF((3-$I135+1)&lt;=0,0,IF((3-$I135+1)=1,RAMP_W1,IF((3-$I135+1)=2,RAMP_W2,IF((3-$I135+1)=3,RAMP_W3,RAMP_W4PLUS)))))*(INDEX(ACTIVE_MULT_TABLE,2,1))*(1+SUMPRODUCT(SIGN(((ACT_DOOR_SCOPE="ALL")+(ACT_DOOR_SCOPE="TIER_"&amp;$F135)+(ACT_DOOR_SCOPE=$B135)))*SIGN(((ACT_SKU_SCOPE="ALL")+(ACT_SKU_SCOPE=$G135)))*(ACT_START&lt;=3)*(ACT_END&gt;=3)*IFERROR(ACT_UPLIFT-1,0)))*(1+SUMPRODUCT(SIGN(((ACT_DOOR_SCOPE="ALL")+(ACT_DOOR_SCOPE="TIER_"&amp;$F135)+(ACT_DOOR_SCOPE=$B135)))*SIGN(((ACT_SKU_SCOPE="ALL")+(ACT_SKU_SCOPE=$G135)))*(3&gt;ACT_END)*(ACT_END&gt;0)*IFERROR(ACT_POSTLIFT,0))),0)))</f>
        <v/>
      </c>
      <c r="M135" s="10">
        <f>IF(OR($H135&lt;&gt;"Y",4&lt;$I135),0,IF(SUMPRODUCT(((BULK_ENABLED="Y")*((BULK_TIER="ALL")+(BULK_TIER=$F135))*((BULK_SKU="ALL")+(BULK_SKU=$G135))*(BULK_START&lt;=4)*(BULK_END&gt;=4)))&gt;0,IFERROR(SUMPRODUCT(((BULK_ENABLED="Y")*((BULK_TIER="ALL")+(BULK_TIER=$F135))*((BULK_SKU="ALL")+(BULK_SKU=$G135))*(BULK_START&lt;=4)*(BULK_END&gt;=4))*IFERROR(BULK_VALUE,0))/MAX(1,SUMPRODUCT(((BULK_ENABLED="Y")*((BULK_TIER="ALL")+(BULK_TIER=$F135))*((BULK_SKU="ALL")+(BULK_SKU=$G135))*(BULK_START&lt;=4)*(BULK_END&gt;=4)))),0),ROUND((INDEX(VELOCITY_TABLE,MATCH($F135,TIER_LIST,0),2))*(IF((4-$I135+1)&lt;=0,0,IF((4-$I135+1)=1,RAMP_W1,IF((4-$I135+1)=2,RAMP_W2,IF((4-$I135+1)=3,RAMP_W3,RAMP_W4PLUS)))))*(INDEX(ACTIVE_MULT_TABLE,2,1))*(1+SUMPRODUCT(SIGN(((ACT_DOOR_SCOPE="ALL")+(ACT_DOOR_SCOPE="TIER_"&amp;$F135)+(ACT_DOOR_SCOPE=$B135)))*SIGN(((ACT_SKU_SCOPE="ALL")+(ACT_SKU_SCOPE=$G135)))*(ACT_START&lt;=4)*(ACT_END&gt;=4)*IFERROR(ACT_UPLIFT-1,0)))*(1+SUMPRODUCT(SIGN(((ACT_DOOR_SCOPE="ALL")+(ACT_DOOR_SCOPE="TIER_"&amp;$F135)+(ACT_DOOR_SCOPE=$B135)))*SIGN(((ACT_SKU_SCOPE="ALL")+(ACT_SKU_SCOPE=$G135)))*(4&gt;ACT_END)*(ACT_END&gt;0)*IFERROR(ACT_POSTLIFT,0))),0)))</f>
        <v/>
      </c>
      <c r="N135" s="10">
        <f>IF(OR($H135&lt;&gt;"Y",5&lt;$I135),0,IF(SUMPRODUCT(((BULK_ENABLED="Y")*((BULK_TIER="ALL")+(BULK_TIER=$F135))*((BULK_SKU="ALL")+(BULK_SKU=$G135))*(BULK_START&lt;=5)*(BULK_END&gt;=5)))&gt;0,IFERROR(SUMPRODUCT(((BULK_ENABLED="Y")*((BULK_TIER="ALL")+(BULK_TIER=$F135))*((BULK_SKU="ALL")+(BULK_SKU=$G135))*(BULK_START&lt;=5)*(BULK_END&gt;=5))*IFERROR(BULK_VALUE,0))/MAX(1,SUMPRODUCT(((BULK_ENABLED="Y")*((BULK_TIER="ALL")+(BULK_TIER=$F135))*((BULK_SKU="ALL")+(BULK_SKU=$G135))*(BULK_START&lt;=5)*(BULK_END&gt;=5)))),0),ROUND((INDEX(VELOCITY_TABLE,MATCH($F135,TIER_LIST,0),2))*(IF((5-$I135+1)&lt;=0,0,IF((5-$I135+1)=1,RAMP_W1,IF((5-$I135+1)=2,RAMP_W2,IF((5-$I135+1)=3,RAMP_W3,RAMP_W4PLUS)))))*(INDEX(ACTIVE_MULT_TABLE,2,1))*(1+SUMPRODUCT(SIGN(((ACT_DOOR_SCOPE="ALL")+(ACT_DOOR_SCOPE="TIER_"&amp;$F135)+(ACT_DOOR_SCOPE=$B135)))*SIGN(((ACT_SKU_SCOPE="ALL")+(ACT_SKU_SCOPE=$G135)))*(ACT_START&lt;=5)*(ACT_END&gt;=5)*IFERROR(ACT_UPLIFT-1,0)))*(1+SUMPRODUCT(SIGN(((ACT_DOOR_SCOPE="ALL")+(ACT_DOOR_SCOPE="TIER_"&amp;$F135)+(ACT_DOOR_SCOPE=$B135)))*SIGN(((ACT_SKU_SCOPE="ALL")+(ACT_SKU_SCOPE=$G135)))*(5&gt;ACT_END)*(ACT_END&gt;0)*IFERROR(ACT_POSTLIFT,0))),0)))</f>
        <v/>
      </c>
      <c r="O135" s="10">
        <f>IF(OR($H135&lt;&gt;"Y",6&lt;$I135),0,IF(SUMPRODUCT(((BULK_ENABLED="Y")*((BULK_TIER="ALL")+(BULK_TIER=$F135))*((BULK_SKU="ALL")+(BULK_SKU=$G135))*(BULK_START&lt;=6)*(BULK_END&gt;=6)))&gt;0,IFERROR(SUMPRODUCT(((BULK_ENABLED="Y")*((BULK_TIER="ALL")+(BULK_TIER=$F135))*((BULK_SKU="ALL")+(BULK_SKU=$G135))*(BULK_START&lt;=6)*(BULK_END&gt;=6))*IFERROR(BULK_VALUE,0))/MAX(1,SUMPRODUCT(((BULK_ENABLED="Y")*((BULK_TIER="ALL")+(BULK_TIER=$F135))*((BULK_SKU="ALL")+(BULK_SKU=$G135))*(BULK_START&lt;=6)*(BULK_END&gt;=6)))),0),ROUND((INDEX(VELOCITY_TABLE,MATCH($F135,TIER_LIST,0),2))*(IF((6-$I135+1)&lt;=0,0,IF((6-$I135+1)=1,RAMP_W1,IF((6-$I135+1)=2,RAMP_W2,IF((6-$I135+1)=3,RAMP_W3,RAMP_W4PLUS)))))*(INDEX(ACTIVE_MULT_TABLE,2,1))*(1+SUMPRODUCT(SIGN(((ACT_DOOR_SCOPE="ALL")+(ACT_DOOR_SCOPE="TIER_"&amp;$F135)+(ACT_DOOR_SCOPE=$B135)))*SIGN(((ACT_SKU_SCOPE="ALL")+(ACT_SKU_SCOPE=$G135)))*(ACT_START&lt;=6)*(ACT_END&gt;=6)*IFERROR(ACT_UPLIFT-1,0)))*(1+SUMPRODUCT(SIGN(((ACT_DOOR_SCOPE="ALL")+(ACT_DOOR_SCOPE="TIER_"&amp;$F135)+(ACT_DOOR_SCOPE=$B135)))*SIGN(((ACT_SKU_SCOPE="ALL")+(ACT_SKU_SCOPE=$G135)))*(6&gt;ACT_END)*(ACT_END&gt;0)*IFERROR(ACT_POSTLIFT,0))),0)))</f>
        <v/>
      </c>
      <c r="P135" s="10">
        <f>IF(OR($H135&lt;&gt;"Y",7&lt;$I135),0,IF(SUMPRODUCT(((BULK_ENABLED="Y")*((BULK_TIER="ALL")+(BULK_TIER=$F135))*((BULK_SKU="ALL")+(BULK_SKU=$G135))*(BULK_START&lt;=7)*(BULK_END&gt;=7)))&gt;0,IFERROR(SUMPRODUCT(((BULK_ENABLED="Y")*((BULK_TIER="ALL")+(BULK_TIER=$F135))*((BULK_SKU="ALL")+(BULK_SKU=$G135))*(BULK_START&lt;=7)*(BULK_END&gt;=7))*IFERROR(BULK_VALUE,0))/MAX(1,SUMPRODUCT(((BULK_ENABLED="Y")*((BULK_TIER="ALL")+(BULK_TIER=$F135))*((BULK_SKU="ALL")+(BULK_SKU=$G135))*(BULK_START&lt;=7)*(BULK_END&gt;=7)))),0),ROUND((INDEX(VELOCITY_TABLE,MATCH($F135,TIER_LIST,0),2))*(IF((7-$I135+1)&lt;=0,0,IF((7-$I135+1)=1,RAMP_W1,IF((7-$I135+1)=2,RAMP_W2,IF((7-$I135+1)=3,RAMP_W3,RAMP_W4PLUS)))))*(INDEX(ACTIVE_MULT_TABLE,2,1))*(1+SUMPRODUCT(SIGN(((ACT_DOOR_SCOPE="ALL")+(ACT_DOOR_SCOPE="TIER_"&amp;$F135)+(ACT_DOOR_SCOPE=$B135)))*SIGN(((ACT_SKU_SCOPE="ALL")+(ACT_SKU_SCOPE=$G135)))*(ACT_START&lt;=7)*(ACT_END&gt;=7)*IFERROR(ACT_UPLIFT-1,0)))*(1+SUMPRODUCT(SIGN(((ACT_DOOR_SCOPE="ALL")+(ACT_DOOR_SCOPE="TIER_"&amp;$F135)+(ACT_DOOR_SCOPE=$B135)))*SIGN(((ACT_SKU_SCOPE="ALL")+(ACT_SKU_SCOPE=$G135)))*(7&gt;ACT_END)*(ACT_END&gt;0)*IFERROR(ACT_POSTLIFT,0))),0)))</f>
        <v/>
      </c>
      <c r="Q135" s="10">
        <f>IF(OR($H135&lt;&gt;"Y",8&lt;$I135),0,IF(SUMPRODUCT(((BULK_ENABLED="Y")*((BULK_TIER="ALL")+(BULK_TIER=$F135))*((BULK_SKU="ALL")+(BULK_SKU=$G135))*(BULK_START&lt;=8)*(BULK_END&gt;=8)))&gt;0,IFERROR(SUMPRODUCT(((BULK_ENABLED="Y")*((BULK_TIER="ALL")+(BULK_TIER=$F135))*((BULK_SKU="ALL")+(BULK_SKU=$G135))*(BULK_START&lt;=8)*(BULK_END&gt;=8))*IFERROR(BULK_VALUE,0))/MAX(1,SUMPRODUCT(((BULK_ENABLED="Y")*((BULK_TIER="ALL")+(BULK_TIER=$F135))*((BULK_SKU="ALL")+(BULK_SKU=$G135))*(BULK_START&lt;=8)*(BULK_END&gt;=8)))),0),ROUND((INDEX(VELOCITY_TABLE,MATCH($F135,TIER_LIST,0),2))*(IF((8-$I135+1)&lt;=0,0,IF((8-$I135+1)=1,RAMP_W1,IF((8-$I135+1)=2,RAMP_W2,IF((8-$I135+1)=3,RAMP_W3,RAMP_W4PLUS)))))*(INDEX(ACTIVE_MULT_TABLE,2,1))*(1+SUMPRODUCT(SIGN(((ACT_DOOR_SCOPE="ALL")+(ACT_DOOR_SCOPE="TIER_"&amp;$F135)+(ACT_DOOR_SCOPE=$B135)))*SIGN(((ACT_SKU_SCOPE="ALL")+(ACT_SKU_SCOPE=$G135)))*(ACT_START&lt;=8)*(ACT_END&gt;=8)*IFERROR(ACT_UPLIFT-1,0)))*(1+SUMPRODUCT(SIGN(((ACT_DOOR_SCOPE="ALL")+(ACT_DOOR_SCOPE="TIER_"&amp;$F135)+(ACT_DOOR_SCOPE=$B135)))*SIGN(((ACT_SKU_SCOPE="ALL")+(ACT_SKU_SCOPE=$G135)))*(8&gt;ACT_END)*(ACT_END&gt;0)*IFERROR(ACT_POSTLIFT,0))),0)))</f>
        <v/>
      </c>
      <c r="R135" s="10">
        <f>IF(OR($H135&lt;&gt;"Y",9&lt;$I135),0,IF(SUMPRODUCT(((BULK_ENABLED="Y")*((BULK_TIER="ALL")+(BULK_TIER=$F135))*((BULK_SKU="ALL")+(BULK_SKU=$G135))*(BULK_START&lt;=9)*(BULK_END&gt;=9)))&gt;0,IFERROR(SUMPRODUCT(((BULK_ENABLED="Y")*((BULK_TIER="ALL")+(BULK_TIER=$F135))*((BULK_SKU="ALL")+(BULK_SKU=$G135))*(BULK_START&lt;=9)*(BULK_END&gt;=9))*IFERROR(BULK_VALUE,0))/MAX(1,SUMPRODUCT(((BULK_ENABLED="Y")*((BULK_TIER="ALL")+(BULK_TIER=$F135))*((BULK_SKU="ALL")+(BULK_SKU=$G135))*(BULK_START&lt;=9)*(BULK_END&gt;=9)))),0),ROUND((INDEX(VELOCITY_TABLE,MATCH($F135,TIER_LIST,0),2))*(IF((9-$I135+1)&lt;=0,0,IF((9-$I135+1)=1,RAMP_W1,IF((9-$I135+1)=2,RAMP_W2,IF((9-$I135+1)=3,RAMP_W3,RAMP_W4PLUS)))))*(INDEX(ACTIVE_MULT_TABLE,2,1))*(1+SUMPRODUCT(SIGN(((ACT_DOOR_SCOPE="ALL")+(ACT_DOOR_SCOPE="TIER_"&amp;$F135)+(ACT_DOOR_SCOPE=$B135)))*SIGN(((ACT_SKU_SCOPE="ALL")+(ACT_SKU_SCOPE=$G135)))*(ACT_START&lt;=9)*(ACT_END&gt;=9)*IFERROR(ACT_UPLIFT-1,0)))*(1+SUMPRODUCT(SIGN(((ACT_DOOR_SCOPE="ALL")+(ACT_DOOR_SCOPE="TIER_"&amp;$F135)+(ACT_DOOR_SCOPE=$B135)))*SIGN(((ACT_SKU_SCOPE="ALL")+(ACT_SKU_SCOPE=$G135)))*(9&gt;ACT_END)*(ACT_END&gt;0)*IFERROR(ACT_POSTLIFT,0))),0)))</f>
        <v/>
      </c>
      <c r="S135" s="10">
        <f>IF(OR($H135&lt;&gt;"Y",10&lt;$I135),0,IF(SUMPRODUCT(((BULK_ENABLED="Y")*((BULK_TIER="ALL")+(BULK_TIER=$F135))*((BULK_SKU="ALL")+(BULK_SKU=$G135))*(BULK_START&lt;=10)*(BULK_END&gt;=10)))&gt;0,IFERROR(SUMPRODUCT(((BULK_ENABLED="Y")*((BULK_TIER="ALL")+(BULK_TIER=$F135))*((BULK_SKU="ALL")+(BULK_SKU=$G135))*(BULK_START&lt;=10)*(BULK_END&gt;=10))*IFERROR(BULK_VALUE,0))/MAX(1,SUMPRODUCT(((BULK_ENABLED="Y")*((BULK_TIER="ALL")+(BULK_TIER=$F135))*((BULK_SKU="ALL")+(BULK_SKU=$G135))*(BULK_START&lt;=10)*(BULK_END&gt;=10)))),0),ROUND((INDEX(VELOCITY_TABLE,MATCH($F135,TIER_LIST,0),2))*(IF((10-$I135+1)&lt;=0,0,IF((10-$I135+1)=1,RAMP_W1,IF((10-$I135+1)=2,RAMP_W2,IF((10-$I135+1)=3,RAMP_W3,RAMP_W4PLUS)))))*(INDEX(ACTIVE_MULT_TABLE,2,1))*(1+SUMPRODUCT(SIGN(((ACT_DOOR_SCOPE="ALL")+(ACT_DOOR_SCOPE="TIER_"&amp;$F135)+(ACT_DOOR_SCOPE=$B135)))*SIGN(((ACT_SKU_SCOPE="ALL")+(ACT_SKU_SCOPE=$G135)))*(ACT_START&lt;=10)*(ACT_END&gt;=10)*IFERROR(ACT_UPLIFT-1,0)))*(1+SUMPRODUCT(SIGN(((ACT_DOOR_SCOPE="ALL")+(ACT_DOOR_SCOPE="TIER_"&amp;$F135)+(ACT_DOOR_SCOPE=$B135)))*SIGN(((ACT_SKU_SCOPE="ALL")+(ACT_SKU_SCOPE=$G135)))*(10&gt;ACT_END)*(ACT_END&gt;0)*IFERROR(ACT_POSTLIFT,0))),0)))</f>
        <v/>
      </c>
      <c r="T135" s="10">
        <f>IF(OR($H135&lt;&gt;"Y",11&lt;$I135),0,IF(SUMPRODUCT(((BULK_ENABLED="Y")*((BULK_TIER="ALL")+(BULK_TIER=$F135))*((BULK_SKU="ALL")+(BULK_SKU=$G135))*(BULK_START&lt;=11)*(BULK_END&gt;=11)))&gt;0,IFERROR(SUMPRODUCT(((BULK_ENABLED="Y")*((BULK_TIER="ALL")+(BULK_TIER=$F135))*((BULK_SKU="ALL")+(BULK_SKU=$G135))*(BULK_START&lt;=11)*(BULK_END&gt;=11))*IFERROR(BULK_VALUE,0))/MAX(1,SUMPRODUCT(((BULK_ENABLED="Y")*((BULK_TIER="ALL")+(BULK_TIER=$F135))*((BULK_SKU="ALL")+(BULK_SKU=$G135))*(BULK_START&lt;=11)*(BULK_END&gt;=11)))),0),ROUND((INDEX(VELOCITY_TABLE,MATCH($F135,TIER_LIST,0),2))*(IF((11-$I135+1)&lt;=0,0,IF((11-$I135+1)=1,RAMP_W1,IF((11-$I135+1)=2,RAMP_W2,IF((11-$I135+1)=3,RAMP_W3,RAMP_W4PLUS)))))*(INDEX(ACTIVE_MULT_TABLE,2,1))*(1+SUMPRODUCT(SIGN(((ACT_DOOR_SCOPE="ALL")+(ACT_DOOR_SCOPE="TIER_"&amp;$F135)+(ACT_DOOR_SCOPE=$B135)))*SIGN(((ACT_SKU_SCOPE="ALL")+(ACT_SKU_SCOPE=$G135)))*(ACT_START&lt;=11)*(ACT_END&gt;=11)*IFERROR(ACT_UPLIFT-1,0)))*(1+SUMPRODUCT(SIGN(((ACT_DOOR_SCOPE="ALL")+(ACT_DOOR_SCOPE="TIER_"&amp;$F135)+(ACT_DOOR_SCOPE=$B135)))*SIGN(((ACT_SKU_SCOPE="ALL")+(ACT_SKU_SCOPE=$G135)))*(11&gt;ACT_END)*(ACT_END&gt;0)*IFERROR(ACT_POSTLIFT,0))),0)))</f>
        <v/>
      </c>
      <c r="U135" s="10">
        <f>IF(OR($H135&lt;&gt;"Y",12&lt;$I135),0,IF(SUMPRODUCT(((BULK_ENABLED="Y")*((BULK_TIER="ALL")+(BULK_TIER=$F135))*((BULK_SKU="ALL")+(BULK_SKU=$G135))*(BULK_START&lt;=12)*(BULK_END&gt;=12)))&gt;0,IFERROR(SUMPRODUCT(((BULK_ENABLED="Y")*((BULK_TIER="ALL")+(BULK_TIER=$F135))*((BULK_SKU="ALL")+(BULK_SKU=$G135))*(BULK_START&lt;=12)*(BULK_END&gt;=12))*IFERROR(BULK_VALUE,0))/MAX(1,SUMPRODUCT(((BULK_ENABLED="Y")*((BULK_TIER="ALL")+(BULK_TIER=$F135))*((BULK_SKU="ALL")+(BULK_SKU=$G135))*(BULK_START&lt;=12)*(BULK_END&gt;=12)))),0),ROUND((INDEX(VELOCITY_TABLE,MATCH($F135,TIER_LIST,0),2))*(IF((12-$I135+1)&lt;=0,0,IF((12-$I135+1)=1,RAMP_W1,IF((12-$I135+1)=2,RAMP_W2,IF((12-$I135+1)=3,RAMP_W3,RAMP_W4PLUS)))))*(INDEX(ACTIVE_MULT_TABLE,2,1))*(1+SUMPRODUCT(SIGN(((ACT_DOOR_SCOPE="ALL")+(ACT_DOOR_SCOPE="TIER_"&amp;$F135)+(ACT_DOOR_SCOPE=$B135)))*SIGN(((ACT_SKU_SCOPE="ALL")+(ACT_SKU_SCOPE=$G135)))*(ACT_START&lt;=12)*(ACT_END&gt;=12)*IFERROR(ACT_UPLIFT-1,0)))*(1+SUMPRODUCT(SIGN(((ACT_DOOR_SCOPE="ALL")+(ACT_DOOR_SCOPE="TIER_"&amp;$F135)+(ACT_DOOR_SCOPE=$B135)))*SIGN(((ACT_SKU_SCOPE="ALL")+(ACT_SKU_SCOPE=$G135)))*(12&gt;ACT_END)*(ACT_END&gt;0)*IFERROR(ACT_POSTLIFT,0))),0)))</f>
        <v/>
      </c>
      <c r="V135" s="10">
        <f>IF(OR($H135&lt;&gt;"Y",13&lt;$I135),0,IF(SUMPRODUCT(((BULK_ENABLED="Y")*((BULK_TIER="ALL")+(BULK_TIER=$F135))*((BULK_SKU="ALL")+(BULK_SKU=$G135))*(BULK_START&lt;=13)*(BULK_END&gt;=13)))&gt;0,IFERROR(SUMPRODUCT(((BULK_ENABLED="Y")*((BULK_TIER="ALL")+(BULK_TIER=$F135))*((BULK_SKU="ALL")+(BULK_SKU=$G135))*(BULK_START&lt;=13)*(BULK_END&gt;=13))*IFERROR(BULK_VALUE,0))/MAX(1,SUMPRODUCT(((BULK_ENABLED="Y")*((BULK_TIER="ALL")+(BULK_TIER=$F135))*((BULK_SKU="ALL")+(BULK_SKU=$G135))*(BULK_START&lt;=13)*(BULK_END&gt;=13)))),0),ROUND((INDEX(VELOCITY_TABLE,MATCH($F135,TIER_LIST,0),2))*(IF((13-$I135+1)&lt;=0,0,IF((13-$I135+1)=1,RAMP_W1,IF((13-$I135+1)=2,RAMP_W2,IF((13-$I135+1)=3,RAMP_W3,RAMP_W4PLUS)))))*(INDEX(ACTIVE_MULT_TABLE,2,1))*(1+SUMPRODUCT(SIGN(((ACT_DOOR_SCOPE="ALL")+(ACT_DOOR_SCOPE="TIER_"&amp;$F135)+(ACT_DOOR_SCOPE=$B135)))*SIGN(((ACT_SKU_SCOPE="ALL")+(ACT_SKU_SCOPE=$G135)))*(ACT_START&lt;=13)*(ACT_END&gt;=13)*IFERROR(ACT_UPLIFT-1,0)))*(1+SUMPRODUCT(SIGN(((ACT_DOOR_SCOPE="ALL")+(ACT_DOOR_SCOPE="TIER_"&amp;$F135)+(ACT_DOOR_SCOPE=$B135)))*SIGN(((ACT_SKU_SCOPE="ALL")+(ACT_SKU_SCOPE=$G135)))*(13&gt;ACT_END)*(ACT_END&gt;0)*IFERROR(ACT_POSTLIFT,0))),0)))</f>
        <v/>
      </c>
    </row>
    <row r="136">
      <c r="A136" t="inlineStr">
        <is>
          <t>R0132</t>
        </is>
      </c>
      <c r="B136">
        <f>Doors!$A$48</f>
        <v/>
      </c>
      <c r="C136">
        <f>Doors!$C$48</f>
        <v/>
      </c>
      <c r="D136">
        <f>Doors!$B$48</f>
        <v/>
      </c>
      <c r="E136">
        <f>Doors!$E$48</f>
        <v/>
      </c>
      <c r="F136">
        <f>Doors!$F$48</f>
        <v/>
      </c>
      <c r="G136" t="inlineStr">
        <is>
          <t>Raspberry</t>
        </is>
      </c>
      <c r="H136">
        <f>Doors!$I$48</f>
        <v/>
      </c>
      <c r="I136">
        <f>Doors!$J$48</f>
        <v/>
      </c>
      <c r="J136" s="10">
        <f>IF(OR($H136&lt;&gt;"Y",1&lt;$I136),0,IF(SUMPRODUCT(((BULK_ENABLED="Y")*((BULK_TIER="ALL")+(BULK_TIER=$F136))*((BULK_SKU="ALL")+(BULK_SKU=$G136))*(BULK_START&lt;=1)*(BULK_END&gt;=1)))&gt;0,IFERROR(SUMPRODUCT(((BULK_ENABLED="Y")*((BULK_TIER="ALL")+(BULK_TIER=$F136))*((BULK_SKU="ALL")+(BULK_SKU=$G136))*(BULK_START&lt;=1)*(BULK_END&gt;=1))*IFERROR(BULK_VALUE,0))/MAX(1,SUMPRODUCT(((BULK_ENABLED="Y")*((BULK_TIER="ALL")+(BULK_TIER=$F136))*((BULK_SKU="ALL")+(BULK_SKU=$G136))*(BULK_START&lt;=1)*(BULK_END&gt;=1)))),0),ROUND((INDEX(VELOCITY_TABLE,MATCH($F136,TIER_LIST,0),3))*(IF((1-$I136+1)&lt;=0,0,IF((1-$I136+1)=1,RAMP_W1,IF((1-$I136+1)=2,RAMP_W2,IF((1-$I136+1)=3,RAMP_W3,RAMP_W4PLUS)))))*(INDEX(ACTIVE_MULT_TABLE,3,1))*(1+SUMPRODUCT(SIGN(((ACT_DOOR_SCOPE="ALL")+(ACT_DOOR_SCOPE="TIER_"&amp;$F136)+(ACT_DOOR_SCOPE=$B136)))*SIGN(((ACT_SKU_SCOPE="ALL")+(ACT_SKU_SCOPE=$G136)))*(ACT_START&lt;=1)*(ACT_END&gt;=1)*IFERROR(ACT_UPLIFT-1,0)))*(1+SUMPRODUCT(SIGN(((ACT_DOOR_SCOPE="ALL")+(ACT_DOOR_SCOPE="TIER_"&amp;$F136)+(ACT_DOOR_SCOPE=$B136)))*SIGN(((ACT_SKU_SCOPE="ALL")+(ACT_SKU_SCOPE=$G136)))*(1&gt;ACT_END)*(ACT_END&gt;0)*IFERROR(ACT_POSTLIFT,0))),0)))</f>
        <v/>
      </c>
      <c r="K136" s="10">
        <f>IF(OR($H136&lt;&gt;"Y",2&lt;$I136),0,IF(SUMPRODUCT(((BULK_ENABLED="Y")*((BULK_TIER="ALL")+(BULK_TIER=$F136))*((BULK_SKU="ALL")+(BULK_SKU=$G136))*(BULK_START&lt;=2)*(BULK_END&gt;=2)))&gt;0,IFERROR(SUMPRODUCT(((BULK_ENABLED="Y")*((BULK_TIER="ALL")+(BULK_TIER=$F136))*((BULK_SKU="ALL")+(BULK_SKU=$G136))*(BULK_START&lt;=2)*(BULK_END&gt;=2))*IFERROR(BULK_VALUE,0))/MAX(1,SUMPRODUCT(((BULK_ENABLED="Y")*((BULK_TIER="ALL")+(BULK_TIER=$F136))*((BULK_SKU="ALL")+(BULK_SKU=$G136))*(BULK_START&lt;=2)*(BULK_END&gt;=2)))),0),ROUND((INDEX(VELOCITY_TABLE,MATCH($F136,TIER_LIST,0),3))*(IF((2-$I136+1)&lt;=0,0,IF((2-$I136+1)=1,RAMP_W1,IF((2-$I136+1)=2,RAMP_W2,IF((2-$I136+1)=3,RAMP_W3,RAMP_W4PLUS)))))*(INDEX(ACTIVE_MULT_TABLE,3,1))*(1+SUMPRODUCT(SIGN(((ACT_DOOR_SCOPE="ALL")+(ACT_DOOR_SCOPE="TIER_"&amp;$F136)+(ACT_DOOR_SCOPE=$B136)))*SIGN(((ACT_SKU_SCOPE="ALL")+(ACT_SKU_SCOPE=$G136)))*(ACT_START&lt;=2)*(ACT_END&gt;=2)*IFERROR(ACT_UPLIFT-1,0)))*(1+SUMPRODUCT(SIGN(((ACT_DOOR_SCOPE="ALL")+(ACT_DOOR_SCOPE="TIER_"&amp;$F136)+(ACT_DOOR_SCOPE=$B136)))*SIGN(((ACT_SKU_SCOPE="ALL")+(ACT_SKU_SCOPE=$G136)))*(2&gt;ACT_END)*(ACT_END&gt;0)*IFERROR(ACT_POSTLIFT,0))),0)))</f>
        <v/>
      </c>
      <c r="L136" s="10">
        <f>IF(OR($H136&lt;&gt;"Y",3&lt;$I136),0,IF(SUMPRODUCT(((BULK_ENABLED="Y")*((BULK_TIER="ALL")+(BULK_TIER=$F136))*((BULK_SKU="ALL")+(BULK_SKU=$G136))*(BULK_START&lt;=3)*(BULK_END&gt;=3)))&gt;0,IFERROR(SUMPRODUCT(((BULK_ENABLED="Y")*((BULK_TIER="ALL")+(BULK_TIER=$F136))*((BULK_SKU="ALL")+(BULK_SKU=$G136))*(BULK_START&lt;=3)*(BULK_END&gt;=3))*IFERROR(BULK_VALUE,0))/MAX(1,SUMPRODUCT(((BULK_ENABLED="Y")*((BULK_TIER="ALL")+(BULK_TIER=$F136))*((BULK_SKU="ALL")+(BULK_SKU=$G136))*(BULK_START&lt;=3)*(BULK_END&gt;=3)))),0),ROUND((INDEX(VELOCITY_TABLE,MATCH($F136,TIER_LIST,0),3))*(IF((3-$I136+1)&lt;=0,0,IF((3-$I136+1)=1,RAMP_W1,IF((3-$I136+1)=2,RAMP_W2,IF((3-$I136+1)=3,RAMP_W3,RAMP_W4PLUS)))))*(INDEX(ACTIVE_MULT_TABLE,3,1))*(1+SUMPRODUCT(SIGN(((ACT_DOOR_SCOPE="ALL")+(ACT_DOOR_SCOPE="TIER_"&amp;$F136)+(ACT_DOOR_SCOPE=$B136)))*SIGN(((ACT_SKU_SCOPE="ALL")+(ACT_SKU_SCOPE=$G136)))*(ACT_START&lt;=3)*(ACT_END&gt;=3)*IFERROR(ACT_UPLIFT-1,0)))*(1+SUMPRODUCT(SIGN(((ACT_DOOR_SCOPE="ALL")+(ACT_DOOR_SCOPE="TIER_"&amp;$F136)+(ACT_DOOR_SCOPE=$B136)))*SIGN(((ACT_SKU_SCOPE="ALL")+(ACT_SKU_SCOPE=$G136)))*(3&gt;ACT_END)*(ACT_END&gt;0)*IFERROR(ACT_POSTLIFT,0))),0)))</f>
        <v/>
      </c>
      <c r="M136" s="10">
        <f>IF(OR($H136&lt;&gt;"Y",4&lt;$I136),0,IF(SUMPRODUCT(((BULK_ENABLED="Y")*((BULK_TIER="ALL")+(BULK_TIER=$F136))*((BULK_SKU="ALL")+(BULK_SKU=$G136))*(BULK_START&lt;=4)*(BULK_END&gt;=4)))&gt;0,IFERROR(SUMPRODUCT(((BULK_ENABLED="Y")*((BULK_TIER="ALL")+(BULK_TIER=$F136))*((BULK_SKU="ALL")+(BULK_SKU=$G136))*(BULK_START&lt;=4)*(BULK_END&gt;=4))*IFERROR(BULK_VALUE,0))/MAX(1,SUMPRODUCT(((BULK_ENABLED="Y")*((BULK_TIER="ALL")+(BULK_TIER=$F136))*((BULK_SKU="ALL")+(BULK_SKU=$G136))*(BULK_START&lt;=4)*(BULK_END&gt;=4)))),0),ROUND((INDEX(VELOCITY_TABLE,MATCH($F136,TIER_LIST,0),3))*(IF((4-$I136+1)&lt;=0,0,IF((4-$I136+1)=1,RAMP_W1,IF((4-$I136+1)=2,RAMP_W2,IF((4-$I136+1)=3,RAMP_W3,RAMP_W4PLUS)))))*(INDEX(ACTIVE_MULT_TABLE,3,1))*(1+SUMPRODUCT(SIGN(((ACT_DOOR_SCOPE="ALL")+(ACT_DOOR_SCOPE="TIER_"&amp;$F136)+(ACT_DOOR_SCOPE=$B136)))*SIGN(((ACT_SKU_SCOPE="ALL")+(ACT_SKU_SCOPE=$G136)))*(ACT_START&lt;=4)*(ACT_END&gt;=4)*IFERROR(ACT_UPLIFT-1,0)))*(1+SUMPRODUCT(SIGN(((ACT_DOOR_SCOPE="ALL")+(ACT_DOOR_SCOPE="TIER_"&amp;$F136)+(ACT_DOOR_SCOPE=$B136)))*SIGN(((ACT_SKU_SCOPE="ALL")+(ACT_SKU_SCOPE=$G136)))*(4&gt;ACT_END)*(ACT_END&gt;0)*IFERROR(ACT_POSTLIFT,0))),0)))</f>
        <v/>
      </c>
      <c r="N136" s="10">
        <f>IF(OR($H136&lt;&gt;"Y",5&lt;$I136),0,IF(SUMPRODUCT(((BULK_ENABLED="Y")*((BULK_TIER="ALL")+(BULK_TIER=$F136))*((BULK_SKU="ALL")+(BULK_SKU=$G136))*(BULK_START&lt;=5)*(BULK_END&gt;=5)))&gt;0,IFERROR(SUMPRODUCT(((BULK_ENABLED="Y")*((BULK_TIER="ALL")+(BULK_TIER=$F136))*((BULK_SKU="ALL")+(BULK_SKU=$G136))*(BULK_START&lt;=5)*(BULK_END&gt;=5))*IFERROR(BULK_VALUE,0))/MAX(1,SUMPRODUCT(((BULK_ENABLED="Y")*((BULK_TIER="ALL")+(BULK_TIER=$F136))*((BULK_SKU="ALL")+(BULK_SKU=$G136))*(BULK_START&lt;=5)*(BULK_END&gt;=5)))),0),ROUND((INDEX(VELOCITY_TABLE,MATCH($F136,TIER_LIST,0),3))*(IF((5-$I136+1)&lt;=0,0,IF((5-$I136+1)=1,RAMP_W1,IF((5-$I136+1)=2,RAMP_W2,IF((5-$I136+1)=3,RAMP_W3,RAMP_W4PLUS)))))*(INDEX(ACTIVE_MULT_TABLE,3,1))*(1+SUMPRODUCT(SIGN(((ACT_DOOR_SCOPE="ALL")+(ACT_DOOR_SCOPE="TIER_"&amp;$F136)+(ACT_DOOR_SCOPE=$B136)))*SIGN(((ACT_SKU_SCOPE="ALL")+(ACT_SKU_SCOPE=$G136)))*(ACT_START&lt;=5)*(ACT_END&gt;=5)*IFERROR(ACT_UPLIFT-1,0)))*(1+SUMPRODUCT(SIGN(((ACT_DOOR_SCOPE="ALL")+(ACT_DOOR_SCOPE="TIER_"&amp;$F136)+(ACT_DOOR_SCOPE=$B136)))*SIGN(((ACT_SKU_SCOPE="ALL")+(ACT_SKU_SCOPE=$G136)))*(5&gt;ACT_END)*(ACT_END&gt;0)*IFERROR(ACT_POSTLIFT,0))),0)))</f>
        <v/>
      </c>
      <c r="O136" s="10">
        <f>IF(OR($H136&lt;&gt;"Y",6&lt;$I136),0,IF(SUMPRODUCT(((BULK_ENABLED="Y")*((BULK_TIER="ALL")+(BULK_TIER=$F136))*((BULK_SKU="ALL")+(BULK_SKU=$G136))*(BULK_START&lt;=6)*(BULK_END&gt;=6)))&gt;0,IFERROR(SUMPRODUCT(((BULK_ENABLED="Y")*((BULK_TIER="ALL")+(BULK_TIER=$F136))*((BULK_SKU="ALL")+(BULK_SKU=$G136))*(BULK_START&lt;=6)*(BULK_END&gt;=6))*IFERROR(BULK_VALUE,0))/MAX(1,SUMPRODUCT(((BULK_ENABLED="Y")*((BULK_TIER="ALL")+(BULK_TIER=$F136))*((BULK_SKU="ALL")+(BULK_SKU=$G136))*(BULK_START&lt;=6)*(BULK_END&gt;=6)))),0),ROUND((INDEX(VELOCITY_TABLE,MATCH($F136,TIER_LIST,0),3))*(IF((6-$I136+1)&lt;=0,0,IF((6-$I136+1)=1,RAMP_W1,IF((6-$I136+1)=2,RAMP_W2,IF((6-$I136+1)=3,RAMP_W3,RAMP_W4PLUS)))))*(INDEX(ACTIVE_MULT_TABLE,3,1))*(1+SUMPRODUCT(SIGN(((ACT_DOOR_SCOPE="ALL")+(ACT_DOOR_SCOPE="TIER_"&amp;$F136)+(ACT_DOOR_SCOPE=$B136)))*SIGN(((ACT_SKU_SCOPE="ALL")+(ACT_SKU_SCOPE=$G136)))*(ACT_START&lt;=6)*(ACT_END&gt;=6)*IFERROR(ACT_UPLIFT-1,0)))*(1+SUMPRODUCT(SIGN(((ACT_DOOR_SCOPE="ALL")+(ACT_DOOR_SCOPE="TIER_"&amp;$F136)+(ACT_DOOR_SCOPE=$B136)))*SIGN(((ACT_SKU_SCOPE="ALL")+(ACT_SKU_SCOPE=$G136)))*(6&gt;ACT_END)*(ACT_END&gt;0)*IFERROR(ACT_POSTLIFT,0))),0)))</f>
        <v/>
      </c>
      <c r="P136" s="10">
        <f>IF(OR($H136&lt;&gt;"Y",7&lt;$I136),0,IF(SUMPRODUCT(((BULK_ENABLED="Y")*((BULK_TIER="ALL")+(BULK_TIER=$F136))*((BULK_SKU="ALL")+(BULK_SKU=$G136))*(BULK_START&lt;=7)*(BULK_END&gt;=7)))&gt;0,IFERROR(SUMPRODUCT(((BULK_ENABLED="Y")*((BULK_TIER="ALL")+(BULK_TIER=$F136))*((BULK_SKU="ALL")+(BULK_SKU=$G136))*(BULK_START&lt;=7)*(BULK_END&gt;=7))*IFERROR(BULK_VALUE,0))/MAX(1,SUMPRODUCT(((BULK_ENABLED="Y")*((BULK_TIER="ALL")+(BULK_TIER=$F136))*((BULK_SKU="ALL")+(BULK_SKU=$G136))*(BULK_START&lt;=7)*(BULK_END&gt;=7)))),0),ROUND((INDEX(VELOCITY_TABLE,MATCH($F136,TIER_LIST,0),3))*(IF((7-$I136+1)&lt;=0,0,IF((7-$I136+1)=1,RAMP_W1,IF((7-$I136+1)=2,RAMP_W2,IF((7-$I136+1)=3,RAMP_W3,RAMP_W4PLUS)))))*(INDEX(ACTIVE_MULT_TABLE,3,1))*(1+SUMPRODUCT(SIGN(((ACT_DOOR_SCOPE="ALL")+(ACT_DOOR_SCOPE="TIER_"&amp;$F136)+(ACT_DOOR_SCOPE=$B136)))*SIGN(((ACT_SKU_SCOPE="ALL")+(ACT_SKU_SCOPE=$G136)))*(ACT_START&lt;=7)*(ACT_END&gt;=7)*IFERROR(ACT_UPLIFT-1,0)))*(1+SUMPRODUCT(SIGN(((ACT_DOOR_SCOPE="ALL")+(ACT_DOOR_SCOPE="TIER_"&amp;$F136)+(ACT_DOOR_SCOPE=$B136)))*SIGN(((ACT_SKU_SCOPE="ALL")+(ACT_SKU_SCOPE=$G136)))*(7&gt;ACT_END)*(ACT_END&gt;0)*IFERROR(ACT_POSTLIFT,0))),0)))</f>
        <v/>
      </c>
      <c r="Q136" s="10">
        <f>IF(OR($H136&lt;&gt;"Y",8&lt;$I136),0,IF(SUMPRODUCT(((BULK_ENABLED="Y")*((BULK_TIER="ALL")+(BULK_TIER=$F136))*((BULK_SKU="ALL")+(BULK_SKU=$G136))*(BULK_START&lt;=8)*(BULK_END&gt;=8)))&gt;0,IFERROR(SUMPRODUCT(((BULK_ENABLED="Y")*((BULK_TIER="ALL")+(BULK_TIER=$F136))*((BULK_SKU="ALL")+(BULK_SKU=$G136))*(BULK_START&lt;=8)*(BULK_END&gt;=8))*IFERROR(BULK_VALUE,0))/MAX(1,SUMPRODUCT(((BULK_ENABLED="Y")*((BULK_TIER="ALL")+(BULK_TIER=$F136))*((BULK_SKU="ALL")+(BULK_SKU=$G136))*(BULK_START&lt;=8)*(BULK_END&gt;=8)))),0),ROUND((INDEX(VELOCITY_TABLE,MATCH($F136,TIER_LIST,0),3))*(IF((8-$I136+1)&lt;=0,0,IF((8-$I136+1)=1,RAMP_W1,IF((8-$I136+1)=2,RAMP_W2,IF((8-$I136+1)=3,RAMP_W3,RAMP_W4PLUS)))))*(INDEX(ACTIVE_MULT_TABLE,3,1))*(1+SUMPRODUCT(SIGN(((ACT_DOOR_SCOPE="ALL")+(ACT_DOOR_SCOPE="TIER_"&amp;$F136)+(ACT_DOOR_SCOPE=$B136)))*SIGN(((ACT_SKU_SCOPE="ALL")+(ACT_SKU_SCOPE=$G136)))*(ACT_START&lt;=8)*(ACT_END&gt;=8)*IFERROR(ACT_UPLIFT-1,0)))*(1+SUMPRODUCT(SIGN(((ACT_DOOR_SCOPE="ALL")+(ACT_DOOR_SCOPE="TIER_"&amp;$F136)+(ACT_DOOR_SCOPE=$B136)))*SIGN(((ACT_SKU_SCOPE="ALL")+(ACT_SKU_SCOPE=$G136)))*(8&gt;ACT_END)*(ACT_END&gt;0)*IFERROR(ACT_POSTLIFT,0))),0)))</f>
        <v/>
      </c>
      <c r="R136" s="10">
        <f>IF(OR($H136&lt;&gt;"Y",9&lt;$I136),0,IF(SUMPRODUCT(((BULK_ENABLED="Y")*((BULK_TIER="ALL")+(BULK_TIER=$F136))*((BULK_SKU="ALL")+(BULK_SKU=$G136))*(BULK_START&lt;=9)*(BULK_END&gt;=9)))&gt;0,IFERROR(SUMPRODUCT(((BULK_ENABLED="Y")*((BULK_TIER="ALL")+(BULK_TIER=$F136))*((BULK_SKU="ALL")+(BULK_SKU=$G136))*(BULK_START&lt;=9)*(BULK_END&gt;=9))*IFERROR(BULK_VALUE,0))/MAX(1,SUMPRODUCT(((BULK_ENABLED="Y")*((BULK_TIER="ALL")+(BULK_TIER=$F136))*((BULK_SKU="ALL")+(BULK_SKU=$G136))*(BULK_START&lt;=9)*(BULK_END&gt;=9)))),0),ROUND((INDEX(VELOCITY_TABLE,MATCH($F136,TIER_LIST,0),3))*(IF((9-$I136+1)&lt;=0,0,IF((9-$I136+1)=1,RAMP_W1,IF((9-$I136+1)=2,RAMP_W2,IF((9-$I136+1)=3,RAMP_W3,RAMP_W4PLUS)))))*(INDEX(ACTIVE_MULT_TABLE,3,1))*(1+SUMPRODUCT(SIGN(((ACT_DOOR_SCOPE="ALL")+(ACT_DOOR_SCOPE="TIER_"&amp;$F136)+(ACT_DOOR_SCOPE=$B136)))*SIGN(((ACT_SKU_SCOPE="ALL")+(ACT_SKU_SCOPE=$G136)))*(ACT_START&lt;=9)*(ACT_END&gt;=9)*IFERROR(ACT_UPLIFT-1,0)))*(1+SUMPRODUCT(SIGN(((ACT_DOOR_SCOPE="ALL")+(ACT_DOOR_SCOPE="TIER_"&amp;$F136)+(ACT_DOOR_SCOPE=$B136)))*SIGN(((ACT_SKU_SCOPE="ALL")+(ACT_SKU_SCOPE=$G136)))*(9&gt;ACT_END)*(ACT_END&gt;0)*IFERROR(ACT_POSTLIFT,0))),0)))</f>
        <v/>
      </c>
      <c r="S136" s="10">
        <f>IF(OR($H136&lt;&gt;"Y",10&lt;$I136),0,IF(SUMPRODUCT(((BULK_ENABLED="Y")*((BULK_TIER="ALL")+(BULK_TIER=$F136))*((BULK_SKU="ALL")+(BULK_SKU=$G136))*(BULK_START&lt;=10)*(BULK_END&gt;=10)))&gt;0,IFERROR(SUMPRODUCT(((BULK_ENABLED="Y")*((BULK_TIER="ALL")+(BULK_TIER=$F136))*((BULK_SKU="ALL")+(BULK_SKU=$G136))*(BULK_START&lt;=10)*(BULK_END&gt;=10))*IFERROR(BULK_VALUE,0))/MAX(1,SUMPRODUCT(((BULK_ENABLED="Y")*((BULK_TIER="ALL")+(BULK_TIER=$F136))*((BULK_SKU="ALL")+(BULK_SKU=$G136))*(BULK_START&lt;=10)*(BULK_END&gt;=10)))),0),ROUND((INDEX(VELOCITY_TABLE,MATCH($F136,TIER_LIST,0),3))*(IF((10-$I136+1)&lt;=0,0,IF((10-$I136+1)=1,RAMP_W1,IF((10-$I136+1)=2,RAMP_W2,IF((10-$I136+1)=3,RAMP_W3,RAMP_W4PLUS)))))*(INDEX(ACTIVE_MULT_TABLE,3,1))*(1+SUMPRODUCT(SIGN(((ACT_DOOR_SCOPE="ALL")+(ACT_DOOR_SCOPE="TIER_"&amp;$F136)+(ACT_DOOR_SCOPE=$B136)))*SIGN(((ACT_SKU_SCOPE="ALL")+(ACT_SKU_SCOPE=$G136)))*(ACT_START&lt;=10)*(ACT_END&gt;=10)*IFERROR(ACT_UPLIFT-1,0)))*(1+SUMPRODUCT(SIGN(((ACT_DOOR_SCOPE="ALL")+(ACT_DOOR_SCOPE="TIER_"&amp;$F136)+(ACT_DOOR_SCOPE=$B136)))*SIGN(((ACT_SKU_SCOPE="ALL")+(ACT_SKU_SCOPE=$G136)))*(10&gt;ACT_END)*(ACT_END&gt;0)*IFERROR(ACT_POSTLIFT,0))),0)))</f>
        <v/>
      </c>
      <c r="T136" s="10">
        <f>IF(OR($H136&lt;&gt;"Y",11&lt;$I136),0,IF(SUMPRODUCT(((BULK_ENABLED="Y")*((BULK_TIER="ALL")+(BULK_TIER=$F136))*((BULK_SKU="ALL")+(BULK_SKU=$G136))*(BULK_START&lt;=11)*(BULK_END&gt;=11)))&gt;0,IFERROR(SUMPRODUCT(((BULK_ENABLED="Y")*((BULK_TIER="ALL")+(BULK_TIER=$F136))*((BULK_SKU="ALL")+(BULK_SKU=$G136))*(BULK_START&lt;=11)*(BULK_END&gt;=11))*IFERROR(BULK_VALUE,0))/MAX(1,SUMPRODUCT(((BULK_ENABLED="Y")*((BULK_TIER="ALL")+(BULK_TIER=$F136))*((BULK_SKU="ALL")+(BULK_SKU=$G136))*(BULK_START&lt;=11)*(BULK_END&gt;=11)))),0),ROUND((INDEX(VELOCITY_TABLE,MATCH($F136,TIER_LIST,0),3))*(IF((11-$I136+1)&lt;=0,0,IF((11-$I136+1)=1,RAMP_W1,IF((11-$I136+1)=2,RAMP_W2,IF((11-$I136+1)=3,RAMP_W3,RAMP_W4PLUS)))))*(INDEX(ACTIVE_MULT_TABLE,3,1))*(1+SUMPRODUCT(SIGN(((ACT_DOOR_SCOPE="ALL")+(ACT_DOOR_SCOPE="TIER_"&amp;$F136)+(ACT_DOOR_SCOPE=$B136)))*SIGN(((ACT_SKU_SCOPE="ALL")+(ACT_SKU_SCOPE=$G136)))*(ACT_START&lt;=11)*(ACT_END&gt;=11)*IFERROR(ACT_UPLIFT-1,0)))*(1+SUMPRODUCT(SIGN(((ACT_DOOR_SCOPE="ALL")+(ACT_DOOR_SCOPE="TIER_"&amp;$F136)+(ACT_DOOR_SCOPE=$B136)))*SIGN(((ACT_SKU_SCOPE="ALL")+(ACT_SKU_SCOPE=$G136)))*(11&gt;ACT_END)*(ACT_END&gt;0)*IFERROR(ACT_POSTLIFT,0))),0)))</f>
        <v/>
      </c>
      <c r="U136" s="10">
        <f>IF(OR($H136&lt;&gt;"Y",12&lt;$I136),0,IF(SUMPRODUCT(((BULK_ENABLED="Y")*((BULK_TIER="ALL")+(BULK_TIER=$F136))*((BULK_SKU="ALL")+(BULK_SKU=$G136))*(BULK_START&lt;=12)*(BULK_END&gt;=12)))&gt;0,IFERROR(SUMPRODUCT(((BULK_ENABLED="Y")*((BULK_TIER="ALL")+(BULK_TIER=$F136))*((BULK_SKU="ALL")+(BULK_SKU=$G136))*(BULK_START&lt;=12)*(BULK_END&gt;=12))*IFERROR(BULK_VALUE,0))/MAX(1,SUMPRODUCT(((BULK_ENABLED="Y")*((BULK_TIER="ALL")+(BULK_TIER=$F136))*((BULK_SKU="ALL")+(BULK_SKU=$G136))*(BULK_START&lt;=12)*(BULK_END&gt;=12)))),0),ROUND((INDEX(VELOCITY_TABLE,MATCH($F136,TIER_LIST,0),3))*(IF((12-$I136+1)&lt;=0,0,IF((12-$I136+1)=1,RAMP_W1,IF((12-$I136+1)=2,RAMP_W2,IF((12-$I136+1)=3,RAMP_W3,RAMP_W4PLUS)))))*(INDEX(ACTIVE_MULT_TABLE,3,1))*(1+SUMPRODUCT(SIGN(((ACT_DOOR_SCOPE="ALL")+(ACT_DOOR_SCOPE="TIER_"&amp;$F136)+(ACT_DOOR_SCOPE=$B136)))*SIGN(((ACT_SKU_SCOPE="ALL")+(ACT_SKU_SCOPE=$G136)))*(ACT_START&lt;=12)*(ACT_END&gt;=12)*IFERROR(ACT_UPLIFT-1,0)))*(1+SUMPRODUCT(SIGN(((ACT_DOOR_SCOPE="ALL")+(ACT_DOOR_SCOPE="TIER_"&amp;$F136)+(ACT_DOOR_SCOPE=$B136)))*SIGN(((ACT_SKU_SCOPE="ALL")+(ACT_SKU_SCOPE=$G136)))*(12&gt;ACT_END)*(ACT_END&gt;0)*IFERROR(ACT_POSTLIFT,0))),0)))</f>
        <v/>
      </c>
      <c r="V136" s="10">
        <f>IF(OR($H136&lt;&gt;"Y",13&lt;$I136),0,IF(SUMPRODUCT(((BULK_ENABLED="Y")*((BULK_TIER="ALL")+(BULK_TIER=$F136))*((BULK_SKU="ALL")+(BULK_SKU=$G136))*(BULK_START&lt;=13)*(BULK_END&gt;=13)))&gt;0,IFERROR(SUMPRODUCT(((BULK_ENABLED="Y")*((BULK_TIER="ALL")+(BULK_TIER=$F136))*((BULK_SKU="ALL")+(BULK_SKU=$G136))*(BULK_START&lt;=13)*(BULK_END&gt;=13))*IFERROR(BULK_VALUE,0))/MAX(1,SUMPRODUCT(((BULK_ENABLED="Y")*((BULK_TIER="ALL")+(BULK_TIER=$F136))*((BULK_SKU="ALL")+(BULK_SKU=$G136))*(BULK_START&lt;=13)*(BULK_END&gt;=13)))),0),ROUND((INDEX(VELOCITY_TABLE,MATCH($F136,TIER_LIST,0),3))*(IF((13-$I136+1)&lt;=0,0,IF((13-$I136+1)=1,RAMP_W1,IF((13-$I136+1)=2,RAMP_W2,IF((13-$I136+1)=3,RAMP_W3,RAMP_W4PLUS)))))*(INDEX(ACTIVE_MULT_TABLE,3,1))*(1+SUMPRODUCT(SIGN(((ACT_DOOR_SCOPE="ALL")+(ACT_DOOR_SCOPE="TIER_"&amp;$F136)+(ACT_DOOR_SCOPE=$B136)))*SIGN(((ACT_SKU_SCOPE="ALL")+(ACT_SKU_SCOPE=$G136)))*(ACT_START&lt;=13)*(ACT_END&gt;=13)*IFERROR(ACT_UPLIFT-1,0)))*(1+SUMPRODUCT(SIGN(((ACT_DOOR_SCOPE="ALL")+(ACT_DOOR_SCOPE="TIER_"&amp;$F136)+(ACT_DOOR_SCOPE=$B136)))*SIGN(((ACT_SKU_SCOPE="ALL")+(ACT_SKU_SCOPE=$G136)))*(13&gt;ACT_END)*(ACT_END&gt;0)*IFERROR(ACT_POSTLIFT,0))),0)))</f>
        <v/>
      </c>
    </row>
    <row r="137">
      <c r="A137" t="inlineStr">
        <is>
          <t>R0133</t>
        </is>
      </c>
      <c r="B137">
        <f>Doors!$A$49</f>
        <v/>
      </c>
      <c r="C137">
        <f>Doors!$C$49</f>
        <v/>
      </c>
      <c r="D137">
        <f>Doors!$B$49</f>
        <v/>
      </c>
      <c r="E137">
        <f>Doors!$E$49</f>
        <v/>
      </c>
      <c r="F137">
        <f>Doors!$F$49</f>
        <v/>
      </c>
      <c r="G137" t="inlineStr">
        <is>
          <t>Lime Lemon</t>
        </is>
      </c>
      <c r="H137">
        <f>Doors!$G$49</f>
        <v/>
      </c>
      <c r="I137">
        <f>Doors!$J$49</f>
        <v/>
      </c>
      <c r="J137" s="10">
        <f>IF(OR($H137&lt;&gt;"Y",1&lt;$I137),0,IF(SUMPRODUCT(((BULK_ENABLED="Y")*((BULK_TIER="ALL")+(BULK_TIER=$F137))*((BULK_SKU="ALL")+(BULK_SKU=$G137))*(BULK_START&lt;=1)*(BULK_END&gt;=1)))&gt;0,IFERROR(SUMPRODUCT(((BULK_ENABLED="Y")*((BULK_TIER="ALL")+(BULK_TIER=$F137))*((BULK_SKU="ALL")+(BULK_SKU=$G137))*(BULK_START&lt;=1)*(BULK_END&gt;=1))*IFERROR(BULK_VALUE,0))/MAX(1,SUMPRODUCT(((BULK_ENABLED="Y")*((BULK_TIER="ALL")+(BULK_TIER=$F137))*((BULK_SKU="ALL")+(BULK_SKU=$G137))*(BULK_START&lt;=1)*(BULK_END&gt;=1)))),0),ROUND((INDEX(VELOCITY_TABLE,MATCH($F137,TIER_LIST,0),1))*(IF((1-$I137+1)&lt;=0,0,IF((1-$I137+1)=1,RAMP_W1,IF((1-$I137+1)=2,RAMP_W2,IF((1-$I137+1)=3,RAMP_W3,RAMP_W4PLUS)))))*(INDEX(ACTIVE_MULT_TABLE,1,1))*(1+SUMPRODUCT(SIGN(((ACT_DOOR_SCOPE="ALL")+(ACT_DOOR_SCOPE="TIER_"&amp;$F137)+(ACT_DOOR_SCOPE=$B137)))*SIGN(((ACT_SKU_SCOPE="ALL")+(ACT_SKU_SCOPE=$G137)))*(ACT_START&lt;=1)*(ACT_END&gt;=1)*IFERROR(ACT_UPLIFT-1,0)))*(1+SUMPRODUCT(SIGN(((ACT_DOOR_SCOPE="ALL")+(ACT_DOOR_SCOPE="TIER_"&amp;$F137)+(ACT_DOOR_SCOPE=$B137)))*SIGN(((ACT_SKU_SCOPE="ALL")+(ACT_SKU_SCOPE=$G137)))*(1&gt;ACT_END)*(ACT_END&gt;0)*IFERROR(ACT_POSTLIFT,0))),0)))</f>
        <v/>
      </c>
      <c r="K137" s="10">
        <f>IF(OR($H137&lt;&gt;"Y",2&lt;$I137),0,IF(SUMPRODUCT(((BULK_ENABLED="Y")*((BULK_TIER="ALL")+(BULK_TIER=$F137))*((BULK_SKU="ALL")+(BULK_SKU=$G137))*(BULK_START&lt;=2)*(BULK_END&gt;=2)))&gt;0,IFERROR(SUMPRODUCT(((BULK_ENABLED="Y")*((BULK_TIER="ALL")+(BULK_TIER=$F137))*((BULK_SKU="ALL")+(BULK_SKU=$G137))*(BULK_START&lt;=2)*(BULK_END&gt;=2))*IFERROR(BULK_VALUE,0))/MAX(1,SUMPRODUCT(((BULK_ENABLED="Y")*((BULK_TIER="ALL")+(BULK_TIER=$F137))*((BULK_SKU="ALL")+(BULK_SKU=$G137))*(BULK_START&lt;=2)*(BULK_END&gt;=2)))),0),ROUND((INDEX(VELOCITY_TABLE,MATCH($F137,TIER_LIST,0),1))*(IF((2-$I137+1)&lt;=0,0,IF((2-$I137+1)=1,RAMP_W1,IF((2-$I137+1)=2,RAMP_W2,IF((2-$I137+1)=3,RAMP_W3,RAMP_W4PLUS)))))*(INDEX(ACTIVE_MULT_TABLE,1,1))*(1+SUMPRODUCT(SIGN(((ACT_DOOR_SCOPE="ALL")+(ACT_DOOR_SCOPE="TIER_"&amp;$F137)+(ACT_DOOR_SCOPE=$B137)))*SIGN(((ACT_SKU_SCOPE="ALL")+(ACT_SKU_SCOPE=$G137)))*(ACT_START&lt;=2)*(ACT_END&gt;=2)*IFERROR(ACT_UPLIFT-1,0)))*(1+SUMPRODUCT(SIGN(((ACT_DOOR_SCOPE="ALL")+(ACT_DOOR_SCOPE="TIER_"&amp;$F137)+(ACT_DOOR_SCOPE=$B137)))*SIGN(((ACT_SKU_SCOPE="ALL")+(ACT_SKU_SCOPE=$G137)))*(2&gt;ACT_END)*(ACT_END&gt;0)*IFERROR(ACT_POSTLIFT,0))),0)))</f>
        <v/>
      </c>
      <c r="L137" s="10">
        <f>IF(OR($H137&lt;&gt;"Y",3&lt;$I137),0,IF(SUMPRODUCT(((BULK_ENABLED="Y")*((BULK_TIER="ALL")+(BULK_TIER=$F137))*((BULK_SKU="ALL")+(BULK_SKU=$G137))*(BULK_START&lt;=3)*(BULK_END&gt;=3)))&gt;0,IFERROR(SUMPRODUCT(((BULK_ENABLED="Y")*((BULK_TIER="ALL")+(BULK_TIER=$F137))*((BULK_SKU="ALL")+(BULK_SKU=$G137))*(BULK_START&lt;=3)*(BULK_END&gt;=3))*IFERROR(BULK_VALUE,0))/MAX(1,SUMPRODUCT(((BULK_ENABLED="Y")*((BULK_TIER="ALL")+(BULK_TIER=$F137))*((BULK_SKU="ALL")+(BULK_SKU=$G137))*(BULK_START&lt;=3)*(BULK_END&gt;=3)))),0),ROUND((INDEX(VELOCITY_TABLE,MATCH($F137,TIER_LIST,0),1))*(IF((3-$I137+1)&lt;=0,0,IF((3-$I137+1)=1,RAMP_W1,IF((3-$I137+1)=2,RAMP_W2,IF((3-$I137+1)=3,RAMP_W3,RAMP_W4PLUS)))))*(INDEX(ACTIVE_MULT_TABLE,1,1))*(1+SUMPRODUCT(SIGN(((ACT_DOOR_SCOPE="ALL")+(ACT_DOOR_SCOPE="TIER_"&amp;$F137)+(ACT_DOOR_SCOPE=$B137)))*SIGN(((ACT_SKU_SCOPE="ALL")+(ACT_SKU_SCOPE=$G137)))*(ACT_START&lt;=3)*(ACT_END&gt;=3)*IFERROR(ACT_UPLIFT-1,0)))*(1+SUMPRODUCT(SIGN(((ACT_DOOR_SCOPE="ALL")+(ACT_DOOR_SCOPE="TIER_"&amp;$F137)+(ACT_DOOR_SCOPE=$B137)))*SIGN(((ACT_SKU_SCOPE="ALL")+(ACT_SKU_SCOPE=$G137)))*(3&gt;ACT_END)*(ACT_END&gt;0)*IFERROR(ACT_POSTLIFT,0))),0)))</f>
        <v/>
      </c>
      <c r="M137" s="10">
        <f>IF(OR($H137&lt;&gt;"Y",4&lt;$I137),0,IF(SUMPRODUCT(((BULK_ENABLED="Y")*((BULK_TIER="ALL")+(BULK_TIER=$F137))*((BULK_SKU="ALL")+(BULK_SKU=$G137))*(BULK_START&lt;=4)*(BULK_END&gt;=4)))&gt;0,IFERROR(SUMPRODUCT(((BULK_ENABLED="Y")*((BULK_TIER="ALL")+(BULK_TIER=$F137))*((BULK_SKU="ALL")+(BULK_SKU=$G137))*(BULK_START&lt;=4)*(BULK_END&gt;=4))*IFERROR(BULK_VALUE,0))/MAX(1,SUMPRODUCT(((BULK_ENABLED="Y")*((BULK_TIER="ALL")+(BULK_TIER=$F137))*((BULK_SKU="ALL")+(BULK_SKU=$G137))*(BULK_START&lt;=4)*(BULK_END&gt;=4)))),0),ROUND((INDEX(VELOCITY_TABLE,MATCH($F137,TIER_LIST,0),1))*(IF((4-$I137+1)&lt;=0,0,IF((4-$I137+1)=1,RAMP_W1,IF((4-$I137+1)=2,RAMP_W2,IF((4-$I137+1)=3,RAMP_W3,RAMP_W4PLUS)))))*(INDEX(ACTIVE_MULT_TABLE,1,1))*(1+SUMPRODUCT(SIGN(((ACT_DOOR_SCOPE="ALL")+(ACT_DOOR_SCOPE="TIER_"&amp;$F137)+(ACT_DOOR_SCOPE=$B137)))*SIGN(((ACT_SKU_SCOPE="ALL")+(ACT_SKU_SCOPE=$G137)))*(ACT_START&lt;=4)*(ACT_END&gt;=4)*IFERROR(ACT_UPLIFT-1,0)))*(1+SUMPRODUCT(SIGN(((ACT_DOOR_SCOPE="ALL")+(ACT_DOOR_SCOPE="TIER_"&amp;$F137)+(ACT_DOOR_SCOPE=$B137)))*SIGN(((ACT_SKU_SCOPE="ALL")+(ACT_SKU_SCOPE=$G137)))*(4&gt;ACT_END)*(ACT_END&gt;0)*IFERROR(ACT_POSTLIFT,0))),0)))</f>
        <v/>
      </c>
      <c r="N137" s="10">
        <f>IF(OR($H137&lt;&gt;"Y",5&lt;$I137),0,IF(SUMPRODUCT(((BULK_ENABLED="Y")*((BULK_TIER="ALL")+(BULK_TIER=$F137))*((BULK_SKU="ALL")+(BULK_SKU=$G137))*(BULK_START&lt;=5)*(BULK_END&gt;=5)))&gt;0,IFERROR(SUMPRODUCT(((BULK_ENABLED="Y")*((BULK_TIER="ALL")+(BULK_TIER=$F137))*((BULK_SKU="ALL")+(BULK_SKU=$G137))*(BULK_START&lt;=5)*(BULK_END&gt;=5))*IFERROR(BULK_VALUE,0))/MAX(1,SUMPRODUCT(((BULK_ENABLED="Y")*((BULK_TIER="ALL")+(BULK_TIER=$F137))*((BULK_SKU="ALL")+(BULK_SKU=$G137))*(BULK_START&lt;=5)*(BULK_END&gt;=5)))),0),ROUND((INDEX(VELOCITY_TABLE,MATCH($F137,TIER_LIST,0),1))*(IF((5-$I137+1)&lt;=0,0,IF((5-$I137+1)=1,RAMP_W1,IF((5-$I137+1)=2,RAMP_W2,IF((5-$I137+1)=3,RAMP_W3,RAMP_W4PLUS)))))*(INDEX(ACTIVE_MULT_TABLE,1,1))*(1+SUMPRODUCT(SIGN(((ACT_DOOR_SCOPE="ALL")+(ACT_DOOR_SCOPE="TIER_"&amp;$F137)+(ACT_DOOR_SCOPE=$B137)))*SIGN(((ACT_SKU_SCOPE="ALL")+(ACT_SKU_SCOPE=$G137)))*(ACT_START&lt;=5)*(ACT_END&gt;=5)*IFERROR(ACT_UPLIFT-1,0)))*(1+SUMPRODUCT(SIGN(((ACT_DOOR_SCOPE="ALL")+(ACT_DOOR_SCOPE="TIER_"&amp;$F137)+(ACT_DOOR_SCOPE=$B137)))*SIGN(((ACT_SKU_SCOPE="ALL")+(ACT_SKU_SCOPE=$G137)))*(5&gt;ACT_END)*(ACT_END&gt;0)*IFERROR(ACT_POSTLIFT,0))),0)))</f>
        <v/>
      </c>
      <c r="O137" s="10">
        <f>IF(OR($H137&lt;&gt;"Y",6&lt;$I137),0,IF(SUMPRODUCT(((BULK_ENABLED="Y")*((BULK_TIER="ALL")+(BULK_TIER=$F137))*((BULK_SKU="ALL")+(BULK_SKU=$G137))*(BULK_START&lt;=6)*(BULK_END&gt;=6)))&gt;0,IFERROR(SUMPRODUCT(((BULK_ENABLED="Y")*((BULK_TIER="ALL")+(BULK_TIER=$F137))*((BULK_SKU="ALL")+(BULK_SKU=$G137))*(BULK_START&lt;=6)*(BULK_END&gt;=6))*IFERROR(BULK_VALUE,0))/MAX(1,SUMPRODUCT(((BULK_ENABLED="Y")*((BULK_TIER="ALL")+(BULK_TIER=$F137))*((BULK_SKU="ALL")+(BULK_SKU=$G137))*(BULK_START&lt;=6)*(BULK_END&gt;=6)))),0),ROUND((INDEX(VELOCITY_TABLE,MATCH($F137,TIER_LIST,0),1))*(IF((6-$I137+1)&lt;=0,0,IF((6-$I137+1)=1,RAMP_W1,IF((6-$I137+1)=2,RAMP_W2,IF((6-$I137+1)=3,RAMP_W3,RAMP_W4PLUS)))))*(INDEX(ACTIVE_MULT_TABLE,1,1))*(1+SUMPRODUCT(SIGN(((ACT_DOOR_SCOPE="ALL")+(ACT_DOOR_SCOPE="TIER_"&amp;$F137)+(ACT_DOOR_SCOPE=$B137)))*SIGN(((ACT_SKU_SCOPE="ALL")+(ACT_SKU_SCOPE=$G137)))*(ACT_START&lt;=6)*(ACT_END&gt;=6)*IFERROR(ACT_UPLIFT-1,0)))*(1+SUMPRODUCT(SIGN(((ACT_DOOR_SCOPE="ALL")+(ACT_DOOR_SCOPE="TIER_"&amp;$F137)+(ACT_DOOR_SCOPE=$B137)))*SIGN(((ACT_SKU_SCOPE="ALL")+(ACT_SKU_SCOPE=$G137)))*(6&gt;ACT_END)*(ACT_END&gt;0)*IFERROR(ACT_POSTLIFT,0))),0)))</f>
        <v/>
      </c>
      <c r="P137" s="10">
        <f>IF(OR($H137&lt;&gt;"Y",7&lt;$I137),0,IF(SUMPRODUCT(((BULK_ENABLED="Y")*((BULK_TIER="ALL")+(BULK_TIER=$F137))*((BULK_SKU="ALL")+(BULK_SKU=$G137))*(BULK_START&lt;=7)*(BULK_END&gt;=7)))&gt;0,IFERROR(SUMPRODUCT(((BULK_ENABLED="Y")*((BULK_TIER="ALL")+(BULK_TIER=$F137))*((BULK_SKU="ALL")+(BULK_SKU=$G137))*(BULK_START&lt;=7)*(BULK_END&gt;=7))*IFERROR(BULK_VALUE,0))/MAX(1,SUMPRODUCT(((BULK_ENABLED="Y")*((BULK_TIER="ALL")+(BULK_TIER=$F137))*((BULK_SKU="ALL")+(BULK_SKU=$G137))*(BULK_START&lt;=7)*(BULK_END&gt;=7)))),0),ROUND((INDEX(VELOCITY_TABLE,MATCH($F137,TIER_LIST,0),1))*(IF((7-$I137+1)&lt;=0,0,IF((7-$I137+1)=1,RAMP_W1,IF((7-$I137+1)=2,RAMP_W2,IF((7-$I137+1)=3,RAMP_W3,RAMP_W4PLUS)))))*(INDEX(ACTIVE_MULT_TABLE,1,1))*(1+SUMPRODUCT(SIGN(((ACT_DOOR_SCOPE="ALL")+(ACT_DOOR_SCOPE="TIER_"&amp;$F137)+(ACT_DOOR_SCOPE=$B137)))*SIGN(((ACT_SKU_SCOPE="ALL")+(ACT_SKU_SCOPE=$G137)))*(ACT_START&lt;=7)*(ACT_END&gt;=7)*IFERROR(ACT_UPLIFT-1,0)))*(1+SUMPRODUCT(SIGN(((ACT_DOOR_SCOPE="ALL")+(ACT_DOOR_SCOPE="TIER_"&amp;$F137)+(ACT_DOOR_SCOPE=$B137)))*SIGN(((ACT_SKU_SCOPE="ALL")+(ACT_SKU_SCOPE=$G137)))*(7&gt;ACT_END)*(ACT_END&gt;0)*IFERROR(ACT_POSTLIFT,0))),0)))</f>
        <v/>
      </c>
      <c r="Q137" s="10">
        <f>IF(OR($H137&lt;&gt;"Y",8&lt;$I137),0,IF(SUMPRODUCT(((BULK_ENABLED="Y")*((BULK_TIER="ALL")+(BULK_TIER=$F137))*((BULK_SKU="ALL")+(BULK_SKU=$G137))*(BULK_START&lt;=8)*(BULK_END&gt;=8)))&gt;0,IFERROR(SUMPRODUCT(((BULK_ENABLED="Y")*((BULK_TIER="ALL")+(BULK_TIER=$F137))*((BULK_SKU="ALL")+(BULK_SKU=$G137))*(BULK_START&lt;=8)*(BULK_END&gt;=8))*IFERROR(BULK_VALUE,0))/MAX(1,SUMPRODUCT(((BULK_ENABLED="Y")*((BULK_TIER="ALL")+(BULK_TIER=$F137))*((BULK_SKU="ALL")+(BULK_SKU=$G137))*(BULK_START&lt;=8)*(BULK_END&gt;=8)))),0),ROUND((INDEX(VELOCITY_TABLE,MATCH($F137,TIER_LIST,0),1))*(IF((8-$I137+1)&lt;=0,0,IF((8-$I137+1)=1,RAMP_W1,IF((8-$I137+1)=2,RAMP_W2,IF((8-$I137+1)=3,RAMP_W3,RAMP_W4PLUS)))))*(INDEX(ACTIVE_MULT_TABLE,1,1))*(1+SUMPRODUCT(SIGN(((ACT_DOOR_SCOPE="ALL")+(ACT_DOOR_SCOPE="TIER_"&amp;$F137)+(ACT_DOOR_SCOPE=$B137)))*SIGN(((ACT_SKU_SCOPE="ALL")+(ACT_SKU_SCOPE=$G137)))*(ACT_START&lt;=8)*(ACT_END&gt;=8)*IFERROR(ACT_UPLIFT-1,0)))*(1+SUMPRODUCT(SIGN(((ACT_DOOR_SCOPE="ALL")+(ACT_DOOR_SCOPE="TIER_"&amp;$F137)+(ACT_DOOR_SCOPE=$B137)))*SIGN(((ACT_SKU_SCOPE="ALL")+(ACT_SKU_SCOPE=$G137)))*(8&gt;ACT_END)*(ACT_END&gt;0)*IFERROR(ACT_POSTLIFT,0))),0)))</f>
        <v/>
      </c>
      <c r="R137" s="10">
        <f>IF(OR($H137&lt;&gt;"Y",9&lt;$I137),0,IF(SUMPRODUCT(((BULK_ENABLED="Y")*((BULK_TIER="ALL")+(BULK_TIER=$F137))*((BULK_SKU="ALL")+(BULK_SKU=$G137))*(BULK_START&lt;=9)*(BULK_END&gt;=9)))&gt;0,IFERROR(SUMPRODUCT(((BULK_ENABLED="Y")*((BULK_TIER="ALL")+(BULK_TIER=$F137))*((BULK_SKU="ALL")+(BULK_SKU=$G137))*(BULK_START&lt;=9)*(BULK_END&gt;=9))*IFERROR(BULK_VALUE,0))/MAX(1,SUMPRODUCT(((BULK_ENABLED="Y")*((BULK_TIER="ALL")+(BULK_TIER=$F137))*((BULK_SKU="ALL")+(BULK_SKU=$G137))*(BULK_START&lt;=9)*(BULK_END&gt;=9)))),0),ROUND((INDEX(VELOCITY_TABLE,MATCH($F137,TIER_LIST,0),1))*(IF((9-$I137+1)&lt;=0,0,IF((9-$I137+1)=1,RAMP_W1,IF((9-$I137+1)=2,RAMP_W2,IF((9-$I137+1)=3,RAMP_W3,RAMP_W4PLUS)))))*(INDEX(ACTIVE_MULT_TABLE,1,1))*(1+SUMPRODUCT(SIGN(((ACT_DOOR_SCOPE="ALL")+(ACT_DOOR_SCOPE="TIER_"&amp;$F137)+(ACT_DOOR_SCOPE=$B137)))*SIGN(((ACT_SKU_SCOPE="ALL")+(ACT_SKU_SCOPE=$G137)))*(ACT_START&lt;=9)*(ACT_END&gt;=9)*IFERROR(ACT_UPLIFT-1,0)))*(1+SUMPRODUCT(SIGN(((ACT_DOOR_SCOPE="ALL")+(ACT_DOOR_SCOPE="TIER_"&amp;$F137)+(ACT_DOOR_SCOPE=$B137)))*SIGN(((ACT_SKU_SCOPE="ALL")+(ACT_SKU_SCOPE=$G137)))*(9&gt;ACT_END)*(ACT_END&gt;0)*IFERROR(ACT_POSTLIFT,0))),0)))</f>
        <v/>
      </c>
      <c r="S137" s="10">
        <f>IF(OR($H137&lt;&gt;"Y",10&lt;$I137),0,IF(SUMPRODUCT(((BULK_ENABLED="Y")*((BULK_TIER="ALL")+(BULK_TIER=$F137))*((BULK_SKU="ALL")+(BULK_SKU=$G137))*(BULK_START&lt;=10)*(BULK_END&gt;=10)))&gt;0,IFERROR(SUMPRODUCT(((BULK_ENABLED="Y")*((BULK_TIER="ALL")+(BULK_TIER=$F137))*((BULK_SKU="ALL")+(BULK_SKU=$G137))*(BULK_START&lt;=10)*(BULK_END&gt;=10))*IFERROR(BULK_VALUE,0))/MAX(1,SUMPRODUCT(((BULK_ENABLED="Y")*((BULK_TIER="ALL")+(BULK_TIER=$F137))*((BULK_SKU="ALL")+(BULK_SKU=$G137))*(BULK_START&lt;=10)*(BULK_END&gt;=10)))),0),ROUND((INDEX(VELOCITY_TABLE,MATCH($F137,TIER_LIST,0),1))*(IF((10-$I137+1)&lt;=0,0,IF((10-$I137+1)=1,RAMP_W1,IF((10-$I137+1)=2,RAMP_W2,IF((10-$I137+1)=3,RAMP_W3,RAMP_W4PLUS)))))*(INDEX(ACTIVE_MULT_TABLE,1,1))*(1+SUMPRODUCT(SIGN(((ACT_DOOR_SCOPE="ALL")+(ACT_DOOR_SCOPE="TIER_"&amp;$F137)+(ACT_DOOR_SCOPE=$B137)))*SIGN(((ACT_SKU_SCOPE="ALL")+(ACT_SKU_SCOPE=$G137)))*(ACT_START&lt;=10)*(ACT_END&gt;=10)*IFERROR(ACT_UPLIFT-1,0)))*(1+SUMPRODUCT(SIGN(((ACT_DOOR_SCOPE="ALL")+(ACT_DOOR_SCOPE="TIER_"&amp;$F137)+(ACT_DOOR_SCOPE=$B137)))*SIGN(((ACT_SKU_SCOPE="ALL")+(ACT_SKU_SCOPE=$G137)))*(10&gt;ACT_END)*(ACT_END&gt;0)*IFERROR(ACT_POSTLIFT,0))),0)))</f>
        <v/>
      </c>
      <c r="T137" s="10">
        <f>IF(OR($H137&lt;&gt;"Y",11&lt;$I137),0,IF(SUMPRODUCT(((BULK_ENABLED="Y")*((BULK_TIER="ALL")+(BULK_TIER=$F137))*((BULK_SKU="ALL")+(BULK_SKU=$G137))*(BULK_START&lt;=11)*(BULK_END&gt;=11)))&gt;0,IFERROR(SUMPRODUCT(((BULK_ENABLED="Y")*((BULK_TIER="ALL")+(BULK_TIER=$F137))*((BULK_SKU="ALL")+(BULK_SKU=$G137))*(BULK_START&lt;=11)*(BULK_END&gt;=11))*IFERROR(BULK_VALUE,0))/MAX(1,SUMPRODUCT(((BULK_ENABLED="Y")*((BULK_TIER="ALL")+(BULK_TIER=$F137))*((BULK_SKU="ALL")+(BULK_SKU=$G137))*(BULK_START&lt;=11)*(BULK_END&gt;=11)))),0),ROUND((INDEX(VELOCITY_TABLE,MATCH($F137,TIER_LIST,0),1))*(IF((11-$I137+1)&lt;=0,0,IF((11-$I137+1)=1,RAMP_W1,IF((11-$I137+1)=2,RAMP_W2,IF((11-$I137+1)=3,RAMP_W3,RAMP_W4PLUS)))))*(INDEX(ACTIVE_MULT_TABLE,1,1))*(1+SUMPRODUCT(SIGN(((ACT_DOOR_SCOPE="ALL")+(ACT_DOOR_SCOPE="TIER_"&amp;$F137)+(ACT_DOOR_SCOPE=$B137)))*SIGN(((ACT_SKU_SCOPE="ALL")+(ACT_SKU_SCOPE=$G137)))*(ACT_START&lt;=11)*(ACT_END&gt;=11)*IFERROR(ACT_UPLIFT-1,0)))*(1+SUMPRODUCT(SIGN(((ACT_DOOR_SCOPE="ALL")+(ACT_DOOR_SCOPE="TIER_"&amp;$F137)+(ACT_DOOR_SCOPE=$B137)))*SIGN(((ACT_SKU_SCOPE="ALL")+(ACT_SKU_SCOPE=$G137)))*(11&gt;ACT_END)*(ACT_END&gt;0)*IFERROR(ACT_POSTLIFT,0))),0)))</f>
        <v/>
      </c>
      <c r="U137" s="10">
        <f>IF(OR($H137&lt;&gt;"Y",12&lt;$I137),0,IF(SUMPRODUCT(((BULK_ENABLED="Y")*((BULK_TIER="ALL")+(BULK_TIER=$F137))*((BULK_SKU="ALL")+(BULK_SKU=$G137))*(BULK_START&lt;=12)*(BULK_END&gt;=12)))&gt;0,IFERROR(SUMPRODUCT(((BULK_ENABLED="Y")*((BULK_TIER="ALL")+(BULK_TIER=$F137))*((BULK_SKU="ALL")+(BULK_SKU=$G137))*(BULK_START&lt;=12)*(BULK_END&gt;=12))*IFERROR(BULK_VALUE,0))/MAX(1,SUMPRODUCT(((BULK_ENABLED="Y")*((BULK_TIER="ALL")+(BULK_TIER=$F137))*((BULK_SKU="ALL")+(BULK_SKU=$G137))*(BULK_START&lt;=12)*(BULK_END&gt;=12)))),0),ROUND((INDEX(VELOCITY_TABLE,MATCH($F137,TIER_LIST,0),1))*(IF((12-$I137+1)&lt;=0,0,IF((12-$I137+1)=1,RAMP_W1,IF((12-$I137+1)=2,RAMP_W2,IF((12-$I137+1)=3,RAMP_W3,RAMP_W4PLUS)))))*(INDEX(ACTIVE_MULT_TABLE,1,1))*(1+SUMPRODUCT(SIGN(((ACT_DOOR_SCOPE="ALL")+(ACT_DOOR_SCOPE="TIER_"&amp;$F137)+(ACT_DOOR_SCOPE=$B137)))*SIGN(((ACT_SKU_SCOPE="ALL")+(ACT_SKU_SCOPE=$G137)))*(ACT_START&lt;=12)*(ACT_END&gt;=12)*IFERROR(ACT_UPLIFT-1,0)))*(1+SUMPRODUCT(SIGN(((ACT_DOOR_SCOPE="ALL")+(ACT_DOOR_SCOPE="TIER_"&amp;$F137)+(ACT_DOOR_SCOPE=$B137)))*SIGN(((ACT_SKU_SCOPE="ALL")+(ACT_SKU_SCOPE=$G137)))*(12&gt;ACT_END)*(ACT_END&gt;0)*IFERROR(ACT_POSTLIFT,0))),0)))</f>
        <v/>
      </c>
      <c r="V137" s="10">
        <f>IF(OR($H137&lt;&gt;"Y",13&lt;$I137),0,IF(SUMPRODUCT(((BULK_ENABLED="Y")*((BULK_TIER="ALL")+(BULK_TIER=$F137))*((BULK_SKU="ALL")+(BULK_SKU=$G137))*(BULK_START&lt;=13)*(BULK_END&gt;=13)))&gt;0,IFERROR(SUMPRODUCT(((BULK_ENABLED="Y")*((BULK_TIER="ALL")+(BULK_TIER=$F137))*((BULK_SKU="ALL")+(BULK_SKU=$G137))*(BULK_START&lt;=13)*(BULK_END&gt;=13))*IFERROR(BULK_VALUE,0))/MAX(1,SUMPRODUCT(((BULK_ENABLED="Y")*((BULK_TIER="ALL")+(BULK_TIER=$F137))*((BULK_SKU="ALL")+(BULK_SKU=$G137))*(BULK_START&lt;=13)*(BULK_END&gt;=13)))),0),ROUND((INDEX(VELOCITY_TABLE,MATCH($F137,TIER_LIST,0),1))*(IF((13-$I137+1)&lt;=0,0,IF((13-$I137+1)=1,RAMP_W1,IF((13-$I137+1)=2,RAMP_W2,IF((13-$I137+1)=3,RAMP_W3,RAMP_W4PLUS)))))*(INDEX(ACTIVE_MULT_TABLE,1,1))*(1+SUMPRODUCT(SIGN(((ACT_DOOR_SCOPE="ALL")+(ACT_DOOR_SCOPE="TIER_"&amp;$F137)+(ACT_DOOR_SCOPE=$B137)))*SIGN(((ACT_SKU_SCOPE="ALL")+(ACT_SKU_SCOPE=$G137)))*(ACT_START&lt;=13)*(ACT_END&gt;=13)*IFERROR(ACT_UPLIFT-1,0)))*(1+SUMPRODUCT(SIGN(((ACT_DOOR_SCOPE="ALL")+(ACT_DOOR_SCOPE="TIER_"&amp;$F137)+(ACT_DOOR_SCOPE=$B137)))*SIGN(((ACT_SKU_SCOPE="ALL")+(ACT_SKU_SCOPE=$G137)))*(13&gt;ACT_END)*(ACT_END&gt;0)*IFERROR(ACT_POSTLIFT,0))),0)))</f>
        <v/>
      </c>
    </row>
    <row r="138">
      <c r="A138" t="inlineStr">
        <is>
          <t>R0134</t>
        </is>
      </c>
      <c r="B138">
        <f>Doors!$A$49</f>
        <v/>
      </c>
      <c r="C138">
        <f>Doors!$C$49</f>
        <v/>
      </c>
      <c r="D138">
        <f>Doors!$B$49</f>
        <v/>
      </c>
      <c r="E138">
        <f>Doors!$E$49</f>
        <v/>
      </c>
      <c r="F138">
        <f>Doors!$F$49</f>
        <v/>
      </c>
      <c r="G138" t="inlineStr">
        <is>
          <t>Pineapple Passion Fruit</t>
        </is>
      </c>
      <c r="H138">
        <f>Doors!$H$49</f>
        <v/>
      </c>
      <c r="I138">
        <f>Doors!$J$49</f>
        <v/>
      </c>
      <c r="J138" s="10">
        <f>IF(OR($H138&lt;&gt;"Y",1&lt;$I138),0,IF(SUMPRODUCT(((BULK_ENABLED="Y")*((BULK_TIER="ALL")+(BULK_TIER=$F138))*((BULK_SKU="ALL")+(BULK_SKU=$G138))*(BULK_START&lt;=1)*(BULK_END&gt;=1)))&gt;0,IFERROR(SUMPRODUCT(((BULK_ENABLED="Y")*((BULK_TIER="ALL")+(BULK_TIER=$F138))*((BULK_SKU="ALL")+(BULK_SKU=$G138))*(BULK_START&lt;=1)*(BULK_END&gt;=1))*IFERROR(BULK_VALUE,0))/MAX(1,SUMPRODUCT(((BULK_ENABLED="Y")*((BULK_TIER="ALL")+(BULK_TIER=$F138))*((BULK_SKU="ALL")+(BULK_SKU=$G138))*(BULK_START&lt;=1)*(BULK_END&gt;=1)))),0),ROUND((INDEX(VELOCITY_TABLE,MATCH($F138,TIER_LIST,0),2))*(IF((1-$I138+1)&lt;=0,0,IF((1-$I138+1)=1,RAMP_W1,IF((1-$I138+1)=2,RAMP_W2,IF((1-$I138+1)=3,RAMP_W3,RAMP_W4PLUS)))))*(INDEX(ACTIVE_MULT_TABLE,2,1))*(1+SUMPRODUCT(SIGN(((ACT_DOOR_SCOPE="ALL")+(ACT_DOOR_SCOPE="TIER_"&amp;$F138)+(ACT_DOOR_SCOPE=$B138)))*SIGN(((ACT_SKU_SCOPE="ALL")+(ACT_SKU_SCOPE=$G138)))*(ACT_START&lt;=1)*(ACT_END&gt;=1)*IFERROR(ACT_UPLIFT-1,0)))*(1+SUMPRODUCT(SIGN(((ACT_DOOR_SCOPE="ALL")+(ACT_DOOR_SCOPE="TIER_"&amp;$F138)+(ACT_DOOR_SCOPE=$B138)))*SIGN(((ACT_SKU_SCOPE="ALL")+(ACT_SKU_SCOPE=$G138)))*(1&gt;ACT_END)*(ACT_END&gt;0)*IFERROR(ACT_POSTLIFT,0))),0)))</f>
        <v/>
      </c>
      <c r="K138" s="10">
        <f>IF(OR($H138&lt;&gt;"Y",2&lt;$I138),0,IF(SUMPRODUCT(((BULK_ENABLED="Y")*((BULK_TIER="ALL")+(BULK_TIER=$F138))*((BULK_SKU="ALL")+(BULK_SKU=$G138))*(BULK_START&lt;=2)*(BULK_END&gt;=2)))&gt;0,IFERROR(SUMPRODUCT(((BULK_ENABLED="Y")*((BULK_TIER="ALL")+(BULK_TIER=$F138))*((BULK_SKU="ALL")+(BULK_SKU=$G138))*(BULK_START&lt;=2)*(BULK_END&gt;=2))*IFERROR(BULK_VALUE,0))/MAX(1,SUMPRODUCT(((BULK_ENABLED="Y")*((BULK_TIER="ALL")+(BULK_TIER=$F138))*((BULK_SKU="ALL")+(BULK_SKU=$G138))*(BULK_START&lt;=2)*(BULK_END&gt;=2)))),0),ROUND((INDEX(VELOCITY_TABLE,MATCH($F138,TIER_LIST,0),2))*(IF((2-$I138+1)&lt;=0,0,IF((2-$I138+1)=1,RAMP_W1,IF((2-$I138+1)=2,RAMP_W2,IF((2-$I138+1)=3,RAMP_W3,RAMP_W4PLUS)))))*(INDEX(ACTIVE_MULT_TABLE,2,1))*(1+SUMPRODUCT(SIGN(((ACT_DOOR_SCOPE="ALL")+(ACT_DOOR_SCOPE="TIER_"&amp;$F138)+(ACT_DOOR_SCOPE=$B138)))*SIGN(((ACT_SKU_SCOPE="ALL")+(ACT_SKU_SCOPE=$G138)))*(ACT_START&lt;=2)*(ACT_END&gt;=2)*IFERROR(ACT_UPLIFT-1,0)))*(1+SUMPRODUCT(SIGN(((ACT_DOOR_SCOPE="ALL")+(ACT_DOOR_SCOPE="TIER_"&amp;$F138)+(ACT_DOOR_SCOPE=$B138)))*SIGN(((ACT_SKU_SCOPE="ALL")+(ACT_SKU_SCOPE=$G138)))*(2&gt;ACT_END)*(ACT_END&gt;0)*IFERROR(ACT_POSTLIFT,0))),0)))</f>
        <v/>
      </c>
      <c r="L138" s="10">
        <f>IF(OR($H138&lt;&gt;"Y",3&lt;$I138),0,IF(SUMPRODUCT(((BULK_ENABLED="Y")*((BULK_TIER="ALL")+(BULK_TIER=$F138))*((BULK_SKU="ALL")+(BULK_SKU=$G138))*(BULK_START&lt;=3)*(BULK_END&gt;=3)))&gt;0,IFERROR(SUMPRODUCT(((BULK_ENABLED="Y")*((BULK_TIER="ALL")+(BULK_TIER=$F138))*((BULK_SKU="ALL")+(BULK_SKU=$G138))*(BULK_START&lt;=3)*(BULK_END&gt;=3))*IFERROR(BULK_VALUE,0))/MAX(1,SUMPRODUCT(((BULK_ENABLED="Y")*((BULK_TIER="ALL")+(BULK_TIER=$F138))*((BULK_SKU="ALL")+(BULK_SKU=$G138))*(BULK_START&lt;=3)*(BULK_END&gt;=3)))),0),ROUND((INDEX(VELOCITY_TABLE,MATCH($F138,TIER_LIST,0),2))*(IF((3-$I138+1)&lt;=0,0,IF((3-$I138+1)=1,RAMP_W1,IF((3-$I138+1)=2,RAMP_W2,IF((3-$I138+1)=3,RAMP_W3,RAMP_W4PLUS)))))*(INDEX(ACTIVE_MULT_TABLE,2,1))*(1+SUMPRODUCT(SIGN(((ACT_DOOR_SCOPE="ALL")+(ACT_DOOR_SCOPE="TIER_"&amp;$F138)+(ACT_DOOR_SCOPE=$B138)))*SIGN(((ACT_SKU_SCOPE="ALL")+(ACT_SKU_SCOPE=$G138)))*(ACT_START&lt;=3)*(ACT_END&gt;=3)*IFERROR(ACT_UPLIFT-1,0)))*(1+SUMPRODUCT(SIGN(((ACT_DOOR_SCOPE="ALL")+(ACT_DOOR_SCOPE="TIER_"&amp;$F138)+(ACT_DOOR_SCOPE=$B138)))*SIGN(((ACT_SKU_SCOPE="ALL")+(ACT_SKU_SCOPE=$G138)))*(3&gt;ACT_END)*(ACT_END&gt;0)*IFERROR(ACT_POSTLIFT,0))),0)))</f>
        <v/>
      </c>
      <c r="M138" s="10">
        <f>IF(OR($H138&lt;&gt;"Y",4&lt;$I138),0,IF(SUMPRODUCT(((BULK_ENABLED="Y")*((BULK_TIER="ALL")+(BULK_TIER=$F138))*((BULK_SKU="ALL")+(BULK_SKU=$G138))*(BULK_START&lt;=4)*(BULK_END&gt;=4)))&gt;0,IFERROR(SUMPRODUCT(((BULK_ENABLED="Y")*((BULK_TIER="ALL")+(BULK_TIER=$F138))*((BULK_SKU="ALL")+(BULK_SKU=$G138))*(BULK_START&lt;=4)*(BULK_END&gt;=4))*IFERROR(BULK_VALUE,0))/MAX(1,SUMPRODUCT(((BULK_ENABLED="Y")*((BULK_TIER="ALL")+(BULK_TIER=$F138))*((BULK_SKU="ALL")+(BULK_SKU=$G138))*(BULK_START&lt;=4)*(BULK_END&gt;=4)))),0),ROUND((INDEX(VELOCITY_TABLE,MATCH($F138,TIER_LIST,0),2))*(IF((4-$I138+1)&lt;=0,0,IF((4-$I138+1)=1,RAMP_W1,IF((4-$I138+1)=2,RAMP_W2,IF((4-$I138+1)=3,RAMP_W3,RAMP_W4PLUS)))))*(INDEX(ACTIVE_MULT_TABLE,2,1))*(1+SUMPRODUCT(SIGN(((ACT_DOOR_SCOPE="ALL")+(ACT_DOOR_SCOPE="TIER_"&amp;$F138)+(ACT_DOOR_SCOPE=$B138)))*SIGN(((ACT_SKU_SCOPE="ALL")+(ACT_SKU_SCOPE=$G138)))*(ACT_START&lt;=4)*(ACT_END&gt;=4)*IFERROR(ACT_UPLIFT-1,0)))*(1+SUMPRODUCT(SIGN(((ACT_DOOR_SCOPE="ALL")+(ACT_DOOR_SCOPE="TIER_"&amp;$F138)+(ACT_DOOR_SCOPE=$B138)))*SIGN(((ACT_SKU_SCOPE="ALL")+(ACT_SKU_SCOPE=$G138)))*(4&gt;ACT_END)*(ACT_END&gt;0)*IFERROR(ACT_POSTLIFT,0))),0)))</f>
        <v/>
      </c>
      <c r="N138" s="10">
        <f>IF(OR($H138&lt;&gt;"Y",5&lt;$I138),0,IF(SUMPRODUCT(((BULK_ENABLED="Y")*((BULK_TIER="ALL")+(BULK_TIER=$F138))*((BULK_SKU="ALL")+(BULK_SKU=$G138))*(BULK_START&lt;=5)*(BULK_END&gt;=5)))&gt;0,IFERROR(SUMPRODUCT(((BULK_ENABLED="Y")*((BULK_TIER="ALL")+(BULK_TIER=$F138))*((BULK_SKU="ALL")+(BULK_SKU=$G138))*(BULK_START&lt;=5)*(BULK_END&gt;=5))*IFERROR(BULK_VALUE,0))/MAX(1,SUMPRODUCT(((BULK_ENABLED="Y")*((BULK_TIER="ALL")+(BULK_TIER=$F138))*((BULK_SKU="ALL")+(BULK_SKU=$G138))*(BULK_START&lt;=5)*(BULK_END&gt;=5)))),0),ROUND((INDEX(VELOCITY_TABLE,MATCH($F138,TIER_LIST,0),2))*(IF((5-$I138+1)&lt;=0,0,IF((5-$I138+1)=1,RAMP_W1,IF((5-$I138+1)=2,RAMP_W2,IF((5-$I138+1)=3,RAMP_W3,RAMP_W4PLUS)))))*(INDEX(ACTIVE_MULT_TABLE,2,1))*(1+SUMPRODUCT(SIGN(((ACT_DOOR_SCOPE="ALL")+(ACT_DOOR_SCOPE="TIER_"&amp;$F138)+(ACT_DOOR_SCOPE=$B138)))*SIGN(((ACT_SKU_SCOPE="ALL")+(ACT_SKU_SCOPE=$G138)))*(ACT_START&lt;=5)*(ACT_END&gt;=5)*IFERROR(ACT_UPLIFT-1,0)))*(1+SUMPRODUCT(SIGN(((ACT_DOOR_SCOPE="ALL")+(ACT_DOOR_SCOPE="TIER_"&amp;$F138)+(ACT_DOOR_SCOPE=$B138)))*SIGN(((ACT_SKU_SCOPE="ALL")+(ACT_SKU_SCOPE=$G138)))*(5&gt;ACT_END)*(ACT_END&gt;0)*IFERROR(ACT_POSTLIFT,0))),0)))</f>
        <v/>
      </c>
      <c r="O138" s="10">
        <f>IF(OR($H138&lt;&gt;"Y",6&lt;$I138),0,IF(SUMPRODUCT(((BULK_ENABLED="Y")*((BULK_TIER="ALL")+(BULK_TIER=$F138))*((BULK_SKU="ALL")+(BULK_SKU=$G138))*(BULK_START&lt;=6)*(BULK_END&gt;=6)))&gt;0,IFERROR(SUMPRODUCT(((BULK_ENABLED="Y")*((BULK_TIER="ALL")+(BULK_TIER=$F138))*((BULK_SKU="ALL")+(BULK_SKU=$G138))*(BULK_START&lt;=6)*(BULK_END&gt;=6))*IFERROR(BULK_VALUE,0))/MAX(1,SUMPRODUCT(((BULK_ENABLED="Y")*((BULK_TIER="ALL")+(BULK_TIER=$F138))*((BULK_SKU="ALL")+(BULK_SKU=$G138))*(BULK_START&lt;=6)*(BULK_END&gt;=6)))),0),ROUND((INDEX(VELOCITY_TABLE,MATCH($F138,TIER_LIST,0),2))*(IF((6-$I138+1)&lt;=0,0,IF((6-$I138+1)=1,RAMP_W1,IF((6-$I138+1)=2,RAMP_W2,IF((6-$I138+1)=3,RAMP_W3,RAMP_W4PLUS)))))*(INDEX(ACTIVE_MULT_TABLE,2,1))*(1+SUMPRODUCT(SIGN(((ACT_DOOR_SCOPE="ALL")+(ACT_DOOR_SCOPE="TIER_"&amp;$F138)+(ACT_DOOR_SCOPE=$B138)))*SIGN(((ACT_SKU_SCOPE="ALL")+(ACT_SKU_SCOPE=$G138)))*(ACT_START&lt;=6)*(ACT_END&gt;=6)*IFERROR(ACT_UPLIFT-1,0)))*(1+SUMPRODUCT(SIGN(((ACT_DOOR_SCOPE="ALL")+(ACT_DOOR_SCOPE="TIER_"&amp;$F138)+(ACT_DOOR_SCOPE=$B138)))*SIGN(((ACT_SKU_SCOPE="ALL")+(ACT_SKU_SCOPE=$G138)))*(6&gt;ACT_END)*(ACT_END&gt;0)*IFERROR(ACT_POSTLIFT,0))),0)))</f>
        <v/>
      </c>
      <c r="P138" s="10">
        <f>IF(OR($H138&lt;&gt;"Y",7&lt;$I138),0,IF(SUMPRODUCT(((BULK_ENABLED="Y")*((BULK_TIER="ALL")+(BULK_TIER=$F138))*((BULK_SKU="ALL")+(BULK_SKU=$G138))*(BULK_START&lt;=7)*(BULK_END&gt;=7)))&gt;0,IFERROR(SUMPRODUCT(((BULK_ENABLED="Y")*((BULK_TIER="ALL")+(BULK_TIER=$F138))*((BULK_SKU="ALL")+(BULK_SKU=$G138))*(BULK_START&lt;=7)*(BULK_END&gt;=7))*IFERROR(BULK_VALUE,0))/MAX(1,SUMPRODUCT(((BULK_ENABLED="Y")*((BULK_TIER="ALL")+(BULK_TIER=$F138))*((BULK_SKU="ALL")+(BULK_SKU=$G138))*(BULK_START&lt;=7)*(BULK_END&gt;=7)))),0),ROUND((INDEX(VELOCITY_TABLE,MATCH($F138,TIER_LIST,0),2))*(IF((7-$I138+1)&lt;=0,0,IF((7-$I138+1)=1,RAMP_W1,IF((7-$I138+1)=2,RAMP_W2,IF((7-$I138+1)=3,RAMP_W3,RAMP_W4PLUS)))))*(INDEX(ACTIVE_MULT_TABLE,2,1))*(1+SUMPRODUCT(SIGN(((ACT_DOOR_SCOPE="ALL")+(ACT_DOOR_SCOPE="TIER_"&amp;$F138)+(ACT_DOOR_SCOPE=$B138)))*SIGN(((ACT_SKU_SCOPE="ALL")+(ACT_SKU_SCOPE=$G138)))*(ACT_START&lt;=7)*(ACT_END&gt;=7)*IFERROR(ACT_UPLIFT-1,0)))*(1+SUMPRODUCT(SIGN(((ACT_DOOR_SCOPE="ALL")+(ACT_DOOR_SCOPE="TIER_"&amp;$F138)+(ACT_DOOR_SCOPE=$B138)))*SIGN(((ACT_SKU_SCOPE="ALL")+(ACT_SKU_SCOPE=$G138)))*(7&gt;ACT_END)*(ACT_END&gt;0)*IFERROR(ACT_POSTLIFT,0))),0)))</f>
        <v/>
      </c>
      <c r="Q138" s="10">
        <f>IF(OR($H138&lt;&gt;"Y",8&lt;$I138),0,IF(SUMPRODUCT(((BULK_ENABLED="Y")*((BULK_TIER="ALL")+(BULK_TIER=$F138))*((BULK_SKU="ALL")+(BULK_SKU=$G138))*(BULK_START&lt;=8)*(BULK_END&gt;=8)))&gt;0,IFERROR(SUMPRODUCT(((BULK_ENABLED="Y")*((BULK_TIER="ALL")+(BULK_TIER=$F138))*((BULK_SKU="ALL")+(BULK_SKU=$G138))*(BULK_START&lt;=8)*(BULK_END&gt;=8))*IFERROR(BULK_VALUE,0))/MAX(1,SUMPRODUCT(((BULK_ENABLED="Y")*((BULK_TIER="ALL")+(BULK_TIER=$F138))*((BULK_SKU="ALL")+(BULK_SKU=$G138))*(BULK_START&lt;=8)*(BULK_END&gt;=8)))),0),ROUND((INDEX(VELOCITY_TABLE,MATCH($F138,TIER_LIST,0),2))*(IF((8-$I138+1)&lt;=0,0,IF((8-$I138+1)=1,RAMP_W1,IF((8-$I138+1)=2,RAMP_W2,IF((8-$I138+1)=3,RAMP_W3,RAMP_W4PLUS)))))*(INDEX(ACTIVE_MULT_TABLE,2,1))*(1+SUMPRODUCT(SIGN(((ACT_DOOR_SCOPE="ALL")+(ACT_DOOR_SCOPE="TIER_"&amp;$F138)+(ACT_DOOR_SCOPE=$B138)))*SIGN(((ACT_SKU_SCOPE="ALL")+(ACT_SKU_SCOPE=$G138)))*(ACT_START&lt;=8)*(ACT_END&gt;=8)*IFERROR(ACT_UPLIFT-1,0)))*(1+SUMPRODUCT(SIGN(((ACT_DOOR_SCOPE="ALL")+(ACT_DOOR_SCOPE="TIER_"&amp;$F138)+(ACT_DOOR_SCOPE=$B138)))*SIGN(((ACT_SKU_SCOPE="ALL")+(ACT_SKU_SCOPE=$G138)))*(8&gt;ACT_END)*(ACT_END&gt;0)*IFERROR(ACT_POSTLIFT,0))),0)))</f>
        <v/>
      </c>
      <c r="R138" s="10">
        <f>IF(OR($H138&lt;&gt;"Y",9&lt;$I138),0,IF(SUMPRODUCT(((BULK_ENABLED="Y")*((BULK_TIER="ALL")+(BULK_TIER=$F138))*((BULK_SKU="ALL")+(BULK_SKU=$G138))*(BULK_START&lt;=9)*(BULK_END&gt;=9)))&gt;0,IFERROR(SUMPRODUCT(((BULK_ENABLED="Y")*((BULK_TIER="ALL")+(BULK_TIER=$F138))*((BULK_SKU="ALL")+(BULK_SKU=$G138))*(BULK_START&lt;=9)*(BULK_END&gt;=9))*IFERROR(BULK_VALUE,0))/MAX(1,SUMPRODUCT(((BULK_ENABLED="Y")*((BULK_TIER="ALL")+(BULK_TIER=$F138))*((BULK_SKU="ALL")+(BULK_SKU=$G138))*(BULK_START&lt;=9)*(BULK_END&gt;=9)))),0),ROUND((INDEX(VELOCITY_TABLE,MATCH($F138,TIER_LIST,0),2))*(IF((9-$I138+1)&lt;=0,0,IF((9-$I138+1)=1,RAMP_W1,IF((9-$I138+1)=2,RAMP_W2,IF((9-$I138+1)=3,RAMP_W3,RAMP_W4PLUS)))))*(INDEX(ACTIVE_MULT_TABLE,2,1))*(1+SUMPRODUCT(SIGN(((ACT_DOOR_SCOPE="ALL")+(ACT_DOOR_SCOPE="TIER_"&amp;$F138)+(ACT_DOOR_SCOPE=$B138)))*SIGN(((ACT_SKU_SCOPE="ALL")+(ACT_SKU_SCOPE=$G138)))*(ACT_START&lt;=9)*(ACT_END&gt;=9)*IFERROR(ACT_UPLIFT-1,0)))*(1+SUMPRODUCT(SIGN(((ACT_DOOR_SCOPE="ALL")+(ACT_DOOR_SCOPE="TIER_"&amp;$F138)+(ACT_DOOR_SCOPE=$B138)))*SIGN(((ACT_SKU_SCOPE="ALL")+(ACT_SKU_SCOPE=$G138)))*(9&gt;ACT_END)*(ACT_END&gt;0)*IFERROR(ACT_POSTLIFT,0))),0)))</f>
        <v/>
      </c>
      <c r="S138" s="10">
        <f>IF(OR($H138&lt;&gt;"Y",10&lt;$I138),0,IF(SUMPRODUCT(((BULK_ENABLED="Y")*((BULK_TIER="ALL")+(BULK_TIER=$F138))*((BULK_SKU="ALL")+(BULK_SKU=$G138))*(BULK_START&lt;=10)*(BULK_END&gt;=10)))&gt;0,IFERROR(SUMPRODUCT(((BULK_ENABLED="Y")*((BULK_TIER="ALL")+(BULK_TIER=$F138))*((BULK_SKU="ALL")+(BULK_SKU=$G138))*(BULK_START&lt;=10)*(BULK_END&gt;=10))*IFERROR(BULK_VALUE,0))/MAX(1,SUMPRODUCT(((BULK_ENABLED="Y")*((BULK_TIER="ALL")+(BULK_TIER=$F138))*((BULK_SKU="ALL")+(BULK_SKU=$G138))*(BULK_START&lt;=10)*(BULK_END&gt;=10)))),0),ROUND((INDEX(VELOCITY_TABLE,MATCH($F138,TIER_LIST,0),2))*(IF((10-$I138+1)&lt;=0,0,IF((10-$I138+1)=1,RAMP_W1,IF((10-$I138+1)=2,RAMP_W2,IF((10-$I138+1)=3,RAMP_W3,RAMP_W4PLUS)))))*(INDEX(ACTIVE_MULT_TABLE,2,1))*(1+SUMPRODUCT(SIGN(((ACT_DOOR_SCOPE="ALL")+(ACT_DOOR_SCOPE="TIER_"&amp;$F138)+(ACT_DOOR_SCOPE=$B138)))*SIGN(((ACT_SKU_SCOPE="ALL")+(ACT_SKU_SCOPE=$G138)))*(ACT_START&lt;=10)*(ACT_END&gt;=10)*IFERROR(ACT_UPLIFT-1,0)))*(1+SUMPRODUCT(SIGN(((ACT_DOOR_SCOPE="ALL")+(ACT_DOOR_SCOPE="TIER_"&amp;$F138)+(ACT_DOOR_SCOPE=$B138)))*SIGN(((ACT_SKU_SCOPE="ALL")+(ACT_SKU_SCOPE=$G138)))*(10&gt;ACT_END)*(ACT_END&gt;0)*IFERROR(ACT_POSTLIFT,0))),0)))</f>
        <v/>
      </c>
      <c r="T138" s="10">
        <f>IF(OR($H138&lt;&gt;"Y",11&lt;$I138),0,IF(SUMPRODUCT(((BULK_ENABLED="Y")*((BULK_TIER="ALL")+(BULK_TIER=$F138))*((BULK_SKU="ALL")+(BULK_SKU=$G138))*(BULK_START&lt;=11)*(BULK_END&gt;=11)))&gt;0,IFERROR(SUMPRODUCT(((BULK_ENABLED="Y")*((BULK_TIER="ALL")+(BULK_TIER=$F138))*((BULK_SKU="ALL")+(BULK_SKU=$G138))*(BULK_START&lt;=11)*(BULK_END&gt;=11))*IFERROR(BULK_VALUE,0))/MAX(1,SUMPRODUCT(((BULK_ENABLED="Y")*((BULK_TIER="ALL")+(BULK_TIER=$F138))*((BULK_SKU="ALL")+(BULK_SKU=$G138))*(BULK_START&lt;=11)*(BULK_END&gt;=11)))),0),ROUND((INDEX(VELOCITY_TABLE,MATCH($F138,TIER_LIST,0),2))*(IF((11-$I138+1)&lt;=0,0,IF((11-$I138+1)=1,RAMP_W1,IF((11-$I138+1)=2,RAMP_W2,IF((11-$I138+1)=3,RAMP_W3,RAMP_W4PLUS)))))*(INDEX(ACTIVE_MULT_TABLE,2,1))*(1+SUMPRODUCT(SIGN(((ACT_DOOR_SCOPE="ALL")+(ACT_DOOR_SCOPE="TIER_"&amp;$F138)+(ACT_DOOR_SCOPE=$B138)))*SIGN(((ACT_SKU_SCOPE="ALL")+(ACT_SKU_SCOPE=$G138)))*(ACT_START&lt;=11)*(ACT_END&gt;=11)*IFERROR(ACT_UPLIFT-1,0)))*(1+SUMPRODUCT(SIGN(((ACT_DOOR_SCOPE="ALL")+(ACT_DOOR_SCOPE="TIER_"&amp;$F138)+(ACT_DOOR_SCOPE=$B138)))*SIGN(((ACT_SKU_SCOPE="ALL")+(ACT_SKU_SCOPE=$G138)))*(11&gt;ACT_END)*(ACT_END&gt;0)*IFERROR(ACT_POSTLIFT,0))),0)))</f>
        <v/>
      </c>
      <c r="U138" s="10">
        <f>IF(OR($H138&lt;&gt;"Y",12&lt;$I138),0,IF(SUMPRODUCT(((BULK_ENABLED="Y")*((BULK_TIER="ALL")+(BULK_TIER=$F138))*((BULK_SKU="ALL")+(BULK_SKU=$G138))*(BULK_START&lt;=12)*(BULK_END&gt;=12)))&gt;0,IFERROR(SUMPRODUCT(((BULK_ENABLED="Y")*((BULK_TIER="ALL")+(BULK_TIER=$F138))*((BULK_SKU="ALL")+(BULK_SKU=$G138))*(BULK_START&lt;=12)*(BULK_END&gt;=12))*IFERROR(BULK_VALUE,0))/MAX(1,SUMPRODUCT(((BULK_ENABLED="Y")*((BULK_TIER="ALL")+(BULK_TIER=$F138))*((BULK_SKU="ALL")+(BULK_SKU=$G138))*(BULK_START&lt;=12)*(BULK_END&gt;=12)))),0),ROUND((INDEX(VELOCITY_TABLE,MATCH($F138,TIER_LIST,0),2))*(IF((12-$I138+1)&lt;=0,0,IF((12-$I138+1)=1,RAMP_W1,IF((12-$I138+1)=2,RAMP_W2,IF((12-$I138+1)=3,RAMP_W3,RAMP_W4PLUS)))))*(INDEX(ACTIVE_MULT_TABLE,2,1))*(1+SUMPRODUCT(SIGN(((ACT_DOOR_SCOPE="ALL")+(ACT_DOOR_SCOPE="TIER_"&amp;$F138)+(ACT_DOOR_SCOPE=$B138)))*SIGN(((ACT_SKU_SCOPE="ALL")+(ACT_SKU_SCOPE=$G138)))*(ACT_START&lt;=12)*(ACT_END&gt;=12)*IFERROR(ACT_UPLIFT-1,0)))*(1+SUMPRODUCT(SIGN(((ACT_DOOR_SCOPE="ALL")+(ACT_DOOR_SCOPE="TIER_"&amp;$F138)+(ACT_DOOR_SCOPE=$B138)))*SIGN(((ACT_SKU_SCOPE="ALL")+(ACT_SKU_SCOPE=$G138)))*(12&gt;ACT_END)*(ACT_END&gt;0)*IFERROR(ACT_POSTLIFT,0))),0)))</f>
        <v/>
      </c>
      <c r="V138" s="10">
        <f>IF(OR($H138&lt;&gt;"Y",13&lt;$I138),0,IF(SUMPRODUCT(((BULK_ENABLED="Y")*((BULK_TIER="ALL")+(BULK_TIER=$F138))*((BULK_SKU="ALL")+(BULK_SKU=$G138))*(BULK_START&lt;=13)*(BULK_END&gt;=13)))&gt;0,IFERROR(SUMPRODUCT(((BULK_ENABLED="Y")*((BULK_TIER="ALL")+(BULK_TIER=$F138))*((BULK_SKU="ALL")+(BULK_SKU=$G138))*(BULK_START&lt;=13)*(BULK_END&gt;=13))*IFERROR(BULK_VALUE,0))/MAX(1,SUMPRODUCT(((BULK_ENABLED="Y")*((BULK_TIER="ALL")+(BULK_TIER=$F138))*((BULK_SKU="ALL")+(BULK_SKU=$G138))*(BULK_START&lt;=13)*(BULK_END&gt;=13)))),0),ROUND((INDEX(VELOCITY_TABLE,MATCH($F138,TIER_LIST,0),2))*(IF((13-$I138+1)&lt;=0,0,IF((13-$I138+1)=1,RAMP_W1,IF((13-$I138+1)=2,RAMP_W2,IF((13-$I138+1)=3,RAMP_W3,RAMP_W4PLUS)))))*(INDEX(ACTIVE_MULT_TABLE,2,1))*(1+SUMPRODUCT(SIGN(((ACT_DOOR_SCOPE="ALL")+(ACT_DOOR_SCOPE="TIER_"&amp;$F138)+(ACT_DOOR_SCOPE=$B138)))*SIGN(((ACT_SKU_SCOPE="ALL")+(ACT_SKU_SCOPE=$G138)))*(ACT_START&lt;=13)*(ACT_END&gt;=13)*IFERROR(ACT_UPLIFT-1,0)))*(1+SUMPRODUCT(SIGN(((ACT_DOOR_SCOPE="ALL")+(ACT_DOOR_SCOPE="TIER_"&amp;$F138)+(ACT_DOOR_SCOPE=$B138)))*SIGN(((ACT_SKU_SCOPE="ALL")+(ACT_SKU_SCOPE=$G138)))*(13&gt;ACT_END)*(ACT_END&gt;0)*IFERROR(ACT_POSTLIFT,0))),0)))</f>
        <v/>
      </c>
    </row>
    <row r="139">
      <c r="A139" t="inlineStr">
        <is>
          <t>R0135</t>
        </is>
      </c>
      <c r="B139">
        <f>Doors!$A$49</f>
        <v/>
      </c>
      <c r="C139">
        <f>Doors!$C$49</f>
        <v/>
      </c>
      <c r="D139">
        <f>Doors!$B$49</f>
        <v/>
      </c>
      <c r="E139">
        <f>Doors!$E$49</f>
        <v/>
      </c>
      <c r="F139">
        <f>Doors!$F$49</f>
        <v/>
      </c>
      <c r="G139" t="inlineStr">
        <is>
          <t>Raspberry</t>
        </is>
      </c>
      <c r="H139">
        <f>Doors!$I$49</f>
        <v/>
      </c>
      <c r="I139">
        <f>Doors!$J$49</f>
        <v/>
      </c>
      <c r="J139" s="10">
        <f>IF(OR($H139&lt;&gt;"Y",1&lt;$I139),0,IF(SUMPRODUCT(((BULK_ENABLED="Y")*((BULK_TIER="ALL")+(BULK_TIER=$F139))*((BULK_SKU="ALL")+(BULK_SKU=$G139))*(BULK_START&lt;=1)*(BULK_END&gt;=1)))&gt;0,IFERROR(SUMPRODUCT(((BULK_ENABLED="Y")*((BULK_TIER="ALL")+(BULK_TIER=$F139))*((BULK_SKU="ALL")+(BULK_SKU=$G139))*(BULK_START&lt;=1)*(BULK_END&gt;=1))*IFERROR(BULK_VALUE,0))/MAX(1,SUMPRODUCT(((BULK_ENABLED="Y")*((BULK_TIER="ALL")+(BULK_TIER=$F139))*((BULK_SKU="ALL")+(BULK_SKU=$G139))*(BULK_START&lt;=1)*(BULK_END&gt;=1)))),0),ROUND((INDEX(VELOCITY_TABLE,MATCH($F139,TIER_LIST,0),3))*(IF((1-$I139+1)&lt;=0,0,IF((1-$I139+1)=1,RAMP_W1,IF((1-$I139+1)=2,RAMP_W2,IF((1-$I139+1)=3,RAMP_W3,RAMP_W4PLUS)))))*(INDEX(ACTIVE_MULT_TABLE,3,1))*(1+SUMPRODUCT(SIGN(((ACT_DOOR_SCOPE="ALL")+(ACT_DOOR_SCOPE="TIER_"&amp;$F139)+(ACT_DOOR_SCOPE=$B139)))*SIGN(((ACT_SKU_SCOPE="ALL")+(ACT_SKU_SCOPE=$G139)))*(ACT_START&lt;=1)*(ACT_END&gt;=1)*IFERROR(ACT_UPLIFT-1,0)))*(1+SUMPRODUCT(SIGN(((ACT_DOOR_SCOPE="ALL")+(ACT_DOOR_SCOPE="TIER_"&amp;$F139)+(ACT_DOOR_SCOPE=$B139)))*SIGN(((ACT_SKU_SCOPE="ALL")+(ACT_SKU_SCOPE=$G139)))*(1&gt;ACT_END)*(ACT_END&gt;0)*IFERROR(ACT_POSTLIFT,0))),0)))</f>
        <v/>
      </c>
      <c r="K139" s="10">
        <f>IF(OR($H139&lt;&gt;"Y",2&lt;$I139),0,IF(SUMPRODUCT(((BULK_ENABLED="Y")*((BULK_TIER="ALL")+(BULK_TIER=$F139))*((BULK_SKU="ALL")+(BULK_SKU=$G139))*(BULK_START&lt;=2)*(BULK_END&gt;=2)))&gt;0,IFERROR(SUMPRODUCT(((BULK_ENABLED="Y")*((BULK_TIER="ALL")+(BULK_TIER=$F139))*((BULK_SKU="ALL")+(BULK_SKU=$G139))*(BULK_START&lt;=2)*(BULK_END&gt;=2))*IFERROR(BULK_VALUE,0))/MAX(1,SUMPRODUCT(((BULK_ENABLED="Y")*((BULK_TIER="ALL")+(BULK_TIER=$F139))*((BULK_SKU="ALL")+(BULK_SKU=$G139))*(BULK_START&lt;=2)*(BULK_END&gt;=2)))),0),ROUND((INDEX(VELOCITY_TABLE,MATCH($F139,TIER_LIST,0),3))*(IF((2-$I139+1)&lt;=0,0,IF((2-$I139+1)=1,RAMP_W1,IF((2-$I139+1)=2,RAMP_W2,IF((2-$I139+1)=3,RAMP_W3,RAMP_W4PLUS)))))*(INDEX(ACTIVE_MULT_TABLE,3,1))*(1+SUMPRODUCT(SIGN(((ACT_DOOR_SCOPE="ALL")+(ACT_DOOR_SCOPE="TIER_"&amp;$F139)+(ACT_DOOR_SCOPE=$B139)))*SIGN(((ACT_SKU_SCOPE="ALL")+(ACT_SKU_SCOPE=$G139)))*(ACT_START&lt;=2)*(ACT_END&gt;=2)*IFERROR(ACT_UPLIFT-1,0)))*(1+SUMPRODUCT(SIGN(((ACT_DOOR_SCOPE="ALL")+(ACT_DOOR_SCOPE="TIER_"&amp;$F139)+(ACT_DOOR_SCOPE=$B139)))*SIGN(((ACT_SKU_SCOPE="ALL")+(ACT_SKU_SCOPE=$G139)))*(2&gt;ACT_END)*(ACT_END&gt;0)*IFERROR(ACT_POSTLIFT,0))),0)))</f>
        <v/>
      </c>
      <c r="L139" s="10">
        <f>IF(OR($H139&lt;&gt;"Y",3&lt;$I139),0,IF(SUMPRODUCT(((BULK_ENABLED="Y")*((BULK_TIER="ALL")+(BULK_TIER=$F139))*((BULK_SKU="ALL")+(BULK_SKU=$G139))*(BULK_START&lt;=3)*(BULK_END&gt;=3)))&gt;0,IFERROR(SUMPRODUCT(((BULK_ENABLED="Y")*((BULK_TIER="ALL")+(BULK_TIER=$F139))*((BULK_SKU="ALL")+(BULK_SKU=$G139))*(BULK_START&lt;=3)*(BULK_END&gt;=3))*IFERROR(BULK_VALUE,0))/MAX(1,SUMPRODUCT(((BULK_ENABLED="Y")*((BULK_TIER="ALL")+(BULK_TIER=$F139))*((BULK_SKU="ALL")+(BULK_SKU=$G139))*(BULK_START&lt;=3)*(BULK_END&gt;=3)))),0),ROUND((INDEX(VELOCITY_TABLE,MATCH($F139,TIER_LIST,0),3))*(IF((3-$I139+1)&lt;=0,0,IF((3-$I139+1)=1,RAMP_W1,IF((3-$I139+1)=2,RAMP_W2,IF((3-$I139+1)=3,RAMP_W3,RAMP_W4PLUS)))))*(INDEX(ACTIVE_MULT_TABLE,3,1))*(1+SUMPRODUCT(SIGN(((ACT_DOOR_SCOPE="ALL")+(ACT_DOOR_SCOPE="TIER_"&amp;$F139)+(ACT_DOOR_SCOPE=$B139)))*SIGN(((ACT_SKU_SCOPE="ALL")+(ACT_SKU_SCOPE=$G139)))*(ACT_START&lt;=3)*(ACT_END&gt;=3)*IFERROR(ACT_UPLIFT-1,0)))*(1+SUMPRODUCT(SIGN(((ACT_DOOR_SCOPE="ALL")+(ACT_DOOR_SCOPE="TIER_"&amp;$F139)+(ACT_DOOR_SCOPE=$B139)))*SIGN(((ACT_SKU_SCOPE="ALL")+(ACT_SKU_SCOPE=$G139)))*(3&gt;ACT_END)*(ACT_END&gt;0)*IFERROR(ACT_POSTLIFT,0))),0)))</f>
        <v/>
      </c>
      <c r="M139" s="10">
        <f>IF(OR($H139&lt;&gt;"Y",4&lt;$I139),0,IF(SUMPRODUCT(((BULK_ENABLED="Y")*((BULK_TIER="ALL")+(BULK_TIER=$F139))*((BULK_SKU="ALL")+(BULK_SKU=$G139))*(BULK_START&lt;=4)*(BULK_END&gt;=4)))&gt;0,IFERROR(SUMPRODUCT(((BULK_ENABLED="Y")*((BULK_TIER="ALL")+(BULK_TIER=$F139))*((BULK_SKU="ALL")+(BULK_SKU=$G139))*(BULK_START&lt;=4)*(BULK_END&gt;=4))*IFERROR(BULK_VALUE,0))/MAX(1,SUMPRODUCT(((BULK_ENABLED="Y")*((BULK_TIER="ALL")+(BULK_TIER=$F139))*((BULK_SKU="ALL")+(BULK_SKU=$G139))*(BULK_START&lt;=4)*(BULK_END&gt;=4)))),0),ROUND((INDEX(VELOCITY_TABLE,MATCH($F139,TIER_LIST,0),3))*(IF((4-$I139+1)&lt;=0,0,IF((4-$I139+1)=1,RAMP_W1,IF((4-$I139+1)=2,RAMP_W2,IF((4-$I139+1)=3,RAMP_W3,RAMP_W4PLUS)))))*(INDEX(ACTIVE_MULT_TABLE,3,1))*(1+SUMPRODUCT(SIGN(((ACT_DOOR_SCOPE="ALL")+(ACT_DOOR_SCOPE="TIER_"&amp;$F139)+(ACT_DOOR_SCOPE=$B139)))*SIGN(((ACT_SKU_SCOPE="ALL")+(ACT_SKU_SCOPE=$G139)))*(ACT_START&lt;=4)*(ACT_END&gt;=4)*IFERROR(ACT_UPLIFT-1,0)))*(1+SUMPRODUCT(SIGN(((ACT_DOOR_SCOPE="ALL")+(ACT_DOOR_SCOPE="TIER_"&amp;$F139)+(ACT_DOOR_SCOPE=$B139)))*SIGN(((ACT_SKU_SCOPE="ALL")+(ACT_SKU_SCOPE=$G139)))*(4&gt;ACT_END)*(ACT_END&gt;0)*IFERROR(ACT_POSTLIFT,0))),0)))</f>
        <v/>
      </c>
      <c r="N139" s="10">
        <f>IF(OR($H139&lt;&gt;"Y",5&lt;$I139),0,IF(SUMPRODUCT(((BULK_ENABLED="Y")*((BULK_TIER="ALL")+(BULK_TIER=$F139))*((BULK_SKU="ALL")+(BULK_SKU=$G139))*(BULK_START&lt;=5)*(BULK_END&gt;=5)))&gt;0,IFERROR(SUMPRODUCT(((BULK_ENABLED="Y")*((BULK_TIER="ALL")+(BULK_TIER=$F139))*((BULK_SKU="ALL")+(BULK_SKU=$G139))*(BULK_START&lt;=5)*(BULK_END&gt;=5))*IFERROR(BULK_VALUE,0))/MAX(1,SUMPRODUCT(((BULK_ENABLED="Y")*((BULK_TIER="ALL")+(BULK_TIER=$F139))*((BULK_SKU="ALL")+(BULK_SKU=$G139))*(BULK_START&lt;=5)*(BULK_END&gt;=5)))),0),ROUND((INDEX(VELOCITY_TABLE,MATCH($F139,TIER_LIST,0),3))*(IF((5-$I139+1)&lt;=0,0,IF((5-$I139+1)=1,RAMP_W1,IF((5-$I139+1)=2,RAMP_W2,IF((5-$I139+1)=3,RAMP_W3,RAMP_W4PLUS)))))*(INDEX(ACTIVE_MULT_TABLE,3,1))*(1+SUMPRODUCT(SIGN(((ACT_DOOR_SCOPE="ALL")+(ACT_DOOR_SCOPE="TIER_"&amp;$F139)+(ACT_DOOR_SCOPE=$B139)))*SIGN(((ACT_SKU_SCOPE="ALL")+(ACT_SKU_SCOPE=$G139)))*(ACT_START&lt;=5)*(ACT_END&gt;=5)*IFERROR(ACT_UPLIFT-1,0)))*(1+SUMPRODUCT(SIGN(((ACT_DOOR_SCOPE="ALL")+(ACT_DOOR_SCOPE="TIER_"&amp;$F139)+(ACT_DOOR_SCOPE=$B139)))*SIGN(((ACT_SKU_SCOPE="ALL")+(ACT_SKU_SCOPE=$G139)))*(5&gt;ACT_END)*(ACT_END&gt;0)*IFERROR(ACT_POSTLIFT,0))),0)))</f>
        <v/>
      </c>
      <c r="O139" s="10">
        <f>IF(OR($H139&lt;&gt;"Y",6&lt;$I139),0,IF(SUMPRODUCT(((BULK_ENABLED="Y")*((BULK_TIER="ALL")+(BULK_TIER=$F139))*((BULK_SKU="ALL")+(BULK_SKU=$G139))*(BULK_START&lt;=6)*(BULK_END&gt;=6)))&gt;0,IFERROR(SUMPRODUCT(((BULK_ENABLED="Y")*((BULK_TIER="ALL")+(BULK_TIER=$F139))*((BULK_SKU="ALL")+(BULK_SKU=$G139))*(BULK_START&lt;=6)*(BULK_END&gt;=6))*IFERROR(BULK_VALUE,0))/MAX(1,SUMPRODUCT(((BULK_ENABLED="Y")*((BULK_TIER="ALL")+(BULK_TIER=$F139))*((BULK_SKU="ALL")+(BULK_SKU=$G139))*(BULK_START&lt;=6)*(BULK_END&gt;=6)))),0),ROUND((INDEX(VELOCITY_TABLE,MATCH($F139,TIER_LIST,0),3))*(IF((6-$I139+1)&lt;=0,0,IF((6-$I139+1)=1,RAMP_W1,IF((6-$I139+1)=2,RAMP_W2,IF((6-$I139+1)=3,RAMP_W3,RAMP_W4PLUS)))))*(INDEX(ACTIVE_MULT_TABLE,3,1))*(1+SUMPRODUCT(SIGN(((ACT_DOOR_SCOPE="ALL")+(ACT_DOOR_SCOPE="TIER_"&amp;$F139)+(ACT_DOOR_SCOPE=$B139)))*SIGN(((ACT_SKU_SCOPE="ALL")+(ACT_SKU_SCOPE=$G139)))*(ACT_START&lt;=6)*(ACT_END&gt;=6)*IFERROR(ACT_UPLIFT-1,0)))*(1+SUMPRODUCT(SIGN(((ACT_DOOR_SCOPE="ALL")+(ACT_DOOR_SCOPE="TIER_"&amp;$F139)+(ACT_DOOR_SCOPE=$B139)))*SIGN(((ACT_SKU_SCOPE="ALL")+(ACT_SKU_SCOPE=$G139)))*(6&gt;ACT_END)*(ACT_END&gt;0)*IFERROR(ACT_POSTLIFT,0))),0)))</f>
        <v/>
      </c>
      <c r="P139" s="10">
        <f>IF(OR($H139&lt;&gt;"Y",7&lt;$I139),0,IF(SUMPRODUCT(((BULK_ENABLED="Y")*((BULK_TIER="ALL")+(BULK_TIER=$F139))*((BULK_SKU="ALL")+(BULK_SKU=$G139))*(BULK_START&lt;=7)*(BULK_END&gt;=7)))&gt;0,IFERROR(SUMPRODUCT(((BULK_ENABLED="Y")*((BULK_TIER="ALL")+(BULK_TIER=$F139))*((BULK_SKU="ALL")+(BULK_SKU=$G139))*(BULK_START&lt;=7)*(BULK_END&gt;=7))*IFERROR(BULK_VALUE,0))/MAX(1,SUMPRODUCT(((BULK_ENABLED="Y")*((BULK_TIER="ALL")+(BULK_TIER=$F139))*((BULK_SKU="ALL")+(BULK_SKU=$G139))*(BULK_START&lt;=7)*(BULK_END&gt;=7)))),0),ROUND((INDEX(VELOCITY_TABLE,MATCH($F139,TIER_LIST,0),3))*(IF((7-$I139+1)&lt;=0,0,IF((7-$I139+1)=1,RAMP_W1,IF((7-$I139+1)=2,RAMP_W2,IF((7-$I139+1)=3,RAMP_W3,RAMP_W4PLUS)))))*(INDEX(ACTIVE_MULT_TABLE,3,1))*(1+SUMPRODUCT(SIGN(((ACT_DOOR_SCOPE="ALL")+(ACT_DOOR_SCOPE="TIER_"&amp;$F139)+(ACT_DOOR_SCOPE=$B139)))*SIGN(((ACT_SKU_SCOPE="ALL")+(ACT_SKU_SCOPE=$G139)))*(ACT_START&lt;=7)*(ACT_END&gt;=7)*IFERROR(ACT_UPLIFT-1,0)))*(1+SUMPRODUCT(SIGN(((ACT_DOOR_SCOPE="ALL")+(ACT_DOOR_SCOPE="TIER_"&amp;$F139)+(ACT_DOOR_SCOPE=$B139)))*SIGN(((ACT_SKU_SCOPE="ALL")+(ACT_SKU_SCOPE=$G139)))*(7&gt;ACT_END)*(ACT_END&gt;0)*IFERROR(ACT_POSTLIFT,0))),0)))</f>
        <v/>
      </c>
      <c r="Q139" s="10">
        <f>IF(OR($H139&lt;&gt;"Y",8&lt;$I139),0,IF(SUMPRODUCT(((BULK_ENABLED="Y")*((BULK_TIER="ALL")+(BULK_TIER=$F139))*((BULK_SKU="ALL")+(BULK_SKU=$G139))*(BULK_START&lt;=8)*(BULK_END&gt;=8)))&gt;0,IFERROR(SUMPRODUCT(((BULK_ENABLED="Y")*((BULK_TIER="ALL")+(BULK_TIER=$F139))*((BULK_SKU="ALL")+(BULK_SKU=$G139))*(BULK_START&lt;=8)*(BULK_END&gt;=8))*IFERROR(BULK_VALUE,0))/MAX(1,SUMPRODUCT(((BULK_ENABLED="Y")*((BULK_TIER="ALL")+(BULK_TIER=$F139))*((BULK_SKU="ALL")+(BULK_SKU=$G139))*(BULK_START&lt;=8)*(BULK_END&gt;=8)))),0),ROUND((INDEX(VELOCITY_TABLE,MATCH($F139,TIER_LIST,0),3))*(IF((8-$I139+1)&lt;=0,0,IF((8-$I139+1)=1,RAMP_W1,IF((8-$I139+1)=2,RAMP_W2,IF((8-$I139+1)=3,RAMP_W3,RAMP_W4PLUS)))))*(INDEX(ACTIVE_MULT_TABLE,3,1))*(1+SUMPRODUCT(SIGN(((ACT_DOOR_SCOPE="ALL")+(ACT_DOOR_SCOPE="TIER_"&amp;$F139)+(ACT_DOOR_SCOPE=$B139)))*SIGN(((ACT_SKU_SCOPE="ALL")+(ACT_SKU_SCOPE=$G139)))*(ACT_START&lt;=8)*(ACT_END&gt;=8)*IFERROR(ACT_UPLIFT-1,0)))*(1+SUMPRODUCT(SIGN(((ACT_DOOR_SCOPE="ALL")+(ACT_DOOR_SCOPE="TIER_"&amp;$F139)+(ACT_DOOR_SCOPE=$B139)))*SIGN(((ACT_SKU_SCOPE="ALL")+(ACT_SKU_SCOPE=$G139)))*(8&gt;ACT_END)*(ACT_END&gt;0)*IFERROR(ACT_POSTLIFT,0))),0)))</f>
        <v/>
      </c>
      <c r="R139" s="10">
        <f>IF(OR($H139&lt;&gt;"Y",9&lt;$I139),0,IF(SUMPRODUCT(((BULK_ENABLED="Y")*((BULK_TIER="ALL")+(BULK_TIER=$F139))*((BULK_SKU="ALL")+(BULK_SKU=$G139))*(BULK_START&lt;=9)*(BULK_END&gt;=9)))&gt;0,IFERROR(SUMPRODUCT(((BULK_ENABLED="Y")*((BULK_TIER="ALL")+(BULK_TIER=$F139))*((BULK_SKU="ALL")+(BULK_SKU=$G139))*(BULK_START&lt;=9)*(BULK_END&gt;=9))*IFERROR(BULK_VALUE,0))/MAX(1,SUMPRODUCT(((BULK_ENABLED="Y")*((BULK_TIER="ALL")+(BULK_TIER=$F139))*((BULK_SKU="ALL")+(BULK_SKU=$G139))*(BULK_START&lt;=9)*(BULK_END&gt;=9)))),0),ROUND((INDEX(VELOCITY_TABLE,MATCH($F139,TIER_LIST,0),3))*(IF((9-$I139+1)&lt;=0,0,IF((9-$I139+1)=1,RAMP_W1,IF((9-$I139+1)=2,RAMP_W2,IF((9-$I139+1)=3,RAMP_W3,RAMP_W4PLUS)))))*(INDEX(ACTIVE_MULT_TABLE,3,1))*(1+SUMPRODUCT(SIGN(((ACT_DOOR_SCOPE="ALL")+(ACT_DOOR_SCOPE="TIER_"&amp;$F139)+(ACT_DOOR_SCOPE=$B139)))*SIGN(((ACT_SKU_SCOPE="ALL")+(ACT_SKU_SCOPE=$G139)))*(ACT_START&lt;=9)*(ACT_END&gt;=9)*IFERROR(ACT_UPLIFT-1,0)))*(1+SUMPRODUCT(SIGN(((ACT_DOOR_SCOPE="ALL")+(ACT_DOOR_SCOPE="TIER_"&amp;$F139)+(ACT_DOOR_SCOPE=$B139)))*SIGN(((ACT_SKU_SCOPE="ALL")+(ACT_SKU_SCOPE=$G139)))*(9&gt;ACT_END)*(ACT_END&gt;0)*IFERROR(ACT_POSTLIFT,0))),0)))</f>
        <v/>
      </c>
      <c r="S139" s="10">
        <f>IF(OR($H139&lt;&gt;"Y",10&lt;$I139),0,IF(SUMPRODUCT(((BULK_ENABLED="Y")*((BULK_TIER="ALL")+(BULK_TIER=$F139))*((BULK_SKU="ALL")+(BULK_SKU=$G139))*(BULK_START&lt;=10)*(BULK_END&gt;=10)))&gt;0,IFERROR(SUMPRODUCT(((BULK_ENABLED="Y")*((BULK_TIER="ALL")+(BULK_TIER=$F139))*((BULK_SKU="ALL")+(BULK_SKU=$G139))*(BULK_START&lt;=10)*(BULK_END&gt;=10))*IFERROR(BULK_VALUE,0))/MAX(1,SUMPRODUCT(((BULK_ENABLED="Y")*((BULK_TIER="ALL")+(BULK_TIER=$F139))*((BULK_SKU="ALL")+(BULK_SKU=$G139))*(BULK_START&lt;=10)*(BULK_END&gt;=10)))),0),ROUND((INDEX(VELOCITY_TABLE,MATCH($F139,TIER_LIST,0),3))*(IF((10-$I139+1)&lt;=0,0,IF((10-$I139+1)=1,RAMP_W1,IF((10-$I139+1)=2,RAMP_W2,IF((10-$I139+1)=3,RAMP_W3,RAMP_W4PLUS)))))*(INDEX(ACTIVE_MULT_TABLE,3,1))*(1+SUMPRODUCT(SIGN(((ACT_DOOR_SCOPE="ALL")+(ACT_DOOR_SCOPE="TIER_"&amp;$F139)+(ACT_DOOR_SCOPE=$B139)))*SIGN(((ACT_SKU_SCOPE="ALL")+(ACT_SKU_SCOPE=$G139)))*(ACT_START&lt;=10)*(ACT_END&gt;=10)*IFERROR(ACT_UPLIFT-1,0)))*(1+SUMPRODUCT(SIGN(((ACT_DOOR_SCOPE="ALL")+(ACT_DOOR_SCOPE="TIER_"&amp;$F139)+(ACT_DOOR_SCOPE=$B139)))*SIGN(((ACT_SKU_SCOPE="ALL")+(ACT_SKU_SCOPE=$G139)))*(10&gt;ACT_END)*(ACT_END&gt;0)*IFERROR(ACT_POSTLIFT,0))),0)))</f>
        <v/>
      </c>
      <c r="T139" s="10">
        <f>IF(OR($H139&lt;&gt;"Y",11&lt;$I139),0,IF(SUMPRODUCT(((BULK_ENABLED="Y")*((BULK_TIER="ALL")+(BULK_TIER=$F139))*((BULK_SKU="ALL")+(BULK_SKU=$G139))*(BULK_START&lt;=11)*(BULK_END&gt;=11)))&gt;0,IFERROR(SUMPRODUCT(((BULK_ENABLED="Y")*((BULK_TIER="ALL")+(BULK_TIER=$F139))*((BULK_SKU="ALL")+(BULK_SKU=$G139))*(BULK_START&lt;=11)*(BULK_END&gt;=11))*IFERROR(BULK_VALUE,0))/MAX(1,SUMPRODUCT(((BULK_ENABLED="Y")*((BULK_TIER="ALL")+(BULK_TIER=$F139))*((BULK_SKU="ALL")+(BULK_SKU=$G139))*(BULK_START&lt;=11)*(BULK_END&gt;=11)))),0),ROUND((INDEX(VELOCITY_TABLE,MATCH($F139,TIER_LIST,0),3))*(IF((11-$I139+1)&lt;=0,0,IF((11-$I139+1)=1,RAMP_W1,IF((11-$I139+1)=2,RAMP_W2,IF((11-$I139+1)=3,RAMP_W3,RAMP_W4PLUS)))))*(INDEX(ACTIVE_MULT_TABLE,3,1))*(1+SUMPRODUCT(SIGN(((ACT_DOOR_SCOPE="ALL")+(ACT_DOOR_SCOPE="TIER_"&amp;$F139)+(ACT_DOOR_SCOPE=$B139)))*SIGN(((ACT_SKU_SCOPE="ALL")+(ACT_SKU_SCOPE=$G139)))*(ACT_START&lt;=11)*(ACT_END&gt;=11)*IFERROR(ACT_UPLIFT-1,0)))*(1+SUMPRODUCT(SIGN(((ACT_DOOR_SCOPE="ALL")+(ACT_DOOR_SCOPE="TIER_"&amp;$F139)+(ACT_DOOR_SCOPE=$B139)))*SIGN(((ACT_SKU_SCOPE="ALL")+(ACT_SKU_SCOPE=$G139)))*(11&gt;ACT_END)*(ACT_END&gt;0)*IFERROR(ACT_POSTLIFT,0))),0)))</f>
        <v/>
      </c>
      <c r="U139" s="10">
        <f>IF(OR($H139&lt;&gt;"Y",12&lt;$I139),0,IF(SUMPRODUCT(((BULK_ENABLED="Y")*((BULK_TIER="ALL")+(BULK_TIER=$F139))*((BULK_SKU="ALL")+(BULK_SKU=$G139))*(BULK_START&lt;=12)*(BULK_END&gt;=12)))&gt;0,IFERROR(SUMPRODUCT(((BULK_ENABLED="Y")*((BULK_TIER="ALL")+(BULK_TIER=$F139))*((BULK_SKU="ALL")+(BULK_SKU=$G139))*(BULK_START&lt;=12)*(BULK_END&gt;=12))*IFERROR(BULK_VALUE,0))/MAX(1,SUMPRODUCT(((BULK_ENABLED="Y")*((BULK_TIER="ALL")+(BULK_TIER=$F139))*((BULK_SKU="ALL")+(BULK_SKU=$G139))*(BULK_START&lt;=12)*(BULK_END&gt;=12)))),0),ROUND((INDEX(VELOCITY_TABLE,MATCH($F139,TIER_LIST,0),3))*(IF((12-$I139+1)&lt;=0,0,IF((12-$I139+1)=1,RAMP_W1,IF((12-$I139+1)=2,RAMP_W2,IF((12-$I139+1)=3,RAMP_W3,RAMP_W4PLUS)))))*(INDEX(ACTIVE_MULT_TABLE,3,1))*(1+SUMPRODUCT(SIGN(((ACT_DOOR_SCOPE="ALL")+(ACT_DOOR_SCOPE="TIER_"&amp;$F139)+(ACT_DOOR_SCOPE=$B139)))*SIGN(((ACT_SKU_SCOPE="ALL")+(ACT_SKU_SCOPE=$G139)))*(ACT_START&lt;=12)*(ACT_END&gt;=12)*IFERROR(ACT_UPLIFT-1,0)))*(1+SUMPRODUCT(SIGN(((ACT_DOOR_SCOPE="ALL")+(ACT_DOOR_SCOPE="TIER_"&amp;$F139)+(ACT_DOOR_SCOPE=$B139)))*SIGN(((ACT_SKU_SCOPE="ALL")+(ACT_SKU_SCOPE=$G139)))*(12&gt;ACT_END)*(ACT_END&gt;0)*IFERROR(ACT_POSTLIFT,0))),0)))</f>
        <v/>
      </c>
      <c r="V139" s="10">
        <f>IF(OR($H139&lt;&gt;"Y",13&lt;$I139),0,IF(SUMPRODUCT(((BULK_ENABLED="Y")*((BULK_TIER="ALL")+(BULK_TIER=$F139))*((BULK_SKU="ALL")+(BULK_SKU=$G139))*(BULK_START&lt;=13)*(BULK_END&gt;=13)))&gt;0,IFERROR(SUMPRODUCT(((BULK_ENABLED="Y")*((BULK_TIER="ALL")+(BULK_TIER=$F139))*((BULK_SKU="ALL")+(BULK_SKU=$G139))*(BULK_START&lt;=13)*(BULK_END&gt;=13))*IFERROR(BULK_VALUE,0))/MAX(1,SUMPRODUCT(((BULK_ENABLED="Y")*((BULK_TIER="ALL")+(BULK_TIER=$F139))*((BULK_SKU="ALL")+(BULK_SKU=$G139))*(BULK_START&lt;=13)*(BULK_END&gt;=13)))),0),ROUND((INDEX(VELOCITY_TABLE,MATCH($F139,TIER_LIST,0),3))*(IF((13-$I139+1)&lt;=0,0,IF((13-$I139+1)=1,RAMP_W1,IF((13-$I139+1)=2,RAMP_W2,IF((13-$I139+1)=3,RAMP_W3,RAMP_W4PLUS)))))*(INDEX(ACTIVE_MULT_TABLE,3,1))*(1+SUMPRODUCT(SIGN(((ACT_DOOR_SCOPE="ALL")+(ACT_DOOR_SCOPE="TIER_"&amp;$F139)+(ACT_DOOR_SCOPE=$B139)))*SIGN(((ACT_SKU_SCOPE="ALL")+(ACT_SKU_SCOPE=$G139)))*(ACT_START&lt;=13)*(ACT_END&gt;=13)*IFERROR(ACT_UPLIFT-1,0)))*(1+SUMPRODUCT(SIGN(((ACT_DOOR_SCOPE="ALL")+(ACT_DOOR_SCOPE="TIER_"&amp;$F139)+(ACT_DOOR_SCOPE=$B139)))*SIGN(((ACT_SKU_SCOPE="ALL")+(ACT_SKU_SCOPE=$G139)))*(13&gt;ACT_END)*(ACT_END&gt;0)*IFERROR(ACT_POSTLIFT,0))),0)))</f>
        <v/>
      </c>
    </row>
    <row r="140">
      <c r="A140" t="inlineStr">
        <is>
          <t>R0136</t>
        </is>
      </c>
      <c r="B140">
        <f>Doors!$A$50</f>
        <v/>
      </c>
      <c r="C140">
        <f>Doors!$C$50</f>
        <v/>
      </c>
      <c r="D140">
        <f>Doors!$B$50</f>
        <v/>
      </c>
      <c r="E140">
        <f>Doors!$E$50</f>
        <v/>
      </c>
      <c r="F140">
        <f>Doors!$F$50</f>
        <v/>
      </c>
      <c r="G140" t="inlineStr">
        <is>
          <t>Lime Lemon</t>
        </is>
      </c>
      <c r="H140">
        <f>Doors!$G$50</f>
        <v/>
      </c>
      <c r="I140">
        <f>Doors!$J$50</f>
        <v/>
      </c>
      <c r="J140" s="10">
        <f>IF(OR($H140&lt;&gt;"Y",1&lt;$I140),0,IF(SUMPRODUCT(((BULK_ENABLED="Y")*((BULK_TIER="ALL")+(BULK_TIER=$F140))*((BULK_SKU="ALL")+(BULK_SKU=$G140))*(BULK_START&lt;=1)*(BULK_END&gt;=1)))&gt;0,IFERROR(SUMPRODUCT(((BULK_ENABLED="Y")*((BULK_TIER="ALL")+(BULK_TIER=$F140))*((BULK_SKU="ALL")+(BULK_SKU=$G140))*(BULK_START&lt;=1)*(BULK_END&gt;=1))*IFERROR(BULK_VALUE,0))/MAX(1,SUMPRODUCT(((BULK_ENABLED="Y")*((BULK_TIER="ALL")+(BULK_TIER=$F140))*((BULK_SKU="ALL")+(BULK_SKU=$G140))*(BULK_START&lt;=1)*(BULK_END&gt;=1)))),0),ROUND((INDEX(VELOCITY_TABLE,MATCH($F140,TIER_LIST,0),1))*(IF((1-$I140+1)&lt;=0,0,IF((1-$I140+1)=1,RAMP_W1,IF((1-$I140+1)=2,RAMP_W2,IF((1-$I140+1)=3,RAMP_W3,RAMP_W4PLUS)))))*(INDEX(ACTIVE_MULT_TABLE,1,1))*(1+SUMPRODUCT(SIGN(((ACT_DOOR_SCOPE="ALL")+(ACT_DOOR_SCOPE="TIER_"&amp;$F140)+(ACT_DOOR_SCOPE=$B140)))*SIGN(((ACT_SKU_SCOPE="ALL")+(ACT_SKU_SCOPE=$G140)))*(ACT_START&lt;=1)*(ACT_END&gt;=1)*IFERROR(ACT_UPLIFT-1,0)))*(1+SUMPRODUCT(SIGN(((ACT_DOOR_SCOPE="ALL")+(ACT_DOOR_SCOPE="TIER_"&amp;$F140)+(ACT_DOOR_SCOPE=$B140)))*SIGN(((ACT_SKU_SCOPE="ALL")+(ACT_SKU_SCOPE=$G140)))*(1&gt;ACT_END)*(ACT_END&gt;0)*IFERROR(ACT_POSTLIFT,0))),0)))</f>
        <v/>
      </c>
      <c r="K140" s="10">
        <f>IF(OR($H140&lt;&gt;"Y",2&lt;$I140),0,IF(SUMPRODUCT(((BULK_ENABLED="Y")*((BULK_TIER="ALL")+(BULK_TIER=$F140))*((BULK_SKU="ALL")+(BULK_SKU=$G140))*(BULK_START&lt;=2)*(BULK_END&gt;=2)))&gt;0,IFERROR(SUMPRODUCT(((BULK_ENABLED="Y")*((BULK_TIER="ALL")+(BULK_TIER=$F140))*((BULK_SKU="ALL")+(BULK_SKU=$G140))*(BULK_START&lt;=2)*(BULK_END&gt;=2))*IFERROR(BULK_VALUE,0))/MAX(1,SUMPRODUCT(((BULK_ENABLED="Y")*((BULK_TIER="ALL")+(BULK_TIER=$F140))*((BULK_SKU="ALL")+(BULK_SKU=$G140))*(BULK_START&lt;=2)*(BULK_END&gt;=2)))),0),ROUND((INDEX(VELOCITY_TABLE,MATCH($F140,TIER_LIST,0),1))*(IF((2-$I140+1)&lt;=0,0,IF((2-$I140+1)=1,RAMP_W1,IF((2-$I140+1)=2,RAMP_W2,IF((2-$I140+1)=3,RAMP_W3,RAMP_W4PLUS)))))*(INDEX(ACTIVE_MULT_TABLE,1,1))*(1+SUMPRODUCT(SIGN(((ACT_DOOR_SCOPE="ALL")+(ACT_DOOR_SCOPE="TIER_"&amp;$F140)+(ACT_DOOR_SCOPE=$B140)))*SIGN(((ACT_SKU_SCOPE="ALL")+(ACT_SKU_SCOPE=$G140)))*(ACT_START&lt;=2)*(ACT_END&gt;=2)*IFERROR(ACT_UPLIFT-1,0)))*(1+SUMPRODUCT(SIGN(((ACT_DOOR_SCOPE="ALL")+(ACT_DOOR_SCOPE="TIER_"&amp;$F140)+(ACT_DOOR_SCOPE=$B140)))*SIGN(((ACT_SKU_SCOPE="ALL")+(ACT_SKU_SCOPE=$G140)))*(2&gt;ACT_END)*(ACT_END&gt;0)*IFERROR(ACT_POSTLIFT,0))),0)))</f>
        <v/>
      </c>
      <c r="L140" s="10">
        <f>IF(OR($H140&lt;&gt;"Y",3&lt;$I140),0,IF(SUMPRODUCT(((BULK_ENABLED="Y")*((BULK_TIER="ALL")+(BULK_TIER=$F140))*((BULK_SKU="ALL")+(BULK_SKU=$G140))*(BULK_START&lt;=3)*(BULK_END&gt;=3)))&gt;0,IFERROR(SUMPRODUCT(((BULK_ENABLED="Y")*((BULK_TIER="ALL")+(BULK_TIER=$F140))*((BULK_SKU="ALL")+(BULK_SKU=$G140))*(BULK_START&lt;=3)*(BULK_END&gt;=3))*IFERROR(BULK_VALUE,0))/MAX(1,SUMPRODUCT(((BULK_ENABLED="Y")*((BULK_TIER="ALL")+(BULK_TIER=$F140))*((BULK_SKU="ALL")+(BULK_SKU=$G140))*(BULK_START&lt;=3)*(BULK_END&gt;=3)))),0),ROUND((INDEX(VELOCITY_TABLE,MATCH($F140,TIER_LIST,0),1))*(IF((3-$I140+1)&lt;=0,0,IF((3-$I140+1)=1,RAMP_W1,IF((3-$I140+1)=2,RAMP_W2,IF((3-$I140+1)=3,RAMP_W3,RAMP_W4PLUS)))))*(INDEX(ACTIVE_MULT_TABLE,1,1))*(1+SUMPRODUCT(SIGN(((ACT_DOOR_SCOPE="ALL")+(ACT_DOOR_SCOPE="TIER_"&amp;$F140)+(ACT_DOOR_SCOPE=$B140)))*SIGN(((ACT_SKU_SCOPE="ALL")+(ACT_SKU_SCOPE=$G140)))*(ACT_START&lt;=3)*(ACT_END&gt;=3)*IFERROR(ACT_UPLIFT-1,0)))*(1+SUMPRODUCT(SIGN(((ACT_DOOR_SCOPE="ALL")+(ACT_DOOR_SCOPE="TIER_"&amp;$F140)+(ACT_DOOR_SCOPE=$B140)))*SIGN(((ACT_SKU_SCOPE="ALL")+(ACT_SKU_SCOPE=$G140)))*(3&gt;ACT_END)*(ACT_END&gt;0)*IFERROR(ACT_POSTLIFT,0))),0)))</f>
        <v/>
      </c>
      <c r="M140" s="10">
        <f>IF(OR($H140&lt;&gt;"Y",4&lt;$I140),0,IF(SUMPRODUCT(((BULK_ENABLED="Y")*((BULK_TIER="ALL")+(BULK_TIER=$F140))*((BULK_SKU="ALL")+(BULK_SKU=$G140))*(BULK_START&lt;=4)*(BULK_END&gt;=4)))&gt;0,IFERROR(SUMPRODUCT(((BULK_ENABLED="Y")*((BULK_TIER="ALL")+(BULK_TIER=$F140))*((BULK_SKU="ALL")+(BULK_SKU=$G140))*(BULK_START&lt;=4)*(BULK_END&gt;=4))*IFERROR(BULK_VALUE,0))/MAX(1,SUMPRODUCT(((BULK_ENABLED="Y")*((BULK_TIER="ALL")+(BULK_TIER=$F140))*((BULK_SKU="ALL")+(BULK_SKU=$G140))*(BULK_START&lt;=4)*(BULK_END&gt;=4)))),0),ROUND((INDEX(VELOCITY_TABLE,MATCH($F140,TIER_LIST,0),1))*(IF((4-$I140+1)&lt;=0,0,IF((4-$I140+1)=1,RAMP_W1,IF((4-$I140+1)=2,RAMP_W2,IF((4-$I140+1)=3,RAMP_W3,RAMP_W4PLUS)))))*(INDEX(ACTIVE_MULT_TABLE,1,1))*(1+SUMPRODUCT(SIGN(((ACT_DOOR_SCOPE="ALL")+(ACT_DOOR_SCOPE="TIER_"&amp;$F140)+(ACT_DOOR_SCOPE=$B140)))*SIGN(((ACT_SKU_SCOPE="ALL")+(ACT_SKU_SCOPE=$G140)))*(ACT_START&lt;=4)*(ACT_END&gt;=4)*IFERROR(ACT_UPLIFT-1,0)))*(1+SUMPRODUCT(SIGN(((ACT_DOOR_SCOPE="ALL")+(ACT_DOOR_SCOPE="TIER_"&amp;$F140)+(ACT_DOOR_SCOPE=$B140)))*SIGN(((ACT_SKU_SCOPE="ALL")+(ACT_SKU_SCOPE=$G140)))*(4&gt;ACT_END)*(ACT_END&gt;0)*IFERROR(ACT_POSTLIFT,0))),0)))</f>
        <v/>
      </c>
      <c r="N140" s="10">
        <f>IF(OR($H140&lt;&gt;"Y",5&lt;$I140),0,IF(SUMPRODUCT(((BULK_ENABLED="Y")*((BULK_TIER="ALL")+(BULK_TIER=$F140))*((BULK_SKU="ALL")+(BULK_SKU=$G140))*(BULK_START&lt;=5)*(BULK_END&gt;=5)))&gt;0,IFERROR(SUMPRODUCT(((BULK_ENABLED="Y")*((BULK_TIER="ALL")+(BULK_TIER=$F140))*((BULK_SKU="ALL")+(BULK_SKU=$G140))*(BULK_START&lt;=5)*(BULK_END&gt;=5))*IFERROR(BULK_VALUE,0))/MAX(1,SUMPRODUCT(((BULK_ENABLED="Y")*((BULK_TIER="ALL")+(BULK_TIER=$F140))*((BULK_SKU="ALL")+(BULK_SKU=$G140))*(BULK_START&lt;=5)*(BULK_END&gt;=5)))),0),ROUND((INDEX(VELOCITY_TABLE,MATCH($F140,TIER_LIST,0),1))*(IF((5-$I140+1)&lt;=0,0,IF((5-$I140+1)=1,RAMP_W1,IF((5-$I140+1)=2,RAMP_W2,IF((5-$I140+1)=3,RAMP_W3,RAMP_W4PLUS)))))*(INDEX(ACTIVE_MULT_TABLE,1,1))*(1+SUMPRODUCT(SIGN(((ACT_DOOR_SCOPE="ALL")+(ACT_DOOR_SCOPE="TIER_"&amp;$F140)+(ACT_DOOR_SCOPE=$B140)))*SIGN(((ACT_SKU_SCOPE="ALL")+(ACT_SKU_SCOPE=$G140)))*(ACT_START&lt;=5)*(ACT_END&gt;=5)*IFERROR(ACT_UPLIFT-1,0)))*(1+SUMPRODUCT(SIGN(((ACT_DOOR_SCOPE="ALL")+(ACT_DOOR_SCOPE="TIER_"&amp;$F140)+(ACT_DOOR_SCOPE=$B140)))*SIGN(((ACT_SKU_SCOPE="ALL")+(ACT_SKU_SCOPE=$G140)))*(5&gt;ACT_END)*(ACT_END&gt;0)*IFERROR(ACT_POSTLIFT,0))),0)))</f>
        <v/>
      </c>
      <c r="O140" s="10">
        <f>IF(OR($H140&lt;&gt;"Y",6&lt;$I140),0,IF(SUMPRODUCT(((BULK_ENABLED="Y")*((BULK_TIER="ALL")+(BULK_TIER=$F140))*((BULK_SKU="ALL")+(BULK_SKU=$G140))*(BULK_START&lt;=6)*(BULK_END&gt;=6)))&gt;0,IFERROR(SUMPRODUCT(((BULK_ENABLED="Y")*((BULK_TIER="ALL")+(BULK_TIER=$F140))*((BULK_SKU="ALL")+(BULK_SKU=$G140))*(BULK_START&lt;=6)*(BULK_END&gt;=6))*IFERROR(BULK_VALUE,0))/MAX(1,SUMPRODUCT(((BULK_ENABLED="Y")*((BULK_TIER="ALL")+(BULK_TIER=$F140))*((BULK_SKU="ALL")+(BULK_SKU=$G140))*(BULK_START&lt;=6)*(BULK_END&gt;=6)))),0),ROUND((INDEX(VELOCITY_TABLE,MATCH($F140,TIER_LIST,0),1))*(IF((6-$I140+1)&lt;=0,0,IF((6-$I140+1)=1,RAMP_W1,IF((6-$I140+1)=2,RAMP_W2,IF((6-$I140+1)=3,RAMP_W3,RAMP_W4PLUS)))))*(INDEX(ACTIVE_MULT_TABLE,1,1))*(1+SUMPRODUCT(SIGN(((ACT_DOOR_SCOPE="ALL")+(ACT_DOOR_SCOPE="TIER_"&amp;$F140)+(ACT_DOOR_SCOPE=$B140)))*SIGN(((ACT_SKU_SCOPE="ALL")+(ACT_SKU_SCOPE=$G140)))*(ACT_START&lt;=6)*(ACT_END&gt;=6)*IFERROR(ACT_UPLIFT-1,0)))*(1+SUMPRODUCT(SIGN(((ACT_DOOR_SCOPE="ALL")+(ACT_DOOR_SCOPE="TIER_"&amp;$F140)+(ACT_DOOR_SCOPE=$B140)))*SIGN(((ACT_SKU_SCOPE="ALL")+(ACT_SKU_SCOPE=$G140)))*(6&gt;ACT_END)*(ACT_END&gt;0)*IFERROR(ACT_POSTLIFT,0))),0)))</f>
        <v/>
      </c>
      <c r="P140" s="10">
        <f>IF(OR($H140&lt;&gt;"Y",7&lt;$I140),0,IF(SUMPRODUCT(((BULK_ENABLED="Y")*((BULK_TIER="ALL")+(BULK_TIER=$F140))*((BULK_SKU="ALL")+(BULK_SKU=$G140))*(BULK_START&lt;=7)*(BULK_END&gt;=7)))&gt;0,IFERROR(SUMPRODUCT(((BULK_ENABLED="Y")*((BULK_TIER="ALL")+(BULK_TIER=$F140))*((BULK_SKU="ALL")+(BULK_SKU=$G140))*(BULK_START&lt;=7)*(BULK_END&gt;=7))*IFERROR(BULK_VALUE,0))/MAX(1,SUMPRODUCT(((BULK_ENABLED="Y")*((BULK_TIER="ALL")+(BULK_TIER=$F140))*((BULK_SKU="ALL")+(BULK_SKU=$G140))*(BULK_START&lt;=7)*(BULK_END&gt;=7)))),0),ROUND((INDEX(VELOCITY_TABLE,MATCH($F140,TIER_LIST,0),1))*(IF((7-$I140+1)&lt;=0,0,IF((7-$I140+1)=1,RAMP_W1,IF((7-$I140+1)=2,RAMP_W2,IF((7-$I140+1)=3,RAMP_W3,RAMP_W4PLUS)))))*(INDEX(ACTIVE_MULT_TABLE,1,1))*(1+SUMPRODUCT(SIGN(((ACT_DOOR_SCOPE="ALL")+(ACT_DOOR_SCOPE="TIER_"&amp;$F140)+(ACT_DOOR_SCOPE=$B140)))*SIGN(((ACT_SKU_SCOPE="ALL")+(ACT_SKU_SCOPE=$G140)))*(ACT_START&lt;=7)*(ACT_END&gt;=7)*IFERROR(ACT_UPLIFT-1,0)))*(1+SUMPRODUCT(SIGN(((ACT_DOOR_SCOPE="ALL")+(ACT_DOOR_SCOPE="TIER_"&amp;$F140)+(ACT_DOOR_SCOPE=$B140)))*SIGN(((ACT_SKU_SCOPE="ALL")+(ACT_SKU_SCOPE=$G140)))*(7&gt;ACT_END)*(ACT_END&gt;0)*IFERROR(ACT_POSTLIFT,0))),0)))</f>
        <v/>
      </c>
      <c r="Q140" s="10">
        <f>IF(OR($H140&lt;&gt;"Y",8&lt;$I140),0,IF(SUMPRODUCT(((BULK_ENABLED="Y")*((BULK_TIER="ALL")+(BULK_TIER=$F140))*((BULK_SKU="ALL")+(BULK_SKU=$G140))*(BULK_START&lt;=8)*(BULK_END&gt;=8)))&gt;0,IFERROR(SUMPRODUCT(((BULK_ENABLED="Y")*((BULK_TIER="ALL")+(BULK_TIER=$F140))*((BULK_SKU="ALL")+(BULK_SKU=$G140))*(BULK_START&lt;=8)*(BULK_END&gt;=8))*IFERROR(BULK_VALUE,0))/MAX(1,SUMPRODUCT(((BULK_ENABLED="Y")*((BULK_TIER="ALL")+(BULK_TIER=$F140))*((BULK_SKU="ALL")+(BULK_SKU=$G140))*(BULK_START&lt;=8)*(BULK_END&gt;=8)))),0),ROUND((INDEX(VELOCITY_TABLE,MATCH($F140,TIER_LIST,0),1))*(IF((8-$I140+1)&lt;=0,0,IF((8-$I140+1)=1,RAMP_W1,IF((8-$I140+1)=2,RAMP_W2,IF((8-$I140+1)=3,RAMP_W3,RAMP_W4PLUS)))))*(INDEX(ACTIVE_MULT_TABLE,1,1))*(1+SUMPRODUCT(SIGN(((ACT_DOOR_SCOPE="ALL")+(ACT_DOOR_SCOPE="TIER_"&amp;$F140)+(ACT_DOOR_SCOPE=$B140)))*SIGN(((ACT_SKU_SCOPE="ALL")+(ACT_SKU_SCOPE=$G140)))*(ACT_START&lt;=8)*(ACT_END&gt;=8)*IFERROR(ACT_UPLIFT-1,0)))*(1+SUMPRODUCT(SIGN(((ACT_DOOR_SCOPE="ALL")+(ACT_DOOR_SCOPE="TIER_"&amp;$F140)+(ACT_DOOR_SCOPE=$B140)))*SIGN(((ACT_SKU_SCOPE="ALL")+(ACT_SKU_SCOPE=$G140)))*(8&gt;ACT_END)*(ACT_END&gt;0)*IFERROR(ACT_POSTLIFT,0))),0)))</f>
        <v/>
      </c>
      <c r="R140" s="10">
        <f>IF(OR($H140&lt;&gt;"Y",9&lt;$I140),0,IF(SUMPRODUCT(((BULK_ENABLED="Y")*((BULK_TIER="ALL")+(BULK_TIER=$F140))*((BULK_SKU="ALL")+(BULK_SKU=$G140))*(BULK_START&lt;=9)*(BULK_END&gt;=9)))&gt;0,IFERROR(SUMPRODUCT(((BULK_ENABLED="Y")*((BULK_TIER="ALL")+(BULK_TIER=$F140))*((BULK_SKU="ALL")+(BULK_SKU=$G140))*(BULK_START&lt;=9)*(BULK_END&gt;=9))*IFERROR(BULK_VALUE,0))/MAX(1,SUMPRODUCT(((BULK_ENABLED="Y")*((BULK_TIER="ALL")+(BULK_TIER=$F140))*((BULK_SKU="ALL")+(BULK_SKU=$G140))*(BULK_START&lt;=9)*(BULK_END&gt;=9)))),0),ROUND((INDEX(VELOCITY_TABLE,MATCH($F140,TIER_LIST,0),1))*(IF((9-$I140+1)&lt;=0,0,IF((9-$I140+1)=1,RAMP_W1,IF((9-$I140+1)=2,RAMP_W2,IF((9-$I140+1)=3,RAMP_W3,RAMP_W4PLUS)))))*(INDEX(ACTIVE_MULT_TABLE,1,1))*(1+SUMPRODUCT(SIGN(((ACT_DOOR_SCOPE="ALL")+(ACT_DOOR_SCOPE="TIER_"&amp;$F140)+(ACT_DOOR_SCOPE=$B140)))*SIGN(((ACT_SKU_SCOPE="ALL")+(ACT_SKU_SCOPE=$G140)))*(ACT_START&lt;=9)*(ACT_END&gt;=9)*IFERROR(ACT_UPLIFT-1,0)))*(1+SUMPRODUCT(SIGN(((ACT_DOOR_SCOPE="ALL")+(ACT_DOOR_SCOPE="TIER_"&amp;$F140)+(ACT_DOOR_SCOPE=$B140)))*SIGN(((ACT_SKU_SCOPE="ALL")+(ACT_SKU_SCOPE=$G140)))*(9&gt;ACT_END)*(ACT_END&gt;0)*IFERROR(ACT_POSTLIFT,0))),0)))</f>
        <v/>
      </c>
      <c r="S140" s="10">
        <f>IF(OR($H140&lt;&gt;"Y",10&lt;$I140),0,IF(SUMPRODUCT(((BULK_ENABLED="Y")*((BULK_TIER="ALL")+(BULK_TIER=$F140))*((BULK_SKU="ALL")+(BULK_SKU=$G140))*(BULK_START&lt;=10)*(BULK_END&gt;=10)))&gt;0,IFERROR(SUMPRODUCT(((BULK_ENABLED="Y")*((BULK_TIER="ALL")+(BULK_TIER=$F140))*((BULK_SKU="ALL")+(BULK_SKU=$G140))*(BULK_START&lt;=10)*(BULK_END&gt;=10))*IFERROR(BULK_VALUE,0))/MAX(1,SUMPRODUCT(((BULK_ENABLED="Y")*((BULK_TIER="ALL")+(BULK_TIER=$F140))*((BULK_SKU="ALL")+(BULK_SKU=$G140))*(BULK_START&lt;=10)*(BULK_END&gt;=10)))),0),ROUND((INDEX(VELOCITY_TABLE,MATCH($F140,TIER_LIST,0),1))*(IF((10-$I140+1)&lt;=0,0,IF((10-$I140+1)=1,RAMP_W1,IF((10-$I140+1)=2,RAMP_W2,IF((10-$I140+1)=3,RAMP_W3,RAMP_W4PLUS)))))*(INDEX(ACTIVE_MULT_TABLE,1,1))*(1+SUMPRODUCT(SIGN(((ACT_DOOR_SCOPE="ALL")+(ACT_DOOR_SCOPE="TIER_"&amp;$F140)+(ACT_DOOR_SCOPE=$B140)))*SIGN(((ACT_SKU_SCOPE="ALL")+(ACT_SKU_SCOPE=$G140)))*(ACT_START&lt;=10)*(ACT_END&gt;=10)*IFERROR(ACT_UPLIFT-1,0)))*(1+SUMPRODUCT(SIGN(((ACT_DOOR_SCOPE="ALL")+(ACT_DOOR_SCOPE="TIER_"&amp;$F140)+(ACT_DOOR_SCOPE=$B140)))*SIGN(((ACT_SKU_SCOPE="ALL")+(ACT_SKU_SCOPE=$G140)))*(10&gt;ACT_END)*(ACT_END&gt;0)*IFERROR(ACT_POSTLIFT,0))),0)))</f>
        <v/>
      </c>
      <c r="T140" s="10">
        <f>IF(OR($H140&lt;&gt;"Y",11&lt;$I140),0,IF(SUMPRODUCT(((BULK_ENABLED="Y")*((BULK_TIER="ALL")+(BULK_TIER=$F140))*((BULK_SKU="ALL")+(BULK_SKU=$G140))*(BULK_START&lt;=11)*(BULK_END&gt;=11)))&gt;0,IFERROR(SUMPRODUCT(((BULK_ENABLED="Y")*((BULK_TIER="ALL")+(BULK_TIER=$F140))*((BULK_SKU="ALL")+(BULK_SKU=$G140))*(BULK_START&lt;=11)*(BULK_END&gt;=11))*IFERROR(BULK_VALUE,0))/MAX(1,SUMPRODUCT(((BULK_ENABLED="Y")*((BULK_TIER="ALL")+(BULK_TIER=$F140))*((BULK_SKU="ALL")+(BULK_SKU=$G140))*(BULK_START&lt;=11)*(BULK_END&gt;=11)))),0),ROUND((INDEX(VELOCITY_TABLE,MATCH($F140,TIER_LIST,0),1))*(IF((11-$I140+1)&lt;=0,0,IF((11-$I140+1)=1,RAMP_W1,IF((11-$I140+1)=2,RAMP_W2,IF((11-$I140+1)=3,RAMP_W3,RAMP_W4PLUS)))))*(INDEX(ACTIVE_MULT_TABLE,1,1))*(1+SUMPRODUCT(SIGN(((ACT_DOOR_SCOPE="ALL")+(ACT_DOOR_SCOPE="TIER_"&amp;$F140)+(ACT_DOOR_SCOPE=$B140)))*SIGN(((ACT_SKU_SCOPE="ALL")+(ACT_SKU_SCOPE=$G140)))*(ACT_START&lt;=11)*(ACT_END&gt;=11)*IFERROR(ACT_UPLIFT-1,0)))*(1+SUMPRODUCT(SIGN(((ACT_DOOR_SCOPE="ALL")+(ACT_DOOR_SCOPE="TIER_"&amp;$F140)+(ACT_DOOR_SCOPE=$B140)))*SIGN(((ACT_SKU_SCOPE="ALL")+(ACT_SKU_SCOPE=$G140)))*(11&gt;ACT_END)*(ACT_END&gt;0)*IFERROR(ACT_POSTLIFT,0))),0)))</f>
        <v/>
      </c>
      <c r="U140" s="10">
        <f>IF(OR($H140&lt;&gt;"Y",12&lt;$I140),0,IF(SUMPRODUCT(((BULK_ENABLED="Y")*((BULK_TIER="ALL")+(BULK_TIER=$F140))*((BULK_SKU="ALL")+(BULK_SKU=$G140))*(BULK_START&lt;=12)*(BULK_END&gt;=12)))&gt;0,IFERROR(SUMPRODUCT(((BULK_ENABLED="Y")*((BULK_TIER="ALL")+(BULK_TIER=$F140))*((BULK_SKU="ALL")+(BULK_SKU=$G140))*(BULK_START&lt;=12)*(BULK_END&gt;=12))*IFERROR(BULK_VALUE,0))/MAX(1,SUMPRODUCT(((BULK_ENABLED="Y")*((BULK_TIER="ALL")+(BULK_TIER=$F140))*((BULK_SKU="ALL")+(BULK_SKU=$G140))*(BULK_START&lt;=12)*(BULK_END&gt;=12)))),0),ROUND((INDEX(VELOCITY_TABLE,MATCH($F140,TIER_LIST,0),1))*(IF((12-$I140+1)&lt;=0,0,IF((12-$I140+1)=1,RAMP_W1,IF((12-$I140+1)=2,RAMP_W2,IF((12-$I140+1)=3,RAMP_W3,RAMP_W4PLUS)))))*(INDEX(ACTIVE_MULT_TABLE,1,1))*(1+SUMPRODUCT(SIGN(((ACT_DOOR_SCOPE="ALL")+(ACT_DOOR_SCOPE="TIER_"&amp;$F140)+(ACT_DOOR_SCOPE=$B140)))*SIGN(((ACT_SKU_SCOPE="ALL")+(ACT_SKU_SCOPE=$G140)))*(ACT_START&lt;=12)*(ACT_END&gt;=12)*IFERROR(ACT_UPLIFT-1,0)))*(1+SUMPRODUCT(SIGN(((ACT_DOOR_SCOPE="ALL")+(ACT_DOOR_SCOPE="TIER_"&amp;$F140)+(ACT_DOOR_SCOPE=$B140)))*SIGN(((ACT_SKU_SCOPE="ALL")+(ACT_SKU_SCOPE=$G140)))*(12&gt;ACT_END)*(ACT_END&gt;0)*IFERROR(ACT_POSTLIFT,0))),0)))</f>
        <v/>
      </c>
      <c r="V140" s="10">
        <f>IF(OR($H140&lt;&gt;"Y",13&lt;$I140),0,IF(SUMPRODUCT(((BULK_ENABLED="Y")*((BULK_TIER="ALL")+(BULK_TIER=$F140))*((BULK_SKU="ALL")+(BULK_SKU=$G140))*(BULK_START&lt;=13)*(BULK_END&gt;=13)))&gt;0,IFERROR(SUMPRODUCT(((BULK_ENABLED="Y")*((BULK_TIER="ALL")+(BULK_TIER=$F140))*((BULK_SKU="ALL")+(BULK_SKU=$G140))*(BULK_START&lt;=13)*(BULK_END&gt;=13))*IFERROR(BULK_VALUE,0))/MAX(1,SUMPRODUCT(((BULK_ENABLED="Y")*((BULK_TIER="ALL")+(BULK_TIER=$F140))*((BULK_SKU="ALL")+(BULK_SKU=$G140))*(BULK_START&lt;=13)*(BULK_END&gt;=13)))),0),ROUND((INDEX(VELOCITY_TABLE,MATCH($F140,TIER_LIST,0),1))*(IF((13-$I140+1)&lt;=0,0,IF((13-$I140+1)=1,RAMP_W1,IF((13-$I140+1)=2,RAMP_W2,IF((13-$I140+1)=3,RAMP_W3,RAMP_W4PLUS)))))*(INDEX(ACTIVE_MULT_TABLE,1,1))*(1+SUMPRODUCT(SIGN(((ACT_DOOR_SCOPE="ALL")+(ACT_DOOR_SCOPE="TIER_"&amp;$F140)+(ACT_DOOR_SCOPE=$B140)))*SIGN(((ACT_SKU_SCOPE="ALL")+(ACT_SKU_SCOPE=$G140)))*(ACT_START&lt;=13)*(ACT_END&gt;=13)*IFERROR(ACT_UPLIFT-1,0)))*(1+SUMPRODUCT(SIGN(((ACT_DOOR_SCOPE="ALL")+(ACT_DOOR_SCOPE="TIER_"&amp;$F140)+(ACT_DOOR_SCOPE=$B140)))*SIGN(((ACT_SKU_SCOPE="ALL")+(ACT_SKU_SCOPE=$G140)))*(13&gt;ACT_END)*(ACT_END&gt;0)*IFERROR(ACT_POSTLIFT,0))),0)))</f>
        <v/>
      </c>
    </row>
    <row r="141">
      <c r="A141" t="inlineStr">
        <is>
          <t>R0137</t>
        </is>
      </c>
      <c r="B141">
        <f>Doors!$A$50</f>
        <v/>
      </c>
      <c r="C141">
        <f>Doors!$C$50</f>
        <v/>
      </c>
      <c r="D141">
        <f>Doors!$B$50</f>
        <v/>
      </c>
      <c r="E141">
        <f>Doors!$E$50</f>
        <v/>
      </c>
      <c r="F141">
        <f>Doors!$F$50</f>
        <v/>
      </c>
      <c r="G141" t="inlineStr">
        <is>
          <t>Pineapple Passion Fruit</t>
        </is>
      </c>
      <c r="H141">
        <f>Doors!$H$50</f>
        <v/>
      </c>
      <c r="I141">
        <f>Doors!$J$50</f>
        <v/>
      </c>
      <c r="J141" s="10">
        <f>IF(OR($H141&lt;&gt;"Y",1&lt;$I141),0,IF(SUMPRODUCT(((BULK_ENABLED="Y")*((BULK_TIER="ALL")+(BULK_TIER=$F141))*((BULK_SKU="ALL")+(BULK_SKU=$G141))*(BULK_START&lt;=1)*(BULK_END&gt;=1)))&gt;0,IFERROR(SUMPRODUCT(((BULK_ENABLED="Y")*((BULK_TIER="ALL")+(BULK_TIER=$F141))*((BULK_SKU="ALL")+(BULK_SKU=$G141))*(BULK_START&lt;=1)*(BULK_END&gt;=1))*IFERROR(BULK_VALUE,0))/MAX(1,SUMPRODUCT(((BULK_ENABLED="Y")*((BULK_TIER="ALL")+(BULK_TIER=$F141))*((BULK_SKU="ALL")+(BULK_SKU=$G141))*(BULK_START&lt;=1)*(BULK_END&gt;=1)))),0),ROUND((INDEX(VELOCITY_TABLE,MATCH($F141,TIER_LIST,0),2))*(IF((1-$I141+1)&lt;=0,0,IF((1-$I141+1)=1,RAMP_W1,IF((1-$I141+1)=2,RAMP_W2,IF((1-$I141+1)=3,RAMP_W3,RAMP_W4PLUS)))))*(INDEX(ACTIVE_MULT_TABLE,2,1))*(1+SUMPRODUCT(SIGN(((ACT_DOOR_SCOPE="ALL")+(ACT_DOOR_SCOPE="TIER_"&amp;$F141)+(ACT_DOOR_SCOPE=$B141)))*SIGN(((ACT_SKU_SCOPE="ALL")+(ACT_SKU_SCOPE=$G141)))*(ACT_START&lt;=1)*(ACT_END&gt;=1)*IFERROR(ACT_UPLIFT-1,0)))*(1+SUMPRODUCT(SIGN(((ACT_DOOR_SCOPE="ALL")+(ACT_DOOR_SCOPE="TIER_"&amp;$F141)+(ACT_DOOR_SCOPE=$B141)))*SIGN(((ACT_SKU_SCOPE="ALL")+(ACT_SKU_SCOPE=$G141)))*(1&gt;ACT_END)*(ACT_END&gt;0)*IFERROR(ACT_POSTLIFT,0))),0)))</f>
        <v/>
      </c>
      <c r="K141" s="10">
        <f>IF(OR($H141&lt;&gt;"Y",2&lt;$I141),0,IF(SUMPRODUCT(((BULK_ENABLED="Y")*((BULK_TIER="ALL")+(BULK_TIER=$F141))*((BULK_SKU="ALL")+(BULK_SKU=$G141))*(BULK_START&lt;=2)*(BULK_END&gt;=2)))&gt;0,IFERROR(SUMPRODUCT(((BULK_ENABLED="Y")*((BULK_TIER="ALL")+(BULK_TIER=$F141))*((BULK_SKU="ALL")+(BULK_SKU=$G141))*(BULK_START&lt;=2)*(BULK_END&gt;=2))*IFERROR(BULK_VALUE,0))/MAX(1,SUMPRODUCT(((BULK_ENABLED="Y")*((BULK_TIER="ALL")+(BULK_TIER=$F141))*((BULK_SKU="ALL")+(BULK_SKU=$G141))*(BULK_START&lt;=2)*(BULK_END&gt;=2)))),0),ROUND((INDEX(VELOCITY_TABLE,MATCH($F141,TIER_LIST,0),2))*(IF((2-$I141+1)&lt;=0,0,IF((2-$I141+1)=1,RAMP_W1,IF((2-$I141+1)=2,RAMP_W2,IF((2-$I141+1)=3,RAMP_W3,RAMP_W4PLUS)))))*(INDEX(ACTIVE_MULT_TABLE,2,1))*(1+SUMPRODUCT(SIGN(((ACT_DOOR_SCOPE="ALL")+(ACT_DOOR_SCOPE="TIER_"&amp;$F141)+(ACT_DOOR_SCOPE=$B141)))*SIGN(((ACT_SKU_SCOPE="ALL")+(ACT_SKU_SCOPE=$G141)))*(ACT_START&lt;=2)*(ACT_END&gt;=2)*IFERROR(ACT_UPLIFT-1,0)))*(1+SUMPRODUCT(SIGN(((ACT_DOOR_SCOPE="ALL")+(ACT_DOOR_SCOPE="TIER_"&amp;$F141)+(ACT_DOOR_SCOPE=$B141)))*SIGN(((ACT_SKU_SCOPE="ALL")+(ACT_SKU_SCOPE=$G141)))*(2&gt;ACT_END)*(ACT_END&gt;0)*IFERROR(ACT_POSTLIFT,0))),0)))</f>
        <v/>
      </c>
      <c r="L141" s="10">
        <f>IF(OR($H141&lt;&gt;"Y",3&lt;$I141),0,IF(SUMPRODUCT(((BULK_ENABLED="Y")*((BULK_TIER="ALL")+(BULK_TIER=$F141))*((BULK_SKU="ALL")+(BULK_SKU=$G141))*(BULK_START&lt;=3)*(BULK_END&gt;=3)))&gt;0,IFERROR(SUMPRODUCT(((BULK_ENABLED="Y")*((BULK_TIER="ALL")+(BULK_TIER=$F141))*((BULK_SKU="ALL")+(BULK_SKU=$G141))*(BULK_START&lt;=3)*(BULK_END&gt;=3))*IFERROR(BULK_VALUE,0))/MAX(1,SUMPRODUCT(((BULK_ENABLED="Y")*((BULK_TIER="ALL")+(BULK_TIER=$F141))*((BULK_SKU="ALL")+(BULK_SKU=$G141))*(BULK_START&lt;=3)*(BULK_END&gt;=3)))),0),ROUND((INDEX(VELOCITY_TABLE,MATCH($F141,TIER_LIST,0),2))*(IF((3-$I141+1)&lt;=0,0,IF((3-$I141+1)=1,RAMP_W1,IF((3-$I141+1)=2,RAMP_W2,IF((3-$I141+1)=3,RAMP_W3,RAMP_W4PLUS)))))*(INDEX(ACTIVE_MULT_TABLE,2,1))*(1+SUMPRODUCT(SIGN(((ACT_DOOR_SCOPE="ALL")+(ACT_DOOR_SCOPE="TIER_"&amp;$F141)+(ACT_DOOR_SCOPE=$B141)))*SIGN(((ACT_SKU_SCOPE="ALL")+(ACT_SKU_SCOPE=$G141)))*(ACT_START&lt;=3)*(ACT_END&gt;=3)*IFERROR(ACT_UPLIFT-1,0)))*(1+SUMPRODUCT(SIGN(((ACT_DOOR_SCOPE="ALL")+(ACT_DOOR_SCOPE="TIER_"&amp;$F141)+(ACT_DOOR_SCOPE=$B141)))*SIGN(((ACT_SKU_SCOPE="ALL")+(ACT_SKU_SCOPE=$G141)))*(3&gt;ACT_END)*(ACT_END&gt;0)*IFERROR(ACT_POSTLIFT,0))),0)))</f>
        <v/>
      </c>
      <c r="M141" s="10">
        <f>IF(OR($H141&lt;&gt;"Y",4&lt;$I141),0,IF(SUMPRODUCT(((BULK_ENABLED="Y")*((BULK_TIER="ALL")+(BULK_TIER=$F141))*((BULK_SKU="ALL")+(BULK_SKU=$G141))*(BULK_START&lt;=4)*(BULK_END&gt;=4)))&gt;0,IFERROR(SUMPRODUCT(((BULK_ENABLED="Y")*((BULK_TIER="ALL")+(BULK_TIER=$F141))*((BULK_SKU="ALL")+(BULK_SKU=$G141))*(BULK_START&lt;=4)*(BULK_END&gt;=4))*IFERROR(BULK_VALUE,0))/MAX(1,SUMPRODUCT(((BULK_ENABLED="Y")*((BULK_TIER="ALL")+(BULK_TIER=$F141))*((BULK_SKU="ALL")+(BULK_SKU=$G141))*(BULK_START&lt;=4)*(BULK_END&gt;=4)))),0),ROUND((INDEX(VELOCITY_TABLE,MATCH($F141,TIER_LIST,0),2))*(IF((4-$I141+1)&lt;=0,0,IF((4-$I141+1)=1,RAMP_W1,IF((4-$I141+1)=2,RAMP_W2,IF((4-$I141+1)=3,RAMP_W3,RAMP_W4PLUS)))))*(INDEX(ACTIVE_MULT_TABLE,2,1))*(1+SUMPRODUCT(SIGN(((ACT_DOOR_SCOPE="ALL")+(ACT_DOOR_SCOPE="TIER_"&amp;$F141)+(ACT_DOOR_SCOPE=$B141)))*SIGN(((ACT_SKU_SCOPE="ALL")+(ACT_SKU_SCOPE=$G141)))*(ACT_START&lt;=4)*(ACT_END&gt;=4)*IFERROR(ACT_UPLIFT-1,0)))*(1+SUMPRODUCT(SIGN(((ACT_DOOR_SCOPE="ALL")+(ACT_DOOR_SCOPE="TIER_"&amp;$F141)+(ACT_DOOR_SCOPE=$B141)))*SIGN(((ACT_SKU_SCOPE="ALL")+(ACT_SKU_SCOPE=$G141)))*(4&gt;ACT_END)*(ACT_END&gt;0)*IFERROR(ACT_POSTLIFT,0))),0)))</f>
        <v/>
      </c>
      <c r="N141" s="10">
        <f>IF(OR($H141&lt;&gt;"Y",5&lt;$I141),0,IF(SUMPRODUCT(((BULK_ENABLED="Y")*((BULK_TIER="ALL")+(BULK_TIER=$F141))*((BULK_SKU="ALL")+(BULK_SKU=$G141))*(BULK_START&lt;=5)*(BULK_END&gt;=5)))&gt;0,IFERROR(SUMPRODUCT(((BULK_ENABLED="Y")*((BULK_TIER="ALL")+(BULK_TIER=$F141))*((BULK_SKU="ALL")+(BULK_SKU=$G141))*(BULK_START&lt;=5)*(BULK_END&gt;=5))*IFERROR(BULK_VALUE,0))/MAX(1,SUMPRODUCT(((BULK_ENABLED="Y")*((BULK_TIER="ALL")+(BULK_TIER=$F141))*((BULK_SKU="ALL")+(BULK_SKU=$G141))*(BULK_START&lt;=5)*(BULK_END&gt;=5)))),0),ROUND((INDEX(VELOCITY_TABLE,MATCH($F141,TIER_LIST,0),2))*(IF((5-$I141+1)&lt;=0,0,IF((5-$I141+1)=1,RAMP_W1,IF((5-$I141+1)=2,RAMP_W2,IF((5-$I141+1)=3,RAMP_W3,RAMP_W4PLUS)))))*(INDEX(ACTIVE_MULT_TABLE,2,1))*(1+SUMPRODUCT(SIGN(((ACT_DOOR_SCOPE="ALL")+(ACT_DOOR_SCOPE="TIER_"&amp;$F141)+(ACT_DOOR_SCOPE=$B141)))*SIGN(((ACT_SKU_SCOPE="ALL")+(ACT_SKU_SCOPE=$G141)))*(ACT_START&lt;=5)*(ACT_END&gt;=5)*IFERROR(ACT_UPLIFT-1,0)))*(1+SUMPRODUCT(SIGN(((ACT_DOOR_SCOPE="ALL")+(ACT_DOOR_SCOPE="TIER_"&amp;$F141)+(ACT_DOOR_SCOPE=$B141)))*SIGN(((ACT_SKU_SCOPE="ALL")+(ACT_SKU_SCOPE=$G141)))*(5&gt;ACT_END)*(ACT_END&gt;0)*IFERROR(ACT_POSTLIFT,0))),0)))</f>
        <v/>
      </c>
      <c r="O141" s="10">
        <f>IF(OR($H141&lt;&gt;"Y",6&lt;$I141),0,IF(SUMPRODUCT(((BULK_ENABLED="Y")*((BULK_TIER="ALL")+(BULK_TIER=$F141))*((BULK_SKU="ALL")+(BULK_SKU=$G141))*(BULK_START&lt;=6)*(BULK_END&gt;=6)))&gt;0,IFERROR(SUMPRODUCT(((BULK_ENABLED="Y")*((BULK_TIER="ALL")+(BULK_TIER=$F141))*((BULK_SKU="ALL")+(BULK_SKU=$G141))*(BULK_START&lt;=6)*(BULK_END&gt;=6))*IFERROR(BULK_VALUE,0))/MAX(1,SUMPRODUCT(((BULK_ENABLED="Y")*((BULK_TIER="ALL")+(BULK_TIER=$F141))*((BULK_SKU="ALL")+(BULK_SKU=$G141))*(BULK_START&lt;=6)*(BULK_END&gt;=6)))),0),ROUND((INDEX(VELOCITY_TABLE,MATCH($F141,TIER_LIST,0),2))*(IF((6-$I141+1)&lt;=0,0,IF((6-$I141+1)=1,RAMP_W1,IF((6-$I141+1)=2,RAMP_W2,IF((6-$I141+1)=3,RAMP_W3,RAMP_W4PLUS)))))*(INDEX(ACTIVE_MULT_TABLE,2,1))*(1+SUMPRODUCT(SIGN(((ACT_DOOR_SCOPE="ALL")+(ACT_DOOR_SCOPE="TIER_"&amp;$F141)+(ACT_DOOR_SCOPE=$B141)))*SIGN(((ACT_SKU_SCOPE="ALL")+(ACT_SKU_SCOPE=$G141)))*(ACT_START&lt;=6)*(ACT_END&gt;=6)*IFERROR(ACT_UPLIFT-1,0)))*(1+SUMPRODUCT(SIGN(((ACT_DOOR_SCOPE="ALL")+(ACT_DOOR_SCOPE="TIER_"&amp;$F141)+(ACT_DOOR_SCOPE=$B141)))*SIGN(((ACT_SKU_SCOPE="ALL")+(ACT_SKU_SCOPE=$G141)))*(6&gt;ACT_END)*(ACT_END&gt;0)*IFERROR(ACT_POSTLIFT,0))),0)))</f>
        <v/>
      </c>
      <c r="P141" s="10">
        <f>IF(OR($H141&lt;&gt;"Y",7&lt;$I141),0,IF(SUMPRODUCT(((BULK_ENABLED="Y")*((BULK_TIER="ALL")+(BULK_TIER=$F141))*((BULK_SKU="ALL")+(BULK_SKU=$G141))*(BULK_START&lt;=7)*(BULK_END&gt;=7)))&gt;0,IFERROR(SUMPRODUCT(((BULK_ENABLED="Y")*((BULK_TIER="ALL")+(BULK_TIER=$F141))*((BULK_SKU="ALL")+(BULK_SKU=$G141))*(BULK_START&lt;=7)*(BULK_END&gt;=7))*IFERROR(BULK_VALUE,0))/MAX(1,SUMPRODUCT(((BULK_ENABLED="Y")*((BULK_TIER="ALL")+(BULK_TIER=$F141))*((BULK_SKU="ALL")+(BULK_SKU=$G141))*(BULK_START&lt;=7)*(BULK_END&gt;=7)))),0),ROUND((INDEX(VELOCITY_TABLE,MATCH($F141,TIER_LIST,0),2))*(IF((7-$I141+1)&lt;=0,0,IF((7-$I141+1)=1,RAMP_W1,IF((7-$I141+1)=2,RAMP_W2,IF((7-$I141+1)=3,RAMP_W3,RAMP_W4PLUS)))))*(INDEX(ACTIVE_MULT_TABLE,2,1))*(1+SUMPRODUCT(SIGN(((ACT_DOOR_SCOPE="ALL")+(ACT_DOOR_SCOPE="TIER_"&amp;$F141)+(ACT_DOOR_SCOPE=$B141)))*SIGN(((ACT_SKU_SCOPE="ALL")+(ACT_SKU_SCOPE=$G141)))*(ACT_START&lt;=7)*(ACT_END&gt;=7)*IFERROR(ACT_UPLIFT-1,0)))*(1+SUMPRODUCT(SIGN(((ACT_DOOR_SCOPE="ALL")+(ACT_DOOR_SCOPE="TIER_"&amp;$F141)+(ACT_DOOR_SCOPE=$B141)))*SIGN(((ACT_SKU_SCOPE="ALL")+(ACT_SKU_SCOPE=$G141)))*(7&gt;ACT_END)*(ACT_END&gt;0)*IFERROR(ACT_POSTLIFT,0))),0)))</f>
        <v/>
      </c>
      <c r="Q141" s="10">
        <f>IF(OR($H141&lt;&gt;"Y",8&lt;$I141),0,IF(SUMPRODUCT(((BULK_ENABLED="Y")*((BULK_TIER="ALL")+(BULK_TIER=$F141))*((BULK_SKU="ALL")+(BULK_SKU=$G141))*(BULK_START&lt;=8)*(BULK_END&gt;=8)))&gt;0,IFERROR(SUMPRODUCT(((BULK_ENABLED="Y")*((BULK_TIER="ALL")+(BULK_TIER=$F141))*((BULK_SKU="ALL")+(BULK_SKU=$G141))*(BULK_START&lt;=8)*(BULK_END&gt;=8))*IFERROR(BULK_VALUE,0))/MAX(1,SUMPRODUCT(((BULK_ENABLED="Y")*((BULK_TIER="ALL")+(BULK_TIER=$F141))*((BULK_SKU="ALL")+(BULK_SKU=$G141))*(BULK_START&lt;=8)*(BULK_END&gt;=8)))),0),ROUND((INDEX(VELOCITY_TABLE,MATCH($F141,TIER_LIST,0),2))*(IF((8-$I141+1)&lt;=0,0,IF((8-$I141+1)=1,RAMP_W1,IF((8-$I141+1)=2,RAMP_W2,IF((8-$I141+1)=3,RAMP_W3,RAMP_W4PLUS)))))*(INDEX(ACTIVE_MULT_TABLE,2,1))*(1+SUMPRODUCT(SIGN(((ACT_DOOR_SCOPE="ALL")+(ACT_DOOR_SCOPE="TIER_"&amp;$F141)+(ACT_DOOR_SCOPE=$B141)))*SIGN(((ACT_SKU_SCOPE="ALL")+(ACT_SKU_SCOPE=$G141)))*(ACT_START&lt;=8)*(ACT_END&gt;=8)*IFERROR(ACT_UPLIFT-1,0)))*(1+SUMPRODUCT(SIGN(((ACT_DOOR_SCOPE="ALL")+(ACT_DOOR_SCOPE="TIER_"&amp;$F141)+(ACT_DOOR_SCOPE=$B141)))*SIGN(((ACT_SKU_SCOPE="ALL")+(ACT_SKU_SCOPE=$G141)))*(8&gt;ACT_END)*(ACT_END&gt;0)*IFERROR(ACT_POSTLIFT,0))),0)))</f>
        <v/>
      </c>
      <c r="R141" s="10">
        <f>IF(OR($H141&lt;&gt;"Y",9&lt;$I141),0,IF(SUMPRODUCT(((BULK_ENABLED="Y")*((BULK_TIER="ALL")+(BULK_TIER=$F141))*((BULK_SKU="ALL")+(BULK_SKU=$G141))*(BULK_START&lt;=9)*(BULK_END&gt;=9)))&gt;0,IFERROR(SUMPRODUCT(((BULK_ENABLED="Y")*((BULK_TIER="ALL")+(BULK_TIER=$F141))*((BULK_SKU="ALL")+(BULK_SKU=$G141))*(BULK_START&lt;=9)*(BULK_END&gt;=9))*IFERROR(BULK_VALUE,0))/MAX(1,SUMPRODUCT(((BULK_ENABLED="Y")*((BULK_TIER="ALL")+(BULK_TIER=$F141))*((BULK_SKU="ALL")+(BULK_SKU=$G141))*(BULK_START&lt;=9)*(BULK_END&gt;=9)))),0),ROUND((INDEX(VELOCITY_TABLE,MATCH($F141,TIER_LIST,0),2))*(IF((9-$I141+1)&lt;=0,0,IF((9-$I141+1)=1,RAMP_W1,IF((9-$I141+1)=2,RAMP_W2,IF((9-$I141+1)=3,RAMP_W3,RAMP_W4PLUS)))))*(INDEX(ACTIVE_MULT_TABLE,2,1))*(1+SUMPRODUCT(SIGN(((ACT_DOOR_SCOPE="ALL")+(ACT_DOOR_SCOPE="TIER_"&amp;$F141)+(ACT_DOOR_SCOPE=$B141)))*SIGN(((ACT_SKU_SCOPE="ALL")+(ACT_SKU_SCOPE=$G141)))*(ACT_START&lt;=9)*(ACT_END&gt;=9)*IFERROR(ACT_UPLIFT-1,0)))*(1+SUMPRODUCT(SIGN(((ACT_DOOR_SCOPE="ALL")+(ACT_DOOR_SCOPE="TIER_"&amp;$F141)+(ACT_DOOR_SCOPE=$B141)))*SIGN(((ACT_SKU_SCOPE="ALL")+(ACT_SKU_SCOPE=$G141)))*(9&gt;ACT_END)*(ACT_END&gt;0)*IFERROR(ACT_POSTLIFT,0))),0)))</f>
        <v/>
      </c>
      <c r="S141" s="10">
        <f>IF(OR($H141&lt;&gt;"Y",10&lt;$I141),0,IF(SUMPRODUCT(((BULK_ENABLED="Y")*((BULK_TIER="ALL")+(BULK_TIER=$F141))*((BULK_SKU="ALL")+(BULK_SKU=$G141))*(BULK_START&lt;=10)*(BULK_END&gt;=10)))&gt;0,IFERROR(SUMPRODUCT(((BULK_ENABLED="Y")*((BULK_TIER="ALL")+(BULK_TIER=$F141))*((BULK_SKU="ALL")+(BULK_SKU=$G141))*(BULK_START&lt;=10)*(BULK_END&gt;=10))*IFERROR(BULK_VALUE,0))/MAX(1,SUMPRODUCT(((BULK_ENABLED="Y")*((BULK_TIER="ALL")+(BULK_TIER=$F141))*((BULK_SKU="ALL")+(BULK_SKU=$G141))*(BULK_START&lt;=10)*(BULK_END&gt;=10)))),0),ROUND((INDEX(VELOCITY_TABLE,MATCH($F141,TIER_LIST,0),2))*(IF((10-$I141+1)&lt;=0,0,IF((10-$I141+1)=1,RAMP_W1,IF((10-$I141+1)=2,RAMP_W2,IF((10-$I141+1)=3,RAMP_W3,RAMP_W4PLUS)))))*(INDEX(ACTIVE_MULT_TABLE,2,1))*(1+SUMPRODUCT(SIGN(((ACT_DOOR_SCOPE="ALL")+(ACT_DOOR_SCOPE="TIER_"&amp;$F141)+(ACT_DOOR_SCOPE=$B141)))*SIGN(((ACT_SKU_SCOPE="ALL")+(ACT_SKU_SCOPE=$G141)))*(ACT_START&lt;=10)*(ACT_END&gt;=10)*IFERROR(ACT_UPLIFT-1,0)))*(1+SUMPRODUCT(SIGN(((ACT_DOOR_SCOPE="ALL")+(ACT_DOOR_SCOPE="TIER_"&amp;$F141)+(ACT_DOOR_SCOPE=$B141)))*SIGN(((ACT_SKU_SCOPE="ALL")+(ACT_SKU_SCOPE=$G141)))*(10&gt;ACT_END)*(ACT_END&gt;0)*IFERROR(ACT_POSTLIFT,0))),0)))</f>
        <v/>
      </c>
      <c r="T141" s="10">
        <f>IF(OR($H141&lt;&gt;"Y",11&lt;$I141),0,IF(SUMPRODUCT(((BULK_ENABLED="Y")*((BULK_TIER="ALL")+(BULK_TIER=$F141))*((BULK_SKU="ALL")+(BULK_SKU=$G141))*(BULK_START&lt;=11)*(BULK_END&gt;=11)))&gt;0,IFERROR(SUMPRODUCT(((BULK_ENABLED="Y")*((BULK_TIER="ALL")+(BULK_TIER=$F141))*((BULK_SKU="ALL")+(BULK_SKU=$G141))*(BULK_START&lt;=11)*(BULK_END&gt;=11))*IFERROR(BULK_VALUE,0))/MAX(1,SUMPRODUCT(((BULK_ENABLED="Y")*((BULK_TIER="ALL")+(BULK_TIER=$F141))*((BULK_SKU="ALL")+(BULK_SKU=$G141))*(BULK_START&lt;=11)*(BULK_END&gt;=11)))),0),ROUND((INDEX(VELOCITY_TABLE,MATCH($F141,TIER_LIST,0),2))*(IF((11-$I141+1)&lt;=0,0,IF((11-$I141+1)=1,RAMP_W1,IF((11-$I141+1)=2,RAMP_W2,IF((11-$I141+1)=3,RAMP_W3,RAMP_W4PLUS)))))*(INDEX(ACTIVE_MULT_TABLE,2,1))*(1+SUMPRODUCT(SIGN(((ACT_DOOR_SCOPE="ALL")+(ACT_DOOR_SCOPE="TIER_"&amp;$F141)+(ACT_DOOR_SCOPE=$B141)))*SIGN(((ACT_SKU_SCOPE="ALL")+(ACT_SKU_SCOPE=$G141)))*(ACT_START&lt;=11)*(ACT_END&gt;=11)*IFERROR(ACT_UPLIFT-1,0)))*(1+SUMPRODUCT(SIGN(((ACT_DOOR_SCOPE="ALL")+(ACT_DOOR_SCOPE="TIER_"&amp;$F141)+(ACT_DOOR_SCOPE=$B141)))*SIGN(((ACT_SKU_SCOPE="ALL")+(ACT_SKU_SCOPE=$G141)))*(11&gt;ACT_END)*(ACT_END&gt;0)*IFERROR(ACT_POSTLIFT,0))),0)))</f>
        <v/>
      </c>
      <c r="U141" s="10">
        <f>IF(OR($H141&lt;&gt;"Y",12&lt;$I141),0,IF(SUMPRODUCT(((BULK_ENABLED="Y")*((BULK_TIER="ALL")+(BULK_TIER=$F141))*((BULK_SKU="ALL")+(BULK_SKU=$G141))*(BULK_START&lt;=12)*(BULK_END&gt;=12)))&gt;0,IFERROR(SUMPRODUCT(((BULK_ENABLED="Y")*((BULK_TIER="ALL")+(BULK_TIER=$F141))*((BULK_SKU="ALL")+(BULK_SKU=$G141))*(BULK_START&lt;=12)*(BULK_END&gt;=12))*IFERROR(BULK_VALUE,0))/MAX(1,SUMPRODUCT(((BULK_ENABLED="Y")*((BULK_TIER="ALL")+(BULK_TIER=$F141))*((BULK_SKU="ALL")+(BULK_SKU=$G141))*(BULK_START&lt;=12)*(BULK_END&gt;=12)))),0),ROUND((INDEX(VELOCITY_TABLE,MATCH($F141,TIER_LIST,0),2))*(IF((12-$I141+1)&lt;=0,0,IF((12-$I141+1)=1,RAMP_W1,IF((12-$I141+1)=2,RAMP_W2,IF((12-$I141+1)=3,RAMP_W3,RAMP_W4PLUS)))))*(INDEX(ACTIVE_MULT_TABLE,2,1))*(1+SUMPRODUCT(SIGN(((ACT_DOOR_SCOPE="ALL")+(ACT_DOOR_SCOPE="TIER_"&amp;$F141)+(ACT_DOOR_SCOPE=$B141)))*SIGN(((ACT_SKU_SCOPE="ALL")+(ACT_SKU_SCOPE=$G141)))*(ACT_START&lt;=12)*(ACT_END&gt;=12)*IFERROR(ACT_UPLIFT-1,0)))*(1+SUMPRODUCT(SIGN(((ACT_DOOR_SCOPE="ALL")+(ACT_DOOR_SCOPE="TIER_"&amp;$F141)+(ACT_DOOR_SCOPE=$B141)))*SIGN(((ACT_SKU_SCOPE="ALL")+(ACT_SKU_SCOPE=$G141)))*(12&gt;ACT_END)*(ACT_END&gt;0)*IFERROR(ACT_POSTLIFT,0))),0)))</f>
        <v/>
      </c>
      <c r="V141" s="10">
        <f>IF(OR($H141&lt;&gt;"Y",13&lt;$I141),0,IF(SUMPRODUCT(((BULK_ENABLED="Y")*((BULK_TIER="ALL")+(BULK_TIER=$F141))*((BULK_SKU="ALL")+(BULK_SKU=$G141))*(BULK_START&lt;=13)*(BULK_END&gt;=13)))&gt;0,IFERROR(SUMPRODUCT(((BULK_ENABLED="Y")*((BULK_TIER="ALL")+(BULK_TIER=$F141))*((BULK_SKU="ALL")+(BULK_SKU=$G141))*(BULK_START&lt;=13)*(BULK_END&gt;=13))*IFERROR(BULK_VALUE,0))/MAX(1,SUMPRODUCT(((BULK_ENABLED="Y")*((BULK_TIER="ALL")+(BULK_TIER=$F141))*((BULK_SKU="ALL")+(BULK_SKU=$G141))*(BULK_START&lt;=13)*(BULK_END&gt;=13)))),0),ROUND((INDEX(VELOCITY_TABLE,MATCH($F141,TIER_LIST,0),2))*(IF((13-$I141+1)&lt;=0,0,IF((13-$I141+1)=1,RAMP_W1,IF((13-$I141+1)=2,RAMP_W2,IF((13-$I141+1)=3,RAMP_W3,RAMP_W4PLUS)))))*(INDEX(ACTIVE_MULT_TABLE,2,1))*(1+SUMPRODUCT(SIGN(((ACT_DOOR_SCOPE="ALL")+(ACT_DOOR_SCOPE="TIER_"&amp;$F141)+(ACT_DOOR_SCOPE=$B141)))*SIGN(((ACT_SKU_SCOPE="ALL")+(ACT_SKU_SCOPE=$G141)))*(ACT_START&lt;=13)*(ACT_END&gt;=13)*IFERROR(ACT_UPLIFT-1,0)))*(1+SUMPRODUCT(SIGN(((ACT_DOOR_SCOPE="ALL")+(ACT_DOOR_SCOPE="TIER_"&amp;$F141)+(ACT_DOOR_SCOPE=$B141)))*SIGN(((ACT_SKU_SCOPE="ALL")+(ACT_SKU_SCOPE=$G141)))*(13&gt;ACT_END)*(ACT_END&gt;0)*IFERROR(ACT_POSTLIFT,0))),0)))</f>
        <v/>
      </c>
    </row>
    <row r="142">
      <c r="A142" t="inlineStr">
        <is>
          <t>R0138</t>
        </is>
      </c>
      <c r="B142">
        <f>Doors!$A$50</f>
        <v/>
      </c>
      <c r="C142">
        <f>Doors!$C$50</f>
        <v/>
      </c>
      <c r="D142">
        <f>Doors!$B$50</f>
        <v/>
      </c>
      <c r="E142">
        <f>Doors!$E$50</f>
        <v/>
      </c>
      <c r="F142">
        <f>Doors!$F$50</f>
        <v/>
      </c>
      <c r="G142" t="inlineStr">
        <is>
          <t>Raspberry</t>
        </is>
      </c>
      <c r="H142">
        <f>Doors!$I$50</f>
        <v/>
      </c>
      <c r="I142">
        <f>Doors!$J$50</f>
        <v/>
      </c>
      <c r="J142" s="10">
        <f>IF(OR($H142&lt;&gt;"Y",1&lt;$I142),0,IF(SUMPRODUCT(((BULK_ENABLED="Y")*((BULK_TIER="ALL")+(BULK_TIER=$F142))*((BULK_SKU="ALL")+(BULK_SKU=$G142))*(BULK_START&lt;=1)*(BULK_END&gt;=1)))&gt;0,IFERROR(SUMPRODUCT(((BULK_ENABLED="Y")*((BULK_TIER="ALL")+(BULK_TIER=$F142))*((BULK_SKU="ALL")+(BULK_SKU=$G142))*(BULK_START&lt;=1)*(BULK_END&gt;=1))*IFERROR(BULK_VALUE,0))/MAX(1,SUMPRODUCT(((BULK_ENABLED="Y")*((BULK_TIER="ALL")+(BULK_TIER=$F142))*((BULK_SKU="ALL")+(BULK_SKU=$G142))*(BULK_START&lt;=1)*(BULK_END&gt;=1)))),0),ROUND((INDEX(VELOCITY_TABLE,MATCH($F142,TIER_LIST,0),3))*(IF((1-$I142+1)&lt;=0,0,IF((1-$I142+1)=1,RAMP_W1,IF((1-$I142+1)=2,RAMP_W2,IF((1-$I142+1)=3,RAMP_W3,RAMP_W4PLUS)))))*(INDEX(ACTIVE_MULT_TABLE,3,1))*(1+SUMPRODUCT(SIGN(((ACT_DOOR_SCOPE="ALL")+(ACT_DOOR_SCOPE="TIER_"&amp;$F142)+(ACT_DOOR_SCOPE=$B142)))*SIGN(((ACT_SKU_SCOPE="ALL")+(ACT_SKU_SCOPE=$G142)))*(ACT_START&lt;=1)*(ACT_END&gt;=1)*IFERROR(ACT_UPLIFT-1,0)))*(1+SUMPRODUCT(SIGN(((ACT_DOOR_SCOPE="ALL")+(ACT_DOOR_SCOPE="TIER_"&amp;$F142)+(ACT_DOOR_SCOPE=$B142)))*SIGN(((ACT_SKU_SCOPE="ALL")+(ACT_SKU_SCOPE=$G142)))*(1&gt;ACT_END)*(ACT_END&gt;0)*IFERROR(ACT_POSTLIFT,0))),0)))</f>
        <v/>
      </c>
      <c r="K142" s="10">
        <f>IF(OR($H142&lt;&gt;"Y",2&lt;$I142),0,IF(SUMPRODUCT(((BULK_ENABLED="Y")*((BULK_TIER="ALL")+(BULK_TIER=$F142))*((BULK_SKU="ALL")+(BULK_SKU=$G142))*(BULK_START&lt;=2)*(BULK_END&gt;=2)))&gt;0,IFERROR(SUMPRODUCT(((BULK_ENABLED="Y")*((BULK_TIER="ALL")+(BULK_TIER=$F142))*((BULK_SKU="ALL")+(BULK_SKU=$G142))*(BULK_START&lt;=2)*(BULK_END&gt;=2))*IFERROR(BULK_VALUE,0))/MAX(1,SUMPRODUCT(((BULK_ENABLED="Y")*((BULK_TIER="ALL")+(BULK_TIER=$F142))*((BULK_SKU="ALL")+(BULK_SKU=$G142))*(BULK_START&lt;=2)*(BULK_END&gt;=2)))),0),ROUND((INDEX(VELOCITY_TABLE,MATCH($F142,TIER_LIST,0),3))*(IF((2-$I142+1)&lt;=0,0,IF((2-$I142+1)=1,RAMP_W1,IF((2-$I142+1)=2,RAMP_W2,IF((2-$I142+1)=3,RAMP_W3,RAMP_W4PLUS)))))*(INDEX(ACTIVE_MULT_TABLE,3,1))*(1+SUMPRODUCT(SIGN(((ACT_DOOR_SCOPE="ALL")+(ACT_DOOR_SCOPE="TIER_"&amp;$F142)+(ACT_DOOR_SCOPE=$B142)))*SIGN(((ACT_SKU_SCOPE="ALL")+(ACT_SKU_SCOPE=$G142)))*(ACT_START&lt;=2)*(ACT_END&gt;=2)*IFERROR(ACT_UPLIFT-1,0)))*(1+SUMPRODUCT(SIGN(((ACT_DOOR_SCOPE="ALL")+(ACT_DOOR_SCOPE="TIER_"&amp;$F142)+(ACT_DOOR_SCOPE=$B142)))*SIGN(((ACT_SKU_SCOPE="ALL")+(ACT_SKU_SCOPE=$G142)))*(2&gt;ACT_END)*(ACT_END&gt;0)*IFERROR(ACT_POSTLIFT,0))),0)))</f>
        <v/>
      </c>
      <c r="L142" s="10">
        <f>IF(OR($H142&lt;&gt;"Y",3&lt;$I142),0,IF(SUMPRODUCT(((BULK_ENABLED="Y")*((BULK_TIER="ALL")+(BULK_TIER=$F142))*((BULK_SKU="ALL")+(BULK_SKU=$G142))*(BULK_START&lt;=3)*(BULK_END&gt;=3)))&gt;0,IFERROR(SUMPRODUCT(((BULK_ENABLED="Y")*((BULK_TIER="ALL")+(BULK_TIER=$F142))*((BULK_SKU="ALL")+(BULK_SKU=$G142))*(BULK_START&lt;=3)*(BULK_END&gt;=3))*IFERROR(BULK_VALUE,0))/MAX(1,SUMPRODUCT(((BULK_ENABLED="Y")*((BULK_TIER="ALL")+(BULK_TIER=$F142))*((BULK_SKU="ALL")+(BULK_SKU=$G142))*(BULK_START&lt;=3)*(BULK_END&gt;=3)))),0),ROUND((INDEX(VELOCITY_TABLE,MATCH($F142,TIER_LIST,0),3))*(IF((3-$I142+1)&lt;=0,0,IF((3-$I142+1)=1,RAMP_W1,IF((3-$I142+1)=2,RAMP_W2,IF((3-$I142+1)=3,RAMP_W3,RAMP_W4PLUS)))))*(INDEX(ACTIVE_MULT_TABLE,3,1))*(1+SUMPRODUCT(SIGN(((ACT_DOOR_SCOPE="ALL")+(ACT_DOOR_SCOPE="TIER_"&amp;$F142)+(ACT_DOOR_SCOPE=$B142)))*SIGN(((ACT_SKU_SCOPE="ALL")+(ACT_SKU_SCOPE=$G142)))*(ACT_START&lt;=3)*(ACT_END&gt;=3)*IFERROR(ACT_UPLIFT-1,0)))*(1+SUMPRODUCT(SIGN(((ACT_DOOR_SCOPE="ALL")+(ACT_DOOR_SCOPE="TIER_"&amp;$F142)+(ACT_DOOR_SCOPE=$B142)))*SIGN(((ACT_SKU_SCOPE="ALL")+(ACT_SKU_SCOPE=$G142)))*(3&gt;ACT_END)*(ACT_END&gt;0)*IFERROR(ACT_POSTLIFT,0))),0)))</f>
        <v/>
      </c>
      <c r="M142" s="10">
        <f>IF(OR($H142&lt;&gt;"Y",4&lt;$I142),0,IF(SUMPRODUCT(((BULK_ENABLED="Y")*((BULK_TIER="ALL")+(BULK_TIER=$F142))*((BULK_SKU="ALL")+(BULK_SKU=$G142))*(BULK_START&lt;=4)*(BULK_END&gt;=4)))&gt;0,IFERROR(SUMPRODUCT(((BULK_ENABLED="Y")*((BULK_TIER="ALL")+(BULK_TIER=$F142))*((BULK_SKU="ALL")+(BULK_SKU=$G142))*(BULK_START&lt;=4)*(BULK_END&gt;=4))*IFERROR(BULK_VALUE,0))/MAX(1,SUMPRODUCT(((BULK_ENABLED="Y")*((BULK_TIER="ALL")+(BULK_TIER=$F142))*((BULK_SKU="ALL")+(BULK_SKU=$G142))*(BULK_START&lt;=4)*(BULK_END&gt;=4)))),0),ROUND((INDEX(VELOCITY_TABLE,MATCH($F142,TIER_LIST,0),3))*(IF((4-$I142+1)&lt;=0,0,IF((4-$I142+1)=1,RAMP_W1,IF((4-$I142+1)=2,RAMP_W2,IF((4-$I142+1)=3,RAMP_W3,RAMP_W4PLUS)))))*(INDEX(ACTIVE_MULT_TABLE,3,1))*(1+SUMPRODUCT(SIGN(((ACT_DOOR_SCOPE="ALL")+(ACT_DOOR_SCOPE="TIER_"&amp;$F142)+(ACT_DOOR_SCOPE=$B142)))*SIGN(((ACT_SKU_SCOPE="ALL")+(ACT_SKU_SCOPE=$G142)))*(ACT_START&lt;=4)*(ACT_END&gt;=4)*IFERROR(ACT_UPLIFT-1,0)))*(1+SUMPRODUCT(SIGN(((ACT_DOOR_SCOPE="ALL")+(ACT_DOOR_SCOPE="TIER_"&amp;$F142)+(ACT_DOOR_SCOPE=$B142)))*SIGN(((ACT_SKU_SCOPE="ALL")+(ACT_SKU_SCOPE=$G142)))*(4&gt;ACT_END)*(ACT_END&gt;0)*IFERROR(ACT_POSTLIFT,0))),0)))</f>
        <v/>
      </c>
      <c r="N142" s="10">
        <f>IF(OR($H142&lt;&gt;"Y",5&lt;$I142),0,IF(SUMPRODUCT(((BULK_ENABLED="Y")*((BULK_TIER="ALL")+(BULK_TIER=$F142))*((BULK_SKU="ALL")+(BULK_SKU=$G142))*(BULK_START&lt;=5)*(BULK_END&gt;=5)))&gt;0,IFERROR(SUMPRODUCT(((BULK_ENABLED="Y")*((BULK_TIER="ALL")+(BULK_TIER=$F142))*((BULK_SKU="ALL")+(BULK_SKU=$G142))*(BULK_START&lt;=5)*(BULK_END&gt;=5))*IFERROR(BULK_VALUE,0))/MAX(1,SUMPRODUCT(((BULK_ENABLED="Y")*((BULK_TIER="ALL")+(BULK_TIER=$F142))*((BULK_SKU="ALL")+(BULK_SKU=$G142))*(BULK_START&lt;=5)*(BULK_END&gt;=5)))),0),ROUND((INDEX(VELOCITY_TABLE,MATCH($F142,TIER_LIST,0),3))*(IF((5-$I142+1)&lt;=0,0,IF((5-$I142+1)=1,RAMP_W1,IF((5-$I142+1)=2,RAMP_W2,IF((5-$I142+1)=3,RAMP_W3,RAMP_W4PLUS)))))*(INDEX(ACTIVE_MULT_TABLE,3,1))*(1+SUMPRODUCT(SIGN(((ACT_DOOR_SCOPE="ALL")+(ACT_DOOR_SCOPE="TIER_"&amp;$F142)+(ACT_DOOR_SCOPE=$B142)))*SIGN(((ACT_SKU_SCOPE="ALL")+(ACT_SKU_SCOPE=$G142)))*(ACT_START&lt;=5)*(ACT_END&gt;=5)*IFERROR(ACT_UPLIFT-1,0)))*(1+SUMPRODUCT(SIGN(((ACT_DOOR_SCOPE="ALL")+(ACT_DOOR_SCOPE="TIER_"&amp;$F142)+(ACT_DOOR_SCOPE=$B142)))*SIGN(((ACT_SKU_SCOPE="ALL")+(ACT_SKU_SCOPE=$G142)))*(5&gt;ACT_END)*(ACT_END&gt;0)*IFERROR(ACT_POSTLIFT,0))),0)))</f>
        <v/>
      </c>
      <c r="O142" s="10">
        <f>IF(OR($H142&lt;&gt;"Y",6&lt;$I142),0,IF(SUMPRODUCT(((BULK_ENABLED="Y")*((BULK_TIER="ALL")+(BULK_TIER=$F142))*((BULK_SKU="ALL")+(BULK_SKU=$G142))*(BULK_START&lt;=6)*(BULK_END&gt;=6)))&gt;0,IFERROR(SUMPRODUCT(((BULK_ENABLED="Y")*((BULK_TIER="ALL")+(BULK_TIER=$F142))*((BULK_SKU="ALL")+(BULK_SKU=$G142))*(BULK_START&lt;=6)*(BULK_END&gt;=6))*IFERROR(BULK_VALUE,0))/MAX(1,SUMPRODUCT(((BULK_ENABLED="Y")*((BULK_TIER="ALL")+(BULK_TIER=$F142))*((BULK_SKU="ALL")+(BULK_SKU=$G142))*(BULK_START&lt;=6)*(BULK_END&gt;=6)))),0),ROUND((INDEX(VELOCITY_TABLE,MATCH($F142,TIER_LIST,0),3))*(IF((6-$I142+1)&lt;=0,0,IF((6-$I142+1)=1,RAMP_W1,IF((6-$I142+1)=2,RAMP_W2,IF((6-$I142+1)=3,RAMP_W3,RAMP_W4PLUS)))))*(INDEX(ACTIVE_MULT_TABLE,3,1))*(1+SUMPRODUCT(SIGN(((ACT_DOOR_SCOPE="ALL")+(ACT_DOOR_SCOPE="TIER_"&amp;$F142)+(ACT_DOOR_SCOPE=$B142)))*SIGN(((ACT_SKU_SCOPE="ALL")+(ACT_SKU_SCOPE=$G142)))*(ACT_START&lt;=6)*(ACT_END&gt;=6)*IFERROR(ACT_UPLIFT-1,0)))*(1+SUMPRODUCT(SIGN(((ACT_DOOR_SCOPE="ALL")+(ACT_DOOR_SCOPE="TIER_"&amp;$F142)+(ACT_DOOR_SCOPE=$B142)))*SIGN(((ACT_SKU_SCOPE="ALL")+(ACT_SKU_SCOPE=$G142)))*(6&gt;ACT_END)*(ACT_END&gt;0)*IFERROR(ACT_POSTLIFT,0))),0)))</f>
        <v/>
      </c>
      <c r="P142" s="10">
        <f>IF(OR($H142&lt;&gt;"Y",7&lt;$I142),0,IF(SUMPRODUCT(((BULK_ENABLED="Y")*((BULK_TIER="ALL")+(BULK_TIER=$F142))*((BULK_SKU="ALL")+(BULK_SKU=$G142))*(BULK_START&lt;=7)*(BULK_END&gt;=7)))&gt;0,IFERROR(SUMPRODUCT(((BULK_ENABLED="Y")*((BULK_TIER="ALL")+(BULK_TIER=$F142))*((BULK_SKU="ALL")+(BULK_SKU=$G142))*(BULK_START&lt;=7)*(BULK_END&gt;=7))*IFERROR(BULK_VALUE,0))/MAX(1,SUMPRODUCT(((BULK_ENABLED="Y")*((BULK_TIER="ALL")+(BULK_TIER=$F142))*((BULK_SKU="ALL")+(BULK_SKU=$G142))*(BULK_START&lt;=7)*(BULK_END&gt;=7)))),0),ROUND((INDEX(VELOCITY_TABLE,MATCH($F142,TIER_LIST,0),3))*(IF((7-$I142+1)&lt;=0,0,IF((7-$I142+1)=1,RAMP_W1,IF((7-$I142+1)=2,RAMP_W2,IF((7-$I142+1)=3,RAMP_W3,RAMP_W4PLUS)))))*(INDEX(ACTIVE_MULT_TABLE,3,1))*(1+SUMPRODUCT(SIGN(((ACT_DOOR_SCOPE="ALL")+(ACT_DOOR_SCOPE="TIER_"&amp;$F142)+(ACT_DOOR_SCOPE=$B142)))*SIGN(((ACT_SKU_SCOPE="ALL")+(ACT_SKU_SCOPE=$G142)))*(ACT_START&lt;=7)*(ACT_END&gt;=7)*IFERROR(ACT_UPLIFT-1,0)))*(1+SUMPRODUCT(SIGN(((ACT_DOOR_SCOPE="ALL")+(ACT_DOOR_SCOPE="TIER_"&amp;$F142)+(ACT_DOOR_SCOPE=$B142)))*SIGN(((ACT_SKU_SCOPE="ALL")+(ACT_SKU_SCOPE=$G142)))*(7&gt;ACT_END)*(ACT_END&gt;0)*IFERROR(ACT_POSTLIFT,0))),0)))</f>
        <v/>
      </c>
      <c r="Q142" s="10">
        <f>IF(OR($H142&lt;&gt;"Y",8&lt;$I142),0,IF(SUMPRODUCT(((BULK_ENABLED="Y")*((BULK_TIER="ALL")+(BULK_TIER=$F142))*((BULK_SKU="ALL")+(BULK_SKU=$G142))*(BULK_START&lt;=8)*(BULK_END&gt;=8)))&gt;0,IFERROR(SUMPRODUCT(((BULK_ENABLED="Y")*((BULK_TIER="ALL")+(BULK_TIER=$F142))*((BULK_SKU="ALL")+(BULK_SKU=$G142))*(BULK_START&lt;=8)*(BULK_END&gt;=8))*IFERROR(BULK_VALUE,0))/MAX(1,SUMPRODUCT(((BULK_ENABLED="Y")*((BULK_TIER="ALL")+(BULK_TIER=$F142))*((BULK_SKU="ALL")+(BULK_SKU=$G142))*(BULK_START&lt;=8)*(BULK_END&gt;=8)))),0),ROUND((INDEX(VELOCITY_TABLE,MATCH($F142,TIER_LIST,0),3))*(IF((8-$I142+1)&lt;=0,0,IF((8-$I142+1)=1,RAMP_W1,IF((8-$I142+1)=2,RAMP_W2,IF((8-$I142+1)=3,RAMP_W3,RAMP_W4PLUS)))))*(INDEX(ACTIVE_MULT_TABLE,3,1))*(1+SUMPRODUCT(SIGN(((ACT_DOOR_SCOPE="ALL")+(ACT_DOOR_SCOPE="TIER_"&amp;$F142)+(ACT_DOOR_SCOPE=$B142)))*SIGN(((ACT_SKU_SCOPE="ALL")+(ACT_SKU_SCOPE=$G142)))*(ACT_START&lt;=8)*(ACT_END&gt;=8)*IFERROR(ACT_UPLIFT-1,0)))*(1+SUMPRODUCT(SIGN(((ACT_DOOR_SCOPE="ALL")+(ACT_DOOR_SCOPE="TIER_"&amp;$F142)+(ACT_DOOR_SCOPE=$B142)))*SIGN(((ACT_SKU_SCOPE="ALL")+(ACT_SKU_SCOPE=$G142)))*(8&gt;ACT_END)*(ACT_END&gt;0)*IFERROR(ACT_POSTLIFT,0))),0)))</f>
        <v/>
      </c>
      <c r="R142" s="10">
        <f>IF(OR($H142&lt;&gt;"Y",9&lt;$I142),0,IF(SUMPRODUCT(((BULK_ENABLED="Y")*((BULK_TIER="ALL")+(BULK_TIER=$F142))*((BULK_SKU="ALL")+(BULK_SKU=$G142))*(BULK_START&lt;=9)*(BULK_END&gt;=9)))&gt;0,IFERROR(SUMPRODUCT(((BULK_ENABLED="Y")*((BULK_TIER="ALL")+(BULK_TIER=$F142))*((BULK_SKU="ALL")+(BULK_SKU=$G142))*(BULK_START&lt;=9)*(BULK_END&gt;=9))*IFERROR(BULK_VALUE,0))/MAX(1,SUMPRODUCT(((BULK_ENABLED="Y")*((BULK_TIER="ALL")+(BULK_TIER=$F142))*((BULK_SKU="ALL")+(BULK_SKU=$G142))*(BULK_START&lt;=9)*(BULK_END&gt;=9)))),0),ROUND((INDEX(VELOCITY_TABLE,MATCH($F142,TIER_LIST,0),3))*(IF((9-$I142+1)&lt;=0,0,IF((9-$I142+1)=1,RAMP_W1,IF((9-$I142+1)=2,RAMP_W2,IF((9-$I142+1)=3,RAMP_W3,RAMP_W4PLUS)))))*(INDEX(ACTIVE_MULT_TABLE,3,1))*(1+SUMPRODUCT(SIGN(((ACT_DOOR_SCOPE="ALL")+(ACT_DOOR_SCOPE="TIER_"&amp;$F142)+(ACT_DOOR_SCOPE=$B142)))*SIGN(((ACT_SKU_SCOPE="ALL")+(ACT_SKU_SCOPE=$G142)))*(ACT_START&lt;=9)*(ACT_END&gt;=9)*IFERROR(ACT_UPLIFT-1,0)))*(1+SUMPRODUCT(SIGN(((ACT_DOOR_SCOPE="ALL")+(ACT_DOOR_SCOPE="TIER_"&amp;$F142)+(ACT_DOOR_SCOPE=$B142)))*SIGN(((ACT_SKU_SCOPE="ALL")+(ACT_SKU_SCOPE=$G142)))*(9&gt;ACT_END)*(ACT_END&gt;0)*IFERROR(ACT_POSTLIFT,0))),0)))</f>
        <v/>
      </c>
      <c r="S142" s="10">
        <f>IF(OR($H142&lt;&gt;"Y",10&lt;$I142),0,IF(SUMPRODUCT(((BULK_ENABLED="Y")*((BULK_TIER="ALL")+(BULK_TIER=$F142))*((BULK_SKU="ALL")+(BULK_SKU=$G142))*(BULK_START&lt;=10)*(BULK_END&gt;=10)))&gt;0,IFERROR(SUMPRODUCT(((BULK_ENABLED="Y")*((BULK_TIER="ALL")+(BULK_TIER=$F142))*((BULK_SKU="ALL")+(BULK_SKU=$G142))*(BULK_START&lt;=10)*(BULK_END&gt;=10))*IFERROR(BULK_VALUE,0))/MAX(1,SUMPRODUCT(((BULK_ENABLED="Y")*((BULK_TIER="ALL")+(BULK_TIER=$F142))*((BULK_SKU="ALL")+(BULK_SKU=$G142))*(BULK_START&lt;=10)*(BULK_END&gt;=10)))),0),ROUND((INDEX(VELOCITY_TABLE,MATCH($F142,TIER_LIST,0),3))*(IF((10-$I142+1)&lt;=0,0,IF((10-$I142+1)=1,RAMP_W1,IF((10-$I142+1)=2,RAMP_W2,IF((10-$I142+1)=3,RAMP_W3,RAMP_W4PLUS)))))*(INDEX(ACTIVE_MULT_TABLE,3,1))*(1+SUMPRODUCT(SIGN(((ACT_DOOR_SCOPE="ALL")+(ACT_DOOR_SCOPE="TIER_"&amp;$F142)+(ACT_DOOR_SCOPE=$B142)))*SIGN(((ACT_SKU_SCOPE="ALL")+(ACT_SKU_SCOPE=$G142)))*(ACT_START&lt;=10)*(ACT_END&gt;=10)*IFERROR(ACT_UPLIFT-1,0)))*(1+SUMPRODUCT(SIGN(((ACT_DOOR_SCOPE="ALL")+(ACT_DOOR_SCOPE="TIER_"&amp;$F142)+(ACT_DOOR_SCOPE=$B142)))*SIGN(((ACT_SKU_SCOPE="ALL")+(ACT_SKU_SCOPE=$G142)))*(10&gt;ACT_END)*(ACT_END&gt;0)*IFERROR(ACT_POSTLIFT,0))),0)))</f>
        <v/>
      </c>
      <c r="T142" s="10">
        <f>IF(OR($H142&lt;&gt;"Y",11&lt;$I142),0,IF(SUMPRODUCT(((BULK_ENABLED="Y")*((BULK_TIER="ALL")+(BULK_TIER=$F142))*((BULK_SKU="ALL")+(BULK_SKU=$G142))*(BULK_START&lt;=11)*(BULK_END&gt;=11)))&gt;0,IFERROR(SUMPRODUCT(((BULK_ENABLED="Y")*((BULK_TIER="ALL")+(BULK_TIER=$F142))*((BULK_SKU="ALL")+(BULK_SKU=$G142))*(BULK_START&lt;=11)*(BULK_END&gt;=11))*IFERROR(BULK_VALUE,0))/MAX(1,SUMPRODUCT(((BULK_ENABLED="Y")*((BULK_TIER="ALL")+(BULK_TIER=$F142))*((BULK_SKU="ALL")+(BULK_SKU=$G142))*(BULK_START&lt;=11)*(BULK_END&gt;=11)))),0),ROUND((INDEX(VELOCITY_TABLE,MATCH($F142,TIER_LIST,0),3))*(IF((11-$I142+1)&lt;=0,0,IF((11-$I142+1)=1,RAMP_W1,IF((11-$I142+1)=2,RAMP_W2,IF((11-$I142+1)=3,RAMP_W3,RAMP_W4PLUS)))))*(INDEX(ACTIVE_MULT_TABLE,3,1))*(1+SUMPRODUCT(SIGN(((ACT_DOOR_SCOPE="ALL")+(ACT_DOOR_SCOPE="TIER_"&amp;$F142)+(ACT_DOOR_SCOPE=$B142)))*SIGN(((ACT_SKU_SCOPE="ALL")+(ACT_SKU_SCOPE=$G142)))*(ACT_START&lt;=11)*(ACT_END&gt;=11)*IFERROR(ACT_UPLIFT-1,0)))*(1+SUMPRODUCT(SIGN(((ACT_DOOR_SCOPE="ALL")+(ACT_DOOR_SCOPE="TIER_"&amp;$F142)+(ACT_DOOR_SCOPE=$B142)))*SIGN(((ACT_SKU_SCOPE="ALL")+(ACT_SKU_SCOPE=$G142)))*(11&gt;ACT_END)*(ACT_END&gt;0)*IFERROR(ACT_POSTLIFT,0))),0)))</f>
        <v/>
      </c>
      <c r="U142" s="10">
        <f>IF(OR($H142&lt;&gt;"Y",12&lt;$I142),0,IF(SUMPRODUCT(((BULK_ENABLED="Y")*((BULK_TIER="ALL")+(BULK_TIER=$F142))*((BULK_SKU="ALL")+(BULK_SKU=$G142))*(BULK_START&lt;=12)*(BULK_END&gt;=12)))&gt;0,IFERROR(SUMPRODUCT(((BULK_ENABLED="Y")*((BULK_TIER="ALL")+(BULK_TIER=$F142))*((BULK_SKU="ALL")+(BULK_SKU=$G142))*(BULK_START&lt;=12)*(BULK_END&gt;=12))*IFERROR(BULK_VALUE,0))/MAX(1,SUMPRODUCT(((BULK_ENABLED="Y")*((BULK_TIER="ALL")+(BULK_TIER=$F142))*((BULK_SKU="ALL")+(BULK_SKU=$G142))*(BULK_START&lt;=12)*(BULK_END&gt;=12)))),0),ROUND((INDEX(VELOCITY_TABLE,MATCH($F142,TIER_LIST,0),3))*(IF((12-$I142+1)&lt;=0,0,IF((12-$I142+1)=1,RAMP_W1,IF((12-$I142+1)=2,RAMP_W2,IF((12-$I142+1)=3,RAMP_W3,RAMP_W4PLUS)))))*(INDEX(ACTIVE_MULT_TABLE,3,1))*(1+SUMPRODUCT(SIGN(((ACT_DOOR_SCOPE="ALL")+(ACT_DOOR_SCOPE="TIER_"&amp;$F142)+(ACT_DOOR_SCOPE=$B142)))*SIGN(((ACT_SKU_SCOPE="ALL")+(ACT_SKU_SCOPE=$G142)))*(ACT_START&lt;=12)*(ACT_END&gt;=12)*IFERROR(ACT_UPLIFT-1,0)))*(1+SUMPRODUCT(SIGN(((ACT_DOOR_SCOPE="ALL")+(ACT_DOOR_SCOPE="TIER_"&amp;$F142)+(ACT_DOOR_SCOPE=$B142)))*SIGN(((ACT_SKU_SCOPE="ALL")+(ACT_SKU_SCOPE=$G142)))*(12&gt;ACT_END)*(ACT_END&gt;0)*IFERROR(ACT_POSTLIFT,0))),0)))</f>
        <v/>
      </c>
      <c r="V142" s="10">
        <f>IF(OR($H142&lt;&gt;"Y",13&lt;$I142),0,IF(SUMPRODUCT(((BULK_ENABLED="Y")*((BULK_TIER="ALL")+(BULK_TIER=$F142))*((BULK_SKU="ALL")+(BULK_SKU=$G142))*(BULK_START&lt;=13)*(BULK_END&gt;=13)))&gt;0,IFERROR(SUMPRODUCT(((BULK_ENABLED="Y")*((BULK_TIER="ALL")+(BULK_TIER=$F142))*((BULK_SKU="ALL")+(BULK_SKU=$G142))*(BULK_START&lt;=13)*(BULK_END&gt;=13))*IFERROR(BULK_VALUE,0))/MAX(1,SUMPRODUCT(((BULK_ENABLED="Y")*((BULK_TIER="ALL")+(BULK_TIER=$F142))*((BULK_SKU="ALL")+(BULK_SKU=$G142))*(BULK_START&lt;=13)*(BULK_END&gt;=13)))),0),ROUND((INDEX(VELOCITY_TABLE,MATCH($F142,TIER_LIST,0),3))*(IF((13-$I142+1)&lt;=0,0,IF((13-$I142+1)=1,RAMP_W1,IF((13-$I142+1)=2,RAMP_W2,IF((13-$I142+1)=3,RAMP_W3,RAMP_W4PLUS)))))*(INDEX(ACTIVE_MULT_TABLE,3,1))*(1+SUMPRODUCT(SIGN(((ACT_DOOR_SCOPE="ALL")+(ACT_DOOR_SCOPE="TIER_"&amp;$F142)+(ACT_DOOR_SCOPE=$B142)))*SIGN(((ACT_SKU_SCOPE="ALL")+(ACT_SKU_SCOPE=$G142)))*(ACT_START&lt;=13)*(ACT_END&gt;=13)*IFERROR(ACT_UPLIFT-1,0)))*(1+SUMPRODUCT(SIGN(((ACT_DOOR_SCOPE="ALL")+(ACT_DOOR_SCOPE="TIER_"&amp;$F142)+(ACT_DOOR_SCOPE=$B142)))*SIGN(((ACT_SKU_SCOPE="ALL")+(ACT_SKU_SCOPE=$G142)))*(13&gt;ACT_END)*(ACT_END&gt;0)*IFERROR(ACT_POSTLIFT,0))),0)))</f>
        <v/>
      </c>
    </row>
    <row r="143">
      <c r="A143" t="inlineStr">
        <is>
          <t>R0139</t>
        </is>
      </c>
      <c r="B143">
        <f>Doors!$A$51</f>
        <v/>
      </c>
      <c r="C143">
        <f>Doors!$C$51</f>
        <v/>
      </c>
      <c r="D143">
        <f>Doors!$B$51</f>
        <v/>
      </c>
      <c r="E143">
        <f>Doors!$E$51</f>
        <v/>
      </c>
      <c r="F143">
        <f>Doors!$F$51</f>
        <v/>
      </c>
      <c r="G143" t="inlineStr">
        <is>
          <t>Lime Lemon</t>
        </is>
      </c>
      <c r="H143">
        <f>Doors!$G$51</f>
        <v/>
      </c>
      <c r="I143">
        <f>Doors!$J$51</f>
        <v/>
      </c>
      <c r="J143" s="10">
        <f>IF(OR($H143&lt;&gt;"Y",1&lt;$I143),0,IF(SUMPRODUCT(((BULK_ENABLED="Y")*((BULK_TIER="ALL")+(BULK_TIER=$F143))*((BULK_SKU="ALL")+(BULK_SKU=$G143))*(BULK_START&lt;=1)*(BULK_END&gt;=1)))&gt;0,IFERROR(SUMPRODUCT(((BULK_ENABLED="Y")*((BULK_TIER="ALL")+(BULK_TIER=$F143))*((BULK_SKU="ALL")+(BULK_SKU=$G143))*(BULK_START&lt;=1)*(BULK_END&gt;=1))*IFERROR(BULK_VALUE,0))/MAX(1,SUMPRODUCT(((BULK_ENABLED="Y")*((BULK_TIER="ALL")+(BULK_TIER=$F143))*((BULK_SKU="ALL")+(BULK_SKU=$G143))*(BULK_START&lt;=1)*(BULK_END&gt;=1)))),0),ROUND((INDEX(VELOCITY_TABLE,MATCH($F143,TIER_LIST,0),1))*(IF((1-$I143+1)&lt;=0,0,IF((1-$I143+1)=1,RAMP_W1,IF((1-$I143+1)=2,RAMP_W2,IF((1-$I143+1)=3,RAMP_W3,RAMP_W4PLUS)))))*(INDEX(ACTIVE_MULT_TABLE,1,1))*(1+SUMPRODUCT(SIGN(((ACT_DOOR_SCOPE="ALL")+(ACT_DOOR_SCOPE="TIER_"&amp;$F143)+(ACT_DOOR_SCOPE=$B143)))*SIGN(((ACT_SKU_SCOPE="ALL")+(ACT_SKU_SCOPE=$G143)))*(ACT_START&lt;=1)*(ACT_END&gt;=1)*IFERROR(ACT_UPLIFT-1,0)))*(1+SUMPRODUCT(SIGN(((ACT_DOOR_SCOPE="ALL")+(ACT_DOOR_SCOPE="TIER_"&amp;$F143)+(ACT_DOOR_SCOPE=$B143)))*SIGN(((ACT_SKU_SCOPE="ALL")+(ACT_SKU_SCOPE=$G143)))*(1&gt;ACT_END)*(ACT_END&gt;0)*IFERROR(ACT_POSTLIFT,0))),0)))</f>
        <v/>
      </c>
      <c r="K143" s="10">
        <f>IF(OR($H143&lt;&gt;"Y",2&lt;$I143),0,IF(SUMPRODUCT(((BULK_ENABLED="Y")*((BULK_TIER="ALL")+(BULK_TIER=$F143))*((BULK_SKU="ALL")+(BULK_SKU=$G143))*(BULK_START&lt;=2)*(BULK_END&gt;=2)))&gt;0,IFERROR(SUMPRODUCT(((BULK_ENABLED="Y")*((BULK_TIER="ALL")+(BULK_TIER=$F143))*((BULK_SKU="ALL")+(BULK_SKU=$G143))*(BULK_START&lt;=2)*(BULK_END&gt;=2))*IFERROR(BULK_VALUE,0))/MAX(1,SUMPRODUCT(((BULK_ENABLED="Y")*((BULK_TIER="ALL")+(BULK_TIER=$F143))*((BULK_SKU="ALL")+(BULK_SKU=$G143))*(BULK_START&lt;=2)*(BULK_END&gt;=2)))),0),ROUND((INDEX(VELOCITY_TABLE,MATCH($F143,TIER_LIST,0),1))*(IF((2-$I143+1)&lt;=0,0,IF((2-$I143+1)=1,RAMP_W1,IF((2-$I143+1)=2,RAMP_W2,IF((2-$I143+1)=3,RAMP_W3,RAMP_W4PLUS)))))*(INDEX(ACTIVE_MULT_TABLE,1,1))*(1+SUMPRODUCT(SIGN(((ACT_DOOR_SCOPE="ALL")+(ACT_DOOR_SCOPE="TIER_"&amp;$F143)+(ACT_DOOR_SCOPE=$B143)))*SIGN(((ACT_SKU_SCOPE="ALL")+(ACT_SKU_SCOPE=$G143)))*(ACT_START&lt;=2)*(ACT_END&gt;=2)*IFERROR(ACT_UPLIFT-1,0)))*(1+SUMPRODUCT(SIGN(((ACT_DOOR_SCOPE="ALL")+(ACT_DOOR_SCOPE="TIER_"&amp;$F143)+(ACT_DOOR_SCOPE=$B143)))*SIGN(((ACT_SKU_SCOPE="ALL")+(ACT_SKU_SCOPE=$G143)))*(2&gt;ACT_END)*(ACT_END&gt;0)*IFERROR(ACT_POSTLIFT,0))),0)))</f>
        <v/>
      </c>
      <c r="L143" s="10">
        <f>IF(OR($H143&lt;&gt;"Y",3&lt;$I143),0,IF(SUMPRODUCT(((BULK_ENABLED="Y")*((BULK_TIER="ALL")+(BULK_TIER=$F143))*((BULK_SKU="ALL")+(BULK_SKU=$G143))*(BULK_START&lt;=3)*(BULK_END&gt;=3)))&gt;0,IFERROR(SUMPRODUCT(((BULK_ENABLED="Y")*((BULK_TIER="ALL")+(BULK_TIER=$F143))*((BULK_SKU="ALL")+(BULK_SKU=$G143))*(BULK_START&lt;=3)*(BULK_END&gt;=3))*IFERROR(BULK_VALUE,0))/MAX(1,SUMPRODUCT(((BULK_ENABLED="Y")*((BULK_TIER="ALL")+(BULK_TIER=$F143))*((BULK_SKU="ALL")+(BULK_SKU=$G143))*(BULK_START&lt;=3)*(BULK_END&gt;=3)))),0),ROUND((INDEX(VELOCITY_TABLE,MATCH($F143,TIER_LIST,0),1))*(IF((3-$I143+1)&lt;=0,0,IF((3-$I143+1)=1,RAMP_W1,IF((3-$I143+1)=2,RAMP_W2,IF((3-$I143+1)=3,RAMP_W3,RAMP_W4PLUS)))))*(INDEX(ACTIVE_MULT_TABLE,1,1))*(1+SUMPRODUCT(SIGN(((ACT_DOOR_SCOPE="ALL")+(ACT_DOOR_SCOPE="TIER_"&amp;$F143)+(ACT_DOOR_SCOPE=$B143)))*SIGN(((ACT_SKU_SCOPE="ALL")+(ACT_SKU_SCOPE=$G143)))*(ACT_START&lt;=3)*(ACT_END&gt;=3)*IFERROR(ACT_UPLIFT-1,0)))*(1+SUMPRODUCT(SIGN(((ACT_DOOR_SCOPE="ALL")+(ACT_DOOR_SCOPE="TIER_"&amp;$F143)+(ACT_DOOR_SCOPE=$B143)))*SIGN(((ACT_SKU_SCOPE="ALL")+(ACT_SKU_SCOPE=$G143)))*(3&gt;ACT_END)*(ACT_END&gt;0)*IFERROR(ACT_POSTLIFT,0))),0)))</f>
        <v/>
      </c>
      <c r="M143" s="10">
        <f>IF(OR($H143&lt;&gt;"Y",4&lt;$I143),0,IF(SUMPRODUCT(((BULK_ENABLED="Y")*((BULK_TIER="ALL")+(BULK_TIER=$F143))*((BULK_SKU="ALL")+(BULK_SKU=$G143))*(BULK_START&lt;=4)*(BULK_END&gt;=4)))&gt;0,IFERROR(SUMPRODUCT(((BULK_ENABLED="Y")*((BULK_TIER="ALL")+(BULK_TIER=$F143))*((BULK_SKU="ALL")+(BULK_SKU=$G143))*(BULK_START&lt;=4)*(BULK_END&gt;=4))*IFERROR(BULK_VALUE,0))/MAX(1,SUMPRODUCT(((BULK_ENABLED="Y")*((BULK_TIER="ALL")+(BULK_TIER=$F143))*((BULK_SKU="ALL")+(BULK_SKU=$G143))*(BULK_START&lt;=4)*(BULK_END&gt;=4)))),0),ROUND((INDEX(VELOCITY_TABLE,MATCH($F143,TIER_LIST,0),1))*(IF((4-$I143+1)&lt;=0,0,IF((4-$I143+1)=1,RAMP_W1,IF((4-$I143+1)=2,RAMP_W2,IF((4-$I143+1)=3,RAMP_W3,RAMP_W4PLUS)))))*(INDEX(ACTIVE_MULT_TABLE,1,1))*(1+SUMPRODUCT(SIGN(((ACT_DOOR_SCOPE="ALL")+(ACT_DOOR_SCOPE="TIER_"&amp;$F143)+(ACT_DOOR_SCOPE=$B143)))*SIGN(((ACT_SKU_SCOPE="ALL")+(ACT_SKU_SCOPE=$G143)))*(ACT_START&lt;=4)*(ACT_END&gt;=4)*IFERROR(ACT_UPLIFT-1,0)))*(1+SUMPRODUCT(SIGN(((ACT_DOOR_SCOPE="ALL")+(ACT_DOOR_SCOPE="TIER_"&amp;$F143)+(ACT_DOOR_SCOPE=$B143)))*SIGN(((ACT_SKU_SCOPE="ALL")+(ACT_SKU_SCOPE=$G143)))*(4&gt;ACT_END)*(ACT_END&gt;0)*IFERROR(ACT_POSTLIFT,0))),0)))</f>
        <v/>
      </c>
      <c r="N143" s="10">
        <f>IF(OR($H143&lt;&gt;"Y",5&lt;$I143),0,IF(SUMPRODUCT(((BULK_ENABLED="Y")*((BULK_TIER="ALL")+(BULK_TIER=$F143))*((BULK_SKU="ALL")+(BULK_SKU=$G143))*(BULK_START&lt;=5)*(BULK_END&gt;=5)))&gt;0,IFERROR(SUMPRODUCT(((BULK_ENABLED="Y")*((BULK_TIER="ALL")+(BULK_TIER=$F143))*((BULK_SKU="ALL")+(BULK_SKU=$G143))*(BULK_START&lt;=5)*(BULK_END&gt;=5))*IFERROR(BULK_VALUE,0))/MAX(1,SUMPRODUCT(((BULK_ENABLED="Y")*((BULK_TIER="ALL")+(BULK_TIER=$F143))*((BULK_SKU="ALL")+(BULK_SKU=$G143))*(BULK_START&lt;=5)*(BULK_END&gt;=5)))),0),ROUND((INDEX(VELOCITY_TABLE,MATCH($F143,TIER_LIST,0),1))*(IF((5-$I143+1)&lt;=0,0,IF((5-$I143+1)=1,RAMP_W1,IF((5-$I143+1)=2,RAMP_W2,IF((5-$I143+1)=3,RAMP_W3,RAMP_W4PLUS)))))*(INDEX(ACTIVE_MULT_TABLE,1,1))*(1+SUMPRODUCT(SIGN(((ACT_DOOR_SCOPE="ALL")+(ACT_DOOR_SCOPE="TIER_"&amp;$F143)+(ACT_DOOR_SCOPE=$B143)))*SIGN(((ACT_SKU_SCOPE="ALL")+(ACT_SKU_SCOPE=$G143)))*(ACT_START&lt;=5)*(ACT_END&gt;=5)*IFERROR(ACT_UPLIFT-1,0)))*(1+SUMPRODUCT(SIGN(((ACT_DOOR_SCOPE="ALL")+(ACT_DOOR_SCOPE="TIER_"&amp;$F143)+(ACT_DOOR_SCOPE=$B143)))*SIGN(((ACT_SKU_SCOPE="ALL")+(ACT_SKU_SCOPE=$G143)))*(5&gt;ACT_END)*(ACT_END&gt;0)*IFERROR(ACT_POSTLIFT,0))),0)))</f>
        <v/>
      </c>
      <c r="O143" s="10">
        <f>IF(OR($H143&lt;&gt;"Y",6&lt;$I143),0,IF(SUMPRODUCT(((BULK_ENABLED="Y")*((BULK_TIER="ALL")+(BULK_TIER=$F143))*((BULK_SKU="ALL")+(BULK_SKU=$G143))*(BULK_START&lt;=6)*(BULK_END&gt;=6)))&gt;0,IFERROR(SUMPRODUCT(((BULK_ENABLED="Y")*((BULK_TIER="ALL")+(BULK_TIER=$F143))*((BULK_SKU="ALL")+(BULK_SKU=$G143))*(BULK_START&lt;=6)*(BULK_END&gt;=6))*IFERROR(BULK_VALUE,0))/MAX(1,SUMPRODUCT(((BULK_ENABLED="Y")*((BULK_TIER="ALL")+(BULK_TIER=$F143))*((BULK_SKU="ALL")+(BULK_SKU=$G143))*(BULK_START&lt;=6)*(BULK_END&gt;=6)))),0),ROUND((INDEX(VELOCITY_TABLE,MATCH($F143,TIER_LIST,0),1))*(IF((6-$I143+1)&lt;=0,0,IF((6-$I143+1)=1,RAMP_W1,IF((6-$I143+1)=2,RAMP_W2,IF((6-$I143+1)=3,RAMP_W3,RAMP_W4PLUS)))))*(INDEX(ACTIVE_MULT_TABLE,1,1))*(1+SUMPRODUCT(SIGN(((ACT_DOOR_SCOPE="ALL")+(ACT_DOOR_SCOPE="TIER_"&amp;$F143)+(ACT_DOOR_SCOPE=$B143)))*SIGN(((ACT_SKU_SCOPE="ALL")+(ACT_SKU_SCOPE=$G143)))*(ACT_START&lt;=6)*(ACT_END&gt;=6)*IFERROR(ACT_UPLIFT-1,0)))*(1+SUMPRODUCT(SIGN(((ACT_DOOR_SCOPE="ALL")+(ACT_DOOR_SCOPE="TIER_"&amp;$F143)+(ACT_DOOR_SCOPE=$B143)))*SIGN(((ACT_SKU_SCOPE="ALL")+(ACT_SKU_SCOPE=$G143)))*(6&gt;ACT_END)*(ACT_END&gt;0)*IFERROR(ACT_POSTLIFT,0))),0)))</f>
        <v/>
      </c>
      <c r="P143" s="10">
        <f>IF(OR($H143&lt;&gt;"Y",7&lt;$I143),0,IF(SUMPRODUCT(((BULK_ENABLED="Y")*((BULK_TIER="ALL")+(BULK_TIER=$F143))*((BULK_SKU="ALL")+(BULK_SKU=$G143))*(BULK_START&lt;=7)*(BULK_END&gt;=7)))&gt;0,IFERROR(SUMPRODUCT(((BULK_ENABLED="Y")*((BULK_TIER="ALL")+(BULK_TIER=$F143))*((BULK_SKU="ALL")+(BULK_SKU=$G143))*(BULK_START&lt;=7)*(BULK_END&gt;=7))*IFERROR(BULK_VALUE,0))/MAX(1,SUMPRODUCT(((BULK_ENABLED="Y")*((BULK_TIER="ALL")+(BULK_TIER=$F143))*((BULK_SKU="ALL")+(BULK_SKU=$G143))*(BULK_START&lt;=7)*(BULK_END&gt;=7)))),0),ROUND((INDEX(VELOCITY_TABLE,MATCH($F143,TIER_LIST,0),1))*(IF((7-$I143+1)&lt;=0,0,IF((7-$I143+1)=1,RAMP_W1,IF((7-$I143+1)=2,RAMP_W2,IF((7-$I143+1)=3,RAMP_W3,RAMP_W4PLUS)))))*(INDEX(ACTIVE_MULT_TABLE,1,1))*(1+SUMPRODUCT(SIGN(((ACT_DOOR_SCOPE="ALL")+(ACT_DOOR_SCOPE="TIER_"&amp;$F143)+(ACT_DOOR_SCOPE=$B143)))*SIGN(((ACT_SKU_SCOPE="ALL")+(ACT_SKU_SCOPE=$G143)))*(ACT_START&lt;=7)*(ACT_END&gt;=7)*IFERROR(ACT_UPLIFT-1,0)))*(1+SUMPRODUCT(SIGN(((ACT_DOOR_SCOPE="ALL")+(ACT_DOOR_SCOPE="TIER_"&amp;$F143)+(ACT_DOOR_SCOPE=$B143)))*SIGN(((ACT_SKU_SCOPE="ALL")+(ACT_SKU_SCOPE=$G143)))*(7&gt;ACT_END)*(ACT_END&gt;0)*IFERROR(ACT_POSTLIFT,0))),0)))</f>
        <v/>
      </c>
      <c r="Q143" s="10">
        <f>IF(OR($H143&lt;&gt;"Y",8&lt;$I143),0,IF(SUMPRODUCT(((BULK_ENABLED="Y")*((BULK_TIER="ALL")+(BULK_TIER=$F143))*((BULK_SKU="ALL")+(BULK_SKU=$G143))*(BULK_START&lt;=8)*(BULK_END&gt;=8)))&gt;0,IFERROR(SUMPRODUCT(((BULK_ENABLED="Y")*((BULK_TIER="ALL")+(BULK_TIER=$F143))*((BULK_SKU="ALL")+(BULK_SKU=$G143))*(BULK_START&lt;=8)*(BULK_END&gt;=8))*IFERROR(BULK_VALUE,0))/MAX(1,SUMPRODUCT(((BULK_ENABLED="Y")*((BULK_TIER="ALL")+(BULK_TIER=$F143))*((BULK_SKU="ALL")+(BULK_SKU=$G143))*(BULK_START&lt;=8)*(BULK_END&gt;=8)))),0),ROUND((INDEX(VELOCITY_TABLE,MATCH($F143,TIER_LIST,0),1))*(IF((8-$I143+1)&lt;=0,0,IF((8-$I143+1)=1,RAMP_W1,IF((8-$I143+1)=2,RAMP_W2,IF((8-$I143+1)=3,RAMP_W3,RAMP_W4PLUS)))))*(INDEX(ACTIVE_MULT_TABLE,1,1))*(1+SUMPRODUCT(SIGN(((ACT_DOOR_SCOPE="ALL")+(ACT_DOOR_SCOPE="TIER_"&amp;$F143)+(ACT_DOOR_SCOPE=$B143)))*SIGN(((ACT_SKU_SCOPE="ALL")+(ACT_SKU_SCOPE=$G143)))*(ACT_START&lt;=8)*(ACT_END&gt;=8)*IFERROR(ACT_UPLIFT-1,0)))*(1+SUMPRODUCT(SIGN(((ACT_DOOR_SCOPE="ALL")+(ACT_DOOR_SCOPE="TIER_"&amp;$F143)+(ACT_DOOR_SCOPE=$B143)))*SIGN(((ACT_SKU_SCOPE="ALL")+(ACT_SKU_SCOPE=$G143)))*(8&gt;ACT_END)*(ACT_END&gt;0)*IFERROR(ACT_POSTLIFT,0))),0)))</f>
        <v/>
      </c>
      <c r="R143" s="10">
        <f>IF(OR($H143&lt;&gt;"Y",9&lt;$I143),0,IF(SUMPRODUCT(((BULK_ENABLED="Y")*((BULK_TIER="ALL")+(BULK_TIER=$F143))*((BULK_SKU="ALL")+(BULK_SKU=$G143))*(BULK_START&lt;=9)*(BULK_END&gt;=9)))&gt;0,IFERROR(SUMPRODUCT(((BULK_ENABLED="Y")*((BULK_TIER="ALL")+(BULK_TIER=$F143))*((BULK_SKU="ALL")+(BULK_SKU=$G143))*(BULK_START&lt;=9)*(BULK_END&gt;=9))*IFERROR(BULK_VALUE,0))/MAX(1,SUMPRODUCT(((BULK_ENABLED="Y")*((BULK_TIER="ALL")+(BULK_TIER=$F143))*((BULK_SKU="ALL")+(BULK_SKU=$G143))*(BULK_START&lt;=9)*(BULK_END&gt;=9)))),0),ROUND((INDEX(VELOCITY_TABLE,MATCH($F143,TIER_LIST,0),1))*(IF((9-$I143+1)&lt;=0,0,IF((9-$I143+1)=1,RAMP_W1,IF((9-$I143+1)=2,RAMP_W2,IF((9-$I143+1)=3,RAMP_W3,RAMP_W4PLUS)))))*(INDEX(ACTIVE_MULT_TABLE,1,1))*(1+SUMPRODUCT(SIGN(((ACT_DOOR_SCOPE="ALL")+(ACT_DOOR_SCOPE="TIER_"&amp;$F143)+(ACT_DOOR_SCOPE=$B143)))*SIGN(((ACT_SKU_SCOPE="ALL")+(ACT_SKU_SCOPE=$G143)))*(ACT_START&lt;=9)*(ACT_END&gt;=9)*IFERROR(ACT_UPLIFT-1,0)))*(1+SUMPRODUCT(SIGN(((ACT_DOOR_SCOPE="ALL")+(ACT_DOOR_SCOPE="TIER_"&amp;$F143)+(ACT_DOOR_SCOPE=$B143)))*SIGN(((ACT_SKU_SCOPE="ALL")+(ACT_SKU_SCOPE=$G143)))*(9&gt;ACT_END)*(ACT_END&gt;0)*IFERROR(ACT_POSTLIFT,0))),0)))</f>
        <v/>
      </c>
      <c r="S143" s="10">
        <f>IF(OR($H143&lt;&gt;"Y",10&lt;$I143),0,IF(SUMPRODUCT(((BULK_ENABLED="Y")*((BULK_TIER="ALL")+(BULK_TIER=$F143))*((BULK_SKU="ALL")+(BULK_SKU=$G143))*(BULK_START&lt;=10)*(BULK_END&gt;=10)))&gt;0,IFERROR(SUMPRODUCT(((BULK_ENABLED="Y")*((BULK_TIER="ALL")+(BULK_TIER=$F143))*((BULK_SKU="ALL")+(BULK_SKU=$G143))*(BULK_START&lt;=10)*(BULK_END&gt;=10))*IFERROR(BULK_VALUE,0))/MAX(1,SUMPRODUCT(((BULK_ENABLED="Y")*((BULK_TIER="ALL")+(BULK_TIER=$F143))*((BULK_SKU="ALL")+(BULK_SKU=$G143))*(BULK_START&lt;=10)*(BULK_END&gt;=10)))),0),ROUND((INDEX(VELOCITY_TABLE,MATCH($F143,TIER_LIST,0),1))*(IF((10-$I143+1)&lt;=0,0,IF((10-$I143+1)=1,RAMP_W1,IF((10-$I143+1)=2,RAMP_W2,IF((10-$I143+1)=3,RAMP_W3,RAMP_W4PLUS)))))*(INDEX(ACTIVE_MULT_TABLE,1,1))*(1+SUMPRODUCT(SIGN(((ACT_DOOR_SCOPE="ALL")+(ACT_DOOR_SCOPE="TIER_"&amp;$F143)+(ACT_DOOR_SCOPE=$B143)))*SIGN(((ACT_SKU_SCOPE="ALL")+(ACT_SKU_SCOPE=$G143)))*(ACT_START&lt;=10)*(ACT_END&gt;=10)*IFERROR(ACT_UPLIFT-1,0)))*(1+SUMPRODUCT(SIGN(((ACT_DOOR_SCOPE="ALL")+(ACT_DOOR_SCOPE="TIER_"&amp;$F143)+(ACT_DOOR_SCOPE=$B143)))*SIGN(((ACT_SKU_SCOPE="ALL")+(ACT_SKU_SCOPE=$G143)))*(10&gt;ACT_END)*(ACT_END&gt;0)*IFERROR(ACT_POSTLIFT,0))),0)))</f>
        <v/>
      </c>
      <c r="T143" s="10">
        <f>IF(OR($H143&lt;&gt;"Y",11&lt;$I143),0,IF(SUMPRODUCT(((BULK_ENABLED="Y")*((BULK_TIER="ALL")+(BULK_TIER=$F143))*((BULK_SKU="ALL")+(BULK_SKU=$G143))*(BULK_START&lt;=11)*(BULK_END&gt;=11)))&gt;0,IFERROR(SUMPRODUCT(((BULK_ENABLED="Y")*((BULK_TIER="ALL")+(BULK_TIER=$F143))*((BULK_SKU="ALL")+(BULK_SKU=$G143))*(BULK_START&lt;=11)*(BULK_END&gt;=11))*IFERROR(BULK_VALUE,0))/MAX(1,SUMPRODUCT(((BULK_ENABLED="Y")*((BULK_TIER="ALL")+(BULK_TIER=$F143))*((BULK_SKU="ALL")+(BULK_SKU=$G143))*(BULK_START&lt;=11)*(BULK_END&gt;=11)))),0),ROUND((INDEX(VELOCITY_TABLE,MATCH($F143,TIER_LIST,0),1))*(IF((11-$I143+1)&lt;=0,0,IF((11-$I143+1)=1,RAMP_W1,IF((11-$I143+1)=2,RAMP_W2,IF((11-$I143+1)=3,RAMP_W3,RAMP_W4PLUS)))))*(INDEX(ACTIVE_MULT_TABLE,1,1))*(1+SUMPRODUCT(SIGN(((ACT_DOOR_SCOPE="ALL")+(ACT_DOOR_SCOPE="TIER_"&amp;$F143)+(ACT_DOOR_SCOPE=$B143)))*SIGN(((ACT_SKU_SCOPE="ALL")+(ACT_SKU_SCOPE=$G143)))*(ACT_START&lt;=11)*(ACT_END&gt;=11)*IFERROR(ACT_UPLIFT-1,0)))*(1+SUMPRODUCT(SIGN(((ACT_DOOR_SCOPE="ALL")+(ACT_DOOR_SCOPE="TIER_"&amp;$F143)+(ACT_DOOR_SCOPE=$B143)))*SIGN(((ACT_SKU_SCOPE="ALL")+(ACT_SKU_SCOPE=$G143)))*(11&gt;ACT_END)*(ACT_END&gt;0)*IFERROR(ACT_POSTLIFT,0))),0)))</f>
        <v/>
      </c>
      <c r="U143" s="10">
        <f>IF(OR($H143&lt;&gt;"Y",12&lt;$I143),0,IF(SUMPRODUCT(((BULK_ENABLED="Y")*((BULK_TIER="ALL")+(BULK_TIER=$F143))*((BULK_SKU="ALL")+(BULK_SKU=$G143))*(BULK_START&lt;=12)*(BULK_END&gt;=12)))&gt;0,IFERROR(SUMPRODUCT(((BULK_ENABLED="Y")*((BULK_TIER="ALL")+(BULK_TIER=$F143))*((BULK_SKU="ALL")+(BULK_SKU=$G143))*(BULK_START&lt;=12)*(BULK_END&gt;=12))*IFERROR(BULK_VALUE,0))/MAX(1,SUMPRODUCT(((BULK_ENABLED="Y")*((BULK_TIER="ALL")+(BULK_TIER=$F143))*((BULK_SKU="ALL")+(BULK_SKU=$G143))*(BULK_START&lt;=12)*(BULK_END&gt;=12)))),0),ROUND((INDEX(VELOCITY_TABLE,MATCH($F143,TIER_LIST,0),1))*(IF((12-$I143+1)&lt;=0,0,IF((12-$I143+1)=1,RAMP_W1,IF((12-$I143+1)=2,RAMP_W2,IF((12-$I143+1)=3,RAMP_W3,RAMP_W4PLUS)))))*(INDEX(ACTIVE_MULT_TABLE,1,1))*(1+SUMPRODUCT(SIGN(((ACT_DOOR_SCOPE="ALL")+(ACT_DOOR_SCOPE="TIER_"&amp;$F143)+(ACT_DOOR_SCOPE=$B143)))*SIGN(((ACT_SKU_SCOPE="ALL")+(ACT_SKU_SCOPE=$G143)))*(ACT_START&lt;=12)*(ACT_END&gt;=12)*IFERROR(ACT_UPLIFT-1,0)))*(1+SUMPRODUCT(SIGN(((ACT_DOOR_SCOPE="ALL")+(ACT_DOOR_SCOPE="TIER_"&amp;$F143)+(ACT_DOOR_SCOPE=$B143)))*SIGN(((ACT_SKU_SCOPE="ALL")+(ACT_SKU_SCOPE=$G143)))*(12&gt;ACT_END)*(ACT_END&gt;0)*IFERROR(ACT_POSTLIFT,0))),0)))</f>
        <v/>
      </c>
      <c r="V143" s="10">
        <f>IF(OR($H143&lt;&gt;"Y",13&lt;$I143),0,IF(SUMPRODUCT(((BULK_ENABLED="Y")*((BULK_TIER="ALL")+(BULK_TIER=$F143))*((BULK_SKU="ALL")+(BULK_SKU=$G143))*(BULK_START&lt;=13)*(BULK_END&gt;=13)))&gt;0,IFERROR(SUMPRODUCT(((BULK_ENABLED="Y")*((BULK_TIER="ALL")+(BULK_TIER=$F143))*((BULK_SKU="ALL")+(BULK_SKU=$G143))*(BULK_START&lt;=13)*(BULK_END&gt;=13))*IFERROR(BULK_VALUE,0))/MAX(1,SUMPRODUCT(((BULK_ENABLED="Y")*((BULK_TIER="ALL")+(BULK_TIER=$F143))*((BULK_SKU="ALL")+(BULK_SKU=$G143))*(BULK_START&lt;=13)*(BULK_END&gt;=13)))),0),ROUND((INDEX(VELOCITY_TABLE,MATCH($F143,TIER_LIST,0),1))*(IF((13-$I143+1)&lt;=0,0,IF((13-$I143+1)=1,RAMP_W1,IF((13-$I143+1)=2,RAMP_W2,IF((13-$I143+1)=3,RAMP_W3,RAMP_W4PLUS)))))*(INDEX(ACTIVE_MULT_TABLE,1,1))*(1+SUMPRODUCT(SIGN(((ACT_DOOR_SCOPE="ALL")+(ACT_DOOR_SCOPE="TIER_"&amp;$F143)+(ACT_DOOR_SCOPE=$B143)))*SIGN(((ACT_SKU_SCOPE="ALL")+(ACT_SKU_SCOPE=$G143)))*(ACT_START&lt;=13)*(ACT_END&gt;=13)*IFERROR(ACT_UPLIFT-1,0)))*(1+SUMPRODUCT(SIGN(((ACT_DOOR_SCOPE="ALL")+(ACT_DOOR_SCOPE="TIER_"&amp;$F143)+(ACT_DOOR_SCOPE=$B143)))*SIGN(((ACT_SKU_SCOPE="ALL")+(ACT_SKU_SCOPE=$G143)))*(13&gt;ACT_END)*(ACT_END&gt;0)*IFERROR(ACT_POSTLIFT,0))),0)))</f>
        <v/>
      </c>
    </row>
    <row r="144">
      <c r="A144" t="inlineStr">
        <is>
          <t>R0140</t>
        </is>
      </c>
      <c r="B144">
        <f>Doors!$A$51</f>
        <v/>
      </c>
      <c r="C144">
        <f>Doors!$C$51</f>
        <v/>
      </c>
      <c r="D144">
        <f>Doors!$B$51</f>
        <v/>
      </c>
      <c r="E144">
        <f>Doors!$E$51</f>
        <v/>
      </c>
      <c r="F144">
        <f>Doors!$F$51</f>
        <v/>
      </c>
      <c r="G144" t="inlineStr">
        <is>
          <t>Pineapple Passion Fruit</t>
        </is>
      </c>
      <c r="H144">
        <f>Doors!$H$51</f>
        <v/>
      </c>
      <c r="I144">
        <f>Doors!$J$51</f>
        <v/>
      </c>
      <c r="J144" s="10">
        <f>IF(OR($H144&lt;&gt;"Y",1&lt;$I144),0,IF(SUMPRODUCT(((BULK_ENABLED="Y")*((BULK_TIER="ALL")+(BULK_TIER=$F144))*((BULK_SKU="ALL")+(BULK_SKU=$G144))*(BULK_START&lt;=1)*(BULK_END&gt;=1)))&gt;0,IFERROR(SUMPRODUCT(((BULK_ENABLED="Y")*((BULK_TIER="ALL")+(BULK_TIER=$F144))*((BULK_SKU="ALL")+(BULK_SKU=$G144))*(BULK_START&lt;=1)*(BULK_END&gt;=1))*IFERROR(BULK_VALUE,0))/MAX(1,SUMPRODUCT(((BULK_ENABLED="Y")*((BULK_TIER="ALL")+(BULK_TIER=$F144))*((BULK_SKU="ALL")+(BULK_SKU=$G144))*(BULK_START&lt;=1)*(BULK_END&gt;=1)))),0),ROUND((INDEX(VELOCITY_TABLE,MATCH($F144,TIER_LIST,0),2))*(IF((1-$I144+1)&lt;=0,0,IF((1-$I144+1)=1,RAMP_W1,IF((1-$I144+1)=2,RAMP_W2,IF((1-$I144+1)=3,RAMP_W3,RAMP_W4PLUS)))))*(INDEX(ACTIVE_MULT_TABLE,2,1))*(1+SUMPRODUCT(SIGN(((ACT_DOOR_SCOPE="ALL")+(ACT_DOOR_SCOPE="TIER_"&amp;$F144)+(ACT_DOOR_SCOPE=$B144)))*SIGN(((ACT_SKU_SCOPE="ALL")+(ACT_SKU_SCOPE=$G144)))*(ACT_START&lt;=1)*(ACT_END&gt;=1)*IFERROR(ACT_UPLIFT-1,0)))*(1+SUMPRODUCT(SIGN(((ACT_DOOR_SCOPE="ALL")+(ACT_DOOR_SCOPE="TIER_"&amp;$F144)+(ACT_DOOR_SCOPE=$B144)))*SIGN(((ACT_SKU_SCOPE="ALL")+(ACT_SKU_SCOPE=$G144)))*(1&gt;ACT_END)*(ACT_END&gt;0)*IFERROR(ACT_POSTLIFT,0))),0)))</f>
        <v/>
      </c>
      <c r="K144" s="10">
        <f>IF(OR($H144&lt;&gt;"Y",2&lt;$I144),0,IF(SUMPRODUCT(((BULK_ENABLED="Y")*((BULK_TIER="ALL")+(BULK_TIER=$F144))*((BULK_SKU="ALL")+(BULK_SKU=$G144))*(BULK_START&lt;=2)*(BULK_END&gt;=2)))&gt;0,IFERROR(SUMPRODUCT(((BULK_ENABLED="Y")*((BULK_TIER="ALL")+(BULK_TIER=$F144))*((BULK_SKU="ALL")+(BULK_SKU=$G144))*(BULK_START&lt;=2)*(BULK_END&gt;=2))*IFERROR(BULK_VALUE,0))/MAX(1,SUMPRODUCT(((BULK_ENABLED="Y")*((BULK_TIER="ALL")+(BULK_TIER=$F144))*((BULK_SKU="ALL")+(BULK_SKU=$G144))*(BULK_START&lt;=2)*(BULK_END&gt;=2)))),0),ROUND((INDEX(VELOCITY_TABLE,MATCH($F144,TIER_LIST,0),2))*(IF((2-$I144+1)&lt;=0,0,IF((2-$I144+1)=1,RAMP_W1,IF((2-$I144+1)=2,RAMP_W2,IF((2-$I144+1)=3,RAMP_W3,RAMP_W4PLUS)))))*(INDEX(ACTIVE_MULT_TABLE,2,1))*(1+SUMPRODUCT(SIGN(((ACT_DOOR_SCOPE="ALL")+(ACT_DOOR_SCOPE="TIER_"&amp;$F144)+(ACT_DOOR_SCOPE=$B144)))*SIGN(((ACT_SKU_SCOPE="ALL")+(ACT_SKU_SCOPE=$G144)))*(ACT_START&lt;=2)*(ACT_END&gt;=2)*IFERROR(ACT_UPLIFT-1,0)))*(1+SUMPRODUCT(SIGN(((ACT_DOOR_SCOPE="ALL")+(ACT_DOOR_SCOPE="TIER_"&amp;$F144)+(ACT_DOOR_SCOPE=$B144)))*SIGN(((ACT_SKU_SCOPE="ALL")+(ACT_SKU_SCOPE=$G144)))*(2&gt;ACT_END)*(ACT_END&gt;0)*IFERROR(ACT_POSTLIFT,0))),0)))</f>
        <v/>
      </c>
      <c r="L144" s="10">
        <f>IF(OR($H144&lt;&gt;"Y",3&lt;$I144),0,IF(SUMPRODUCT(((BULK_ENABLED="Y")*((BULK_TIER="ALL")+(BULK_TIER=$F144))*((BULK_SKU="ALL")+(BULK_SKU=$G144))*(BULK_START&lt;=3)*(BULK_END&gt;=3)))&gt;0,IFERROR(SUMPRODUCT(((BULK_ENABLED="Y")*((BULK_TIER="ALL")+(BULK_TIER=$F144))*((BULK_SKU="ALL")+(BULK_SKU=$G144))*(BULK_START&lt;=3)*(BULK_END&gt;=3))*IFERROR(BULK_VALUE,0))/MAX(1,SUMPRODUCT(((BULK_ENABLED="Y")*((BULK_TIER="ALL")+(BULK_TIER=$F144))*((BULK_SKU="ALL")+(BULK_SKU=$G144))*(BULK_START&lt;=3)*(BULK_END&gt;=3)))),0),ROUND((INDEX(VELOCITY_TABLE,MATCH($F144,TIER_LIST,0),2))*(IF((3-$I144+1)&lt;=0,0,IF((3-$I144+1)=1,RAMP_W1,IF((3-$I144+1)=2,RAMP_W2,IF((3-$I144+1)=3,RAMP_W3,RAMP_W4PLUS)))))*(INDEX(ACTIVE_MULT_TABLE,2,1))*(1+SUMPRODUCT(SIGN(((ACT_DOOR_SCOPE="ALL")+(ACT_DOOR_SCOPE="TIER_"&amp;$F144)+(ACT_DOOR_SCOPE=$B144)))*SIGN(((ACT_SKU_SCOPE="ALL")+(ACT_SKU_SCOPE=$G144)))*(ACT_START&lt;=3)*(ACT_END&gt;=3)*IFERROR(ACT_UPLIFT-1,0)))*(1+SUMPRODUCT(SIGN(((ACT_DOOR_SCOPE="ALL")+(ACT_DOOR_SCOPE="TIER_"&amp;$F144)+(ACT_DOOR_SCOPE=$B144)))*SIGN(((ACT_SKU_SCOPE="ALL")+(ACT_SKU_SCOPE=$G144)))*(3&gt;ACT_END)*(ACT_END&gt;0)*IFERROR(ACT_POSTLIFT,0))),0)))</f>
        <v/>
      </c>
      <c r="M144" s="10">
        <f>IF(OR($H144&lt;&gt;"Y",4&lt;$I144),0,IF(SUMPRODUCT(((BULK_ENABLED="Y")*((BULK_TIER="ALL")+(BULK_TIER=$F144))*((BULK_SKU="ALL")+(BULK_SKU=$G144))*(BULK_START&lt;=4)*(BULK_END&gt;=4)))&gt;0,IFERROR(SUMPRODUCT(((BULK_ENABLED="Y")*((BULK_TIER="ALL")+(BULK_TIER=$F144))*((BULK_SKU="ALL")+(BULK_SKU=$G144))*(BULK_START&lt;=4)*(BULK_END&gt;=4))*IFERROR(BULK_VALUE,0))/MAX(1,SUMPRODUCT(((BULK_ENABLED="Y")*((BULK_TIER="ALL")+(BULK_TIER=$F144))*((BULK_SKU="ALL")+(BULK_SKU=$G144))*(BULK_START&lt;=4)*(BULK_END&gt;=4)))),0),ROUND((INDEX(VELOCITY_TABLE,MATCH($F144,TIER_LIST,0),2))*(IF((4-$I144+1)&lt;=0,0,IF((4-$I144+1)=1,RAMP_W1,IF((4-$I144+1)=2,RAMP_W2,IF((4-$I144+1)=3,RAMP_W3,RAMP_W4PLUS)))))*(INDEX(ACTIVE_MULT_TABLE,2,1))*(1+SUMPRODUCT(SIGN(((ACT_DOOR_SCOPE="ALL")+(ACT_DOOR_SCOPE="TIER_"&amp;$F144)+(ACT_DOOR_SCOPE=$B144)))*SIGN(((ACT_SKU_SCOPE="ALL")+(ACT_SKU_SCOPE=$G144)))*(ACT_START&lt;=4)*(ACT_END&gt;=4)*IFERROR(ACT_UPLIFT-1,0)))*(1+SUMPRODUCT(SIGN(((ACT_DOOR_SCOPE="ALL")+(ACT_DOOR_SCOPE="TIER_"&amp;$F144)+(ACT_DOOR_SCOPE=$B144)))*SIGN(((ACT_SKU_SCOPE="ALL")+(ACT_SKU_SCOPE=$G144)))*(4&gt;ACT_END)*(ACT_END&gt;0)*IFERROR(ACT_POSTLIFT,0))),0)))</f>
        <v/>
      </c>
      <c r="N144" s="10">
        <f>IF(OR($H144&lt;&gt;"Y",5&lt;$I144),0,IF(SUMPRODUCT(((BULK_ENABLED="Y")*((BULK_TIER="ALL")+(BULK_TIER=$F144))*((BULK_SKU="ALL")+(BULK_SKU=$G144))*(BULK_START&lt;=5)*(BULK_END&gt;=5)))&gt;0,IFERROR(SUMPRODUCT(((BULK_ENABLED="Y")*((BULK_TIER="ALL")+(BULK_TIER=$F144))*((BULK_SKU="ALL")+(BULK_SKU=$G144))*(BULK_START&lt;=5)*(BULK_END&gt;=5))*IFERROR(BULK_VALUE,0))/MAX(1,SUMPRODUCT(((BULK_ENABLED="Y")*((BULK_TIER="ALL")+(BULK_TIER=$F144))*((BULK_SKU="ALL")+(BULK_SKU=$G144))*(BULK_START&lt;=5)*(BULK_END&gt;=5)))),0),ROUND((INDEX(VELOCITY_TABLE,MATCH($F144,TIER_LIST,0),2))*(IF((5-$I144+1)&lt;=0,0,IF((5-$I144+1)=1,RAMP_W1,IF((5-$I144+1)=2,RAMP_W2,IF((5-$I144+1)=3,RAMP_W3,RAMP_W4PLUS)))))*(INDEX(ACTIVE_MULT_TABLE,2,1))*(1+SUMPRODUCT(SIGN(((ACT_DOOR_SCOPE="ALL")+(ACT_DOOR_SCOPE="TIER_"&amp;$F144)+(ACT_DOOR_SCOPE=$B144)))*SIGN(((ACT_SKU_SCOPE="ALL")+(ACT_SKU_SCOPE=$G144)))*(ACT_START&lt;=5)*(ACT_END&gt;=5)*IFERROR(ACT_UPLIFT-1,0)))*(1+SUMPRODUCT(SIGN(((ACT_DOOR_SCOPE="ALL")+(ACT_DOOR_SCOPE="TIER_"&amp;$F144)+(ACT_DOOR_SCOPE=$B144)))*SIGN(((ACT_SKU_SCOPE="ALL")+(ACT_SKU_SCOPE=$G144)))*(5&gt;ACT_END)*(ACT_END&gt;0)*IFERROR(ACT_POSTLIFT,0))),0)))</f>
        <v/>
      </c>
      <c r="O144" s="10">
        <f>IF(OR($H144&lt;&gt;"Y",6&lt;$I144),0,IF(SUMPRODUCT(((BULK_ENABLED="Y")*((BULK_TIER="ALL")+(BULK_TIER=$F144))*((BULK_SKU="ALL")+(BULK_SKU=$G144))*(BULK_START&lt;=6)*(BULK_END&gt;=6)))&gt;0,IFERROR(SUMPRODUCT(((BULK_ENABLED="Y")*((BULK_TIER="ALL")+(BULK_TIER=$F144))*((BULK_SKU="ALL")+(BULK_SKU=$G144))*(BULK_START&lt;=6)*(BULK_END&gt;=6))*IFERROR(BULK_VALUE,0))/MAX(1,SUMPRODUCT(((BULK_ENABLED="Y")*((BULK_TIER="ALL")+(BULK_TIER=$F144))*((BULK_SKU="ALL")+(BULK_SKU=$G144))*(BULK_START&lt;=6)*(BULK_END&gt;=6)))),0),ROUND((INDEX(VELOCITY_TABLE,MATCH($F144,TIER_LIST,0),2))*(IF((6-$I144+1)&lt;=0,0,IF((6-$I144+1)=1,RAMP_W1,IF((6-$I144+1)=2,RAMP_W2,IF((6-$I144+1)=3,RAMP_W3,RAMP_W4PLUS)))))*(INDEX(ACTIVE_MULT_TABLE,2,1))*(1+SUMPRODUCT(SIGN(((ACT_DOOR_SCOPE="ALL")+(ACT_DOOR_SCOPE="TIER_"&amp;$F144)+(ACT_DOOR_SCOPE=$B144)))*SIGN(((ACT_SKU_SCOPE="ALL")+(ACT_SKU_SCOPE=$G144)))*(ACT_START&lt;=6)*(ACT_END&gt;=6)*IFERROR(ACT_UPLIFT-1,0)))*(1+SUMPRODUCT(SIGN(((ACT_DOOR_SCOPE="ALL")+(ACT_DOOR_SCOPE="TIER_"&amp;$F144)+(ACT_DOOR_SCOPE=$B144)))*SIGN(((ACT_SKU_SCOPE="ALL")+(ACT_SKU_SCOPE=$G144)))*(6&gt;ACT_END)*(ACT_END&gt;0)*IFERROR(ACT_POSTLIFT,0))),0)))</f>
        <v/>
      </c>
      <c r="P144" s="10">
        <f>IF(OR($H144&lt;&gt;"Y",7&lt;$I144),0,IF(SUMPRODUCT(((BULK_ENABLED="Y")*((BULK_TIER="ALL")+(BULK_TIER=$F144))*((BULK_SKU="ALL")+(BULK_SKU=$G144))*(BULK_START&lt;=7)*(BULK_END&gt;=7)))&gt;0,IFERROR(SUMPRODUCT(((BULK_ENABLED="Y")*((BULK_TIER="ALL")+(BULK_TIER=$F144))*((BULK_SKU="ALL")+(BULK_SKU=$G144))*(BULK_START&lt;=7)*(BULK_END&gt;=7))*IFERROR(BULK_VALUE,0))/MAX(1,SUMPRODUCT(((BULK_ENABLED="Y")*((BULK_TIER="ALL")+(BULK_TIER=$F144))*((BULK_SKU="ALL")+(BULK_SKU=$G144))*(BULK_START&lt;=7)*(BULK_END&gt;=7)))),0),ROUND((INDEX(VELOCITY_TABLE,MATCH($F144,TIER_LIST,0),2))*(IF((7-$I144+1)&lt;=0,0,IF((7-$I144+1)=1,RAMP_W1,IF((7-$I144+1)=2,RAMP_W2,IF((7-$I144+1)=3,RAMP_W3,RAMP_W4PLUS)))))*(INDEX(ACTIVE_MULT_TABLE,2,1))*(1+SUMPRODUCT(SIGN(((ACT_DOOR_SCOPE="ALL")+(ACT_DOOR_SCOPE="TIER_"&amp;$F144)+(ACT_DOOR_SCOPE=$B144)))*SIGN(((ACT_SKU_SCOPE="ALL")+(ACT_SKU_SCOPE=$G144)))*(ACT_START&lt;=7)*(ACT_END&gt;=7)*IFERROR(ACT_UPLIFT-1,0)))*(1+SUMPRODUCT(SIGN(((ACT_DOOR_SCOPE="ALL")+(ACT_DOOR_SCOPE="TIER_"&amp;$F144)+(ACT_DOOR_SCOPE=$B144)))*SIGN(((ACT_SKU_SCOPE="ALL")+(ACT_SKU_SCOPE=$G144)))*(7&gt;ACT_END)*(ACT_END&gt;0)*IFERROR(ACT_POSTLIFT,0))),0)))</f>
        <v/>
      </c>
      <c r="Q144" s="10">
        <f>IF(OR($H144&lt;&gt;"Y",8&lt;$I144),0,IF(SUMPRODUCT(((BULK_ENABLED="Y")*((BULK_TIER="ALL")+(BULK_TIER=$F144))*((BULK_SKU="ALL")+(BULK_SKU=$G144))*(BULK_START&lt;=8)*(BULK_END&gt;=8)))&gt;0,IFERROR(SUMPRODUCT(((BULK_ENABLED="Y")*((BULK_TIER="ALL")+(BULK_TIER=$F144))*((BULK_SKU="ALL")+(BULK_SKU=$G144))*(BULK_START&lt;=8)*(BULK_END&gt;=8))*IFERROR(BULK_VALUE,0))/MAX(1,SUMPRODUCT(((BULK_ENABLED="Y")*((BULK_TIER="ALL")+(BULK_TIER=$F144))*((BULK_SKU="ALL")+(BULK_SKU=$G144))*(BULK_START&lt;=8)*(BULK_END&gt;=8)))),0),ROUND((INDEX(VELOCITY_TABLE,MATCH($F144,TIER_LIST,0),2))*(IF((8-$I144+1)&lt;=0,0,IF((8-$I144+1)=1,RAMP_W1,IF((8-$I144+1)=2,RAMP_W2,IF((8-$I144+1)=3,RAMP_W3,RAMP_W4PLUS)))))*(INDEX(ACTIVE_MULT_TABLE,2,1))*(1+SUMPRODUCT(SIGN(((ACT_DOOR_SCOPE="ALL")+(ACT_DOOR_SCOPE="TIER_"&amp;$F144)+(ACT_DOOR_SCOPE=$B144)))*SIGN(((ACT_SKU_SCOPE="ALL")+(ACT_SKU_SCOPE=$G144)))*(ACT_START&lt;=8)*(ACT_END&gt;=8)*IFERROR(ACT_UPLIFT-1,0)))*(1+SUMPRODUCT(SIGN(((ACT_DOOR_SCOPE="ALL")+(ACT_DOOR_SCOPE="TIER_"&amp;$F144)+(ACT_DOOR_SCOPE=$B144)))*SIGN(((ACT_SKU_SCOPE="ALL")+(ACT_SKU_SCOPE=$G144)))*(8&gt;ACT_END)*(ACT_END&gt;0)*IFERROR(ACT_POSTLIFT,0))),0)))</f>
        <v/>
      </c>
      <c r="R144" s="10">
        <f>IF(OR($H144&lt;&gt;"Y",9&lt;$I144),0,IF(SUMPRODUCT(((BULK_ENABLED="Y")*((BULK_TIER="ALL")+(BULK_TIER=$F144))*((BULK_SKU="ALL")+(BULK_SKU=$G144))*(BULK_START&lt;=9)*(BULK_END&gt;=9)))&gt;0,IFERROR(SUMPRODUCT(((BULK_ENABLED="Y")*((BULK_TIER="ALL")+(BULK_TIER=$F144))*((BULK_SKU="ALL")+(BULK_SKU=$G144))*(BULK_START&lt;=9)*(BULK_END&gt;=9))*IFERROR(BULK_VALUE,0))/MAX(1,SUMPRODUCT(((BULK_ENABLED="Y")*((BULK_TIER="ALL")+(BULK_TIER=$F144))*((BULK_SKU="ALL")+(BULK_SKU=$G144))*(BULK_START&lt;=9)*(BULK_END&gt;=9)))),0),ROUND((INDEX(VELOCITY_TABLE,MATCH($F144,TIER_LIST,0),2))*(IF((9-$I144+1)&lt;=0,0,IF((9-$I144+1)=1,RAMP_W1,IF((9-$I144+1)=2,RAMP_W2,IF((9-$I144+1)=3,RAMP_W3,RAMP_W4PLUS)))))*(INDEX(ACTIVE_MULT_TABLE,2,1))*(1+SUMPRODUCT(SIGN(((ACT_DOOR_SCOPE="ALL")+(ACT_DOOR_SCOPE="TIER_"&amp;$F144)+(ACT_DOOR_SCOPE=$B144)))*SIGN(((ACT_SKU_SCOPE="ALL")+(ACT_SKU_SCOPE=$G144)))*(ACT_START&lt;=9)*(ACT_END&gt;=9)*IFERROR(ACT_UPLIFT-1,0)))*(1+SUMPRODUCT(SIGN(((ACT_DOOR_SCOPE="ALL")+(ACT_DOOR_SCOPE="TIER_"&amp;$F144)+(ACT_DOOR_SCOPE=$B144)))*SIGN(((ACT_SKU_SCOPE="ALL")+(ACT_SKU_SCOPE=$G144)))*(9&gt;ACT_END)*(ACT_END&gt;0)*IFERROR(ACT_POSTLIFT,0))),0)))</f>
        <v/>
      </c>
      <c r="S144" s="10">
        <f>IF(OR($H144&lt;&gt;"Y",10&lt;$I144),0,IF(SUMPRODUCT(((BULK_ENABLED="Y")*((BULK_TIER="ALL")+(BULK_TIER=$F144))*((BULK_SKU="ALL")+(BULK_SKU=$G144))*(BULK_START&lt;=10)*(BULK_END&gt;=10)))&gt;0,IFERROR(SUMPRODUCT(((BULK_ENABLED="Y")*((BULK_TIER="ALL")+(BULK_TIER=$F144))*((BULK_SKU="ALL")+(BULK_SKU=$G144))*(BULK_START&lt;=10)*(BULK_END&gt;=10))*IFERROR(BULK_VALUE,0))/MAX(1,SUMPRODUCT(((BULK_ENABLED="Y")*((BULK_TIER="ALL")+(BULK_TIER=$F144))*((BULK_SKU="ALL")+(BULK_SKU=$G144))*(BULK_START&lt;=10)*(BULK_END&gt;=10)))),0),ROUND((INDEX(VELOCITY_TABLE,MATCH($F144,TIER_LIST,0),2))*(IF((10-$I144+1)&lt;=0,0,IF((10-$I144+1)=1,RAMP_W1,IF((10-$I144+1)=2,RAMP_W2,IF((10-$I144+1)=3,RAMP_W3,RAMP_W4PLUS)))))*(INDEX(ACTIVE_MULT_TABLE,2,1))*(1+SUMPRODUCT(SIGN(((ACT_DOOR_SCOPE="ALL")+(ACT_DOOR_SCOPE="TIER_"&amp;$F144)+(ACT_DOOR_SCOPE=$B144)))*SIGN(((ACT_SKU_SCOPE="ALL")+(ACT_SKU_SCOPE=$G144)))*(ACT_START&lt;=10)*(ACT_END&gt;=10)*IFERROR(ACT_UPLIFT-1,0)))*(1+SUMPRODUCT(SIGN(((ACT_DOOR_SCOPE="ALL")+(ACT_DOOR_SCOPE="TIER_"&amp;$F144)+(ACT_DOOR_SCOPE=$B144)))*SIGN(((ACT_SKU_SCOPE="ALL")+(ACT_SKU_SCOPE=$G144)))*(10&gt;ACT_END)*(ACT_END&gt;0)*IFERROR(ACT_POSTLIFT,0))),0)))</f>
        <v/>
      </c>
      <c r="T144" s="10">
        <f>IF(OR($H144&lt;&gt;"Y",11&lt;$I144),0,IF(SUMPRODUCT(((BULK_ENABLED="Y")*((BULK_TIER="ALL")+(BULK_TIER=$F144))*((BULK_SKU="ALL")+(BULK_SKU=$G144))*(BULK_START&lt;=11)*(BULK_END&gt;=11)))&gt;0,IFERROR(SUMPRODUCT(((BULK_ENABLED="Y")*((BULK_TIER="ALL")+(BULK_TIER=$F144))*((BULK_SKU="ALL")+(BULK_SKU=$G144))*(BULK_START&lt;=11)*(BULK_END&gt;=11))*IFERROR(BULK_VALUE,0))/MAX(1,SUMPRODUCT(((BULK_ENABLED="Y")*((BULK_TIER="ALL")+(BULK_TIER=$F144))*((BULK_SKU="ALL")+(BULK_SKU=$G144))*(BULK_START&lt;=11)*(BULK_END&gt;=11)))),0),ROUND((INDEX(VELOCITY_TABLE,MATCH($F144,TIER_LIST,0),2))*(IF((11-$I144+1)&lt;=0,0,IF((11-$I144+1)=1,RAMP_W1,IF((11-$I144+1)=2,RAMP_W2,IF((11-$I144+1)=3,RAMP_W3,RAMP_W4PLUS)))))*(INDEX(ACTIVE_MULT_TABLE,2,1))*(1+SUMPRODUCT(SIGN(((ACT_DOOR_SCOPE="ALL")+(ACT_DOOR_SCOPE="TIER_"&amp;$F144)+(ACT_DOOR_SCOPE=$B144)))*SIGN(((ACT_SKU_SCOPE="ALL")+(ACT_SKU_SCOPE=$G144)))*(ACT_START&lt;=11)*(ACT_END&gt;=11)*IFERROR(ACT_UPLIFT-1,0)))*(1+SUMPRODUCT(SIGN(((ACT_DOOR_SCOPE="ALL")+(ACT_DOOR_SCOPE="TIER_"&amp;$F144)+(ACT_DOOR_SCOPE=$B144)))*SIGN(((ACT_SKU_SCOPE="ALL")+(ACT_SKU_SCOPE=$G144)))*(11&gt;ACT_END)*(ACT_END&gt;0)*IFERROR(ACT_POSTLIFT,0))),0)))</f>
        <v/>
      </c>
      <c r="U144" s="10">
        <f>IF(OR($H144&lt;&gt;"Y",12&lt;$I144),0,IF(SUMPRODUCT(((BULK_ENABLED="Y")*((BULK_TIER="ALL")+(BULK_TIER=$F144))*((BULK_SKU="ALL")+(BULK_SKU=$G144))*(BULK_START&lt;=12)*(BULK_END&gt;=12)))&gt;0,IFERROR(SUMPRODUCT(((BULK_ENABLED="Y")*((BULK_TIER="ALL")+(BULK_TIER=$F144))*((BULK_SKU="ALL")+(BULK_SKU=$G144))*(BULK_START&lt;=12)*(BULK_END&gt;=12))*IFERROR(BULK_VALUE,0))/MAX(1,SUMPRODUCT(((BULK_ENABLED="Y")*((BULK_TIER="ALL")+(BULK_TIER=$F144))*((BULK_SKU="ALL")+(BULK_SKU=$G144))*(BULK_START&lt;=12)*(BULK_END&gt;=12)))),0),ROUND((INDEX(VELOCITY_TABLE,MATCH($F144,TIER_LIST,0),2))*(IF((12-$I144+1)&lt;=0,0,IF((12-$I144+1)=1,RAMP_W1,IF((12-$I144+1)=2,RAMP_W2,IF((12-$I144+1)=3,RAMP_W3,RAMP_W4PLUS)))))*(INDEX(ACTIVE_MULT_TABLE,2,1))*(1+SUMPRODUCT(SIGN(((ACT_DOOR_SCOPE="ALL")+(ACT_DOOR_SCOPE="TIER_"&amp;$F144)+(ACT_DOOR_SCOPE=$B144)))*SIGN(((ACT_SKU_SCOPE="ALL")+(ACT_SKU_SCOPE=$G144)))*(ACT_START&lt;=12)*(ACT_END&gt;=12)*IFERROR(ACT_UPLIFT-1,0)))*(1+SUMPRODUCT(SIGN(((ACT_DOOR_SCOPE="ALL")+(ACT_DOOR_SCOPE="TIER_"&amp;$F144)+(ACT_DOOR_SCOPE=$B144)))*SIGN(((ACT_SKU_SCOPE="ALL")+(ACT_SKU_SCOPE=$G144)))*(12&gt;ACT_END)*(ACT_END&gt;0)*IFERROR(ACT_POSTLIFT,0))),0)))</f>
        <v/>
      </c>
      <c r="V144" s="10">
        <f>IF(OR($H144&lt;&gt;"Y",13&lt;$I144),0,IF(SUMPRODUCT(((BULK_ENABLED="Y")*((BULK_TIER="ALL")+(BULK_TIER=$F144))*((BULK_SKU="ALL")+(BULK_SKU=$G144))*(BULK_START&lt;=13)*(BULK_END&gt;=13)))&gt;0,IFERROR(SUMPRODUCT(((BULK_ENABLED="Y")*((BULK_TIER="ALL")+(BULK_TIER=$F144))*((BULK_SKU="ALL")+(BULK_SKU=$G144))*(BULK_START&lt;=13)*(BULK_END&gt;=13))*IFERROR(BULK_VALUE,0))/MAX(1,SUMPRODUCT(((BULK_ENABLED="Y")*((BULK_TIER="ALL")+(BULK_TIER=$F144))*((BULK_SKU="ALL")+(BULK_SKU=$G144))*(BULK_START&lt;=13)*(BULK_END&gt;=13)))),0),ROUND((INDEX(VELOCITY_TABLE,MATCH($F144,TIER_LIST,0),2))*(IF((13-$I144+1)&lt;=0,0,IF((13-$I144+1)=1,RAMP_W1,IF((13-$I144+1)=2,RAMP_W2,IF((13-$I144+1)=3,RAMP_W3,RAMP_W4PLUS)))))*(INDEX(ACTIVE_MULT_TABLE,2,1))*(1+SUMPRODUCT(SIGN(((ACT_DOOR_SCOPE="ALL")+(ACT_DOOR_SCOPE="TIER_"&amp;$F144)+(ACT_DOOR_SCOPE=$B144)))*SIGN(((ACT_SKU_SCOPE="ALL")+(ACT_SKU_SCOPE=$G144)))*(ACT_START&lt;=13)*(ACT_END&gt;=13)*IFERROR(ACT_UPLIFT-1,0)))*(1+SUMPRODUCT(SIGN(((ACT_DOOR_SCOPE="ALL")+(ACT_DOOR_SCOPE="TIER_"&amp;$F144)+(ACT_DOOR_SCOPE=$B144)))*SIGN(((ACT_SKU_SCOPE="ALL")+(ACT_SKU_SCOPE=$G144)))*(13&gt;ACT_END)*(ACT_END&gt;0)*IFERROR(ACT_POSTLIFT,0))),0)))</f>
        <v/>
      </c>
    </row>
    <row r="145">
      <c r="A145" t="inlineStr">
        <is>
          <t>R0141</t>
        </is>
      </c>
      <c r="B145">
        <f>Doors!$A$51</f>
        <v/>
      </c>
      <c r="C145">
        <f>Doors!$C$51</f>
        <v/>
      </c>
      <c r="D145">
        <f>Doors!$B$51</f>
        <v/>
      </c>
      <c r="E145">
        <f>Doors!$E$51</f>
        <v/>
      </c>
      <c r="F145">
        <f>Doors!$F$51</f>
        <v/>
      </c>
      <c r="G145" t="inlineStr">
        <is>
          <t>Raspberry</t>
        </is>
      </c>
      <c r="H145">
        <f>Doors!$I$51</f>
        <v/>
      </c>
      <c r="I145">
        <f>Doors!$J$51</f>
        <v/>
      </c>
      <c r="J145" s="10">
        <f>IF(OR($H145&lt;&gt;"Y",1&lt;$I145),0,IF(SUMPRODUCT(((BULK_ENABLED="Y")*((BULK_TIER="ALL")+(BULK_TIER=$F145))*((BULK_SKU="ALL")+(BULK_SKU=$G145))*(BULK_START&lt;=1)*(BULK_END&gt;=1)))&gt;0,IFERROR(SUMPRODUCT(((BULK_ENABLED="Y")*((BULK_TIER="ALL")+(BULK_TIER=$F145))*((BULK_SKU="ALL")+(BULK_SKU=$G145))*(BULK_START&lt;=1)*(BULK_END&gt;=1))*IFERROR(BULK_VALUE,0))/MAX(1,SUMPRODUCT(((BULK_ENABLED="Y")*((BULK_TIER="ALL")+(BULK_TIER=$F145))*((BULK_SKU="ALL")+(BULK_SKU=$G145))*(BULK_START&lt;=1)*(BULK_END&gt;=1)))),0),ROUND((INDEX(VELOCITY_TABLE,MATCH($F145,TIER_LIST,0),3))*(IF((1-$I145+1)&lt;=0,0,IF((1-$I145+1)=1,RAMP_W1,IF((1-$I145+1)=2,RAMP_W2,IF((1-$I145+1)=3,RAMP_W3,RAMP_W4PLUS)))))*(INDEX(ACTIVE_MULT_TABLE,3,1))*(1+SUMPRODUCT(SIGN(((ACT_DOOR_SCOPE="ALL")+(ACT_DOOR_SCOPE="TIER_"&amp;$F145)+(ACT_DOOR_SCOPE=$B145)))*SIGN(((ACT_SKU_SCOPE="ALL")+(ACT_SKU_SCOPE=$G145)))*(ACT_START&lt;=1)*(ACT_END&gt;=1)*IFERROR(ACT_UPLIFT-1,0)))*(1+SUMPRODUCT(SIGN(((ACT_DOOR_SCOPE="ALL")+(ACT_DOOR_SCOPE="TIER_"&amp;$F145)+(ACT_DOOR_SCOPE=$B145)))*SIGN(((ACT_SKU_SCOPE="ALL")+(ACT_SKU_SCOPE=$G145)))*(1&gt;ACT_END)*(ACT_END&gt;0)*IFERROR(ACT_POSTLIFT,0))),0)))</f>
        <v/>
      </c>
      <c r="K145" s="10">
        <f>IF(OR($H145&lt;&gt;"Y",2&lt;$I145),0,IF(SUMPRODUCT(((BULK_ENABLED="Y")*((BULK_TIER="ALL")+(BULK_TIER=$F145))*((BULK_SKU="ALL")+(BULK_SKU=$G145))*(BULK_START&lt;=2)*(BULK_END&gt;=2)))&gt;0,IFERROR(SUMPRODUCT(((BULK_ENABLED="Y")*((BULK_TIER="ALL")+(BULK_TIER=$F145))*((BULK_SKU="ALL")+(BULK_SKU=$G145))*(BULK_START&lt;=2)*(BULK_END&gt;=2))*IFERROR(BULK_VALUE,0))/MAX(1,SUMPRODUCT(((BULK_ENABLED="Y")*((BULK_TIER="ALL")+(BULK_TIER=$F145))*((BULK_SKU="ALL")+(BULK_SKU=$G145))*(BULK_START&lt;=2)*(BULK_END&gt;=2)))),0),ROUND((INDEX(VELOCITY_TABLE,MATCH($F145,TIER_LIST,0),3))*(IF((2-$I145+1)&lt;=0,0,IF((2-$I145+1)=1,RAMP_W1,IF((2-$I145+1)=2,RAMP_W2,IF((2-$I145+1)=3,RAMP_W3,RAMP_W4PLUS)))))*(INDEX(ACTIVE_MULT_TABLE,3,1))*(1+SUMPRODUCT(SIGN(((ACT_DOOR_SCOPE="ALL")+(ACT_DOOR_SCOPE="TIER_"&amp;$F145)+(ACT_DOOR_SCOPE=$B145)))*SIGN(((ACT_SKU_SCOPE="ALL")+(ACT_SKU_SCOPE=$G145)))*(ACT_START&lt;=2)*(ACT_END&gt;=2)*IFERROR(ACT_UPLIFT-1,0)))*(1+SUMPRODUCT(SIGN(((ACT_DOOR_SCOPE="ALL")+(ACT_DOOR_SCOPE="TIER_"&amp;$F145)+(ACT_DOOR_SCOPE=$B145)))*SIGN(((ACT_SKU_SCOPE="ALL")+(ACT_SKU_SCOPE=$G145)))*(2&gt;ACT_END)*(ACT_END&gt;0)*IFERROR(ACT_POSTLIFT,0))),0)))</f>
        <v/>
      </c>
      <c r="L145" s="10">
        <f>IF(OR($H145&lt;&gt;"Y",3&lt;$I145),0,IF(SUMPRODUCT(((BULK_ENABLED="Y")*((BULK_TIER="ALL")+(BULK_TIER=$F145))*((BULK_SKU="ALL")+(BULK_SKU=$G145))*(BULK_START&lt;=3)*(BULK_END&gt;=3)))&gt;0,IFERROR(SUMPRODUCT(((BULK_ENABLED="Y")*((BULK_TIER="ALL")+(BULK_TIER=$F145))*((BULK_SKU="ALL")+(BULK_SKU=$G145))*(BULK_START&lt;=3)*(BULK_END&gt;=3))*IFERROR(BULK_VALUE,0))/MAX(1,SUMPRODUCT(((BULK_ENABLED="Y")*((BULK_TIER="ALL")+(BULK_TIER=$F145))*((BULK_SKU="ALL")+(BULK_SKU=$G145))*(BULK_START&lt;=3)*(BULK_END&gt;=3)))),0),ROUND((INDEX(VELOCITY_TABLE,MATCH($F145,TIER_LIST,0),3))*(IF((3-$I145+1)&lt;=0,0,IF((3-$I145+1)=1,RAMP_W1,IF((3-$I145+1)=2,RAMP_W2,IF((3-$I145+1)=3,RAMP_W3,RAMP_W4PLUS)))))*(INDEX(ACTIVE_MULT_TABLE,3,1))*(1+SUMPRODUCT(SIGN(((ACT_DOOR_SCOPE="ALL")+(ACT_DOOR_SCOPE="TIER_"&amp;$F145)+(ACT_DOOR_SCOPE=$B145)))*SIGN(((ACT_SKU_SCOPE="ALL")+(ACT_SKU_SCOPE=$G145)))*(ACT_START&lt;=3)*(ACT_END&gt;=3)*IFERROR(ACT_UPLIFT-1,0)))*(1+SUMPRODUCT(SIGN(((ACT_DOOR_SCOPE="ALL")+(ACT_DOOR_SCOPE="TIER_"&amp;$F145)+(ACT_DOOR_SCOPE=$B145)))*SIGN(((ACT_SKU_SCOPE="ALL")+(ACT_SKU_SCOPE=$G145)))*(3&gt;ACT_END)*(ACT_END&gt;0)*IFERROR(ACT_POSTLIFT,0))),0)))</f>
        <v/>
      </c>
      <c r="M145" s="10">
        <f>IF(OR($H145&lt;&gt;"Y",4&lt;$I145),0,IF(SUMPRODUCT(((BULK_ENABLED="Y")*((BULK_TIER="ALL")+(BULK_TIER=$F145))*((BULK_SKU="ALL")+(BULK_SKU=$G145))*(BULK_START&lt;=4)*(BULK_END&gt;=4)))&gt;0,IFERROR(SUMPRODUCT(((BULK_ENABLED="Y")*((BULK_TIER="ALL")+(BULK_TIER=$F145))*((BULK_SKU="ALL")+(BULK_SKU=$G145))*(BULK_START&lt;=4)*(BULK_END&gt;=4))*IFERROR(BULK_VALUE,0))/MAX(1,SUMPRODUCT(((BULK_ENABLED="Y")*((BULK_TIER="ALL")+(BULK_TIER=$F145))*((BULK_SKU="ALL")+(BULK_SKU=$G145))*(BULK_START&lt;=4)*(BULK_END&gt;=4)))),0),ROUND((INDEX(VELOCITY_TABLE,MATCH($F145,TIER_LIST,0),3))*(IF((4-$I145+1)&lt;=0,0,IF((4-$I145+1)=1,RAMP_W1,IF((4-$I145+1)=2,RAMP_W2,IF((4-$I145+1)=3,RAMP_W3,RAMP_W4PLUS)))))*(INDEX(ACTIVE_MULT_TABLE,3,1))*(1+SUMPRODUCT(SIGN(((ACT_DOOR_SCOPE="ALL")+(ACT_DOOR_SCOPE="TIER_"&amp;$F145)+(ACT_DOOR_SCOPE=$B145)))*SIGN(((ACT_SKU_SCOPE="ALL")+(ACT_SKU_SCOPE=$G145)))*(ACT_START&lt;=4)*(ACT_END&gt;=4)*IFERROR(ACT_UPLIFT-1,0)))*(1+SUMPRODUCT(SIGN(((ACT_DOOR_SCOPE="ALL")+(ACT_DOOR_SCOPE="TIER_"&amp;$F145)+(ACT_DOOR_SCOPE=$B145)))*SIGN(((ACT_SKU_SCOPE="ALL")+(ACT_SKU_SCOPE=$G145)))*(4&gt;ACT_END)*(ACT_END&gt;0)*IFERROR(ACT_POSTLIFT,0))),0)))</f>
        <v/>
      </c>
      <c r="N145" s="10">
        <f>IF(OR($H145&lt;&gt;"Y",5&lt;$I145),0,IF(SUMPRODUCT(((BULK_ENABLED="Y")*((BULK_TIER="ALL")+(BULK_TIER=$F145))*((BULK_SKU="ALL")+(BULK_SKU=$G145))*(BULK_START&lt;=5)*(BULK_END&gt;=5)))&gt;0,IFERROR(SUMPRODUCT(((BULK_ENABLED="Y")*((BULK_TIER="ALL")+(BULK_TIER=$F145))*((BULK_SKU="ALL")+(BULK_SKU=$G145))*(BULK_START&lt;=5)*(BULK_END&gt;=5))*IFERROR(BULK_VALUE,0))/MAX(1,SUMPRODUCT(((BULK_ENABLED="Y")*((BULK_TIER="ALL")+(BULK_TIER=$F145))*((BULK_SKU="ALL")+(BULK_SKU=$G145))*(BULK_START&lt;=5)*(BULK_END&gt;=5)))),0),ROUND((INDEX(VELOCITY_TABLE,MATCH($F145,TIER_LIST,0),3))*(IF((5-$I145+1)&lt;=0,0,IF((5-$I145+1)=1,RAMP_W1,IF((5-$I145+1)=2,RAMP_W2,IF((5-$I145+1)=3,RAMP_W3,RAMP_W4PLUS)))))*(INDEX(ACTIVE_MULT_TABLE,3,1))*(1+SUMPRODUCT(SIGN(((ACT_DOOR_SCOPE="ALL")+(ACT_DOOR_SCOPE="TIER_"&amp;$F145)+(ACT_DOOR_SCOPE=$B145)))*SIGN(((ACT_SKU_SCOPE="ALL")+(ACT_SKU_SCOPE=$G145)))*(ACT_START&lt;=5)*(ACT_END&gt;=5)*IFERROR(ACT_UPLIFT-1,0)))*(1+SUMPRODUCT(SIGN(((ACT_DOOR_SCOPE="ALL")+(ACT_DOOR_SCOPE="TIER_"&amp;$F145)+(ACT_DOOR_SCOPE=$B145)))*SIGN(((ACT_SKU_SCOPE="ALL")+(ACT_SKU_SCOPE=$G145)))*(5&gt;ACT_END)*(ACT_END&gt;0)*IFERROR(ACT_POSTLIFT,0))),0)))</f>
        <v/>
      </c>
      <c r="O145" s="10">
        <f>IF(OR($H145&lt;&gt;"Y",6&lt;$I145),0,IF(SUMPRODUCT(((BULK_ENABLED="Y")*((BULK_TIER="ALL")+(BULK_TIER=$F145))*((BULK_SKU="ALL")+(BULK_SKU=$G145))*(BULK_START&lt;=6)*(BULK_END&gt;=6)))&gt;0,IFERROR(SUMPRODUCT(((BULK_ENABLED="Y")*((BULK_TIER="ALL")+(BULK_TIER=$F145))*((BULK_SKU="ALL")+(BULK_SKU=$G145))*(BULK_START&lt;=6)*(BULK_END&gt;=6))*IFERROR(BULK_VALUE,0))/MAX(1,SUMPRODUCT(((BULK_ENABLED="Y")*((BULK_TIER="ALL")+(BULK_TIER=$F145))*((BULK_SKU="ALL")+(BULK_SKU=$G145))*(BULK_START&lt;=6)*(BULK_END&gt;=6)))),0),ROUND((INDEX(VELOCITY_TABLE,MATCH($F145,TIER_LIST,0),3))*(IF((6-$I145+1)&lt;=0,0,IF((6-$I145+1)=1,RAMP_W1,IF((6-$I145+1)=2,RAMP_W2,IF((6-$I145+1)=3,RAMP_W3,RAMP_W4PLUS)))))*(INDEX(ACTIVE_MULT_TABLE,3,1))*(1+SUMPRODUCT(SIGN(((ACT_DOOR_SCOPE="ALL")+(ACT_DOOR_SCOPE="TIER_"&amp;$F145)+(ACT_DOOR_SCOPE=$B145)))*SIGN(((ACT_SKU_SCOPE="ALL")+(ACT_SKU_SCOPE=$G145)))*(ACT_START&lt;=6)*(ACT_END&gt;=6)*IFERROR(ACT_UPLIFT-1,0)))*(1+SUMPRODUCT(SIGN(((ACT_DOOR_SCOPE="ALL")+(ACT_DOOR_SCOPE="TIER_"&amp;$F145)+(ACT_DOOR_SCOPE=$B145)))*SIGN(((ACT_SKU_SCOPE="ALL")+(ACT_SKU_SCOPE=$G145)))*(6&gt;ACT_END)*(ACT_END&gt;0)*IFERROR(ACT_POSTLIFT,0))),0)))</f>
        <v/>
      </c>
      <c r="P145" s="10">
        <f>IF(OR($H145&lt;&gt;"Y",7&lt;$I145),0,IF(SUMPRODUCT(((BULK_ENABLED="Y")*((BULK_TIER="ALL")+(BULK_TIER=$F145))*((BULK_SKU="ALL")+(BULK_SKU=$G145))*(BULK_START&lt;=7)*(BULK_END&gt;=7)))&gt;0,IFERROR(SUMPRODUCT(((BULK_ENABLED="Y")*((BULK_TIER="ALL")+(BULK_TIER=$F145))*((BULK_SKU="ALL")+(BULK_SKU=$G145))*(BULK_START&lt;=7)*(BULK_END&gt;=7))*IFERROR(BULK_VALUE,0))/MAX(1,SUMPRODUCT(((BULK_ENABLED="Y")*((BULK_TIER="ALL")+(BULK_TIER=$F145))*((BULK_SKU="ALL")+(BULK_SKU=$G145))*(BULK_START&lt;=7)*(BULK_END&gt;=7)))),0),ROUND((INDEX(VELOCITY_TABLE,MATCH($F145,TIER_LIST,0),3))*(IF((7-$I145+1)&lt;=0,0,IF((7-$I145+1)=1,RAMP_W1,IF((7-$I145+1)=2,RAMP_W2,IF((7-$I145+1)=3,RAMP_W3,RAMP_W4PLUS)))))*(INDEX(ACTIVE_MULT_TABLE,3,1))*(1+SUMPRODUCT(SIGN(((ACT_DOOR_SCOPE="ALL")+(ACT_DOOR_SCOPE="TIER_"&amp;$F145)+(ACT_DOOR_SCOPE=$B145)))*SIGN(((ACT_SKU_SCOPE="ALL")+(ACT_SKU_SCOPE=$G145)))*(ACT_START&lt;=7)*(ACT_END&gt;=7)*IFERROR(ACT_UPLIFT-1,0)))*(1+SUMPRODUCT(SIGN(((ACT_DOOR_SCOPE="ALL")+(ACT_DOOR_SCOPE="TIER_"&amp;$F145)+(ACT_DOOR_SCOPE=$B145)))*SIGN(((ACT_SKU_SCOPE="ALL")+(ACT_SKU_SCOPE=$G145)))*(7&gt;ACT_END)*(ACT_END&gt;0)*IFERROR(ACT_POSTLIFT,0))),0)))</f>
        <v/>
      </c>
      <c r="Q145" s="10">
        <f>IF(OR($H145&lt;&gt;"Y",8&lt;$I145),0,IF(SUMPRODUCT(((BULK_ENABLED="Y")*((BULK_TIER="ALL")+(BULK_TIER=$F145))*((BULK_SKU="ALL")+(BULK_SKU=$G145))*(BULK_START&lt;=8)*(BULK_END&gt;=8)))&gt;0,IFERROR(SUMPRODUCT(((BULK_ENABLED="Y")*((BULK_TIER="ALL")+(BULK_TIER=$F145))*((BULK_SKU="ALL")+(BULK_SKU=$G145))*(BULK_START&lt;=8)*(BULK_END&gt;=8))*IFERROR(BULK_VALUE,0))/MAX(1,SUMPRODUCT(((BULK_ENABLED="Y")*((BULK_TIER="ALL")+(BULK_TIER=$F145))*((BULK_SKU="ALL")+(BULK_SKU=$G145))*(BULK_START&lt;=8)*(BULK_END&gt;=8)))),0),ROUND((INDEX(VELOCITY_TABLE,MATCH($F145,TIER_LIST,0),3))*(IF((8-$I145+1)&lt;=0,0,IF((8-$I145+1)=1,RAMP_W1,IF((8-$I145+1)=2,RAMP_W2,IF((8-$I145+1)=3,RAMP_W3,RAMP_W4PLUS)))))*(INDEX(ACTIVE_MULT_TABLE,3,1))*(1+SUMPRODUCT(SIGN(((ACT_DOOR_SCOPE="ALL")+(ACT_DOOR_SCOPE="TIER_"&amp;$F145)+(ACT_DOOR_SCOPE=$B145)))*SIGN(((ACT_SKU_SCOPE="ALL")+(ACT_SKU_SCOPE=$G145)))*(ACT_START&lt;=8)*(ACT_END&gt;=8)*IFERROR(ACT_UPLIFT-1,0)))*(1+SUMPRODUCT(SIGN(((ACT_DOOR_SCOPE="ALL")+(ACT_DOOR_SCOPE="TIER_"&amp;$F145)+(ACT_DOOR_SCOPE=$B145)))*SIGN(((ACT_SKU_SCOPE="ALL")+(ACT_SKU_SCOPE=$G145)))*(8&gt;ACT_END)*(ACT_END&gt;0)*IFERROR(ACT_POSTLIFT,0))),0)))</f>
        <v/>
      </c>
      <c r="R145" s="10">
        <f>IF(OR($H145&lt;&gt;"Y",9&lt;$I145),0,IF(SUMPRODUCT(((BULK_ENABLED="Y")*((BULK_TIER="ALL")+(BULK_TIER=$F145))*((BULK_SKU="ALL")+(BULK_SKU=$G145))*(BULK_START&lt;=9)*(BULK_END&gt;=9)))&gt;0,IFERROR(SUMPRODUCT(((BULK_ENABLED="Y")*((BULK_TIER="ALL")+(BULK_TIER=$F145))*((BULK_SKU="ALL")+(BULK_SKU=$G145))*(BULK_START&lt;=9)*(BULK_END&gt;=9))*IFERROR(BULK_VALUE,0))/MAX(1,SUMPRODUCT(((BULK_ENABLED="Y")*((BULK_TIER="ALL")+(BULK_TIER=$F145))*((BULK_SKU="ALL")+(BULK_SKU=$G145))*(BULK_START&lt;=9)*(BULK_END&gt;=9)))),0),ROUND((INDEX(VELOCITY_TABLE,MATCH($F145,TIER_LIST,0),3))*(IF((9-$I145+1)&lt;=0,0,IF((9-$I145+1)=1,RAMP_W1,IF((9-$I145+1)=2,RAMP_W2,IF((9-$I145+1)=3,RAMP_W3,RAMP_W4PLUS)))))*(INDEX(ACTIVE_MULT_TABLE,3,1))*(1+SUMPRODUCT(SIGN(((ACT_DOOR_SCOPE="ALL")+(ACT_DOOR_SCOPE="TIER_"&amp;$F145)+(ACT_DOOR_SCOPE=$B145)))*SIGN(((ACT_SKU_SCOPE="ALL")+(ACT_SKU_SCOPE=$G145)))*(ACT_START&lt;=9)*(ACT_END&gt;=9)*IFERROR(ACT_UPLIFT-1,0)))*(1+SUMPRODUCT(SIGN(((ACT_DOOR_SCOPE="ALL")+(ACT_DOOR_SCOPE="TIER_"&amp;$F145)+(ACT_DOOR_SCOPE=$B145)))*SIGN(((ACT_SKU_SCOPE="ALL")+(ACT_SKU_SCOPE=$G145)))*(9&gt;ACT_END)*(ACT_END&gt;0)*IFERROR(ACT_POSTLIFT,0))),0)))</f>
        <v/>
      </c>
      <c r="S145" s="10">
        <f>IF(OR($H145&lt;&gt;"Y",10&lt;$I145),0,IF(SUMPRODUCT(((BULK_ENABLED="Y")*((BULK_TIER="ALL")+(BULK_TIER=$F145))*((BULK_SKU="ALL")+(BULK_SKU=$G145))*(BULK_START&lt;=10)*(BULK_END&gt;=10)))&gt;0,IFERROR(SUMPRODUCT(((BULK_ENABLED="Y")*((BULK_TIER="ALL")+(BULK_TIER=$F145))*((BULK_SKU="ALL")+(BULK_SKU=$G145))*(BULK_START&lt;=10)*(BULK_END&gt;=10))*IFERROR(BULK_VALUE,0))/MAX(1,SUMPRODUCT(((BULK_ENABLED="Y")*((BULK_TIER="ALL")+(BULK_TIER=$F145))*((BULK_SKU="ALL")+(BULK_SKU=$G145))*(BULK_START&lt;=10)*(BULK_END&gt;=10)))),0),ROUND((INDEX(VELOCITY_TABLE,MATCH($F145,TIER_LIST,0),3))*(IF((10-$I145+1)&lt;=0,0,IF((10-$I145+1)=1,RAMP_W1,IF((10-$I145+1)=2,RAMP_W2,IF((10-$I145+1)=3,RAMP_W3,RAMP_W4PLUS)))))*(INDEX(ACTIVE_MULT_TABLE,3,1))*(1+SUMPRODUCT(SIGN(((ACT_DOOR_SCOPE="ALL")+(ACT_DOOR_SCOPE="TIER_"&amp;$F145)+(ACT_DOOR_SCOPE=$B145)))*SIGN(((ACT_SKU_SCOPE="ALL")+(ACT_SKU_SCOPE=$G145)))*(ACT_START&lt;=10)*(ACT_END&gt;=10)*IFERROR(ACT_UPLIFT-1,0)))*(1+SUMPRODUCT(SIGN(((ACT_DOOR_SCOPE="ALL")+(ACT_DOOR_SCOPE="TIER_"&amp;$F145)+(ACT_DOOR_SCOPE=$B145)))*SIGN(((ACT_SKU_SCOPE="ALL")+(ACT_SKU_SCOPE=$G145)))*(10&gt;ACT_END)*(ACT_END&gt;0)*IFERROR(ACT_POSTLIFT,0))),0)))</f>
        <v/>
      </c>
      <c r="T145" s="10">
        <f>IF(OR($H145&lt;&gt;"Y",11&lt;$I145),0,IF(SUMPRODUCT(((BULK_ENABLED="Y")*((BULK_TIER="ALL")+(BULK_TIER=$F145))*((BULK_SKU="ALL")+(BULK_SKU=$G145))*(BULK_START&lt;=11)*(BULK_END&gt;=11)))&gt;0,IFERROR(SUMPRODUCT(((BULK_ENABLED="Y")*((BULK_TIER="ALL")+(BULK_TIER=$F145))*((BULK_SKU="ALL")+(BULK_SKU=$G145))*(BULK_START&lt;=11)*(BULK_END&gt;=11))*IFERROR(BULK_VALUE,0))/MAX(1,SUMPRODUCT(((BULK_ENABLED="Y")*((BULK_TIER="ALL")+(BULK_TIER=$F145))*((BULK_SKU="ALL")+(BULK_SKU=$G145))*(BULK_START&lt;=11)*(BULK_END&gt;=11)))),0),ROUND((INDEX(VELOCITY_TABLE,MATCH($F145,TIER_LIST,0),3))*(IF((11-$I145+1)&lt;=0,0,IF((11-$I145+1)=1,RAMP_W1,IF((11-$I145+1)=2,RAMP_W2,IF((11-$I145+1)=3,RAMP_W3,RAMP_W4PLUS)))))*(INDEX(ACTIVE_MULT_TABLE,3,1))*(1+SUMPRODUCT(SIGN(((ACT_DOOR_SCOPE="ALL")+(ACT_DOOR_SCOPE="TIER_"&amp;$F145)+(ACT_DOOR_SCOPE=$B145)))*SIGN(((ACT_SKU_SCOPE="ALL")+(ACT_SKU_SCOPE=$G145)))*(ACT_START&lt;=11)*(ACT_END&gt;=11)*IFERROR(ACT_UPLIFT-1,0)))*(1+SUMPRODUCT(SIGN(((ACT_DOOR_SCOPE="ALL")+(ACT_DOOR_SCOPE="TIER_"&amp;$F145)+(ACT_DOOR_SCOPE=$B145)))*SIGN(((ACT_SKU_SCOPE="ALL")+(ACT_SKU_SCOPE=$G145)))*(11&gt;ACT_END)*(ACT_END&gt;0)*IFERROR(ACT_POSTLIFT,0))),0)))</f>
        <v/>
      </c>
      <c r="U145" s="10">
        <f>IF(OR($H145&lt;&gt;"Y",12&lt;$I145),0,IF(SUMPRODUCT(((BULK_ENABLED="Y")*((BULK_TIER="ALL")+(BULK_TIER=$F145))*((BULK_SKU="ALL")+(BULK_SKU=$G145))*(BULK_START&lt;=12)*(BULK_END&gt;=12)))&gt;0,IFERROR(SUMPRODUCT(((BULK_ENABLED="Y")*((BULK_TIER="ALL")+(BULK_TIER=$F145))*((BULK_SKU="ALL")+(BULK_SKU=$G145))*(BULK_START&lt;=12)*(BULK_END&gt;=12))*IFERROR(BULK_VALUE,0))/MAX(1,SUMPRODUCT(((BULK_ENABLED="Y")*((BULK_TIER="ALL")+(BULK_TIER=$F145))*((BULK_SKU="ALL")+(BULK_SKU=$G145))*(BULK_START&lt;=12)*(BULK_END&gt;=12)))),0),ROUND((INDEX(VELOCITY_TABLE,MATCH($F145,TIER_LIST,0),3))*(IF((12-$I145+1)&lt;=0,0,IF((12-$I145+1)=1,RAMP_W1,IF((12-$I145+1)=2,RAMP_W2,IF((12-$I145+1)=3,RAMP_W3,RAMP_W4PLUS)))))*(INDEX(ACTIVE_MULT_TABLE,3,1))*(1+SUMPRODUCT(SIGN(((ACT_DOOR_SCOPE="ALL")+(ACT_DOOR_SCOPE="TIER_"&amp;$F145)+(ACT_DOOR_SCOPE=$B145)))*SIGN(((ACT_SKU_SCOPE="ALL")+(ACT_SKU_SCOPE=$G145)))*(ACT_START&lt;=12)*(ACT_END&gt;=12)*IFERROR(ACT_UPLIFT-1,0)))*(1+SUMPRODUCT(SIGN(((ACT_DOOR_SCOPE="ALL")+(ACT_DOOR_SCOPE="TIER_"&amp;$F145)+(ACT_DOOR_SCOPE=$B145)))*SIGN(((ACT_SKU_SCOPE="ALL")+(ACT_SKU_SCOPE=$G145)))*(12&gt;ACT_END)*(ACT_END&gt;0)*IFERROR(ACT_POSTLIFT,0))),0)))</f>
        <v/>
      </c>
      <c r="V145" s="10">
        <f>IF(OR($H145&lt;&gt;"Y",13&lt;$I145),0,IF(SUMPRODUCT(((BULK_ENABLED="Y")*((BULK_TIER="ALL")+(BULK_TIER=$F145))*((BULK_SKU="ALL")+(BULK_SKU=$G145))*(BULK_START&lt;=13)*(BULK_END&gt;=13)))&gt;0,IFERROR(SUMPRODUCT(((BULK_ENABLED="Y")*((BULK_TIER="ALL")+(BULK_TIER=$F145))*((BULK_SKU="ALL")+(BULK_SKU=$G145))*(BULK_START&lt;=13)*(BULK_END&gt;=13))*IFERROR(BULK_VALUE,0))/MAX(1,SUMPRODUCT(((BULK_ENABLED="Y")*((BULK_TIER="ALL")+(BULK_TIER=$F145))*((BULK_SKU="ALL")+(BULK_SKU=$G145))*(BULK_START&lt;=13)*(BULK_END&gt;=13)))),0),ROUND((INDEX(VELOCITY_TABLE,MATCH($F145,TIER_LIST,0),3))*(IF((13-$I145+1)&lt;=0,0,IF((13-$I145+1)=1,RAMP_W1,IF((13-$I145+1)=2,RAMP_W2,IF((13-$I145+1)=3,RAMP_W3,RAMP_W4PLUS)))))*(INDEX(ACTIVE_MULT_TABLE,3,1))*(1+SUMPRODUCT(SIGN(((ACT_DOOR_SCOPE="ALL")+(ACT_DOOR_SCOPE="TIER_"&amp;$F145)+(ACT_DOOR_SCOPE=$B145)))*SIGN(((ACT_SKU_SCOPE="ALL")+(ACT_SKU_SCOPE=$G145)))*(ACT_START&lt;=13)*(ACT_END&gt;=13)*IFERROR(ACT_UPLIFT-1,0)))*(1+SUMPRODUCT(SIGN(((ACT_DOOR_SCOPE="ALL")+(ACT_DOOR_SCOPE="TIER_"&amp;$F145)+(ACT_DOOR_SCOPE=$B145)))*SIGN(((ACT_SKU_SCOPE="ALL")+(ACT_SKU_SCOPE=$G145)))*(13&gt;ACT_END)*(ACT_END&gt;0)*IFERROR(ACT_POSTLIFT,0))),0)))</f>
        <v/>
      </c>
    </row>
    <row r="146">
      <c r="A146" t="inlineStr">
        <is>
          <t>R0142</t>
        </is>
      </c>
      <c r="B146">
        <f>Doors!$A$52</f>
        <v/>
      </c>
      <c r="C146">
        <f>Doors!$C$52</f>
        <v/>
      </c>
      <c r="D146">
        <f>Doors!$B$52</f>
        <v/>
      </c>
      <c r="E146">
        <f>Doors!$E$52</f>
        <v/>
      </c>
      <c r="F146">
        <f>Doors!$F$52</f>
        <v/>
      </c>
      <c r="G146" t="inlineStr">
        <is>
          <t>Lime Lemon</t>
        </is>
      </c>
      <c r="H146">
        <f>Doors!$G$52</f>
        <v/>
      </c>
      <c r="I146">
        <f>Doors!$J$52</f>
        <v/>
      </c>
      <c r="J146" s="10">
        <f>IF(OR($H146&lt;&gt;"Y",1&lt;$I146),0,IF(SUMPRODUCT(((BULK_ENABLED="Y")*((BULK_TIER="ALL")+(BULK_TIER=$F146))*((BULK_SKU="ALL")+(BULK_SKU=$G146))*(BULK_START&lt;=1)*(BULK_END&gt;=1)))&gt;0,IFERROR(SUMPRODUCT(((BULK_ENABLED="Y")*((BULK_TIER="ALL")+(BULK_TIER=$F146))*((BULK_SKU="ALL")+(BULK_SKU=$G146))*(BULK_START&lt;=1)*(BULK_END&gt;=1))*IFERROR(BULK_VALUE,0))/MAX(1,SUMPRODUCT(((BULK_ENABLED="Y")*((BULK_TIER="ALL")+(BULK_TIER=$F146))*((BULK_SKU="ALL")+(BULK_SKU=$G146))*(BULK_START&lt;=1)*(BULK_END&gt;=1)))),0),ROUND((INDEX(VELOCITY_TABLE,MATCH($F146,TIER_LIST,0),1))*(IF((1-$I146+1)&lt;=0,0,IF((1-$I146+1)=1,RAMP_W1,IF((1-$I146+1)=2,RAMP_W2,IF((1-$I146+1)=3,RAMP_W3,RAMP_W4PLUS)))))*(INDEX(ACTIVE_MULT_TABLE,1,1))*(1+SUMPRODUCT(SIGN(((ACT_DOOR_SCOPE="ALL")+(ACT_DOOR_SCOPE="TIER_"&amp;$F146)+(ACT_DOOR_SCOPE=$B146)))*SIGN(((ACT_SKU_SCOPE="ALL")+(ACT_SKU_SCOPE=$G146)))*(ACT_START&lt;=1)*(ACT_END&gt;=1)*IFERROR(ACT_UPLIFT-1,0)))*(1+SUMPRODUCT(SIGN(((ACT_DOOR_SCOPE="ALL")+(ACT_DOOR_SCOPE="TIER_"&amp;$F146)+(ACT_DOOR_SCOPE=$B146)))*SIGN(((ACT_SKU_SCOPE="ALL")+(ACT_SKU_SCOPE=$G146)))*(1&gt;ACT_END)*(ACT_END&gt;0)*IFERROR(ACT_POSTLIFT,0))),0)))</f>
        <v/>
      </c>
      <c r="K146" s="10">
        <f>IF(OR($H146&lt;&gt;"Y",2&lt;$I146),0,IF(SUMPRODUCT(((BULK_ENABLED="Y")*((BULK_TIER="ALL")+(BULK_TIER=$F146))*((BULK_SKU="ALL")+(BULK_SKU=$G146))*(BULK_START&lt;=2)*(BULK_END&gt;=2)))&gt;0,IFERROR(SUMPRODUCT(((BULK_ENABLED="Y")*((BULK_TIER="ALL")+(BULK_TIER=$F146))*((BULK_SKU="ALL")+(BULK_SKU=$G146))*(BULK_START&lt;=2)*(BULK_END&gt;=2))*IFERROR(BULK_VALUE,0))/MAX(1,SUMPRODUCT(((BULK_ENABLED="Y")*((BULK_TIER="ALL")+(BULK_TIER=$F146))*((BULK_SKU="ALL")+(BULK_SKU=$G146))*(BULK_START&lt;=2)*(BULK_END&gt;=2)))),0),ROUND((INDEX(VELOCITY_TABLE,MATCH($F146,TIER_LIST,0),1))*(IF((2-$I146+1)&lt;=0,0,IF((2-$I146+1)=1,RAMP_W1,IF((2-$I146+1)=2,RAMP_W2,IF((2-$I146+1)=3,RAMP_W3,RAMP_W4PLUS)))))*(INDEX(ACTIVE_MULT_TABLE,1,1))*(1+SUMPRODUCT(SIGN(((ACT_DOOR_SCOPE="ALL")+(ACT_DOOR_SCOPE="TIER_"&amp;$F146)+(ACT_DOOR_SCOPE=$B146)))*SIGN(((ACT_SKU_SCOPE="ALL")+(ACT_SKU_SCOPE=$G146)))*(ACT_START&lt;=2)*(ACT_END&gt;=2)*IFERROR(ACT_UPLIFT-1,0)))*(1+SUMPRODUCT(SIGN(((ACT_DOOR_SCOPE="ALL")+(ACT_DOOR_SCOPE="TIER_"&amp;$F146)+(ACT_DOOR_SCOPE=$B146)))*SIGN(((ACT_SKU_SCOPE="ALL")+(ACT_SKU_SCOPE=$G146)))*(2&gt;ACT_END)*(ACT_END&gt;0)*IFERROR(ACT_POSTLIFT,0))),0)))</f>
        <v/>
      </c>
      <c r="L146" s="10">
        <f>IF(OR($H146&lt;&gt;"Y",3&lt;$I146),0,IF(SUMPRODUCT(((BULK_ENABLED="Y")*((BULK_TIER="ALL")+(BULK_TIER=$F146))*((BULK_SKU="ALL")+(BULK_SKU=$G146))*(BULK_START&lt;=3)*(BULK_END&gt;=3)))&gt;0,IFERROR(SUMPRODUCT(((BULK_ENABLED="Y")*((BULK_TIER="ALL")+(BULK_TIER=$F146))*((BULK_SKU="ALL")+(BULK_SKU=$G146))*(BULK_START&lt;=3)*(BULK_END&gt;=3))*IFERROR(BULK_VALUE,0))/MAX(1,SUMPRODUCT(((BULK_ENABLED="Y")*((BULK_TIER="ALL")+(BULK_TIER=$F146))*((BULK_SKU="ALL")+(BULK_SKU=$G146))*(BULK_START&lt;=3)*(BULK_END&gt;=3)))),0),ROUND((INDEX(VELOCITY_TABLE,MATCH($F146,TIER_LIST,0),1))*(IF((3-$I146+1)&lt;=0,0,IF((3-$I146+1)=1,RAMP_W1,IF((3-$I146+1)=2,RAMP_W2,IF((3-$I146+1)=3,RAMP_W3,RAMP_W4PLUS)))))*(INDEX(ACTIVE_MULT_TABLE,1,1))*(1+SUMPRODUCT(SIGN(((ACT_DOOR_SCOPE="ALL")+(ACT_DOOR_SCOPE="TIER_"&amp;$F146)+(ACT_DOOR_SCOPE=$B146)))*SIGN(((ACT_SKU_SCOPE="ALL")+(ACT_SKU_SCOPE=$G146)))*(ACT_START&lt;=3)*(ACT_END&gt;=3)*IFERROR(ACT_UPLIFT-1,0)))*(1+SUMPRODUCT(SIGN(((ACT_DOOR_SCOPE="ALL")+(ACT_DOOR_SCOPE="TIER_"&amp;$F146)+(ACT_DOOR_SCOPE=$B146)))*SIGN(((ACT_SKU_SCOPE="ALL")+(ACT_SKU_SCOPE=$G146)))*(3&gt;ACT_END)*(ACT_END&gt;0)*IFERROR(ACT_POSTLIFT,0))),0)))</f>
        <v/>
      </c>
      <c r="M146" s="10">
        <f>IF(OR($H146&lt;&gt;"Y",4&lt;$I146),0,IF(SUMPRODUCT(((BULK_ENABLED="Y")*((BULK_TIER="ALL")+(BULK_TIER=$F146))*((BULK_SKU="ALL")+(BULK_SKU=$G146))*(BULK_START&lt;=4)*(BULK_END&gt;=4)))&gt;0,IFERROR(SUMPRODUCT(((BULK_ENABLED="Y")*((BULK_TIER="ALL")+(BULK_TIER=$F146))*((BULK_SKU="ALL")+(BULK_SKU=$G146))*(BULK_START&lt;=4)*(BULK_END&gt;=4))*IFERROR(BULK_VALUE,0))/MAX(1,SUMPRODUCT(((BULK_ENABLED="Y")*((BULK_TIER="ALL")+(BULK_TIER=$F146))*((BULK_SKU="ALL")+(BULK_SKU=$G146))*(BULK_START&lt;=4)*(BULK_END&gt;=4)))),0),ROUND((INDEX(VELOCITY_TABLE,MATCH($F146,TIER_LIST,0),1))*(IF((4-$I146+1)&lt;=0,0,IF((4-$I146+1)=1,RAMP_W1,IF((4-$I146+1)=2,RAMP_W2,IF((4-$I146+1)=3,RAMP_W3,RAMP_W4PLUS)))))*(INDEX(ACTIVE_MULT_TABLE,1,1))*(1+SUMPRODUCT(SIGN(((ACT_DOOR_SCOPE="ALL")+(ACT_DOOR_SCOPE="TIER_"&amp;$F146)+(ACT_DOOR_SCOPE=$B146)))*SIGN(((ACT_SKU_SCOPE="ALL")+(ACT_SKU_SCOPE=$G146)))*(ACT_START&lt;=4)*(ACT_END&gt;=4)*IFERROR(ACT_UPLIFT-1,0)))*(1+SUMPRODUCT(SIGN(((ACT_DOOR_SCOPE="ALL")+(ACT_DOOR_SCOPE="TIER_"&amp;$F146)+(ACT_DOOR_SCOPE=$B146)))*SIGN(((ACT_SKU_SCOPE="ALL")+(ACT_SKU_SCOPE=$G146)))*(4&gt;ACT_END)*(ACT_END&gt;0)*IFERROR(ACT_POSTLIFT,0))),0)))</f>
        <v/>
      </c>
      <c r="N146" s="10">
        <f>IF(OR($H146&lt;&gt;"Y",5&lt;$I146),0,IF(SUMPRODUCT(((BULK_ENABLED="Y")*((BULK_TIER="ALL")+(BULK_TIER=$F146))*((BULK_SKU="ALL")+(BULK_SKU=$G146))*(BULK_START&lt;=5)*(BULK_END&gt;=5)))&gt;0,IFERROR(SUMPRODUCT(((BULK_ENABLED="Y")*((BULK_TIER="ALL")+(BULK_TIER=$F146))*((BULK_SKU="ALL")+(BULK_SKU=$G146))*(BULK_START&lt;=5)*(BULK_END&gt;=5))*IFERROR(BULK_VALUE,0))/MAX(1,SUMPRODUCT(((BULK_ENABLED="Y")*((BULK_TIER="ALL")+(BULK_TIER=$F146))*((BULK_SKU="ALL")+(BULK_SKU=$G146))*(BULK_START&lt;=5)*(BULK_END&gt;=5)))),0),ROUND((INDEX(VELOCITY_TABLE,MATCH($F146,TIER_LIST,0),1))*(IF((5-$I146+1)&lt;=0,0,IF((5-$I146+1)=1,RAMP_W1,IF((5-$I146+1)=2,RAMP_W2,IF((5-$I146+1)=3,RAMP_W3,RAMP_W4PLUS)))))*(INDEX(ACTIVE_MULT_TABLE,1,1))*(1+SUMPRODUCT(SIGN(((ACT_DOOR_SCOPE="ALL")+(ACT_DOOR_SCOPE="TIER_"&amp;$F146)+(ACT_DOOR_SCOPE=$B146)))*SIGN(((ACT_SKU_SCOPE="ALL")+(ACT_SKU_SCOPE=$G146)))*(ACT_START&lt;=5)*(ACT_END&gt;=5)*IFERROR(ACT_UPLIFT-1,0)))*(1+SUMPRODUCT(SIGN(((ACT_DOOR_SCOPE="ALL")+(ACT_DOOR_SCOPE="TIER_"&amp;$F146)+(ACT_DOOR_SCOPE=$B146)))*SIGN(((ACT_SKU_SCOPE="ALL")+(ACT_SKU_SCOPE=$G146)))*(5&gt;ACT_END)*(ACT_END&gt;0)*IFERROR(ACT_POSTLIFT,0))),0)))</f>
        <v/>
      </c>
      <c r="O146" s="10">
        <f>IF(OR($H146&lt;&gt;"Y",6&lt;$I146),0,IF(SUMPRODUCT(((BULK_ENABLED="Y")*((BULK_TIER="ALL")+(BULK_TIER=$F146))*((BULK_SKU="ALL")+(BULK_SKU=$G146))*(BULK_START&lt;=6)*(BULK_END&gt;=6)))&gt;0,IFERROR(SUMPRODUCT(((BULK_ENABLED="Y")*((BULK_TIER="ALL")+(BULK_TIER=$F146))*((BULK_SKU="ALL")+(BULK_SKU=$G146))*(BULK_START&lt;=6)*(BULK_END&gt;=6))*IFERROR(BULK_VALUE,0))/MAX(1,SUMPRODUCT(((BULK_ENABLED="Y")*((BULK_TIER="ALL")+(BULK_TIER=$F146))*((BULK_SKU="ALL")+(BULK_SKU=$G146))*(BULK_START&lt;=6)*(BULK_END&gt;=6)))),0),ROUND((INDEX(VELOCITY_TABLE,MATCH($F146,TIER_LIST,0),1))*(IF((6-$I146+1)&lt;=0,0,IF((6-$I146+1)=1,RAMP_W1,IF((6-$I146+1)=2,RAMP_W2,IF((6-$I146+1)=3,RAMP_W3,RAMP_W4PLUS)))))*(INDEX(ACTIVE_MULT_TABLE,1,1))*(1+SUMPRODUCT(SIGN(((ACT_DOOR_SCOPE="ALL")+(ACT_DOOR_SCOPE="TIER_"&amp;$F146)+(ACT_DOOR_SCOPE=$B146)))*SIGN(((ACT_SKU_SCOPE="ALL")+(ACT_SKU_SCOPE=$G146)))*(ACT_START&lt;=6)*(ACT_END&gt;=6)*IFERROR(ACT_UPLIFT-1,0)))*(1+SUMPRODUCT(SIGN(((ACT_DOOR_SCOPE="ALL")+(ACT_DOOR_SCOPE="TIER_"&amp;$F146)+(ACT_DOOR_SCOPE=$B146)))*SIGN(((ACT_SKU_SCOPE="ALL")+(ACT_SKU_SCOPE=$G146)))*(6&gt;ACT_END)*(ACT_END&gt;0)*IFERROR(ACT_POSTLIFT,0))),0)))</f>
        <v/>
      </c>
      <c r="P146" s="10">
        <f>IF(OR($H146&lt;&gt;"Y",7&lt;$I146),0,IF(SUMPRODUCT(((BULK_ENABLED="Y")*((BULK_TIER="ALL")+(BULK_TIER=$F146))*((BULK_SKU="ALL")+(BULK_SKU=$G146))*(BULK_START&lt;=7)*(BULK_END&gt;=7)))&gt;0,IFERROR(SUMPRODUCT(((BULK_ENABLED="Y")*((BULK_TIER="ALL")+(BULK_TIER=$F146))*((BULK_SKU="ALL")+(BULK_SKU=$G146))*(BULK_START&lt;=7)*(BULK_END&gt;=7))*IFERROR(BULK_VALUE,0))/MAX(1,SUMPRODUCT(((BULK_ENABLED="Y")*((BULK_TIER="ALL")+(BULK_TIER=$F146))*((BULK_SKU="ALL")+(BULK_SKU=$G146))*(BULK_START&lt;=7)*(BULK_END&gt;=7)))),0),ROUND((INDEX(VELOCITY_TABLE,MATCH($F146,TIER_LIST,0),1))*(IF((7-$I146+1)&lt;=0,0,IF((7-$I146+1)=1,RAMP_W1,IF((7-$I146+1)=2,RAMP_W2,IF((7-$I146+1)=3,RAMP_W3,RAMP_W4PLUS)))))*(INDEX(ACTIVE_MULT_TABLE,1,1))*(1+SUMPRODUCT(SIGN(((ACT_DOOR_SCOPE="ALL")+(ACT_DOOR_SCOPE="TIER_"&amp;$F146)+(ACT_DOOR_SCOPE=$B146)))*SIGN(((ACT_SKU_SCOPE="ALL")+(ACT_SKU_SCOPE=$G146)))*(ACT_START&lt;=7)*(ACT_END&gt;=7)*IFERROR(ACT_UPLIFT-1,0)))*(1+SUMPRODUCT(SIGN(((ACT_DOOR_SCOPE="ALL")+(ACT_DOOR_SCOPE="TIER_"&amp;$F146)+(ACT_DOOR_SCOPE=$B146)))*SIGN(((ACT_SKU_SCOPE="ALL")+(ACT_SKU_SCOPE=$G146)))*(7&gt;ACT_END)*(ACT_END&gt;0)*IFERROR(ACT_POSTLIFT,0))),0)))</f>
        <v/>
      </c>
      <c r="Q146" s="10">
        <f>IF(OR($H146&lt;&gt;"Y",8&lt;$I146),0,IF(SUMPRODUCT(((BULK_ENABLED="Y")*((BULK_TIER="ALL")+(BULK_TIER=$F146))*((BULK_SKU="ALL")+(BULK_SKU=$G146))*(BULK_START&lt;=8)*(BULK_END&gt;=8)))&gt;0,IFERROR(SUMPRODUCT(((BULK_ENABLED="Y")*((BULK_TIER="ALL")+(BULK_TIER=$F146))*((BULK_SKU="ALL")+(BULK_SKU=$G146))*(BULK_START&lt;=8)*(BULK_END&gt;=8))*IFERROR(BULK_VALUE,0))/MAX(1,SUMPRODUCT(((BULK_ENABLED="Y")*((BULK_TIER="ALL")+(BULK_TIER=$F146))*((BULK_SKU="ALL")+(BULK_SKU=$G146))*(BULK_START&lt;=8)*(BULK_END&gt;=8)))),0),ROUND((INDEX(VELOCITY_TABLE,MATCH($F146,TIER_LIST,0),1))*(IF((8-$I146+1)&lt;=0,0,IF((8-$I146+1)=1,RAMP_W1,IF((8-$I146+1)=2,RAMP_W2,IF((8-$I146+1)=3,RAMP_W3,RAMP_W4PLUS)))))*(INDEX(ACTIVE_MULT_TABLE,1,1))*(1+SUMPRODUCT(SIGN(((ACT_DOOR_SCOPE="ALL")+(ACT_DOOR_SCOPE="TIER_"&amp;$F146)+(ACT_DOOR_SCOPE=$B146)))*SIGN(((ACT_SKU_SCOPE="ALL")+(ACT_SKU_SCOPE=$G146)))*(ACT_START&lt;=8)*(ACT_END&gt;=8)*IFERROR(ACT_UPLIFT-1,0)))*(1+SUMPRODUCT(SIGN(((ACT_DOOR_SCOPE="ALL")+(ACT_DOOR_SCOPE="TIER_"&amp;$F146)+(ACT_DOOR_SCOPE=$B146)))*SIGN(((ACT_SKU_SCOPE="ALL")+(ACT_SKU_SCOPE=$G146)))*(8&gt;ACT_END)*(ACT_END&gt;0)*IFERROR(ACT_POSTLIFT,0))),0)))</f>
        <v/>
      </c>
      <c r="R146" s="10">
        <f>IF(OR($H146&lt;&gt;"Y",9&lt;$I146),0,IF(SUMPRODUCT(((BULK_ENABLED="Y")*((BULK_TIER="ALL")+(BULK_TIER=$F146))*((BULK_SKU="ALL")+(BULK_SKU=$G146))*(BULK_START&lt;=9)*(BULK_END&gt;=9)))&gt;0,IFERROR(SUMPRODUCT(((BULK_ENABLED="Y")*((BULK_TIER="ALL")+(BULK_TIER=$F146))*((BULK_SKU="ALL")+(BULK_SKU=$G146))*(BULK_START&lt;=9)*(BULK_END&gt;=9))*IFERROR(BULK_VALUE,0))/MAX(1,SUMPRODUCT(((BULK_ENABLED="Y")*((BULK_TIER="ALL")+(BULK_TIER=$F146))*((BULK_SKU="ALL")+(BULK_SKU=$G146))*(BULK_START&lt;=9)*(BULK_END&gt;=9)))),0),ROUND((INDEX(VELOCITY_TABLE,MATCH($F146,TIER_LIST,0),1))*(IF((9-$I146+1)&lt;=0,0,IF((9-$I146+1)=1,RAMP_W1,IF((9-$I146+1)=2,RAMP_W2,IF((9-$I146+1)=3,RAMP_W3,RAMP_W4PLUS)))))*(INDEX(ACTIVE_MULT_TABLE,1,1))*(1+SUMPRODUCT(SIGN(((ACT_DOOR_SCOPE="ALL")+(ACT_DOOR_SCOPE="TIER_"&amp;$F146)+(ACT_DOOR_SCOPE=$B146)))*SIGN(((ACT_SKU_SCOPE="ALL")+(ACT_SKU_SCOPE=$G146)))*(ACT_START&lt;=9)*(ACT_END&gt;=9)*IFERROR(ACT_UPLIFT-1,0)))*(1+SUMPRODUCT(SIGN(((ACT_DOOR_SCOPE="ALL")+(ACT_DOOR_SCOPE="TIER_"&amp;$F146)+(ACT_DOOR_SCOPE=$B146)))*SIGN(((ACT_SKU_SCOPE="ALL")+(ACT_SKU_SCOPE=$G146)))*(9&gt;ACT_END)*(ACT_END&gt;0)*IFERROR(ACT_POSTLIFT,0))),0)))</f>
        <v/>
      </c>
      <c r="S146" s="10">
        <f>IF(OR($H146&lt;&gt;"Y",10&lt;$I146),0,IF(SUMPRODUCT(((BULK_ENABLED="Y")*((BULK_TIER="ALL")+(BULK_TIER=$F146))*((BULK_SKU="ALL")+(BULK_SKU=$G146))*(BULK_START&lt;=10)*(BULK_END&gt;=10)))&gt;0,IFERROR(SUMPRODUCT(((BULK_ENABLED="Y")*((BULK_TIER="ALL")+(BULK_TIER=$F146))*((BULK_SKU="ALL")+(BULK_SKU=$G146))*(BULK_START&lt;=10)*(BULK_END&gt;=10))*IFERROR(BULK_VALUE,0))/MAX(1,SUMPRODUCT(((BULK_ENABLED="Y")*((BULK_TIER="ALL")+(BULK_TIER=$F146))*((BULK_SKU="ALL")+(BULK_SKU=$G146))*(BULK_START&lt;=10)*(BULK_END&gt;=10)))),0),ROUND((INDEX(VELOCITY_TABLE,MATCH($F146,TIER_LIST,0),1))*(IF((10-$I146+1)&lt;=0,0,IF((10-$I146+1)=1,RAMP_W1,IF((10-$I146+1)=2,RAMP_W2,IF((10-$I146+1)=3,RAMP_W3,RAMP_W4PLUS)))))*(INDEX(ACTIVE_MULT_TABLE,1,1))*(1+SUMPRODUCT(SIGN(((ACT_DOOR_SCOPE="ALL")+(ACT_DOOR_SCOPE="TIER_"&amp;$F146)+(ACT_DOOR_SCOPE=$B146)))*SIGN(((ACT_SKU_SCOPE="ALL")+(ACT_SKU_SCOPE=$G146)))*(ACT_START&lt;=10)*(ACT_END&gt;=10)*IFERROR(ACT_UPLIFT-1,0)))*(1+SUMPRODUCT(SIGN(((ACT_DOOR_SCOPE="ALL")+(ACT_DOOR_SCOPE="TIER_"&amp;$F146)+(ACT_DOOR_SCOPE=$B146)))*SIGN(((ACT_SKU_SCOPE="ALL")+(ACT_SKU_SCOPE=$G146)))*(10&gt;ACT_END)*(ACT_END&gt;0)*IFERROR(ACT_POSTLIFT,0))),0)))</f>
        <v/>
      </c>
      <c r="T146" s="10">
        <f>IF(OR($H146&lt;&gt;"Y",11&lt;$I146),0,IF(SUMPRODUCT(((BULK_ENABLED="Y")*((BULK_TIER="ALL")+(BULK_TIER=$F146))*((BULK_SKU="ALL")+(BULK_SKU=$G146))*(BULK_START&lt;=11)*(BULK_END&gt;=11)))&gt;0,IFERROR(SUMPRODUCT(((BULK_ENABLED="Y")*((BULK_TIER="ALL")+(BULK_TIER=$F146))*((BULK_SKU="ALL")+(BULK_SKU=$G146))*(BULK_START&lt;=11)*(BULK_END&gt;=11))*IFERROR(BULK_VALUE,0))/MAX(1,SUMPRODUCT(((BULK_ENABLED="Y")*((BULK_TIER="ALL")+(BULK_TIER=$F146))*((BULK_SKU="ALL")+(BULK_SKU=$G146))*(BULK_START&lt;=11)*(BULK_END&gt;=11)))),0),ROUND((INDEX(VELOCITY_TABLE,MATCH($F146,TIER_LIST,0),1))*(IF((11-$I146+1)&lt;=0,0,IF((11-$I146+1)=1,RAMP_W1,IF((11-$I146+1)=2,RAMP_W2,IF((11-$I146+1)=3,RAMP_W3,RAMP_W4PLUS)))))*(INDEX(ACTIVE_MULT_TABLE,1,1))*(1+SUMPRODUCT(SIGN(((ACT_DOOR_SCOPE="ALL")+(ACT_DOOR_SCOPE="TIER_"&amp;$F146)+(ACT_DOOR_SCOPE=$B146)))*SIGN(((ACT_SKU_SCOPE="ALL")+(ACT_SKU_SCOPE=$G146)))*(ACT_START&lt;=11)*(ACT_END&gt;=11)*IFERROR(ACT_UPLIFT-1,0)))*(1+SUMPRODUCT(SIGN(((ACT_DOOR_SCOPE="ALL")+(ACT_DOOR_SCOPE="TIER_"&amp;$F146)+(ACT_DOOR_SCOPE=$B146)))*SIGN(((ACT_SKU_SCOPE="ALL")+(ACT_SKU_SCOPE=$G146)))*(11&gt;ACT_END)*(ACT_END&gt;0)*IFERROR(ACT_POSTLIFT,0))),0)))</f>
        <v/>
      </c>
      <c r="U146" s="10">
        <f>IF(OR($H146&lt;&gt;"Y",12&lt;$I146),0,IF(SUMPRODUCT(((BULK_ENABLED="Y")*((BULK_TIER="ALL")+(BULK_TIER=$F146))*((BULK_SKU="ALL")+(BULK_SKU=$G146))*(BULK_START&lt;=12)*(BULK_END&gt;=12)))&gt;0,IFERROR(SUMPRODUCT(((BULK_ENABLED="Y")*((BULK_TIER="ALL")+(BULK_TIER=$F146))*((BULK_SKU="ALL")+(BULK_SKU=$G146))*(BULK_START&lt;=12)*(BULK_END&gt;=12))*IFERROR(BULK_VALUE,0))/MAX(1,SUMPRODUCT(((BULK_ENABLED="Y")*((BULK_TIER="ALL")+(BULK_TIER=$F146))*((BULK_SKU="ALL")+(BULK_SKU=$G146))*(BULK_START&lt;=12)*(BULK_END&gt;=12)))),0),ROUND((INDEX(VELOCITY_TABLE,MATCH($F146,TIER_LIST,0),1))*(IF((12-$I146+1)&lt;=0,0,IF((12-$I146+1)=1,RAMP_W1,IF((12-$I146+1)=2,RAMP_W2,IF((12-$I146+1)=3,RAMP_W3,RAMP_W4PLUS)))))*(INDEX(ACTIVE_MULT_TABLE,1,1))*(1+SUMPRODUCT(SIGN(((ACT_DOOR_SCOPE="ALL")+(ACT_DOOR_SCOPE="TIER_"&amp;$F146)+(ACT_DOOR_SCOPE=$B146)))*SIGN(((ACT_SKU_SCOPE="ALL")+(ACT_SKU_SCOPE=$G146)))*(ACT_START&lt;=12)*(ACT_END&gt;=12)*IFERROR(ACT_UPLIFT-1,0)))*(1+SUMPRODUCT(SIGN(((ACT_DOOR_SCOPE="ALL")+(ACT_DOOR_SCOPE="TIER_"&amp;$F146)+(ACT_DOOR_SCOPE=$B146)))*SIGN(((ACT_SKU_SCOPE="ALL")+(ACT_SKU_SCOPE=$G146)))*(12&gt;ACT_END)*(ACT_END&gt;0)*IFERROR(ACT_POSTLIFT,0))),0)))</f>
        <v/>
      </c>
      <c r="V146" s="10">
        <f>IF(OR($H146&lt;&gt;"Y",13&lt;$I146),0,IF(SUMPRODUCT(((BULK_ENABLED="Y")*((BULK_TIER="ALL")+(BULK_TIER=$F146))*((BULK_SKU="ALL")+(BULK_SKU=$G146))*(BULK_START&lt;=13)*(BULK_END&gt;=13)))&gt;0,IFERROR(SUMPRODUCT(((BULK_ENABLED="Y")*((BULK_TIER="ALL")+(BULK_TIER=$F146))*((BULK_SKU="ALL")+(BULK_SKU=$G146))*(BULK_START&lt;=13)*(BULK_END&gt;=13))*IFERROR(BULK_VALUE,0))/MAX(1,SUMPRODUCT(((BULK_ENABLED="Y")*((BULK_TIER="ALL")+(BULK_TIER=$F146))*((BULK_SKU="ALL")+(BULK_SKU=$G146))*(BULK_START&lt;=13)*(BULK_END&gt;=13)))),0),ROUND((INDEX(VELOCITY_TABLE,MATCH($F146,TIER_LIST,0),1))*(IF((13-$I146+1)&lt;=0,0,IF((13-$I146+1)=1,RAMP_W1,IF((13-$I146+1)=2,RAMP_W2,IF((13-$I146+1)=3,RAMP_W3,RAMP_W4PLUS)))))*(INDEX(ACTIVE_MULT_TABLE,1,1))*(1+SUMPRODUCT(SIGN(((ACT_DOOR_SCOPE="ALL")+(ACT_DOOR_SCOPE="TIER_"&amp;$F146)+(ACT_DOOR_SCOPE=$B146)))*SIGN(((ACT_SKU_SCOPE="ALL")+(ACT_SKU_SCOPE=$G146)))*(ACT_START&lt;=13)*(ACT_END&gt;=13)*IFERROR(ACT_UPLIFT-1,0)))*(1+SUMPRODUCT(SIGN(((ACT_DOOR_SCOPE="ALL")+(ACT_DOOR_SCOPE="TIER_"&amp;$F146)+(ACT_DOOR_SCOPE=$B146)))*SIGN(((ACT_SKU_SCOPE="ALL")+(ACT_SKU_SCOPE=$G146)))*(13&gt;ACT_END)*(ACT_END&gt;0)*IFERROR(ACT_POSTLIFT,0))),0)))</f>
        <v/>
      </c>
    </row>
    <row r="147">
      <c r="A147" t="inlineStr">
        <is>
          <t>R0143</t>
        </is>
      </c>
      <c r="B147">
        <f>Doors!$A$52</f>
        <v/>
      </c>
      <c r="C147">
        <f>Doors!$C$52</f>
        <v/>
      </c>
      <c r="D147">
        <f>Doors!$B$52</f>
        <v/>
      </c>
      <c r="E147">
        <f>Doors!$E$52</f>
        <v/>
      </c>
      <c r="F147">
        <f>Doors!$F$52</f>
        <v/>
      </c>
      <c r="G147" t="inlineStr">
        <is>
          <t>Pineapple Passion Fruit</t>
        </is>
      </c>
      <c r="H147">
        <f>Doors!$H$52</f>
        <v/>
      </c>
      <c r="I147">
        <f>Doors!$J$52</f>
        <v/>
      </c>
      <c r="J147" s="10">
        <f>IF(OR($H147&lt;&gt;"Y",1&lt;$I147),0,IF(SUMPRODUCT(((BULK_ENABLED="Y")*((BULK_TIER="ALL")+(BULK_TIER=$F147))*((BULK_SKU="ALL")+(BULK_SKU=$G147))*(BULK_START&lt;=1)*(BULK_END&gt;=1)))&gt;0,IFERROR(SUMPRODUCT(((BULK_ENABLED="Y")*((BULK_TIER="ALL")+(BULK_TIER=$F147))*((BULK_SKU="ALL")+(BULK_SKU=$G147))*(BULK_START&lt;=1)*(BULK_END&gt;=1))*IFERROR(BULK_VALUE,0))/MAX(1,SUMPRODUCT(((BULK_ENABLED="Y")*((BULK_TIER="ALL")+(BULK_TIER=$F147))*((BULK_SKU="ALL")+(BULK_SKU=$G147))*(BULK_START&lt;=1)*(BULK_END&gt;=1)))),0),ROUND((INDEX(VELOCITY_TABLE,MATCH($F147,TIER_LIST,0),2))*(IF((1-$I147+1)&lt;=0,0,IF((1-$I147+1)=1,RAMP_W1,IF((1-$I147+1)=2,RAMP_W2,IF((1-$I147+1)=3,RAMP_W3,RAMP_W4PLUS)))))*(INDEX(ACTIVE_MULT_TABLE,2,1))*(1+SUMPRODUCT(SIGN(((ACT_DOOR_SCOPE="ALL")+(ACT_DOOR_SCOPE="TIER_"&amp;$F147)+(ACT_DOOR_SCOPE=$B147)))*SIGN(((ACT_SKU_SCOPE="ALL")+(ACT_SKU_SCOPE=$G147)))*(ACT_START&lt;=1)*(ACT_END&gt;=1)*IFERROR(ACT_UPLIFT-1,0)))*(1+SUMPRODUCT(SIGN(((ACT_DOOR_SCOPE="ALL")+(ACT_DOOR_SCOPE="TIER_"&amp;$F147)+(ACT_DOOR_SCOPE=$B147)))*SIGN(((ACT_SKU_SCOPE="ALL")+(ACT_SKU_SCOPE=$G147)))*(1&gt;ACT_END)*(ACT_END&gt;0)*IFERROR(ACT_POSTLIFT,0))),0)))</f>
        <v/>
      </c>
      <c r="K147" s="10">
        <f>IF(OR($H147&lt;&gt;"Y",2&lt;$I147),0,IF(SUMPRODUCT(((BULK_ENABLED="Y")*((BULK_TIER="ALL")+(BULK_TIER=$F147))*((BULK_SKU="ALL")+(BULK_SKU=$G147))*(BULK_START&lt;=2)*(BULK_END&gt;=2)))&gt;0,IFERROR(SUMPRODUCT(((BULK_ENABLED="Y")*((BULK_TIER="ALL")+(BULK_TIER=$F147))*((BULK_SKU="ALL")+(BULK_SKU=$G147))*(BULK_START&lt;=2)*(BULK_END&gt;=2))*IFERROR(BULK_VALUE,0))/MAX(1,SUMPRODUCT(((BULK_ENABLED="Y")*((BULK_TIER="ALL")+(BULK_TIER=$F147))*((BULK_SKU="ALL")+(BULK_SKU=$G147))*(BULK_START&lt;=2)*(BULK_END&gt;=2)))),0),ROUND((INDEX(VELOCITY_TABLE,MATCH($F147,TIER_LIST,0),2))*(IF((2-$I147+1)&lt;=0,0,IF((2-$I147+1)=1,RAMP_W1,IF((2-$I147+1)=2,RAMP_W2,IF((2-$I147+1)=3,RAMP_W3,RAMP_W4PLUS)))))*(INDEX(ACTIVE_MULT_TABLE,2,1))*(1+SUMPRODUCT(SIGN(((ACT_DOOR_SCOPE="ALL")+(ACT_DOOR_SCOPE="TIER_"&amp;$F147)+(ACT_DOOR_SCOPE=$B147)))*SIGN(((ACT_SKU_SCOPE="ALL")+(ACT_SKU_SCOPE=$G147)))*(ACT_START&lt;=2)*(ACT_END&gt;=2)*IFERROR(ACT_UPLIFT-1,0)))*(1+SUMPRODUCT(SIGN(((ACT_DOOR_SCOPE="ALL")+(ACT_DOOR_SCOPE="TIER_"&amp;$F147)+(ACT_DOOR_SCOPE=$B147)))*SIGN(((ACT_SKU_SCOPE="ALL")+(ACT_SKU_SCOPE=$G147)))*(2&gt;ACT_END)*(ACT_END&gt;0)*IFERROR(ACT_POSTLIFT,0))),0)))</f>
        <v/>
      </c>
      <c r="L147" s="10">
        <f>IF(OR($H147&lt;&gt;"Y",3&lt;$I147),0,IF(SUMPRODUCT(((BULK_ENABLED="Y")*((BULK_TIER="ALL")+(BULK_TIER=$F147))*((BULK_SKU="ALL")+(BULK_SKU=$G147))*(BULK_START&lt;=3)*(BULK_END&gt;=3)))&gt;0,IFERROR(SUMPRODUCT(((BULK_ENABLED="Y")*((BULK_TIER="ALL")+(BULK_TIER=$F147))*((BULK_SKU="ALL")+(BULK_SKU=$G147))*(BULK_START&lt;=3)*(BULK_END&gt;=3))*IFERROR(BULK_VALUE,0))/MAX(1,SUMPRODUCT(((BULK_ENABLED="Y")*((BULK_TIER="ALL")+(BULK_TIER=$F147))*((BULK_SKU="ALL")+(BULK_SKU=$G147))*(BULK_START&lt;=3)*(BULK_END&gt;=3)))),0),ROUND((INDEX(VELOCITY_TABLE,MATCH($F147,TIER_LIST,0),2))*(IF((3-$I147+1)&lt;=0,0,IF((3-$I147+1)=1,RAMP_W1,IF((3-$I147+1)=2,RAMP_W2,IF((3-$I147+1)=3,RAMP_W3,RAMP_W4PLUS)))))*(INDEX(ACTIVE_MULT_TABLE,2,1))*(1+SUMPRODUCT(SIGN(((ACT_DOOR_SCOPE="ALL")+(ACT_DOOR_SCOPE="TIER_"&amp;$F147)+(ACT_DOOR_SCOPE=$B147)))*SIGN(((ACT_SKU_SCOPE="ALL")+(ACT_SKU_SCOPE=$G147)))*(ACT_START&lt;=3)*(ACT_END&gt;=3)*IFERROR(ACT_UPLIFT-1,0)))*(1+SUMPRODUCT(SIGN(((ACT_DOOR_SCOPE="ALL")+(ACT_DOOR_SCOPE="TIER_"&amp;$F147)+(ACT_DOOR_SCOPE=$B147)))*SIGN(((ACT_SKU_SCOPE="ALL")+(ACT_SKU_SCOPE=$G147)))*(3&gt;ACT_END)*(ACT_END&gt;0)*IFERROR(ACT_POSTLIFT,0))),0)))</f>
        <v/>
      </c>
      <c r="M147" s="10">
        <f>IF(OR($H147&lt;&gt;"Y",4&lt;$I147),0,IF(SUMPRODUCT(((BULK_ENABLED="Y")*((BULK_TIER="ALL")+(BULK_TIER=$F147))*((BULK_SKU="ALL")+(BULK_SKU=$G147))*(BULK_START&lt;=4)*(BULK_END&gt;=4)))&gt;0,IFERROR(SUMPRODUCT(((BULK_ENABLED="Y")*((BULK_TIER="ALL")+(BULK_TIER=$F147))*((BULK_SKU="ALL")+(BULK_SKU=$G147))*(BULK_START&lt;=4)*(BULK_END&gt;=4))*IFERROR(BULK_VALUE,0))/MAX(1,SUMPRODUCT(((BULK_ENABLED="Y")*((BULK_TIER="ALL")+(BULK_TIER=$F147))*((BULK_SKU="ALL")+(BULK_SKU=$G147))*(BULK_START&lt;=4)*(BULK_END&gt;=4)))),0),ROUND((INDEX(VELOCITY_TABLE,MATCH($F147,TIER_LIST,0),2))*(IF((4-$I147+1)&lt;=0,0,IF((4-$I147+1)=1,RAMP_W1,IF((4-$I147+1)=2,RAMP_W2,IF((4-$I147+1)=3,RAMP_W3,RAMP_W4PLUS)))))*(INDEX(ACTIVE_MULT_TABLE,2,1))*(1+SUMPRODUCT(SIGN(((ACT_DOOR_SCOPE="ALL")+(ACT_DOOR_SCOPE="TIER_"&amp;$F147)+(ACT_DOOR_SCOPE=$B147)))*SIGN(((ACT_SKU_SCOPE="ALL")+(ACT_SKU_SCOPE=$G147)))*(ACT_START&lt;=4)*(ACT_END&gt;=4)*IFERROR(ACT_UPLIFT-1,0)))*(1+SUMPRODUCT(SIGN(((ACT_DOOR_SCOPE="ALL")+(ACT_DOOR_SCOPE="TIER_"&amp;$F147)+(ACT_DOOR_SCOPE=$B147)))*SIGN(((ACT_SKU_SCOPE="ALL")+(ACT_SKU_SCOPE=$G147)))*(4&gt;ACT_END)*(ACT_END&gt;0)*IFERROR(ACT_POSTLIFT,0))),0)))</f>
        <v/>
      </c>
      <c r="N147" s="10">
        <f>IF(OR($H147&lt;&gt;"Y",5&lt;$I147),0,IF(SUMPRODUCT(((BULK_ENABLED="Y")*((BULK_TIER="ALL")+(BULK_TIER=$F147))*((BULK_SKU="ALL")+(BULK_SKU=$G147))*(BULK_START&lt;=5)*(BULK_END&gt;=5)))&gt;0,IFERROR(SUMPRODUCT(((BULK_ENABLED="Y")*((BULK_TIER="ALL")+(BULK_TIER=$F147))*((BULK_SKU="ALL")+(BULK_SKU=$G147))*(BULK_START&lt;=5)*(BULK_END&gt;=5))*IFERROR(BULK_VALUE,0))/MAX(1,SUMPRODUCT(((BULK_ENABLED="Y")*((BULK_TIER="ALL")+(BULK_TIER=$F147))*((BULK_SKU="ALL")+(BULK_SKU=$G147))*(BULK_START&lt;=5)*(BULK_END&gt;=5)))),0),ROUND((INDEX(VELOCITY_TABLE,MATCH($F147,TIER_LIST,0),2))*(IF((5-$I147+1)&lt;=0,0,IF((5-$I147+1)=1,RAMP_W1,IF((5-$I147+1)=2,RAMP_W2,IF((5-$I147+1)=3,RAMP_W3,RAMP_W4PLUS)))))*(INDEX(ACTIVE_MULT_TABLE,2,1))*(1+SUMPRODUCT(SIGN(((ACT_DOOR_SCOPE="ALL")+(ACT_DOOR_SCOPE="TIER_"&amp;$F147)+(ACT_DOOR_SCOPE=$B147)))*SIGN(((ACT_SKU_SCOPE="ALL")+(ACT_SKU_SCOPE=$G147)))*(ACT_START&lt;=5)*(ACT_END&gt;=5)*IFERROR(ACT_UPLIFT-1,0)))*(1+SUMPRODUCT(SIGN(((ACT_DOOR_SCOPE="ALL")+(ACT_DOOR_SCOPE="TIER_"&amp;$F147)+(ACT_DOOR_SCOPE=$B147)))*SIGN(((ACT_SKU_SCOPE="ALL")+(ACT_SKU_SCOPE=$G147)))*(5&gt;ACT_END)*(ACT_END&gt;0)*IFERROR(ACT_POSTLIFT,0))),0)))</f>
        <v/>
      </c>
      <c r="O147" s="10">
        <f>IF(OR($H147&lt;&gt;"Y",6&lt;$I147),0,IF(SUMPRODUCT(((BULK_ENABLED="Y")*((BULK_TIER="ALL")+(BULK_TIER=$F147))*((BULK_SKU="ALL")+(BULK_SKU=$G147))*(BULK_START&lt;=6)*(BULK_END&gt;=6)))&gt;0,IFERROR(SUMPRODUCT(((BULK_ENABLED="Y")*((BULK_TIER="ALL")+(BULK_TIER=$F147))*((BULK_SKU="ALL")+(BULK_SKU=$G147))*(BULK_START&lt;=6)*(BULK_END&gt;=6))*IFERROR(BULK_VALUE,0))/MAX(1,SUMPRODUCT(((BULK_ENABLED="Y")*((BULK_TIER="ALL")+(BULK_TIER=$F147))*((BULK_SKU="ALL")+(BULK_SKU=$G147))*(BULK_START&lt;=6)*(BULK_END&gt;=6)))),0),ROUND((INDEX(VELOCITY_TABLE,MATCH($F147,TIER_LIST,0),2))*(IF((6-$I147+1)&lt;=0,0,IF((6-$I147+1)=1,RAMP_W1,IF((6-$I147+1)=2,RAMP_W2,IF((6-$I147+1)=3,RAMP_W3,RAMP_W4PLUS)))))*(INDEX(ACTIVE_MULT_TABLE,2,1))*(1+SUMPRODUCT(SIGN(((ACT_DOOR_SCOPE="ALL")+(ACT_DOOR_SCOPE="TIER_"&amp;$F147)+(ACT_DOOR_SCOPE=$B147)))*SIGN(((ACT_SKU_SCOPE="ALL")+(ACT_SKU_SCOPE=$G147)))*(ACT_START&lt;=6)*(ACT_END&gt;=6)*IFERROR(ACT_UPLIFT-1,0)))*(1+SUMPRODUCT(SIGN(((ACT_DOOR_SCOPE="ALL")+(ACT_DOOR_SCOPE="TIER_"&amp;$F147)+(ACT_DOOR_SCOPE=$B147)))*SIGN(((ACT_SKU_SCOPE="ALL")+(ACT_SKU_SCOPE=$G147)))*(6&gt;ACT_END)*(ACT_END&gt;0)*IFERROR(ACT_POSTLIFT,0))),0)))</f>
        <v/>
      </c>
      <c r="P147" s="10">
        <f>IF(OR($H147&lt;&gt;"Y",7&lt;$I147),0,IF(SUMPRODUCT(((BULK_ENABLED="Y")*((BULK_TIER="ALL")+(BULK_TIER=$F147))*((BULK_SKU="ALL")+(BULK_SKU=$G147))*(BULK_START&lt;=7)*(BULK_END&gt;=7)))&gt;0,IFERROR(SUMPRODUCT(((BULK_ENABLED="Y")*((BULK_TIER="ALL")+(BULK_TIER=$F147))*((BULK_SKU="ALL")+(BULK_SKU=$G147))*(BULK_START&lt;=7)*(BULK_END&gt;=7))*IFERROR(BULK_VALUE,0))/MAX(1,SUMPRODUCT(((BULK_ENABLED="Y")*((BULK_TIER="ALL")+(BULK_TIER=$F147))*((BULK_SKU="ALL")+(BULK_SKU=$G147))*(BULK_START&lt;=7)*(BULK_END&gt;=7)))),0),ROUND((INDEX(VELOCITY_TABLE,MATCH($F147,TIER_LIST,0),2))*(IF((7-$I147+1)&lt;=0,0,IF((7-$I147+1)=1,RAMP_W1,IF((7-$I147+1)=2,RAMP_W2,IF((7-$I147+1)=3,RAMP_W3,RAMP_W4PLUS)))))*(INDEX(ACTIVE_MULT_TABLE,2,1))*(1+SUMPRODUCT(SIGN(((ACT_DOOR_SCOPE="ALL")+(ACT_DOOR_SCOPE="TIER_"&amp;$F147)+(ACT_DOOR_SCOPE=$B147)))*SIGN(((ACT_SKU_SCOPE="ALL")+(ACT_SKU_SCOPE=$G147)))*(ACT_START&lt;=7)*(ACT_END&gt;=7)*IFERROR(ACT_UPLIFT-1,0)))*(1+SUMPRODUCT(SIGN(((ACT_DOOR_SCOPE="ALL")+(ACT_DOOR_SCOPE="TIER_"&amp;$F147)+(ACT_DOOR_SCOPE=$B147)))*SIGN(((ACT_SKU_SCOPE="ALL")+(ACT_SKU_SCOPE=$G147)))*(7&gt;ACT_END)*(ACT_END&gt;0)*IFERROR(ACT_POSTLIFT,0))),0)))</f>
        <v/>
      </c>
      <c r="Q147" s="10">
        <f>IF(OR($H147&lt;&gt;"Y",8&lt;$I147),0,IF(SUMPRODUCT(((BULK_ENABLED="Y")*((BULK_TIER="ALL")+(BULK_TIER=$F147))*((BULK_SKU="ALL")+(BULK_SKU=$G147))*(BULK_START&lt;=8)*(BULK_END&gt;=8)))&gt;0,IFERROR(SUMPRODUCT(((BULK_ENABLED="Y")*((BULK_TIER="ALL")+(BULK_TIER=$F147))*((BULK_SKU="ALL")+(BULK_SKU=$G147))*(BULK_START&lt;=8)*(BULK_END&gt;=8))*IFERROR(BULK_VALUE,0))/MAX(1,SUMPRODUCT(((BULK_ENABLED="Y")*((BULK_TIER="ALL")+(BULK_TIER=$F147))*((BULK_SKU="ALL")+(BULK_SKU=$G147))*(BULK_START&lt;=8)*(BULK_END&gt;=8)))),0),ROUND((INDEX(VELOCITY_TABLE,MATCH($F147,TIER_LIST,0),2))*(IF((8-$I147+1)&lt;=0,0,IF((8-$I147+1)=1,RAMP_W1,IF((8-$I147+1)=2,RAMP_W2,IF((8-$I147+1)=3,RAMP_W3,RAMP_W4PLUS)))))*(INDEX(ACTIVE_MULT_TABLE,2,1))*(1+SUMPRODUCT(SIGN(((ACT_DOOR_SCOPE="ALL")+(ACT_DOOR_SCOPE="TIER_"&amp;$F147)+(ACT_DOOR_SCOPE=$B147)))*SIGN(((ACT_SKU_SCOPE="ALL")+(ACT_SKU_SCOPE=$G147)))*(ACT_START&lt;=8)*(ACT_END&gt;=8)*IFERROR(ACT_UPLIFT-1,0)))*(1+SUMPRODUCT(SIGN(((ACT_DOOR_SCOPE="ALL")+(ACT_DOOR_SCOPE="TIER_"&amp;$F147)+(ACT_DOOR_SCOPE=$B147)))*SIGN(((ACT_SKU_SCOPE="ALL")+(ACT_SKU_SCOPE=$G147)))*(8&gt;ACT_END)*(ACT_END&gt;0)*IFERROR(ACT_POSTLIFT,0))),0)))</f>
        <v/>
      </c>
      <c r="R147" s="10">
        <f>IF(OR($H147&lt;&gt;"Y",9&lt;$I147),0,IF(SUMPRODUCT(((BULK_ENABLED="Y")*((BULK_TIER="ALL")+(BULK_TIER=$F147))*((BULK_SKU="ALL")+(BULK_SKU=$G147))*(BULK_START&lt;=9)*(BULK_END&gt;=9)))&gt;0,IFERROR(SUMPRODUCT(((BULK_ENABLED="Y")*((BULK_TIER="ALL")+(BULK_TIER=$F147))*((BULK_SKU="ALL")+(BULK_SKU=$G147))*(BULK_START&lt;=9)*(BULK_END&gt;=9))*IFERROR(BULK_VALUE,0))/MAX(1,SUMPRODUCT(((BULK_ENABLED="Y")*((BULK_TIER="ALL")+(BULK_TIER=$F147))*((BULK_SKU="ALL")+(BULK_SKU=$G147))*(BULK_START&lt;=9)*(BULK_END&gt;=9)))),0),ROUND((INDEX(VELOCITY_TABLE,MATCH($F147,TIER_LIST,0),2))*(IF((9-$I147+1)&lt;=0,0,IF((9-$I147+1)=1,RAMP_W1,IF((9-$I147+1)=2,RAMP_W2,IF((9-$I147+1)=3,RAMP_W3,RAMP_W4PLUS)))))*(INDEX(ACTIVE_MULT_TABLE,2,1))*(1+SUMPRODUCT(SIGN(((ACT_DOOR_SCOPE="ALL")+(ACT_DOOR_SCOPE="TIER_"&amp;$F147)+(ACT_DOOR_SCOPE=$B147)))*SIGN(((ACT_SKU_SCOPE="ALL")+(ACT_SKU_SCOPE=$G147)))*(ACT_START&lt;=9)*(ACT_END&gt;=9)*IFERROR(ACT_UPLIFT-1,0)))*(1+SUMPRODUCT(SIGN(((ACT_DOOR_SCOPE="ALL")+(ACT_DOOR_SCOPE="TIER_"&amp;$F147)+(ACT_DOOR_SCOPE=$B147)))*SIGN(((ACT_SKU_SCOPE="ALL")+(ACT_SKU_SCOPE=$G147)))*(9&gt;ACT_END)*(ACT_END&gt;0)*IFERROR(ACT_POSTLIFT,0))),0)))</f>
        <v/>
      </c>
      <c r="S147" s="10">
        <f>IF(OR($H147&lt;&gt;"Y",10&lt;$I147),0,IF(SUMPRODUCT(((BULK_ENABLED="Y")*((BULK_TIER="ALL")+(BULK_TIER=$F147))*((BULK_SKU="ALL")+(BULK_SKU=$G147))*(BULK_START&lt;=10)*(BULK_END&gt;=10)))&gt;0,IFERROR(SUMPRODUCT(((BULK_ENABLED="Y")*((BULK_TIER="ALL")+(BULK_TIER=$F147))*((BULK_SKU="ALL")+(BULK_SKU=$G147))*(BULK_START&lt;=10)*(BULK_END&gt;=10))*IFERROR(BULK_VALUE,0))/MAX(1,SUMPRODUCT(((BULK_ENABLED="Y")*((BULK_TIER="ALL")+(BULK_TIER=$F147))*((BULK_SKU="ALL")+(BULK_SKU=$G147))*(BULK_START&lt;=10)*(BULK_END&gt;=10)))),0),ROUND((INDEX(VELOCITY_TABLE,MATCH($F147,TIER_LIST,0),2))*(IF((10-$I147+1)&lt;=0,0,IF((10-$I147+1)=1,RAMP_W1,IF((10-$I147+1)=2,RAMP_W2,IF((10-$I147+1)=3,RAMP_W3,RAMP_W4PLUS)))))*(INDEX(ACTIVE_MULT_TABLE,2,1))*(1+SUMPRODUCT(SIGN(((ACT_DOOR_SCOPE="ALL")+(ACT_DOOR_SCOPE="TIER_"&amp;$F147)+(ACT_DOOR_SCOPE=$B147)))*SIGN(((ACT_SKU_SCOPE="ALL")+(ACT_SKU_SCOPE=$G147)))*(ACT_START&lt;=10)*(ACT_END&gt;=10)*IFERROR(ACT_UPLIFT-1,0)))*(1+SUMPRODUCT(SIGN(((ACT_DOOR_SCOPE="ALL")+(ACT_DOOR_SCOPE="TIER_"&amp;$F147)+(ACT_DOOR_SCOPE=$B147)))*SIGN(((ACT_SKU_SCOPE="ALL")+(ACT_SKU_SCOPE=$G147)))*(10&gt;ACT_END)*(ACT_END&gt;0)*IFERROR(ACT_POSTLIFT,0))),0)))</f>
        <v/>
      </c>
      <c r="T147" s="10">
        <f>IF(OR($H147&lt;&gt;"Y",11&lt;$I147),0,IF(SUMPRODUCT(((BULK_ENABLED="Y")*((BULK_TIER="ALL")+(BULK_TIER=$F147))*((BULK_SKU="ALL")+(BULK_SKU=$G147))*(BULK_START&lt;=11)*(BULK_END&gt;=11)))&gt;0,IFERROR(SUMPRODUCT(((BULK_ENABLED="Y")*((BULK_TIER="ALL")+(BULK_TIER=$F147))*((BULK_SKU="ALL")+(BULK_SKU=$G147))*(BULK_START&lt;=11)*(BULK_END&gt;=11))*IFERROR(BULK_VALUE,0))/MAX(1,SUMPRODUCT(((BULK_ENABLED="Y")*((BULK_TIER="ALL")+(BULK_TIER=$F147))*((BULK_SKU="ALL")+(BULK_SKU=$G147))*(BULK_START&lt;=11)*(BULK_END&gt;=11)))),0),ROUND((INDEX(VELOCITY_TABLE,MATCH($F147,TIER_LIST,0),2))*(IF((11-$I147+1)&lt;=0,0,IF((11-$I147+1)=1,RAMP_W1,IF((11-$I147+1)=2,RAMP_W2,IF((11-$I147+1)=3,RAMP_W3,RAMP_W4PLUS)))))*(INDEX(ACTIVE_MULT_TABLE,2,1))*(1+SUMPRODUCT(SIGN(((ACT_DOOR_SCOPE="ALL")+(ACT_DOOR_SCOPE="TIER_"&amp;$F147)+(ACT_DOOR_SCOPE=$B147)))*SIGN(((ACT_SKU_SCOPE="ALL")+(ACT_SKU_SCOPE=$G147)))*(ACT_START&lt;=11)*(ACT_END&gt;=11)*IFERROR(ACT_UPLIFT-1,0)))*(1+SUMPRODUCT(SIGN(((ACT_DOOR_SCOPE="ALL")+(ACT_DOOR_SCOPE="TIER_"&amp;$F147)+(ACT_DOOR_SCOPE=$B147)))*SIGN(((ACT_SKU_SCOPE="ALL")+(ACT_SKU_SCOPE=$G147)))*(11&gt;ACT_END)*(ACT_END&gt;0)*IFERROR(ACT_POSTLIFT,0))),0)))</f>
        <v/>
      </c>
      <c r="U147" s="10">
        <f>IF(OR($H147&lt;&gt;"Y",12&lt;$I147),0,IF(SUMPRODUCT(((BULK_ENABLED="Y")*((BULK_TIER="ALL")+(BULK_TIER=$F147))*((BULK_SKU="ALL")+(BULK_SKU=$G147))*(BULK_START&lt;=12)*(BULK_END&gt;=12)))&gt;0,IFERROR(SUMPRODUCT(((BULK_ENABLED="Y")*((BULK_TIER="ALL")+(BULK_TIER=$F147))*((BULK_SKU="ALL")+(BULK_SKU=$G147))*(BULK_START&lt;=12)*(BULK_END&gt;=12))*IFERROR(BULK_VALUE,0))/MAX(1,SUMPRODUCT(((BULK_ENABLED="Y")*((BULK_TIER="ALL")+(BULK_TIER=$F147))*((BULK_SKU="ALL")+(BULK_SKU=$G147))*(BULK_START&lt;=12)*(BULK_END&gt;=12)))),0),ROUND((INDEX(VELOCITY_TABLE,MATCH($F147,TIER_LIST,0),2))*(IF((12-$I147+1)&lt;=0,0,IF((12-$I147+1)=1,RAMP_W1,IF((12-$I147+1)=2,RAMP_W2,IF((12-$I147+1)=3,RAMP_W3,RAMP_W4PLUS)))))*(INDEX(ACTIVE_MULT_TABLE,2,1))*(1+SUMPRODUCT(SIGN(((ACT_DOOR_SCOPE="ALL")+(ACT_DOOR_SCOPE="TIER_"&amp;$F147)+(ACT_DOOR_SCOPE=$B147)))*SIGN(((ACT_SKU_SCOPE="ALL")+(ACT_SKU_SCOPE=$G147)))*(ACT_START&lt;=12)*(ACT_END&gt;=12)*IFERROR(ACT_UPLIFT-1,0)))*(1+SUMPRODUCT(SIGN(((ACT_DOOR_SCOPE="ALL")+(ACT_DOOR_SCOPE="TIER_"&amp;$F147)+(ACT_DOOR_SCOPE=$B147)))*SIGN(((ACT_SKU_SCOPE="ALL")+(ACT_SKU_SCOPE=$G147)))*(12&gt;ACT_END)*(ACT_END&gt;0)*IFERROR(ACT_POSTLIFT,0))),0)))</f>
        <v/>
      </c>
      <c r="V147" s="10">
        <f>IF(OR($H147&lt;&gt;"Y",13&lt;$I147),0,IF(SUMPRODUCT(((BULK_ENABLED="Y")*((BULK_TIER="ALL")+(BULK_TIER=$F147))*((BULK_SKU="ALL")+(BULK_SKU=$G147))*(BULK_START&lt;=13)*(BULK_END&gt;=13)))&gt;0,IFERROR(SUMPRODUCT(((BULK_ENABLED="Y")*((BULK_TIER="ALL")+(BULK_TIER=$F147))*((BULK_SKU="ALL")+(BULK_SKU=$G147))*(BULK_START&lt;=13)*(BULK_END&gt;=13))*IFERROR(BULK_VALUE,0))/MAX(1,SUMPRODUCT(((BULK_ENABLED="Y")*((BULK_TIER="ALL")+(BULK_TIER=$F147))*((BULK_SKU="ALL")+(BULK_SKU=$G147))*(BULK_START&lt;=13)*(BULK_END&gt;=13)))),0),ROUND((INDEX(VELOCITY_TABLE,MATCH($F147,TIER_LIST,0),2))*(IF((13-$I147+1)&lt;=0,0,IF((13-$I147+1)=1,RAMP_W1,IF((13-$I147+1)=2,RAMP_W2,IF((13-$I147+1)=3,RAMP_W3,RAMP_W4PLUS)))))*(INDEX(ACTIVE_MULT_TABLE,2,1))*(1+SUMPRODUCT(SIGN(((ACT_DOOR_SCOPE="ALL")+(ACT_DOOR_SCOPE="TIER_"&amp;$F147)+(ACT_DOOR_SCOPE=$B147)))*SIGN(((ACT_SKU_SCOPE="ALL")+(ACT_SKU_SCOPE=$G147)))*(ACT_START&lt;=13)*(ACT_END&gt;=13)*IFERROR(ACT_UPLIFT-1,0)))*(1+SUMPRODUCT(SIGN(((ACT_DOOR_SCOPE="ALL")+(ACT_DOOR_SCOPE="TIER_"&amp;$F147)+(ACT_DOOR_SCOPE=$B147)))*SIGN(((ACT_SKU_SCOPE="ALL")+(ACT_SKU_SCOPE=$G147)))*(13&gt;ACT_END)*(ACT_END&gt;0)*IFERROR(ACT_POSTLIFT,0))),0)))</f>
        <v/>
      </c>
    </row>
    <row r="148">
      <c r="A148" t="inlineStr">
        <is>
          <t>R0144</t>
        </is>
      </c>
      <c r="B148">
        <f>Doors!$A$52</f>
        <v/>
      </c>
      <c r="C148">
        <f>Doors!$C$52</f>
        <v/>
      </c>
      <c r="D148">
        <f>Doors!$B$52</f>
        <v/>
      </c>
      <c r="E148">
        <f>Doors!$E$52</f>
        <v/>
      </c>
      <c r="F148">
        <f>Doors!$F$52</f>
        <v/>
      </c>
      <c r="G148" t="inlineStr">
        <is>
          <t>Raspberry</t>
        </is>
      </c>
      <c r="H148">
        <f>Doors!$I$52</f>
        <v/>
      </c>
      <c r="I148">
        <f>Doors!$J$52</f>
        <v/>
      </c>
      <c r="J148" s="10">
        <f>IF(OR($H148&lt;&gt;"Y",1&lt;$I148),0,IF(SUMPRODUCT(((BULK_ENABLED="Y")*((BULK_TIER="ALL")+(BULK_TIER=$F148))*((BULK_SKU="ALL")+(BULK_SKU=$G148))*(BULK_START&lt;=1)*(BULK_END&gt;=1)))&gt;0,IFERROR(SUMPRODUCT(((BULK_ENABLED="Y")*((BULK_TIER="ALL")+(BULK_TIER=$F148))*((BULK_SKU="ALL")+(BULK_SKU=$G148))*(BULK_START&lt;=1)*(BULK_END&gt;=1))*IFERROR(BULK_VALUE,0))/MAX(1,SUMPRODUCT(((BULK_ENABLED="Y")*((BULK_TIER="ALL")+(BULK_TIER=$F148))*((BULK_SKU="ALL")+(BULK_SKU=$G148))*(BULK_START&lt;=1)*(BULK_END&gt;=1)))),0),ROUND((INDEX(VELOCITY_TABLE,MATCH($F148,TIER_LIST,0),3))*(IF((1-$I148+1)&lt;=0,0,IF((1-$I148+1)=1,RAMP_W1,IF((1-$I148+1)=2,RAMP_W2,IF((1-$I148+1)=3,RAMP_W3,RAMP_W4PLUS)))))*(INDEX(ACTIVE_MULT_TABLE,3,1))*(1+SUMPRODUCT(SIGN(((ACT_DOOR_SCOPE="ALL")+(ACT_DOOR_SCOPE="TIER_"&amp;$F148)+(ACT_DOOR_SCOPE=$B148)))*SIGN(((ACT_SKU_SCOPE="ALL")+(ACT_SKU_SCOPE=$G148)))*(ACT_START&lt;=1)*(ACT_END&gt;=1)*IFERROR(ACT_UPLIFT-1,0)))*(1+SUMPRODUCT(SIGN(((ACT_DOOR_SCOPE="ALL")+(ACT_DOOR_SCOPE="TIER_"&amp;$F148)+(ACT_DOOR_SCOPE=$B148)))*SIGN(((ACT_SKU_SCOPE="ALL")+(ACT_SKU_SCOPE=$G148)))*(1&gt;ACT_END)*(ACT_END&gt;0)*IFERROR(ACT_POSTLIFT,0))),0)))</f>
        <v/>
      </c>
      <c r="K148" s="10">
        <f>IF(OR($H148&lt;&gt;"Y",2&lt;$I148),0,IF(SUMPRODUCT(((BULK_ENABLED="Y")*((BULK_TIER="ALL")+(BULK_TIER=$F148))*((BULK_SKU="ALL")+(BULK_SKU=$G148))*(BULK_START&lt;=2)*(BULK_END&gt;=2)))&gt;0,IFERROR(SUMPRODUCT(((BULK_ENABLED="Y")*((BULK_TIER="ALL")+(BULK_TIER=$F148))*((BULK_SKU="ALL")+(BULK_SKU=$G148))*(BULK_START&lt;=2)*(BULK_END&gt;=2))*IFERROR(BULK_VALUE,0))/MAX(1,SUMPRODUCT(((BULK_ENABLED="Y")*((BULK_TIER="ALL")+(BULK_TIER=$F148))*((BULK_SKU="ALL")+(BULK_SKU=$G148))*(BULK_START&lt;=2)*(BULK_END&gt;=2)))),0),ROUND((INDEX(VELOCITY_TABLE,MATCH($F148,TIER_LIST,0),3))*(IF((2-$I148+1)&lt;=0,0,IF((2-$I148+1)=1,RAMP_W1,IF((2-$I148+1)=2,RAMP_W2,IF((2-$I148+1)=3,RAMP_W3,RAMP_W4PLUS)))))*(INDEX(ACTIVE_MULT_TABLE,3,1))*(1+SUMPRODUCT(SIGN(((ACT_DOOR_SCOPE="ALL")+(ACT_DOOR_SCOPE="TIER_"&amp;$F148)+(ACT_DOOR_SCOPE=$B148)))*SIGN(((ACT_SKU_SCOPE="ALL")+(ACT_SKU_SCOPE=$G148)))*(ACT_START&lt;=2)*(ACT_END&gt;=2)*IFERROR(ACT_UPLIFT-1,0)))*(1+SUMPRODUCT(SIGN(((ACT_DOOR_SCOPE="ALL")+(ACT_DOOR_SCOPE="TIER_"&amp;$F148)+(ACT_DOOR_SCOPE=$B148)))*SIGN(((ACT_SKU_SCOPE="ALL")+(ACT_SKU_SCOPE=$G148)))*(2&gt;ACT_END)*(ACT_END&gt;0)*IFERROR(ACT_POSTLIFT,0))),0)))</f>
        <v/>
      </c>
      <c r="L148" s="10">
        <f>IF(OR($H148&lt;&gt;"Y",3&lt;$I148),0,IF(SUMPRODUCT(((BULK_ENABLED="Y")*((BULK_TIER="ALL")+(BULK_TIER=$F148))*((BULK_SKU="ALL")+(BULK_SKU=$G148))*(BULK_START&lt;=3)*(BULK_END&gt;=3)))&gt;0,IFERROR(SUMPRODUCT(((BULK_ENABLED="Y")*((BULK_TIER="ALL")+(BULK_TIER=$F148))*((BULK_SKU="ALL")+(BULK_SKU=$G148))*(BULK_START&lt;=3)*(BULK_END&gt;=3))*IFERROR(BULK_VALUE,0))/MAX(1,SUMPRODUCT(((BULK_ENABLED="Y")*((BULK_TIER="ALL")+(BULK_TIER=$F148))*((BULK_SKU="ALL")+(BULK_SKU=$G148))*(BULK_START&lt;=3)*(BULK_END&gt;=3)))),0),ROUND((INDEX(VELOCITY_TABLE,MATCH($F148,TIER_LIST,0),3))*(IF((3-$I148+1)&lt;=0,0,IF((3-$I148+1)=1,RAMP_W1,IF((3-$I148+1)=2,RAMP_W2,IF((3-$I148+1)=3,RAMP_W3,RAMP_W4PLUS)))))*(INDEX(ACTIVE_MULT_TABLE,3,1))*(1+SUMPRODUCT(SIGN(((ACT_DOOR_SCOPE="ALL")+(ACT_DOOR_SCOPE="TIER_"&amp;$F148)+(ACT_DOOR_SCOPE=$B148)))*SIGN(((ACT_SKU_SCOPE="ALL")+(ACT_SKU_SCOPE=$G148)))*(ACT_START&lt;=3)*(ACT_END&gt;=3)*IFERROR(ACT_UPLIFT-1,0)))*(1+SUMPRODUCT(SIGN(((ACT_DOOR_SCOPE="ALL")+(ACT_DOOR_SCOPE="TIER_"&amp;$F148)+(ACT_DOOR_SCOPE=$B148)))*SIGN(((ACT_SKU_SCOPE="ALL")+(ACT_SKU_SCOPE=$G148)))*(3&gt;ACT_END)*(ACT_END&gt;0)*IFERROR(ACT_POSTLIFT,0))),0)))</f>
        <v/>
      </c>
      <c r="M148" s="10">
        <f>IF(OR($H148&lt;&gt;"Y",4&lt;$I148),0,IF(SUMPRODUCT(((BULK_ENABLED="Y")*((BULK_TIER="ALL")+(BULK_TIER=$F148))*((BULK_SKU="ALL")+(BULK_SKU=$G148))*(BULK_START&lt;=4)*(BULK_END&gt;=4)))&gt;0,IFERROR(SUMPRODUCT(((BULK_ENABLED="Y")*((BULK_TIER="ALL")+(BULK_TIER=$F148))*((BULK_SKU="ALL")+(BULK_SKU=$G148))*(BULK_START&lt;=4)*(BULK_END&gt;=4))*IFERROR(BULK_VALUE,0))/MAX(1,SUMPRODUCT(((BULK_ENABLED="Y")*((BULK_TIER="ALL")+(BULK_TIER=$F148))*((BULK_SKU="ALL")+(BULK_SKU=$G148))*(BULK_START&lt;=4)*(BULK_END&gt;=4)))),0),ROUND((INDEX(VELOCITY_TABLE,MATCH($F148,TIER_LIST,0),3))*(IF((4-$I148+1)&lt;=0,0,IF((4-$I148+1)=1,RAMP_W1,IF((4-$I148+1)=2,RAMP_W2,IF((4-$I148+1)=3,RAMP_W3,RAMP_W4PLUS)))))*(INDEX(ACTIVE_MULT_TABLE,3,1))*(1+SUMPRODUCT(SIGN(((ACT_DOOR_SCOPE="ALL")+(ACT_DOOR_SCOPE="TIER_"&amp;$F148)+(ACT_DOOR_SCOPE=$B148)))*SIGN(((ACT_SKU_SCOPE="ALL")+(ACT_SKU_SCOPE=$G148)))*(ACT_START&lt;=4)*(ACT_END&gt;=4)*IFERROR(ACT_UPLIFT-1,0)))*(1+SUMPRODUCT(SIGN(((ACT_DOOR_SCOPE="ALL")+(ACT_DOOR_SCOPE="TIER_"&amp;$F148)+(ACT_DOOR_SCOPE=$B148)))*SIGN(((ACT_SKU_SCOPE="ALL")+(ACT_SKU_SCOPE=$G148)))*(4&gt;ACT_END)*(ACT_END&gt;0)*IFERROR(ACT_POSTLIFT,0))),0)))</f>
        <v/>
      </c>
      <c r="N148" s="10">
        <f>IF(OR($H148&lt;&gt;"Y",5&lt;$I148),0,IF(SUMPRODUCT(((BULK_ENABLED="Y")*((BULK_TIER="ALL")+(BULK_TIER=$F148))*((BULK_SKU="ALL")+(BULK_SKU=$G148))*(BULK_START&lt;=5)*(BULK_END&gt;=5)))&gt;0,IFERROR(SUMPRODUCT(((BULK_ENABLED="Y")*((BULK_TIER="ALL")+(BULK_TIER=$F148))*((BULK_SKU="ALL")+(BULK_SKU=$G148))*(BULK_START&lt;=5)*(BULK_END&gt;=5))*IFERROR(BULK_VALUE,0))/MAX(1,SUMPRODUCT(((BULK_ENABLED="Y")*((BULK_TIER="ALL")+(BULK_TIER=$F148))*((BULK_SKU="ALL")+(BULK_SKU=$G148))*(BULK_START&lt;=5)*(BULK_END&gt;=5)))),0),ROUND((INDEX(VELOCITY_TABLE,MATCH($F148,TIER_LIST,0),3))*(IF((5-$I148+1)&lt;=0,0,IF((5-$I148+1)=1,RAMP_W1,IF((5-$I148+1)=2,RAMP_W2,IF((5-$I148+1)=3,RAMP_W3,RAMP_W4PLUS)))))*(INDEX(ACTIVE_MULT_TABLE,3,1))*(1+SUMPRODUCT(SIGN(((ACT_DOOR_SCOPE="ALL")+(ACT_DOOR_SCOPE="TIER_"&amp;$F148)+(ACT_DOOR_SCOPE=$B148)))*SIGN(((ACT_SKU_SCOPE="ALL")+(ACT_SKU_SCOPE=$G148)))*(ACT_START&lt;=5)*(ACT_END&gt;=5)*IFERROR(ACT_UPLIFT-1,0)))*(1+SUMPRODUCT(SIGN(((ACT_DOOR_SCOPE="ALL")+(ACT_DOOR_SCOPE="TIER_"&amp;$F148)+(ACT_DOOR_SCOPE=$B148)))*SIGN(((ACT_SKU_SCOPE="ALL")+(ACT_SKU_SCOPE=$G148)))*(5&gt;ACT_END)*(ACT_END&gt;0)*IFERROR(ACT_POSTLIFT,0))),0)))</f>
        <v/>
      </c>
      <c r="O148" s="10">
        <f>IF(OR($H148&lt;&gt;"Y",6&lt;$I148),0,IF(SUMPRODUCT(((BULK_ENABLED="Y")*((BULK_TIER="ALL")+(BULK_TIER=$F148))*((BULK_SKU="ALL")+(BULK_SKU=$G148))*(BULK_START&lt;=6)*(BULK_END&gt;=6)))&gt;0,IFERROR(SUMPRODUCT(((BULK_ENABLED="Y")*((BULK_TIER="ALL")+(BULK_TIER=$F148))*((BULK_SKU="ALL")+(BULK_SKU=$G148))*(BULK_START&lt;=6)*(BULK_END&gt;=6))*IFERROR(BULK_VALUE,0))/MAX(1,SUMPRODUCT(((BULK_ENABLED="Y")*((BULK_TIER="ALL")+(BULK_TIER=$F148))*((BULK_SKU="ALL")+(BULK_SKU=$G148))*(BULK_START&lt;=6)*(BULK_END&gt;=6)))),0),ROUND((INDEX(VELOCITY_TABLE,MATCH($F148,TIER_LIST,0),3))*(IF((6-$I148+1)&lt;=0,0,IF((6-$I148+1)=1,RAMP_W1,IF((6-$I148+1)=2,RAMP_W2,IF((6-$I148+1)=3,RAMP_W3,RAMP_W4PLUS)))))*(INDEX(ACTIVE_MULT_TABLE,3,1))*(1+SUMPRODUCT(SIGN(((ACT_DOOR_SCOPE="ALL")+(ACT_DOOR_SCOPE="TIER_"&amp;$F148)+(ACT_DOOR_SCOPE=$B148)))*SIGN(((ACT_SKU_SCOPE="ALL")+(ACT_SKU_SCOPE=$G148)))*(ACT_START&lt;=6)*(ACT_END&gt;=6)*IFERROR(ACT_UPLIFT-1,0)))*(1+SUMPRODUCT(SIGN(((ACT_DOOR_SCOPE="ALL")+(ACT_DOOR_SCOPE="TIER_"&amp;$F148)+(ACT_DOOR_SCOPE=$B148)))*SIGN(((ACT_SKU_SCOPE="ALL")+(ACT_SKU_SCOPE=$G148)))*(6&gt;ACT_END)*(ACT_END&gt;0)*IFERROR(ACT_POSTLIFT,0))),0)))</f>
        <v/>
      </c>
      <c r="P148" s="10">
        <f>IF(OR($H148&lt;&gt;"Y",7&lt;$I148),0,IF(SUMPRODUCT(((BULK_ENABLED="Y")*((BULK_TIER="ALL")+(BULK_TIER=$F148))*((BULK_SKU="ALL")+(BULK_SKU=$G148))*(BULK_START&lt;=7)*(BULK_END&gt;=7)))&gt;0,IFERROR(SUMPRODUCT(((BULK_ENABLED="Y")*((BULK_TIER="ALL")+(BULK_TIER=$F148))*((BULK_SKU="ALL")+(BULK_SKU=$G148))*(BULK_START&lt;=7)*(BULK_END&gt;=7))*IFERROR(BULK_VALUE,0))/MAX(1,SUMPRODUCT(((BULK_ENABLED="Y")*((BULK_TIER="ALL")+(BULK_TIER=$F148))*((BULK_SKU="ALL")+(BULK_SKU=$G148))*(BULK_START&lt;=7)*(BULK_END&gt;=7)))),0),ROUND((INDEX(VELOCITY_TABLE,MATCH($F148,TIER_LIST,0),3))*(IF((7-$I148+1)&lt;=0,0,IF((7-$I148+1)=1,RAMP_W1,IF((7-$I148+1)=2,RAMP_W2,IF((7-$I148+1)=3,RAMP_W3,RAMP_W4PLUS)))))*(INDEX(ACTIVE_MULT_TABLE,3,1))*(1+SUMPRODUCT(SIGN(((ACT_DOOR_SCOPE="ALL")+(ACT_DOOR_SCOPE="TIER_"&amp;$F148)+(ACT_DOOR_SCOPE=$B148)))*SIGN(((ACT_SKU_SCOPE="ALL")+(ACT_SKU_SCOPE=$G148)))*(ACT_START&lt;=7)*(ACT_END&gt;=7)*IFERROR(ACT_UPLIFT-1,0)))*(1+SUMPRODUCT(SIGN(((ACT_DOOR_SCOPE="ALL")+(ACT_DOOR_SCOPE="TIER_"&amp;$F148)+(ACT_DOOR_SCOPE=$B148)))*SIGN(((ACT_SKU_SCOPE="ALL")+(ACT_SKU_SCOPE=$G148)))*(7&gt;ACT_END)*(ACT_END&gt;0)*IFERROR(ACT_POSTLIFT,0))),0)))</f>
        <v/>
      </c>
      <c r="Q148" s="10">
        <f>IF(OR($H148&lt;&gt;"Y",8&lt;$I148),0,IF(SUMPRODUCT(((BULK_ENABLED="Y")*((BULK_TIER="ALL")+(BULK_TIER=$F148))*((BULK_SKU="ALL")+(BULK_SKU=$G148))*(BULK_START&lt;=8)*(BULK_END&gt;=8)))&gt;0,IFERROR(SUMPRODUCT(((BULK_ENABLED="Y")*((BULK_TIER="ALL")+(BULK_TIER=$F148))*((BULK_SKU="ALL")+(BULK_SKU=$G148))*(BULK_START&lt;=8)*(BULK_END&gt;=8))*IFERROR(BULK_VALUE,0))/MAX(1,SUMPRODUCT(((BULK_ENABLED="Y")*((BULK_TIER="ALL")+(BULK_TIER=$F148))*((BULK_SKU="ALL")+(BULK_SKU=$G148))*(BULK_START&lt;=8)*(BULK_END&gt;=8)))),0),ROUND((INDEX(VELOCITY_TABLE,MATCH($F148,TIER_LIST,0),3))*(IF((8-$I148+1)&lt;=0,0,IF((8-$I148+1)=1,RAMP_W1,IF((8-$I148+1)=2,RAMP_W2,IF((8-$I148+1)=3,RAMP_W3,RAMP_W4PLUS)))))*(INDEX(ACTIVE_MULT_TABLE,3,1))*(1+SUMPRODUCT(SIGN(((ACT_DOOR_SCOPE="ALL")+(ACT_DOOR_SCOPE="TIER_"&amp;$F148)+(ACT_DOOR_SCOPE=$B148)))*SIGN(((ACT_SKU_SCOPE="ALL")+(ACT_SKU_SCOPE=$G148)))*(ACT_START&lt;=8)*(ACT_END&gt;=8)*IFERROR(ACT_UPLIFT-1,0)))*(1+SUMPRODUCT(SIGN(((ACT_DOOR_SCOPE="ALL")+(ACT_DOOR_SCOPE="TIER_"&amp;$F148)+(ACT_DOOR_SCOPE=$B148)))*SIGN(((ACT_SKU_SCOPE="ALL")+(ACT_SKU_SCOPE=$G148)))*(8&gt;ACT_END)*(ACT_END&gt;0)*IFERROR(ACT_POSTLIFT,0))),0)))</f>
        <v/>
      </c>
      <c r="R148" s="10">
        <f>IF(OR($H148&lt;&gt;"Y",9&lt;$I148),0,IF(SUMPRODUCT(((BULK_ENABLED="Y")*((BULK_TIER="ALL")+(BULK_TIER=$F148))*((BULK_SKU="ALL")+(BULK_SKU=$G148))*(BULK_START&lt;=9)*(BULK_END&gt;=9)))&gt;0,IFERROR(SUMPRODUCT(((BULK_ENABLED="Y")*((BULK_TIER="ALL")+(BULK_TIER=$F148))*((BULK_SKU="ALL")+(BULK_SKU=$G148))*(BULK_START&lt;=9)*(BULK_END&gt;=9))*IFERROR(BULK_VALUE,0))/MAX(1,SUMPRODUCT(((BULK_ENABLED="Y")*((BULK_TIER="ALL")+(BULK_TIER=$F148))*((BULK_SKU="ALL")+(BULK_SKU=$G148))*(BULK_START&lt;=9)*(BULK_END&gt;=9)))),0),ROUND((INDEX(VELOCITY_TABLE,MATCH($F148,TIER_LIST,0),3))*(IF((9-$I148+1)&lt;=0,0,IF((9-$I148+1)=1,RAMP_W1,IF((9-$I148+1)=2,RAMP_W2,IF((9-$I148+1)=3,RAMP_W3,RAMP_W4PLUS)))))*(INDEX(ACTIVE_MULT_TABLE,3,1))*(1+SUMPRODUCT(SIGN(((ACT_DOOR_SCOPE="ALL")+(ACT_DOOR_SCOPE="TIER_"&amp;$F148)+(ACT_DOOR_SCOPE=$B148)))*SIGN(((ACT_SKU_SCOPE="ALL")+(ACT_SKU_SCOPE=$G148)))*(ACT_START&lt;=9)*(ACT_END&gt;=9)*IFERROR(ACT_UPLIFT-1,0)))*(1+SUMPRODUCT(SIGN(((ACT_DOOR_SCOPE="ALL")+(ACT_DOOR_SCOPE="TIER_"&amp;$F148)+(ACT_DOOR_SCOPE=$B148)))*SIGN(((ACT_SKU_SCOPE="ALL")+(ACT_SKU_SCOPE=$G148)))*(9&gt;ACT_END)*(ACT_END&gt;0)*IFERROR(ACT_POSTLIFT,0))),0)))</f>
        <v/>
      </c>
      <c r="S148" s="10">
        <f>IF(OR($H148&lt;&gt;"Y",10&lt;$I148),0,IF(SUMPRODUCT(((BULK_ENABLED="Y")*((BULK_TIER="ALL")+(BULK_TIER=$F148))*((BULK_SKU="ALL")+(BULK_SKU=$G148))*(BULK_START&lt;=10)*(BULK_END&gt;=10)))&gt;0,IFERROR(SUMPRODUCT(((BULK_ENABLED="Y")*((BULK_TIER="ALL")+(BULK_TIER=$F148))*((BULK_SKU="ALL")+(BULK_SKU=$G148))*(BULK_START&lt;=10)*(BULK_END&gt;=10))*IFERROR(BULK_VALUE,0))/MAX(1,SUMPRODUCT(((BULK_ENABLED="Y")*((BULK_TIER="ALL")+(BULK_TIER=$F148))*((BULK_SKU="ALL")+(BULK_SKU=$G148))*(BULK_START&lt;=10)*(BULK_END&gt;=10)))),0),ROUND((INDEX(VELOCITY_TABLE,MATCH($F148,TIER_LIST,0),3))*(IF((10-$I148+1)&lt;=0,0,IF((10-$I148+1)=1,RAMP_W1,IF((10-$I148+1)=2,RAMP_W2,IF((10-$I148+1)=3,RAMP_W3,RAMP_W4PLUS)))))*(INDEX(ACTIVE_MULT_TABLE,3,1))*(1+SUMPRODUCT(SIGN(((ACT_DOOR_SCOPE="ALL")+(ACT_DOOR_SCOPE="TIER_"&amp;$F148)+(ACT_DOOR_SCOPE=$B148)))*SIGN(((ACT_SKU_SCOPE="ALL")+(ACT_SKU_SCOPE=$G148)))*(ACT_START&lt;=10)*(ACT_END&gt;=10)*IFERROR(ACT_UPLIFT-1,0)))*(1+SUMPRODUCT(SIGN(((ACT_DOOR_SCOPE="ALL")+(ACT_DOOR_SCOPE="TIER_"&amp;$F148)+(ACT_DOOR_SCOPE=$B148)))*SIGN(((ACT_SKU_SCOPE="ALL")+(ACT_SKU_SCOPE=$G148)))*(10&gt;ACT_END)*(ACT_END&gt;0)*IFERROR(ACT_POSTLIFT,0))),0)))</f>
        <v/>
      </c>
      <c r="T148" s="10">
        <f>IF(OR($H148&lt;&gt;"Y",11&lt;$I148),0,IF(SUMPRODUCT(((BULK_ENABLED="Y")*((BULK_TIER="ALL")+(BULK_TIER=$F148))*((BULK_SKU="ALL")+(BULK_SKU=$G148))*(BULK_START&lt;=11)*(BULK_END&gt;=11)))&gt;0,IFERROR(SUMPRODUCT(((BULK_ENABLED="Y")*((BULK_TIER="ALL")+(BULK_TIER=$F148))*((BULK_SKU="ALL")+(BULK_SKU=$G148))*(BULK_START&lt;=11)*(BULK_END&gt;=11))*IFERROR(BULK_VALUE,0))/MAX(1,SUMPRODUCT(((BULK_ENABLED="Y")*((BULK_TIER="ALL")+(BULK_TIER=$F148))*((BULK_SKU="ALL")+(BULK_SKU=$G148))*(BULK_START&lt;=11)*(BULK_END&gt;=11)))),0),ROUND((INDEX(VELOCITY_TABLE,MATCH($F148,TIER_LIST,0),3))*(IF((11-$I148+1)&lt;=0,0,IF((11-$I148+1)=1,RAMP_W1,IF((11-$I148+1)=2,RAMP_W2,IF((11-$I148+1)=3,RAMP_W3,RAMP_W4PLUS)))))*(INDEX(ACTIVE_MULT_TABLE,3,1))*(1+SUMPRODUCT(SIGN(((ACT_DOOR_SCOPE="ALL")+(ACT_DOOR_SCOPE="TIER_"&amp;$F148)+(ACT_DOOR_SCOPE=$B148)))*SIGN(((ACT_SKU_SCOPE="ALL")+(ACT_SKU_SCOPE=$G148)))*(ACT_START&lt;=11)*(ACT_END&gt;=11)*IFERROR(ACT_UPLIFT-1,0)))*(1+SUMPRODUCT(SIGN(((ACT_DOOR_SCOPE="ALL")+(ACT_DOOR_SCOPE="TIER_"&amp;$F148)+(ACT_DOOR_SCOPE=$B148)))*SIGN(((ACT_SKU_SCOPE="ALL")+(ACT_SKU_SCOPE=$G148)))*(11&gt;ACT_END)*(ACT_END&gt;0)*IFERROR(ACT_POSTLIFT,0))),0)))</f>
        <v/>
      </c>
      <c r="U148" s="10">
        <f>IF(OR($H148&lt;&gt;"Y",12&lt;$I148),0,IF(SUMPRODUCT(((BULK_ENABLED="Y")*((BULK_TIER="ALL")+(BULK_TIER=$F148))*((BULK_SKU="ALL")+(BULK_SKU=$G148))*(BULK_START&lt;=12)*(BULK_END&gt;=12)))&gt;0,IFERROR(SUMPRODUCT(((BULK_ENABLED="Y")*((BULK_TIER="ALL")+(BULK_TIER=$F148))*((BULK_SKU="ALL")+(BULK_SKU=$G148))*(BULK_START&lt;=12)*(BULK_END&gt;=12))*IFERROR(BULK_VALUE,0))/MAX(1,SUMPRODUCT(((BULK_ENABLED="Y")*((BULK_TIER="ALL")+(BULK_TIER=$F148))*((BULK_SKU="ALL")+(BULK_SKU=$G148))*(BULK_START&lt;=12)*(BULK_END&gt;=12)))),0),ROUND((INDEX(VELOCITY_TABLE,MATCH($F148,TIER_LIST,0),3))*(IF((12-$I148+1)&lt;=0,0,IF((12-$I148+1)=1,RAMP_W1,IF((12-$I148+1)=2,RAMP_W2,IF((12-$I148+1)=3,RAMP_W3,RAMP_W4PLUS)))))*(INDEX(ACTIVE_MULT_TABLE,3,1))*(1+SUMPRODUCT(SIGN(((ACT_DOOR_SCOPE="ALL")+(ACT_DOOR_SCOPE="TIER_"&amp;$F148)+(ACT_DOOR_SCOPE=$B148)))*SIGN(((ACT_SKU_SCOPE="ALL")+(ACT_SKU_SCOPE=$G148)))*(ACT_START&lt;=12)*(ACT_END&gt;=12)*IFERROR(ACT_UPLIFT-1,0)))*(1+SUMPRODUCT(SIGN(((ACT_DOOR_SCOPE="ALL")+(ACT_DOOR_SCOPE="TIER_"&amp;$F148)+(ACT_DOOR_SCOPE=$B148)))*SIGN(((ACT_SKU_SCOPE="ALL")+(ACT_SKU_SCOPE=$G148)))*(12&gt;ACT_END)*(ACT_END&gt;0)*IFERROR(ACT_POSTLIFT,0))),0)))</f>
        <v/>
      </c>
      <c r="V148" s="10">
        <f>IF(OR($H148&lt;&gt;"Y",13&lt;$I148),0,IF(SUMPRODUCT(((BULK_ENABLED="Y")*((BULK_TIER="ALL")+(BULK_TIER=$F148))*((BULK_SKU="ALL")+(BULK_SKU=$G148))*(BULK_START&lt;=13)*(BULK_END&gt;=13)))&gt;0,IFERROR(SUMPRODUCT(((BULK_ENABLED="Y")*((BULK_TIER="ALL")+(BULK_TIER=$F148))*((BULK_SKU="ALL")+(BULK_SKU=$G148))*(BULK_START&lt;=13)*(BULK_END&gt;=13))*IFERROR(BULK_VALUE,0))/MAX(1,SUMPRODUCT(((BULK_ENABLED="Y")*((BULK_TIER="ALL")+(BULK_TIER=$F148))*((BULK_SKU="ALL")+(BULK_SKU=$G148))*(BULK_START&lt;=13)*(BULK_END&gt;=13)))),0),ROUND((INDEX(VELOCITY_TABLE,MATCH($F148,TIER_LIST,0),3))*(IF((13-$I148+1)&lt;=0,0,IF((13-$I148+1)=1,RAMP_W1,IF((13-$I148+1)=2,RAMP_W2,IF((13-$I148+1)=3,RAMP_W3,RAMP_W4PLUS)))))*(INDEX(ACTIVE_MULT_TABLE,3,1))*(1+SUMPRODUCT(SIGN(((ACT_DOOR_SCOPE="ALL")+(ACT_DOOR_SCOPE="TIER_"&amp;$F148)+(ACT_DOOR_SCOPE=$B148)))*SIGN(((ACT_SKU_SCOPE="ALL")+(ACT_SKU_SCOPE=$G148)))*(ACT_START&lt;=13)*(ACT_END&gt;=13)*IFERROR(ACT_UPLIFT-1,0)))*(1+SUMPRODUCT(SIGN(((ACT_DOOR_SCOPE="ALL")+(ACT_DOOR_SCOPE="TIER_"&amp;$F148)+(ACT_DOOR_SCOPE=$B148)))*SIGN(((ACT_SKU_SCOPE="ALL")+(ACT_SKU_SCOPE=$G148)))*(13&gt;ACT_END)*(ACT_END&gt;0)*IFERROR(ACT_POSTLIFT,0))),0)))</f>
        <v/>
      </c>
    </row>
    <row r="149">
      <c r="A149" t="inlineStr">
        <is>
          <t>R0145</t>
        </is>
      </c>
      <c r="B149">
        <f>Doors!$A$53</f>
        <v/>
      </c>
      <c r="C149">
        <f>Doors!$C$53</f>
        <v/>
      </c>
      <c r="D149">
        <f>Doors!$B$53</f>
        <v/>
      </c>
      <c r="E149">
        <f>Doors!$E$53</f>
        <v/>
      </c>
      <c r="F149">
        <f>Doors!$F$53</f>
        <v/>
      </c>
      <c r="G149" t="inlineStr">
        <is>
          <t>Lime Lemon</t>
        </is>
      </c>
      <c r="H149">
        <f>Doors!$G$53</f>
        <v/>
      </c>
      <c r="I149">
        <f>Doors!$J$53</f>
        <v/>
      </c>
      <c r="J149" s="10">
        <f>IF(OR($H149&lt;&gt;"Y",1&lt;$I149),0,IF(SUMPRODUCT(((BULK_ENABLED="Y")*((BULK_TIER="ALL")+(BULK_TIER=$F149))*((BULK_SKU="ALL")+(BULK_SKU=$G149))*(BULK_START&lt;=1)*(BULK_END&gt;=1)))&gt;0,IFERROR(SUMPRODUCT(((BULK_ENABLED="Y")*((BULK_TIER="ALL")+(BULK_TIER=$F149))*((BULK_SKU="ALL")+(BULK_SKU=$G149))*(BULK_START&lt;=1)*(BULK_END&gt;=1))*IFERROR(BULK_VALUE,0))/MAX(1,SUMPRODUCT(((BULK_ENABLED="Y")*((BULK_TIER="ALL")+(BULK_TIER=$F149))*((BULK_SKU="ALL")+(BULK_SKU=$G149))*(BULK_START&lt;=1)*(BULK_END&gt;=1)))),0),ROUND((INDEX(VELOCITY_TABLE,MATCH($F149,TIER_LIST,0),1))*(IF((1-$I149+1)&lt;=0,0,IF((1-$I149+1)=1,RAMP_W1,IF((1-$I149+1)=2,RAMP_W2,IF((1-$I149+1)=3,RAMP_W3,RAMP_W4PLUS)))))*(INDEX(ACTIVE_MULT_TABLE,1,1))*(1+SUMPRODUCT(SIGN(((ACT_DOOR_SCOPE="ALL")+(ACT_DOOR_SCOPE="TIER_"&amp;$F149)+(ACT_DOOR_SCOPE=$B149)))*SIGN(((ACT_SKU_SCOPE="ALL")+(ACT_SKU_SCOPE=$G149)))*(ACT_START&lt;=1)*(ACT_END&gt;=1)*IFERROR(ACT_UPLIFT-1,0)))*(1+SUMPRODUCT(SIGN(((ACT_DOOR_SCOPE="ALL")+(ACT_DOOR_SCOPE="TIER_"&amp;$F149)+(ACT_DOOR_SCOPE=$B149)))*SIGN(((ACT_SKU_SCOPE="ALL")+(ACT_SKU_SCOPE=$G149)))*(1&gt;ACT_END)*(ACT_END&gt;0)*IFERROR(ACT_POSTLIFT,0))),0)))</f>
        <v/>
      </c>
      <c r="K149" s="10">
        <f>IF(OR($H149&lt;&gt;"Y",2&lt;$I149),0,IF(SUMPRODUCT(((BULK_ENABLED="Y")*((BULK_TIER="ALL")+(BULK_TIER=$F149))*((BULK_SKU="ALL")+(BULK_SKU=$G149))*(BULK_START&lt;=2)*(BULK_END&gt;=2)))&gt;0,IFERROR(SUMPRODUCT(((BULK_ENABLED="Y")*((BULK_TIER="ALL")+(BULK_TIER=$F149))*((BULK_SKU="ALL")+(BULK_SKU=$G149))*(BULK_START&lt;=2)*(BULK_END&gt;=2))*IFERROR(BULK_VALUE,0))/MAX(1,SUMPRODUCT(((BULK_ENABLED="Y")*((BULK_TIER="ALL")+(BULK_TIER=$F149))*((BULK_SKU="ALL")+(BULK_SKU=$G149))*(BULK_START&lt;=2)*(BULK_END&gt;=2)))),0),ROUND((INDEX(VELOCITY_TABLE,MATCH($F149,TIER_LIST,0),1))*(IF((2-$I149+1)&lt;=0,0,IF((2-$I149+1)=1,RAMP_W1,IF((2-$I149+1)=2,RAMP_W2,IF((2-$I149+1)=3,RAMP_W3,RAMP_W4PLUS)))))*(INDEX(ACTIVE_MULT_TABLE,1,1))*(1+SUMPRODUCT(SIGN(((ACT_DOOR_SCOPE="ALL")+(ACT_DOOR_SCOPE="TIER_"&amp;$F149)+(ACT_DOOR_SCOPE=$B149)))*SIGN(((ACT_SKU_SCOPE="ALL")+(ACT_SKU_SCOPE=$G149)))*(ACT_START&lt;=2)*(ACT_END&gt;=2)*IFERROR(ACT_UPLIFT-1,0)))*(1+SUMPRODUCT(SIGN(((ACT_DOOR_SCOPE="ALL")+(ACT_DOOR_SCOPE="TIER_"&amp;$F149)+(ACT_DOOR_SCOPE=$B149)))*SIGN(((ACT_SKU_SCOPE="ALL")+(ACT_SKU_SCOPE=$G149)))*(2&gt;ACT_END)*(ACT_END&gt;0)*IFERROR(ACT_POSTLIFT,0))),0)))</f>
        <v/>
      </c>
      <c r="L149" s="10">
        <f>IF(OR($H149&lt;&gt;"Y",3&lt;$I149),0,IF(SUMPRODUCT(((BULK_ENABLED="Y")*((BULK_TIER="ALL")+(BULK_TIER=$F149))*((BULK_SKU="ALL")+(BULK_SKU=$G149))*(BULK_START&lt;=3)*(BULK_END&gt;=3)))&gt;0,IFERROR(SUMPRODUCT(((BULK_ENABLED="Y")*((BULK_TIER="ALL")+(BULK_TIER=$F149))*((BULK_SKU="ALL")+(BULK_SKU=$G149))*(BULK_START&lt;=3)*(BULK_END&gt;=3))*IFERROR(BULK_VALUE,0))/MAX(1,SUMPRODUCT(((BULK_ENABLED="Y")*((BULK_TIER="ALL")+(BULK_TIER=$F149))*((BULK_SKU="ALL")+(BULK_SKU=$G149))*(BULK_START&lt;=3)*(BULK_END&gt;=3)))),0),ROUND((INDEX(VELOCITY_TABLE,MATCH($F149,TIER_LIST,0),1))*(IF((3-$I149+1)&lt;=0,0,IF((3-$I149+1)=1,RAMP_W1,IF((3-$I149+1)=2,RAMP_W2,IF((3-$I149+1)=3,RAMP_W3,RAMP_W4PLUS)))))*(INDEX(ACTIVE_MULT_TABLE,1,1))*(1+SUMPRODUCT(SIGN(((ACT_DOOR_SCOPE="ALL")+(ACT_DOOR_SCOPE="TIER_"&amp;$F149)+(ACT_DOOR_SCOPE=$B149)))*SIGN(((ACT_SKU_SCOPE="ALL")+(ACT_SKU_SCOPE=$G149)))*(ACT_START&lt;=3)*(ACT_END&gt;=3)*IFERROR(ACT_UPLIFT-1,0)))*(1+SUMPRODUCT(SIGN(((ACT_DOOR_SCOPE="ALL")+(ACT_DOOR_SCOPE="TIER_"&amp;$F149)+(ACT_DOOR_SCOPE=$B149)))*SIGN(((ACT_SKU_SCOPE="ALL")+(ACT_SKU_SCOPE=$G149)))*(3&gt;ACT_END)*(ACT_END&gt;0)*IFERROR(ACT_POSTLIFT,0))),0)))</f>
        <v/>
      </c>
      <c r="M149" s="10">
        <f>IF(OR($H149&lt;&gt;"Y",4&lt;$I149),0,IF(SUMPRODUCT(((BULK_ENABLED="Y")*((BULK_TIER="ALL")+(BULK_TIER=$F149))*((BULK_SKU="ALL")+(BULK_SKU=$G149))*(BULK_START&lt;=4)*(BULK_END&gt;=4)))&gt;0,IFERROR(SUMPRODUCT(((BULK_ENABLED="Y")*((BULK_TIER="ALL")+(BULK_TIER=$F149))*((BULK_SKU="ALL")+(BULK_SKU=$G149))*(BULK_START&lt;=4)*(BULK_END&gt;=4))*IFERROR(BULK_VALUE,0))/MAX(1,SUMPRODUCT(((BULK_ENABLED="Y")*((BULK_TIER="ALL")+(BULK_TIER=$F149))*((BULK_SKU="ALL")+(BULK_SKU=$G149))*(BULK_START&lt;=4)*(BULK_END&gt;=4)))),0),ROUND((INDEX(VELOCITY_TABLE,MATCH($F149,TIER_LIST,0),1))*(IF((4-$I149+1)&lt;=0,0,IF((4-$I149+1)=1,RAMP_W1,IF((4-$I149+1)=2,RAMP_W2,IF((4-$I149+1)=3,RAMP_W3,RAMP_W4PLUS)))))*(INDEX(ACTIVE_MULT_TABLE,1,1))*(1+SUMPRODUCT(SIGN(((ACT_DOOR_SCOPE="ALL")+(ACT_DOOR_SCOPE="TIER_"&amp;$F149)+(ACT_DOOR_SCOPE=$B149)))*SIGN(((ACT_SKU_SCOPE="ALL")+(ACT_SKU_SCOPE=$G149)))*(ACT_START&lt;=4)*(ACT_END&gt;=4)*IFERROR(ACT_UPLIFT-1,0)))*(1+SUMPRODUCT(SIGN(((ACT_DOOR_SCOPE="ALL")+(ACT_DOOR_SCOPE="TIER_"&amp;$F149)+(ACT_DOOR_SCOPE=$B149)))*SIGN(((ACT_SKU_SCOPE="ALL")+(ACT_SKU_SCOPE=$G149)))*(4&gt;ACT_END)*(ACT_END&gt;0)*IFERROR(ACT_POSTLIFT,0))),0)))</f>
        <v/>
      </c>
      <c r="N149" s="10">
        <f>IF(OR($H149&lt;&gt;"Y",5&lt;$I149),0,IF(SUMPRODUCT(((BULK_ENABLED="Y")*((BULK_TIER="ALL")+(BULK_TIER=$F149))*((BULK_SKU="ALL")+(BULK_SKU=$G149))*(BULK_START&lt;=5)*(BULK_END&gt;=5)))&gt;0,IFERROR(SUMPRODUCT(((BULK_ENABLED="Y")*((BULK_TIER="ALL")+(BULK_TIER=$F149))*((BULK_SKU="ALL")+(BULK_SKU=$G149))*(BULK_START&lt;=5)*(BULK_END&gt;=5))*IFERROR(BULK_VALUE,0))/MAX(1,SUMPRODUCT(((BULK_ENABLED="Y")*((BULK_TIER="ALL")+(BULK_TIER=$F149))*((BULK_SKU="ALL")+(BULK_SKU=$G149))*(BULK_START&lt;=5)*(BULK_END&gt;=5)))),0),ROUND((INDEX(VELOCITY_TABLE,MATCH($F149,TIER_LIST,0),1))*(IF((5-$I149+1)&lt;=0,0,IF((5-$I149+1)=1,RAMP_W1,IF((5-$I149+1)=2,RAMP_W2,IF((5-$I149+1)=3,RAMP_W3,RAMP_W4PLUS)))))*(INDEX(ACTIVE_MULT_TABLE,1,1))*(1+SUMPRODUCT(SIGN(((ACT_DOOR_SCOPE="ALL")+(ACT_DOOR_SCOPE="TIER_"&amp;$F149)+(ACT_DOOR_SCOPE=$B149)))*SIGN(((ACT_SKU_SCOPE="ALL")+(ACT_SKU_SCOPE=$G149)))*(ACT_START&lt;=5)*(ACT_END&gt;=5)*IFERROR(ACT_UPLIFT-1,0)))*(1+SUMPRODUCT(SIGN(((ACT_DOOR_SCOPE="ALL")+(ACT_DOOR_SCOPE="TIER_"&amp;$F149)+(ACT_DOOR_SCOPE=$B149)))*SIGN(((ACT_SKU_SCOPE="ALL")+(ACT_SKU_SCOPE=$G149)))*(5&gt;ACT_END)*(ACT_END&gt;0)*IFERROR(ACT_POSTLIFT,0))),0)))</f>
        <v/>
      </c>
      <c r="O149" s="10">
        <f>IF(OR($H149&lt;&gt;"Y",6&lt;$I149),0,IF(SUMPRODUCT(((BULK_ENABLED="Y")*((BULK_TIER="ALL")+(BULK_TIER=$F149))*((BULK_SKU="ALL")+(BULK_SKU=$G149))*(BULK_START&lt;=6)*(BULK_END&gt;=6)))&gt;0,IFERROR(SUMPRODUCT(((BULK_ENABLED="Y")*((BULK_TIER="ALL")+(BULK_TIER=$F149))*((BULK_SKU="ALL")+(BULK_SKU=$G149))*(BULK_START&lt;=6)*(BULK_END&gt;=6))*IFERROR(BULK_VALUE,0))/MAX(1,SUMPRODUCT(((BULK_ENABLED="Y")*((BULK_TIER="ALL")+(BULK_TIER=$F149))*((BULK_SKU="ALL")+(BULK_SKU=$G149))*(BULK_START&lt;=6)*(BULK_END&gt;=6)))),0),ROUND((INDEX(VELOCITY_TABLE,MATCH($F149,TIER_LIST,0),1))*(IF((6-$I149+1)&lt;=0,0,IF((6-$I149+1)=1,RAMP_W1,IF((6-$I149+1)=2,RAMP_W2,IF((6-$I149+1)=3,RAMP_W3,RAMP_W4PLUS)))))*(INDEX(ACTIVE_MULT_TABLE,1,1))*(1+SUMPRODUCT(SIGN(((ACT_DOOR_SCOPE="ALL")+(ACT_DOOR_SCOPE="TIER_"&amp;$F149)+(ACT_DOOR_SCOPE=$B149)))*SIGN(((ACT_SKU_SCOPE="ALL")+(ACT_SKU_SCOPE=$G149)))*(ACT_START&lt;=6)*(ACT_END&gt;=6)*IFERROR(ACT_UPLIFT-1,0)))*(1+SUMPRODUCT(SIGN(((ACT_DOOR_SCOPE="ALL")+(ACT_DOOR_SCOPE="TIER_"&amp;$F149)+(ACT_DOOR_SCOPE=$B149)))*SIGN(((ACT_SKU_SCOPE="ALL")+(ACT_SKU_SCOPE=$G149)))*(6&gt;ACT_END)*(ACT_END&gt;0)*IFERROR(ACT_POSTLIFT,0))),0)))</f>
        <v/>
      </c>
      <c r="P149" s="10">
        <f>IF(OR($H149&lt;&gt;"Y",7&lt;$I149),0,IF(SUMPRODUCT(((BULK_ENABLED="Y")*((BULK_TIER="ALL")+(BULK_TIER=$F149))*((BULK_SKU="ALL")+(BULK_SKU=$G149))*(BULK_START&lt;=7)*(BULK_END&gt;=7)))&gt;0,IFERROR(SUMPRODUCT(((BULK_ENABLED="Y")*((BULK_TIER="ALL")+(BULK_TIER=$F149))*((BULK_SKU="ALL")+(BULK_SKU=$G149))*(BULK_START&lt;=7)*(BULK_END&gt;=7))*IFERROR(BULK_VALUE,0))/MAX(1,SUMPRODUCT(((BULK_ENABLED="Y")*((BULK_TIER="ALL")+(BULK_TIER=$F149))*((BULK_SKU="ALL")+(BULK_SKU=$G149))*(BULK_START&lt;=7)*(BULK_END&gt;=7)))),0),ROUND((INDEX(VELOCITY_TABLE,MATCH($F149,TIER_LIST,0),1))*(IF((7-$I149+1)&lt;=0,0,IF((7-$I149+1)=1,RAMP_W1,IF((7-$I149+1)=2,RAMP_W2,IF((7-$I149+1)=3,RAMP_W3,RAMP_W4PLUS)))))*(INDEX(ACTIVE_MULT_TABLE,1,1))*(1+SUMPRODUCT(SIGN(((ACT_DOOR_SCOPE="ALL")+(ACT_DOOR_SCOPE="TIER_"&amp;$F149)+(ACT_DOOR_SCOPE=$B149)))*SIGN(((ACT_SKU_SCOPE="ALL")+(ACT_SKU_SCOPE=$G149)))*(ACT_START&lt;=7)*(ACT_END&gt;=7)*IFERROR(ACT_UPLIFT-1,0)))*(1+SUMPRODUCT(SIGN(((ACT_DOOR_SCOPE="ALL")+(ACT_DOOR_SCOPE="TIER_"&amp;$F149)+(ACT_DOOR_SCOPE=$B149)))*SIGN(((ACT_SKU_SCOPE="ALL")+(ACT_SKU_SCOPE=$G149)))*(7&gt;ACT_END)*(ACT_END&gt;0)*IFERROR(ACT_POSTLIFT,0))),0)))</f>
        <v/>
      </c>
      <c r="Q149" s="10">
        <f>IF(OR($H149&lt;&gt;"Y",8&lt;$I149),0,IF(SUMPRODUCT(((BULK_ENABLED="Y")*((BULK_TIER="ALL")+(BULK_TIER=$F149))*((BULK_SKU="ALL")+(BULK_SKU=$G149))*(BULK_START&lt;=8)*(BULK_END&gt;=8)))&gt;0,IFERROR(SUMPRODUCT(((BULK_ENABLED="Y")*((BULK_TIER="ALL")+(BULK_TIER=$F149))*((BULK_SKU="ALL")+(BULK_SKU=$G149))*(BULK_START&lt;=8)*(BULK_END&gt;=8))*IFERROR(BULK_VALUE,0))/MAX(1,SUMPRODUCT(((BULK_ENABLED="Y")*((BULK_TIER="ALL")+(BULK_TIER=$F149))*((BULK_SKU="ALL")+(BULK_SKU=$G149))*(BULK_START&lt;=8)*(BULK_END&gt;=8)))),0),ROUND((INDEX(VELOCITY_TABLE,MATCH($F149,TIER_LIST,0),1))*(IF((8-$I149+1)&lt;=0,0,IF((8-$I149+1)=1,RAMP_W1,IF((8-$I149+1)=2,RAMP_W2,IF((8-$I149+1)=3,RAMP_W3,RAMP_W4PLUS)))))*(INDEX(ACTIVE_MULT_TABLE,1,1))*(1+SUMPRODUCT(SIGN(((ACT_DOOR_SCOPE="ALL")+(ACT_DOOR_SCOPE="TIER_"&amp;$F149)+(ACT_DOOR_SCOPE=$B149)))*SIGN(((ACT_SKU_SCOPE="ALL")+(ACT_SKU_SCOPE=$G149)))*(ACT_START&lt;=8)*(ACT_END&gt;=8)*IFERROR(ACT_UPLIFT-1,0)))*(1+SUMPRODUCT(SIGN(((ACT_DOOR_SCOPE="ALL")+(ACT_DOOR_SCOPE="TIER_"&amp;$F149)+(ACT_DOOR_SCOPE=$B149)))*SIGN(((ACT_SKU_SCOPE="ALL")+(ACT_SKU_SCOPE=$G149)))*(8&gt;ACT_END)*(ACT_END&gt;0)*IFERROR(ACT_POSTLIFT,0))),0)))</f>
        <v/>
      </c>
      <c r="R149" s="10">
        <f>IF(OR($H149&lt;&gt;"Y",9&lt;$I149),0,IF(SUMPRODUCT(((BULK_ENABLED="Y")*((BULK_TIER="ALL")+(BULK_TIER=$F149))*((BULK_SKU="ALL")+(BULK_SKU=$G149))*(BULK_START&lt;=9)*(BULK_END&gt;=9)))&gt;0,IFERROR(SUMPRODUCT(((BULK_ENABLED="Y")*((BULK_TIER="ALL")+(BULK_TIER=$F149))*((BULK_SKU="ALL")+(BULK_SKU=$G149))*(BULK_START&lt;=9)*(BULK_END&gt;=9))*IFERROR(BULK_VALUE,0))/MAX(1,SUMPRODUCT(((BULK_ENABLED="Y")*((BULK_TIER="ALL")+(BULK_TIER=$F149))*((BULK_SKU="ALL")+(BULK_SKU=$G149))*(BULK_START&lt;=9)*(BULK_END&gt;=9)))),0),ROUND((INDEX(VELOCITY_TABLE,MATCH($F149,TIER_LIST,0),1))*(IF((9-$I149+1)&lt;=0,0,IF((9-$I149+1)=1,RAMP_W1,IF((9-$I149+1)=2,RAMP_W2,IF((9-$I149+1)=3,RAMP_W3,RAMP_W4PLUS)))))*(INDEX(ACTIVE_MULT_TABLE,1,1))*(1+SUMPRODUCT(SIGN(((ACT_DOOR_SCOPE="ALL")+(ACT_DOOR_SCOPE="TIER_"&amp;$F149)+(ACT_DOOR_SCOPE=$B149)))*SIGN(((ACT_SKU_SCOPE="ALL")+(ACT_SKU_SCOPE=$G149)))*(ACT_START&lt;=9)*(ACT_END&gt;=9)*IFERROR(ACT_UPLIFT-1,0)))*(1+SUMPRODUCT(SIGN(((ACT_DOOR_SCOPE="ALL")+(ACT_DOOR_SCOPE="TIER_"&amp;$F149)+(ACT_DOOR_SCOPE=$B149)))*SIGN(((ACT_SKU_SCOPE="ALL")+(ACT_SKU_SCOPE=$G149)))*(9&gt;ACT_END)*(ACT_END&gt;0)*IFERROR(ACT_POSTLIFT,0))),0)))</f>
        <v/>
      </c>
      <c r="S149" s="10">
        <f>IF(OR($H149&lt;&gt;"Y",10&lt;$I149),0,IF(SUMPRODUCT(((BULK_ENABLED="Y")*((BULK_TIER="ALL")+(BULK_TIER=$F149))*((BULK_SKU="ALL")+(BULK_SKU=$G149))*(BULK_START&lt;=10)*(BULK_END&gt;=10)))&gt;0,IFERROR(SUMPRODUCT(((BULK_ENABLED="Y")*((BULK_TIER="ALL")+(BULK_TIER=$F149))*((BULK_SKU="ALL")+(BULK_SKU=$G149))*(BULK_START&lt;=10)*(BULK_END&gt;=10))*IFERROR(BULK_VALUE,0))/MAX(1,SUMPRODUCT(((BULK_ENABLED="Y")*((BULK_TIER="ALL")+(BULK_TIER=$F149))*((BULK_SKU="ALL")+(BULK_SKU=$G149))*(BULK_START&lt;=10)*(BULK_END&gt;=10)))),0),ROUND((INDEX(VELOCITY_TABLE,MATCH($F149,TIER_LIST,0),1))*(IF((10-$I149+1)&lt;=0,0,IF((10-$I149+1)=1,RAMP_W1,IF((10-$I149+1)=2,RAMP_W2,IF((10-$I149+1)=3,RAMP_W3,RAMP_W4PLUS)))))*(INDEX(ACTIVE_MULT_TABLE,1,1))*(1+SUMPRODUCT(SIGN(((ACT_DOOR_SCOPE="ALL")+(ACT_DOOR_SCOPE="TIER_"&amp;$F149)+(ACT_DOOR_SCOPE=$B149)))*SIGN(((ACT_SKU_SCOPE="ALL")+(ACT_SKU_SCOPE=$G149)))*(ACT_START&lt;=10)*(ACT_END&gt;=10)*IFERROR(ACT_UPLIFT-1,0)))*(1+SUMPRODUCT(SIGN(((ACT_DOOR_SCOPE="ALL")+(ACT_DOOR_SCOPE="TIER_"&amp;$F149)+(ACT_DOOR_SCOPE=$B149)))*SIGN(((ACT_SKU_SCOPE="ALL")+(ACT_SKU_SCOPE=$G149)))*(10&gt;ACT_END)*(ACT_END&gt;0)*IFERROR(ACT_POSTLIFT,0))),0)))</f>
        <v/>
      </c>
      <c r="T149" s="10">
        <f>IF(OR($H149&lt;&gt;"Y",11&lt;$I149),0,IF(SUMPRODUCT(((BULK_ENABLED="Y")*((BULK_TIER="ALL")+(BULK_TIER=$F149))*((BULK_SKU="ALL")+(BULK_SKU=$G149))*(BULK_START&lt;=11)*(BULK_END&gt;=11)))&gt;0,IFERROR(SUMPRODUCT(((BULK_ENABLED="Y")*((BULK_TIER="ALL")+(BULK_TIER=$F149))*((BULK_SKU="ALL")+(BULK_SKU=$G149))*(BULK_START&lt;=11)*(BULK_END&gt;=11))*IFERROR(BULK_VALUE,0))/MAX(1,SUMPRODUCT(((BULK_ENABLED="Y")*((BULK_TIER="ALL")+(BULK_TIER=$F149))*((BULK_SKU="ALL")+(BULK_SKU=$G149))*(BULK_START&lt;=11)*(BULK_END&gt;=11)))),0),ROUND((INDEX(VELOCITY_TABLE,MATCH($F149,TIER_LIST,0),1))*(IF((11-$I149+1)&lt;=0,0,IF((11-$I149+1)=1,RAMP_W1,IF((11-$I149+1)=2,RAMP_W2,IF((11-$I149+1)=3,RAMP_W3,RAMP_W4PLUS)))))*(INDEX(ACTIVE_MULT_TABLE,1,1))*(1+SUMPRODUCT(SIGN(((ACT_DOOR_SCOPE="ALL")+(ACT_DOOR_SCOPE="TIER_"&amp;$F149)+(ACT_DOOR_SCOPE=$B149)))*SIGN(((ACT_SKU_SCOPE="ALL")+(ACT_SKU_SCOPE=$G149)))*(ACT_START&lt;=11)*(ACT_END&gt;=11)*IFERROR(ACT_UPLIFT-1,0)))*(1+SUMPRODUCT(SIGN(((ACT_DOOR_SCOPE="ALL")+(ACT_DOOR_SCOPE="TIER_"&amp;$F149)+(ACT_DOOR_SCOPE=$B149)))*SIGN(((ACT_SKU_SCOPE="ALL")+(ACT_SKU_SCOPE=$G149)))*(11&gt;ACT_END)*(ACT_END&gt;0)*IFERROR(ACT_POSTLIFT,0))),0)))</f>
        <v/>
      </c>
      <c r="U149" s="10">
        <f>IF(OR($H149&lt;&gt;"Y",12&lt;$I149),0,IF(SUMPRODUCT(((BULK_ENABLED="Y")*((BULK_TIER="ALL")+(BULK_TIER=$F149))*((BULK_SKU="ALL")+(BULK_SKU=$G149))*(BULK_START&lt;=12)*(BULK_END&gt;=12)))&gt;0,IFERROR(SUMPRODUCT(((BULK_ENABLED="Y")*((BULK_TIER="ALL")+(BULK_TIER=$F149))*((BULK_SKU="ALL")+(BULK_SKU=$G149))*(BULK_START&lt;=12)*(BULK_END&gt;=12))*IFERROR(BULK_VALUE,0))/MAX(1,SUMPRODUCT(((BULK_ENABLED="Y")*((BULK_TIER="ALL")+(BULK_TIER=$F149))*((BULK_SKU="ALL")+(BULK_SKU=$G149))*(BULK_START&lt;=12)*(BULK_END&gt;=12)))),0),ROUND((INDEX(VELOCITY_TABLE,MATCH($F149,TIER_LIST,0),1))*(IF((12-$I149+1)&lt;=0,0,IF((12-$I149+1)=1,RAMP_W1,IF((12-$I149+1)=2,RAMP_W2,IF((12-$I149+1)=3,RAMP_W3,RAMP_W4PLUS)))))*(INDEX(ACTIVE_MULT_TABLE,1,1))*(1+SUMPRODUCT(SIGN(((ACT_DOOR_SCOPE="ALL")+(ACT_DOOR_SCOPE="TIER_"&amp;$F149)+(ACT_DOOR_SCOPE=$B149)))*SIGN(((ACT_SKU_SCOPE="ALL")+(ACT_SKU_SCOPE=$G149)))*(ACT_START&lt;=12)*(ACT_END&gt;=12)*IFERROR(ACT_UPLIFT-1,0)))*(1+SUMPRODUCT(SIGN(((ACT_DOOR_SCOPE="ALL")+(ACT_DOOR_SCOPE="TIER_"&amp;$F149)+(ACT_DOOR_SCOPE=$B149)))*SIGN(((ACT_SKU_SCOPE="ALL")+(ACT_SKU_SCOPE=$G149)))*(12&gt;ACT_END)*(ACT_END&gt;0)*IFERROR(ACT_POSTLIFT,0))),0)))</f>
        <v/>
      </c>
      <c r="V149" s="10">
        <f>IF(OR($H149&lt;&gt;"Y",13&lt;$I149),0,IF(SUMPRODUCT(((BULK_ENABLED="Y")*((BULK_TIER="ALL")+(BULK_TIER=$F149))*((BULK_SKU="ALL")+(BULK_SKU=$G149))*(BULK_START&lt;=13)*(BULK_END&gt;=13)))&gt;0,IFERROR(SUMPRODUCT(((BULK_ENABLED="Y")*((BULK_TIER="ALL")+(BULK_TIER=$F149))*((BULK_SKU="ALL")+(BULK_SKU=$G149))*(BULK_START&lt;=13)*(BULK_END&gt;=13))*IFERROR(BULK_VALUE,0))/MAX(1,SUMPRODUCT(((BULK_ENABLED="Y")*((BULK_TIER="ALL")+(BULK_TIER=$F149))*((BULK_SKU="ALL")+(BULK_SKU=$G149))*(BULK_START&lt;=13)*(BULK_END&gt;=13)))),0),ROUND((INDEX(VELOCITY_TABLE,MATCH($F149,TIER_LIST,0),1))*(IF((13-$I149+1)&lt;=0,0,IF((13-$I149+1)=1,RAMP_W1,IF((13-$I149+1)=2,RAMP_W2,IF((13-$I149+1)=3,RAMP_W3,RAMP_W4PLUS)))))*(INDEX(ACTIVE_MULT_TABLE,1,1))*(1+SUMPRODUCT(SIGN(((ACT_DOOR_SCOPE="ALL")+(ACT_DOOR_SCOPE="TIER_"&amp;$F149)+(ACT_DOOR_SCOPE=$B149)))*SIGN(((ACT_SKU_SCOPE="ALL")+(ACT_SKU_SCOPE=$G149)))*(ACT_START&lt;=13)*(ACT_END&gt;=13)*IFERROR(ACT_UPLIFT-1,0)))*(1+SUMPRODUCT(SIGN(((ACT_DOOR_SCOPE="ALL")+(ACT_DOOR_SCOPE="TIER_"&amp;$F149)+(ACT_DOOR_SCOPE=$B149)))*SIGN(((ACT_SKU_SCOPE="ALL")+(ACT_SKU_SCOPE=$G149)))*(13&gt;ACT_END)*(ACT_END&gt;0)*IFERROR(ACT_POSTLIFT,0))),0)))</f>
        <v/>
      </c>
    </row>
    <row r="150">
      <c r="A150" t="inlineStr">
        <is>
          <t>R0146</t>
        </is>
      </c>
      <c r="B150">
        <f>Doors!$A$53</f>
        <v/>
      </c>
      <c r="C150">
        <f>Doors!$C$53</f>
        <v/>
      </c>
      <c r="D150">
        <f>Doors!$B$53</f>
        <v/>
      </c>
      <c r="E150">
        <f>Doors!$E$53</f>
        <v/>
      </c>
      <c r="F150">
        <f>Doors!$F$53</f>
        <v/>
      </c>
      <c r="G150" t="inlineStr">
        <is>
          <t>Pineapple Passion Fruit</t>
        </is>
      </c>
      <c r="H150">
        <f>Doors!$H$53</f>
        <v/>
      </c>
      <c r="I150">
        <f>Doors!$J$53</f>
        <v/>
      </c>
      <c r="J150" s="10">
        <f>IF(OR($H150&lt;&gt;"Y",1&lt;$I150),0,IF(SUMPRODUCT(((BULK_ENABLED="Y")*((BULK_TIER="ALL")+(BULK_TIER=$F150))*((BULK_SKU="ALL")+(BULK_SKU=$G150))*(BULK_START&lt;=1)*(BULK_END&gt;=1)))&gt;0,IFERROR(SUMPRODUCT(((BULK_ENABLED="Y")*((BULK_TIER="ALL")+(BULK_TIER=$F150))*((BULK_SKU="ALL")+(BULK_SKU=$G150))*(BULK_START&lt;=1)*(BULK_END&gt;=1))*IFERROR(BULK_VALUE,0))/MAX(1,SUMPRODUCT(((BULK_ENABLED="Y")*((BULK_TIER="ALL")+(BULK_TIER=$F150))*((BULK_SKU="ALL")+(BULK_SKU=$G150))*(BULK_START&lt;=1)*(BULK_END&gt;=1)))),0),ROUND((INDEX(VELOCITY_TABLE,MATCH($F150,TIER_LIST,0),2))*(IF((1-$I150+1)&lt;=0,0,IF((1-$I150+1)=1,RAMP_W1,IF((1-$I150+1)=2,RAMP_W2,IF((1-$I150+1)=3,RAMP_W3,RAMP_W4PLUS)))))*(INDEX(ACTIVE_MULT_TABLE,2,1))*(1+SUMPRODUCT(SIGN(((ACT_DOOR_SCOPE="ALL")+(ACT_DOOR_SCOPE="TIER_"&amp;$F150)+(ACT_DOOR_SCOPE=$B150)))*SIGN(((ACT_SKU_SCOPE="ALL")+(ACT_SKU_SCOPE=$G150)))*(ACT_START&lt;=1)*(ACT_END&gt;=1)*IFERROR(ACT_UPLIFT-1,0)))*(1+SUMPRODUCT(SIGN(((ACT_DOOR_SCOPE="ALL")+(ACT_DOOR_SCOPE="TIER_"&amp;$F150)+(ACT_DOOR_SCOPE=$B150)))*SIGN(((ACT_SKU_SCOPE="ALL")+(ACT_SKU_SCOPE=$G150)))*(1&gt;ACT_END)*(ACT_END&gt;0)*IFERROR(ACT_POSTLIFT,0))),0)))</f>
        <v/>
      </c>
      <c r="K150" s="10">
        <f>IF(OR($H150&lt;&gt;"Y",2&lt;$I150),0,IF(SUMPRODUCT(((BULK_ENABLED="Y")*((BULK_TIER="ALL")+(BULK_TIER=$F150))*((BULK_SKU="ALL")+(BULK_SKU=$G150))*(BULK_START&lt;=2)*(BULK_END&gt;=2)))&gt;0,IFERROR(SUMPRODUCT(((BULK_ENABLED="Y")*((BULK_TIER="ALL")+(BULK_TIER=$F150))*((BULK_SKU="ALL")+(BULK_SKU=$G150))*(BULK_START&lt;=2)*(BULK_END&gt;=2))*IFERROR(BULK_VALUE,0))/MAX(1,SUMPRODUCT(((BULK_ENABLED="Y")*((BULK_TIER="ALL")+(BULK_TIER=$F150))*((BULK_SKU="ALL")+(BULK_SKU=$G150))*(BULK_START&lt;=2)*(BULK_END&gt;=2)))),0),ROUND((INDEX(VELOCITY_TABLE,MATCH($F150,TIER_LIST,0),2))*(IF((2-$I150+1)&lt;=0,0,IF((2-$I150+1)=1,RAMP_W1,IF((2-$I150+1)=2,RAMP_W2,IF((2-$I150+1)=3,RAMP_W3,RAMP_W4PLUS)))))*(INDEX(ACTIVE_MULT_TABLE,2,1))*(1+SUMPRODUCT(SIGN(((ACT_DOOR_SCOPE="ALL")+(ACT_DOOR_SCOPE="TIER_"&amp;$F150)+(ACT_DOOR_SCOPE=$B150)))*SIGN(((ACT_SKU_SCOPE="ALL")+(ACT_SKU_SCOPE=$G150)))*(ACT_START&lt;=2)*(ACT_END&gt;=2)*IFERROR(ACT_UPLIFT-1,0)))*(1+SUMPRODUCT(SIGN(((ACT_DOOR_SCOPE="ALL")+(ACT_DOOR_SCOPE="TIER_"&amp;$F150)+(ACT_DOOR_SCOPE=$B150)))*SIGN(((ACT_SKU_SCOPE="ALL")+(ACT_SKU_SCOPE=$G150)))*(2&gt;ACT_END)*(ACT_END&gt;0)*IFERROR(ACT_POSTLIFT,0))),0)))</f>
        <v/>
      </c>
      <c r="L150" s="10">
        <f>IF(OR($H150&lt;&gt;"Y",3&lt;$I150),0,IF(SUMPRODUCT(((BULK_ENABLED="Y")*((BULK_TIER="ALL")+(BULK_TIER=$F150))*((BULK_SKU="ALL")+(BULK_SKU=$G150))*(BULK_START&lt;=3)*(BULK_END&gt;=3)))&gt;0,IFERROR(SUMPRODUCT(((BULK_ENABLED="Y")*((BULK_TIER="ALL")+(BULK_TIER=$F150))*((BULK_SKU="ALL")+(BULK_SKU=$G150))*(BULK_START&lt;=3)*(BULK_END&gt;=3))*IFERROR(BULK_VALUE,0))/MAX(1,SUMPRODUCT(((BULK_ENABLED="Y")*((BULK_TIER="ALL")+(BULK_TIER=$F150))*((BULK_SKU="ALL")+(BULK_SKU=$G150))*(BULK_START&lt;=3)*(BULK_END&gt;=3)))),0),ROUND((INDEX(VELOCITY_TABLE,MATCH($F150,TIER_LIST,0),2))*(IF((3-$I150+1)&lt;=0,0,IF((3-$I150+1)=1,RAMP_W1,IF((3-$I150+1)=2,RAMP_W2,IF((3-$I150+1)=3,RAMP_W3,RAMP_W4PLUS)))))*(INDEX(ACTIVE_MULT_TABLE,2,1))*(1+SUMPRODUCT(SIGN(((ACT_DOOR_SCOPE="ALL")+(ACT_DOOR_SCOPE="TIER_"&amp;$F150)+(ACT_DOOR_SCOPE=$B150)))*SIGN(((ACT_SKU_SCOPE="ALL")+(ACT_SKU_SCOPE=$G150)))*(ACT_START&lt;=3)*(ACT_END&gt;=3)*IFERROR(ACT_UPLIFT-1,0)))*(1+SUMPRODUCT(SIGN(((ACT_DOOR_SCOPE="ALL")+(ACT_DOOR_SCOPE="TIER_"&amp;$F150)+(ACT_DOOR_SCOPE=$B150)))*SIGN(((ACT_SKU_SCOPE="ALL")+(ACT_SKU_SCOPE=$G150)))*(3&gt;ACT_END)*(ACT_END&gt;0)*IFERROR(ACT_POSTLIFT,0))),0)))</f>
        <v/>
      </c>
      <c r="M150" s="10">
        <f>IF(OR($H150&lt;&gt;"Y",4&lt;$I150),0,IF(SUMPRODUCT(((BULK_ENABLED="Y")*((BULK_TIER="ALL")+(BULK_TIER=$F150))*((BULK_SKU="ALL")+(BULK_SKU=$G150))*(BULK_START&lt;=4)*(BULK_END&gt;=4)))&gt;0,IFERROR(SUMPRODUCT(((BULK_ENABLED="Y")*((BULK_TIER="ALL")+(BULK_TIER=$F150))*((BULK_SKU="ALL")+(BULK_SKU=$G150))*(BULK_START&lt;=4)*(BULK_END&gt;=4))*IFERROR(BULK_VALUE,0))/MAX(1,SUMPRODUCT(((BULK_ENABLED="Y")*((BULK_TIER="ALL")+(BULK_TIER=$F150))*((BULK_SKU="ALL")+(BULK_SKU=$G150))*(BULK_START&lt;=4)*(BULK_END&gt;=4)))),0),ROUND((INDEX(VELOCITY_TABLE,MATCH($F150,TIER_LIST,0),2))*(IF((4-$I150+1)&lt;=0,0,IF((4-$I150+1)=1,RAMP_W1,IF((4-$I150+1)=2,RAMP_W2,IF((4-$I150+1)=3,RAMP_W3,RAMP_W4PLUS)))))*(INDEX(ACTIVE_MULT_TABLE,2,1))*(1+SUMPRODUCT(SIGN(((ACT_DOOR_SCOPE="ALL")+(ACT_DOOR_SCOPE="TIER_"&amp;$F150)+(ACT_DOOR_SCOPE=$B150)))*SIGN(((ACT_SKU_SCOPE="ALL")+(ACT_SKU_SCOPE=$G150)))*(ACT_START&lt;=4)*(ACT_END&gt;=4)*IFERROR(ACT_UPLIFT-1,0)))*(1+SUMPRODUCT(SIGN(((ACT_DOOR_SCOPE="ALL")+(ACT_DOOR_SCOPE="TIER_"&amp;$F150)+(ACT_DOOR_SCOPE=$B150)))*SIGN(((ACT_SKU_SCOPE="ALL")+(ACT_SKU_SCOPE=$G150)))*(4&gt;ACT_END)*(ACT_END&gt;0)*IFERROR(ACT_POSTLIFT,0))),0)))</f>
        <v/>
      </c>
      <c r="N150" s="10">
        <f>IF(OR($H150&lt;&gt;"Y",5&lt;$I150),0,IF(SUMPRODUCT(((BULK_ENABLED="Y")*((BULK_TIER="ALL")+(BULK_TIER=$F150))*((BULK_SKU="ALL")+(BULK_SKU=$G150))*(BULK_START&lt;=5)*(BULK_END&gt;=5)))&gt;0,IFERROR(SUMPRODUCT(((BULK_ENABLED="Y")*((BULK_TIER="ALL")+(BULK_TIER=$F150))*((BULK_SKU="ALL")+(BULK_SKU=$G150))*(BULK_START&lt;=5)*(BULK_END&gt;=5))*IFERROR(BULK_VALUE,0))/MAX(1,SUMPRODUCT(((BULK_ENABLED="Y")*((BULK_TIER="ALL")+(BULK_TIER=$F150))*((BULK_SKU="ALL")+(BULK_SKU=$G150))*(BULK_START&lt;=5)*(BULK_END&gt;=5)))),0),ROUND((INDEX(VELOCITY_TABLE,MATCH($F150,TIER_LIST,0),2))*(IF((5-$I150+1)&lt;=0,0,IF((5-$I150+1)=1,RAMP_W1,IF((5-$I150+1)=2,RAMP_W2,IF((5-$I150+1)=3,RAMP_W3,RAMP_W4PLUS)))))*(INDEX(ACTIVE_MULT_TABLE,2,1))*(1+SUMPRODUCT(SIGN(((ACT_DOOR_SCOPE="ALL")+(ACT_DOOR_SCOPE="TIER_"&amp;$F150)+(ACT_DOOR_SCOPE=$B150)))*SIGN(((ACT_SKU_SCOPE="ALL")+(ACT_SKU_SCOPE=$G150)))*(ACT_START&lt;=5)*(ACT_END&gt;=5)*IFERROR(ACT_UPLIFT-1,0)))*(1+SUMPRODUCT(SIGN(((ACT_DOOR_SCOPE="ALL")+(ACT_DOOR_SCOPE="TIER_"&amp;$F150)+(ACT_DOOR_SCOPE=$B150)))*SIGN(((ACT_SKU_SCOPE="ALL")+(ACT_SKU_SCOPE=$G150)))*(5&gt;ACT_END)*(ACT_END&gt;0)*IFERROR(ACT_POSTLIFT,0))),0)))</f>
        <v/>
      </c>
      <c r="O150" s="10">
        <f>IF(OR($H150&lt;&gt;"Y",6&lt;$I150),0,IF(SUMPRODUCT(((BULK_ENABLED="Y")*((BULK_TIER="ALL")+(BULK_TIER=$F150))*((BULK_SKU="ALL")+(BULK_SKU=$G150))*(BULK_START&lt;=6)*(BULK_END&gt;=6)))&gt;0,IFERROR(SUMPRODUCT(((BULK_ENABLED="Y")*((BULK_TIER="ALL")+(BULK_TIER=$F150))*((BULK_SKU="ALL")+(BULK_SKU=$G150))*(BULK_START&lt;=6)*(BULK_END&gt;=6))*IFERROR(BULK_VALUE,0))/MAX(1,SUMPRODUCT(((BULK_ENABLED="Y")*((BULK_TIER="ALL")+(BULK_TIER=$F150))*((BULK_SKU="ALL")+(BULK_SKU=$G150))*(BULK_START&lt;=6)*(BULK_END&gt;=6)))),0),ROUND((INDEX(VELOCITY_TABLE,MATCH($F150,TIER_LIST,0),2))*(IF((6-$I150+1)&lt;=0,0,IF((6-$I150+1)=1,RAMP_W1,IF((6-$I150+1)=2,RAMP_W2,IF((6-$I150+1)=3,RAMP_W3,RAMP_W4PLUS)))))*(INDEX(ACTIVE_MULT_TABLE,2,1))*(1+SUMPRODUCT(SIGN(((ACT_DOOR_SCOPE="ALL")+(ACT_DOOR_SCOPE="TIER_"&amp;$F150)+(ACT_DOOR_SCOPE=$B150)))*SIGN(((ACT_SKU_SCOPE="ALL")+(ACT_SKU_SCOPE=$G150)))*(ACT_START&lt;=6)*(ACT_END&gt;=6)*IFERROR(ACT_UPLIFT-1,0)))*(1+SUMPRODUCT(SIGN(((ACT_DOOR_SCOPE="ALL")+(ACT_DOOR_SCOPE="TIER_"&amp;$F150)+(ACT_DOOR_SCOPE=$B150)))*SIGN(((ACT_SKU_SCOPE="ALL")+(ACT_SKU_SCOPE=$G150)))*(6&gt;ACT_END)*(ACT_END&gt;0)*IFERROR(ACT_POSTLIFT,0))),0)))</f>
        <v/>
      </c>
      <c r="P150" s="10">
        <f>IF(OR($H150&lt;&gt;"Y",7&lt;$I150),0,IF(SUMPRODUCT(((BULK_ENABLED="Y")*((BULK_TIER="ALL")+(BULK_TIER=$F150))*((BULK_SKU="ALL")+(BULK_SKU=$G150))*(BULK_START&lt;=7)*(BULK_END&gt;=7)))&gt;0,IFERROR(SUMPRODUCT(((BULK_ENABLED="Y")*((BULK_TIER="ALL")+(BULK_TIER=$F150))*((BULK_SKU="ALL")+(BULK_SKU=$G150))*(BULK_START&lt;=7)*(BULK_END&gt;=7))*IFERROR(BULK_VALUE,0))/MAX(1,SUMPRODUCT(((BULK_ENABLED="Y")*((BULK_TIER="ALL")+(BULK_TIER=$F150))*((BULK_SKU="ALL")+(BULK_SKU=$G150))*(BULK_START&lt;=7)*(BULK_END&gt;=7)))),0),ROUND((INDEX(VELOCITY_TABLE,MATCH($F150,TIER_LIST,0),2))*(IF((7-$I150+1)&lt;=0,0,IF((7-$I150+1)=1,RAMP_W1,IF((7-$I150+1)=2,RAMP_W2,IF((7-$I150+1)=3,RAMP_W3,RAMP_W4PLUS)))))*(INDEX(ACTIVE_MULT_TABLE,2,1))*(1+SUMPRODUCT(SIGN(((ACT_DOOR_SCOPE="ALL")+(ACT_DOOR_SCOPE="TIER_"&amp;$F150)+(ACT_DOOR_SCOPE=$B150)))*SIGN(((ACT_SKU_SCOPE="ALL")+(ACT_SKU_SCOPE=$G150)))*(ACT_START&lt;=7)*(ACT_END&gt;=7)*IFERROR(ACT_UPLIFT-1,0)))*(1+SUMPRODUCT(SIGN(((ACT_DOOR_SCOPE="ALL")+(ACT_DOOR_SCOPE="TIER_"&amp;$F150)+(ACT_DOOR_SCOPE=$B150)))*SIGN(((ACT_SKU_SCOPE="ALL")+(ACT_SKU_SCOPE=$G150)))*(7&gt;ACT_END)*(ACT_END&gt;0)*IFERROR(ACT_POSTLIFT,0))),0)))</f>
        <v/>
      </c>
      <c r="Q150" s="10">
        <f>IF(OR($H150&lt;&gt;"Y",8&lt;$I150),0,IF(SUMPRODUCT(((BULK_ENABLED="Y")*((BULK_TIER="ALL")+(BULK_TIER=$F150))*((BULK_SKU="ALL")+(BULK_SKU=$G150))*(BULK_START&lt;=8)*(BULK_END&gt;=8)))&gt;0,IFERROR(SUMPRODUCT(((BULK_ENABLED="Y")*((BULK_TIER="ALL")+(BULK_TIER=$F150))*((BULK_SKU="ALL")+(BULK_SKU=$G150))*(BULK_START&lt;=8)*(BULK_END&gt;=8))*IFERROR(BULK_VALUE,0))/MAX(1,SUMPRODUCT(((BULK_ENABLED="Y")*((BULK_TIER="ALL")+(BULK_TIER=$F150))*((BULK_SKU="ALL")+(BULK_SKU=$G150))*(BULK_START&lt;=8)*(BULK_END&gt;=8)))),0),ROUND((INDEX(VELOCITY_TABLE,MATCH($F150,TIER_LIST,0),2))*(IF((8-$I150+1)&lt;=0,0,IF((8-$I150+1)=1,RAMP_W1,IF((8-$I150+1)=2,RAMP_W2,IF((8-$I150+1)=3,RAMP_W3,RAMP_W4PLUS)))))*(INDEX(ACTIVE_MULT_TABLE,2,1))*(1+SUMPRODUCT(SIGN(((ACT_DOOR_SCOPE="ALL")+(ACT_DOOR_SCOPE="TIER_"&amp;$F150)+(ACT_DOOR_SCOPE=$B150)))*SIGN(((ACT_SKU_SCOPE="ALL")+(ACT_SKU_SCOPE=$G150)))*(ACT_START&lt;=8)*(ACT_END&gt;=8)*IFERROR(ACT_UPLIFT-1,0)))*(1+SUMPRODUCT(SIGN(((ACT_DOOR_SCOPE="ALL")+(ACT_DOOR_SCOPE="TIER_"&amp;$F150)+(ACT_DOOR_SCOPE=$B150)))*SIGN(((ACT_SKU_SCOPE="ALL")+(ACT_SKU_SCOPE=$G150)))*(8&gt;ACT_END)*(ACT_END&gt;0)*IFERROR(ACT_POSTLIFT,0))),0)))</f>
        <v/>
      </c>
      <c r="R150" s="10">
        <f>IF(OR($H150&lt;&gt;"Y",9&lt;$I150),0,IF(SUMPRODUCT(((BULK_ENABLED="Y")*((BULK_TIER="ALL")+(BULK_TIER=$F150))*((BULK_SKU="ALL")+(BULK_SKU=$G150))*(BULK_START&lt;=9)*(BULK_END&gt;=9)))&gt;0,IFERROR(SUMPRODUCT(((BULK_ENABLED="Y")*((BULK_TIER="ALL")+(BULK_TIER=$F150))*((BULK_SKU="ALL")+(BULK_SKU=$G150))*(BULK_START&lt;=9)*(BULK_END&gt;=9))*IFERROR(BULK_VALUE,0))/MAX(1,SUMPRODUCT(((BULK_ENABLED="Y")*((BULK_TIER="ALL")+(BULK_TIER=$F150))*((BULK_SKU="ALL")+(BULK_SKU=$G150))*(BULK_START&lt;=9)*(BULK_END&gt;=9)))),0),ROUND((INDEX(VELOCITY_TABLE,MATCH($F150,TIER_LIST,0),2))*(IF((9-$I150+1)&lt;=0,0,IF((9-$I150+1)=1,RAMP_W1,IF((9-$I150+1)=2,RAMP_W2,IF((9-$I150+1)=3,RAMP_W3,RAMP_W4PLUS)))))*(INDEX(ACTIVE_MULT_TABLE,2,1))*(1+SUMPRODUCT(SIGN(((ACT_DOOR_SCOPE="ALL")+(ACT_DOOR_SCOPE="TIER_"&amp;$F150)+(ACT_DOOR_SCOPE=$B150)))*SIGN(((ACT_SKU_SCOPE="ALL")+(ACT_SKU_SCOPE=$G150)))*(ACT_START&lt;=9)*(ACT_END&gt;=9)*IFERROR(ACT_UPLIFT-1,0)))*(1+SUMPRODUCT(SIGN(((ACT_DOOR_SCOPE="ALL")+(ACT_DOOR_SCOPE="TIER_"&amp;$F150)+(ACT_DOOR_SCOPE=$B150)))*SIGN(((ACT_SKU_SCOPE="ALL")+(ACT_SKU_SCOPE=$G150)))*(9&gt;ACT_END)*(ACT_END&gt;0)*IFERROR(ACT_POSTLIFT,0))),0)))</f>
        <v/>
      </c>
      <c r="S150" s="10">
        <f>IF(OR($H150&lt;&gt;"Y",10&lt;$I150),0,IF(SUMPRODUCT(((BULK_ENABLED="Y")*((BULK_TIER="ALL")+(BULK_TIER=$F150))*((BULK_SKU="ALL")+(BULK_SKU=$G150))*(BULK_START&lt;=10)*(BULK_END&gt;=10)))&gt;0,IFERROR(SUMPRODUCT(((BULK_ENABLED="Y")*((BULK_TIER="ALL")+(BULK_TIER=$F150))*((BULK_SKU="ALL")+(BULK_SKU=$G150))*(BULK_START&lt;=10)*(BULK_END&gt;=10))*IFERROR(BULK_VALUE,0))/MAX(1,SUMPRODUCT(((BULK_ENABLED="Y")*((BULK_TIER="ALL")+(BULK_TIER=$F150))*((BULK_SKU="ALL")+(BULK_SKU=$G150))*(BULK_START&lt;=10)*(BULK_END&gt;=10)))),0),ROUND((INDEX(VELOCITY_TABLE,MATCH($F150,TIER_LIST,0),2))*(IF((10-$I150+1)&lt;=0,0,IF((10-$I150+1)=1,RAMP_W1,IF((10-$I150+1)=2,RAMP_W2,IF((10-$I150+1)=3,RAMP_W3,RAMP_W4PLUS)))))*(INDEX(ACTIVE_MULT_TABLE,2,1))*(1+SUMPRODUCT(SIGN(((ACT_DOOR_SCOPE="ALL")+(ACT_DOOR_SCOPE="TIER_"&amp;$F150)+(ACT_DOOR_SCOPE=$B150)))*SIGN(((ACT_SKU_SCOPE="ALL")+(ACT_SKU_SCOPE=$G150)))*(ACT_START&lt;=10)*(ACT_END&gt;=10)*IFERROR(ACT_UPLIFT-1,0)))*(1+SUMPRODUCT(SIGN(((ACT_DOOR_SCOPE="ALL")+(ACT_DOOR_SCOPE="TIER_"&amp;$F150)+(ACT_DOOR_SCOPE=$B150)))*SIGN(((ACT_SKU_SCOPE="ALL")+(ACT_SKU_SCOPE=$G150)))*(10&gt;ACT_END)*(ACT_END&gt;0)*IFERROR(ACT_POSTLIFT,0))),0)))</f>
        <v/>
      </c>
      <c r="T150" s="10">
        <f>IF(OR($H150&lt;&gt;"Y",11&lt;$I150),0,IF(SUMPRODUCT(((BULK_ENABLED="Y")*((BULK_TIER="ALL")+(BULK_TIER=$F150))*((BULK_SKU="ALL")+(BULK_SKU=$G150))*(BULK_START&lt;=11)*(BULK_END&gt;=11)))&gt;0,IFERROR(SUMPRODUCT(((BULK_ENABLED="Y")*((BULK_TIER="ALL")+(BULK_TIER=$F150))*((BULK_SKU="ALL")+(BULK_SKU=$G150))*(BULK_START&lt;=11)*(BULK_END&gt;=11))*IFERROR(BULK_VALUE,0))/MAX(1,SUMPRODUCT(((BULK_ENABLED="Y")*((BULK_TIER="ALL")+(BULK_TIER=$F150))*((BULK_SKU="ALL")+(BULK_SKU=$G150))*(BULK_START&lt;=11)*(BULK_END&gt;=11)))),0),ROUND((INDEX(VELOCITY_TABLE,MATCH($F150,TIER_LIST,0),2))*(IF((11-$I150+1)&lt;=0,0,IF((11-$I150+1)=1,RAMP_W1,IF((11-$I150+1)=2,RAMP_W2,IF((11-$I150+1)=3,RAMP_W3,RAMP_W4PLUS)))))*(INDEX(ACTIVE_MULT_TABLE,2,1))*(1+SUMPRODUCT(SIGN(((ACT_DOOR_SCOPE="ALL")+(ACT_DOOR_SCOPE="TIER_"&amp;$F150)+(ACT_DOOR_SCOPE=$B150)))*SIGN(((ACT_SKU_SCOPE="ALL")+(ACT_SKU_SCOPE=$G150)))*(ACT_START&lt;=11)*(ACT_END&gt;=11)*IFERROR(ACT_UPLIFT-1,0)))*(1+SUMPRODUCT(SIGN(((ACT_DOOR_SCOPE="ALL")+(ACT_DOOR_SCOPE="TIER_"&amp;$F150)+(ACT_DOOR_SCOPE=$B150)))*SIGN(((ACT_SKU_SCOPE="ALL")+(ACT_SKU_SCOPE=$G150)))*(11&gt;ACT_END)*(ACT_END&gt;0)*IFERROR(ACT_POSTLIFT,0))),0)))</f>
        <v/>
      </c>
      <c r="U150" s="10">
        <f>IF(OR($H150&lt;&gt;"Y",12&lt;$I150),0,IF(SUMPRODUCT(((BULK_ENABLED="Y")*((BULK_TIER="ALL")+(BULK_TIER=$F150))*((BULK_SKU="ALL")+(BULK_SKU=$G150))*(BULK_START&lt;=12)*(BULK_END&gt;=12)))&gt;0,IFERROR(SUMPRODUCT(((BULK_ENABLED="Y")*((BULK_TIER="ALL")+(BULK_TIER=$F150))*((BULK_SKU="ALL")+(BULK_SKU=$G150))*(BULK_START&lt;=12)*(BULK_END&gt;=12))*IFERROR(BULK_VALUE,0))/MAX(1,SUMPRODUCT(((BULK_ENABLED="Y")*((BULK_TIER="ALL")+(BULK_TIER=$F150))*((BULK_SKU="ALL")+(BULK_SKU=$G150))*(BULK_START&lt;=12)*(BULK_END&gt;=12)))),0),ROUND((INDEX(VELOCITY_TABLE,MATCH($F150,TIER_LIST,0),2))*(IF((12-$I150+1)&lt;=0,0,IF((12-$I150+1)=1,RAMP_W1,IF((12-$I150+1)=2,RAMP_W2,IF((12-$I150+1)=3,RAMP_W3,RAMP_W4PLUS)))))*(INDEX(ACTIVE_MULT_TABLE,2,1))*(1+SUMPRODUCT(SIGN(((ACT_DOOR_SCOPE="ALL")+(ACT_DOOR_SCOPE="TIER_"&amp;$F150)+(ACT_DOOR_SCOPE=$B150)))*SIGN(((ACT_SKU_SCOPE="ALL")+(ACT_SKU_SCOPE=$G150)))*(ACT_START&lt;=12)*(ACT_END&gt;=12)*IFERROR(ACT_UPLIFT-1,0)))*(1+SUMPRODUCT(SIGN(((ACT_DOOR_SCOPE="ALL")+(ACT_DOOR_SCOPE="TIER_"&amp;$F150)+(ACT_DOOR_SCOPE=$B150)))*SIGN(((ACT_SKU_SCOPE="ALL")+(ACT_SKU_SCOPE=$G150)))*(12&gt;ACT_END)*(ACT_END&gt;0)*IFERROR(ACT_POSTLIFT,0))),0)))</f>
        <v/>
      </c>
      <c r="V150" s="10">
        <f>IF(OR($H150&lt;&gt;"Y",13&lt;$I150),0,IF(SUMPRODUCT(((BULK_ENABLED="Y")*((BULK_TIER="ALL")+(BULK_TIER=$F150))*((BULK_SKU="ALL")+(BULK_SKU=$G150))*(BULK_START&lt;=13)*(BULK_END&gt;=13)))&gt;0,IFERROR(SUMPRODUCT(((BULK_ENABLED="Y")*((BULK_TIER="ALL")+(BULK_TIER=$F150))*((BULK_SKU="ALL")+(BULK_SKU=$G150))*(BULK_START&lt;=13)*(BULK_END&gt;=13))*IFERROR(BULK_VALUE,0))/MAX(1,SUMPRODUCT(((BULK_ENABLED="Y")*((BULK_TIER="ALL")+(BULK_TIER=$F150))*((BULK_SKU="ALL")+(BULK_SKU=$G150))*(BULK_START&lt;=13)*(BULK_END&gt;=13)))),0),ROUND((INDEX(VELOCITY_TABLE,MATCH($F150,TIER_LIST,0),2))*(IF((13-$I150+1)&lt;=0,0,IF((13-$I150+1)=1,RAMP_W1,IF((13-$I150+1)=2,RAMP_W2,IF((13-$I150+1)=3,RAMP_W3,RAMP_W4PLUS)))))*(INDEX(ACTIVE_MULT_TABLE,2,1))*(1+SUMPRODUCT(SIGN(((ACT_DOOR_SCOPE="ALL")+(ACT_DOOR_SCOPE="TIER_"&amp;$F150)+(ACT_DOOR_SCOPE=$B150)))*SIGN(((ACT_SKU_SCOPE="ALL")+(ACT_SKU_SCOPE=$G150)))*(ACT_START&lt;=13)*(ACT_END&gt;=13)*IFERROR(ACT_UPLIFT-1,0)))*(1+SUMPRODUCT(SIGN(((ACT_DOOR_SCOPE="ALL")+(ACT_DOOR_SCOPE="TIER_"&amp;$F150)+(ACT_DOOR_SCOPE=$B150)))*SIGN(((ACT_SKU_SCOPE="ALL")+(ACT_SKU_SCOPE=$G150)))*(13&gt;ACT_END)*(ACT_END&gt;0)*IFERROR(ACT_POSTLIFT,0))),0)))</f>
        <v/>
      </c>
    </row>
    <row r="151">
      <c r="A151" t="inlineStr">
        <is>
          <t>R0147</t>
        </is>
      </c>
      <c r="B151">
        <f>Doors!$A$53</f>
        <v/>
      </c>
      <c r="C151">
        <f>Doors!$C$53</f>
        <v/>
      </c>
      <c r="D151">
        <f>Doors!$B$53</f>
        <v/>
      </c>
      <c r="E151">
        <f>Doors!$E$53</f>
        <v/>
      </c>
      <c r="F151">
        <f>Doors!$F$53</f>
        <v/>
      </c>
      <c r="G151" t="inlineStr">
        <is>
          <t>Raspberry</t>
        </is>
      </c>
      <c r="H151">
        <f>Doors!$I$53</f>
        <v/>
      </c>
      <c r="I151">
        <f>Doors!$J$53</f>
        <v/>
      </c>
      <c r="J151" s="10">
        <f>IF(OR($H151&lt;&gt;"Y",1&lt;$I151),0,IF(SUMPRODUCT(((BULK_ENABLED="Y")*((BULK_TIER="ALL")+(BULK_TIER=$F151))*((BULK_SKU="ALL")+(BULK_SKU=$G151))*(BULK_START&lt;=1)*(BULK_END&gt;=1)))&gt;0,IFERROR(SUMPRODUCT(((BULK_ENABLED="Y")*((BULK_TIER="ALL")+(BULK_TIER=$F151))*((BULK_SKU="ALL")+(BULK_SKU=$G151))*(BULK_START&lt;=1)*(BULK_END&gt;=1))*IFERROR(BULK_VALUE,0))/MAX(1,SUMPRODUCT(((BULK_ENABLED="Y")*((BULK_TIER="ALL")+(BULK_TIER=$F151))*((BULK_SKU="ALL")+(BULK_SKU=$G151))*(BULK_START&lt;=1)*(BULK_END&gt;=1)))),0),ROUND((INDEX(VELOCITY_TABLE,MATCH($F151,TIER_LIST,0),3))*(IF((1-$I151+1)&lt;=0,0,IF((1-$I151+1)=1,RAMP_W1,IF((1-$I151+1)=2,RAMP_W2,IF((1-$I151+1)=3,RAMP_W3,RAMP_W4PLUS)))))*(INDEX(ACTIVE_MULT_TABLE,3,1))*(1+SUMPRODUCT(SIGN(((ACT_DOOR_SCOPE="ALL")+(ACT_DOOR_SCOPE="TIER_"&amp;$F151)+(ACT_DOOR_SCOPE=$B151)))*SIGN(((ACT_SKU_SCOPE="ALL")+(ACT_SKU_SCOPE=$G151)))*(ACT_START&lt;=1)*(ACT_END&gt;=1)*IFERROR(ACT_UPLIFT-1,0)))*(1+SUMPRODUCT(SIGN(((ACT_DOOR_SCOPE="ALL")+(ACT_DOOR_SCOPE="TIER_"&amp;$F151)+(ACT_DOOR_SCOPE=$B151)))*SIGN(((ACT_SKU_SCOPE="ALL")+(ACT_SKU_SCOPE=$G151)))*(1&gt;ACT_END)*(ACT_END&gt;0)*IFERROR(ACT_POSTLIFT,0))),0)))</f>
        <v/>
      </c>
      <c r="K151" s="10">
        <f>IF(OR($H151&lt;&gt;"Y",2&lt;$I151),0,IF(SUMPRODUCT(((BULK_ENABLED="Y")*((BULK_TIER="ALL")+(BULK_TIER=$F151))*((BULK_SKU="ALL")+(BULK_SKU=$G151))*(BULK_START&lt;=2)*(BULK_END&gt;=2)))&gt;0,IFERROR(SUMPRODUCT(((BULK_ENABLED="Y")*((BULK_TIER="ALL")+(BULK_TIER=$F151))*((BULK_SKU="ALL")+(BULK_SKU=$G151))*(BULK_START&lt;=2)*(BULK_END&gt;=2))*IFERROR(BULK_VALUE,0))/MAX(1,SUMPRODUCT(((BULK_ENABLED="Y")*((BULK_TIER="ALL")+(BULK_TIER=$F151))*((BULK_SKU="ALL")+(BULK_SKU=$G151))*(BULK_START&lt;=2)*(BULK_END&gt;=2)))),0),ROUND((INDEX(VELOCITY_TABLE,MATCH($F151,TIER_LIST,0),3))*(IF((2-$I151+1)&lt;=0,0,IF((2-$I151+1)=1,RAMP_W1,IF((2-$I151+1)=2,RAMP_W2,IF((2-$I151+1)=3,RAMP_W3,RAMP_W4PLUS)))))*(INDEX(ACTIVE_MULT_TABLE,3,1))*(1+SUMPRODUCT(SIGN(((ACT_DOOR_SCOPE="ALL")+(ACT_DOOR_SCOPE="TIER_"&amp;$F151)+(ACT_DOOR_SCOPE=$B151)))*SIGN(((ACT_SKU_SCOPE="ALL")+(ACT_SKU_SCOPE=$G151)))*(ACT_START&lt;=2)*(ACT_END&gt;=2)*IFERROR(ACT_UPLIFT-1,0)))*(1+SUMPRODUCT(SIGN(((ACT_DOOR_SCOPE="ALL")+(ACT_DOOR_SCOPE="TIER_"&amp;$F151)+(ACT_DOOR_SCOPE=$B151)))*SIGN(((ACT_SKU_SCOPE="ALL")+(ACT_SKU_SCOPE=$G151)))*(2&gt;ACT_END)*(ACT_END&gt;0)*IFERROR(ACT_POSTLIFT,0))),0)))</f>
        <v/>
      </c>
      <c r="L151" s="10">
        <f>IF(OR($H151&lt;&gt;"Y",3&lt;$I151),0,IF(SUMPRODUCT(((BULK_ENABLED="Y")*((BULK_TIER="ALL")+(BULK_TIER=$F151))*((BULK_SKU="ALL")+(BULK_SKU=$G151))*(BULK_START&lt;=3)*(BULK_END&gt;=3)))&gt;0,IFERROR(SUMPRODUCT(((BULK_ENABLED="Y")*((BULK_TIER="ALL")+(BULK_TIER=$F151))*((BULK_SKU="ALL")+(BULK_SKU=$G151))*(BULK_START&lt;=3)*(BULK_END&gt;=3))*IFERROR(BULK_VALUE,0))/MAX(1,SUMPRODUCT(((BULK_ENABLED="Y")*((BULK_TIER="ALL")+(BULK_TIER=$F151))*((BULK_SKU="ALL")+(BULK_SKU=$G151))*(BULK_START&lt;=3)*(BULK_END&gt;=3)))),0),ROUND((INDEX(VELOCITY_TABLE,MATCH($F151,TIER_LIST,0),3))*(IF((3-$I151+1)&lt;=0,0,IF((3-$I151+1)=1,RAMP_W1,IF((3-$I151+1)=2,RAMP_W2,IF((3-$I151+1)=3,RAMP_W3,RAMP_W4PLUS)))))*(INDEX(ACTIVE_MULT_TABLE,3,1))*(1+SUMPRODUCT(SIGN(((ACT_DOOR_SCOPE="ALL")+(ACT_DOOR_SCOPE="TIER_"&amp;$F151)+(ACT_DOOR_SCOPE=$B151)))*SIGN(((ACT_SKU_SCOPE="ALL")+(ACT_SKU_SCOPE=$G151)))*(ACT_START&lt;=3)*(ACT_END&gt;=3)*IFERROR(ACT_UPLIFT-1,0)))*(1+SUMPRODUCT(SIGN(((ACT_DOOR_SCOPE="ALL")+(ACT_DOOR_SCOPE="TIER_"&amp;$F151)+(ACT_DOOR_SCOPE=$B151)))*SIGN(((ACT_SKU_SCOPE="ALL")+(ACT_SKU_SCOPE=$G151)))*(3&gt;ACT_END)*(ACT_END&gt;0)*IFERROR(ACT_POSTLIFT,0))),0)))</f>
        <v/>
      </c>
      <c r="M151" s="10">
        <f>IF(OR($H151&lt;&gt;"Y",4&lt;$I151),0,IF(SUMPRODUCT(((BULK_ENABLED="Y")*((BULK_TIER="ALL")+(BULK_TIER=$F151))*((BULK_SKU="ALL")+(BULK_SKU=$G151))*(BULK_START&lt;=4)*(BULK_END&gt;=4)))&gt;0,IFERROR(SUMPRODUCT(((BULK_ENABLED="Y")*((BULK_TIER="ALL")+(BULK_TIER=$F151))*((BULK_SKU="ALL")+(BULK_SKU=$G151))*(BULK_START&lt;=4)*(BULK_END&gt;=4))*IFERROR(BULK_VALUE,0))/MAX(1,SUMPRODUCT(((BULK_ENABLED="Y")*((BULK_TIER="ALL")+(BULK_TIER=$F151))*((BULK_SKU="ALL")+(BULK_SKU=$G151))*(BULK_START&lt;=4)*(BULK_END&gt;=4)))),0),ROUND((INDEX(VELOCITY_TABLE,MATCH($F151,TIER_LIST,0),3))*(IF((4-$I151+1)&lt;=0,0,IF((4-$I151+1)=1,RAMP_W1,IF((4-$I151+1)=2,RAMP_W2,IF((4-$I151+1)=3,RAMP_W3,RAMP_W4PLUS)))))*(INDEX(ACTIVE_MULT_TABLE,3,1))*(1+SUMPRODUCT(SIGN(((ACT_DOOR_SCOPE="ALL")+(ACT_DOOR_SCOPE="TIER_"&amp;$F151)+(ACT_DOOR_SCOPE=$B151)))*SIGN(((ACT_SKU_SCOPE="ALL")+(ACT_SKU_SCOPE=$G151)))*(ACT_START&lt;=4)*(ACT_END&gt;=4)*IFERROR(ACT_UPLIFT-1,0)))*(1+SUMPRODUCT(SIGN(((ACT_DOOR_SCOPE="ALL")+(ACT_DOOR_SCOPE="TIER_"&amp;$F151)+(ACT_DOOR_SCOPE=$B151)))*SIGN(((ACT_SKU_SCOPE="ALL")+(ACT_SKU_SCOPE=$G151)))*(4&gt;ACT_END)*(ACT_END&gt;0)*IFERROR(ACT_POSTLIFT,0))),0)))</f>
        <v/>
      </c>
      <c r="N151" s="10">
        <f>IF(OR($H151&lt;&gt;"Y",5&lt;$I151),0,IF(SUMPRODUCT(((BULK_ENABLED="Y")*((BULK_TIER="ALL")+(BULK_TIER=$F151))*((BULK_SKU="ALL")+(BULK_SKU=$G151))*(BULK_START&lt;=5)*(BULK_END&gt;=5)))&gt;0,IFERROR(SUMPRODUCT(((BULK_ENABLED="Y")*((BULK_TIER="ALL")+(BULK_TIER=$F151))*((BULK_SKU="ALL")+(BULK_SKU=$G151))*(BULK_START&lt;=5)*(BULK_END&gt;=5))*IFERROR(BULK_VALUE,0))/MAX(1,SUMPRODUCT(((BULK_ENABLED="Y")*((BULK_TIER="ALL")+(BULK_TIER=$F151))*((BULK_SKU="ALL")+(BULK_SKU=$G151))*(BULK_START&lt;=5)*(BULK_END&gt;=5)))),0),ROUND((INDEX(VELOCITY_TABLE,MATCH($F151,TIER_LIST,0),3))*(IF((5-$I151+1)&lt;=0,0,IF((5-$I151+1)=1,RAMP_W1,IF((5-$I151+1)=2,RAMP_W2,IF((5-$I151+1)=3,RAMP_W3,RAMP_W4PLUS)))))*(INDEX(ACTIVE_MULT_TABLE,3,1))*(1+SUMPRODUCT(SIGN(((ACT_DOOR_SCOPE="ALL")+(ACT_DOOR_SCOPE="TIER_"&amp;$F151)+(ACT_DOOR_SCOPE=$B151)))*SIGN(((ACT_SKU_SCOPE="ALL")+(ACT_SKU_SCOPE=$G151)))*(ACT_START&lt;=5)*(ACT_END&gt;=5)*IFERROR(ACT_UPLIFT-1,0)))*(1+SUMPRODUCT(SIGN(((ACT_DOOR_SCOPE="ALL")+(ACT_DOOR_SCOPE="TIER_"&amp;$F151)+(ACT_DOOR_SCOPE=$B151)))*SIGN(((ACT_SKU_SCOPE="ALL")+(ACT_SKU_SCOPE=$G151)))*(5&gt;ACT_END)*(ACT_END&gt;0)*IFERROR(ACT_POSTLIFT,0))),0)))</f>
        <v/>
      </c>
      <c r="O151" s="10">
        <f>IF(OR($H151&lt;&gt;"Y",6&lt;$I151),0,IF(SUMPRODUCT(((BULK_ENABLED="Y")*((BULK_TIER="ALL")+(BULK_TIER=$F151))*((BULK_SKU="ALL")+(BULK_SKU=$G151))*(BULK_START&lt;=6)*(BULK_END&gt;=6)))&gt;0,IFERROR(SUMPRODUCT(((BULK_ENABLED="Y")*((BULK_TIER="ALL")+(BULK_TIER=$F151))*((BULK_SKU="ALL")+(BULK_SKU=$G151))*(BULK_START&lt;=6)*(BULK_END&gt;=6))*IFERROR(BULK_VALUE,0))/MAX(1,SUMPRODUCT(((BULK_ENABLED="Y")*((BULK_TIER="ALL")+(BULK_TIER=$F151))*((BULK_SKU="ALL")+(BULK_SKU=$G151))*(BULK_START&lt;=6)*(BULK_END&gt;=6)))),0),ROUND((INDEX(VELOCITY_TABLE,MATCH($F151,TIER_LIST,0),3))*(IF((6-$I151+1)&lt;=0,0,IF((6-$I151+1)=1,RAMP_W1,IF((6-$I151+1)=2,RAMP_W2,IF((6-$I151+1)=3,RAMP_W3,RAMP_W4PLUS)))))*(INDEX(ACTIVE_MULT_TABLE,3,1))*(1+SUMPRODUCT(SIGN(((ACT_DOOR_SCOPE="ALL")+(ACT_DOOR_SCOPE="TIER_"&amp;$F151)+(ACT_DOOR_SCOPE=$B151)))*SIGN(((ACT_SKU_SCOPE="ALL")+(ACT_SKU_SCOPE=$G151)))*(ACT_START&lt;=6)*(ACT_END&gt;=6)*IFERROR(ACT_UPLIFT-1,0)))*(1+SUMPRODUCT(SIGN(((ACT_DOOR_SCOPE="ALL")+(ACT_DOOR_SCOPE="TIER_"&amp;$F151)+(ACT_DOOR_SCOPE=$B151)))*SIGN(((ACT_SKU_SCOPE="ALL")+(ACT_SKU_SCOPE=$G151)))*(6&gt;ACT_END)*(ACT_END&gt;0)*IFERROR(ACT_POSTLIFT,0))),0)))</f>
        <v/>
      </c>
      <c r="P151" s="10">
        <f>IF(OR($H151&lt;&gt;"Y",7&lt;$I151),0,IF(SUMPRODUCT(((BULK_ENABLED="Y")*((BULK_TIER="ALL")+(BULK_TIER=$F151))*((BULK_SKU="ALL")+(BULK_SKU=$G151))*(BULK_START&lt;=7)*(BULK_END&gt;=7)))&gt;0,IFERROR(SUMPRODUCT(((BULK_ENABLED="Y")*((BULK_TIER="ALL")+(BULK_TIER=$F151))*((BULK_SKU="ALL")+(BULK_SKU=$G151))*(BULK_START&lt;=7)*(BULK_END&gt;=7))*IFERROR(BULK_VALUE,0))/MAX(1,SUMPRODUCT(((BULK_ENABLED="Y")*((BULK_TIER="ALL")+(BULK_TIER=$F151))*((BULK_SKU="ALL")+(BULK_SKU=$G151))*(BULK_START&lt;=7)*(BULK_END&gt;=7)))),0),ROUND((INDEX(VELOCITY_TABLE,MATCH($F151,TIER_LIST,0),3))*(IF((7-$I151+1)&lt;=0,0,IF((7-$I151+1)=1,RAMP_W1,IF((7-$I151+1)=2,RAMP_W2,IF((7-$I151+1)=3,RAMP_W3,RAMP_W4PLUS)))))*(INDEX(ACTIVE_MULT_TABLE,3,1))*(1+SUMPRODUCT(SIGN(((ACT_DOOR_SCOPE="ALL")+(ACT_DOOR_SCOPE="TIER_"&amp;$F151)+(ACT_DOOR_SCOPE=$B151)))*SIGN(((ACT_SKU_SCOPE="ALL")+(ACT_SKU_SCOPE=$G151)))*(ACT_START&lt;=7)*(ACT_END&gt;=7)*IFERROR(ACT_UPLIFT-1,0)))*(1+SUMPRODUCT(SIGN(((ACT_DOOR_SCOPE="ALL")+(ACT_DOOR_SCOPE="TIER_"&amp;$F151)+(ACT_DOOR_SCOPE=$B151)))*SIGN(((ACT_SKU_SCOPE="ALL")+(ACT_SKU_SCOPE=$G151)))*(7&gt;ACT_END)*(ACT_END&gt;0)*IFERROR(ACT_POSTLIFT,0))),0)))</f>
        <v/>
      </c>
      <c r="Q151" s="10">
        <f>IF(OR($H151&lt;&gt;"Y",8&lt;$I151),0,IF(SUMPRODUCT(((BULK_ENABLED="Y")*((BULK_TIER="ALL")+(BULK_TIER=$F151))*((BULK_SKU="ALL")+(BULK_SKU=$G151))*(BULK_START&lt;=8)*(BULK_END&gt;=8)))&gt;0,IFERROR(SUMPRODUCT(((BULK_ENABLED="Y")*((BULK_TIER="ALL")+(BULK_TIER=$F151))*((BULK_SKU="ALL")+(BULK_SKU=$G151))*(BULK_START&lt;=8)*(BULK_END&gt;=8))*IFERROR(BULK_VALUE,0))/MAX(1,SUMPRODUCT(((BULK_ENABLED="Y")*((BULK_TIER="ALL")+(BULK_TIER=$F151))*((BULK_SKU="ALL")+(BULK_SKU=$G151))*(BULK_START&lt;=8)*(BULK_END&gt;=8)))),0),ROUND((INDEX(VELOCITY_TABLE,MATCH($F151,TIER_LIST,0),3))*(IF((8-$I151+1)&lt;=0,0,IF((8-$I151+1)=1,RAMP_W1,IF((8-$I151+1)=2,RAMP_W2,IF((8-$I151+1)=3,RAMP_W3,RAMP_W4PLUS)))))*(INDEX(ACTIVE_MULT_TABLE,3,1))*(1+SUMPRODUCT(SIGN(((ACT_DOOR_SCOPE="ALL")+(ACT_DOOR_SCOPE="TIER_"&amp;$F151)+(ACT_DOOR_SCOPE=$B151)))*SIGN(((ACT_SKU_SCOPE="ALL")+(ACT_SKU_SCOPE=$G151)))*(ACT_START&lt;=8)*(ACT_END&gt;=8)*IFERROR(ACT_UPLIFT-1,0)))*(1+SUMPRODUCT(SIGN(((ACT_DOOR_SCOPE="ALL")+(ACT_DOOR_SCOPE="TIER_"&amp;$F151)+(ACT_DOOR_SCOPE=$B151)))*SIGN(((ACT_SKU_SCOPE="ALL")+(ACT_SKU_SCOPE=$G151)))*(8&gt;ACT_END)*(ACT_END&gt;0)*IFERROR(ACT_POSTLIFT,0))),0)))</f>
        <v/>
      </c>
      <c r="R151" s="10">
        <f>IF(OR($H151&lt;&gt;"Y",9&lt;$I151),0,IF(SUMPRODUCT(((BULK_ENABLED="Y")*((BULK_TIER="ALL")+(BULK_TIER=$F151))*((BULK_SKU="ALL")+(BULK_SKU=$G151))*(BULK_START&lt;=9)*(BULK_END&gt;=9)))&gt;0,IFERROR(SUMPRODUCT(((BULK_ENABLED="Y")*((BULK_TIER="ALL")+(BULK_TIER=$F151))*((BULK_SKU="ALL")+(BULK_SKU=$G151))*(BULK_START&lt;=9)*(BULK_END&gt;=9))*IFERROR(BULK_VALUE,0))/MAX(1,SUMPRODUCT(((BULK_ENABLED="Y")*((BULK_TIER="ALL")+(BULK_TIER=$F151))*((BULK_SKU="ALL")+(BULK_SKU=$G151))*(BULK_START&lt;=9)*(BULK_END&gt;=9)))),0),ROUND((INDEX(VELOCITY_TABLE,MATCH($F151,TIER_LIST,0),3))*(IF((9-$I151+1)&lt;=0,0,IF((9-$I151+1)=1,RAMP_W1,IF((9-$I151+1)=2,RAMP_W2,IF((9-$I151+1)=3,RAMP_W3,RAMP_W4PLUS)))))*(INDEX(ACTIVE_MULT_TABLE,3,1))*(1+SUMPRODUCT(SIGN(((ACT_DOOR_SCOPE="ALL")+(ACT_DOOR_SCOPE="TIER_"&amp;$F151)+(ACT_DOOR_SCOPE=$B151)))*SIGN(((ACT_SKU_SCOPE="ALL")+(ACT_SKU_SCOPE=$G151)))*(ACT_START&lt;=9)*(ACT_END&gt;=9)*IFERROR(ACT_UPLIFT-1,0)))*(1+SUMPRODUCT(SIGN(((ACT_DOOR_SCOPE="ALL")+(ACT_DOOR_SCOPE="TIER_"&amp;$F151)+(ACT_DOOR_SCOPE=$B151)))*SIGN(((ACT_SKU_SCOPE="ALL")+(ACT_SKU_SCOPE=$G151)))*(9&gt;ACT_END)*(ACT_END&gt;0)*IFERROR(ACT_POSTLIFT,0))),0)))</f>
        <v/>
      </c>
      <c r="S151" s="10">
        <f>IF(OR($H151&lt;&gt;"Y",10&lt;$I151),0,IF(SUMPRODUCT(((BULK_ENABLED="Y")*((BULK_TIER="ALL")+(BULK_TIER=$F151))*((BULK_SKU="ALL")+(BULK_SKU=$G151))*(BULK_START&lt;=10)*(BULK_END&gt;=10)))&gt;0,IFERROR(SUMPRODUCT(((BULK_ENABLED="Y")*((BULK_TIER="ALL")+(BULK_TIER=$F151))*((BULK_SKU="ALL")+(BULK_SKU=$G151))*(BULK_START&lt;=10)*(BULK_END&gt;=10))*IFERROR(BULK_VALUE,0))/MAX(1,SUMPRODUCT(((BULK_ENABLED="Y")*((BULK_TIER="ALL")+(BULK_TIER=$F151))*((BULK_SKU="ALL")+(BULK_SKU=$G151))*(BULK_START&lt;=10)*(BULK_END&gt;=10)))),0),ROUND((INDEX(VELOCITY_TABLE,MATCH($F151,TIER_LIST,0),3))*(IF((10-$I151+1)&lt;=0,0,IF((10-$I151+1)=1,RAMP_W1,IF((10-$I151+1)=2,RAMP_W2,IF((10-$I151+1)=3,RAMP_W3,RAMP_W4PLUS)))))*(INDEX(ACTIVE_MULT_TABLE,3,1))*(1+SUMPRODUCT(SIGN(((ACT_DOOR_SCOPE="ALL")+(ACT_DOOR_SCOPE="TIER_"&amp;$F151)+(ACT_DOOR_SCOPE=$B151)))*SIGN(((ACT_SKU_SCOPE="ALL")+(ACT_SKU_SCOPE=$G151)))*(ACT_START&lt;=10)*(ACT_END&gt;=10)*IFERROR(ACT_UPLIFT-1,0)))*(1+SUMPRODUCT(SIGN(((ACT_DOOR_SCOPE="ALL")+(ACT_DOOR_SCOPE="TIER_"&amp;$F151)+(ACT_DOOR_SCOPE=$B151)))*SIGN(((ACT_SKU_SCOPE="ALL")+(ACT_SKU_SCOPE=$G151)))*(10&gt;ACT_END)*(ACT_END&gt;0)*IFERROR(ACT_POSTLIFT,0))),0)))</f>
        <v/>
      </c>
      <c r="T151" s="10">
        <f>IF(OR($H151&lt;&gt;"Y",11&lt;$I151),0,IF(SUMPRODUCT(((BULK_ENABLED="Y")*((BULK_TIER="ALL")+(BULK_TIER=$F151))*((BULK_SKU="ALL")+(BULK_SKU=$G151))*(BULK_START&lt;=11)*(BULK_END&gt;=11)))&gt;0,IFERROR(SUMPRODUCT(((BULK_ENABLED="Y")*((BULK_TIER="ALL")+(BULK_TIER=$F151))*((BULK_SKU="ALL")+(BULK_SKU=$G151))*(BULK_START&lt;=11)*(BULK_END&gt;=11))*IFERROR(BULK_VALUE,0))/MAX(1,SUMPRODUCT(((BULK_ENABLED="Y")*((BULK_TIER="ALL")+(BULK_TIER=$F151))*((BULK_SKU="ALL")+(BULK_SKU=$G151))*(BULK_START&lt;=11)*(BULK_END&gt;=11)))),0),ROUND((INDEX(VELOCITY_TABLE,MATCH($F151,TIER_LIST,0),3))*(IF((11-$I151+1)&lt;=0,0,IF((11-$I151+1)=1,RAMP_W1,IF((11-$I151+1)=2,RAMP_W2,IF((11-$I151+1)=3,RAMP_W3,RAMP_W4PLUS)))))*(INDEX(ACTIVE_MULT_TABLE,3,1))*(1+SUMPRODUCT(SIGN(((ACT_DOOR_SCOPE="ALL")+(ACT_DOOR_SCOPE="TIER_"&amp;$F151)+(ACT_DOOR_SCOPE=$B151)))*SIGN(((ACT_SKU_SCOPE="ALL")+(ACT_SKU_SCOPE=$G151)))*(ACT_START&lt;=11)*(ACT_END&gt;=11)*IFERROR(ACT_UPLIFT-1,0)))*(1+SUMPRODUCT(SIGN(((ACT_DOOR_SCOPE="ALL")+(ACT_DOOR_SCOPE="TIER_"&amp;$F151)+(ACT_DOOR_SCOPE=$B151)))*SIGN(((ACT_SKU_SCOPE="ALL")+(ACT_SKU_SCOPE=$G151)))*(11&gt;ACT_END)*(ACT_END&gt;0)*IFERROR(ACT_POSTLIFT,0))),0)))</f>
        <v/>
      </c>
      <c r="U151" s="10">
        <f>IF(OR($H151&lt;&gt;"Y",12&lt;$I151),0,IF(SUMPRODUCT(((BULK_ENABLED="Y")*((BULK_TIER="ALL")+(BULK_TIER=$F151))*((BULK_SKU="ALL")+(BULK_SKU=$G151))*(BULK_START&lt;=12)*(BULK_END&gt;=12)))&gt;0,IFERROR(SUMPRODUCT(((BULK_ENABLED="Y")*((BULK_TIER="ALL")+(BULK_TIER=$F151))*((BULK_SKU="ALL")+(BULK_SKU=$G151))*(BULK_START&lt;=12)*(BULK_END&gt;=12))*IFERROR(BULK_VALUE,0))/MAX(1,SUMPRODUCT(((BULK_ENABLED="Y")*((BULK_TIER="ALL")+(BULK_TIER=$F151))*((BULK_SKU="ALL")+(BULK_SKU=$G151))*(BULK_START&lt;=12)*(BULK_END&gt;=12)))),0),ROUND((INDEX(VELOCITY_TABLE,MATCH($F151,TIER_LIST,0),3))*(IF((12-$I151+1)&lt;=0,0,IF((12-$I151+1)=1,RAMP_W1,IF((12-$I151+1)=2,RAMP_W2,IF((12-$I151+1)=3,RAMP_W3,RAMP_W4PLUS)))))*(INDEX(ACTIVE_MULT_TABLE,3,1))*(1+SUMPRODUCT(SIGN(((ACT_DOOR_SCOPE="ALL")+(ACT_DOOR_SCOPE="TIER_"&amp;$F151)+(ACT_DOOR_SCOPE=$B151)))*SIGN(((ACT_SKU_SCOPE="ALL")+(ACT_SKU_SCOPE=$G151)))*(ACT_START&lt;=12)*(ACT_END&gt;=12)*IFERROR(ACT_UPLIFT-1,0)))*(1+SUMPRODUCT(SIGN(((ACT_DOOR_SCOPE="ALL")+(ACT_DOOR_SCOPE="TIER_"&amp;$F151)+(ACT_DOOR_SCOPE=$B151)))*SIGN(((ACT_SKU_SCOPE="ALL")+(ACT_SKU_SCOPE=$G151)))*(12&gt;ACT_END)*(ACT_END&gt;0)*IFERROR(ACT_POSTLIFT,0))),0)))</f>
        <v/>
      </c>
      <c r="V151" s="10">
        <f>IF(OR($H151&lt;&gt;"Y",13&lt;$I151),0,IF(SUMPRODUCT(((BULK_ENABLED="Y")*((BULK_TIER="ALL")+(BULK_TIER=$F151))*((BULK_SKU="ALL")+(BULK_SKU=$G151))*(BULK_START&lt;=13)*(BULK_END&gt;=13)))&gt;0,IFERROR(SUMPRODUCT(((BULK_ENABLED="Y")*((BULK_TIER="ALL")+(BULK_TIER=$F151))*((BULK_SKU="ALL")+(BULK_SKU=$G151))*(BULK_START&lt;=13)*(BULK_END&gt;=13))*IFERROR(BULK_VALUE,0))/MAX(1,SUMPRODUCT(((BULK_ENABLED="Y")*((BULK_TIER="ALL")+(BULK_TIER=$F151))*((BULK_SKU="ALL")+(BULK_SKU=$G151))*(BULK_START&lt;=13)*(BULK_END&gt;=13)))),0),ROUND((INDEX(VELOCITY_TABLE,MATCH($F151,TIER_LIST,0),3))*(IF((13-$I151+1)&lt;=0,0,IF((13-$I151+1)=1,RAMP_W1,IF((13-$I151+1)=2,RAMP_W2,IF((13-$I151+1)=3,RAMP_W3,RAMP_W4PLUS)))))*(INDEX(ACTIVE_MULT_TABLE,3,1))*(1+SUMPRODUCT(SIGN(((ACT_DOOR_SCOPE="ALL")+(ACT_DOOR_SCOPE="TIER_"&amp;$F151)+(ACT_DOOR_SCOPE=$B151)))*SIGN(((ACT_SKU_SCOPE="ALL")+(ACT_SKU_SCOPE=$G151)))*(ACT_START&lt;=13)*(ACT_END&gt;=13)*IFERROR(ACT_UPLIFT-1,0)))*(1+SUMPRODUCT(SIGN(((ACT_DOOR_SCOPE="ALL")+(ACT_DOOR_SCOPE="TIER_"&amp;$F151)+(ACT_DOOR_SCOPE=$B151)))*SIGN(((ACT_SKU_SCOPE="ALL")+(ACT_SKU_SCOPE=$G151)))*(13&gt;ACT_END)*(ACT_END&gt;0)*IFERROR(ACT_POSTLIFT,0))),0)))</f>
        <v/>
      </c>
    </row>
    <row r="152">
      <c r="A152" t="inlineStr">
        <is>
          <t>R0148</t>
        </is>
      </c>
      <c r="B152">
        <f>Doors!$A$54</f>
        <v/>
      </c>
      <c r="C152">
        <f>Doors!$C$54</f>
        <v/>
      </c>
      <c r="D152">
        <f>Doors!$B$54</f>
        <v/>
      </c>
      <c r="E152">
        <f>Doors!$E$54</f>
        <v/>
      </c>
      <c r="F152">
        <f>Doors!$F$54</f>
        <v/>
      </c>
      <c r="G152" t="inlineStr">
        <is>
          <t>Lime Lemon</t>
        </is>
      </c>
      <c r="H152">
        <f>Doors!$G$54</f>
        <v/>
      </c>
      <c r="I152">
        <f>Doors!$J$54</f>
        <v/>
      </c>
      <c r="J152" s="10">
        <f>IF(OR($H152&lt;&gt;"Y",1&lt;$I152),0,IF(SUMPRODUCT(((BULK_ENABLED="Y")*((BULK_TIER="ALL")+(BULK_TIER=$F152))*((BULK_SKU="ALL")+(BULK_SKU=$G152))*(BULK_START&lt;=1)*(BULK_END&gt;=1)))&gt;0,IFERROR(SUMPRODUCT(((BULK_ENABLED="Y")*((BULK_TIER="ALL")+(BULK_TIER=$F152))*((BULK_SKU="ALL")+(BULK_SKU=$G152))*(BULK_START&lt;=1)*(BULK_END&gt;=1))*IFERROR(BULK_VALUE,0))/MAX(1,SUMPRODUCT(((BULK_ENABLED="Y")*((BULK_TIER="ALL")+(BULK_TIER=$F152))*((BULK_SKU="ALL")+(BULK_SKU=$G152))*(BULK_START&lt;=1)*(BULK_END&gt;=1)))),0),ROUND((INDEX(VELOCITY_TABLE,MATCH($F152,TIER_LIST,0),1))*(IF((1-$I152+1)&lt;=0,0,IF((1-$I152+1)=1,RAMP_W1,IF((1-$I152+1)=2,RAMP_W2,IF((1-$I152+1)=3,RAMP_W3,RAMP_W4PLUS)))))*(INDEX(ACTIVE_MULT_TABLE,1,1))*(1+SUMPRODUCT(SIGN(((ACT_DOOR_SCOPE="ALL")+(ACT_DOOR_SCOPE="TIER_"&amp;$F152)+(ACT_DOOR_SCOPE=$B152)))*SIGN(((ACT_SKU_SCOPE="ALL")+(ACT_SKU_SCOPE=$G152)))*(ACT_START&lt;=1)*(ACT_END&gt;=1)*IFERROR(ACT_UPLIFT-1,0)))*(1+SUMPRODUCT(SIGN(((ACT_DOOR_SCOPE="ALL")+(ACT_DOOR_SCOPE="TIER_"&amp;$F152)+(ACT_DOOR_SCOPE=$B152)))*SIGN(((ACT_SKU_SCOPE="ALL")+(ACT_SKU_SCOPE=$G152)))*(1&gt;ACT_END)*(ACT_END&gt;0)*IFERROR(ACT_POSTLIFT,0))),0)))</f>
        <v/>
      </c>
      <c r="K152" s="10">
        <f>IF(OR($H152&lt;&gt;"Y",2&lt;$I152),0,IF(SUMPRODUCT(((BULK_ENABLED="Y")*((BULK_TIER="ALL")+(BULK_TIER=$F152))*((BULK_SKU="ALL")+(BULK_SKU=$G152))*(BULK_START&lt;=2)*(BULK_END&gt;=2)))&gt;0,IFERROR(SUMPRODUCT(((BULK_ENABLED="Y")*((BULK_TIER="ALL")+(BULK_TIER=$F152))*((BULK_SKU="ALL")+(BULK_SKU=$G152))*(BULK_START&lt;=2)*(BULK_END&gt;=2))*IFERROR(BULK_VALUE,0))/MAX(1,SUMPRODUCT(((BULK_ENABLED="Y")*((BULK_TIER="ALL")+(BULK_TIER=$F152))*((BULK_SKU="ALL")+(BULK_SKU=$G152))*(BULK_START&lt;=2)*(BULK_END&gt;=2)))),0),ROUND((INDEX(VELOCITY_TABLE,MATCH($F152,TIER_LIST,0),1))*(IF((2-$I152+1)&lt;=0,0,IF((2-$I152+1)=1,RAMP_W1,IF((2-$I152+1)=2,RAMP_W2,IF((2-$I152+1)=3,RAMP_W3,RAMP_W4PLUS)))))*(INDEX(ACTIVE_MULT_TABLE,1,1))*(1+SUMPRODUCT(SIGN(((ACT_DOOR_SCOPE="ALL")+(ACT_DOOR_SCOPE="TIER_"&amp;$F152)+(ACT_DOOR_SCOPE=$B152)))*SIGN(((ACT_SKU_SCOPE="ALL")+(ACT_SKU_SCOPE=$G152)))*(ACT_START&lt;=2)*(ACT_END&gt;=2)*IFERROR(ACT_UPLIFT-1,0)))*(1+SUMPRODUCT(SIGN(((ACT_DOOR_SCOPE="ALL")+(ACT_DOOR_SCOPE="TIER_"&amp;$F152)+(ACT_DOOR_SCOPE=$B152)))*SIGN(((ACT_SKU_SCOPE="ALL")+(ACT_SKU_SCOPE=$G152)))*(2&gt;ACT_END)*(ACT_END&gt;0)*IFERROR(ACT_POSTLIFT,0))),0)))</f>
        <v/>
      </c>
      <c r="L152" s="10">
        <f>IF(OR($H152&lt;&gt;"Y",3&lt;$I152),0,IF(SUMPRODUCT(((BULK_ENABLED="Y")*((BULK_TIER="ALL")+(BULK_TIER=$F152))*((BULK_SKU="ALL")+(BULK_SKU=$G152))*(BULK_START&lt;=3)*(BULK_END&gt;=3)))&gt;0,IFERROR(SUMPRODUCT(((BULK_ENABLED="Y")*((BULK_TIER="ALL")+(BULK_TIER=$F152))*((BULK_SKU="ALL")+(BULK_SKU=$G152))*(BULK_START&lt;=3)*(BULK_END&gt;=3))*IFERROR(BULK_VALUE,0))/MAX(1,SUMPRODUCT(((BULK_ENABLED="Y")*((BULK_TIER="ALL")+(BULK_TIER=$F152))*((BULK_SKU="ALL")+(BULK_SKU=$G152))*(BULK_START&lt;=3)*(BULK_END&gt;=3)))),0),ROUND((INDEX(VELOCITY_TABLE,MATCH($F152,TIER_LIST,0),1))*(IF((3-$I152+1)&lt;=0,0,IF((3-$I152+1)=1,RAMP_W1,IF((3-$I152+1)=2,RAMP_W2,IF((3-$I152+1)=3,RAMP_W3,RAMP_W4PLUS)))))*(INDEX(ACTIVE_MULT_TABLE,1,1))*(1+SUMPRODUCT(SIGN(((ACT_DOOR_SCOPE="ALL")+(ACT_DOOR_SCOPE="TIER_"&amp;$F152)+(ACT_DOOR_SCOPE=$B152)))*SIGN(((ACT_SKU_SCOPE="ALL")+(ACT_SKU_SCOPE=$G152)))*(ACT_START&lt;=3)*(ACT_END&gt;=3)*IFERROR(ACT_UPLIFT-1,0)))*(1+SUMPRODUCT(SIGN(((ACT_DOOR_SCOPE="ALL")+(ACT_DOOR_SCOPE="TIER_"&amp;$F152)+(ACT_DOOR_SCOPE=$B152)))*SIGN(((ACT_SKU_SCOPE="ALL")+(ACT_SKU_SCOPE=$G152)))*(3&gt;ACT_END)*(ACT_END&gt;0)*IFERROR(ACT_POSTLIFT,0))),0)))</f>
        <v/>
      </c>
      <c r="M152" s="10">
        <f>IF(OR($H152&lt;&gt;"Y",4&lt;$I152),0,IF(SUMPRODUCT(((BULK_ENABLED="Y")*((BULK_TIER="ALL")+(BULK_TIER=$F152))*((BULK_SKU="ALL")+(BULK_SKU=$G152))*(BULK_START&lt;=4)*(BULK_END&gt;=4)))&gt;0,IFERROR(SUMPRODUCT(((BULK_ENABLED="Y")*((BULK_TIER="ALL")+(BULK_TIER=$F152))*((BULK_SKU="ALL")+(BULK_SKU=$G152))*(BULK_START&lt;=4)*(BULK_END&gt;=4))*IFERROR(BULK_VALUE,0))/MAX(1,SUMPRODUCT(((BULK_ENABLED="Y")*((BULK_TIER="ALL")+(BULK_TIER=$F152))*((BULK_SKU="ALL")+(BULK_SKU=$G152))*(BULK_START&lt;=4)*(BULK_END&gt;=4)))),0),ROUND((INDEX(VELOCITY_TABLE,MATCH($F152,TIER_LIST,0),1))*(IF((4-$I152+1)&lt;=0,0,IF((4-$I152+1)=1,RAMP_W1,IF((4-$I152+1)=2,RAMP_W2,IF((4-$I152+1)=3,RAMP_W3,RAMP_W4PLUS)))))*(INDEX(ACTIVE_MULT_TABLE,1,1))*(1+SUMPRODUCT(SIGN(((ACT_DOOR_SCOPE="ALL")+(ACT_DOOR_SCOPE="TIER_"&amp;$F152)+(ACT_DOOR_SCOPE=$B152)))*SIGN(((ACT_SKU_SCOPE="ALL")+(ACT_SKU_SCOPE=$G152)))*(ACT_START&lt;=4)*(ACT_END&gt;=4)*IFERROR(ACT_UPLIFT-1,0)))*(1+SUMPRODUCT(SIGN(((ACT_DOOR_SCOPE="ALL")+(ACT_DOOR_SCOPE="TIER_"&amp;$F152)+(ACT_DOOR_SCOPE=$B152)))*SIGN(((ACT_SKU_SCOPE="ALL")+(ACT_SKU_SCOPE=$G152)))*(4&gt;ACT_END)*(ACT_END&gt;0)*IFERROR(ACT_POSTLIFT,0))),0)))</f>
        <v/>
      </c>
      <c r="N152" s="10">
        <f>IF(OR($H152&lt;&gt;"Y",5&lt;$I152),0,IF(SUMPRODUCT(((BULK_ENABLED="Y")*((BULK_TIER="ALL")+(BULK_TIER=$F152))*((BULK_SKU="ALL")+(BULK_SKU=$G152))*(BULK_START&lt;=5)*(BULK_END&gt;=5)))&gt;0,IFERROR(SUMPRODUCT(((BULK_ENABLED="Y")*((BULK_TIER="ALL")+(BULK_TIER=$F152))*((BULK_SKU="ALL")+(BULK_SKU=$G152))*(BULK_START&lt;=5)*(BULK_END&gt;=5))*IFERROR(BULK_VALUE,0))/MAX(1,SUMPRODUCT(((BULK_ENABLED="Y")*((BULK_TIER="ALL")+(BULK_TIER=$F152))*((BULK_SKU="ALL")+(BULK_SKU=$G152))*(BULK_START&lt;=5)*(BULK_END&gt;=5)))),0),ROUND((INDEX(VELOCITY_TABLE,MATCH($F152,TIER_LIST,0),1))*(IF((5-$I152+1)&lt;=0,0,IF((5-$I152+1)=1,RAMP_W1,IF((5-$I152+1)=2,RAMP_W2,IF((5-$I152+1)=3,RAMP_W3,RAMP_W4PLUS)))))*(INDEX(ACTIVE_MULT_TABLE,1,1))*(1+SUMPRODUCT(SIGN(((ACT_DOOR_SCOPE="ALL")+(ACT_DOOR_SCOPE="TIER_"&amp;$F152)+(ACT_DOOR_SCOPE=$B152)))*SIGN(((ACT_SKU_SCOPE="ALL")+(ACT_SKU_SCOPE=$G152)))*(ACT_START&lt;=5)*(ACT_END&gt;=5)*IFERROR(ACT_UPLIFT-1,0)))*(1+SUMPRODUCT(SIGN(((ACT_DOOR_SCOPE="ALL")+(ACT_DOOR_SCOPE="TIER_"&amp;$F152)+(ACT_DOOR_SCOPE=$B152)))*SIGN(((ACT_SKU_SCOPE="ALL")+(ACT_SKU_SCOPE=$G152)))*(5&gt;ACT_END)*(ACT_END&gt;0)*IFERROR(ACT_POSTLIFT,0))),0)))</f>
        <v/>
      </c>
      <c r="O152" s="10">
        <f>IF(OR($H152&lt;&gt;"Y",6&lt;$I152),0,IF(SUMPRODUCT(((BULK_ENABLED="Y")*((BULK_TIER="ALL")+(BULK_TIER=$F152))*((BULK_SKU="ALL")+(BULK_SKU=$G152))*(BULK_START&lt;=6)*(BULK_END&gt;=6)))&gt;0,IFERROR(SUMPRODUCT(((BULK_ENABLED="Y")*((BULK_TIER="ALL")+(BULK_TIER=$F152))*((BULK_SKU="ALL")+(BULK_SKU=$G152))*(BULK_START&lt;=6)*(BULK_END&gt;=6))*IFERROR(BULK_VALUE,0))/MAX(1,SUMPRODUCT(((BULK_ENABLED="Y")*((BULK_TIER="ALL")+(BULK_TIER=$F152))*((BULK_SKU="ALL")+(BULK_SKU=$G152))*(BULK_START&lt;=6)*(BULK_END&gt;=6)))),0),ROUND((INDEX(VELOCITY_TABLE,MATCH($F152,TIER_LIST,0),1))*(IF((6-$I152+1)&lt;=0,0,IF((6-$I152+1)=1,RAMP_W1,IF((6-$I152+1)=2,RAMP_W2,IF((6-$I152+1)=3,RAMP_W3,RAMP_W4PLUS)))))*(INDEX(ACTIVE_MULT_TABLE,1,1))*(1+SUMPRODUCT(SIGN(((ACT_DOOR_SCOPE="ALL")+(ACT_DOOR_SCOPE="TIER_"&amp;$F152)+(ACT_DOOR_SCOPE=$B152)))*SIGN(((ACT_SKU_SCOPE="ALL")+(ACT_SKU_SCOPE=$G152)))*(ACT_START&lt;=6)*(ACT_END&gt;=6)*IFERROR(ACT_UPLIFT-1,0)))*(1+SUMPRODUCT(SIGN(((ACT_DOOR_SCOPE="ALL")+(ACT_DOOR_SCOPE="TIER_"&amp;$F152)+(ACT_DOOR_SCOPE=$B152)))*SIGN(((ACT_SKU_SCOPE="ALL")+(ACT_SKU_SCOPE=$G152)))*(6&gt;ACT_END)*(ACT_END&gt;0)*IFERROR(ACT_POSTLIFT,0))),0)))</f>
        <v/>
      </c>
      <c r="P152" s="10">
        <f>IF(OR($H152&lt;&gt;"Y",7&lt;$I152),0,IF(SUMPRODUCT(((BULK_ENABLED="Y")*((BULK_TIER="ALL")+(BULK_TIER=$F152))*((BULK_SKU="ALL")+(BULK_SKU=$G152))*(BULK_START&lt;=7)*(BULK_END&gt;=7)))&gt;0,IFERROR(SUMPRODUCT(((BULK_ENABLED="Y")*((BULK_TIER="ALL")+(BULK_TIER=$F152))*((BULK_SKU="ALL")+(BULK_SKU=$G152))*(BULK_START&lt;=7)*(BULK_END&gt;=7))*IFERROR(BULK_VALUE,0))/MAX(1,SUMPRODUCT(((BULK_ENABLED="Y")*((BULK_TIER="ALL")+(BULK_TIER=$F152))*((BULK_SKU="ALL")+(BULK_SKU=$G152))*(BULK_START&lt;=7)*(BULK_END&gt;=7)))),0),ROUND((INDEX(VELOCITY_TABLE,MATCH($F152,TIER_LIST,0),1))*(IF((7-$I152+1)&lt;=0,0,IF((7-$I152+1)=1,RAMP_W1,IF((7-$I152+1)=2,RAMP_W2,IF((7-$I152+1)=3,RAMP_W3,RAMP_W4PLUS)))))*(INDEX(ACTIVE_MULT_TABLE,1,1))*(1+SUMPRODUCT(SIGN(((ACT_DOOR_SCOPE="ALL")+(ACT_DOOR_SCOPE="TIER_"&amp;$F152)+(ACT_DOOR_SCOPE=$B152)))*SIGN(((ACT_SKU_SCOPE="ALL")+(ACT_SKU_SCOPE=$G152)))*(ACT_START&lt;=7)*(ACT_END&gt;=7)*IFERROR(ACT_UPLIFT-1,0)))*(1+SUMPRODUCT(SIGN(((ACT_DOOR_SCOPE="ALL")+(ACT_DOOR_SCOPE="TIER_"&amp;$F152)+(ACT_DOOR_SCOPE=$B152)))*SIGN(((ACT_SKU_SCOPE="ALL")+(ACT_SKU_SCOPE=$G152)))*(7&gt;ACT_END)*(ACT_END&gt;0)*IFERROR(ACT_POSTLIFT,0))),0)))</f>
        <v/>
      </c>
      <c r="Q152" s="10">
        <f>IF(OR($H152&lt;&gt;"Y",8&lt;$I152),0,IF(SUMPRODUCT(((BULK_ENABLED="Y")*((BULK_TIER="ALL")+(BULK_TIER=$F152))*((BULK_SKU="ALL")+(BULK_SKU=$G152))*(BULK_START&lt;=8)*(BULK_END&gt;=8)))&gt;0,IFERROR(SUMPRODUCT(((BULK_ENABLED="Y")*((BULK_TIER="ALL")+(BULK_TIER=$F152))*((BULK_SKU="ALL")+(BULK_SKU=$G152))*(BULK_START&lt;=8)*(BULK_END&gt;=8))*IFERROR(BULK_VALUE,0))/MAX(1,SUMPRODUCT(((BULK_ENABLED="Y")*((BULK_TIER="ALL")+(BULK_TIER=$F152))*((BULK_SKU="ALL")+(BULK_SKU=$G152))*(BULK_START&lt;=8)*(BULK_END&gt;=8)))),0),ROUND((INDEX(VELOCITY_TABLE,MATCH($F152,TIER_LIST,0),1))*(IF((8-$I152+1)&lt;=0,0,IF((8-$I152+1)=1,RAMP_W1,IF((8-$I152+1)=2,RAMP_W2,IF((8-$I152+1)=3,RAMP_W3,RAMP_W4PLUS)))))*(INDEX(ACTIVE_MULT_TABLE,1,1))*(1+SUMPRODUCT(SIGN(((ACT_DOOR_SCOPE="ALL")+(ACT_DOOR_SCOPE="TIER_"&amp;$F152)+(ACT_DOOR_SCOPE=$B152)))*SIGN(((ACT_SKU_SCOPE="ALL")+(ACT_SKU_SCOPE=$G152)))*(ACT_START&lt;=8)*(ACT_END&gt;=8)*IFERROR(ACT_UPLIFT-1,0)))*(1+SUMPRODUCT(SIGN(((ACT_DOOR_SCOPE="ALL")+(ACT_DOOR_SCOPE="TIER_"&amp;$F152)+(ACT_DOOR_SCOPE=$B152)))*SIGN(((ACT_SKU_SCOPE="ALL")+(ACT_SKU_SCOPE=$G152)))*(8&gt;ACT_END)*(ACT_END&gt;0)*IFERROR(ACT_POSTLIFT,0))),0)))</f>
        <v/>
      </c>
      <c r="R152" s="10">
        <f>IF(OR($H152&lt;&gt;"Y",9&lt;$I152),0,IF(SUMPRODUCT(((BULK_ENABLED="Y")*((BULK_TIER="ALL")+(BULK_TIER=$F152))*((BULK_SKU="ALL")+(BULK_SKU=$G152))*(BULK_START&lt;=9)*(BULK_END&gt;=9)))&gt;0,IFERROR(SUMPRODUCT(((BULK_ENABLED="Y")*((BULK_TIER="ALL")+(BULK_TIER=$F152))*((BULK_SKU="ALL")+(BULK_SKU=$G152))*(BULK_START&lt;=9)*(BULK_END&gt;=9))*IFERROR(BULK_VALUE,0))/MAX(1,SUMPRODUCT(((BULK_ENABLED="Y")*((BULK_TIER="ALL")+(BULK_TIER=$F152))*((BULK_SKU="ALL")+(BULK_SKU=$G152))*(BULK_START&lt;=9)*(BULK_END&gt;=9)))),0),ROUND((INDEX(VELOCITY_TABLE,MATCH($F152,TIER_LIST,0),1))*(IF((9-$I152+1)&lt;=0,0,IF((9-$I152+1)=1,RAMP_W1,IF((9-$I152+1)=2,RAMP_W2,IF((9-$I152+1)=3,RAMP_W3,RAMP_W4PLUS)))))*(INDEX(ACTIVE_MULT_TABLE,1,1))*(1+SUMPRODUCT(SIGN(((ACT_DOOR_SCOPE="ALL")+(ACT_DOOR_SCOPE="TIER_"&amp;$F152)+(ACT_DOOR_SCOPE=$B152)))*SIGN(((ACT_SKU_SCOPE="ALL")+(ACT_SKU_SCOPE=$G152)))*(ACT_START&lt;=9)*(ACT_END&gt;=9)*IFERROR(ACT_UPLIFT-1,0)))*(1+SUMPRODUCT(SIGN(((ACT_DOOR_SCOPE="ALL")+(ACT_DOOR_SCOPE="TIER_"&amp;$F152)+(ACT_DOOR_SCOPE=$B152)))*SIGN(((ACT_SKU_SCOPE="ALL")+(ACT_SKU_SCOPE=$G152)))*(9&gt;ACT_END)*(ACT_END&gt;0)*IFERROR(ACT_POSTLIFT,0))),0)))</f>
        <v/>
      </c>
      <c r="S152" s="10">
        <f>IF(OR($H152&lt;&gt;"Y",10&lt;$I152),0,IF(SUMPRODUCT(((BULK_ENABLED="Y")*((BULK_TIER="ALL")+(BULK_TIER=$F152))*((BULK_SKU="ALL")+(BULK_SKU=$G152))*(BULK_START&lt;=10)*(BULK_END&gt;=10)))&gt;0,IFERROR(SUMPRODUCT(((BULK_ENABLED="Y")*((BULK_TIER="ALL")+(BULK_TIER=$F152))*((BULK_SKU="ALL")+(BULK_SKU=$G152))*(BULK_START&lt;=10)*(BULK_END&gt;=10))*IFERROR(BULK_VALUE,0))/MAX(1,SUMPRODUCT(((BULK_ENABLED="Y")*((BULK_TIER="ALL")+(BULK_TIER=$F152))*((BULK_SKU="ALL")+(BULK_SKU=$G152))*(BULK_START&lt;=10)*(BULK_END&gt;=10)))),0),ROUND((INDEX(VELOCITY_TABLE,MATCH($F152,TIER_LIST,0),1))*(IF((10-$I152+1)&lt;=0,0,IF((10-$I152+1)=1,RAMP_W1,IF((10-$I152+1)=2,RAMP_W2,IF((10-$I152+1)=3,RAMP_W3,RAMP_W4PLUS)))))*(INDEX(ACTIVE_MULT_TABLE,1,1))*(1+SUMPRODUCT(SIGN(((ACT_DOOR_SCOPE="ALL")+(ACT_DOOR_SCOPE="TIER_"&amp;$F152)+(ACT_DOOR_SCOPE=$B152)))*SIGN(((ACT_SKU_SCOPE="ALL")+(ACT_SKU_SCOPE=$G152)))*(ACT_START&lt;=10)*(ACT_END&gt;=10)*IFERROR(ACT_UPLIFT-1,0)))*(1+SUMPRODUCT(SIGN(((ACT_DOOR_SCOPE="ALL")+(ACT_DOOR_SCOPE="TIER_"&amp;$F152)+(ACT_DOOR_SCOPE=$B152)))*SIGN(((ACT_SKU_SCOPE="ALL")+(ACT_SKU_SCOPE=$G152)))*(10&gt;ACT_END)*(ACT_END&gt;0)*IFERROR(ACT_POSTLIFT,0))),0)))</f>
        <v/>
      </c>
      <c r="T152" s="10">
        <f>IF(OR($H152&lt;&gt;"Y",11&lt;$I152),0,IF(SUMPRODUCT(((BULK_ENABLED="Y")*((BULK_TIER="ALL")+(BULK_TIER=$F152))*((BULK_SKU="ALL")+(BULK_SKU=$G152))*(BULK_START&lt;=11)*(BULK_END&gt;=11)))&gt;0,IFERROR(SUMPRODUCT(((BULK_ENABLED="Y")*((BULK_TIER="ALL")+(BULK_TIER=$F152))*((BULK_SKU="ALL")+(BULK_SKU=$G152))*(BULK_START&lt;=11)*(BULK_END&gt;=11))*IFERROR(BULK_VALUE,0))/MAX(1,SUMPRODUCT(((BULK_ENABLED="Y")*((BULK_TIER="ALL")+(BULK_TIER=$F152))*((BULK_SKU="ALL")+(BULK_SKU=$G152))*(BULK_START&lt;=11)*(BULK_END&gt;=11)))),0),ROUND((INDEX(VELOCITY_TABLE,MATCH($F152,TIER_LIST,0),1))*(IF((11-$I152+1)&lt;=0,0,IF((11-$I152+1)=1,RAMP_W1,IF((11-$I152+1)=2,RAMP_W2,IF((11-$I152+1)=3,RAMP_W3,RAMP_W4PLUS)))))*(INDEX(ACTIVE_MULT_TABLE,1,1))*(1+SUMPRODUCT(SIGN(((ACT_DOOR_SCOPE="ALL")+(ACT_DOOR_SCOPE="TIER_"&amp;$F152)+(ACT_DOOR_SCOPE=$B152)))*SIGN(((ACT_SKU_SCOPE="ALL")+(ACT_SKU_SCOPE=$G152)))*(ACT_START&lt;=11)*(ACT_END&gt;=11)*IFERROR(ACT_UPLIFT-1,0)))*(1+SUMPRODUCT(SIGN(((ACT_DOOR_SCOPE="ALL")+(ACT_DOOR_SCOPE="TIER_"&amp;$F152)+(ACT_DOOR_SCOPE=$B152)))*SIGN(((ACT_SKU_SCOPE="ALL")+(ACT_SKU_SCOPE=$G152)))*(11&gt;ACT_END)*(ACT_END&gt;0)*IFERROR(ACT_POSTLIFT,0))),0)))</f>
        <v/>
      </c>
      <c r="U152" s="10">
        <f>IF(OR($H152&lt;&gt;"Y",12&lt;$I152),0,IF(SUMPRODUCT(((BULK_ENABLED="Y")*((BULK_TIER="ALL")+(BULK_TIER=$F152))*((BULK_SKU="ALL")+(BULK_SKU=$G152))*(BULK_START&lt;=12)*(BULK_END&gt;=12)))&gt;0,IFERROR(SUMPRODUCT(((BULK_ENABLED="Y")*((BULK_TIER="ALL")+(BULK_TIER=$F152))*((BULK_SKU="ALL")+(BULK_SKU=$G152))*(BULK_START&lt;=12)*(BULK_END&gt;=12))*IFERROR(BULK_VALUE,0))/MAX(1,SUMPRODUCT(((BULK_ENABLED="Y")*((BULK_TIER="ALL")+(BULK_TIER=$F152))*((BULK_SKU="ALL")+(BULK_SKU=$G152))*(BULK_START&lt;=12)*(BULK_END&gt;=12)))),0),ROUND((INDEX(VELOCITY_TABLE,MATCH($F152,TIER_LIST,0),1))*(IF((12-$I152+1)&lt;=0,0,IF((12-$I152+1)=1,RAMP_W1,IF((12-$I152+1)=2,RAMP_W2,IF((12-$I152+1)=3,RAMP_W3,RAMP_W4PLUS)))))*(INDEX(ACTIVE_MULT_TABLE,1,1))*(1+SUMPRODUCT(SIGN(((ACT_DOOR_SCOPE="ALL")+(ACT_DOOR_SCOPE="TIER_"&amp;$F152)+(ACT_DOOR_SCOPE=$B152)))*SIGN(((ACT_SKU_SCOPE="ALL")+(ACT_SKU_SCOPE=$G152)))*(ACT_START&lt;=12)*(ACT_END&gt;=12)*IFERROR(ACT_UPLIFT-1,0)))*(1+SUMPRODUCT(SIGN(((ACT_DOOR_SCOPE="ALL")+(ACT_DOOR_SCOPE="TIER_"&amp;$F152)+(ACT_DOOR_SCOPE=$B152)))*SIGN(((ACT_SKU_SCOPE="ALL")+(ACT_SKU_SCOPE=$G152)))*(12&gt;ACT_END)*(ACT_END&gt;0)*IFERROR(ACT_POSTLIFT,0))),0)))</f>
        <v/>
      </c>
      <c r="V152" s="10">
        <f>IF(OR($H152&lt;&gt;"Y",13&lt;$I152),0,IF(SUMPRODUCT(((BULK_ENABLED="Y")*((BULK_TIER="ALL")+(BULK_TIER=$F152))*((BULK_SKU="ALL")+(BULK_SKU=$G152))*(BULK_START&lt;=13)*(BULK_END&gt;=13)))&gt;0,IFERROR(SUMPRODUCT(((BULK_ENABLED="Y")*((BULK_TIER="ALL")+(BULK_TIER=$F152))*((BULK_SKU="ALL")+(BULK_SKU=$G152))*(BULK_START&lt;=13)*(BULK_END&gt;=13))*IFERROR(BULK_VALUE,0))/MAX(1,SUMPRODUCT(((BULK_ENABLED="Y")*((BULK_TIER="ALL")+(BULK_TIER=$F152))*((BULK_SKU="ALL")+(BULK_SKU=$G152))*(BULK_START&lt;=13)*(BULK_END&gt;=13)))),0),ROUND((INDEX(VELOCITY_TABLE,MATCH($F152,TIER_LIST,0),1))*(IF((13-$I152+1)&lt;=0,0,IF((13-$I152+1)=1,RAMP_W1,IF((13-$I152+1)=2,RAMP_W2,IF((13-$I152+1)=3,RAMP_W3,RAMP_W4PLUS)))))*(INDEX(ACTIVE_MULT_TABLE,1,1))*(1+SUMPRODUCT(SIGN(((ACT_DOOR_SCOPE="ALL")+(ACT_DOOR_SCOPE="TIER_"&amp;$F152)+(ACT_DOOR_SCOPE=$B152)))*SIGN(((ACT_SKU_SCOPE="ALL")+(ACT_SKU_SCOPE=$G152)))*(ACT_START&lt;=13)*(ACT_END&gt;=13)*IFERROR(ACT_UPLIFT-1,0)))*(1+SUMPRODUCT(SIGN(((ACT_DOOR_SCOPE="ALL")+(ACT_DOOR_SCOPE="TIER_"&amp;$F152)+(ACT_DOOR_SCOPE=$B152)))*SIGN(((ACT_SKU_SCOPE="ALL")+(ACT_SKU_SCOPE=$G152)))*(13&gt;ACT_END)*(ACT_END&gt;0)*IFERROR(ACT_POSTLIFT,0))),0)))</f>
        <v/>
      </c>
    </row>
    <row r="153">
      <c r="A153" t="inlineStr">
        <is>
          <t>R0149</t>
        </is>
      </c>
      <c r="B153">
        <f>Doors!$A$54</f>
        <v/>
      </c>
      <c r="C153">
        <f>Doors!$C$54</f>
        <v/>
      </c>
      <c r="D153">
        <f>Doors!$B$54</f>
        <v/>
      </c>
      <c r="E153">
        <f>Doors!$E$54</f>
        <v/>
      </c>
      <c r="F153">
        <f>Doors!$F$54</f>
        <v/>
      </c>
      <c r="G153" t="inlineStr">
        <is>
          <t>Pineapple Passion Fruit</t>
        </is>
      </c>
      <c r="H153">
        <f>Doors!$H$54</f>
        <v/>
      </c>
      <c r="I153">
        <f>Doors!$J$54</f>
        <v/>
      </c>
      <c r="J153" s="10">
        <f>IF(OR($H153&lt;&gt;"Y",1&lt;$I153),0,IF(SUMPRODUCT(((BULK_ENABLED="Y")*((BULK_TIER="ALL")+(BULK_TIER=$F153))*((BULK_SKU="ALL")+(BULK_SKU=$G153))*(BULK_START&lt;=1)*(BULK_END&gt;=1)))&gt;0,IFERROR(SUMPRODUCT(((BULK_ENABLED="Y")*((BULK_TIER="ALL")+(BULK_TIER=$F153))*((BULK_SKU="ALL")+(BULK_SKU=$G153))*(BULK_START&lt;=1)*(BULK_END&gt;=1))*IFERROR(BULK_VALUE,0))/MAX(1,SUMPRODUCT(((BULK_ENABLED="Y")*((BULK_TIER="ALL")+(BULK_TIER=$F153))*((BULK_SKU="ALL")+(BULK_SKU=$G153))*(BULK_START&lt;=1)*(BULK_END&gt;=1)))),0),ROUND((INDEX(VELOCITY_TABLE,MATCH($F153,TIER_LIST,0),2))*(IF((1-$I153+1)&lt;=0,0,IF((1-$I153+1)=1,RAMP_W1,IF((1-$I153+1)=2,RAMP_W2,IF((1-$I153+1)=3,RAMP_W3,RAMP_W4PLUS)))))*(INDEX(ACTIVE_MULT_TABLE,2,1))*(1+SUMPRODUCT(SIGN(((ACT_DOOR_SCOPE="ALL")+(ACT_DOOR_SCOPE="TIER_"&amp;$F153)+(ACT_DOOR_SCOPE=$B153)))*SIGN(((ACT_SKU_SCOPE="ALL")+(ACT_SKU_SCOPE=$G153)))*(ACT_START&lt;=1)*(ACT_END&gt;=1)*IFERROR(ACT_UPLIFT-1,0)))*(1+SUMPRODUCT(SIGN(((ACT_DOOR_SCOPE="ALL")+(ACT_DOOR_SCOPE="TIER_"&amp;$F153)+(ACT_DOOR_SCOPE=$B153)))*SIGN(((ACT_SKU_SCOPE="ALL")+(ACT_SKU_SCOPE=$G153)))*(1&gt;ACT_END)*(ACT_END&gt;0)*IFERROR(ACT_POSTLIFT,0))),0)))</f>
        <v/>
      </c>
      <c r="K153" s="10">
        <f>IF(OR($H153&lt;&gt;"Y",2&lt;$I153),0,IF(SUMPRODUCT(((BULK_ENABLED="Y")*((BULK_TIER="ALL")+(BULK_TIER=$F153))*((BULK_SKU="ALL")+(BULK_SKU=$G153))*(BULK_START&lt;=2)*(BULK_END&gt;=2)))&gt;0,IFERROR(SUMPRODUCT(((BULK_ENABLED="Y")*((BULK_TIER="ALL")+(BULK_TIER=$F153))*((BULK_SKU="ALL")+(BULK_SKU=$G153))*(BULK_START&lt;=2)*(BULK_END&gt;=2))*IFERROR(BULK_VALUE,0))/MAX(1,SUMPRODUCT(((BULK_ENABLED="Y")*((BULK_TIER="ALL")+(BULK_TIER=$F153))*((BULK_SKU="ALL")+(BULK_SKU=$G153))*(BULK_START&lt;=2)*(BULK_END&gt;=2)))),0),ROUND((INDEX(VELOCITY_TABLE,MATCH($F153,TIER_LIST,0),2))*(IF((2-$I153+1)&lt;=0,0,IF((2-$I153+1)=1,RAMP_W1,IF((2-$I153+1)=2,RAMP_W2,IF((2-$I153+1)=3,RAMP_W3,RAMP_W4PLUS)))))*(INDEX(ACTIVE_MULT_TABLE,2,1))*(1+SUMPRODUCT(SIGN(((ACT_DOOR_SCOPE="ALL")+(ACT_DOOR_SCOPE="TIER_"&amp;$F153)+(ACT_DOOR_SCOPE=$B153)))*SIGN(((ACT_SKU_SCOPE="ALL")+(ACT_SKU_SCOPE=$G153)))*(ACT_START&lt;=2)*(ACT_END&gt;=2)*IFERROR(ACT_UPLIFT-1,0)))*(1+SUMPRODUCT(SIGN(((ACT_DOOR_SCOPE="ALL")+(ACT_DOOR_SCOPE="TIER_"&amp;$F153)+(ACT_DOOR_SCOPE=$B153)))*SIGN(((ACT_SKU_SCOPE="ALL")+(ACT_SKU_SCOPE=$G153)))*(2&gt;ACT_END)*(ACT_END&gt;0)*IFERROR(ACT_POSTLIFT,0))),0)))</f>
        <v/>
      </c>
      <c r="L153" s="10">
        <f>IF(OR($H153&lt;&gt;"Y",3&lt;$I153),0,IF(SUMPRODUCT(((BULK_ENABLED="Y")*((BULK_TIER="ALL")+(BULK_TIER=$F153))*((BULK_SKU="ALL")+(BULK_SKU=$G153))*(BULK_START&lt;=3)*(BULK_END&gt;=3)))&gt;0,IFERROR(SUMPRODUCT(((BULK_ENABLED="Y")*((BULK_TIER="ALL")+(BULK_TIER=$F153))*((BULK_SKU="ALL")+(BULK_SKU=$G153))*(BULK_START&lt;=3)*(BULK_END&gt;=3))*IFERROR(BULK_VALUE,0))/MAX(1,SUMPRODUCT(((BULK_ENABLED="Y")*((BULK_TIER="ALL")+(BULK_TIER=$F153))*((BULK_SKU="ALL")+(BULK_SKU=$G153))*(BULK_START&lt;=3)*(BULK_END&gt;=3)))),0),ROUND((INDEX(VELOCITY_TABLE,MATCH($F153,TIER_LIST,0),2))*(IF((3-$I153+1)&lt;=0,0,IF((3-$I153+1)=1,RAMP_W1,IF((3-$I153+1)=2,RAMP_W2,IF((3-$I153+1)=3,RAMP_W3,RAMP_W4PLUS)))))*(INDEX(ACTIVE_MULT_TABLE,2,1))*(1+SUMPRODUCT(SIGN(((ACT_DOOR_SCOPE="ALL")+(ACT_DOOR_SCOPE="TIER_"&amp;$F153)+(ACT_DOOR_SCOPE=$B153)))*SIGN(((ACT_SKU_SCOPE="ALL")+(ACT_SKU_SCOPE=$G153)))*(ACT_START&lt;=3)*(ACT_END&gt;=3)*IFERROR(ACT_UPLIFT-1,0)))*(1+SUMPRODUCT(SIGN(((ACT_DOOR_SCOPE="ALL")+(ACT_DOOR_SCOPE="TIER_"&amp;$F153)+(ACT_DOOR_SCOPE=$B153)))*SIGN(((ACT_SKU_SCOPE="ALL")+(ACT_SKU_SCOPE=$G153)))*(3&gt;ACT_END)*(ACT_END&gt;0)*IFERROR(ACT_POSTLIFT,0))),0)))</f>
        <v/>
      </c>
      <c r="M153" s="10">
        <f>IF(OR($H153&lt;&gt;"Y",4&lt;$I153),0,IF(SUMPRODUCT(((BULK_ENABLED="Y")*((BULK_TIER="ALL")+(BULK_TIER=$F153))*((BULK_SKU="ALL")+(BULK_SKU=$G153))*(BULK_START&lt;=4)*(BULK_END&gt;=4)))&gt;0,IFERROR(SUMPRODUCT(((BULK_ENABLED="Y")*((BULK_TIER="ALL")+(BULK_TIER=$F153))*((BULK_SKU="ALL")+(BULK_SKU=$G153))*(BULK_START&lt;=4)*(BULK_END&gt;=4))*IFERROR(BULK_VALUE,0))/MAX(1,SUMPRODUCT(((BULK_ENABLED="Y")*((BULK_TIER="ALL")+(BULK_TIER=$F153))*((BULK_SKU="ALL")+(BULK_SKU=$G153))*(BULK_START&lt;=4)*(BULK_END&gt;=4)))),0),ROUND((INDEX(VELOCITY_TABLE,MATCH($F153,TIER_LIST,0),2))*(IF((4-$I153+1)&lt;=0,0,IF((4-$I153+1)=1,RAMP_W1,IF((4-$I153+1)=2,RAMP_W2,IF((4-$I153+1)=3,RAMP_W3,RAMP_W4PLUS)))))*(INDEX(ACTIVE_MULT_TABLE,2,1))*(1+SUMPRODUCT(SIGN(((ACT_DOOR_SCOPE="ALL")+(ACT_DOOR_SCOPE="TIER_"&amp;$F153)+(ACT_DOOR_SCOPE=$B153)))*SIGN(((ACT_SKU_SCOPE="ALL")+(ACT_SKU_SCOPE=$G153)))*(ACT_START&lt;=4)*(ACT_END&gt;=4)*IFERROR(ACT_UPLIFT-1,0)))*(1+SUMPRODUCT(SIGN(((ACT_DOOR_SCOPE="ALL")+(ACT_DOOR_SCOPE="TIER_"&amp;$F153)+(ACT_DOOR_SCOPE=$B153)))*SIGN(((ACT_SKU_SCOPE="ALL")+(ACT_SKU_SCOPE=$G153)))*(4&gt;ACT_END)*(ACT_END&gt;0)*IFERROR(ACT_POSTLIFT,0))),0)))</f>
        <v/>
      </c>
      <c r="N153" s="10">
        <f>IF(OR($H153&lt;&gt;"Y",5&lt;$I153),0,IF(SUMPRODUCT(((BULK_ENABLED="Y")*((BULK_TIER="ALL")+(BULK_TIER=$F153))*((BULK_SKU="ALL")+(BULK_SKU=$G153))*(BULK_START&lt;=5)*(BULK_END&gt;=5)))&gt;0,IFERROR(SUMPRODUCT(((BULK_ENABLED="Y")*((BULK_TIER="ALL")+(BULK_TIER=$F153))*((BULK_SKU="ALL")+(BULK_SKU=$G153))*(BULK_START&lt;=5)*(BULK_END&gt;=5))*IFERROR(BULK_VALUE,0))/MAX(1,SUMPRODUCT(((BULK_ENABLED="Y")*((BULK_TIER="ALL")+(BULK_TIER=$F153))*((BULK_SKU="ALL")+(BULK_SKU=$G153))*(BULK_START&lt;=5)*(BULK_END&gt;=5)))),0),ROUND((INDEX(VELOCITY_TABLE,MATCH($F153,TIER_LIST,0),2))*(IF((5-$I153+1)&lt;=0,0,IF((5-$I153+1)=1,RAMP_W1,IF((5-$I153+1)=2,RAMP_W2,IF((5-$I153+1)=3,RAMP_W3,RAMP_W4PLUS)))))*(INDEX(ACTIVE_MULT_TABLE,2,1))*(1+SUMPRODUCT(SIGN(((ACT_DOOR_SCOPE="ALL")+(ACT_DOOR_SCOPE="TIER_"&amp;$F153)+(ACT_DOOR_SCOPE=$B153)))*SIGN(((ACT_SKU_SCOPE="ALL")+(ACT_SKU_SCOPE=$G153)))*(ACT_START&lt;=5)*(ACT_END&gt;=5)*IFERROR(ACT_UPLIFT-1,0)))*(1+SUMPRODUCT(SIGN(((ACT_DOOR_SCOPE="ALL")+(ACT_DOOR_SCOPE="TIER_"&amp;$F153)+(ACT_DOOR_SCOPE=$B153)))*SIGN(((ACT_SKU_SCOPE="ALL")+(ACT_SKU_SCOPE=$G153)))*(5&gt;ACT_END)*(ACT_END&gt;0)*IFERROR(ACT_POSTLIFT,0))),0)))</f>
        <v/>
      </c>
      <c r="O153" s="10">
        <f>IF(OR($H153&lt;&gt;"Y",6&lt;$I153),0,IF(SUMPRODUCT(((BULK_ENABLED="Y")*((BULK_TIER="ALL")+(BULK_TIER=$F153))*((BULK_SKU="ALL")+(BULK_SKU=$G153))*(BULK_START&lt;=6)*(BULK_END&gt;=6)))&gt;0,IFERROR(SUMPRODUCT(((BULK_ENABLED="Y")*((BULK_TIER="ALL")+(BULK_TIER=$F153))*((BULK_SKU="ALL")+(BULK_SKU=$G153))*(BULK_START&lt;=6)*(BULK_END&gt;=6))*IFERROR(BULK_VALUE,0))/MAX(1,SUMPRODUCT(((BULK_ENABLED="Y")*((BULK_TIER="ALL")+(BULK_TIER=$F153))*((BULK_SKU="ALL")+(BULK_SKU=$G153))*(BULK_START&lt;=6)*(BULK_END&gt;=6)))),0),ROUND((INDEX(VELOCITY_TABLE,MATCH($F153,TIER_LIST,0),2))*(IF((6-$I153+1)&lt;=0,0,IF((6-$I153+1)=1,RAMP_W1,IF((6-$I153+1)=2,RAMP_W2,IF((6-$I153+1)=3,RAMP_W3,RAMP_W4PLUS)))))*(INDEX(ACTIVE_MULT_TABLE,2,1))*(1+SUMPRODUCT(SIGN(((ACT_DOOR_SCOPE="ALL")+(ACT_DOOR_SCOPE="TIER_"&amp;$F153)+(ACT_DOOR_SCOPE=$B153)))*SIGN(((ACT_SKU_SCOPE="ALL")+(ACT_SKU_SCOPE=$G153)))*(ACT_START&lt;=6)*(ACT_END&gt;=6)*IFERROR(ACT_UPLIFT-1,0)))*(1+SUMPRODUCT(SIGN(((ACT_DOOR_SCOPE="ALL")+(ACT_DOOR_SCOPE="TIER_"&amp;$F153)+(ACT_DOOR_SCOPE=$B153)))*SIGN(((ACT_SKU_SCOPE="ALL")+(ACT_SKU_SCOPE=$G153)))*(6&gt;ACT_END)*(ACT_END&gt;0)*IFERROR(ACT_POSTLIFT,0))),0)))</f>
        <v/>
      </c>
      <c r="P153" s="10">
        <f>IF(OR($H153&lt;&gt;"Y",7&lt;$I153),0,IF(SUMPRODUCT(((BULK_ENABLED="Y")*((BULK_TIER="ALL")+(BULK_TIER=$F153))*((BULK_SKU="ALL")+(BULK_SKU=$G153))*(BULK_START&lt;=7)*(BULK_END&gt;=7)))&gt;0,IFERROR(SUMPRODUCT(((BULK_ENABLED="Y")*((BULK_TIER="ALL")+(BULK_TIER=$F153))*((BULK_SKU="ALL")+(BULK_SKU=$G153))*(BULK_START&lt;=7)*(BULK_END&gt;=7))*IFERROR(BULK_VALUE,0))/MAX(1,SUMPRODUCT(((BULK_ENABLED="Y")*((BULK_TIER="ALL")+(BULK_TIER=$F153))*((BULK_SKU="ALL")+(BULK_SKU=$G153))*(BULK_START&lt;=7)*(BULK_END&gt;=7)))),0),ROUND((INDEX(VELOCITY_TABLE,MATCH($F153,TIER_LIST,0),2))*(IF((7-$I153+1)&lt;=0,0,IF((7-$I153+1)=1,RAMP_W1,IF((7-$I153+1)=2,RAMP_W2,IF((7-$I153+1)=3,RAMP_W3,RAMP_W4PLUS)))))*(INDEX(ACTIVE_MULT_TABLE,2,1))*(1+SUMPRODUCT(SIGN(((ACT_DOOR_SCOPE="ALL")+(ACT_DOOR_SCOPE="TIER_"&amp;$F153)+(ACT_DOOR_SCOPE=$B153)))*SIGN(((ACT_SKU_SCOPE="ALL")+(ACT_SKU_SCOPE=$G153)))*(ACT_START&lt;=7)*(ACT_END&gt;=7)*IFERROR(ACT_UPLIFT-1,0)))*(1+SUMPRODUCT(SIGN(((ACT_DOOR_SCOPE="ALL")+(ACT_DOOR_SCOPE="TIER_"&amp;$F153)+(ACT_DOOR_SCOPE=$B153)))*SIGN(((ACT_SKU_SCOPE="ALL")+(ACT_SKU_SCOPE=$G153)))*(7&gt;ACT_END)*(ACT_END&gt;0)*IFERROR(ACT_POSTLIFT,0))),0)))</f>
        <v/>
      </c>
      <c r="Q153" s="10">
        <f>IF(OR($H153&lt;&gt;"Y",8&lt;$I153),0,IF(SUMPRODUCT(((BULK_ENABLED="Y")*((BULK_TIER="ALL")+(BULK_TIER=$F153))*((BULK_SKU="ALL")+(BULK_SKU=$G153))*(BULK_START&lt;=8)*(BULK_END&gt;=8)))&gt;0,IFERROR(SUMPRODUCT(((BULK_ENABLED="Y")*((BULK_TIER="ALL")+(BULK_TIER=$F153))*((BULK_SKU="ALL")+(BULK_SKU=$G153))*(BULK_START&lt;=8)*(BULK_END&gt;=8))*IFERROR(BULK_VALUE,0))/MAX(1,SUMPRODUCT(((BULK_ENABLED="Y")*((BULK_TIER="ALL")+(BULK_TIER=$F153))*((BULK_SKU="ALL")+(BULK_SKU=$G153))*(BULK_START&lt;=8)*(BULK_END&gt;=8)))),0),ROUND((INDEX(VELOCITY_TABLE,MATCH($F153,TIER_LIST,0),2))*(IF((8-$I153+1)&lt;=0,0,IF((8-$I153+1)=1,RAMP_W1,IF((8-$I153+1)=2,RAMP_W2,IF((8-$I153+1)=3,RAMP_W3,RAMP_W4PLUS)))))*(INDEX(ACTIVE_MULT_TABLE,2,1))*(1+SUMPRODUCT(SIGN(((ACT_DOOR_SCOPE="ALL")+(ACT_DOOR_SCOPE="TIER_"&amp;$F153)+(ACT_DOOR_SCOPE=$B153)))*SIGN(((ACT_SKU_SCOPE="ALL")+(ACT_SKU_SCOPE=$G153)))*(ACT_START&lt;=8)*(ACT_END&gt;=8)*IFERROR(ACT_UPLIFT-1,0)))*(1+SUMPRODUCT(SIGN(((ACT_DOOR_SCOPE="ALL")+(ACT_DOOR_SCOPE="TIER_"&amp;$F153)+(ACT_DOOR_SCOPE=$B153)))*SIGN(((ACT_SKU_SCOPE="ALL")+(ACT_SKU_SCOPE=$G153)))*(8&gt;ACT_END)*(ACT_END&gt;0)*IFERROR(ACT_POSTLIFT,0))),0)))</f>
        <v/>
      </c>
      <c r="R153" s="10">
        <f>IF(OR($H153&lt;&gt;"Y",9&lt;$I153),0,IF(SUMPRODUCT(((BULK_ENABLED="Y")*((BULK_TIER="ALL")+(BULK_TIER=$F153))*((BULK_SKU="ALL")+(BULK_SKU=$G153))*(BULK_START&lt;=9)*(BULK_END&gt;=9)))&gt;0,IFERROR(SUMPRODUCT(((BULK_ENABLED="Y")*((BULK_TIER="ALL")+(BULK_TIER=$F153))*((BULK_SKU="ALL")+(BULK_SKU=$G153))*(BULK_START&lt;=9)*(BULK_END&gt;=9))*IFERROR(BULK_VALUE,0))/MAX(1,SUMPRODUCT(((BULK_ENABLED="Y")*((BULK_TIER="ALL")+(BULK_TIER=$F153))*((BULK_SKU="ALL")+(BULK_SKU=$G153))*(BULK_START&lt;=9)*(BULK_END&gt;=9)))),0),ROUND((INDEX(VELOCITY_TABLE,MATCH($F153,TIER_LIST,0),2))*(IF((9-$I153+1)&lt;=0,0,IF((9-$I153+1)=1,RAMP_W1,IF((9-$I153+1)=2,RAMP_W2,IF((9-$I153+1)=3,RAMP_W3,RAMP_W4PLUS)))))*(INDEX(ACTIVE_MULT_TABLE,2,1))*(1+SUMPRODUCT(SIGN(((ACT_DOOR_SCOPE="ALL")+(ACT_DOOR_SCOPE="TIER_"&amp;$F153)+(ACT_DOOR_SCOPE=$B153)))*SIGN(((ACT_SKU_SCOPE="ALL")+(ACT_SKU_SCOPE=$G153)))*(ACT_START&lt;=9)*(ACT_END&gt;=9)*IFERROR(ACT_UPLIFT-1,0)))*(1+SUMPRODUCT(SIGN(((ACT_DOOR_SCOPE="ALL")+(ACT_DOOR_SCOPE="TIER_"&amp;$F153)+(ACT_DOOR_SCOPE=$B153)))*SIGN(((ACT_SKU_SCOPE="ALL")+(ACT_SKU_SCOPE=$G153)))*(9&gt;ACT_END)*(ACT_END&gt;0)*IFERROR(ACT_POSTLIFT,0))),0)))</f>
        <v/>
      </c>
      <c r="S153" s="10">
        <f>IF(OR($H153&lt;&gt;"Y",10&lt;$I153),0,IF(SUMPRODUCT(((BULK_ENABLED="Y")*((BULK_TIER="ALL")+(BULK_TIER=$F153))*((BULK_SKU="ALL")+(BULK_SKU=$G153))*(BULK_START&lt;=10)*(BULK_END&gt;=10)))&gt;0,IFERROR(SUMPRODUCT(((BULK_ENABLED="Y")*((BULK_TIER="ALL")+(BULK_TIER=$F153))*((BULK_SKU="ALL")+(BULK_SKU=$G153))*(BULK_START&lt;=10)*(BULK_END&gt;=10))*IFERROR(BULK_VALUE,0))/MAX(1,SUMPRODUCT(((BULK_ENABLED="Y")*((BULK_TIER="ALL")+(BULK_TIER=$F153))*((BULK_SKU="ALL")+(BULK_SKU=$G153))*(BULK_START&lt;=10)*(BULK_END&gt;=10)))),0),ROUND((INDEX(VELOCITY_TABLE,MATCH($F153,TIER_LIST,0),2))*(IF((10-$I153+1)&lt;=0,0,IF((10-$I153+1)=1,RAMP_W1,IF((10-$I153+1)=2,RAMP_W2,IF((10-$I153+1)=3,RAMP_W3,RAMP_W4PLUS)))))*(INDEX(ACTIVE_MULT_TABLE,2,1))*(1+SUMPRODUCT(SIGN(((ACT_DOOR_SCOPE="ALL")+(ACT_DOOR_SCOPE="TIER_"&amp;$F153)+(ACT_DOOR_SCOPE=$B153)))*SIGN(((ACT_SKU_SCOPE="ALL")+(ACT_SKU_SCOPE=$G153)))*(ACT_START&lt;=10)*(ACT_END&gt;=10)*IFERROR(ACT_UPLIFT-1,0)))*(1+SUMPRODUCT(SIGN(((ACT_DOOR_SCOPE="ALL")+(ACT_DOOR_SCOPE="TIER_"&amp;$F153)+(ACT_DOOR_SCOPE=$B153)))*SIGN(((ACT_SKU_SCOPE="ALL")+(ACT_SKU_SCOPE=$G153)))*(10&gt;ACT_END)*(ACT_END&gt;0)*IFERROR(ACT_POSTLIFT,0))),0)))</f>
        <v/>
      </c>
      <c r="T153" s="10">
        <f>IF(OR($H153&lt;&gt;"Y",11&lt;$I153),0,IF(SUMPRODUCT(((BULK_ENABLED="Y")*((BULK_TIER="ALL")+(BULK_TIER=$F153))*((BULK_SKU="ALL")+(BULK_SKU=$G153))*(BULK_START&lt;=11)*(BULK_END&gt;=11)))&gt;0,IFERROR(SUMPRODUCT(((BULK_ENABLED="Y")*((BULK_TIER="ALL")+(BULK_TIER=$F153))*((BULK_SKU="ALL")+(BULK_SKU=$G153))*(BULK_START&lt;=11)*(BULK_END&gt;=11))*IFERROR(BULK_VALUE,0))/MAX(1,SUMPRODUCT(((BULK_ENABLED="Y")*((BULK_TIER="ALL")+(BULK_TIER=$F153))*((BULK_SKU="ALL")+(BULK_SKU=$G153))*(BULK_START&lt;=11)*(BULK_END&gt;=11)))),0),ROUND((INDEX(VELOCITY_TABLE,MATCH($F153,TIER_LIST,0),2))*(IF((11-$I153+1)&lt;=0,0,IF((11-$I153+1)=1,RAMP_W1,IF((11-$I153+1)=2,RAMP_W2,IF((11-$I153+1)=3,RAMP_W3,RAMP_W4PLUS)))))*(INDEX(ACTIVE_MULT_TABLE,2,1))*(1+SUMPRODUCT(SIGN(((ACT_DOOR_SCOPE="ALL")+(ACT_DOOR_SCOPE="TIER_"&amp;$F153)+(ACT_DOOR_SCOPE=$B153)))*SIGN(((ACT_SKU_SCOPE="ALL")+(ACT_SKU_SCOPE=$G153)))*(ACT_START&lt;=11)*(ACT_END&gt;=11)*IFERROR(ACT_UPLIFT-1,0)))*(1+SUMPRODUCT(SIGN(((ACT_DOOR_SCOPE="ALL")+(ACT_DOOR_SCOPE="TIER_"&amp;$F153)+(ACT_DOOR_SCOPE=$B153)))*SIGN(((ACT_SKU_SCOPE="ALL")+(ACT_SKU_SCOPE=$G153)))*(11&gt;ACT_END)*(ACT_END&gt;0)*IFERROR(ACT_POSTLIFT,0))),0)))</f>
        <v/>
      </c>
      <c r="U153" s="10">
        <f>IF(OR($H153&lt;&gt;"Y",12&lt;$I153),0,IF(SUMPRODUCT(((BULK_ENABLED="Y")*((BULK_TIER="ALL")+(BULK_TIER=$F153))*((BULK_SKU="ALL")+(BULK_SKU=$G153))*(BULK_START&lt;=12)*(BULK_END&gt;=12)))&gt;0,IFERROR(SUMPRODUCT(((BULK_ENABLED="Y")*((BULK_TIER="ALL")+(BULK_TIER=$F153))*((BULK_SKU="ALL")+(BULK_SKU=$G153))*(BULK_START&lt;=12)*(BULK_END&gt;=12))*IFERROR(BULK_VALUE,0))/MAX(1,SUMPRODUCT(((BULK_ENABLED="Y")*((BULK_TIER="ALL")+(BULK_TIER=$F153))*((BULK_SKU="ALL")+(BULK_SKU=$G153))*(BULK_START&lt;=12)*(BULK_END&gt;=12)))),0),ROUND((INDEX(VELOCITY_TABLE,MATCH($F153,TIER_LIST,0),2))*(IF((12-$I153+1)&lt;=0,0,IF((12-$I153+1)=1,RAMP_W1,IF((12-$I153+1)=2,RAMP_W2,IF((12-$I153+1)=3,RAMP_W3,RAMP_W4PLUS)))))*(INDEX(ACTIVE_MULT_TABLE,2,1))*(1+SUMPRODUCT(SIGN(((ACT_DOOR_SCOPE="ALL")+(ACT_DOOR_SCOPE="TIER_"&amp;$F153)+(ACT_DOOR_SCOPE=$B153)))*SIGN(((ACT_SKU_SCOPE="ALL")+(ACT_SKU_SCOPE=$G153)))*(ACT_START&lt;=12)*(ACT_END&gt;=12)*IFERROR(ACT_UPLIFT-1,0)))*(1+SUMPRODUCT(SIGN(((ACT_DOOR_SCOPE="ALL")+(ACT_DOOR_SCOPE="TIER_"&amp;$F153)+(ACT_DOOR_SCOPE=$B153)))*SIGN(((ACT_SKU_SCOPE="ALL")+(ACT_SKU_SCOPE=$G153)))*(12&gt;ACT_END)*(ACT_END&gt;0)*IFERROR(ACT_POSTLIFT,0))),0)))</f>
        <v/>
      </c>
      <c r="V153" s="10">
        <f>IF(OR($H153&lt;&gt;"Y",13&lt;$I153),0,IF(SUMPRODUCT(((BULK_ENABLED="Y")*((BULK_TIER="ALL")+(BULK_TIER=$F153))*((BULK_SKU="ALL")+(BULK_SKU=$G153))*(BULK_START&lt;=13)*(BULK_END&gt;=13)))&gt;0,IFERROR(SUMPRODUCT(((BULK_ENABLED="Y")*((BULK_TIER="ALL")+(BULK_TIER=$F153))*((BULK_SKU="ALL")+(BULK_SKU=$G153))*(BULK_START&lt;=13)*(BULK_END&gt;=13))*IFERROR(BULK_VALUE,0))/MAX(1,SUMPRODUCT(((BULK_ENABLED="Y")*((BULK_TIER="ALL")+(BULK_TIER=$F153))*((BULK_SKU="ALL")+(BULK_SKU=$G153))*(BULK_START&lt;=13)*(BULK_END&gt;=13)))),0),ROUND((INDEX(VELOCITY_TABLE,MATCH($F153,TIER_LIST,0),2))*(IF((13-$I153+1)&lt;=0,0,IF((13-$I153+1)=1,RAMP_W1,IF((13-$I153+1)=2,RAMP_W2,IF((13-$I153+1)=3,RAMP_W3,RAMP_W4PLUS)))))*(INDEX(ACTIVE_MULT_TABLE,2,1))*(1+SUMPRODUCT(SIGN(((ACT_DOOR_SCOPE="ALL")+(ACT_DOOR_SCOPE="TIER_"&amp;$F153)+(ACT_DOOR_SCOPE=$B153)))*SIGN(((ACT_SKU_SCOPE="ALL")+(ACT_SKU_SCOPE=$G153)))*(ACT_START&lt;=13)*(ACT_END&gt;=13)*IFERROR(ACT_UPLIFT-1,0)))*(1+SUMPRODUCT(SIGN(((ACT_DOOR_SCOPE="ALL")+(ACT_DOOR_SCOPE="TIER_"&amp;$F153)+(ACT_DOOR_SCOPE=$B153)))*SIGN(((ACT_SKU_SCOPE="ALL")+(ACT_SKU_SCOPE=$G153)))*(13&gt;ACT_END)*(ACT_END&gt;0)*IFERROR(ACT_POSTLIFT,0))),0)))</f>
        <v/>
      </c>
    </row>
    <row r="154">
      <c r="A154" t="inlineStr">
        <is>
          <t>R0150</t>
        </is>
      </c>
      <c r="B154">
        <f>Doors!$A$54</f>
        <v/>
      </c>
      <c r="C154">
        <f>Doors!$C$54</f>
        <v/>
      </c>
      <c r="D154">
        <f>Doors!$B$54</f>
        <v/>
      </c>
      <c r="E154">
        <f>Doors!$E$54</f>
        <v/>
      </c>
      <c r="F154">
        <f>Doors!$F$54</f>
        <v/>
      </c>
      <c r="G154" t="inlineStr">
        <is>
          <t>Raspberry</t>
        </is>
      </c>
      <c r="H154">
        <f>Doors!$I$54</f>
        <v/>
      </c>
      <c r="I154">
        <f>Doors!$J$54</f>
        <v/>
      </c>
      <c r="J154" s="10">
        <f>IF(OR($H154&lt;&gt;"Y",1&lt;$I154),0,IF(SUMPRODUCT(((BULK_ENABLED="Y")*((BULK_TIER="ALL")+(BULK_TIER=$F154))*((BULK_SKU="ALL")+(BULK_SKU=$G154))*(BULK_START&lt;=1)*(BULK_END&gt;=1)))&gt;0,IFERROR(SUMPRODUCT(((BULK_ENABLED="Y")*((BULK_TIER="ALL")+(BULK_TIER=$F154))*((BULK_SKU="ALL")+(BULK_SKU=$G154))*(BULK_START&lt;=1)*(BULK_END&gt;=1))*IFERROR(BULK_VALUE,0))/MAX(1,SUMPRODUCT(((BULK_ENABLED="Y")*((BULK_TIER="ALL")+(BULK_TIER=$F154))*((BULK_SKU="ALL")+(BULK_SKU=$G154))*(BULK_START&lt;=1)*(BULK_END&gt;=1)))),0),ROUND((INDEX(VELOCITY_TABLE,MATCH($F154,TIER_LIST,0),3))*(IF((1-$I154+1)&lt;=0,0,IF((1-$I154+1)=1,RAMP_W1,IF((1-$I154+1)=2,RAMP_W2,IF((1-$I154+1)=3,RAMP_W3,RAMP_W4PLUS)))))*(INDEX(ACTIVE_MULT_TABLE,3,1))*(1+SUMPRODUCT(SIGN(((ACT_DOOR_SCOPE="ALL")+(ACT_DOOR_SCOPE="TIER_"&amp;$F154)+(ACT_DOOR_SCOPE=$B154)))*SIGN(((ACT_SKU_SCOPE="ALL")+(ACT_SKU_SCOPE=$G154)))*(ACT_START&lt;=1)*(ACT_END&gt;=1)*IFERROR(ACT_UPLIFT-1,0)))*(1+SUMPRODUCT(SIGN(((ACT_DOOR_SCOPE="ALL")+(ACT_DOOR_SCOPE="TIER_"&amp;$F154)+(ACT_DOOR_SCOPE=$B154)))*SIGN(((ACT_SKU_SCOPE="ALL")+(ACT_SKU_SCOPE=$G154)))*(1&gt;ACT_END)*(ACT_END&gt;0)*IFERROR(ACT_POSTLIFT,0))),0)))</f>
        <v/>
      </c>
      <c r="K154" s="10">
        <f>IF(OR($H154&lt;&gt;"Y",2&lt;$I154),0,IF(SUMPRODUCT(((BULK_ENABLED="Y")*((BULK_TIER="ALL")+(BULK_TIER=$F154))*((BULK_SKU="ALL")+(BULK_SKU=$G154))*(BULK_START&lt;=2)*(BULK_END&gt;=2)))&gt;0,IFERROR(SUMPRODUCT(((BULK_ENABLED="Y")*((BULK_TIER="ALL")+(BULK_TIER=$F154))*((BULK_SKU="ALL")+(BULK_SKU=$G154))*(BULK_START&lt;=2)*(BULK_END&gt;=2))*IFERROR(BULK_VALUE,0))/MAX(1,SUMPRODUCT(((BULK_ENABLED="Y")*((BULK_TIER="ALL")+(BULK_TIER=$F154))*((BULK_SKU="ALL")+(BULK_SKU=$G154))*(BULK_START&lt;=2)*(BULK_END&gt;=2)))),0),ROUND((INDEX(VELOCITY_TABLE,MATCH($F154,TIER_LIST,0),3))*(IF((2-$I154+1)&lt;=0,0,IF((2-$I154+1)=1,RAMP_W1,IF((2-$I154+1)=2,RAMP_W2,IF((2-$I154+1)=3,RAMP_W3,RAMP_W4PLUS)))))*(INDEX(ACTIVE_MULT_TABLE,3,1))*(1+SUMPRODUCT(SIGN(((ACT_DOOR_SCOPE="ALL")+(ACT_DOOR_SCOPE="TIER_"&amp;$F154)+(ACT_DOOR_SCOPE=$B154)))*SIGN(((ACT_SKU_SCOPE="ALL")+(ACT_SKU_SCOPE=$G154)))*(ACT_START&lt;=2)*(ACT_END&gt;=2)*IFERROR(ACT_UPLIFT-1,0)))*(1+SUMPRODUCT(SIGN(((ACT_DOOR_SCOPE="ALL")+(ACT_DOOR_SCOPE="TIER_"&amp;$F154)+(ACT_DOOR_SCOPE=$B154)))*SIGN(((ACT_SKU_SCOPE="ALL")+(ACT_SKU_SCOPE=$G154)))*(2&gt;ACT_END)*(ACT_END&gt;0)*IFERROR(ACT_POSTLIFT,0))),0)))</f>
        <v/>
      </c>
      <c r="L154" s="10">
        <f>IF(OR($H154&lt;&gt;"Y",3&lt;$I154),0,IF(SUMPRODUCT(((BULK_ENABLED="Y")*((BULK_TIER="ALL")+(BULK_TIER=$F154))*((BULK_SKU="ALL")+(BULK_SKU=$G154))*(BULK_START&lt;=3)*(BULK_END&gt;=3)))&gt;0,IFERROR(SUMPRODUCT(((BULK_ENABLED="Y")*((BULK_TIER="ALL")+(BULK_TIER=$F154))*((BULK_SKU="ALL")+(BULK_SKU=$G154))*(BULK_START&lt;=3)*(BULK_END&gt;=3))*IFERROR(BULK_VALUE,0))/MAX(1,SUMPRODUCT(((BULK_ENABLED="Y")*((BULK_TIER="ALL")+(BULK_TIER=$F154))*((BULK_SKU="ALL")+(BULK_SKU=$G154))*(BULK_START&lt;=3)*(BULK_END&gt;=3)))),0),ROUND((INDEX(VELOCITY_TABLE,MATCH($F154,TIER_LIST,0),3))*(IF((3-$I154+1)&lt;=0,0,IF((3-$I154+1)=1,RAMP_W1,IF((3-$I154+1)=2,RAMP_W2,IF((3-$I154+1)=3,RAMP_W3,RAMP_W4PLUS)))))*(INDEX(ACTIVE_MULT_TABLE,3,1))*(1+SUMPRODUCT(SIGN(((ACT_DOOR_SCOPE="ALL")+(ACT_DOOR_SCOPE="TIER_"&amp;$F154)+(ACT_DOOR_SCOPE=$B154)))*SIGN(((ACT_SKU_SCOPE="ALL")+(ACT_SKU_SCOPE=$G154)))*(ACT_START&lt;=3)*(ACT_END&gt;=3)*IFERROR(ACT_UPLIFT-1,0)))*(1+SUMPRODUCT(SIGN(((ACT_DOOR_SCOPE="ALL")+(ACT_DOOR_SCOPE="TIER_"&amp;$F154)+(ACT_DOOR_SCOPE=$B154)))*SIGN(((ACT_SKU_SCOPE="ALL")+(ACT_SKU_SCOPE=$G154)))*(3&gt;ACT_END)*(ACT_END&gt;0)*IFERROR(ACT_POSTLIFT,0))),0)))</f>
        <v/>
      </c>
      <c r="M154" s="10">
        <f>IF(OR($H154&lt;&gt;"Y",4&lt;$I154),0,IF(SUMPRODUCT(((BULK_ENABLED="Y")*((BULK_TIER="ALL")+(BULK_TIER=$F154))*((BULK_SKU="ALL")+(BULK_SKU=$G154))*(BULK_START&lt;=4)*(BULK_END&gt;=4)))&gt;0,IFERROR(SUMPRODUCT(((BULK_ENABLED="Y")*((BULK_TIER="ALL")+(BULK_TIER=$F154))*((BULK_SKU="ALL")+(BULK_SKU=$G154))*(BULK_START&lt;=4)*(BULK_END&gt;=4))*IFERROR(BULK_VALUE,0))/MAX(1,SUMPRODUCT(((BULK_ENABLED="Y")*((BULK_TIER="ALL")+(BULK_TIER=$F154))*((BULK_SKU="ALL")+(BULK_SKU=$G154))*(BULK_START&lt;=4)*(BULK_END&gt;=4)))),0),ROUND((INDEX(VELOCITY_TABLE,MATCH($F154,TIER_LIST,0),3))*(IF((4-$I154+1)&lt;=0,0,IF((4-$I154+1)=1,RAMP_W1,IF((4-$I154+1)=2,RAMP_W2,IF((4-$I154+1)=3,RAMP_W3,RAMP_W4PLUS)))))*(INDEX(ACTIVE_MULT_TABLE,3,1))*(1+SUMPRODUCT(SIGN(((ACT_DOOR_SCOPE="ALL")+(ACT_DOOR_SCOPE="TIER_"&amp;$F154)+(ACT_DOOR_SCOPE=$B154)))*SIGN(((ACT_SKU_SCOPE="ALL")+(ACT_SKU_SCOPE=$G154)))*(ACT_START&lt;=4)*(ACT_END&gt;=4)*IFERROR(ACT_UPLIFT-1,0)))*(1+SUMPRODUCT(SIGN(((ACT_DOOR_SCOPE="ALL")+(ACT_DOOR_SCOPE="TIER_"&amp;$F154)+(ACT_DOOR_SCOPE=$B154)))*SIGN(((ACT_SKU_SCOPE="ALL")+(ACT_SKU_SCOPE=$G154)))*(4&gt;ACT_END)*(ACT_END&gt;0)*IFERROR(ACT_POSTLIFT,0))),0)))</f>
        <v/>
      </c>
      <c r="N154" s="10">
        <f>IF(OR($H154&lt;&gt;"Y",5&lt;$I154),0,IF(SUMPRODUCT(((BULK_ENABLED="Y")*((BULK_TIER="ALL")+(BULK_TIER=$F154))*((BULK_SKU="ALL")+(BULK_SKU=$G154))*(BULK_START&lt;=5)*(BULK_END&gt;=5)))&gt;0,IFERROR(SUMPRODUCT(((BULK_ENABLED="Y")*((BULK_TIER="ALL")+(BULK_TIER=$F154))*((BULK_SKU="ALL")+(BULK_SKU=$G154))*(BULK_START&lt;=5)*(BULK_END&gt;=5))*IFERROR(BULK_VALUE,0))/MAX(1,SUMPRODUCT(((BULK_ENABLED="Y")*((BULK_TIER="ALL")+(BULK_TIER=$F154))*((BULK_SKU="ALL")+(BULK_SKU=$G154))*(BULK_START&lt;=5)*(BULK_END&gt;=5)))),0),ROUND((INDEX(VELOCITY_TABLE,MATCH($F154,TIER_LIST,0),3))*(IF((5-$I154+1)&lt;=0,0,IF((5-$I154+1)=1,RAMP_W1,IF((5-$I154+1)=2,RAMP_W2,IF((5-$I154+1)=3,RAMP_W3,RAMP_W4PLUS)))))*(INDEX(ACTIVE_MULT_TABLE,3,1))*(1+SUMPRODUCT(SIGN(((ACT_DOOR_SCOPE="ALL")+(ACT_DOOR_SCOPE="TIER_"&amp;$F154)+(ACT_DOOR_SCOPE=$B154)))*SIGN(((ACT_SKU_SCOPE="ALL")+(ACT_SKU_SCOPE=$G154)))*(ACT_START&lt;=5)*(ACT_END&gt;=5)*IFERROR(ACT_UPLIFT-1,0)))*(1+SUMPRODUCT(SIGN(((ACT_DOOR_SCOPE="ALL")+(ACT_DOOR_SCOPE="TIER_"&amp;$F154)+(ACT_DOOR_SCOPE=$B154)))*SIGN(((ACT_SKU_SCOPE="ALL")+(ACT_SKU_SCOPE=$G154)))*(5&gt;ACT_END)*(ACT_END&gt;0)*IFERROR(ACT_POSTLIFT,0))),0)))</f>
        <v/>
      </c>
      <c r="O154" s="10">
        <f>IF(OR($H154&lt;&gt;"Y",6&lt;$I154),0,IF(SUMPRODUCT(((BULK_ENABLED="Y")*((BULK_TIER="ALL")+(BULK_TIER=$F154))*((BULK_SKU="ALL")+(BULK_SKU=$G154))*(BULK_START&lt;=6)*(BULK_END&gt;=6)))&gt;0,IFERROR(SUMPRODUCT(((BULK_ENABLED="Y")*((BULK_TIER="ALL")+(BULK_TIER=$F154))*((BULK_SKU="ALL")+(BULK_SKU=$G154))*(BULK_START&lt;=6)*(BULK_END&gt;=6))*IFERROR(BULK_VALUE,0))/MAX(1,SUMPRODUCT(((BULK_ENABLED="Y")*((BULK_TIER="ALL")+(BULK_TIER=$F154))*((BULK_SKU="ALL")+(BULK_SKU=$G154))*(BULK_START&lt;=6)*(BULK_END&gt;=6)))),0),ROUND((INDEX(VELOCITY_TABLE,MATCH($F154,TIER_LIST,0),3))*(IF((6-$I154+1)&lt;=0,0,IF((6-$I154+1)=1,RAMP_W1,IF((6-$I154+1)=2,RAMP_W2,IF((6-$I154+1)=3,RAMP_W3,RAMP_W4PLUS)))))*(INDEX(ACTIVE_MULT_TABLE,3,1))*(1+SUMPRODUCT(SIGN(((ACT_DOOR_SCOPE="ALL")+(ACT_DOOR_SCOPE="TIER_"&amp;$F154)+(ACT_DOOR_SCOPE=$B154)))*SIGN(((ACT_SKU_SCOPE="ALL")+(ACT_SKU_SCOPE=$G154)))*(ACT_START&lt;=6)*(ACT_END&gt;=6)*IFERROR(ACT_UPLIFT-1,0)))*(1+SUMPRODUCT(SIGN(((ACT_DOOR_SCOPE="ALL")+(ACT_DOOR_SCOPE="TIER_"&amp;$F154)+(ACT_DOOR_SCOPE=$B154)))*SIGN(((ACT_SKU_SCOPE="ALL")+(ACT_SKU_SCOPE=$G154)))*(6&gt;ACT_END)*(ACT_END&gt;0)*IFERROR(ACT_POSTLIFT,0))),0)))</f>
        <v/>
      </c>
      <c r="P154" s="10">
        <f>IF(OR($H154&lt;&gt;"Y",7&lt;$I154),0,IF(SUMPRODUCT(((BULK_ENABLED="Y")*((BULK_TIER="ALL")+(BULK_TIER=$F154))*((BULK_SKU="ALL")+(BULK_SKU=$G154))*(BULK_START&lt;=7)*(BULK_END&gt;=7)))&gt;0,IFERROR(SUMPRODUCT(((BULK_ENABLED="Y")*((BULK_TIER="ALL")+(BULK_TIER=$F154))*((BULK_SKU="ALL")+(BULK_SKU=$G154))*(BULK_START&lt;=7)*(BULK_END&gt;=7))*IFERROR(BULK_VALUE,0))/MAX(1,SUMPRODUCT(((BULK_ENABLED="Y")*((BULK_TIER="ALL")+(BULK_TIER=$F154))*((BULK_SKU="ALL")+(BULK_SKU=$G154))*(BULK_START&lt;=7)*(BULK_END&gt;=7)))),0),ROUND((INDEX(VELOCITY_TABLE,MATCH($F154,TIER_LIST,0),3))*(IF((7-$I154+1)&lt;=0,0,IF((7-$I154+1)=1,RAMP_W1,IF((7-$I154+1)=2,RAMP_W2,IF((7-$I154+1)=3,RAMP_W3,RAMP_W4PLUS)))))*(INDEX(ACTIVE_MULT_TABLE,3,1))*(1+SUMPRODUCT(SIGN(((ACT_DOOR_SCOPE="ALL")+(ACT_DOOR_SCOPE="TIER_"&amp;$F154)+(ACT_DOOR_SCOPE=$B154)))*SIGN(((ACT_SKU_SCOPE="ALL")+(ACT_SKU_SCOPE=$G154)))*(ACT_START&lt;=7)*(ACT_END&gt;=7)*IFERROR(ACT_UPLIFT-1,0)))*(1+SUMPRODUCT(SIGN(((ACT_DOOR_SCOPE="ALL")+(ACT_DOOR_SCOPE="TIER_"&amp;$F154)+(ACT_DOOR_SCOPE=$B154)))*SIGN(((ACT_SKU_SCOPE="ALL")+(ACT_SKU_SCOPE=$G154)))*(7&gt;ACT_END)*(ACT_END&gt;0)*IFERROR(ACT_POSTLIFT,0))),0)))</f>
        <v/>
      </c>
      <c r="Q154" s="10">
        <f>IF(OR($H154&lt;&gt;"Y",8&lt;$I154),0,IF(SUMPRODUCT(((BULK_ENABLED="Y")*((BULK_TIER="ALL")+(BULK_TIER=$F154))*((BULK_SKU="ALL")+(BULK_SKU=$G154))*(BULK_START&lt;=8)*(BULK_END&gt;=8)))&gt;0,IFERROR(SUMPRODUCT(((BULK_ENABLED="Y")*((BULK_TIER="ALL")+(BULK_TIER=$F154))*((BULK_SKU="ALL")+(BULK_SKU=$G154))*(BULK_START&lt;=8)*(BULK_END&gt;=8))*IFERROR(BULK_VALUE,0))/MAX(1,SUMPRODUCT(((BULK_ENABLED="Y")*((BULK_TIER="ALL")+(BULK_TIER=$F154))*((BULK_SKU="ALL")+(BULK_SKU=$G154))*(BULK_START&lt;=8)*(BULK_END&gt;=8)))),0),ROUND((INDEX(VELOCITY_TABLE,MATCH($F154,TIER_LIST,0),3))*(IF((8-$I154+1)&lt;=0,0,IF((8-$I154+1)=1,RAMP_W1,IF((8-$I154+1)=2,RAMP_W2,IF((8-$I154+1)=3,RAMP_W3,RAMP_W4PLUS)))))*(INDEX(ACTIVE_MULT_TABLE,3,1))*(1+SUMPRODUCT(SIGN(((ACT_DOOR_SCOPE="ALL")+(ACT_DOOR_SCOPE="TIER_"&amp;$F154)+(ACT_DOOR_SCOPE=$B154)))*SIGN(((ACT_SKU_SCOPE="ALL")+(ACT_SKU_SCOPE=$G154)))*(ACT_START&lt;=8)*(ACT_END&gt;=8)*IFERROR(ACT_UPLIFT-1,0)))*(1+SUMPRODUCT(SIGN(((ACT_DOOR_SCOPE="ALL")+(ACT_DOOR_SCOPE="TIER_"&amp;$F154)+(ACT_DOOR_SCOPE=$B154)))*SIGN(((ACT_SKU_SCOPE="ALL")+(ACT_SKU_SCOPE=$G154)))*(8&gt;ACT_END)*(ACT_END&gt;0)*IFERROR(ACT_POSTLIFT,0))),0)))</f>
        <v/>
      </c>
      <c r="R154" s="10">
        <f>IF(OR($H154&lt;&gt;"Y",9&lt;$I154),0,IF(SUMPRODUCT(((BULK_ENABLED="Y")*((BULK_TIER="ALL")+(BULK_TIER=$F154))*((BULK_SKU="ALL")+(BULK_SKU=$G154))*(BULK_START&lt;=9)*(BULK_END&gt;=9)))&gt;0,IFERROR(SUMPRODUCT(((BULK_ENABLED="Y")*((BULK_TIER="ALL")+(BULK_TIER=$F154))*((BULK_SKU="ALL")+(BULK_SKU=$G154))*(BULK_START&lt;=9)*(BULK_END&gt;=9))*IFERROR(BULK_VALUE,0))/MAX(1,SUMPRODUCT(((BULK_ENABLED="Y")*((BULK_TIER="ALL")+(BULK_TIER=$F154))*((BULK_SKU="ALL")+(BULK_SKU=$G154))*(BULK_START&lt;=9)*(BULK_END&gt;=9)))),0),ROUND((INDEX(VELOCITY_TABLE,MATCH($F154,TIER_LIST,0),3))*(IF((9-$I154+1)&lt;=0,0,IF((9-$I154+1)=1,RAMP_W1,IF((9-$I154+1)=2,RAMP_W2,IF((9-$I154+1)=3,RAMP_W3,RAMP_W4PLUS)))))*(INDEX(ACTIVE_MULT_TABLE,3,1))*(1+SUMPRODUCT(SIGN(((ACT_DOOR_SCOPE="ALL")+(ACT_DOOR_SCOPE="TIER_"&amp;$F154)+(ACT_DOOR_SCOPE=$B154)))*SIGN(((ACT_SKU_SCOPE="ALL")+(ACT_SKU_SCOPE=$G154)))*(ACT_START&lt;=9)*(ACT_END&gt;=9)*IFERROR(ACT_UPLIFT-1,0)))*(1+SUMPRODUCT(SIGN(((ACT_DOOR_SCOPE="ALL")+(ACT_DOOR_SCOPE="TIER_"&amp;$F154)+(ACT_DOOR_SCOPE=$B154)))*SIGN(((ACT_SKU_SCOPE="ALL")+(ACT_SKU_SCOPE=$G154)))*(9&gt;ACT_END)*(ACT_END&gt;0)*IFERROR(ACT_POSTLIFT,0))),0)))</f>
        <v/>
      </c>
      <c r="S154" s="10">
        <f>IF(OR($H154&lt;&gt;"Y",10&lt;$I154),0,IF(SUMPRODUCT(((BULK_ENABLED="Y")*((BULK_TIER="ALL")+(BULK_TIER=$F154))*((BULK_SKU="ALL")+(BULK_SKU=$G154))*(BULK_START&lt;=10)*(BULK_END&gt;=10)))&gt;0,IFERROR(SUMPRODUCT(((BULK_ENABLED="Y")*((BULK_TIER="ALL")+(BULK_TIER=$F154))*((BULK_SKU="ALL")+(BULK_SKU=$G154))*(BULK_START&lt;=10)*(BULK_END&gt;=10))*IFERROR(BULK_VALUE,0))/MAX(1,SUMPRODUCT(((BULK_ENABLED="Y")*((BULK_TIER="ALL")+(BULK_TIER=$F154))*((BULK_SKU="ALL")+(BULK_SKU=$G154))*(BULK_START&lt;=10)*(BULK_END&gt;=10)))),0),ROUND((INDEX(VELOCITY_TABLE,MATCH($F154,TIER_LIST,0),3))*(IF((10-$I154+1)&lt;=0,0,IF((10-$I154+1)=1,RAMP_W1,IF((10-$I154+1)=2,RAMP_W2,IF((10-$I154+1)=3,RAMP_W3,RAMP_W4PLUS)))))*(INDEX(ACTIVE_MULT_TABLE,3,1))*(1+SUMPRODUCT(SIGN(((ACT_DOOR_SCOPE="ALL")+(ACT_DOOR_SCOPE="TIER_"&amp;$F154)+(ACT_DOOR_SCOPE=$B154)))*SIGN(((ACT_SKU_SCOPE="ALL")+(ACT_SKU_SCOPE=$G154)))*(ACT_START&lt;=10)*(ACT_END&gt;=10)*IFERROR(ACT_UPLIFT-1,0)))*(1+SUMPRODUCT(SIGN(((ACT_DOOR_SCOPE="ALL")+(ACT_DOOR_SCOPE="TIER_"&amp;$F154)+(ACT_DOOR_SCOPE=$B154)))*SIGN(((ACT_SKU_SCOPE="ALL")+(ACT_SKU_SCOPE=$G154)))*(10&gt;ACT_END)*(ACT_END&gt;0)*IFERROR(ACT_POSTLIFT,0))),0)))</f>
        <v/>
      </c>
      <c r="T154" s="10">
        <f>IF(OR($H154&lt;&gt;"Y",11&lt;$I154),0,IF(SUMPRODUCT(((BULK_ENABLED="Y")*((BULK_TIER="ALL")+(BULK_TIER=$F154))*((BULK_SKU="ALL")+(BULK_SKU=$G154))*(BULK_START&lt;=11)*(BULK_END&gt;=11)))&gt;0,IFERROR(SUMPRODUCT(((BULK_ENABLED="Y")*((BULK_TIER="ALL")+(BULK_TIER=$F154))*((BULK_SKU="ALL")+(BULK_SKU=$G154))*(BULK_START&lt;=11)*(BULK_END&gt;=11))*IFERROR(BULK_VALUE,0))/MAX(1,SUMPRODUCT(((BULK_ENABLED="Y")*((BULK_TIER="ALL")+(BULK_TIER=$F154))*((BULK_SKU="ALL")+(BULK_SKU=$G154))*(BULK_START&lt;=11)*(BULK_END&gt;=11)))),0),ROUND((INDEX(VELOCITY_TABLE,MATCH($F154,TIER_LIST,0),3))*(IF((11-$I154+1)&lt;=0,0,IF((11-$I154+1)=1,RAMP_W1,IF((11-$I154+1)=2,RAMP_W2,IF((11-$I154+1)=3,RAMP_W3,RAMP_W4PLUS)))))*(INDEX(ACTIVE_MULT_TABLE,3,1))*(1+SUMPRODUCT(SIGN(((ACT_DOOR_SCOPE="ALL")+(ACT_DOOR_SCOPE="TIER_"&amp;$F154)+(ACT_DOOR_SCOPE=$B154)))*SIGN(((ACT_SKU_SCOPE="ALL")+(ACT_SKU_SCOPE=$G154)))*(ACT_START&lt;=11)*(ACT_END&gt;=11)*IFERROR(ACT_UPLIFT-1,0)))*(1+SUMPRODUCT(SIGN(((ACT_DOOR_SCOPE="ALL")+(ACT_DOOR_SCOPE="TIER_"&amp;$F154)+(ACT_DOOR_SCOPE=$B154)))*SIGN(((ACT_SKU_SCOPE="ALL")+(ACT_SKU_SCOPE=$G154)))*(11&gt;ACT_END)*(ACT_END&gt;0)*IFERROR(ACT_POSTLIFT,0))),0)))</f>
        <v/>
      </c>
      <c r="U154" s="10">
        <f>IF(OR($H154&lt;&gt;"Y",12&lt;$I154),0,IF(SUMPRODUCT(((BULK_ENABLED="Y")*((BULK_TIER="ALL")+(BULK_TIER=$F154))*((BULK_SKU="ALL")+(BULK_SKU=$G154))*(BULK_START&lt;=12)*(BULK_END&gt;=12)))&gt;0,IFERROR(SUMPRODUCT(((BULK_ENABLED="Y")*((BULK_TIER="ALL")+(BULK_TIER=$F154))*((BULK_SKU="ALL")+(BULK_SKU=$G154))*(BULK_START&lt;=12)*(BULK_END&gt;=12))*IFERROR(BULK_VALUE,0))/MAX(1,SUMPRODUCT(((BULK_ENABLED="Y")*((BULK_TIER="ALL")+(BULK_TIER=$F154))*((BULK_SKU="ALL")+(BULK_SKU=$G154))*(BULK_START&lt;=12)*(BULK_END&gt;=12)))),0),ROUND((INDEX(VELOCITY_TABLE,MATCH($F154,TIER_LIST,0),3))*(IF((12-$I154+1)&lt;=0,0,IF((12-$I154+1)=1,RAMP_W1,IF((12-$I154+1)=2,RAMP_W2,IF((12-$I154+1)=3,RAMP_W3,RAMP_W4PLUS)))))*(INDEX(ACTIVE_MULT_TABLE,3,1))*(1+SUMPRODUCT(SIGN(((ACT_DOOR_SCOPE="ALL")+(ACT_DOOR_SCOPE="TIER_"&amp;$F154)+(ACT_DOOR_SCOPE=$B154)))*SIGN(((ACT_SKU_SCOPE="ALL")+(ACT_SKU_SCOPE=$G154)))*(ACT_START&lt;=12)*(ACT_END&gt;=12)*IFERROR(ACT_UPLIFT-1,0)))*(1+SUMPRODUCT(SIGN(((ACT_DOOR_SCOPE="ALL")+(ACT_DOOR_SCOPE="TIER_"&amp;$F154)+(ACT_DOOR_SCOPE=$B154)))*SIGN(((ACT_SKU_SCOPE="ALL")+(ACT_SKU_SCOPE=$G154)))*(12&gt;ACT_END)*(ACT_END&gt;0)*IFERROR(ACT_POSTLIFT,0))),0)))</f>
        <v/>
      </c>
      <c r="V154" s="10">
        <f>IF(OR($H154&lt;&gt;"Y",13&lt;$I154),0,IF(SUMPRODUCT(((BULK_ENABLED="Y")*((BULK_TIER="ALL")+(BULK_TIER=$F154))*((BULK_SKU="ALL")+(BULK_SKU=$G154))*(BULK_START&lt;=13)*(BULK_END&gt;=13)))&gt;0,IFERROR(SUMPRODUCT(((BULK_ENABLED="Y")*((BULK_TIER="ALL")+(BULK_TIER=$F154))*((BULK_SKU="ALL")+(BULK_SKU=$G154))*(BULK_START&lt;=13)*(BULK_END&gt;=13))*IFERROR(BULK_VALUE,0))/MAX(1,SUMPRODUCT(((BULK_ENABLED="Y")*((BULK_TIER="ALL")+(BULK_TIER=$F154))*((BULK_SKU="ALL")+(BULK_SKU=$G154))*(BULK_START&lt;=13)*(BULK_END&gt;=13)))),0),ROUND((INDEX(VELOCITY_TABLE,MATCH($F154,TIER_LIST,0),3))*(IF((13-$I154+1)&lt;=0,0,IF((13-$I154+1)=1,RAMP_W1,IF((13-$I154+1)=2,RAMP_W2,IF((13-$I154+1)=3,RAMP_W3,RAMP_W4PLUS)))))*(INDEX(ACTIVE_MULT_TABLE,3,1))*(1+SUMPRODUCT(SIGN(((ACT_DOOR_SCOPE="ALL")+(ACT_DOOR_SCOPE="TIER_"&amp;$F154)+(ACT_DOOR_SCOPE=$B154)))*SIGN(((ACT_SKU_SCOPE="ALL")+(ACT_SKU_SCOPE=$G154)))*(ACT_START&lt;=13)*(ACT_END&gt;=13)*IFERROR(ACT_UPLIFT-1,0)))*(1+SUMPRODUCT(SIGN(((ACT_DOOR_SCOPE="ALL")+(ACT_DOOR_SCOPE="TIER_"&amp;$F154)+(ACT_DOOR_SCOPE=$B154)))*SIGN(((ACT_SKU_SCOPE="ALL")+(ACT_SKU_SCOPE=$G154)))*(13&gt;ACT_END)*(ACT_END&gt;0)*IFERROR(ACT_POSTLIFT,0))),0)))</f>
        <v/>
      </c>
    </row>
    <row r="155">
      <c r="A155" t="inlineStr">
        <is>
          <t>R0151</t>
        </is>
      </c>
      <c r="B155">
        <f>Doors!$A$55</f>
        <v/>
      </c>
      <c r="C155">
        <f>Doors!$C$55</f>
        <v/>
      </c>
      <c r="D155">
        <f>Doors!$B$55</f>
        <v/>
      </c>
      <c r="E155">
        <f>Doors!$E$55</f>
        <v/>
      </c>
      <c r="F155">
        <f>Doors!$F$55</f>
        <v/>
      </c>
      <c r="G155" t="inlineStr">
        <is>
          <t>Lime Lemon</t>
        </is>
      </c>
      <c r="H155">
        <f>Doors!$G$55</f>
        <v/>
      </c>
      <c r="I155">
        <f>Doors!$J$55</f>
        <v/>
      </c>
      <c r="J155" s="10">
        <f>IF(OR($H155&lt;&gt;"Y",1&lt;$I155),0,IF(SUMPRODUCT(((BULK_ENABLED="Y")*((BULK_TIER="ALL")+(BULK_TIER=$F155))*((BULK_SKU="ALL")+(BULK_SKU=$G155))*(BULK_START&lt;=1)*(BULK_END&gt;=1)))&gt;0,IFERROR(SUMPRODUCT(((BULK_ENABLED="Y")*((BULK_TIER="ALL")+(BULK_TIER=$F155))*((BULK_SKU="ALL")+(BULK_SKU=$G155))*(BULK_START&lt;=1)*(BULK_END&gt;=1))*IFERROR(BULK_VALUE,0))/MAX(1,SUMPRODUCT(((BULK_ENABLED="Y")*((BULK_TIER="ALL")+(BULK_TIER=$F155))*((BULK_SKU="ALL")+(BULK_SKU=$G155))*(BULK_START&lt;=1)*(BULK_END&gt;=1)))),0),ROUND((INDEX(VELOCITY_TABLE,MATCH($F155,TIER_LIST,0),1))*(IF((1-$I155+1)&lt;=0,0,IF((1-$I155+1)=1,RAMP_W1,IF((1-$I155+1)=2,RAMP_W2,IF((1-$I155+1)=3,RAMP_W3,RAMP_W4PLUS)))))*(INDEX(ACTIVE_MULT_TABLE,1,1))*(1+SUMPRODUCT(SIGN(((ACT_DOOR_SCOPE="ALL")+(ACT_DOOR_SCOPE="TIER_"&amp;$F155)+(ACT_DOOR_SCOPE=$B155)))*SIGN(((ACT_SKU_SCOPE="ALL")+(ACT_SKU_SCOPE=$G155)))*(ACT_START&lt;=1)*(ACT_END&gt;=1)*IFERROR(ACT_UPLIFT-1,0)))*(1+SUMPRODUCT(SIGN(((ACT_DOOR_SCOPE="ALL")+(ACT_DOOR_SCOPE="TIER_"&amp;$F155)+(ACT_DOOR_SCOPE=$B155)))*SIGN(((ACT_SKU_SCOPE="ALL")+(ACT_SKU_SCOPE=$G155)))*(1&gt;ACT_END)*(ACT_END&gt;0)*IFERROR(ACT_POSTLIFT,0))),0)))</f>
        <v/>
      </c>
      <c r="K155" s="10">
        <f>IF(OR($H155&lt;&gt;"Y",2&lt;$I155),0,IF(SUMPRODUCT(((BULK_ENABLED="Y")*((BULK_TIER="ALL")+(BULK_TIER=$F155))*((BULK_SKU="ALL")+(BULK_SKU=$G155))*(BULK_START&lt;=2)*(BULK_END&gt;=2)))&gt;0,IFERROR(SUMPRODUCT(((BULK_ENABLED="Y")*((BULK_TIER="ALL")+(BULK_TIER=$F155))*((BULK_SKU="ALL")+(BULK_SKU=$G155))*(BULK_START&lt;=2)*(BULK_END&gt;=2))*IFERROR(BULK_VALUE,0))/MAX(1,SUMPRODUCT(((BULK_ENABLED="Y")*((BULK_TIER="ALL")+(BULK_TIER=$F155))*((BULK_SKU="ALL")+(BULK_SKU=$G155))*(BULK_START&lt;=2)*(BULK_END&gt;=2)))),0),ROUND((INDEX(VELOCITY_TABLE,MATCH($F155,TIER_LIST,0),1))*(IF((2-$I155+1)&lt;=0,0,IF((2-$I155+1)=1,RAMP_W1,IF((2-$I155+1)=2,RAMP_W2,IF((2-$I155+1)=3,RAMP_W3,RAMP_W4PLUS)))))*(INDEX(ACTIVE_MULT_TABLE,1,1))*(1+SUMPRODUCT(SIGN(((ACT_DOOR_SCOPE="ALL")+(ACT_DOOR_SCOPE="TIER_"&amp;$F155)+(ACT_DOOR_SCOPE=$B155)))*SIGN(((ACT_SKU_SCOPE="ALL")+(ACT_SKU_SCOPE=$G155)))*(ACT_START&lt;=2)*(ACT_END&gt;=2)*IFERROR(ACT_UPLIFT-1,0)))*(1+SUMPRODUCT(SIGN(((ACT_DOOR_SCOPE="ALL")+(ACT_DOOR_SCOPE="TIER_"&amp;$F155)+(ACT_DOOR_SCOPE=$B155)))*SIGN(((ACT_SKU_SCOPE="ALL")+(ACT_SKU_SCOPE=$G155)))*(2&gt;ACT_END)*(ACT_END&gt;0)*IFERROR(ACT_POSTLIFT,0))),0)))</f>
        <v/>
      </c>
      <c r="L155" s="10">
        <f>IF(OR($H155&lt;&gt;"Y",3&lt;$I155),0,IF(SUMPRODUCT(((BULK_ENABLED="Y")*((BULK_TIER="ALL")+(BULK_TIER=$F155))*((BULK_SKU="ALL")+(BULK_SKU=$G155))*(BULK_START&lt;=3)*(BULK_END&gt;=3)))&gt;0,IFERROR(SUMPRODUCT(((BULK_ENABLED="Y")*((BULK_TIER="ALL")+(BULK_TIER=$F155))*((BULK_SKU="ALL")+(BULK_SKU=$G155))*(BULK_START&lt;=3)*(BULK_END&gt;=3))*IFERROR(BULK_VALUE,0))/MAX(1,SUMPRODUCT(((BULK_ENABLED="Y")*((BULK_TIER="ALL")+(BULK_TIER=$F155))*((BULK_SKU="ALL")+(BULK_SKU=$G155))*(BULK_START&lt;=3)*(BULK_END&gt;=3)))),0),ROUND((INDEX(VELOCITY_TABLE,MATCH($F155,TIER_LIST,0),1))*(IF((3-$I155+1)&lt;=0,0,IF((3-$I155+1)=1,RAMP_W1,IF((3-$I155+1)=2,RAMP_W2,IF((3-$I155+1)=3,RAMP_W3,RAMP_W4PLUS)))))*(INDEX(ACTIVE_MULT_TABLE,1,1))*(1+SUMPRODUCT(SIGN(((ACT_DOOR_SCOPE="ALL")+(ACT_DOOR_SCOPE="TIER_"&amp;$F155)+(ACT_DOOR_SCOPE=$B155)))*SIGN(((ACT_SKU_SCOPE="ALL")+(ACT_SKU_SCOPE=$G155)))*(ACT_START&lt;=3)*(ACT_END&gt;=3)*IFERROR(ACT_UPLIFT-1,0)))*(1+SUMPRODUCT(SIGN(((ACT_DOOR_SCOPE="ALL")+(ACT_DOOR_SCOPE="TIER_"&amp;$F155)+(ACT_DOOR_SCOPE=$B155)))*SIGN(((ACT_SKU_SCOPE="ALL")+(ACT_SKU_SCOPE=$G155)))*(3&gt;ACT_END)*(ACT_END&gt;0)*IFERROR(ACT_POSTLIFT,0))),0)))</f>
        <v/>
      </c>
      <c r="M155" s="10">
        <f>IF(OR($H155&lt;&gt;"Y",4&lt;$I155),0,IF(SUMPRODUCT(((BULK_ENABLED="Y")*((BULK_TIER="ALL")+(BULK_TIER=$F155))*((BULK_SKU="ALL")+(BULK_SKU=$G155))*(BULK_START&lt;=4)*(BULK_END&gt;=4)))&gt;0,IFERROR(SUMPRODUCT(((BULK_ENABLED="Y")*((BULK_TIER="ALL")+(BULK_TIER=$F155))*((BULK_SKU="ALL")+(BULK_SKU=$G155))*(BULK_START&lt;=4)*(BULK_END&gt;=4))*IFERROR(BULK_VALUE,0))/MAX(1,SUMPRODUCT(((BULK_ENABLED="Y")*((BULK_TIER="ALL")+(BULK_TIER=$F155))*((BULK_SKU="ALL")+(BULK_SKU=$G155))*(BULK_START&lt;=4)*(BULK_END&gt;=4)))),0),ROUND((INDEX(VELOCITY_TABLE,MATCH($F155,TIER_LIST,0),1))*(IF((4-$I155+1)&lt;=0,0,IF((4-$I155+1)=1,RAMP_W1,IF((4-$I155+1)=2,RAMP_W2,IF((4-$I155+1)=3,RAMP_W3,RAMP_W4PLUS)))))*(INDEX(ACTIVE_MULT_TABLE,1,1))*(1+SUMPRODUCT(SIGN(((ACT_DOOR_SCOPE="ALL")+(ACT_DOOR_SCOPE="TIER_"&amp;$F155)+(ACT_DOOR_SCOPE=$B155)))*SIGN(((ACT_SKU_SCOPE="ALL")+(ACT_SKU_SCOPE=$G155)))*(ACT_START&lt;=4)*(ACT_END&gt;=4)*IFERROR(ACT_UPLIFT-1,0)))*(1+SUMPRODUCT(SIGN(((ACT_DOOR_SCOPE="ALL")+(ACT_DOOR_SCOPE="TIER_"&amp;$F155)+(ACT_DOOR_SCOPE=$B155)))*SIGN(((ACT_SKU_SCOPE="ALL")+(ACT_SKU_SCOPE=$G155)))*(4&gt;ACT_END)*(ACT_END&gt;0)*IFERROR(ACT_POSTLIFT,0))),0)))</f>
        <v/>
      </c>
      <c r="N155" s="10">
        <f>IF(OR($H155&lt;&gt;"Y",5&lt;$I155),0,IF(SUMPRODUCT(((BULK_ENABLED="Y")*((BULK_TIER="ALL")+(BULK_TIER=$F155))*((BULK_SKU="ALL")+(BULK_SKU=$G155))*(BULK_START&lt;=5)*(BULK_END&gt;=5)))&gt;0,IFERROR(SUMPRODUCT(((BULK_ENABLED="Y")*((BULK_TIER="ALL")+(BULK_TIER=$F155))*((BULK_SKU="ALL")+(BULK_SKU=$G155))*(BULK_START&lt;=5)*(BULK_END&gt;=5))*IFERROR(BULK_VALUE,0))/MAX(1,SUMPRODUCT(((BULK_ENABLED="Y")*((BULK_TIER="ALL")+(BULK_TIER=$F155))*((BULK_SKU="ALL")+(BULK_SKU=$G155))*(BULK_START&lt;=5)*(BULK_END&gt;=5)))),0),ROUND((INDEX(VELOCITY_TABLE,MATCH($F155,TIER_LIST,0),1))*(IF((5-$I155+1)&lt;=0,0,IF((5-$I155+1)=1,RAMP_W1,IF((5-$I155+1)=2,RAMP_W2,IF((5-$I155+1)=3,RAMP_W3,RAMP_W4PLUS)))))*(INDEX(ACTIVE_MULT_TABLE,1,1))*(1+SUMPRODUCT(SIGN(((ACT_DOOR_SCOPE="ALL")+(ACT_DOOR_SCOPE="TIER_"&amp;$F155)+(ACT_DOOR_SCOPE=$B155)))*SIGN(((ACT_SKU_SCOPE="ALL")+(ACT_SKU_SCOPE=$G155)))*(ACT_START&lt;=5)*(ACT_END&gt;=5)*IFERROR(ACT_UPLIFT-1,0)))*(1+SUMPRODUCT(SIGN(((ACT_DOOR_SCOPE="ALL")+(ACT_DOOR_SCOPE="TIER_"&amp;$F155)+(ACT_DOOR_SCOPE=$B155)))*SIGN(((ACT_SKU_SCOPE="ALL")+(ACT_SKU_SCOPE=$G155)))*(5&gt;ACT_END)*(ACT_END&gt;0)*IFERROR(ACT_POSTLIFT,0))),0)))</f>
        <v/>
      </c>
      <c r="O155" s="10">
        <f>IF(OR($H155&lt;&gt;"Y",6&lt;$I155),0,IF(SUMPRODUCT(((BULK_ENABLED="Y")*((BULK_TIER="ALL")+(BULK_TIER=$F155))*((BULK_SKU="ALL")+(BULK_SKU=$G155))*(BULK_START&lt;=6)*(BULK_END&gt;=6)))&gt;0,IFERROR(SUMPRODUCT(((BULK_ENABLED="Y")*((BULK_TIER="ALL")+(BULK_TIER=$F155))*((BULK_SKU="ALL")+(BULK_SKU=$G155))*(BULK_START&lt;=6)*(BULK_END&gt;=6))*IFERROR(BULK_VALUE,0))/MAX(1,SUMPRODUCT(((BULK_ENABLED="Y")*((BULK_TIER="ALL")+(BULK_TIER=$F155))*((BULK_SKU="ALL")+(BULK_SKU=$G155))*(BULK_START&lt;=6)*(BULK_END&gt;=6)))),0),ROUND((INDEX(VELOCITY_TABLE,MATCH($F155,TIER_LIST,0),1))*(IF((6-$I155+1)&lt;=0,0,IF((6-$I155+1)=1,RAMP_W1,IF((6-$I155+1)=2,RAMP_W2,IF((6-$I155+1)=3,RAMP_W3,RAMP_W4PLUS)))))*(INDEX(ACTIVE_MULT_TABLE,1,1))*(1+SUMPRODUCT(SIGN(((ACT_DOOR_SCOPE="ALL")+(ACT_DOOR_SCOPE="TIER_"&amp;$F155)+(ACT_DOOR_SCOPE=$B155)))*SIGN(((ACT_SKU_SCOPE="ALL")+(ACT_SKU_SCOPE=$G155)))*(ACT_START&lt;=6)*(ACT_END&gt;=6)*IFERROR(ACT_UPLIFT-1,0)))*(1+SUMPRODUCT(SIGN(((ACT_DOOR_SCOPE="ALL")+(ACT_DOOR_SCOPE="TIER_"&amp;$F155)+(ACT_DOOR_SCOPE=$B155)))*SIGN(((ACT_SKU_SCOPE="ALL")+(ACT_SKU_SCOPE=$G155)))*(6&gt;ACT_END)*(ACT_END&gt;0)*IFERROR(ACT_POSTLIFT,0))),0)))</f>
        <v/>
      </c>
      <c r="P155" s="10">
        <f>IF(OR($H155&lt;&gt;"Y",7&lt;$I155),0,IF(SUMPRODUCT(((BULK_ENABLED="Y")*((BULK_TIER="ALL")+(BULK_TIER=$F155))*((BULK_SKU="ALL")+(BULK_SKU=$G155))*(BULK_START&lt;=7)*(BULK_END&gt;=7)))&gt;0,IFERROR(SUMPRODUCT(((BULK_ENABLED="Y")*((BULK_TIER="ALL")+(BULK_TIER=$F155))*((BULK_SKU="ALL")+(BULK_SKU=$G155))*(BULK_START&lt;=7)*(BULK_END&gt;=7))*IFERROR(BULK_VALUE,0))/MAX(1,SUMPRODUCT(((BULK_ENABLED="Y")*((BULK_TIER="ALL")+(BULK_TIER=$F155))*((BULK_SKU="ALL")+(BULK_SKU=$G155))*(BULK_START&lt;=7)*(BULK_END&gt;=7)))),0),ROUND((INDEX(VELOCITY_TABLE,MATCH($F155,TIER_LIST,0),1))*(IF((7-$I155+1)&lt;=0,0,IF((7-$I155+1)=1,RAMP_W1,IF((7-$I155+1)=2,RAMP_W2,IF((7-$I155+1)=3,RAMP_W3,RAMP_W4PLUS)))))*(INDEX(ACTIVE_MULT_TABLE,1,1))*(1+SUMPRODUCT(SIGN(((ACT_DOOR_SCOPE="ALL")+(ACT_DOOR_SCOPE="TIER_"&amp;$F155)+(ACT_DOOR_SCOPE=$B155)))*SIGN(((ACT_SKU_SCOPE="ALL")+(ACT_SKU_SCOPE=$G155)))*(ACT_START&lt;=7)*(ACT_END&gt;=7)*IFERROR(ACT_UPLIFT-1,0)))*(1+SUMPRODUCT(SIGN(((ACT_DOOR_SCOPE="ALL")+(ACT_DOOR_SCOPE="TIER_"&amp;$F155)+(ACT_DOOR_SCOPE=$B155)))*SIGN(((ACT_SKU_SCOPE="ALL")+(ACT_SKU_SCOPE=$G155)))*(7&gt;ACT_END)*(ACT_END&gt;0)*IFERROR(ACT_POSTLIFT,0))),0)))</f>
        <v/>
      </c>
      <c r="Q155" s="10">
        <f>IF(OR($H155&lt;&gt;"Y",8&lt;$I155),0,IF(SUMPRODUCT(((BULK_ENABLED="Y")*((BULK_TIER="ALL")+(BULK_TIER=$F155))*((BULK_SKU="ALL")+(BULK_SKU=$G155))*(BULK_START&lt;=8)*(BULK_END&gt;=8)))&gt;0,IFERROR(SUMPRODUCT(((BULK_ENABLED="Y")*((BULK_TIER="ALL")+(BULK_TIER=$F155))*((BULK_SKU="ALL")+(BULK_SKU=$G155))*(BULK_START&lt;=8)*(BULK_END&gt;=8))*IFERROR(BULK_VALUE,0))/MAX(1,SUMPRODUCT(((BULK_ENABLED="Y")*((BULK_TIER="ALL")+(BULK_TIER=$F155))*((BULK_SKU="ALL")+(BULK_SKU=$G155))*(BULK_START&lt;=8)*(BULK_END&gt;=8)))),0),ROUND((INDEX(VELOCITY_TABLE,MATCH($F155,TIER_LIST,0),1))*(IF((8-$I155+1)&lt;=0,0,IF((8-$I155+1)=1,RAMP_W1,IF((8-$I155+1)=2,RAMP_W2,IF((8-$I155+1)=3,RAMP_W3,RAMP_W4PLUS)))))*(INDEX(ACTIVE_MULT_TABLE,1,1))*(1+SUMPRODUCT(SIGN(((ACT_DOOR_SCOPE="ALL")+(ACT_DOOR_SCOPE="TIER_"&amp;$F155)+(ACT_DOOR_SCOPE=$B155)))*SIGN(((ACT_SKU_SCOPE="ALL")+(ACT_SKU_SCOPE=$G155)))*(ACT_START&lt;=8)*(ACT_END&gt;=8)*IFERROR(ACT_UPLIFT-1,0)))*(1+SUMPRODUCT(SIGN(((ACT_DOOR_SCOPE="ALL")+(ACT_DOOR_SCOPE="TIER_"&amp;$F155)+(ACT_DOOR_SCOPE=$B155)))*SIGN(((ACT_SKU_SCOPE="ALL")+(ACT_SKU_SCOPE=$G155)))*(8&gt;ACT_END)*(ACT_END&gt;0)*IFERROR(ACT_POSTLIFT,0))),0)))</f>
        <v/>
      </c>
      <c r="R155" s="10">
        <f>IF(OR($H155&lt;&gt;"Y",9&lt;$I155),0,IF(SUMPRODUCT(((BULK_ENABLED="Y")*((BULK_TIER="ALL")+(BULK_TIER=$F155))*((BULK_SKU="ALL")+(BULK_SKU=$G155))*(BULK_START&lt;=9)*(BULK_END&gt;=9)))&gt;0,IFERROR(SUMPRODUCT(((BULK_ENABLED="Y")*((BULK_TIER="ALL")+(BULK_TIER=$F155))*((BULK_SKU="ALL")+(BULK_SKU=$G155))*(BULK_START&lt;=9)*(BULK_END&gt;=9))*IFERROR(BULK_VALUE,0))/MAX(1,SUMPRODUCT(((BULK_ENABLED="Y")*((BULK_TIER="ALL")+(BULK_TIER=$F155))*((BULK_SKU="ALL")+(BULK_SKU=$G155))*(BULK_START&lt;=9)*(BULK_END&gt;=9)))),0),ROUND((INDEX(VELOCITY_TABLE,MATCH($F155,TIER_LIST,0),1))*(IF((9-$I155+1)&lt;=0,0,IF((9-$I155+1)=1,RAMP_W1,IF((9-$I155+1)=2,RAMP_W2,IF((9-$I155+1)=3,RAMP_W3,RAMP_W4PLUS)))))*(INDEX(ACTIVE_MULT_TABLE,1,1))*(1+SUMPRODUCT(SIGN(((ACT_DOOR_SCOPE="ALL")+(ACT_DOOR_SCOPE="TIER_"&amp;$F155)+(ACT_DOOR_SCOPE=$B155)))*SIGN(((ACT_SKU_SCOPE="ALL")+(ACT_SKU_SCOPE=$G155)))*(ACT_START&lt;=9)*(ACT_END&gt;=9)*IFERROR(ACT_UPLIFT-1,0)))*(1+SUMPRODUCT(SIGN(((ACT_DOOR_SCOPE="ALL")+(ACT_DOOR_SCOPE="TIER_"&amp;$F155)+(ACT_DOOR_SCOPE=$B155)))*SIGN(((ACT_SKU_SCOPE="ALL")+(ACT_SKU_SCOPE=$G155)))*(9&gt;ACT_END)*(ACT_END&gt;0)*IFERROR(ACT_POSTLIFT,0))),0)))</f>
        <v/>
      </c>
      <c r="S155" s="10">
        <f>IF(OR($H155&lt;&gt;"Y",10&lt;$I155),0,IF(SUMPRODUCT(((BULK_ENABLED="Y")*((BULK_TIER="ALL")+(BULK_TIER=$F155))*((BULK_SKU="ALL")+(BULK_SKU=$G155))*(BULK_START&lt;=10)*(BULK_END&gt;=10)))&gt;0,IFERROR(SUMPRODUCT(((BULK_ENABLED="Y")*((BULK_TIER="ALL")+(BULK_TIER=$F155))*((BULK_SKU="ALL")+(BULK_SKU=$G155))*(BULK_START&lt;=10)*(BULK_END&gt;=10))*IFERROR(BULK_VALUE,0))/MAX(1,SUMPRODUCT(((BULK_ENABLED="Y")*((BULK_TIER="ALL")+(BULK_TIER=$F155))*((BULK_SKU="ALL")+(BULK_SKU=$G155))*(BULK_START&lt;=10)*(BULK_END&gt;=10)))),0),ROUND((INDEX(VELOCITY_TABLE,MATCH($F155,TIER_LIST,0),1))*(IF((10-$I155+1)&lt;=0,0,IF((10-$I155+1)=1,RAMP_W1,IF((10-$I155+1)=2,RAMP_W2,IF((10-$I155+1)=3,RAMP_W3,RAMP_W4PLUS)))))*(INDEX(ACTIVE_MULT_TABLE,1,1))*(1+SUMPRODUCT(SIGN(((ACT_DOOR_SCOPE="ALL")+(ACT_DOOR_SCOPE="TIER_"&amp;$F155)+(ACT_DOOR_SCOPE=$B155)))*SIGN(((ACT_SKU_SCOPE="ALL")+(ACT_SKU_SCOPE=$G155)))*(ACT_START&lt;=10)*(ACT_END&gt;=10)*IFERROR(ACT_UPLIFT-1,0)))*(1+SUMPRODUCT(SIGN(((ACT_DOOR_SCOPE="ALL")+(ACT_DOOR_SCOPE="TIER_"&amp;$F155)+(ACT_DOOR_SCOPE=$B155)))*SIGN(((ACT_SKU_SCOPE="ALL")+(ACT_SKU_SCOPE=$G155)))*(10&gt;ACT_END)*(ACT_END&gt;0)*IFERROR(ACT_POSTLIFT,0))),0)))</f>
        <v/>
      </c>
      <c r="T155" s="10">
        <f>IF(OR($H155&lt;&gt;"Y",11&lt;$I155),0,IF(SUMPRODUCT(((BULK_ENABLED="Y")*((BULK_TIER="ALL")+(BULK_TIER=$F155))*((BULK_SKU="ALL")+(BULK_SKU=$G155))*(BULK_START&lt;=11)*(BULK_END&gt;=11)))&gt;0,IFERROR(SUMPRODUCT(((BULK_ENABLED="Y")*((BULK_TIER="ALL")+(BULK_TIER=$F155))*((BULK_SKU="ALL")+(BULK_SKU=$G155))*(BULK_START&lt;=11)*(BULK_END&gt;=11))*IFERROR(BULK_VALUE,0))/MAX(1,SUMPRODUCT(((BULK_ENABLED="Y")*((BULK_TIER="ALL")+(BULK_TIER=$F155))*((BULK_SKU="ALL")+(BULK_SKU=$G155))*(BULK_START&lt;=11)*(BULK_END&gt;=11)))),0),ROUND((INDEX(VELOCITY_TABLE,MATCH($F155,TIER_LIST,0),1))*(IF((11-$I155+1)&lt;=0,0,IF((11-$I155+1)=1,RAMP_W1,IF((11-$I155+1)=2,RAMP_W2,IF((11-$I155+1)=3,RAMP_W3,RAMP_W4PLUS)))))*(INDEX(ACTIVE_MULT_TABLE,1,1))*(1+SUMPRODUCT(SIGN(((ACT_DOOR_SCOPE="ALL")+(ACT_DOOR_SCOPE="TIER_"&amp;$F155)+(ACT_DOOR_SCOPE=$B155)))*SIGN(((ACT_SKU_SCOPE="ALL")+(ACT_SKU_SCOPE=$G155)))*(ACT_START&lt;=11)*(ACT_END&gt;=11)*IFERROR(ACT_UPLIFT-1,0)))*(1+SUMPRODUCT(SIGN(((ACT_DOOR_SCOPE="ALL")+(ACT_DOOR_SCOPE="TIER_"&amp;$F155)+(ACT_DOOR_SCOPE=$B155)))*SIGN(((ACT_SKU_SCOPE="ALL")+(ACT_SKU_SCOPE=$G155)))*(11&gt;ACT_END)*(ACT_END&gt;0)*IFERROR(ACT_POSTLIFT,0))),0)))</f>
        <v/>
      </c>
      <c r="U155" s="10">
        <f>IF(OR($H155&lt;&gt;"Y",12&lt;$I155),0,IF(SUMPRODUCT(((BULK_ENABLED="Y")*((BULK_TIER="ALL")+(BULK_TIER=$F155))*((BULK_SKU="ALL")+(BULK_SKU=$G155))*(BULK_START&lt;=12)*(BULK_END&gt;=12)))&gt;0,IFERROR(SUMPRODUCT(((BULK_ENABLED="Y")*((BULK_TIER="ALL")+(BULK_TIER=$F155))*((BULK_SKU="ALL")+(BULK_SKU=$G155))*(BULK_START&lt;=12)*(BULK_END&gt;=12))*IFERROR(BULK_VALUE,0))/MAX(1,SUMPRODUCT(((BULK_ENABLED="Y")*((BULK_TIER="ALL")+(BULK_TIER=$F155))*((BULK_SKU="ALL")+(BULK_SKU=$G155))*(BULK_START&lt;=12)*(BULK_END&gt;=12)))),0),ROUND((INDEX(VELOCITY_TABLE,MATCH($F155,TIER_LIST,0),1))*(IF((12-$I155+1)&lt;=0,0,IF((12-$I155+1)=1,RAMP_W1,IF((12-$I155+1)=2,RAMP_W2,IF((12-$I155+1)=3,RAMP_W3,RAMP_W4PLUS)))))*(INDEX(ACTIVE_MULT_TABLE,1,1))*(1+SUMPRODUCT(SIGN(((ACT_DOOR_SCOPE="ALL")+(ACT_DOOR_SCOPE="TIER_"&amp;$F155)+(ACT_DOOR_SCOPE=$B155)))*SIGN(((ACT_SKU_SCOPE="ALL")+(ACT_SKU_SCOPE=$G155)))*(ACT_START&lt;=12)*(ACT_END&gt;=12)*IFERROR(ACT_UPLIFT-1,0)))*(1+SUMPRODUCT(SIGN(((ACT_DOOR_SCOPE="ALL")+(ACT_DOOR_SCOPE="TIER_"&amp;$F155)+(ACT_DOOR_SCOPE=$B155)))*SIGN(((ACT_SKU_SCOPE="ALL")+(ACT_SKU_SCOPE=$G155)))*(12&gt;ACT_END)*(ACT_END&gt;0)*IFERROR(ACT_POSTLIFT,0))),0)))</f>
        <v/>
      </c>
      <c r="V155" s="10">
        <f>IF(OR($H155&lt;&gt;"Y",13&lt;$I155),0,IF(SUMPRODUCT(((BULK_ENABLED="Y")*((BULK_TIER="ALL")+(BULK_TIER=$F155))*((BULK_SKU="ALL")+(BULK_SKU=$G155))*(BULK_START&lt;=13)*(BULK_END&gt;=13)))&gt;0,IFERROR(SUMPRODUCT(((BULK_ENABLED="Y")*((BULK_TIER="ALL")+(BULK_TIER=$F155))*((BULK_SKU="ALL")+(BULK_SKU=$G155))*(BULK_START&lt;=13)*(BULK_END&gt;=13))*IFERROR(BULK_VALUE,0))/MAX(1,SUMPRODUCT(((BULK_ENABLED="Y")*((BULK_TIER="ALL")+(BULK_TIER=$F155))*((BULK_SKU="ALL")+(BULK_SKU=$G155))*(BULK_START&lt;=13)*(BULK_END&gt;=13)))),0),ROUND((INDEX(VELOCITY_TABLE,MATCH($F155,TIER_LIST,0),1))*(IF((13-$I155+1)&lt;=0,0,IF((13-$I155+1)=1,RAMP_W1,IF((13-$I155+1)=2,RAMP_W2,IF((13-$I155+1)=3,RAMP_W3,RAMP_W4PLUS)))))*(INDEX(ACTIVE_MULT_TABLE,1,1))*(1+SUMPRODUCT(SIGN(((ACT_DOOR_SCOPE="ALL")+(ACT_DOOR_SCOPE="TIER_"&amp;$F155)+(ACT_DOOR_SCOPE=$B155)))*SIGN(((ACT_SKU_SCOPE="ALL")+(ACT_SKU_SCOPE=$G155)))*(ACT_START&lt;=13)*(ACT_END&gt;=13)*IFERROR(ACT_UPLIFT-1,0)))*(1+SUMPRODUCT(SIGN(((ACT_DOOR_SCOPE="ALL")+(ACT_DOOR_SCOPE="TIER_"&amp;$F155)+(ACT_DOOR_SCOPE=$B155)))*SIGN(((ACT_SKU_SCOPE="ALL")+(ACT_SKU_SCOPE=$G155)))*(13&gt;ACT_END)*(ACT_END&gt;0)*IFERROR(ACT_POSTLIFT,0))),0)))</f>
        <v/>
      </c>
    </row>
    <row r="156">
      <c r="A156" t="inlineStr">
        <is>
          <t>R0152</t>
        </is>
      </c>
      <c r="B156">
        <f>Doors!$A$55</f>
        <v/>
      </c>
      <c r="C156">
        <f>Doors!$C$55</f>
        <v/>
      </c>
      <c r="D156">
        <f>Doors!$B$55</f>
        <v/>
      </c>
      <c r="E156">
        <f>Doors!$E$55</f>
        <v/>
      </c>
      <c r="F156">
        <f>Doors!$F$55</f>
        <v/>
      </c>
      <c r="G156" t="inlineStr">
        <is>
          <t>Pineapple Passion Fruit</t>
        </is>
      </c>
      <c r="H156">
        <f>Doors!$H$55</f>
        <v/>
      </c>
      <c r="I156">
        <f>Doors!$J$55</f>
        <v/>
      </c>
      <c r="J156" s="10">
        <f>IF(OR($H156&lt;&gt;"Y",1&lt;$I156),0,IF(SUMPRODUCT(((BULK_ENABLED="Y")*((BULK_TIER="ALL")+(BULK_TIER=$F156))*((BULK_SKU="ALL")+(BULK_SKU=$G156))*(BULK_START&lt;=1)*(BULK_END&gt;=1)))&gt;0,IFERROR(SUMPRODUCT(((BULK_ENABLED="Y")*((BULK_TIER="ALL")+(BULK_TIER=$F156))*((BULK_SKU="ALL")+(BULK_SKU=$G156))*(BULK_START&lt;=1)*(BULK_END&gt;=1))*IFERROR(BULK_VALUE,0))/MAX(1,SUMPRODUCT(((BULK_ENABLED="Y")*((BULK_TIER="ALL")+(BULK_TIER=$F156))*((BULK_SKU="ALL")+(BULK_SKU=$G156))*(BULK_START&lt;=1)*(BULK_END&gt;=1)))),0),ROUND((INDEX(VELOCITY_TABLE,MATCH($F156,TIER_LIST,0),2))*(IF((1-$I156+1)&lt;=0,0,IF((1-$I156+1)=1,RAMP_W1,IF((1-$I156+1)=2,RAMP_W2,IF((1-$I156+1)=3,RAMP_W3,RAMP_W4PLUS)))))*(INDEX(ACTIVE_MULT_TABLE,2,1))*(1+SUMPRODUCT(SIGN(((ACT_DOOR_SCOPE="ALL")+(ACT_DOOR_SCOPE="TIER_"&amp;$F156)+(ACT_DOOR_SCOPE=$B156)))*SIGN(((ACT_SKU_SCOPE="ALL")+(ACT_SKU_SCOPE=$G156)))*(ACT_START&lt;=1)*(ACT_END&gt;=1)*IFERROR(ACT_UPLIFT-1,0)))*(1+SUMPRODUCT(SIGN(((ACT_DOOR_SCOPE="ALL")+(ACT_DOOR_SCOPE="TIER_"&amp;$F156)+(ACT_DOOR_SCOPE=$B156)))*SIGN(((ACT_SKU_SCOPE="ALL")+(ACT_SKU_SCOPE=$G156)))*(1&gt;ACT_END)*(ACT_END&gt;0)*IFERROR(ACT_POSTLIFT,0))),0)))</f>
        <v/>
      </c>
      <c r="K156" s="10">
        <f>IF(OR($H156&lt;&gt;"Y",2&lt;$I156),0,IF(SUMPRODUCT(((BULK_ENABLED="Y")*((BULK_TIER="ALL")+(BULK_TIER=$F156))*((BULK_SKU="ALL")+(BULK_SKU=$G156))*(BULK_START&lt;=2)*(BULK_END&gt;=2)))&gt;0,IFERROR(SUMPRODUCT(((BULK_ENABLED="Y")*((BULK_TIER="ALL")+(BULK_TIER=$F156))*((BULK_SKU="ALL")+(BULK_SKU=$G156))*(BULK_START&lt;=2)*(BULK_END&gt;=2))*IFERROR(BULK_VALUE,0))/MAX(1,SUMPRODUCT(((BULK_ENABLED="Y")*((BULK_TIER="ALL")+(BULK_TIER=$F156))*((BULK_SKU="ALL")+(BULK_SKU=$G156))*(BULK_START&lt;=2)*(BULK_END&gt;=2)))),0),ROUND((INDEX(VELOCITY_TABLE,MATCH($F156,TIER_LIST,0),2))*(IF((2-$I156+1)&lt;=0,0,IF((2-$I156+1)=1,RAMP_W1,IF((2-$I156+1)=2,RAMP_W2,IF((2-$I156+1)=3,RAMP_W3,RAMP_W4PLUS)))))*(INDEX(ACTIVE_MULT_TABLE,2,1))*(1+SUMPRODUCT(SIGN(((ACT_DOOR_SCOPE="ALL")+(ACT_DOOR_SCOPE="TIER_"&amp;$F156)+(ACT_DOOR_SCOPE=$B156)))*SIGN(((ACT_SKU_SCOPE="ALL")+(ACT_SKU_SCOPE=$G156)))*(ACT_START&lt;=2)*(ACT_END&gt;=2)*IFERROR(ACT_UPLIFT-1,0)))*(1+SUMPRODUCT(SIGN(((ACT_DOOR_SCOPE="ALL")+(ACT_DOOR_SCOPE="TIER_"&amp;$F156)+(ACT_DOOR_SCOPE=$B156)))*SIGN(((ACT_SKU_SCOPE="ALL")+(ACT_SKU_SCOPE=$G156)))*(2&gt;ACT_END)*(ACT_END&gt;0)*IFERROR(ACT_POSTLIFT,0))),0)))</f>
        <v/>
      </c>
      <c r="L156" s="10">
        <f>IF(OR($H156&lt;&gt;"Y",3&lt;$I156),0,IF(SUMPRODUCT(((BULK_ENABLED="Y")*((BULK_TIER="ALL")+(BULK_TIER=$F156))*((BULK_SKU="ALL")+(BULK_SKU=$G156))*(BULK_START&lt;=3)*(BULK_END&gt;=3)))&gt;0,IFERROR(SUMPRODUCT(((BULK_ENABLED="Y")*((BULK_TIER="ALL")+(BULK_TIER=$F156))*((BULK_SKU="ALL")+(BULK_SKU=$G156))*(BULK_START&lt;=3)*(BULK_END&gt;=3))*IFERROR(BULK_VALUE,0))/MAX(1,SUMPRODUCT(((BULK_ENABLED="Y")*((BULK_TIER="ALL")+(BULK_TIER=$F156))*((BULK_SKU="ALL")+(BULK_SKU=$G156))*(BULK_START&lt;=3)*(BULK_END&gt;=3)))),0),ROUND((INDEX(VELOCITY_TABLE,MATCH($F156,TIER_LIST,0),2))*(IF((3-$I156+1)&lt;=0,0,IF((3-$I156+1)=1,RAMP_W1,IF((3-$I156+1)=2,RAMP_W2,IF((3-$I156+1)=3,RAMP_W3,RAMP_W4PLUS)))))*(INDEX(ACTIVE_MULT_TABLE,2,1))*(1+SUMPRODUCT(SIGN(((ACT_DOOR_SCOPE="ALL")+(ACT_DOOR_SCOPE="TIER_"&amp;$F156)+(ACT_DOOR_SCOPE=$B156)))*SIGN(((ACT_SKU_SCOPE="ALL")+(ACT_SKU_SCOPE=$G156)))*(ACT_START&lt;=3)*(ACT_END&gt;=3)*IFERROR(ACT_UPLIFT-1,0)))*(1+SUMPRODUCT(SIGN(((ACT_DOOR_SCOPE="ALL")+(ACT_DOOR_SCOPE="TIER_"&amp;$F156)+(ACT_DOOR_SCOPE=$B156)))*SIGN(((ACT_SKU_SCOPE="ALL")+(ACT_SKU_SCOPE=$G156)))*(3&gt;ACT_END)*(ACT_END&gt;0)*IFERROR(ACT_POSTLIFT,0))),0)))</f>
        <v/>
      </c>
      <c r="M156" s="10">
        <f>IF(OR($H156&lt;&gt;"Y",4&lt;$I156),0,IF(SUMPRODUCT(((BULK_ENABLED="Y")*((BULK_TIER="ALL")+(BULK_TIER=$F156))*((BULK_SKU="ALL")+(BULK_SKU=$G156))*(BULK_START&lt;=4)*(BULK_END&gt;=4)))&gt;0,IFERROR(SUMPRODUCT(((BULK_ENABLED="Y")*((BULK_TIER="ALL")+(BULK_TIER=$F156))*((BULK_SKU="ALL")+(BULK_SKU=$G156))*(BULK_START&lt;=4)*(BULK_END&gt;=4))*IFERROR(BULK_VALUE,0))/MAX(1,SUMPRODUCT(((BULK_ENABLED="Y")*((BULK_TIER="ALL")+(BULK_TIER=$F156))*((BULK_SKU="ALL")+(BULK_SKU=$G156))*(BULK_START&lt;=4)*(BULK_END&gt;=4)))),0),ROUND((INDEX(VELOCITY_TABLE,MATCH($F156,TIER_LIST,0),2))*(IF((4-$I156+1)&lt;=0,0,IF((4-$I156+1)=1,RAMP_W1,IF((4-$I156+1)=2,RAMP_W2,IF((4-$I156+1)=3,RAMP_W3,RAMP_W4PLUS)))))*(INDEX(ACTIVE_MULT_TABLE,2,1))*(1+SUMPRODUCT(SIGN(((ACT_DOOR_SCOPE="ALL")+(ACT_DOOR_SCOPE="TIER_"&amp;$F156)+(ACT_DOOR_SCOPE=$B156)))*SIGN(((ACT_SKU_SCOPE="ALL")+(ACT_SKU_SCOPE=$G156)))*(ACT_START&lt;=4)*(ACT_END&gt;=4)*IFERROR(ACT_UPLIFT-1,0)))*(1+SUMPRODUCT(SIGN(((ACT_DOOR_SCOPE="ALL")+(ACT_DOOR_SCOPE="TIER_"&amp;$F156)+(ACT_DOOR_SCOPE=$B156)))*SIGN(((ACT_SKU_SCOPE="ALL")+(ACT_SKU_SCOPE=$G156)))*(4&gt;ACT_END)*(ACT_END&gt;0)*IFERROR(ACT_POSTLIFT,0))),0)))</f>
        <v/>
      </c>
      <c r="N156" s="10">
        <f>IF(OR($H156&lt;&gt;"Y",5&lt;$I156),0,IF(SUMPRODUCT(((BULK_ENABLED="Y")*((BULK_TIER="ALL")+(BULK_TIER=$F156))*((BULK_SKU="ALL")+(BULK_SKU=$G156))*(BULK_START&lt;=5)*(BULK_END&gt;=5)))&gt;0,IFERROR(SUMPRODUCT(((BULK_ENABLED="Y")*((BULK_TIER="ALL")+(BULK_TIER=$F156))*((BULK_SKU="ALL")+(BULK_SKU=$G156))*(BULK_START&lt;=5)*(BULK_END&gt;=5))*IFERROR(BULK_VALUE,0))/MAX(1,SUMPRODUCT(((BULK_ENABLED="Y")*((BULK_TIER="ALL")+(BULK_TIER=$F156))*((BULK_SKU="ALL")+(BULK_SKU=$G156))*(BULK_START&lt;=5)*(BULK_END&gt;=5)))),0),ROUND((INDEX(VELOCITY_TABLE,MATCH($F156,TIER_LIST,0),2))*(IF((5-$I156+1)&lt;=0,0,IF((5-$I156+1)=1,RAMP_W1,IF((5-$I156+1)=2,RAMP_W2,IF((5-$I156+1)=3,RAMP_W3,RAMP_W4PLUS)))))*(INDEX(ACTIVE_MULT_TABLE,2,1))*(1+SUMPRODUCT(SIGN(((ACT_DOOR_SCOPE="ALL")+(ACT_DOOR_SCOPE="TIER_"&amp;$F156)+(ACT_DOOR_SCOPE=$B156)))*SIGN(((ACT_SKU_SCOPE="ALL")+(ACT_SKU_SCOPE=$G156)))*(ACT_START&lt;=5)*(ACT_END&gt;=5)*IFERROR(ACT_UPLIFT-1,0)))*(1+SUMPRODUCT(SIGN(((ACT_DOOR_SCOPE="ALL")+(ACT_DOOR_SCOPE="TIER_"&amp;$F156)+(ACT_DOOR_SCOPE=$B156)))*SIGN(((ACT_SKU_SCOPE="ALL")+(ACT_SKU_SCOPE=$G156)))*(5&gt;ACT_END)*(ACT_END&gt;0)*IFERROR(ACT_POSTLIFT,0))),0)))</f>
        <v/>
      </c>
      <c r="O156" s="10">
        <f>IF(OR($H156&lt;&gt;"Y",6&lt;$I156),0,IF(SUMPRODUCT(((BULK_ENABLED="Y")*((BULK_TIER="ALL")+(BULK_TIER=$F156))*((BULK_SKU="ALL")+(BULK_SKU=$G156))*(BULK_START&lt;=6)*(BULK_END&gt;=6)))&gt;0,IFERROR(SUMPRODUCT(((BULK_ENABLED="Y")*((BULK_TIER="ALL")+(BULK_TIER=$F156))*((BULK_SKU="ALL")+(BULK_SKU=$G156))*(BULK_START&lt;=6)*(BULK_END&gt;=6))*IFERROR(BULK_VALUE,0))/MAX(1,SUMPRODUCT(((BULK_ENABLED="Y")*((BULK_TIER="ALL")+(BULK_TIER=$F156))*((BULK_SKU="ALL")+(BULK_SKU=$G156))*(BULK_START&lt;=6)*(BULK_END&gt;=6)))),0),ROUND((INDEX(VELOCITY_TABLE,MATCH($F156,TIER_LIST,0),2))*(IF((6-$I156+1)&lt;=0,0,IF((6-$I156+1)=1,RAMP_W1,IF((6-$I156+1)=2,RAMP_W2,IF((6-$I156+1)=3,RAMP_W3,RAMP_W4PLUS)))))*(INDEX(ACTIVE_MULT_TABLE,2,1))*(1+SUMPRODUCT(SIGN(((ACT_DOOR_SCOPE="ALL")+(ACT_DOOR_SCOPE="TIER_"&amp;$F156)+(ACT_DOOR_SCOPE=$B156)))*SIGN(((ACT_SKU_SCOPE="ALL")+(ACT_SKU_SCOPE=$G156)))*(ACT_START&lt;=6)*(ACT_END&gt;=6)*IFERROR(ACT_UPLIFT-1,0)))*(1+SUMPRODUCT(SIGN(((ACT_DOOR_SCOPE="ALL")+(ACT_DOOR_SCOPE="TIER_"&amp;$F156)+(ACT_DOOR_SCOPE=$B156)))*SIGN(((ACT_SKU_SCOPE="ALL")+(ACT_SKU_SCOPE=$G156)))*(6&gt;ACT_END)*(ACT_END&gt;0)*IFERROR(ACT_POSTLIFT,0))),0)))</f>
        <v/>
      </c>
      <c r="P156" s="10">
        <f>IF(OR($H156&lt;&gt;"Y",7&lt;$I156),0,IF(SUMPRODUCT(((BULK_ENABLED="Y")*((BULK_TIER="ALL")+(BULK_TIER=$F156))*((BULK_SKU="ALL")+(BULK_SKU=$G156))*(BULK_START&lt;=7)*(BULK_END&gt;=7)))&gt;0,IFERROR(SUMPRODUCT(((BULK_ENABLED="Y")*((BULK_TIER="ALL")+(BULK_TIER=$F156))*((BULK_SKU="ALL")+(BULK_SKU=$G156))*(BULK_START&lt;=7)*(BULK_END&gt;=7))*IFERROR(BULK_VALUE,0))/MAX(1,SUMPRODUCT(((BULK_ENABLED="Y")*((BULK_TIER="ALL")+(BULK_TIER=$F156))*((BULK_SKU="ALL")+(BULK_SKU=$G156))*(BULK_START&lt;=7)*(BULK_END&gt;=7)))),0),ROUND((INDEX(VELOCITY_TABLE,MATCH($F156,TIER_LIST,0),2))*(IF((7-$I156+1)&lt;=0,0,IF((7-$I156+1)=1,RAMP_W1,IF((7-$I156+1)=2,RAMP_W2,IF((7-$I156+1)=3,RAMP_W3,RAMP_W4PLUS)))))*(INDEX(ACTIVE_MULT_TABLE,2,1))*(1+SUMPRODUCT(SIGN(((ACT_DOOR_SCOPE="ALL")+(ACT_DOOR_SCOPE="TIER_"&amp;$F156)+(ACT_DOOR_SCOPE=$B156)))*SIGN(((ACT_SKU_SCOPE="ALL")+(ACT_SKU_SCOPE=$G156)))*(ACT_START&lt;=7)*(ACT_END&gt;=7)*IFERROR(ACT_UPLIFT-1,0)))*(1+SUMPRODUCT(SIGN(((ACT_DOOR_SCOPE="ALL")+(ACT_DOOR_SCOPE="TIER_"&amp;$F156)+(ACT_DOOR_SCOPE=$B156)))*SIGN(((ACT_SKU_SCOPE="ALL")+(ACT_SKU_SCOPE=$G156)))*(7&gt;ACT_END)*(ACT_END&gt;0)*IFERROR(ACT_POSTLIFT,0))),0)))</f>
        <v/>
      </c>
      <c r="Q156" s="10">
        <f>IF(OR($H156&lt;&gt;"Y",8&lt;$I156),0,IF(SUMPRODUCT(((BULK_ENABLED="Y")*((BULK_TIER="ALL")+(BULK_TIER=$F156))*((BULK_SKU="ALL")+(BULK_SKU=$G156))*(BULK_START&lt;=8)*(BULK_END&gt;=8)))&gt;0,IFERROR(SUMPRODUCT(((BULK_ENABLED="Y")*((BULK_TIER="ALL")+(BULK_TIER=$F156))*((BULK_SKU="ALL")+(BULK_SKU=$G156))*(BULK_START&lt;=8)*(BULK_END&gt;=8))*IFERROR(BULK_VALUE,0))/MAX(1,SUMPRODUCT(((BULK_ENABLED="Y")*((BULK_TIER="ALL")+(BULK_TIER=$F156))*((BULK_SKU="ALL")+(BULK_SKU=$G156))*(BULK_START&lt;=8)*(BULK_END&gt;=8)))),0),ROUND((INDEX(VELOCITY_TABLE,MATCH($F156,TIER_LIST,0),2))*(IF((8-$I156+1)&lt;=0,0,IF((8-$I156+1)=1,RAMP_W1,IF((8-$I156+1)=2,RAMP_W2,IF((8-$I156+1)=3,RAMP_W3,RAMP_W4PLUS)))))*(INDEX(ACTIVE_MULT_TABLE,2,1))*(1+SUMPRODUCT(SIGN(((ACT_DOOR_SCOPE="ALL")+(ACT_DOOR_SCOPE="TIER_"&amp;$F156)+(ACT_DOOR_SCOPE=$B156)))*SIGN(((ACT_SKU_SCOPE="ALL")+(ACT_SKU_SCOPE=$G156)))*(ACT_START&lt;=8)*(ACT_END&gt;=8)*IFERROR(ACT_UPLIFT-1,0)))*(1+SUMPRODUCT(SIGN(((ACT_DOOR_SCOPE="ALL")+(ACT_DOOR_SCOPE="TIER_"&amp;$F156)+(ACT_DOOR_SCOPE=$B156)))*SIGN(((ACT_SKU_SCOPE="ALL")+(ACT_SKU_SCOPE=$G156)))*(8&gt;ACT_END)*(ACT_END&gt;0)*IFERROR(ACT_POSTLIFT,0))),0)))</f>
        <v/>
      </c>
      <c r="R156" s="10">
        <f>IF(OR($H156&lt;&gt;"Y",9&lt;$I156),0,IF(SUMPRODUCT(((BULK_ENABLED="Y")*((BULK_TIER="ALL")+(BULK_TIER=$F156))*((BULK_SKU="ALL")+(BULK_SKU=$G156))*(BULK_START&lt;=9)*(BULK_END&gt;=9)))&gt;0,IFERROR(SUMPRODUCT(((BULK_ENABLED="Y")*((BULK_TIER="ALL")+(BULK_TIER=$F156))*((BULK_SKU="ALL")+(BULK_SKU=$G156))*(BULK_START&lt;=9)*(BULK_END&gt;=9))*IFERROR(BULK_VALUE,0))/MAX(1,SUMPRODUCT(((BULK_ENABLED="Y")*((BULK_TIER="ALL")+(BULK_TIER=$F156))*((BULK_SKU="ALL")+(BULK_SKU=$G156))*(BULK_START&lt;=9)*(BULK_END&gt;=9)))),0),ROUND((INDEX(VELOCITY_TABLE,MATCH($F156,TIER_LIST,0),2))*(IF((9-$I156+1)&lt;=0,0,IF((9-$I156+1)=1,RAMP_W1,IF((9-$I156+1)=2,RAMP_W2,IF((9-$I156+1)=3,RAMP_W3,RAMP_W4PLUS)))))*(INDEX(ACTIVE_MULT_TABLE,2,1))*(1+SUMPRODUCT(SIGN(((ACT_DOOR_SCOPE="ALL")+(ACT_DOOR_SCOPE="TIER_"&amp;$F156)+(ACT_DOOR_SCOPE=$B156)))*SIGN(((ACT_SKU_SCOPE="ALL")+(ACT_SKU_SCOPE=$G156)))*(ACT_START&lt;=9)*(ACT_END&gt;=9)*IFERROR(ACT_UPLIFT-1,0)))*(1+SUMPRODUCT(SIGN(((ACT_DOOR_SCOPE="ALL")+(ACT_DOOR_SCOPE="TIER_"&amp;$F156)+(ACT_DOOR_SCOPE=$B156)))*SIGN(((ACT_SKU_SCOPE="ALL")+(ACT_SKU_SCOPE=$G156)))*(9&gt;ACT_END)*(ACT_END&gt;0)*IFERROR(ACT_POSTLIFT,0))),0)))</f>
        <v/>
      </c>
      <c r="S156" s="10">
        <f>IF(OR($H156&lt;&gt;"Y",10&lt;$I156),0,IF(SUMPRODUCT(((BULK_ENABLED="Y")*((BULK_TIER="ALL")+(BULK_TIER=$F156))*((BULK_SKU="ALL")+(BULK_SKU=$G156))*(BULK_START&lt;=10)*(BULK_END&gt;=10)))&gt;0,IFERROR(SUMPRODUCT(((BULK_ENABLED="Y")*((BULK_TIER="ALL")+(BULK_TIER=$F156))*((BULK_SKU="ALL")+(BULK_SKU=$G156))*(BULK_START&lt;=10)*(BULK_END&gt;=10))*IFERROR(BULK_VALUE,0))/MAX(1,SUMPRODUCT(((BULK_ENABLED="Y")*((BULK_TIER="ALL")+(BULK_TIER=$F156))*((BULK_SKU="ALL")+(BULK_SKU=$G156))*(BULK_START&lt;=10)*(BULK_END&gt;=10)))),0),ROUND((INDEX(VELOCITY_TABLE,MATCH($F156,TIER_LIST,0),2))*(IF((10-$I156+1)&lt;=0,0,IF((10-$I156+1)=1,RAMP_W1,IF((10-$I156+1)=2,RAMP_W2,IF((10-$I156+1)=3,RAMP_W3,RAMP_W4PLUS)))))*(INDEX(ACTIVE_MULT_TABLE,2,1))*(1+SUMPRODUCT(SIGN(((ACT_DOOR_SCOPE="ALL")+(ACT_DOOR_SCOPE="TIER_"&amp;$F156)+(ACT_DOOR_SCOPE=$B156)))*SIGN(((ACT_SKU_SCOPE="ALL")+(ACT_SKU_SCOPE=$G156)))*(ACT_START&lt;=10)*(ACT_END&gt;=10)*IFERROR(ACT_UPLIFT-1,0)))*(1+SUMPRODUCT(SIGN(((ACT_DOOR_SCOPE="ALL")+(ACT_DOOR_SCOPE="TIER_"&amp;$F156)+(ACT_DOOR_SCOPE=$B156)))*SIGN(((ACT_SKU_SCOPE="ALL")+(ACT_SKU_SCOPE=$G156)))*(10&gt;ACT_END)*(ACT_END&gt;0)*IFERROR(ACT_POSTLIFT,0))),0)))</f>
        <v/>
      </c>
      <c r="T156" s="10">
        <f>IF(OR($H156&lt;&gt;"Y",11&lt;$I156),0,IF(SUMPRODUCT(((BULK_ENABLED="Y")*((BULK_TIER="ALL")+(BULK_TIER=$F156))*((BULK_SKU="ALL")+(BULK_SKU=$G156))*(BULK_START&lt;=11)*(BULK_END&gt;=11)))&gt;0,IFERROR(SUMPRODUCT(((BULK_ENABLED="Y")*((BULK_TIER="ALL")+(BULK_TIER=$F156))*((BULK_SKU="ALL")+(BULK_SKU=$G156))*(BULK_START&lt;=11)*(BULK_END&gt;=11))*IFERROR(BULK_VALUE,0))/MAX(1,SUMPRODUCT(((BULK_ENABLED="Y")*((BULK_TIER="ALL")+(BULK_TIER=$F156))*((BULK_SKU="ALL")+(BULK_SKU=$G156))*(BULK_START&lt;=11)*(BULK_END&gt;=11)))),0),ROUND((INDEX(VELOCITY_TABLE,MATCH($F156,TIER_LIST,0),2))*(IF((11-$I156+1)&lt;=0,0,IF((11-$I156+1)=1,RAMP_W1,IF((11-$I156+1)=2,RAMP_W2,IF((11-$I156+1)=3,RAMP_W3,RAMP_W4PLUS)))))*(INDEX(ACTIVE_MULT_TABLE,2,1))*(1+SUMPRODUCT(SIGN(((ACT_DOOR_SCOPE="ALL")+(ACT_DOOR_SCOPE="TIER_"&amp;$F156)+(ACT_DOOR_SCOPE=$B156)))*SIGN(((ACT_SKU_SCOPE="ALL")+(ACT_SKU_SCOPE=$G156)))*(ACT_START&lt;=11)*(ACT_END&gt;=11)*IFERROR(ACT_UPLIFT-1,0)))*(1+SUMPRODUCT(SIGN(((ACT_DOOR_SCOPE="ALL")+(ACT_DOOR_SCOPE="TIER_"&amp;$F156)+(ACT_DOOR_SCOPE=$B156)))*SIGN(((ACT_SKU_SCOPE="ALL")+(ACT_SKU_SCOPE=$G156)))*(11&gt;ACT_END)*(ACT_END&gt;0)*IFERROR(ACT_POSTLIFT,0))),0)))</f>
        <v/>
      </c>
      <c r="U156" s="10">
        <f>IF(OR($H156&lt;&gt;"Y",12&lt;$I156),0,IF(SUMPRODUCT(((BULK_ENABLED="Y")*((BULK_TIER="ALL")+(BULK_TIER=$F156))*((BULK_SKU="ALL")+(BULK_SKU=$G156))*(BULK_START&lt;=12)*(BULK_END&gt;=12)))&gt;0,IFERROR(SUMPRODUCT(((BULK_ENABLED="Y")*((BULK_TIER="ALL")+(BULK_TIER=$F156))*((BULK_SKU="ALL")+(BULK_SKU=$G156))*(BULK_START&lt;=12)*(BULK_END&gt;=12))*IFERROR(BULK_VALUE,0))/MAX(1,SUMPRODUCT(((BULK_ENABLED="Y")*((BULK_TIER="ALL")+(BULK_TIER=$F156))*((BULK_SKU="ALL")+(BULK_SKU=$G156))*(BULK_START&lt;=12)*(BULK_END&gt;=12)))),0),ROUND((INDEX(VELOCITY_TABLE,MATCH($F156,TIER_LIST,0),2))*(IF((12-$I156+1)&lt;=0,0,IF((12-$I156+1)=1,RAMP_W1,IF((12-$I156+1)=2,RAMP_W2,IF((12-$I156+1)=3,RAMP_W3,RAMP_W4PLUS)))))*(INDEX(ACTIVE_MULT_TABLE,2,1))*(1+SUMPRODUCT(SIGN(((ACT_DOOR_SCOPE="ALL")+(ACT_DOOR_SCOPE="TIER_"&amp;$F156)+(ACT_DOOR_SCOPE=$B156)))*SIGN(((ACT_SKU_SCOPE="ALL")+(ACT_SKU_SCOPE=$G156)))*(ACT_START&lt;=12)*(ACT_END&gt;=12)*IFERROR(ACT_UPLIFT-1,0)))*(1+SUMPRODUCT(SIGN(((ACT_DOOR_SCOPE="ALL")+(ACT_DOOR_SCOPE="TIER_"&amp;$F156)+(ACT_DOOR_SCOPE=$B156)))*SIGN(((ACT_SKU_SCOPE="ALL")+(ACT_SKU_SCOPE=$G156)))*(12&gt;ACT_END)*(ACT_END&gt;0)*IFERROR(ACT_POSTLIFT,0))),0)))</f>
        <v/>
      </c>
      <c r="V156" s="10">
        <f>IF(OR($H156&lt;&gt;"Y",13&lt;$I156),0,IF(SUMPRODUCT(((BULK_ENABLED="Y")*((BULK_TIER="ALL")+(BULK_TIER=$F156))*((BULK_SKU="ALL")+(BULK_SKU=$G156))*(BULK_START&lt;=13)*(BULK_END&gt;=13)))&gt;0,IFERROR(SUMPRODUCT(((BULK_ENABLED="Y")*((BULK_TIER="ALL")+(BULK_TIER=$F156))*((BULK_SKU="ALL")+(BULK_SKU=$G156))*(BULK_START&lt;=13)*(BULK_END&gt;=13))*IFERROR(BULK_VALUE,0))/MAX(1,SUMPRODUCT(((BULK_ENABLED="Y")*((BULK_TIER="ALL")+(BULK_TIER=$F156))*((BULK_SKU="ALL")+(BULK_SKU=$G156))*(BULK_START&lt;=13)*(BULK_END&gt;=13)))),0),ROUND((INDEX(VELOCITY_TABLE,MATCH($F156,TIER_LIST,0),2))*(IF((13-$I156+1)&lt;=0,0,IF((13-$I156+1)=1,RAMP_W1,IF((13-$I156+1)=2,RAMP_W2,IF((13-$I156+1)=3,RAMP_W3,RAMP_W4PLUS)))))*(INDEX(ACTIVE_MULT_TABLE,2,1))*(1+SUMPRODUCT(SIGN(((ACT_DOOR_SCOPE="ALL")+(ACT_DOOR_SCOPE="TIER_"&amp;$F156)+(ACT_DOOR_SCOPE=$B156)))*SIGN(((ACT_SKU_SCOPE="ALL")+(ACT_SKU_SCOPE=$G156)))*(ACT_START&lt;=13)*(ACT_END&gt;=13)*IFERROR(ACT_UPLIFT-1,0)))*(1+SUMPRODUCT(SIGN(((ACT_DOOR_SCOPE="ALL")+(ACT_DOOR_SCOPE="TIER_"&amp;$F156)+(ACT_DOOR_SCOPE=$B156)))*SIGN(((ACT_SKU_SCOPE="ALL")+(ACT_SKU_SCOPE=$G156)))*(13&gt;ACT_END)*(ACT_END&gt;0)*IFERROR(ACT_POSTLIFT,0))),0)))</f>
        <v/>
      </c>
    </row>
    <row r="157">
      <c r="A157" t="inlineStr">
        <is>
          <t>R0153</t>
        </is>
      </c>
      <c r="B157">
        <f>Doors!$A$55</f>
        <v/>
      </c>
      <c r="C157">
        <f>Doors!$C$55</f>
        <v/>
      </c>
      <c r="D157">
        <f>Doors!$B$55</f>
        <v/>
      </c>
      <c r="E157">
        <f>Doors!$E$55</f>
        <v/>
      </c>
      <c r="F157">
        <f>Doors!$F$55</f>
        <v/>
      </c>
      <c r="G157" t="inlineStr">
        <is>
          <t>Raspberry</t>
        </is>
      </c>
      <c r="H157">
        <f>Doors!$I$55</f>
        <v/>
      </c>
      <c r="I157">
        <f>Doors!$J$55</f>
        <v/>
      </c>
      <c r="J157" s="10">
        <f>IF(OR($H157&lt;&gt;"Y",1&lt;$I157),0,IF(SUMPRODUCT(((BULK_ENABLED="Y")*((BULK_TIER="ALL")+(BULK_TIER=$F157))*((BULK_SKU="ALL")+(BULK_SKU=$G157))*(BULK_START&lt;=1)*(BULK_END&gt;=1)))&gt;0,IFERROR(SUMPRODUCT(((BULK_ENABLED="Y")*((BULK_TIER="ALL")+(BULK_TIER=$F157))*((BULK_SKU="ALL")+(BULK_SKU=$G157))*(BULK_START&lt;=1)*(BULK_END&gt;=1))*IFERROR(BULK_VALUE,0))/MAX(1,SUMPRODUCT(((BULK_ENABLED="Y")*((BULK_TIER="ALL")+(BULK_TIER=$F157))*((BULK_SKU="ALL")+(BULK_SKU=$G157))*(BULK_START&lt;=1)*(BULK_END&gt;=1)))),0),ROUND((INDEX(VELOCITY_TABLE,MATCH($F157,TIER_LIST,0),3))*(IF((1-$I157+1)&lt;=0,0,IF((1-$I157+1)=1,RAMP_W1,IF((1-$I157+1)=2,RAMP_W2,IF((1-$I157+1)=3,RAMP_W3,RAMP_W4PLUS)))))*(INDEX(ACTIVE_MULT_TABLE,3,1))*(1+SUMPRODUCT(SIGN(((ACT_DOOR_SCOPE="ALL")+(ACT_DOOR_SCOPE="TIER_"&amp;$F157)+(ACT_DOOR_SCOPE=$B157)))*SIGN(((ACT_SKU_SCOPE="ALL")+(ACT_SKU_SCOPE=$G157)))*(ACT_START&lt;=1)*(ACT_END&gt;=1)*IFERROR(ACT_UPLIFT-1,0)))*(1+SUMPRODUCT(SIGN(((ACT_DOOR_SCOPE="ALL")+(ACT_DOOR_SCOPE="TIER_"&amp;$F157)+(ACT_DOOR_SCOPE=$B157)))*SIGN(((ACT_SKU_SCOPE="ALL")+(ACT_SKU_SCOPE=$G157)))*(1&gt;ACT_END)*(ACT_END&gt;0)*IFERROR(ACT_POSTLIFT,0))),0)))</f>
        <v/>
      </c>
      <c r="K157" s="10">
        <f>IF(OR($H157&lt;&gt;"Y",2&lt;$I157),0,IF(SUMPRODUCT(((BULK_ENABLED="Y")*((BULK_TIER="ALL")+(BULK_TIER=$F157))*((BULK_SKU="ALL")+(BULK_SKU=$G157))*(BULK_START&lt;=2)*(BULK_END&gt;=2)))&gt;0,IFERROR(SUMPRODUCT(((BULK_ENABLED="Y")*((BULK_TIER="ALL")+(BULK_TIER=$F157))*((BULK_SKU="ALL")+(BULK_SKU=$G157))*(BULK_START&lt;=2)*(BULK_END&gt;=2))*IFERROR(BULK_VALUE,0))/MAX(1,SUMPRODUCT(((BULK_ENABLED="Y")*((BULK_TIER="ALL")+(BULK_TIER=$F157))*((BULK_SKU="ALL")+(BULK_SKU=$G157))*(BULK_START&lt;=2)*(BULK_END&gt;=2)))),0),ROUND((INDEX(VELOCITY_TABLE,MATCH($F157,TIER_LIST,0),3))*(IF((2-$I157+1)&lt;=0,0,IF((2-$I157+1)=1,RAMP_W1,IF((2-$I157+1)=2,RAMP_W2,IF((2-$I157+1)=3,RAMP_W3,RAMP_W4PLUS)))))*(INDEX(ACTIVE_MULT_TABLE,3,1))*(1+SUMPRODUCT(SIGN(((ACT_DOOR_SCOPE="ALL")+(ACT_DOOR_SCOPE="TIER_"&amp;$F157)+(ACT_DOOR_SCOPE=$B157)))*SIGN(((ACT_SKU_SCOPE="ALL")+(ACT_SKU_SCOPE=$G157)))*(ACT_START&lt;=2)*(ACT_END&gt;=2)*IFERROR(ACT_UPLIFT-1,0)))*(1+SUMPRODUCT(SIGN(((ACT_DOOR_SCOPE="ALL")+(ACT_DOOR_SCOPE="TIER_"&amp;$F157)+(ACT_DOOR_SCOPE=$B157)))*SIGN(((ACT_SKU_SCOPE="ALL")+(ACT_SKU_SCOPE=$G157)))*(2&gt;ACT_END)*(ACT_END&gt;0)*IFERROR(ACT_POSTLIFT,0))),0)))</f>
        <v/>
      </c>
      <c r="L157" s="10">
        <f>IF(OR($H157&lt;&gt;"Y",3&lt;$I157),0,IF(SUMPRODUCT(((BULK_ENABLED="Y")*((BULK_TIER="ALL")+(BULK_TIER=$F157))*((BULK_SKU="ALL")+(BULK_SKU=$G157))*(BULK_START&lt;=3)*(BULK_END&gt;=3)))&gt;0,IFERROR(SUMPRODUCT(((BULK_ENABLED="Y")*((BULK_TIER="ALL")+(BULK_TIER=$F157))*((BULK_SKU="ALL")+(BULK_SKU=$G157))*(BULK_START&lt;=3)*(BULK_END&gt;=3))*IFERROR(BULK_VALUE,0))/MAX(1,SUMPRODUCT(((BULK_ENABLED="Y")*((BULK_TIER="ALL")+(BULK_TIER=$F157))*((BULK_SKU="ALL")+(BULK_SKU=$G157))*(BULK_START&lt;=3)*(BULK_END&gt;=3)))),0),ROUND((INDEX(VELOCITY_TABLE,MATCH($F157,TIER_LIST,0),3))*(IF((3-$I157+1)&lt;=0,0,IF((3-$I157+1)=1,RAMP_W1,IF((3-$I157+1)=2,RAMP_W2,IF((3-$I157+1)=3,RAMP_W3,RAMP_W4PLUS)))))*(INDEX(ACTIVE_MULT_TABLE,3,1))*(1+SUMPRODUCT(SIGN(((ACT_DOOR_SCOPE="ALL")+(ACT_DOOR_SCOPE="TIER_"&amp;$F157)+(ACT_DOOR_SCOPE=$B157)))*SIGN(((ACT_SKU_SCOPE="ALL")+(ACT_SKU_SCOPE=$G157)))*(ACT_START&lt;=3)*(ACT_END&gt;=3)*IFERROR(ACT_UPLIFT-1,0)))*(1+SUMPRODUCT(SIGN(((ACT_DOOR_SCOPE="ALL")+(ACT_DOOR_SCOPE="TIER_"&amp;$F157)+(ACT_DOOR_SCOPE=$B157)))*SIGN(((ACT_SKU_SCOPE="ALL")+(ACT_SKU_SCOPE=$G157)))*(3&gt;ACT_END)*(ACT_END&gt;0)*IFERROR(ACT_POSTLIFT,0))),0)))</f>
        <v/>
      </c>
      <c r="M157" s="10">
        <f>IF(OR($H157&lt;&gt;"Y",4&lt;$I157),0,IF(SUMPRODUCT(((BULK_ENABLED="Y")*((BULK_TIER="ALL")+(BULK_TIER=$F157))*((BULK_SKU="ALL")+(BULK_SKU=$G157))*(BULK_START&lt;=4)*(BULK_END&gt;=4)))&gt;0,IFERROR(SUMPRODUCT(((BULK_ENABLED="Y")*((BULK_TIER="ALL")+(BULK_TIER=$F157))*((BULK_SKU="ALL")+(BULK_SKU=$G157))*(BULK_START&lt;=4)*(BULK_END&gt;=4))*IFERROR(BULK_VALUE,0))/MAX(1,SUMPRODUCT(((BULK_ENABLED="Y")*((BULK_TIER="ALL")+(BULK_TIER=$F157))*((BULK_SKU="ALL")+(BULK_SKU=$G157))*(BULK_START&lt;=4)*(BULK_END&gt;=4)))),0),ROUND((INDEX(VELOCITY_TABLE,MATCH($F157,TIER_LIST,0),3))*(IF((4-$I157+1)&lt;=0,0,IF((4-$I157+1)=1,RAMP_W1,IF((4-$I157+1)=2,RAMP_W2,IF((4-$I157+1)=3,RAMP_W3,RAMP_W4PLUS)))))*(INDEX(ACTIVE_MULT_TABLE,3,1))*(1+SUMPRODUCT(SIGN(((ACT_DOOR_SCOPE="ALL")+(ACT_DOOR_SCOPE="TIER_"&amp;$F157)+(ACT_DOOR_SCOPE=$B157)))*SIGN(((ACT_SKU_SCOPE="ALL")+(ACT_SKU_SCOPE=$G157)))*(ACT_START&lt;=4)*(ACT_END&gt;=4)*IFERROR(ACT_UPLIFT-1,0)))*(1+SUMPRODUCT(SIGN(((ACT_DOOR_SCOPE="ALL")+(ACT_DOOR_SCOPE="TIER_"&amp;$F157)+(ACT_DOOR_SCOPE=$B157)))*SIGN(((ACT_SKU_SCOPE="ALL")+(ACT_SKU_SCOPE=$G157)))*(4&gt;ACT_END)*(ACT_END&gt;0)*IFERROR(ACT_POSTLIFT,0))),0)))</f>
        <v/>
      </c>
      <c r="N157" s="10">
        <f>IF(OR($H157&lt;&gt;"Y",5&lt;$I157),0,IF(SUMPRODUCT(((BULK_ENABLED="Y")*((BULK_TIER="ALL")+(BULK_TIER=$F157))*((BULK_SKU="ALL")+(BULK_SKU=$G157))*(BULK_START&lt;=5)*(BULK_END&gt;=5)))&gt;0,IFERROR(SUMPRODUCT(((BULK_ENABLED="Y")*((BULK_TIER="ALL")+(BULK_TIER=$F157))*((BULK_SKU="ALL")+(BULK_SKU=$G157))*(BULK_START&lt;=5)*(BULK_END&gt;=5))*IFERROR(BULK_VALUE,0))/MAX(1,SUMPRODUCT(((BULK_ENABLED="Y")*((BULK_TIER="ALL")+(BULK_TIER=$F157))*((BULK_SKU="ALL")+(BULK_SKU=$G157))*(BULK_START&lt;=5)*(BULK_END&gt;=5)))),0),ROUND((INDEX(VELOCITY_TABLE,MATCH($F157,TIER_LIST,0),3))*(IF((5-$I157+1)&lt;=0,0,IF((5-$I157+1)=1,RAMP_W1,IF((5-$I157+1)=2,RAMP_W2,IF((5-$I157+1)=3,RAMP_W3,RAMP_W4PLUS)))))*(INDEX(ACTIVE_MULT_TABLE,3,1))*(1+SUMPRODUCT(SIGN(((ACT_DOOR_SCOPE="ALL")+(ACT_DOOR_SCOPE="TIER_"&amp;$F157)+(ACT_DOOR_SCOPE=$B157)))*SIGN(((ACT_SKU_SCOPE="ALL")+(ACT_SKU_SCOPE=$G157)))*(ACT_START&lt;=5)*(ACT_END&gt;=5)*IFERROR(ACT_UPLIFT-1,0)))*(1+SUMPRODUCT(SIGN(((ACT_DOOR_SCOPE="ALL")+(ACT_DOOR_SCOPE="TIER_"&amp;$F157)+(ACT_DOOR_SCOPE=$B157)))*SIGN(((ACT_SKU_SCOPE="ALL")+(ACT_SKU_SCOPE=$G157)))*(5&gt;ACT_END)*(ACT_END&gt;0)*IFERROR(ACT_POSTLIFT,0))),0)))</f>
        <v/>
      </c>
      <c r="O157" s="10">
        <f>IF(OR($H157&lt;&gt;"Y",6&lt;$I157),0,IF(SUMPRODUCT(((BULK_ENABLED="Y")*((BULK_TIER="ALL")+(BULK_TIER=$F157))*((BULK_SKU="ALL")+(BULK_SKU=$G157))*(BULK_START&lt;=6)*(BULK_END&gt;=6)))&gt;0,IFERROR(SUMPRODUCT(((BULK_ENABLED="Y")*((BULK_TIER="ALL")+(BULK_TIER=$F157))*((BULK_SKU="ALL")+(BULK_SKU=$G157))*(BULK_START&lt;=6)*(BULK_END&gt;=6))*IFERROR(BULK_VALUE,0))/MAX(1,SUMPRODUCT(((BULK_ENABLED="Y")*((BULK_TIER="ALL")+(BULK_TIER=$F157))*((BULK_SKU="ALL")+(BULK_SKU=$G157))*(BULK_START&lt;=6)*(BULK_END&gt;=6)))),0),ROUND((INDEX(VELOCITY_TABLE,MATCH($F157,TIER_LIST,0),3))*(IF((6-$I157+1)&lt;=0,0,IF((6-$I157+1)=1,RAMP_W1,IF((6-$I157+1)=2,RAMP_W2,IF((6-$I157+1)=3,RAMP_W3,RAMP_W4PLUS)))))*(INDEX(ACTIVE_MULT_TABLE,3,1))*(1+SUMPRODUCT(SIGN(((ACT_DOOR_SCOPE="ALL")+(ACT_DOOR_SCOPE="TIER_"&amp;$F157)+(ACT_DOOR_SCOPE=$B157)))*SIGN(((ACT_SKU_SCOPE="ALL")+(ACT_SKU_SCOPE=$G157)))*(ACT_START&lt;=6)*(ACT_END&gt;=6)*IFERROR(ACT_UPLIFT-1,0)))*(1+SUMPRODUCT(SIGN(((ACT_DOOR_SCOPE="ALL")+(ACT_DOOR_SCOPE="TIER_"&amp;$F157)+(ACT_DOOR_SCOPE=$B157)))*SIGN(((ACT_SKU_SCOPE="ALL")+(ACT_SKU_SCOPE=$G157)))*(6&gt;ACT_END)*(ACT_END&gt;0)*IFERROR(ACT_POSTLIFT,0))),0)))</f>
        <v/>
      </c>
      <c r="P157" s="10">
        <f>IF(OR($H157&lt;&gt;"Y",7&lt;$I157),0,IF(SUMPRODUCT(((BULK_ENABLED="Y")*((BULK_TIER="ALL")+(BULK_TIER=$F157))*((BULK_SKU="ALL")+(BULK_SKU=$G157))*(BULK_START&lt;=7)*(BULK_END&gt;=7)))&gt;0,IFERROR(SUMPRODUCT(((BULK_ENABLED="Y")*((BULK_TIER="ALL")+(BULK_TIER=$F157))*((BULK_SKU="ALL")+(BULK_SKU=$G157))*(BULK_START&lt;=7)*(BULK_END&gt;=7))*IFERROR(BULK_VALUE,0))/MAX(1,SUMPRODUCT(((BULK_ENABLED="Y")*((BULK_TIER="ALL")+(BULK_TIER=$F157))*((BULK_SKU="ALL")+(BULK_SKU=$G157))*(BULK_START&lt;=7)*(BULK_END&gt;=7)))),0),ROUND((INDEX(VELOCITY_TABLE,MATCH($F157,TIER_LIST,0),3))*(IF((7-$I157+1)&lt;=0,0,IF((7-$I157+1)=1,RAMP_W1,IF((7-$I157+1)=2,RAMP_W2,IF((7-$I157+1)=3,RAMP_W3,RAMP_W4PLUS)))))*(INDEX(ACTIVE_MULT_TABLE,3,1))*(1+SUMPRODUCT(SIGN(((ACT_DOOR_SCOPE="ALL")+(ACT_DOOR_SCOPE="TIER_"&amp;$F157)+(ACT_DOOR_SCOPE=$B157)))*SIGN(((ACT_SKU_SCOPE="ALL")+(ACT_SKU_SCOPE=$G157)))*(ACT_START&lt;=7)*(ACT_END&gt;=7)*IFERROR(ACT_UPLIFT-1,0)))*(1+SUMPRODUCT(SIGN(((ACT_DOOR_SCOPE="ALL")+(ACT_DOOR_SCOPE="TIER_"&amp;$F157)+(ACT_DOOR_SCOPE=$B157)))*SIGN(((ACT_SKU_SCOPE="ALL")+(ACT_SKU_SCOPE=$G157)))*(7&gt;ACT_END)*(ACT_END&gt;0)*IFERROR(ACT_POSTLIFT,0))),0)))</f>
        <v/>
      </c>
      <c r="Q157" s="10">
        <f>IF(OR($H157&lt;&gt;"Y",8&lt;$I157),0,IF(SUMPRODUCT(((BULK_ENABLED="Y")*((BULK_TIER="ALL")+(BULK_TIER=$F157))*((BULK_SKU="ALL")+(BULK_SKU=$G157))*(BULK_START&lt;=8)*(BULK_END&gt;=8)))&gt;0,IFERROR(SUMPRODUCT(((BULK_ENABLED="Y")*((BULK_TIER="ALL")+(BULK_TIER=$F157))*((BULK_SKU="ALL")+(BULK_SKU=$G157))*(BULK_START&lt;=8)*(BULK_END&gt;=8))*IFERROR(BULK_VALUE,0))/MAX(1,SUMPRODUCT(((BULK_ENABLED="Y")*((BULK_TIER="ALL")+(BULK_TIER=$F157))*((BULK_SKU="ALL")+(BULK_SKU=$G157))*(BULK_START&lt;=8)*(BULK_END&gt;=8)))),0),ROUND((INDEX(VELOCITY_TABLE,MATCH($F157,TIER_LIST,0),3))*(IF((8-$I157+1)&lt;=0,0,IF((8-$I157+1)=1,RAMP_W1,IF((8-$I157+1)=2,RAMP_W2,IF((8-$I157+1)=3,RAMP_W3,RAMP_W4PLUS)))))*(INDEX(ACTIVE_MULT_TABLE,3,1))*(1+SUMPRODUCT(SIGN(((ACT_DOOR_SCOPE="ALL")+(ACT_DOOR_SCOPE="TIER_"&amp;$F157)+(ACT_DOOR_SCOPE=$B157)))*SIGN(((ACT_SKU_SCOPE="ALL")+(ACT_SKU_SCOPE=$G157)))*(ACT_START&lt;=8)*(ACT_END&gt;=8)*IFERROR(ACT_UPLIFT-1,0)))*(1+SUMPRODUCT(SIGN(((ACT_DOOR_SCOPE="ALL")+(ACT_DOOR_SCOPE="TIER_"&amp;$F157)+(ACT_DOOR_SCOPE=$B157)))*SIGN(((ACT_SKU_SCOPE="ALL")+(ACT_SKU_SCOPE=$G157)))*(8&gt;ACT_END)*(ACT_END&gt;0)*IFERROR(ACT_POSTLIFT,0))),0)))</f>
        <v/>
      </c>
      <c r="R157" s="10">
        <f>IF(OR($H157&lt;&gt;"Y",9&lt;$I157),0,IF(SUMPRODUCT(((BULK_ENABLED="Y")*((BULK_TIER="ALL")+(BULK_TIER=$F157))*((BULK_SKU="ALL")+(BULK_SKU=$G157))*(BULK_START&lt;=9)*(BULK_END&gt;=9)))&gt;0,IFERROR(SUMPRODUCT(((BULK_ENABLED="Y")*((BULK_TIER="ALL")+(BULK_TIER=$F157))*((BULK_SKU="ALL")+(BULK_SKU=$G157))*(BULK_START&lt;=9)*(BULK_END&gt;=9))*IFERROR(BULK_VALUE,0))/MAX(1,SUMPRODUCT(((BULK_ENABLED="Y")*((BULK_TIER="ALL")+(BULK_TIER=$F157))*((BULK_SKU="ALL")+(BULK_SKU=$G157))*(BULK_START&lt;=9)*(BULK_END&gt;=9)))),0),ROUND((INDEX(VELOCITY_TABLE,MATCH($F157,TIER_LIST,0),3))*(IF((9-$I157+1)&lt;=0,0,IF((9-$I157+1)=1,RAMP_W1,IF((9-$I157+1)=2,RAMP_W2,IF((9-$I157+1)=3,RAMP_W3,RAMP_W4PLUS)))))*(INDEX(ACTIVE_MULT_TABLE,3,1))*(1+SUMPRODUCT(SIGN(((ACT_DOOR_SCOPE="ALL")+(ACT_DOOR_SCOPE="TIER_"&amp;$F157)+(ACT_DOOR_SCOPE=$B157)))*SIGN(((ACT_SKU_SCOPE="ALL")+(ACT_SKU_SCOPE=$G157)))*(ACT_START&lt;=9)*(ACT_END&gt;=9)*IFERROR(ACT_UPLIFT-1,0)))*(1+SUMPRODUCT(SIGN(((ACT_DOOR_SCOPE="ALL")+(ACT_DOOR_SCOPE="TIER_"&amp;$F157)+(ACT_DOOR_SCOPE=$B157)))*SIGN(((ACT_SKU_SCOPE="ALL")+(ACT_SKU_SCOPE=$G157)))*(9&gt;ACT_END)*(ACT_END&gt;0)*IFERROR(ACT_POSTLIFT,0))),0)))</f>
        <v/>
      </c>
      <c r="S157" s="10">
        <f>IF(OR($H157&lt;&gt;"Y",10&lt;$I157),0,IF(SUMPRODUCT(((BULK_ENABLED="Y")*((BULK_TIER="ALL")+(BULK_TIER=$F157))*((BULK_SKU="ALL")+(BULK_SKU=$G157))*(BULK_START&lt;=10)*(BULK_END&gt;=10)))&gt;0,IFERROR(SUMPRODUCT(((BULK_ENABLED="Y")*((BULK_TIER="ALL")+(BULK_TIER=$F157))*((BULK_SKU="ALL")+(BULK_SKU=$G157))*(BULK_START&lt;=10)*(BULK_END&gt;=10))*IFERROR(BULK_VALUE,0))/MAX(1,SUMPRODUCT(((BULK_ENABLED="Y")*((BULK_TIER="ALL")+(BULK_TIER=$F157))*((BULK_SKU="ALL")+(BULK_SKU=$G157))*(BULK_START&lt;=10)*(BULK_END&gt;=10)))),0),ROUND((INDEX(VELOCITY_TABLE,MATCH($F157,TIER_LIST,0),3))*(IF((10-$I157+1)&lt;=0,0,IF((10-$I157+1)=1,RAMP_W1,IF((10-$I157+1)=2,RAMP_W2,IF((10-$I157+1)=3,RAMP_W3,RAMP_W4PLUS)))))*(INDEX(ACTIVE_MULT_TABLE,3,1))*(1+SUMPRODUCT(SIGN(((ACT_DOOR_SCOPE="ALL")+(ACT_DOOR_SCOPE="TIER_"&amp;$F157)+(ACT_DOOR_SCOPE=$B157)))*SIGN(((ACT_SKU_SCOPE="ALL")+(ACT_SKU_SCOPE=$G157)))*(ACT_START&lt;=10)*(ACT_END&gt;=10)*IFERROR(ACT_UPLIFT-1,0)))*(1+SUMPRODUCT(SIGN(((ACT_DOOR_SCOPE="ALL")+(ACT_DOOR_SCOPE="TIER_"&amp;$F157)+(ACT_DOOR_SCOPE=$B157)))*SIGN(((ACT_SKU_SCOPE="ALL")+(ACT_SKU_SCOPE=$G157)))*(10&gt;ACT_END)*(ACT_END&gt;0)*IFERROR(ACT_POSTLIFT,0))),0)))</f>
        <v/>
      </c>
      <c r="T157" s="10">
        <f>IF(OR($H157&lt;&gt;"Y",11&lt;$I157),0,IF(SUMPRODUCT(((BULK_ENABLED="Y")*((BULK_TIER="ALL")+(BULK_TIER=$F157))*((BULK_SKU="ALL")+(BULK_SKU=$G157))*(BULK_START&lt;=11)*(BULK_END&gt;=11)))&gt;0,IFERROR(SUMPRODUCT(((BULK_ENABLED="Y")*((BULK_TIER="ALL")+(BULK_TIER=$F157))*((BULK_SKU="ALL")+(BULK_SKU=$G157))*(BULK_START&lt;=11)*(BULK_END&gt;=11))*IFERROR(BULK_VALUE,0))/MAX(1,SUMPRODUCT(((BULK_ENABLED="Y")*((BULK_TIER="ALL")+(BULK_TIER=$F157))*((BULK_SKU="ALL")+(BULK_SKU=$G157))*(BULK_START&lt;=11)*(BULK_END&gt;=11)))),0),ROUND((INDEX(VELOCITY_TABLE,MATCH($F157,TIER_LIST,0),3))*(IF((11-$I157+1)&lt;=0,0,IF((11-$I157+1)=1,RAMP_W1,IF((11-$I157+1)=2,RAMP_W2,IF((11-$I157+1)=3,RAMP_W3,RAMP_W4PLUS)))))*(INDEX(ACTIVE_MULT_TABLE,3,1))*(1+SUMPRODUCT(SIGN(((ACT_DOOR_SCOPE="ALL")+(ACT_DOOR_SCOPE="TIER_"&amp;$F157)+(ACT_DOOR_SCOPE=$B157)))*SIGN(((ACT_SKU_SCOPE="ALL")+(ACT_SKU_SCOPE=$G157)))*(ACT_START&lt;=11)*(ACT_END&gt;=11)*IFERROR(ACT_UPLIFT-1,0)))*(1+SUMPRODUCT(SIGN(((ACT_DOOR_SCOPE="ALL")+(ACT_DOOR_SCOPE="TIER_"&amp;$F157)+(ACT_DOOR_SCOPE=$B157)))*SIGN(((ACT_SKU_SCOPE="ALL")+(ACT_SKU_SCOPE=$G157)))*(11&gt;ACT_END)*(ACT_END&gt;0)*IFERROR(ACT_POSTLIFT,0))),0)))</f>
        <v/>
      </c>
      <c r="U157" s="10">
        <f>IF(OR($H157&lt;&gt;"Y",12&lt;$I157),0,IF(SUMPRODUCT(((BULK_ENABLED="Y")*((BULK_TIER="ALL")+(BULK_TIER=$F157))*((BULK_SKU="ALL")+(BULK_SKU=$G157))*(BULK_START&lt;=12)*(BULK_END&gt;=12)))&gt;0,IFERROR(SUMPRODUCT(((BULK_ENABLED="Y")*((BULK_TIER="ALL")+(BULK_TIER=$F157))*((BULK_SKU="ALL")+(BULK_SKU=$G157))*(BULK_START&lt;=12)*(BULK_END&gt;=12))*IFERROR(BULK_VALUE,0))/MAX(1,SUMPRODUCT(((BULK_ENABLED="Y")*((BULK_TIER="ALL")+(BULK_TIER=$F157))*((BULK_SKU="ALL")+(BULK_SKU=$G157))*(BULK_START&lt;=12)*(BULK_END&gt;=12)))),0),ROUND((INDEX(VELOCITY_TABLE,MATCH($F157,TIER_LIST,0),3))*(IF((12-$I157+1)&lt;=0,0,IF((12-$I157+1)=1,RAMP_W1,IF((12-$I157+1)=2,RAMP_W2,IF((12-$I157+1)=3,RAMP_W3,RAMP_W4PLUS)))))*(INDEX(ACTIVE_MULT_TABLE,3,1))*(1+SUMPRODUCT(SIGN(((ACT_DOOR_SCOPE="ALL")+(ACT_DOOR_SCOPE="TIER_"&amp;$F157)+(ACT_DOOR_SCOPE=$B157)))*SIGN(((ACT_SKU_SCOPE="ALL")+(ACT_SKU_SCOPE=$G157)))*(ACT_START&lt;=12)*(ACT_END&gt;=12)*IFERROR(ACT_UPLIFT-1,0)))*(1+SUMPRODUCT(SIGN(((ACT_DOOR_SCOPE="ALL")+(ACT_DOOR_SCOPE="TIER_"&amp;$F157)+(ACT_DOOR_SCOPE=$B157)))*SIGN(((ACT_SKU_SCOPE="ALL")+(ACT_SKU_SCOPE=$G157)))*(12&gt;ACT_END)*(ACT_END&gt;0)*IFERROR(ACT_POSTLIFT,0))),0)))</f>
        <v/>
      </c>
      <c r="V157" s="10">
        <f>IF(OR($H157&lt;&gt;"Y",13&lt;$I157),0,IF(SUMPRODUCT(((BULK_ENABLED="Y")*((BULK_TIER="ALL")+(BULK_TIER=$F157))*((BULK_SKU="ALL")+(BULK_SKU=$G157))*(BULK_START&lt;=13)*(BULK_END&gt;=13)))&gt;0,IFERROR(SUMPRODUCT(((BULK_ENABLED="Y")*((BULK_TIER="ALL")+(BULK_TIER=$F157))*((BULK_SKU="ALL")+(BULK_SKU=$G157))*(BULK_START&lt;=13)*(BULK_END&gt;=13))*IFERROR(BULK_VALUE,0))/MAX(1,SUMPRODUCT(((BULK_ENABLED="Y")*((BULK_TIER="ALL")+(BULK_TIER=$F157))*((BULK_SKU="ALL")+(BULK_SKU=$G157))*(BULK_START&lt;=13)*(BULK_END&gt;=13)))),0),ROUND((INDEX(VELOCITY_TABLE,MATCH($F157,TIER_LIST,0),3))*(IF((13-$I157+1)&lt;=0,0,IF((13-$I157+1)=1,RAMP_W1,IF((13-$I157+1)=2,RAMP_W2,IF((13-$I157+1)=3,RAMP_W3,RAMP_W4PLUS)))))*(INDEX(ACTIVE_MULT_TABLE,3,1))*(1+SUMPRODUCT(SIGN(((ACT_DOOR_SCOPE="ALL")+(ACT_DOOR_SCOPE="TIER_"&amp;$F157)+(ACT_DOOR_SCOPE=$B157)))*SIGN(((ACT_SKU_SCOPE="ALL")+(ACT_SKU_SCOPE=$G157)))*(ACT_START&lt;=13)*(ACT_END&gt;=13)*IFERROR(ACT_UPLIFT-1,0)))*(1+SUMPRODUCT(SIGN(((ACT_DOOR_SCOPE="ALL")+(ACT_DOOR_SCOPE="TIER_"&amp;$F157)+(ACT_DOOR_SCOPE=$B157)))*SIGN(((ACT_SKU_SCOPE="ALL")+(ACT_SKU_SCOPE=$G157)))*(13&gt;ACT_END)*(ACT_END&gt;0)*IFERROR(ACT_POSTLIFT,0))),0)))</f>
        <v/>
      </c>
    </row>
    <row r="158">
      <c r="A158" t="inlineStr">
        <is>
          <t>R0154</t>
        </is>
      </c>
      <c r="B158">
        <f>Doors!$A$56</f>
        <v/>
      </c>
      <c r="C158">
        <f>Doors!$C$56</f>
        <v/>
      </c>
      <c r="D158">
        <f>Doors!$B$56</f>
        <v/>
      </c>
      <c r="E158">
        <f>Doors!$E$56</f>
        <v/>
      </c>
      <c r="F158">
        <f>Doors!$F$56</f>
        <v/>
      </c>
      <c r="G158" t="inlineStr">
        <is>
          <t>Lime Lemon</t>
        </is>
      </c>
      <c r="H158">
        <f>Doors!$G$56</f>
        <v/>
      </c>
      <c r="I158">
        <f>Doors!$J$56</f>
        <v/>
      </c>
      <c r="J158" s="10">
        <f>IF(OR($H158&lt;&gt;"Y",1&lt;$I158),0,IF(SUMPRODUCT(((BULK_ENABLED="Y")*((BULK_TIER="ALL")+(BULK_TIER=$F158))*((BULK_SKU="ALL")+(BULK_SKU=$G158))*(BULK_START&lt;=1)*(BULK_END&gt;=1)))&gt;0,IFERROR(SUMPRODUCT(((BULK_ENABLED="Y")*((BULK_TIER="ALL")+(BULK_TIER=$F158))*((BULK_SKU="ALL")+(BULK_SKU=$G158))*(BULK_START&lt;=1)*(BULK_END&gt;=1))*IFERROR(BULK_VALUE,0))/MAX(1,SUMPRODUCT(((BULK_ENABLED="Y")*((BULK_TIER="ALL")+(BULK_TIER=$F158))*((BULK_SKU="ALL")+(BULK_SKU=$G158))*(BULK_START&lt;=1)*(BULK_END&gt;=1)))),0),ROUND((INDEX(VELOCITY_TABLE,MATCH($F158,TIER_LIST,0),1))*(IF((1-$I158+1)&lt;=0,0,IF((1-$I158+1)=1,RAMP_W1,IF((1-$I158+1)=2,RAMP_W2,IF((1-$I158+1)=3,RAMP_W3,RAMP_W4PLUS)))))*(INDEX(ACTIVE_MULT_TABLE,1,1))*(1+SUMPRODUCT(SIGN(((ACT_DOOR_SCOPE="ALL")+(ACT_DOOR_SCOPE="TIER_"&amp;$F158)+(ACT_DOOR_SCOPE=$B158)))*SIGN(((ACT_SKU_SCOPE="ALL")+(ACT_SKU_SCOPE=$G158)))*(ACT_START&lt;=1)*(ACT_END&gt;=1)*IFERROR(ACT_UPLIFT-1,0)))*(1+SUMPRODUCT(SIGN(((ACT_DOOR_SCOPE="ALL")+(ACT_DOOR_SCOPE="TIER_"&amp;$F158)+(ACT_DOOR_SCOPE=$B158)))*SIGN(((ACT_SKU_SCOPE="ALL")+(ACT_SKU_SCOPE=$G158)))*(1&gt;ACT_END)*(ACT_END&gt;0)*IFERROR(ACT_POSTLIFT,0))),0)))</f>
        <v/>
      </c>
      <c r="K158" s="10">
        <f>IF(OR($H158&lt;&gt;"Y",2&lt;$I158),0,IF(SUMPRODUCT(((BULK_ENABLED="Y")*((BULK_TIER="ALL")+(BULK_TIER=$F158))*((BULK_SKU="ALL")+(BULK_SKU=$G158))*(BULK_START&lt;=2)*(BULK_END&gt;=2)))&gt;0,IFERROR(SUMPRODUCT(((BULK_ENABLED="Y")*((BULK_TIER="ALL")+(BULK_TIER=$F158))*((BULK_SKU="ALL")+(BULK_SKU=$G158))*(BULK_START&lt;=2)*(BULK_END&gt;=2))*IFERROR(BULK_VALUE,0))/MAX(1,SUMPRODUCT(((BULK_ENABLED="Y")*((BULK_TIER="ALL")+(BULK_TIER=$F158))*((BULK_SKU="ALL")+(BULK_SKU=$G158))*(BULK_START&lt;=2)*(BULK_END&gt;=2)))),0),ROUND((INDEX(VELOCITY_TABLE,MATCH($F158,TIER_LIST,0),1))*(IF((2-$I158+1)&lt;=0,0,IF((2-$I158+1)=1,RAMP_W1,IF((2-$I158+1)=2,RAMP_W2,IF((2-$I158+1)=3,RAMP_W3,RAMP_W4PLUS)))))*(INDEX(ACTIVE_MULT_TABLE,1,1))*(1+SUMPRODUCT(SIGN(((ACT_DOOR_SCOPE="ALL")+(ACT_DOOR_SCOPE="TIER_"&amp;$F158)+(ACT_DOOR_SCOPE=$B158)))*SIGN(((ACT_SKU_SCOPE="ALL")+(ACT_SKU_SCOPE=$G158)))*(ACT_START&lt;=2)*(ACT_END&gt;=2)*IFERROR(ACT_UPLIFT-1,0)))*(1+SUMPRODUCT(SIGN(((ACT_DOOR_SCOPE="ALL")+(ACT_DOOR_SCOPE="TIER_"&amp;$F158)+(ACT_DOOR_SCOPE=$B158)))*SIGN(((ACT_SKU_SCOPE="ALL")+(ACT_SKU_SCOPE=$G158)))*(2&gt;ACT_END)*(ACT_END&gt;0)*IFERROR(ACT_POSTLIFT,0))),0)))</f>
        <v/>
      </c>
      <c r="L158" s="10">
        <f>IF(OR($H158&lt;&gt;"Y",3&lt;$I158),0,IF(SUMPRODUCT(((BULK_ENABLED="Y")*((BULK_TIER="ALL")+(BULK_TIER=$F158))*((BULK_SKU="ALL")+(BULK_SKU=$G158))*(BULK_START&lt;=3)*(BULK_END&gt;=3)))&gt;0,IFERROR(SUMPRODUCT(((BULK_ENABLED="Y")*((BULK_TIER="ALL")+(BULK_TIER=$F158))*((BULK_SKU="ALL")+(BULK_SKU=$G158))*(BULK_START&lt;=3)*(BULK_END&gt;=3))*IFERROR(BULK_VALUE,0))/MAX(1,SUMPRODUCT(((BULK_ENABLED="Y")*((BULK_TIER="ALL")+(BULK_TIER=$F158))*((BULK_SKU="ALL")+(BULK_SKU=$G158))*(BULK_START&lt;=3)*(BULK_END&gt;=3)))),0),ROUND((INDEX(VELOCITY_TABLE,MATCH($F158,TIER_LIST,0),1))*(IF((3-$I158+1)&lt;=0,0,IF((3-$I158+1)=1,RAMP_W1,IF((3-$I158+1)=2,RAMP_W2,IF((3-$I158+1)=3,RAMP_W3,RAMP_W4PLUS)))))*(INDEX(ACTIVE_MULT_TABLE,1,1))*(1+SUMPRODUCT(SIGN(((ACT_DOOR_SCOPE="ALL")+(ACT_DOOR_SCOPE="TIER_"&amp;$F158)+(ACT_DOOR_SCOPE=$B158)))*SIGN(((ACT_SKU_SCOPE="ALL")+(ACT_SKU_SCOPE=$G158)))*(ACT_START&lt;=3)*(ACT_END&gt;=3)*IFERROR(ACT_UPLIFT-1,0)))*(1+SUMPRODUCT(SIGN(((ACT_DOOR_SCOPE="ALL")+(ACT_DOOR_SCOPE="TIER_"&amp;$F158)+(ACT_DOOR_SCOPE=$B158)))*SIGN(((ACT_SKU_SCOPE="ALL")+(ACT_SKU_SCOPE=$G158)))*(3&gt;ACT_END)*(ACT_END&gt;0)*IFERROR(ACT_POSTLIFT,0))),0)))</f>
        <v/>
      </c>
      <c r="M158" s="10">
        <f>IF(OR($H158&lt;&gt;"Y",4&lt;$I158),0,IF(SUMPRODUCT(((BULK_ENABLED="Y")*((BULK_TIER="ALL")+(BULK_TIER=$F158))*((BULK_SKU="ALL")+(BULK_SKU=$G158))*(BULK_START&lt;=4)*(BULK_END&gt;=4)))&gt;0,IFERROR(SUMPRODUCT(((BULK_ENABLED="Y")*((BULK_TIER="ALL")+(BULK_TIER=$F158))*((BULK_SKU="ALL")+(BULK_SKU=$G158))*(BULK_START&lt;=4)*(BULK_END&gt;=4))*IFERROR(BULK_VALUE,0))/MAX(1,SUMPRODUCT(((BULK_ENABLED="Y")*((BULK_TIER="ALL")+(BULK_TIER=$F158))*((BULK_SKU="ALL")+(BULK_SKU=$G158))*(BULK_START&lt;=4)*(BULK_END&gt;=4)))),0),ROUND((INDEX(VELOCITY_TABLE,MATCH($F158,TIER_LIST,0),1))*(IF((4-$I158+1)&lt;=0,0,IF((4-$I158+1)=1,RAMP_W1,IF((4-$I158+1)=2,RAMP_W2,IF((4-$I158+1)=3,RAMP_W3,RAMP_W4PLUS)))))*(INDEX(ACTIVE_MULT_TABLE,1,1))*(1+SUMPRODUCT(SIGN(((ACT_DOOR_SCOPE="ALL")+(ACT_DOOR_SCOPE="TIER_"&amp;$F158)+(ACT_DOOR_SCOPE=$B158)))*SIGN(((ACT_SKU_SCOPE="ALL")+(ACT_SKU_SCOPE=$G158)))*(ACT_START&lt;=4)*(ACT_END&gt;=4)*IFERROR(ACT_UPLIFT-1,0)))*(1+SUMPRODUCT(SIGN(((ACT_DOOR_SCOPE="ALL")+(ACT_DOOR_SCOPE="TIER_"&amp;$F158)+(ACT_DOOR_SCOPE=$B158)))*SIGN(((ACT_SKU_SCOPE="ALL")+(ACT_SKU_SCOPE=$G158)))*(4&gt;ACT_END)*(ACT_END&gt;0)*IFERROR(ACT_POSTLIFT,0))),0)))</f>
        <v/>
      </c>
      <c r="N158" s="10">
        <f>IF(OR($H158&lt;&gt;"Y",5&lt;$I158),0,IF(SUMPRODUCT(((BULK_ENABLED="Y")*((BULK_TIER="ALL")+(BULK_TIER=$F158))*((BULK_SKU="ALL")+(BULK_SKU=$G158))*(BULK_START&lt;=5)*(BULK_END&gt;=5)))&gt;0,IFERROR(SUMPRODUCT(((BULK_ENABLED="Y")*((BULK_TIER="ALL")+(BULK_TIER=$F158))*((BULK_SKU="ALL")+(BULK_SKU=$G158))*(BULK_START&lt;=5)*(BULK_END&gt;=5))*IFERROR(BULK_VALUE,0))/MAX(1,SUMPRODUCT(((BULK_ENABLED="Y")*((BULK_TIER="ALL")+(BULK_TIER=$F158))*((BULK_SKU="ALL")+(BULK_SKU=$G158))*(BULK_START&lt;=5)*(BULK_END&gt;=5)))),0),ROUND((INDEX(VELOCITY_TABLE,MATCH($F158,TIER_LIST,0),1))*(IF((5-$I158+1)&lt;=0,0,IF((5-$I158+1)=1,RAMP_W1,IF((5-$I158+1)=2,RAMP_W2,IF((5-$I158+1)=3,RAMP_W3,RAMP_W4PLUS)))))*(INDEX(ACTIVE_MULT_TABLE,1,1))*(1+SUMPRODUCT(SIGN(((ACT_DOOR_SCOPE="ALL")+(ACT_DOOR_SCOPE="TIER_"&amp;$F158)+(ACT_DOOR_SCOPE=$B158)))*SIGN(((ACT_SKU_SCOPE="ALL")+(ACT_SKU_SCOPE=$G158)))*(ACT_START&lt;=5)*(ACT_END&gt;=5)*IFERROR(ACT_UPLIFT-1,0)))*(1+SUMPRODUCT(SIGN(((ACT_DOOR_SCOPE="ALL")+(ACT_DOOR_SCOPE="TIER_"&amp;$F158)+(ACT_DOOR_SCOPE=$B158)))*SIGN(((ACT_SKU_SCOPE="ALL")+(ACT_SKU_SCOPE=$G158)))*(5&gt;ACT_END)*(ACT_END&gt;0)*IFERROR(ACT_POSTLIFT,0))),0)))</f>
        <v/>
      </c>
      <c r="O158" s="10">
        <f>IF(OR($H158&lt;&gt;"Y",6&lt;$I158),0,IF(SUMPRODUCT(((BULK_ENABLED="Y")*((BULK_TIER="ALL")+(BULK_TIER=$F158))*((BULK_SKU="ALL")+(BULK_SKU=$G158))*(BULK_START&lt;=6)*(BULK_END&gt;=6)))&gt;0,IFERROR(SUMPRODUCT(((BULK_ENABLED="Y")*((BULK_TIER="ALL")+(BULK_TIER=$F158))*((BULK_SKU="ALL")+(BULK_SKU=$G158))*(BULK_START&lt;=6)*(BULK_END&gt;=6))*IFERROR(BULK_VALUE,0))/MAX(1,SUMPRODUCT(((BULK_ENABLED="Y")*((BULK_TIER="ALL")+(BULK_TIER=$F158))*((BULK_SKU="ALL")+(BULK_SKU=$G158))*(BULK_START&lt;=6)*(BULK_END&gt;=6)))),0),ROUND((INDEX(VELOCITY_TABLE,MATCH($F158,TIER_LIST,0),1))*(IF((6-$I158+1)&lt;=0,0,IF((6-$I158+1)=1,RAMP_W1,IF((6-$I158+1)=2,RAMP_W2,IF((6-$I158+1)=3,RAMP_W3,RAMP_W4PLUS)))))*(INDEX(ACTIVE_MULT_TABLE,1,1))*(1+SUMPRODUCT(SIGN(((ACT_DOOR_SCOPE="ALL")+(ACT_DOOR_SCOPE="TIER_"&amp;$F158)+(ACT_DOOR_SCOPE=$B158)))*SIGN(((ACT_SKU_SCOPE="ALL")+(ACT_SKU_SCOPE=$G158)))*(ACT_START&lt;=6)*(ACT_END&gt;=6)*IFERROR(ACT_UPLIFT-1,0)))*(1+SUMPRODUCT(SIGN(((ACT_DOOR_SCOPE="ALL")+(ACT_DOOR_SCOPE="TIER_"&amp;$F158)+(ACT_DOOR_SCOPE=$B158)))*SIGN(((ACT_SKU_SCOPE="ALL")+(ACT_SKU_SCOPE=$G158)))*(6&gt;ACT_END)*(ACT_END&gt;0)*IFERROR(ACT_POSTLIFT,0))),0)))</f>
        <v/>
      </c>
      <c r="P158" s="10">
        <f>IF(OR($H158&lt;&gt;"Y",7&lt;$I158),0,IF(SUMPRODUCT(((BULK_ENABLED="Y")*((BULK_TIER="ALL")+(BULK_TIER=$F158))*((BULK_SKU="ALL")+(BULK_SKU=$G158))*(BULK_START&lt;=7)*(BULK_END&gt;=7)))&gt;0,IFERROR(SUMPRODUCT(((BULK_ENABLED="Y")*((BULK_TIER="ALL")+(BULK_TIER=$F158))*((BULK_SKU="ALL")+(BULK_SKU=$G158))*(BULK_START&lt;=7)*(BULK_END&gt;=7))*IFERROR(BULK_VALUE,0))/MAX(1,SUMPRODUCT(((BULK_ENABLED="Y")*((BULK_TIER="ALL")+(BULK_TIER=$F158))*((BULK_SKU="ALL")+(BULK_SKU=$G158))*(BULK_START&lt;=7)*(BULK_END&gt;=7)))),0),ROUND((INDEX(VELOCITY_TABLE,MATCH($F158,TIER_LIST,0),1))*(IF((7-$I158+1)&lt;=0,0,IF((7-$I158+1)=1,RAMP_W1,IF((7-$I158+1)=2,RAMP_W2,IF((7-$I158+1)=3,RAMP_W3,RAMP_W4PLUS)))))*(INDEX(ACTIVE_MULT_TABLE,1,1))*(1+SUMPRODUCT(SIGN(((ACT_DOOR_SCOPE="ALL")+(ACT_DOOR_SCOPE="TIER_"&amp;$F158)+(ACT_DOOR_SCOPE=$B158)))*SIGN(((ACT_SKU_SCOPE="ALL")+(ACT_SKU_SCOPE=$G158)))*(ACT_START&lt;=7)*(ACT_END&gt;=7)*IFERROR(ACT_UPLIFT-1,0)))*(1+SUMPRODUCT(SIGN(((ACT_DOOR_SCOPE="ALL")+(ACT_DOOR_SCOPE="TIER_"&amp;$F158)+(ACT_DOOR_SCOPE=$B158)))*SIGN(((ACT_SKU_SCOPE="ALL")+(ACT_SKU_SCOPE=$G158)))*(7&gt;ACT_END)*(ACT_END&gt;0)*IFERROR(ACT_POSTLIFT,0))),0)))</f>
        <v/>
      </c>
      <c r="Q158" s="10">
        <f>IF(OR($H158&lt;&gt;"Y",8&lt;$I158),0,IF(SUMPRODUCT(((BULK_ENABLED="Y")*((BULK_TIER="ALL")+(BULK_TIER=$F158))*((BULK_SKU="ALL")+(BULK_SKU=$G158))*(BULK_START&lt;=8)*(BULK_END&gt;=8)))&gt;0,IFERROR(SUMPRODUCT(((BULK_ENABLED="Y")*((BULK_TIER="ALL")+(BULK_TIER=$F158))*((BULK_SKU="ALL")+(BULK_SKU=$G158))*(BULK_START&lt;=8)*(BULK_END&gt;=8))*IFERROR(BULK_VALUE,0))/MAX(1,SUMPRODUCT(((BULK_ENABLED="Y")*((BULK_TIER="ALL")+(BULK_TIER=$F158))*((BULK_SKU="ALL")+(BULK_SKU=$G158))*(BULK_START&lt;=8)*(BULK_END&gt;=8)))),0),ROUND((INDEX(VELOCITY_TABLE,MATCH($F158,TIER_LIST,0),1))*(IF((8-$I158+1)&lt;=0,0,IF((8-$I158+1)=1,RAMP_W1,IF((8-$I158+1)=2,RAMP_W2,IF((8-$I158+1)=3,RAMP_W3,RAMP_W4PLUS)))))*(INDEX(ACTIVE_MULT_TABLE,1,1))*(1+SUMPRODUCT(SIGN(((ACT_DOOR_SCOPE="ALL")+(ACT_DOOR_SCOPE="TIER_"&amp;$F158)+(ACT_DOOR_SCOPE=$B158)))*SIGN(((ACT_SKU_SCOPE="ALL")+(ACT_SKU_SCOPE=$G158)))*(ACT_START&lt;=8)*(ACT_END&gt;=8)*IFERROR(ACT_UPLIFT-1,0)))*(1+SUMPRODUCT(SIGN(((ACT_DOOR_SCOPE="ALL")+(ACT_DOOR_SCOPE="TIER_"&amp;$F158)+(ACT_DOOR_SCOPE=$B158)))*SIGN(((ACT_SKU_SCOPE="ALL")+(ACT_SKU_SCOPE=$G158)))*(8&gt;ACT_END)*(ACT_END&gt;0)*IFERROR(ACT_POSTLIFT,0))),0)))</f>
        <v/>
      </c>
      <c r="R158" s="10">
        <f>IF(OR($H158&lt;&gt;"Y",9&lt;$I158),0,IF(SUMPRODUCT(((BULK_ENABLED="Y")*((BULK_TIER="ALL")+(BULK_TIER=$F158))*((BULK_SKU="ALL")+(BULK_SKU=$G158))*(BULK_START&lt;=9)*(BULK_END&gt;=9)))&gt;0,IFERROR(SUMPRODUCT(((BULK_ENABLED="Y")*((BULK_TIER="ALL")+(BULK_TIER=$F158))*((BULK_SKU="ALL")+(BULK_SKU=$G158))*(BULK_START&lt;=9)*(BULK_END&gt;=9))*IFERROR(BULK_VALUE,0))/MAX(1,SUMPRODUCT(((BULK_ENABLED="Y")*((BULK_TIER="ALL")+(BULK_TIER=$F158))*((BULK_SKU="ALL")+(BULK_SKU=$G158))*(BULK_START&lt;=9)*(BULK_END&gt;=9)))),0),ROUND((INDEX(VELOCITY_TABLE,MATCH($F158,TIER_LIST,0),1))*(IF((9-$I158+1)&lt;=0,0,IF((9-$I158+1)=1,RAMP_W1,IF((9-$I158+1)=2,RAMP_W2,IF((9-$I158+1)=3,RAMP_W3,RAMP_W4PLUS)))))*(INDEX(ACTIVE_MULT_TABLE,1,1))*(1+SUMPRODUCT(SIGN(((ACT_DOOR_SCOPE="ALL")+(ACT_DOOR_SCOPE="TIER_"&amp;$F158)+(ACT_DOOR_SCOPE=$B158)))*SIGN(((ACT_SKU_SCOPE="ALL")+(ACT_SKU_SCOPE=$G158)))*(ACT_START&lt;=9)*(ACT_END&gt;=9)*IFERROR(ACT_UPLIFT-1,0)))*(1+SUMPRODUCT(SIGN(((ACT_DOOR_SCOPE="ALL")+(ACT_DOOR_SCOPE="TIER_"&amp;$F158)+(ACT_DOOR_SCOPE=$B158)))*SIGN(((ACT_SKU_SCOPE="ALL")+(ACT_SKU_SCOPE=$G158)))*(9&gt;ACT_END)*(ACT_END&gt;0)*IFERROR(ACT_POSTLIFT,0))),0)))</f>
        <v/>
      </c>
      <c r="S158" s="10">
        <f>IF(OR($H158&lt;&gt;"Y",10&lt;$I158),0,IF(SUMPRODUCT(((BULK_ENABLED="Y")*((BULK_TIER="ALL")+(BULK_TIER=$F158))*((BULK_SKU="ALL")+(BULK_SKU=$G158))*(BULK_START&lt;=10)*(BULK_END&gt;=10)))&gt;0,IFERROR(SUMPRODUCT(((BULK_ENABLED="Y")*((BULK_TIER="ALL")+(BULK_TIER=$F158))*((BULK_SKU="ALL")+(BULK_SKU=$G158))*(BULK_START&lt;=10)*(BULK_END&gt;=10))*IFERROR(BULK_VALUE,0))/MAX(1,SUMPRODUCT(((BULK_ENABLED="Y")*((BULK_TIER="ALL")+(BULK_TIER=$F158))*((BULK_SKU="ALL")+(BULK_SKU=$G158))*(BULK_START&lt;=10)*(BULK_END&gt;=10)))),0),ROUND((INDEX(VELOCITY_TABLE,MATCH($F158,TIER_LIST,0),1))*(IF((10-$I158+1)&lt;=0,0,IF((10-$I158+1)=1,RAMP_W1,IF((10-$I158+1)=2,RAMP_W2,IF((10-$I158+1)=3,RAMP_W3,RAMP_W4PLUS)))))*(INDEX(ACTIVE_MULT_TABLE,1,1))*(1+SUMPRODUCT(SIGN(((ACT_DOOR_SCOPE="ALL")+(ACT_DOOR_SCOPE="TIER_"&amp;$F158)+(ACT_DOOR_SCOPE=$B158)))*SIGN(((ACT_SKU_SCOPE="ALL")+(ACT_SKU_SCOPE=$G158)))*(ACT_START&lt;=10)*(ACT_END&gt;=10)*IFERROR(ACT_UPLIFT-1,0)))*(1+SUMPRODUCT(SIGN(((ACT_DOOR_SCOPE="ALL")+(ACT_DOOR_SCOPE="TIER_"&amp;$F158)+(ACT_DOOR_SCOPE=$B158)))*SIGN(((ACT_SKU_SCOPE="ALL")+(ACT_SKU_SCOPE=$G158)))*(10&gt;ACT_END)*(ACT_END&gt;0)*IFERROR(ACT_POSTLIFT,0))),0)))</f>
        <v/>
      </c>
      <c r="T158" s="10">
        <f>IF(OR($H158&lt;&gt;"Y",11&lt;$I158),0,IF(SUMPRODUCT(((BULK_ENABLED="Y")*((BULK_TIER="ALL")+(BULK_TIER=$F158))*((BULK_SKU="ALL")+(BULK_SKU=$G158))*(BULK_START&lt;=11)*(BULK_END&gt;=11)))&gt;0,IFERROR(SUMPRODUCT(((BULK_ENABLED="Y")*((BULK_TIER="ALL")+(BULK_TIER=$F158))*((BULK_SKU="ALL")+(BULK_SKU=$G158))*(BULK_START&lt;=11)*(BULK_END&gt;=11))*IFERROR(BULK_VALUE,0))/MAX(1,SUMPRODUCT(((BULK_ENABLED="Y")*((BULK_TIER="ALL")+(BULK_TIER=$F158))*((BULK_SKU="ALL")+(BULK_SKU=$G158))*(BULK_START&lt;=11)*(BULK_END&gt;=11)))),0),ROUND((INDEX(VELOCITY_TABLE,MATCH($F158,TIER_LIST,0),1))*(IF((11-$I158+1)&lt;=0,0,IF((11-$I158+1)=1,RAMP_W1,IF((11-$I158+1)=2,RAMP_W2,IF((11-$I158+1)=3,RAMP_W3,RAMP_W4PLUS)))))*(INDEX(ACTIVE_MULT_TABLE,1,1))*(1+SUMPRODUCT(SIGN(((ACT_DOOR_SCOPE="ALL")+(ACT_DOOR_SCOPE="TIER_"&amp;$F158)+(ACT_DOOR_SCOPE=$B158)))*SIGN(((ACT_SKU_SCOPE="ALL")+(ACT_SKU_SCOPE=$G158)))*(ACT_START&lt;=11)*(ACT_END&gt;=11)*IFERROR(ACT_UPLIFT-1,0)))*(1+SUMPRODUCT(SIGN(((ACT_DOOR_SCOPE="ALL")+(ACT_DOOR_SCOPE="TIER_"&amp;$F158)+(ACT_DOOR_SCOPE=$B158)))*SIGN(((ACT_SKU_SCOPE="ALL")+(ACT_SKU_SCOPE=$G158)))*(11&gt;ACT_END)*(ACT_END&gt;0)*IFERROR(ACT_POSTLIFT,0))),0)))</f>
        <v/>
      </c>
      <c r="U158" s="10">
        <f>IF(OR($H158&lt;&gt;"Y",12&lt;$I158),0,IF(SUMPRODUCT(((BULK_ENABLED="Y")*((BULK_TIER="ALL")+(BULK_TIER=$F158))*((BULK_SKU="ALL")+(BULK_SKU=$G158))*(BULK_START&lt;=12)*(BULK_END&gt;=12)))&gt;0,IFERROR(SUMPRODUCT(((BULK_ENABLED="Y")*((BULK_TIER="ALL")+(BULK_TIER=$F158))*((BULK_SKU="ALL")+(BULK_SKU=$G158))*(BULK_START&lt;=12)*(BULK_END&gt;=12))*IFERROR(BULK_VALUE,0))/MAX(1,SUMPRODUCT(((BULK_ENABLED="Y")*((BULK_TIER="ALL")+(BULK_TIER=$F158))*((BULK_SKU="ALL")+(BULK_SKU=$G158))*(BULK_START&lt;=12)*(BULK_END&gt;=12)))),0),ROUND((INDEX(VELOCITY_TABLE,MATCH($F158,TIER_LIST,0),1))*(IF((12-$I158+1)&lt;=0,0,IF((12-$I158+1)=1,RAMP_W1,IF((12-$I158+1)=2,RAMP_W2,IF((12-$I158+1)=3,RAMP_W3,RAMP_W4PLUS)))))*(INDEX(ACTIVE_MULT_TABLE,1,1))*(1+SUMPRODUCT(SIGN(((ACT_DOOR_SCOPE="ALL")+(ACT_DOOR_SCOPE="TIER_"&amp;$F158)+(ACT_DOOR_SCOPE=$B158)))*SIGN(((ACT_SKU_SCOPE="ALL")+(ACT_SKU_SCOPE=$G158)))*(ACT_START&lt;=12)*(ACT_END&gt;=12)*IFERROR(ACT_UPLIFT-1,0)))*(1+SUMPRODUCT(SIGN(((ACT_DOOR_SCOPE="ALL")+(ACT_DOOR_SCOPE="TIER_"&amp;$F158)+(ACT_DOOR_SCOPE=$B158)))*SIGN(((ACT_SKU_SCOPE="ALL")+(ACT_SKU_SCOPE=$G158)))*(12&gt;ACT_END)*(ACT_END&gt;0)*IFERROR(ACT_POSTLIFT,0))),0)))</f>
        <v/>
      </c>
      <c r="V158" s="10">
        <f>IF(OR($H158&lt;&gt;"Y",13&lt;$I158),0,IF(SUMPRODUCT(((BULK_ENABLED="Y")*((BULK_TIER="ALL")+(BULK_TIER=$F158))*((BULK_SKU="ALL")+(BULK_SKU=$G158))*(BULK_START&lt;=13)*(BULK_END&gt;=13)))&gt;0,IFERROR(SUMPRODUCT(((BULK_ENABLED="Y")*((BULK_TIER="ALL")+(BULK_TIER=$F158))*((BULK_SKU="ALL")+(BULK_SKU=$G158))*(BULK_START&lt;=13)*(BULK_END&gt;=13))*IFERROR(BULK_VALUE,0))/MAX(1,SUMPRODUCT(((BULK_ENABLED="Y")*((BULK_TIER="ALL")+(BULK_TIER=$F158))*((BULK_SKU="ALL")+(BULK_SKU=$G158))*(BULK_START&lt;=13)*(BULK_END&gt;=13)))),0),ROUND((INDEX(VELOCITY_TABLE,MATCH($F158,TIER_LIST,0),1))*(IF((13-$I158+1)&lt;=0,0,IF((13-$I158+1)=1,RAMP_W1,IF((13-$I158+1)=2,RAMP_W2,IF((13-$I158+1)=3,RAMP_W3,RAMP_W4PLUS)))))*(INDEX(ACTIVE_MULT_TABLE,1,1))*(1+SUMPRODUCT(SIGN(((ACT_DOOR_SCOPE="ALL")+(ACT_DOOR_SCOPE="TIER_"&amp;$F158)+(ACT_DOOR_SCOPE=$B158)))*SIGN(((ACT_SKU_SCOPE="ALL")+(ACT_SKU_SCOPE=$G158)))*(ACT_START&lt;=13)*(ACT_END&gt;=13)*IFERROR(ACT_UPLIFT-1,0)))*(1+SUMPRODUCT(SIGN(((ACT_DOOR_SCOPE="ALL")+(ACT_DOOR_SCOPE="TIER_"&amp;$F158)+(ACT_DOOR_SCOPE=$B158)))*SIGN(((ACT_SKU_SCOPE="ALL")+(ACT_SKU_SCOPE=$G158)))*(13&gt;ACT_END)*(ACT_END&gt;0)*IFERROR(ACT_POSTLIFT,0))),0)))</f>
        <v/>
      </c>
    </row>
    <row r="159">
      <c r="A159" t="inlineStr">
        <is>
          <t>R0155</t>
        </is>
      </c>
      <c r="B159">
        <f>Doors!$A$56</f>
        <v/>
      </c>
      <c r="C159">
        <f>Doors!$C$56</f>
        <v/>
      </c>
      <c r="D159">
        <f>Doors!$B$56</f>
        <v/>
      </c>
      <c r="E159">
        <f>Doors!$E$56</f>
        <v/>
      </c>
      <c r="F159">
        <f>Doors!$F$56</f>
        <v/>
      </c>
      <c r="G159" t="inlineStr">
        <is>
          <t>Pineapple Passion Fruit</t>
        </is>
      </c>
      <c r="H159">
        <f>Doors!$H$56</f>
        <v/>
      </c>
      <c r="I159">
        <f>Doors!$J$56</f>
        <v/>
      </c>
      <c r="J159" s="10">
        <f>IF(OR($H159&lt;&gt;"Y",1&lt;$I159),0,IF(SUMPRODUCT(((BULK_ENABLED="Y")*((BULK_TIER="ALL")+(BULK_TIER=$F159))*((BULK_SKU="ALL")+(BULK_SKU=$G159))*(BULK_START&lt;=1)*(BULK_END&gt;=1)))&gt;0,IFERROR(SUMPRODUCT(((BULK_ENABLED="Y")*((BULK_TIER="ALL")+(BULK_TIER=$F159))*((BULK_SKU="ALL")+(BULK_SKU=$G159))*(BULK_START&lt;=1)*(BULK_END&gt;=1))*IFERROR(BULK_VALUE,0))/MAX(1,SUMPRODUCT(((BULK_ENABLED="Y")*((BULK_TIER="ALL")+(BULK_TIER=$F159))*((BULK_SKU="ALL")+(BULK_SKU=$G159))*(BULK_START&lt;=1)*(BULK_END&gt;=1)))),0),ROUND((INDEX(VELOCITY_TABLE,MATCH($F159,TIER_LIST,0),2))*(IF((1-$I159+1)&lt;=0,0,IF((1-$I159+1)=1,RAMP_W1,IF((1-$I159+1)=2,RAMP_W2,IF((1-$I159+1)=3,RAMP_W3,RAMP_W4PLUS)))))*(INDEX(ACTIVE_MULT_TABLE,2,1))*(1+SUMPRODUCT(SIGN(((ACT_DOOR_SCOPE="ALL")+(ACT_DOOR_SCOPE="TIER_"&amp;$F159)+(ACT_DOOR_SCOPE=$B159)))*SIGN(((ACT_SKU_SCOPE="ALL")+(ACT_SKU_SCOPE=$G159)))*(ACT_START&lt;=1)*(ACT_END&gt;=1)*IFERROR(ACT_UPLIFT-1,0)))*(1+SUMPRODUCT(SIGN(((ACT_DOOR_SCOPE="ALL")+(ACT_DOOR_SCOPE="TIER_"&amp;$F159)+(ACT_DOOR_SCOPE=$B159)))*SIGN(((ACT_SKU_SCOPE="ALL")+(ACT_SKU_SCOPE=$G159)))*(1&gt;ACT_END)*(ACT_END&gt;0)*IFERROR(ACT_POSTLIFT,0))),0)))</f>
        <v/>
      </c>
      <c r="K159" s="10">
        <f>IF(OR($H159&lt;&gt;"Y",2&lt;$I159),0,IF(SUMPRODUCT(((BULK_ENABLED="Y")*((BULK_TIER="ALL")+(BULK_TIER=$F159))*((BULK_SKU="ALL")+(BULK_SKU=$G159))*(BULK_START&lt;=2)*(BULK_END&gt;=2)))&gt;0,IFERROR(SUMPRODUCT(((BULK_ENABLED="Y")*((BULK_TIER="ALL")+(BULK_TIER=$F159))*((BULK_SKU="ALL")+(BULK_SKU=$G159))*(BULK_START&lt;=2)*(BULK_END&gt;=2))*IFERROR(BULK_VALUE,0))/MAX(1,SUMPRODUCT(((BULK_ENABLED="Y")*((BULK_TIER="ALL")+(BULK_TIER=$F159))*((BULK_SKU="ALL")+(BULK_SKU=$G159))*(BULK_START&lt;=2)*(BULK_END&gt;=2)))),0),ROUND((INDEX(VELOCITY_TABLE,MATCH($F159,TIER_LIST,0),2))*(IF((2-$I159+1)&lt;=0,0,IF((2-$I159+1)=1,RAMP_W1,IF((2-$I159+1)=2,RAMP_W2,IF((2-$I159+1)=3,RAMP_W3,RAMP_W4PLUS)))))*(INDEX(ACTIVE_MULT_TABLE,2,1))*(1+SUMPRODUCT(SIGN(((ACT_DOOR_SCOPE="ALL")+(ACT_DOOR_SCOPE="TIER_"&amp;$F159)+(ACT_DOOR_SCOPE=$B159)))*SIGN(((ACT_SKU_SCOPE="ALL")+(ACT_SKU_SCOPE=$G159)))*(ACT_START&lt;=2)*(ACT_END&gt;=2)*IFERROR(ACT_UPLIFT-1,0)))*(1+SUMPRODUCT(SIGN(((ACT_DOOR_SCOPE="ALL")+(ACT_DOOR_SCOPE="TIER_"&amp;$F159)+(ACT_DOOR_SCOPE=$B159)))*SIGN(((ACT_SKU_SCOPE="ALL")+(ACT_SKU_SCOPE=$G159)))*(2&gt;ACT_END)*(ACT_END&gt;0)*IFERROR(ACT_POSTLIFT,0))),0)))</f>
        <v/>
      </c>
      <c r="L159" s="10">
        <f>IF(OR($H159&lt;&gt;"Y",3&lt;$I159),0,IF(SUMPRODUCT(((BULK_ENABLED="Y")*((BULK_TIER="ALL")+(BULK_TIER=$F159))*((BULK_SKU="ALL")+(BULK_SKU=$G159))*(BULK_START&lt;=3)*(BULK_END&gt;=3)))&gt;0,IFERROR(SUMPRODUCT(((BULK_ENABLED="Y")*((BULK_TIER="ALL")+(BULK_TIER=$F159))*((BULK_SKU="ALL")+(BULK_SKU=$G159))*(BULK_START&lt;=3)*(BULK_END&gt;=3))*IFERROR(BULK_VALUE,0))/MAX(1,SUMPRODUCT(((BULK_ENABLED="Y")*((BULK_TIER="ALL")+(BULK_TIER=$F159))*((BULK_SKU="ALL")+(BULK_SKU=$G159))*(BULK_START&lt;=3)*(BULK_END&gt;=3)))),0),ROUND((INDEX(VELOCITY_TABLE,MATCH($F159,TIER_LIST,0),2))*(IF((3-$I159+1)&lt;=0,0,IF((3-$I159+1)=1,RAMP_W1,IF((3-$I159+1)=2,RAMP_W2,IF((3-$I159+1)=3,RAMP_W3,RAMP_W4PLUS)))))*(INDEX(ACTIVE_MULT_TABLE,2,1))*(1+SUMPRODUCT(SIGN(((ACT_DOOR_SCOPE="ALL")+(ACT_DOOR_SCOPE="TIER_"&amp;$F159)+(ACT_DOOR_SCOPE=$B159)))*SIGN(((ACT_SKU_SCOPE="ALL")+(ACT_SKU_SCOPE=$G159)))*(ACT_START&lt;=3)*(ACT_END&gt;=3)*IFERROR(ACT_UPLIFT-1,0)))*(1+SUMPRODUCT(SIGN(((ACT_DOOR_SCOPE="ALL")+(ACT_DOOR_SCOPE="TIER_"&amp;$F159)+(ACT_DOOR_SCOPE=$B159)))*SIGN(((ACT_SKU_SCOPE="ALL")+(ACT_SKU_SCOPE=$G159)))*(3&gt;ACT_END)*(ACT_END&gt;0)*IFERROR(ACT_POSTLIFT,0))),0)))</f>
        <v/>
      </c>
      <c r="M159" s="10">
        <f>IF(OR($H159&lt;&gt;"Y",4&lt;$I159),0,IF(SUMPRODUCT(((BULK_ENABLED="Y")*((BULK_TIER="ALL")+(BULK_TIER=$F159))*((BULK_SKU="ALL")+(BULK_SKU=$G159))*(BULK_START&lt;=4)*(BULK_END&gt;=4)))&gt;0,IFERROR(SUMPRODUCT(((BULK_ENABLED="Y")*((BULK_TIER="ALL")+(BULK_TIER=$F159))*((BULK_SKU="ALL")+(BULK_SKU=$G159))*(BULK_START&lt;=4)*(BULK_END&gt;=4))*IFERROR(BULK_VALUE,0))/MAX(1,SUMPRODUCT(((BULK_ENABLED="Y")*((BULK_TIER="ALL")+(BULK_TIER=$F159))*((BULK_SKU="ALL")+(BULK_SKU=$G159))*(BULK_START&lt;=4)*(BULK_END&gt;=4)))),0),ROUND((INDEX(VELOCITY_TABLE,MATCH($F159,TIER_LIST,0),2))*(IF((4-$I159+1)&lt;=0,0,IF((4-$I159+1)=1,RAMP_W1,IF((4-$I159+1)=2,RAMP_W2,IF((4-$I159+1)=3,RAMP_W3,RAMP_W4PLUS)))))*(INDEX(ACTIVE_MULT_TABLE,2,1))*(1+SUMPRODUCT(SIGN(((ACT_DOOR_SCOPE="ALL")+(ACT_DOOR_SCOPE="TIER_"&amp;$F159)+(ACT_DOOR_SCOPE=$B159)))*SIGN(((ACT_SKU_SCOPE="ALL")+(ACT_SKU_SCOPE=$G159)))*(ACT_START&lt;=4)*(ACT_END&gt;=4)*IFERROR(ACT_UPLIFT-1,0)))*(1+SUMPRODUCT(SIGN(((ACT_DOOR_SCOPE="ALL")+(ACT_DOOR_SCOPE="TIER_"&amp;$F159)+(ACT_DOOR_SCOPE=$B159)))*SIGN(((ACT_SKU_SCOPE="ALL")+(ACT_SKU_SCOPE=$G159)))*(4&gt;ACT_END)*(ACT_END&gt;0)*IFERROR(ACT_POSTLIFT,0))),0)))</f>
        <v/>
      </c>
      <c r="N159" s="10">
        <f>IF(OR($H159&lt;&gt;"Y",5&lt;$I159),0,IF(SUMPRODUCT(((BULK_ENABLED="Y")*((BULK_TIER="ALL")+(BULK_TIER=$F159))*((BULK_SKU="ALL")+(BULK_SKU=$G159))*(BULK_START&lt;=5)*(BULK_END&gt;=5)))&gt;0,IFERROR(SUMPRODUCT(((BULK_ENABLED="Y")*((BULK_TIER="ALL")+(BULK_TIER=$F159))*((BULK_SKU="ALL")+(BULK_SKU=$G159))*(BULK_START&lt;=5)*(BULK_END&gt;=5))*IFERROR(BULK_VALUE,0))/MAX(1,SUMPRODUCT(((BULK_ENABLED="Y")*((BULK_TIER="ALL")+(BULK_TIER=$F159))*((BULK_SKU="ALL")+(BULK_SKU=$G159))*(BULK_START&lt;=5)*(BULK_END&gt;=5)))),0),ROUND((INDEX(VELOCITY_TABLE,MATCH($F159,TIER_LIST,0),2))*(IF((5-$I159+1)&lt;=0,0,IF((5-$I159+1)=1,RAMP_W1,IF((5-$I159+1)=2,RAMP_W2,IF((5-$I159+1)=3,RAMP_W3,RAMP_W4PLUS)))))*(INDEX(ACTIVE_MULT_TABLE,2,1))*(1+SUMPRODUCT(SIGN(((ACT_DOOR_SCOPE="ALL")+(ACT_DOOR_SCOPE="TIER_"&amp;$F159)+(ACT_DOOR_SCOPE=$B159)))*SIGN(((ACT_SKU_SCOPE="ALL")+(ACT_SKU_SCOPE=$G159)))*(ACT_START&lt;=5)*(ACT_END&gt;=5)*IFERROR(ACT_UPLIFT-1,0)))*(1+SUMPRODUCT(SIGN(((ACT_DOOR_SCOPE="ALL")+(ACT_DOOR_SCOPE="TIER_"&amp;$F159)+(ACT_DOOR_SCOPE=$B159)))*SIGN(((ACT_SKU_SCOPE="ALL")+(ACT_SKU_SCOPE=$G159)))*(5&gt;ACT_END)*(ACT_END&gt;0)*IFERROR(ACT_POSTLIFT,0))),0)))</f>
        <v/>
      </c>
      <c r="O159" s="10">
        <f>IF(OR($H159&lt;&gt;"Y",6&lt;$I159),0,IF(SUMPRODUCT(((BULK_ENABLED="Y")*((BULK_TIER="ALL")+(BULK_TIER=$F159))*((BULK_SKU="ALL")+(BULK_SKU=$G159))*(BULK_START&lt;=6)*(BULK_END&gt;=6)))&gt;0,IFERROR(SUMPRODUCT(((BULK_ENABLED="Y")*((BULK_TIER="ALL")+(BULK_TIER=$F159))*((BULK_SKU="ALL")+(BULK_SKU=$G159))*(BULK_START&lt;=6)*(BULK_END&gt;=6))*IFERROR(BULK_VALUE,0))/MAX(1,SUMPRODUCT(((BULK_ENABLED="Y")*((BULK_TIER="ALL")+(BULK_TIER=$F159))*((BULK_SKU="ALL")+(BULK_SKU=$G159))*(BULK_START&lt;=6)*(BULK_END&gt;=6)))),0),ROUND((INDEX(VELOCITY_TABLE,MATCH($F159,TIER_LIST,0),2))*(IF((6-$I159+1)&lt;=0,0,IF((6-$I159+1)=1,RAMP_W1,IF((6-$I159+1)=2,RAMP_W2,IF((6-$I159+1)=3,RAMP_W3,RAMP_W4PLUS)))))*(INDEX(ACTIVE_MULT_TABLE,2,1))*(1+SUMPRODUCT(SIGN(((ACT_DOOR_SCOPE="ALL")+(ACT_DOOR_SCOPE="TIER_"&amp;$F159)+(ACT_DOOR_SCOPE=$B159)))*SIGN(((ACT_SKU_SCOPE="ALL")+(ACT_SKU_SCOPE=$G159)))*(ACT_START&lt;=6)*(ACT_END&gt;=6)*IFERROR(ACT_UPLIFT-1,0)))*(1+SUMPRODUCT(SIGN(((ACT_DOOR_SCOPE="ALL")+(ACT_DOOR_SCOPE="TIER_"&amp;$F159)+(ACT_DOOR_SCOPE=$B159)))*SIGN(((ACT_SKU_SCOPE="ALL")+(ACT_SKU_SCOPE=$G159)))*(6&gt;ACT_END)*(ACT_END&gt;0)*IFERROR(ACT_POSTLIFT,0))),0)))</f>
        <v/>
      </c>
      <c r="P159" s="10">
        <f>IF(OR($H159&lt;&gt;"Y",7&lt;$I159),0,IF(SUMPRODUCT(((BULK_ENABLED="Y")*((BULK_TIER="ALL")+(BULK_TIER=$F159))*((BULK_SKU="ALL")+(BULK_SKU=$G159))*(BULK_START&lt;=7)*(BULK_END&gt;=7)))&gt;0,IFERROR(SUMPRODUCT(((BULK_ENABLED="Y")*((BULK_TIER="ALL")+(BULK_TIER=$F159))*((BULK_SKU="ALL")+(BULK_SKU=$G159))*(BULK_START&lt;=7)*(BULK_END&gt;=7))*IFERROR(BULK_VALUE,0))/MAX(1,SUMPRODUCT(((BULK_ENABLED="Y")*((BULK_TIER="ALL")+(BULK_TIER=$F159))*((BULK_SKU="ALL")+(BULK_SKU=$G159))*(BULK_START&lt;=7)*(BULK_END&gt;=7)))),0),ROUND((INDEX(VELOCITY_TABLE,MATCH($F159,TIER_LIST,0),2))*(IF((7-$I159+1)&lt;=0,0,IF((7-$I159+1)=1,RAMP_W1,IF((7-$I159+1)=2,RAMP_W2,IF((7-$I159+1)=3,RAMP_W3,RAMP_W4PLUS)))))*(INDEX(ACTIVE_MULT_TABLE,2,1))*(1+SUMPRODUCT(SIGN(((ACT_DOOR_SCOPE="ALL")+(ACT_DOOR_SCOPE="TIER_"&amp;$F159)+(ACT_DOOR_SCOPE=$B159)))*SIGN(((ACT_SKU_SCOPE="ALL")+(ACT_SKU_SCOPE=$G159)))*(ACT_START&lt;=7)*(ACT_END&gt;=7)*IFERROR(ACT_UPLIFT-1,0)))*(1+SUMPRODUCT(SIGN(((ACT_DOOR_SCOPE="ALL")+(ACT_DOOR_SCOPE="TIER_"&amp;$F159)+(ACT_DOOR_SCOPE=$B159)))*SIGN(((ACT_SKU_SCOPE="ALL")+(ACT_SKU_SCOPE=$G159)))*(7&gt;ACT_END)*(ACT_END&gt;0)*IFERROR(ACT_POSTLIFT,0))),0)))</f>
        <v/>
      </c>
      <c r="Q159" s="10">
        <f>IF(OR($H159&lt;&gt;"Y",8&lt;$I159),0,IF(SUMPRODUCT(((BULK_ENABLED="Y")*((BULK_TIER="ALL")+(BULK_TIER=$F159))*((BULK_SKU="ALL")+(BULK_SKU=$G159))*(BULK_START&lt;=8)*(BULK_END&gt;=8)))&gt;0,IFERROR(SUMPRODUCT(((BULK_ENABLED="Y")*((BULK_TIER="ALL")+(BULK_TIER=$F159))*((BULK_SKU="ALL")+(BULK_SKU=$G159))*(BULK_START&lt;=8)*(BULK_END&gt;=8))*IFERROR(BULK_VALUE,0))/MAX(1,SUMPRODUCT(((BULK_ENABLED="Y")*((BULK_TIER="ALL")+(BULK_TIER=$F159))*((BULK_SKU="ALL")+(BULK_SKU=$G159))*(BULK_START&lt;=8)*(BULK_END&gt;=8)))),0),ROUND((INDEX(VELOCITY_TABLE,MATCH($F159,TIER_LIST,0),2))*(IF((8-$I159+1)&lt;=0,0,IF((8-$I159+1)=1,RAMP_W1,IF((8-$I159+1)=2,RAMP_W2,IF((8-$I159+1)=3,RAMP_W3,RAMP_W4PLUS)))))*(INDEX(ACTIVE_MULT_TABLE,2,1))*(1+SUMPRODUCT(SIGN(((ACT_DOOR_SCOPE="ALL")+(ACT_DOOR_SCOPE="TIER_"&amp;$F159)+(ACT_DOOR_SCOPE=$B159)))*SIGN(((ACT_SKU_SCOPE="ALL")+(ACT_SKU_SCOPE=$G159)))*(ACT_START&lt;=8)*(ACT_END&gt;=8)*IFERROR(ACT_UPLIFT-1,0)))*(1+SUMPRODUCT(SIGN(((ACT_DOOR_SCOPE="ALL")+(ACT_DOOR_SCOPE="TIER_"&amp;$F159)+(ACT_DOOR_SCOPE=$B159)))*SIGN(((ACT_SKU_SCOPE="ALL")+(ACT_SKU_SCOPE=$G159)))*(8&gt;ACT_END)*(ACT_END&gt;0)*IFERROR(ACT_POSTLIFT,0))),0)))</f>
        <v/>
      </c>
      <c r="R159" s="10">
        <f>IF(OR($H159&lt;&gt;"Y",9&lt;$I159),0,IF(SUMPRODUCT(((BULK_ENABLED="Y")*((BULK_TIER="ALL")+(BULK_TIER=$F159))*((BULK_SKU="ALL")+(BULK_SKU=$G159))*(BULK_START&lt;=9)*(BULK_END&gt;=9)))&gt;0,IFERROR(SUMPRODUCT(((BULK_ENABLED="Y")*((BULK_TIER="ALL")+(BULK_TIER=$F159))*((BULK_SKU="ALL")+(BULK_SKU=$G159))*(BULK_START&lt;=9)*(BULK_END&gt;=9))*IFERROR(BULK_VALUE,0))/MAX(1,SUMPRODUCT(((BULK_ENABLED="Y")*((BULK_TIER="ALL")+(BULK_TIER=$F159))*((BULK_SKU="ALL")+(BULK_SKU=$G159))*(BULK_START&lt;=9)*(BULK_END&gt;=9)))),0),ROUND((INDEX(VELOCITY_TABLE,MATCH($F159,TIER_LIST,0),2))*(IF((9-$I159+1)&lt;=0,0,IF((9-$I159+1)=1,RAMP_W1,IF((9-$I159+1)=2,RAMP_W2,IF((9-$I159+1)=3,RAMP_W3,RAMP_W4PLUS)))))*(INDEX(ACTIVE_MULT_TABLE,2,1))*(1+SUMPRODUCT(SIGN(((ACT_DOOR_SCOPE="ALL")+(ACT_DOOR_SCOPE="TIER_"&amp;$F159)+(ACT_DOOR_SCOPE=$B159)))*SIGN(((ACT_SKU_SCOPE="ALL")+(ACT_SKU_SCOPE=$G159)))*(ACT_START&lt;=9)*(ACT_END&gt;=9)*IFERROR(ACT_UPLIFT-1,0)))*(1+SUMPRODUCT(SIGN(((ACT_DOOR_SCOPE="ALL")+(ACT_DOOR_SCOPE="TIER_"&amp;$F159)+(ACT_DOOR_SCOPE=$B159)))*SIGN(((ACT_SKU_SCOPE="ALL")+(ACT_SKU_SCOPE=$G159)))*(9&gt;ACT_END)*(ACT_END&gt;0)*IFERROR(ACT_POSTLIFT,0))),0)))</f>
        <v/>
      </c>
      <c r="S159" s="10">
        <f>IF(OR($H159&lt;&gt;"Y",10&lt;$I159),0,IF(SUMPRODUCT(((BULK_ENABLED="Y")*((BULK_TIER="ALL")+(BULK_TIER=$F159))*((BULK_SKU="ALL")+(BULK_SKU=$G159))*(BULK_START&lt;=10)*(BULK_END&gt;=10)))&gt;0,IFERROR(SUMPRODUCT(((BULK_ENABLED="Y")*((BULK_TIER="ALL")+(BULK_TIER=$F159))*((BULK_SKU="ALL")+(BULK_SKU=$G159))*(BULK_START&lt;=10)*(BULK_END&gt;=10))*IFERROR(BULK_VALUE,0))/MAX(1,SUMPRODUCT(((BULK_ENABLED="Y")*((BULK_TIER="ALL")+(BULK_TIER=$F159))*((BULK_SKU="ALL")+(BULK_SKU=$G159))*(BULK_START&lt;=10)*(BULK_END&gt;=10)))),0),ROUND((INDEX(VELOCITY_TABLE,MATCH($F159,TIER_LIST,0),2))*(IF((10-$I159+1)&lt;=0,0,IF((10-$I159+1)=1,RAMP_W1,IF((10-$I159+1)=2,RAMP_W2,IF((10-$I159+1)=3,RAMP_W3,RAMP_W4PLUS)))))*(INDEX(ACTIVE_MULT_TABLE,2,1))*(1+SUMPRODUCT(SIGN(((ACT_DOOR_SCOPE="ALL")+(ACT_DOOR_SCOPE="TIER_"&amp;$F159)+(ACT_DOOR_SCOPE=$B159)))*SIGN(((ACT_SKU_SCOPE="ALL")+(ACT_SKU_SCOPE=$G159)))*(ACT_START&lt;=10)*(ACT_END&gt;=10)*IFERROR(ACT_UPLIFT-1,0)))*(1+SUMPRODUCT(SIGN(((ACT_DOOR_SCOPE="ALL")+(ACT_DOOR_SCOPE="TIER_"&amp;$F159)+(ACT_DOOR_SCOPE=$B159)))*SIGN(((ACT_SKU_SCOPE="ALL")+(ACT_SKU_SCOPE=$G159)))*(10&gt;ACT_END)*(ACT_END&gt;0)*IFERROR(ACT_POSTLIFT,0))),0)))</f>
        <v/>
      </c>
      <c r="T159" s="10">
        <f>IF(OR($H159&lt;&gt;"Y",11&lt;$I159),0,IF(SUMPRODUCT(((BULK_ENABLED="Y")*((BULK_TIER="ALL")+(BULK_TIER=$F159))*((BULK_SKU="ALL")+(BULK_SKU=$G159))*(BULK_START&lt;=11)*(BULK_END&gt;=11)))&gt;0,IFERROR(SUMPRODUCT(((BULK_ENABLED="Y")*((BULK_TIER="ALL")+(BULK_TIER=$F159))*((BULK_SKU="ALL")+(BULK_SKU=$G159))*(BULK_START&lt;=11)*(BULK_END&gt;=11))*IFERROR(BULK_VALUE,0))/MAX(1,SUMPRODUCT(((BULK_ENABLED="Y")*((BULK_TIER="ALL")+(BULK_TIER=$F159))*((BULK_SKU="ALL")+(BULK_SKU=$G159))*(BULK_START&lt;=11)*(BULK_END&gt;=11)))),0),ROUND((INDEX(VELOCITY_TABLE,MATCH($F159,TIER_LIST,0),2))*(IF((11-$I159+1)&lt;=0,0,IF((11-$I159+1)=1,RAMP_W1,IF((11-$I159+1)=2,RAMP_W2,IF((11-$I159+1)=3,RAMP_W3,RAMP_W4PLUS)))))*(INDEX(ACTIVE_MULT_TABLE,2,1))*(1+SUMPRODUCT(SIGN(((ACT_DOOR_SCOPE="ALL")+(ACT_DOOR_SCOPE="TIER_"&amp;$F159)+(ACT_DOOR_SCOPE=$B159)))*SIGN(((ACT_SKU_SCOPE="ALL")+(ACT_SKU_SCOPE=$G159)))*(ACT_START&lt;=11)*(ACT_END&gt;=11)*IFERROR(ACT_UPLIFT-1,0)))*(1+SUMPRODUCT(SIGN(((ACT_DOOR_SCOPE="ALL")+(ACT_DOOR_SCOPE="TIER_"&amp;$F159)+(ACT_DOOR_SCOPE=$B159)))*SIGN(((ACT_SKU_SCOPE="ALL")+(ACT_SKU_SCOPE=$G159)))*(11&gt;ACT_END)*(ACT_END&gt;0)*IFERROR(ACT_POSTLIFT,0))),0)))</f>
        <v/>
      </c>
      <c r="U159" s="10">
        <f>IF(OR($H159&lt;&gt;"Y",12&lt;$I159),0,IF(SUMPRODUCT(((BULK_ENABLED="Y")*((BULK_TIER="ALL")+(BULK_TIER=$F159))*((BULK_SKU="ALL")+(BULK_SKU=$G159))*(BULK_START&lt;=12)*(BULK_END&gt;=12)))&gt;0,IFERROR(SUMPRODUCT(((BULK_ENABLED="Y")*((BULK_TIER="ALL")+(BULK_TIER=$F159))*((BULK_SKU="ALL")+(BULK_SKU=$G159))*(BULK_START&lt;=12)*(BULK_END&gt;=12))*IFERROR(BULK_VALUE,0))/MAX(1,SUMPRODUCT(((BULK_ENABLED="Y")*((BULK_TIER="ALL")+(BULK_TIER=$F159))*((BULK_SKU="ALL")+(BULK_SKU=$G159))*(BULK_START&lt;=12)*(BULK_END&gt;=12)))),0),ROUND((INDEX(VELOCITY_TABLE,MATCH($F159,TIER_LIST,0),2))*(IF((12-$I159+1)&lt;=0,0,IF((12-$I159+1)=1,RAMP_W1,IF((12-$I159+1)=2,RAMP_W2,IF((12-$I159+1)=3,RAMP_W3,RAMP_W4PLUS)))))*(INDEX(ACTIVE_MULT_TABLE,2,1))*(1+SUMPRODUCT(SIGN(((ACT_DOOR_SCOPE="ALL")+(ACT_DOOR_SCOPE="TIER_"&amp;$F159)+(ACT_DOOR_SCOPE=$B159)))*SIGN(((ACT_SKU_SCOPE="ALL")+(ACT_SKU_SCOPE=$G159)))*(ACT_START&lt;=12)*(ACT_END&gt;=12)*IFERROR(ACT_UPLIFT-1,0)))*(1+SUMPRODUCT(SIGN(((ACT_DOOR_SCOPE="ALL")+(ACT_DOOR_SCOPE="TIER_"&amp;$F159)+(ACT_DOOR_SCOPE=$B159)))*SIGN(((ACT_SKU_SCOPE="ALL")+(ACT_SKU_SCOPE=$G159)))*(12&gt;ACT_END)*(ACT_END&gt;0)*IFERROR(ACT_POSTLIFT,0))),0)))</f>
        <v/>
      </c>
      <c r="V159" s="10">
        <f>IF(OR($H159&lt;&gt;"Y",13&lt;$I159),0,IF(SUMPRODUCT(((BULK_ENABLED="Y")*((BULK_TIER="ALL")+(BULK_TIER=$F159))*((BULK_SKU="ALL")+(BULK_SKU=$G159))*(BULK_START&lt;=13)*(BULK_END&gt;=13)))&gt;0,IFERROR(SUMPRODUCT(((BULK_ENABLED="Y")*((BULK_TIER="ALL")+(BULK_TIER=$F159))*((BULK_SKU="ALL")+(BULK_SKU=$G159))*(BULK_START&lt;=13)*(BULK_END&gt;=13))*IFERROR(BULK_VALUE,0))/MAX(1,SUMPRODUCT(((BULK_ENABLED="Y")*((BULK_TIER="ALL")+(BULK_TIER=$F159))*((BULK_SKU="ALL")+(BULK_SKU=$G159))*(BULK_START&lt;=13)*(BULK_END&gt;=13)))),0),ROUND((INDEX(VELOCITY_TABLE,MATCH($F159,TIER_LIST,0),2))*(IF((13-$I159+1)&lt;=0,0,IF((13-$I159+1)=1,RAMP_W1,IF((13-$I159+1)=2,RAMP_W2,IF((13-$I159+1)=3,RAMP_W3,RAMP_W4PLUS)))))*(INDEX(ACTIVE_MULT_TABLE,2,1))*(1+SUMPRODUCT(SIGN(((ACT_DOOR_SCOPE="ALL")+(ACT_DOOR_SCOPE="TIER_"&amp;$F159)+(ACT_DOOR_SCOPE=$B159)))*SIGN(((ACT_SKU_SCOPE="ALL")+(ACT_SKU_SCOPE=$G159)))*(ACT_START&lt;=13)*(ACT_END&gt;=13)*IFERROR(ACT_UPLIFT-1,0)))*(1+SUMPRODUCT(SIGN(((ACT_DOOR_SCOPE="ALL")+(ACT_DOOR_SCOPE="TIER_"&amp;$F159)+(ACT_DOOR_SCOPE=$B159)))*SIGN(((ACT_SKU_SCOPE="ALL")+(ACT_SKU_SCOPE=$G159)))*(13&gt;ACT_END)*(ACT_END&gt;0)*IFERROR(ACT_POSTLIFT,0))),0)))</f>
        <v/>
      </c>
    </row>
    <row r="160">
      <c r="A160" t="inlineStr">
        <is>
          <t>R0156</t>
        </is>
      </c>
      <c r="B160">
        <f>Doors!$A$56</f>
        <v/>
      </c>
      <c r="C160">
        <f>Doors!$C$56</f>
        <v/>
      </c>
      <c r="D160">
        <f>Doors!$B$56</f>
        <v/>
      </c>
      <c r="E160">
        <f>Doors!$E$56</f>
        <v/>
      </c>
      <c r="F160">
        <f>Doors!$F$56</f>
        <v/>
      </c>
      <c r="G160" t="inlineStr">
        <is>
          <t>Raspberry</t>
        </is>
      </c>
      <c r="H160">
        <f>Doors!$I$56</f>
        <v/>
      </c>
      <c r="I160">
        <f>Doors!$J$56</f>
        <v/>
      </c>
      <c r="J160" s="10">
        <f>IF(OR($H160&lt;&gt;"Y",1&lt;$I160),0,IF(SUMPRODUCT(((BULK_ENABLED="Y")*((BULK_TIER="ALL")+(BULK_TIER=$F160))*((BULK_SKU="ALL")+(BULK_SKU=$G160))*(BULK_START&lt;=1)*(BULK_END&gt;=1)))&gt;0,IFERROR(SUMPRODUCT(((BULK_ENABLED="Y")*((BULK_TIER="ALL")+(BULK_TIER=$F160))*((BULK_SKU="ALL")+(BULK_SKU=$G160))*(BULK_START&lt;=1)*(BULK_END&gt;=1))*IFERROR(BULK_VALUE,0))/MAX(1,SUMPRODUCT(((BULK_ENABLED="Y")*((BULK_TIER="ALL")+(BULK_TIER=$F160))*((BULK_SKU="ALL")+(BULK_SKU=$G160))*(BULK_START&lt;=1)*(BULK_END&gt;=1)))),0),ROUND((INDEX(VELOCITY_TABLE,MATCH($F160,TIER_LIST,0),3))*(IF((1-$I160+1)&lt;=0,0,IF((1-$I160+1)=1,RAMP_W1,IF((1-$I160+1)=2,RAMP_W2,IF((1-$I160+1)=3,RAMP_W3,RAMP_W4PLUS)))))*(INDEX(ACTIVE_MULT_TABLE,3,1))*(1+SUMPRODUCT(SIGN(((ACT_DOOR_SCOPE="ALL")+(ACT_DOOR_SCOPE="TIER_"&amp;$F160)+(ACT_DOOR_SCOPE=$B160)))*SIGN(((ACT_SKU_SCOPE="ALL")+(ACT_SKU_SCOPE=$G160)))*(ACT_START&lt;=1)*(ACT_END&gt;=1)*IFERROR(ACT_UPLIFT-1,0)))*(1+SUMPRODUCT(SIGN(((ACT_DOOR_SCOPE="ALL")+(ACT_DOOR_SCOPE="TIER_"&amp;$F160)+(ACT_DOOR_SCOPE=$B160)))*SIGN(((ACT_SKU_SCOPE="ALL")+(ACT_SKU_SCOPE=$G160)))*(1&gt;ACT_END)*(ACT_END&gt;0)*IFERROR(ACT_POSTLIFT,0))),0)))</f>
        <v/>
      </c>
      <c r="K160" s="10">
        <f>IF(OR($H160&lt;&gt;"Y",2&lt;$I160),0,IF(SUMPRODUCT(((BULK_ENABLED="Y")*((BULK_TIER="ALL")+(BULK_TIER=$F160))*((BULK_SKU="ALL")+(BULK_SKU=$G160))*(BULK_START&lt;=2)*(BULK_END&gt;=2)))&gt;0,IFERROR(SUMPRODUCT(((BULK_ENABLED="Y")*((BULK_TIER="ALL")+(BULK_TIER=$F160))*((BULK_SKU="ALL")+(BULK_SKU=$G160))*(BULK_START&lt;=2)*(BULK_END&gt;=2))*IFERROR(BULK_VALUE,0))/MAX(1,SUMPRODUCT(((BULK_ENABLED="Y")*((BULK_TIER="ALL")+(BULK_TIER=$F160))*((BULK_SKU="ALL")+(BULK_SKU=$G160))*(BULK_START&lt;=2)*(BULK_END&gt;=2)))),0),ROUND((INDEX(VELOCITY_TABLE,MATCH($F160,TIER_LIST,0),3))*(IF((2-$I160+1)&lt;=0,0,IF((2-$I160+1)=1,RAMP_W1,IF((2-$I160+1)=2,RAMP_W2,IF((2-$I160+1)=3,RAMP_W3,RAMP_W4PLUS)))))*(INDEX(ACTIVE_MULT_TABLE,3,1))*(1+SUMPRODUCT(SIGN(((ACT_DOOR_SCOPE="ALL")+(ACT_DOOR_SCOPE="TIER_"&amp;$F160)+(ACT_DOOR_SCOPE=$B160)))*SIGN(((ACT_SKU_SCOPE="ALL")+(ACT_SKU_SCOPE=$G160)))*(ACT_START&lt;=2)*(ACT_END&gt;=2)*IFERROR(ACT_UPLIFT-1,0)))*(1+SUMPRODUCT(SIGN(((ACT_DOOR_SCOPE="ALL")+(ACT_DOOR_SCOPE="TIER_"&amp;$F160)+(ACT_DOOR_SCOPE=$B160)))*SIGN(((ACT_SKU_SCOPE="ALL")+(ACT_SKU_SCOPE=$G160)))*(2&gt;ACT_END)*(ACT_END&gt;0)*IFERROR(ACT_POSTLIFT,0))),0)))</f>
        <v/>
      </c>
      <c r="L160" s="10">
        <f>IF(OR($H160&lt;&gt;"Y",3&lt;$I160),0,IF(SUMPRODUCT(((BULK_ENABLED="Y")*((BULK_TIER="ALL")+(BULK_TIER=$F160))*((BULK_SKU="ALL")+(BULK_SKU=$G160))*(BULK_START&lt;=3)*(BULK_END&gt;=3)))&gt;0,IFERROR(SUMPRODUCT(((BULK_ENABLED="Y")*((BULK_TIER="ALL")+(BULK_TIER=$F160))*((BULK_SKU="ALL")+(BULK_SKU=$G160))*(BULK_START&lt;=3)*(BULK_END&gt;=3))*IFERROR(BULK_VALUE,0))/MAX(1,SUMPRODUCT(((BULK_ENABLED="Y")*((BULK_TIER="ALL")+(BULK_TIER=$F160))*((BULK_SKU="ALL")+(BULK_SKU=$G160))*(BULK_START&lt;=3)*(BULK_END&gt;=3)))),0),ROUND((INDEX(VELOCITY_TABLE,MATCH($F160,TIER_LIST,0),3))*(IF((3-$I160+1)&lt;=0,0,IF((3-$I160+1)=1,RAMP_W1,IF((3-$I160+1)=2,RAMP_W2,IF((3-$I160+1)=3,RAMP_W3,RAMP_W4PLUS)))))*(INDEX(ACTIVE_MULT_TABLE,3,1))*(1+SUMPRODUCT(SIGN(((ACT_DOOR_SCOPE="ALL")+(ACT_DOOR_SCOPE="TIER_"&amp;$F160)+(ACT_DOOR_SCOPE=$B160)))*SIGN(((ACT_SKU_SCOPE="ALL")+(ACT_SKU_SCOPE=$G160)))*(ACT_START&lt;=3)*(ACT_END&gt;=3)*IFERROR(ACT_UPLIFT-1,0)))*(1+SUMPRODUCT(SIGN(((ACT_DOOR_SCOPE="ALL")+(ACT_DOOR_SCOPE="TIER_"&amp;$F160)+(ACT_DOOR_SCOPE=$B160)))*SIGN(((ACT_SKU_SCOPE="ALL")+(ACT_SKU_SCOPE=$G160)))*(3&gt;ACT_END)*(ACT_END&gt;0)*IFERROR(ACT_POSTLIFT,0))),0)))</f>
        <v/>
      </c>
      <c r="M160" s="10">
        <f>IF(OR($H160&lt;&gt;"Y",4&lt;$I160),0,IF(SUMPRODUCT(((BULK_ENABLED="Y")*((BULK_TIER="ALL")+(BULK_TIER=$F160))*((BULK_SKU="ALL")+(BULK_SKU=$G160))*(BULK_START&lt;=4)*(BULK_END&gt;=4)))&gt;0,IFERROR(SUMPRODUCT(((BULK_ENABLED="Y")*((BULK_TIER="ALL")+(BULK_TIER=$F160))*((BULK_SKU="ALL")+(BULK_SKU=$G160))*(BULK_START&lt;=4)*(BULK_END&gt;=4))*IFERROR(BULK_VALUE,0))/MAX(1,SUMPRODUCT(((BULK_ENABLED="Y")*((BULK_TIER="ALL")+(BULK_TIER=$F160))*((BULK_SKU="ALL")+(BULK_SKU=$G160))*(BULK_START&lt;=4)*(BULK_END&gt;=4)))),0),ROUND((INDEX(VELOCITY_TABLE,MATCH($F160,TIER_LIST,0),3))*(IF((4-$I160+1)&lt;=0,0,IF((4-$I160+1)=1,RAMP_W1,IF((4-$I160+1)=2,RAMP_W2,IF((4-$I160+1)=3,RAMP_W3,RAMP_W4PLUS)))))*(INDEX(ACTIVE_MULT_TABLE,3,1))*(1+SUMPRODUCT(SIGN(((ACT_DOOR_SCOPE="ALL")+(ACT_DOOR_SCOPE="TIER_"&amp;$F160)+(ACT_DOOR_SCOPE=$B160)))*SIGN(((ACT_SKU_SCOPE="ALL")+(ACT_SKU_SCOPE=$G160)))*(ACT_START&lt;=4)*(ACT_END&gt;=4)*IFERROR(ACT_UPLIFT-1,0)))*(1+SUMPRODUCT(SIGN(((ACT_DOOR_SCOPE="ALL")+(ACT_DOOR_SCOPE="TIER_"&amp;$F160)+(ACT_DOOR_SCOPE=$B160)))*SIGN(((ACT_SKU_SCOPE="ALL")+(ACT_SKU_SCOPE=$G160)))*(4&gt;ACT_END)*(ACT_END&gt;0)*IFERROR(ACT_POSTLIFT,0))),0)))</f>
        <v/>
      </c>
      <c r="N160" s="10">
        <f>IF(OR($H160&lt;&gt;"Y",5&lt;$I160),0,IF(SUMPRODUCT(((BULK_ENABLED="Y")*((BULK_TIER="ALL")+(BULK_TIER=$F160))*((BULK_SKU="ALL")+(BULK_SKU=$G160))*(BULK_START&lt;=5)*(BULK_END&gt;=5)))&gt;0,IFERROR(SUMPRODUCT(((BULK_ENABLED="Y")*((BULK_TIER="ALL")+(BULK_TIER=$F160))*((BULK_SKU="ALL")+(BULK_SKU=$G160))*(BULK_START&lt;=5)*(BULK_END&gt;=5))*IFERROR(BULK_VALUE,0))/MAX(1,SUMPRODUCT(((BULK_ENABLED="Y")*((BULK_TIER="ALL")+(BULK_TIER=$F160))*((BULK_SKU="ALL")+(BULK_SKU=$G160))*(BULK_START&lt;=5)*(BULK_END&gt;=5)))),0),ROUND((INDEX(VELOCITY_TABLE,MATCH($F160,TIER_LIST,0),3))*(IF((5-$I160+1)&lt;=0,0,IF((5-$I160+1)=1,RAMP_W1,IF((5-$I160+1)=2,RAMP_W2,IF((5-$I160+1)=3,RAMP_W3,RAMP_W4PLUS)))))*(INDEX(ACTIVE_MULT_TABLE,3,1))*(1+SUMPRODUCT(SIGN(((ACT_DOOR_SCOPE="ALL")+(ACT_DOOR_SCOPE="TIER_"&amp;$F160)+(ACT_DOOR_SCOPE=$B160)))*SIGN(((ACT_SKU_SCOPE="ALL")+(ACT_SKU_SCOPE=$G160)))*(ACT_START&lt;=5)*(ACT_END&gt;=5)*IFERROR(ACT_UPLIFT-1,0)))*(1+SUMPRODUCT(SIGN(((ACT_DOOR_SCOPE="ALL")+(ACT_DOOR_SCOPE="TIER_"&amp;$F160)+(ACT_DOOR_SCOPE=$B160)))*SIGN(((ACT_SKU_SCOPE="ALL")+(ACT_SKU_SCOPE=$G160)))*(5&gt;ACT_END)*(ACT_END&gt;0)*IFERROR(ACT_POSTLIFT,0))),0)))</f>
        <v/>
      </c>
      <c r="O160" s="10">
        <f>IF(OR($H160&lt;&gt;"Y",6&lt;$I160),0,IF(SUMPRODUCT(((BULK_ENABLED="Y")*((BULK_TIER="ALL")+(BULK_TIER=$F160))*((BULK_SKU="ALL")+(BULK_SKU=$G160))*(BULK_START&lt;=6)*(BULK_END&gt;=6)))&gt;0,IFERROR(SUMPRODUCT(((BULK_ENABLED="Y")*((BULK_TIER="ALL")+(BULK_TIER=$F160))*((BULK_SKU="ALL")+(BULK_SKU=$G160))*(BULK_START&lt;=6)*(BULK_END&gt;=6))*IFERROR(BULK_VALUE,0))/MAX(1,SUMPRODUCT(((BULK_ENABLED="Y")*((BULK_TIER="ALL")+(BULK_TIER=$F160))*((BULK_SKU="ALL")+(BULK_SKU=$G160))*(BULK_START&lt;=6)*(BULK_END&gt;=6)))),0),ROUND((INDEX(VELOCITY_TABLE,MATCH($F160,TIER_LIST,0),3))*(IF((6-$I160+1)&lt;=0,0,IF((6-$I160+1)=1,RAMP_W1,IF((6-$I160+1)=2,RAMP_W2,IF((6-$I160+1)=3,RAMP_W3,RAMP_W4PLUS)))))*(INDEX(ACTIVE_MULT_TABLE,3,1))*(1+SUMPRODUCT(SIGN(((ACT_DOOR_SCOPE="ALL")+(ACT_DOOR_SCOPE="TIER_"&amp;$F160)+(ACT_DOOR_SCOPE=$B160)))*SIGN(((ACT_SKU_SCOPE="ALL")+(ACT_SKU_SCOPE=$G160)))*(ACT_START&lt;=6)*(ACT_END&gt;=6)*IFERROR(ACT_UPLIFT-1,0)))*(1+SUMPRODUCT(SIGN(((ACT_DOOR_SCOPE="ALL")+(ACT_DOOR_SCOPE="TIER_"&amp;$F160)+(ACT_DOOR_SCOPE=$B160)))*SIGN(((ACT_SKU_SCOPE="ALL")+(ACT_SKU_SCOPE=$G160)))*(6&gt;ACT_END)*(ACT_END&gt;0)*IFERROR(ACT_POSTLIFT,0))),0)))</f>
        <v/>
      </c>
      <c r="P160" s="10">
        <f>IF(OR($H160&lt;&gt;"Y",7&lt;$I160),0,IF(SUMPRODUCT(((BULK_ENABLED="Y")*((BULK_TIER="ALL")+(BULK_TIER=$F160))*((BULK_SKU="ALL")+(BULK_SKU=$G160))*(BULK_START&lt;=7)*(BULK_END&gt;=7)))&gt;0,IFERROR(SUMPRODUCT(((BULK_ENABLED="Y")*((BULK_TIER="ALL")+(BULK_TIER=$F160))*((BULK_SKU="ALL")+(BULK_SKU=$G160))*(BULK_START&lt;=7)*(BULK_END&gt;=7))*IFERROR(BULK_VALUE,0))/MAX(1,SUMPRODUCT(((BULK_ENABLED="Y")*((BULK_TIER="ALL")+(BULK_TIER=$F160))*((BULK_SKU="ALL")+(BULK_SKU=$G160))*(BULK_START&lt;=7)*(BULK_END&gt;=7)))),0),ROUND((INDEX(VELOCITY_TABLE,MATCH($F160,TIER_LIST,0),3))*(IF((7-$I160+1)&lt;=0,0,IF((7-$I160+1)=1,RAMP_W1,IF((7-$I160+1)=2,RAMP_W2,IF((7-$I160+1)=3,RAMP_W3,RAMP_W4PLUS)))))*(INDEX(ACTIVE_MULT_TABLE,3,1))*(1+SUMPRODUCT(SIGN(((ACT_DOOR_SCOPE="ALL")+(ACT_DOOR_SCOPE="TIER_"&amp;$F160)+(ACT_DOOR_SCOPE=$B160)))*SIGN(((ACT_SKU_SCOPE="ALL")+(ACT_SKU_SCOPE=$G160)))*(ACT_START&lt;=7)*(ACT_END&gt;=7)*IFERROR(ACT_UPLIFT-1,0)))*(1+SUMPRODUCT(SIGN(((ACT_DOOR_SCOPE="ALL")+(ACT_DOOR_SCOPE="TIER_"&amp;$F160)+(ACT_DOOR_SCOPE=$B160)))*SIGN(((ACT_SKU_SCOPE="ALL")+(ACT_SKU_SCOPE=$G160)))*(7&gt;ACT_END)*(ACT_END&gt;0)*IFERROR(ACT_POSTLIFT,0))),0)))</f>
        <v/>
      </c>
      <c r="Q160" s="10">
        <f>IF(OR($H160&lt;&gt;"Y",8&lt;$I160),0,IF(SUMPRODUCT(((BULK_ENABLED="Y")*((BULK_TIER="ALL")+(BULK_TIER=$F160))*((BULK_SKU="ALL")+(BULK_SKU=$G160))*(BULK_START&lt;=8)*(BULK_END&gt;=8)))&gt;0,IFERROR(SUMPRODUCT(((BULK_ENABLED="Y")*((BULK_TIER="ALL")+(BULK_TIER=$F160))*((BULK_SKU="ALL")+(BULK_SKU=$G160))*(BULK_START&lt;=8)*(BULK_END&gt;=8))*IFERROR(BULK_VALUE,0))/MAX(1,SUMPRODUCT(((BULK_ENABLED="Y")*((BULK_TIER="ALL")+(BULK_TIER=$F160))*((BULK_SKU="ALL")+(BULK_SKU=$G160))*(BULK_START&lt;=8)*(BULK_END&gt;=8)))),0),ROUND((INDEX(VELOCITY_TABLE,MATCH($F160,TIER_LIST,0),3))*(IF((8-$I160+1)&lt;=0,0,IF((8-$I160+1)=1,RAMP_W1,IF((8-$I160+1)=2,RAMP_W2,IF((8-$I160+1)=3,RAMP_W3,RAMP_W4PLUS)))))*(INDEX(ACTIVE_MULT_TABLE,3,1))*(1+SUMPRODUCT(SIGN(((ACT_DOOR_SCOPE="ALL")+(ACT_DOOR_SCOPE="TIER_"&amp;$F160)+(ACT_DOOR_SCOPE=$B160)))*SIGN(((ACT_SKU_SCOPE="ALL")+(ACT_SKU_SCOPE=$G160)))*(ACT_START&lt;=8)*(ACT_END&gt;=8)*IFERROR(ACT_UPLIFT-1,0)))*(1+SUMPRODUCT(SIGN(((ACT_DOOR_SCOPE="ALL")+(ACT_DOOR_SCOPE="TIER_"&amp;$F160)+(ACT_DOOR_SCOPE=$B160)))*SIGN(((ACT_SKU_SCOPE="ALL")+(ACT_SKU_SCOPE=$G160)))*(8&gt;ACT_END)*(ACT_END&gt;0)*IFERROR(ACT_POSTLIFT,0))),0)))</f>
        <v/>
      </c>
      <c r="R160" s="10">
        <f>IF(OR($H160&lt;&gt;"Y",9&lt;$I160),0,IF(SUMPRODUCT(((BULK_ENABLED="Y")*((BULK_TIER="ALL")+(BULK_TIER=$F160))*((BULK_SKU="ALL")+(BULK_SKU=$G160))*(BULK_START&lt;=9)*(BULK_END&gt;=9)))&gt;0,IFERROR(SUMPRODUCT(((BULK_ENABLED="Y")*((BULK_TIER="ALL")+(BULK_TIER=$F160))*((BULK_SKU="ALL")+(BULK_SKU=$G160))*(BULK_START&lt;=9)*(BULK_END&gt;=9))*IFERROR(BULK_VALUE,0))/MAX(1,SUMPRODUCT(((BULK_ENABLED="Y")*((BULK_TIER="ALL")+(BULK_TIER=$F160))*((BULK_SKU="ALL")+(BULK_SKU=$G160))*(BULK_START&lt;=9)*(BULK_END&gt;=9)))),0),ROUND((INDEX(VELOCITY_TABLE,MATCH($F160,TIER_LIST,0),3))*(IF((9-$I160+1)&lt;=0,0,IF((9-$I160+1)=1,RAMP_W1,IF((9-$I160+1)=2,RAMP_W2,IF((9-$I160+1)=3,RAMP_W3,RAMP_W4PLUS)))))*(INDEX(ACTIVE_MULT_TABLE,3,1))*(1+SUMPRODUCT(SIGN(((ACT_DOOR_SCOPE="ALL")+(ACT_DOOR_SCOPE="TIER_"&amp;$F160)+(ACT_DOOR_SCOPE=$B160)))*SIGN(((ACT_SKU_SCOPE="ALL")+(ACT_SKU_SCOPE=$G160)))*(ACT_START&lt;=9)*(ACT_END&gt;=9)*IFERROR(ACT_UPLIFT-1,0)))*(1+SUMPRODUCT(SIGN(((ACT_DOOR_SCOPE="ALL")+(ACT_DOOR_SCOPE="TIER_"&amp;$F160)+(ACT_DOOR_SCOPE=$B160)))*SIGN(((ACT_SKU_SCOPE="ALL")+(ACT_SKU_SCOPE=$G160)))*(9&gt;ACT_END)*(ACT_END&gt;0)*IFERROR(ACT_POSTLIFT,0))),0)))</f>
        <v/>
      </c>
      <c r="S160" s="10">
        <f>IF(OR($H160&lt;&gt;"Y",10&lt;$I160),0,IF(SUMPRODUCT(((BULK_ENABLED="Y")*((BULK_TIER="ALL")+(BULK_TIER=$F160))*((BULK_SKU="ALL")+(BULK_SKU=$G160))*(BULK_START&lt;=10)*(BULK_END&gt;=10)))&gt;0,IFERROR(SUMPRODUCT(((BULK_ENABLED="Y")*((BULK_TIER="ALL")+(BULK_TIER=$F160))*((BULK_SKU="ALL")+(BULK_SKU=$G160))*(BULK_START&lt;=10)*(BULK_END&gt;=10))*IFERROR(BULK_VALUE,0))/MAX(1,SUMPRODUCT(((BULK_ENABLED="Y")*((BULK_TIER="ALL")+(BULK_TIER=$F160))*((BULK_SKU="ALL")+(BULK_SKU=$G160))*(BULK_START&lt;=10)*(BULK_END&gt;=10)))),0),ROUND((INDEX(VELOCITY_TABLE,MATCH($F160,TIER_LIST,0),3))*(IF((10-$I160+1)&lt;=0,0,IF((10-$I160+1)=1,RAMP_W1,IF((10-$I160+1)=2,RAMP_W2,IF((10-$I160+1)=3,RAMP_W3,RAMP_W4PLUS)))))*(INDEX(ACTIVE_MULT_TABLE,3,1))*(1+SUMPRODUCT(SIGN(((ACT_DOOR_SCOPE="ALL")+(ACT_DOOR_SCOPE="TIER_"&amp;$F160)+(ACT_DOOR_SCOPE=$B160)))*SIGN(((ACT_SKU_SCOPE="ALL")+(ACT_SKU_SCOPE=$G160)))*(ACT_START&lt;=10)*(ACT_END&gt;=10)*IFERROR(ACT_UPLIFT-1,0)))*(1+SUMPRODUCT(SIGN(((ACT_DOOR_SCOPE="ALL")+(ACT_DOOR_SCOPE="TIER_"&amp;$F160)+(ACT_DOOR_SCOPE=$B160)))*SIGN(((ACT_SKU_SCOPE="ALL")+(ACT_SKU_SCOPE=$G160)))*(10&gt;ACT_END)*(ACT_END&gt;0)*IFERROR(ACT_POSTLIFT,0))),0)))</f>
        <v/>
      </c>
      <c r="T160" s="10">
        <f>IF(OR($H160&lt;&gt;"Y",11&lt;$I160),0,IF(SUMPRODUCT(((BULK_ENABLED="Y")*((BULK_TIER="ALL")+(BULK_TIER=$F160))*((BULK_SKU="ALL")+(BULK_SKU=$G160))*(BULK_START&lt;=11)*(BULK_END&gt;=11)))&gt;0,IFERROR(SUMPRODUCT(((BULK_ENABLED="Y")*((BULK_TIER="ALL")+(BULK_TIER=$F160))*((BULK_SKU="ALL")+(BULK_SKU=$G160))*(BULK_START&lt;=11)*(BULK_END&gt;=11))*IFERROR(BULK_VALUE,0))/MAX(1,SUMPRODUCT(((BULK_ENABLED="Y")*((BULK_TIER="ALL")+(BULK_TIER=$F160))*((BULK_SKU="ALL")+(BULK_SKU=$G160))*(BULK_START&lt;=11)*(BULK_END&gt;=11)))),0),ROUND((INDEX(VELOCITY_TABLE,MATCH($F160,TIER_LIST,0),3))*(IF((11-$I160+1)&lt;=0,0,IF((11-$I160+1)=1,RAMP_W1,IF((11-$I160+1)=2,RAMP_W2,IF((11-$I160+1)=3,RAMP_W3,RAMP_W4PLUS)))))*(INDEX(ACTIVE_MULT_TABLE,3,1))*(1+SUMPRODUCT(SIGN(((ACT_DOOR_SCOPE="ALL")+(ACT_DOOR_SCOPE="TIER_"&amp;$F160)+(ACT_DOOR_SCOPE=$B160)))*SIGN(((ACT_SKU_SCOPE="ALL")+(ACT_SKU_SCOPE=$G160)))*(ACT_START&lt;=11)*(ACT_END&gt;=11)*IFERROR(ACT_UPLIFT-1,0)))*(1+SUMPRODUCT(SIGN(((ACT_DOOR_SCOPE="ALL")+(ACT_DOOR_SCOPE="TIER_"&amp;$F160)+(ACT_DOOR_SCOPE=$B160)))*SIGN(((ACT_SKU_SCOPE="ALL")+(ACT_SKU_SCOPE=$G160)))*(11&gt;ACT_END)*(ACT_END&gt;0)*IFERROR(ACT_POSTLIFT,0))),0)))</f>
        <v/>
      </c>
      <c r="U160" s="10">
        <f>IF(OR($H160&lt;&gt;"Y",12&lt;$I160),0,IF(SUMPRODUCT(((BULK_ENABLED="Y")*((BULK_TIER="ALL")+(BULK_TIER=$F160))*((BULK_SKU="ALL")+(BULK_SKU=$G160))*(BULK_START&lt;=12)*(BULK_END&gt;=12)))&gt;0,IFERROR(SUMPRODUCT(((BULK_ENABLED="Y")*((BULK_TIER="ALL")+(BULK_TIER=$F160))*((BULK_SKU="ALL")+(BULK_SKU=$G160))*(BULK_START&lt;=12)*(BULK_END&gt;=12))*IFERROR(BULK_VALUE,0))/MAX(1,SUMPRODUCT(((BULK_ENABLED="Y")*((BULK_TIER="ALL")+(BULK_TIER=$F160))*((BULK_SKU="ALL")+(BULK_SKU=$G160))*(BULK_START&lt;=12)*(BULK_END&gt;=12)))),0),ROUND((INDEX(VELOCITY_TABLE,MATCH($F160,TIER_LIST,0),3))*(IF((12-$I160+1)&lt;=0,0,IF((12-$I160+1)=1,RAMP_W1,IF((12-$I160+1)=2,RAMP_W2,IF((12-$I160+1)=3,RAMP_W3,RAMP_W4PLUS)))))*(INDEX(ACTIVE_MULT_TABLE,3,1))*(1+SUMPRODUCT(SIGN(((ACT_DOOR_SCOPE="ALL")+(ACT_DOOR_SCOPE="TIER_"&amp;$F160)+(ACT_DOOR_SCOPE=$B160)))*SIGN(((ACT_SKU_SCOPE="ALL")+(ACT_SKU_SCOPE=$G160)))*(ACT_START&lt;=12)*(ACT_END&gt;=12)*IFERROR(ACT_UPLIFT-1,0)))*(1+SUMPRODUCT(SIGN(((ACT_DOOR_SCOPE="ALL")+(ACT_DOOR_SCOPE="TIER_"&amp;$F160)+(ACT_DOOR_SCOPE=$B160)))*SIGN(((ACT_SKU_SCOPE="ALL")+(ACT_SKU_SCOPE=$G160)))*(12&gt;ACT_END)*(ACT_END&gt;0)*IFERROR(ACT_POSTLIFT,0))),0)))</f>
        <v/>
      </c>
      <c r="V160" s="10">
        <f>IF(OR($H160&lt;&gt;"Y",13&lt;$I160),0,IF(SUMPRODUCT(((BULK_ENABLED="Y")*((BULK_TIER="ALL")+(BULK_TIER=$F160))*((BULK_SKU="ALL")+(BULK_SKU=$G160))*(BULK_START&lt;=13)*(BULK_END&gt;=13)))&gt;0,IFERROR(SUMPRODUCT(((BULK_ENABLED="Y")*((BULK_TIER="ALL")+(BULK_TIER=$F160))*((BULK_SKU="ALL")+(BULK_SKU=$G160))*(BULK_START&lt;=13)*(BULK_END&gt;=13))*IFERROR(BULK_VALUE,0))/MAX(1,SUMPRODUCT(((BULK_ENABLED="Y")*((BULK_TIER="ALL")+(BULK_TIER=$F160))*((BULK_SKU="ALL")+(BULK_SKU=$G160))*(BULK_START&lt;=13)*(BULK_END&gt;=13)))),0),ROUND((INDEX(VELOCITY_TABLE,MATCH($F160,TIER_LIST,0),3))*(IF((13-$I160+1)&lt;=0,0,IF((13-$I160+1)=1,RAMP_W1,IF((13-$I160+1)=2,RAMP_W2,IF((13-$I160+1)=3,RAMP_W3,RAMP_W4PLUS)))))*(INDEX(ACTIVE_MULT_TABLE,3,1))*(1+SUMPRODUCT(SIGN(((ACT_DOOR_SCOPE="ALL")+(ACT_DOOR_SCOPE="TIER_"&amp;$F160)+(ACT_DOOR_SCOPE=$B160)))*SIGN(((ACT_SKU_SCOPE="ALL")+(ACT_SKU_SCOPE=$G160)))*(ACT_START&lt;=13)*(ACT_END&gt;=13)*IFERROR(ACT_UPLIFT-1,0)))*(1+SUMPRODUCT(SIGN(((ACT_DOOR_SCOPE="ALL")+(ACT_DOOR_SCOPE="TIER_"&amp;$F160)+(ACT_DOOR_SCOPE=$B160)))*SIGN(((ACT_SKU_SCOPE="ALL")+(ACT_SKU_SCOPE=$G160)))*(13&gt;ACT_END)*(ACT_END&gt;0)*IFERROR(ACT_POSTLIFT,0))),0)))</f>
        <v/>
      </c>
    </row>
    <row r="161">
      <c r="A161" t="inlineStr">
        <is>
          <t>R0157</t>
        </is>
      </c>
      <c r="B161">
        <f>Doors!$A$57</f>
        <v/>
      </c>
      <c r="C161">
        <f>Doors!$C$57</f>
        <v/>
      </c>
      <c r="D161">
        <f>Doors!$B$57</f>
        <v/>
      </c>
      <c r="E161">
        <f>Doors!$E$57</f>
        <v/>
      </c>
      <c r="F161">
        <f>Doors!$F$57</f>
        <v/>
      </c>
      <c r="G161" t="inlineStr">
        <is>
          <t>Lime Lemon</t>
        </is>
      </c>
      <c r="H161">
        <f>Doors!$G$57</f>
        <v/>
      </c>
      <c r="I161">
        <f>Doors!$J$57</f>
        <v/>
      </c>
      <c r="J161" s="10">
        <f>IF(OR($H161&lt;&gt;"Y",1&lt;$I161),0,IF(SUMPRODUCT(((BULK_ENABLED="Y")*((BULK_TIER="ALL")+(BULK_TIER=$F161))*((BULK_SKU="ALL")+(BULK_SKU=$G161))*(BULK_START&lt;=1)*(BULK_END&gt;=1)))&gt;0,IFERROR(SUMPRODUCT(((BULK_ENABLED="Y")*((BULK_TIER="ALL")+(BULK_TIER=$F161))*((BULK_SKU="ALL")+(BULK_SKU=$G161))*(BULK_START&lt;=1)*(BULK_END&gt;=1))*IFERROR(BULK_VALUE,0))/MAX(1,SUMPRODUCT(((BULK_ENABLED="Y")*((BULK_TIER="ALL")+(BULK_TIER=$F161))*((BULK_SKU="ALL")+(BULK_SKU=$G161))*(BULK_START&lt;=1)*(BULK_END&gt;=1)))),0),ROUND((INDEX(VELOCITY_TABLE,MATCH($F161,TIER_LIST,0),1))*(IF((1-$I161+1)&lt;=0,0,IF((1-$I161+1)=1,RAMP_W1,IF((1-$I161+1)=2,RAMP_W2,IF((1-$I161+1)=3,RAMP_W3,RAMP_W4PLUS)))))*(INDEX(ACTIVE_MULT_TABLE,1,1))*(1+SUMPRODUCT(SIGN(((ACT_DOOR_SCOPE="ALL")+(ACT_DOOR_SCOPE="TIER_"&amp;$F161)+(ACT_DOOR_SCOPE=$B161)))*SIGN(((ACT_SKU_SCOPE="ALL")+(ACT_SKU_SCOPE=$G161)))*(ACT_START&lt;=1)*(ACT_END&gt;=1)*IFERROR(ACT_UPLIFT-1,0)))*(1+SUMPRODUCT(SIGN(((ACT_DOOR_SCOPE="ALL")+(ACT_DOOR_SCOPE="TIER_"&amp;$F161)+(ACT_DOOR_SCOPE=$B161)))*SIGN(((ACT_SKU_SCOPE="ALL")+(ACT_SKU_SCOPE=$G161)))*(1&gt;ACT_END)*(ACT_END&gt;0)*IFERROR(ACT_POSTLIFT,0))),0)))</f>
        <v/>
      </c>
      <c r="K161" s="10">
        <f>IF(OR($H161&lt;&gt;"Y",2&lt;$I161),0,IF(SUMPRODUCT(((BULK_ENABLED="Y")*((BULK_TIER="ALL")+(BULK_TIER=$F161))*((BULK_SKU="ALL")+(BULK_SKU=$G161))*(BULK_START&lt;=2)*(BULK_END&gt;=2)))&gt;0,IFERROR(SUMPRODUCT(((BULK_ENABLED="Y")*((BULK_TIER="ALL")+(BULK_TIER=$F161))*((BULK_SKU="ALL")+(BULK_SKU=$G161))*(BULK_START&lt;=2)*(BULK_END&gt;=2))*IFERROR(BULK_VALUE,0))/MAX(1,SUMPRODUCT(((BULK_ENABLED="Y")*((BULK_TIER="ALL")+(BULK_TIER=$F161))*((BULK_SKU="ALL")+(BULK_SKU=$G161))*(BULK_START&lt;=2)*(BULK_END&gt;=2)))),0),ROUND((INDEX(VELOCITY_TABLE,MATCH($F161,TIER_LIST,0),1))*(IF((2-$I161+1)&lt;=0,0,IF((2-$I161+1)=1,RAMP_W1,IF((2-$I161+1)=2,RAMP_W2,IF((2-$I161+1)=3,RAMP_W3,RAMP_W4PLUS)))))*(INDEX(ACTIVE_MULT_TABLE,1,1))*(1+SUMPRODUCT(SIGN(((ACT_DOOR_SCOPE="ALL")+(ACT_DOOR_SCOPE="TIER_"&amp;$F161)+(ACT_DOOR_SCOPE=$B161)))*SIGN(((ACT_SKU_SCOPE="ALL")+(ACT_SKU_SCOPE=$G161)))*(ACT_START&lt;=2)*(ACT_END&gt;=2)*IFERROR(ACT_UPLIFT-1,0)))*(1+SUMPRODUCT(SIGN(((ACT_DOOR_SCOPE="ALL")+(ACT_DOOR_SCOPE="TIER_"&amp;$F161)+(ACT_DOOR_SCOPE=$B161)))*SIGN(((ACT_SKU_SCOPE="ALL")+(ACT_SKU_SCOPE=$G161)))*(2&gt;ACT_END)*(ACT_END&gt;0)*IFERROR(ACT_POSTLIFT,0))),0)))</f>
        <v/>
      </c>
      <c r="L161" s="10">
        <f>IF(OR($H161&lt;&gt;"Y",3&lt;$I161),0,IF(SUMPRODUCT(((BULK_ENABLED="Y")*((BULK_TIER="ALL")+(BULK_TIER=$F161))*((BULK_SKU="ALL")+(BULK_SKU=$G161))*(BULK_START&lt;=3)*(BULK_END&gt;=3)))&gt;0,IFERROR(SUMPRODUCT(((BULK_ENABLED="Y")*((BULK_TIER="ALL")+(BULK_TIER=$F161))*((BULK_SKU="ALL")+(BULK_SKU=$G161))*(BULK_START&lt;=3)*(BULK_END&gt;=3))*IFERROR(BULK_VALUE,0))/MAX(1,SUMPRODUCT(((BULK_ENABLED="Y")*((BULK_TIER="ALL")+(BULK_TIER=$F161))*((BULK_SKU="ALL")+(BULK_SKU=$G161))*(BULK_START&lt;=3)*(BULK_END&gt;=3)))),0),ROUND((INDEX(VELOCITY_TABLE,MATCH($F161,TIER_LIST,0),1))*(IF((3-$I161+1)&lt;=0,0,IF((3-$I161+1)=1,RAMP_W1,IF((3-$I161+1)=2,RAMP_W2,IF((3-$I161+1)=3,RAMP_W3,RAMP_W4PLUS)))))*(INDEX(ACTIVE_MULT_TABLE,1,1))*(1+SUMPRODUCT(SIGN(((ACT_DOOR_SCOPE="ALL")+(ACT_DOOR_SCOPE="TIER_"&amp;$F161)+(ACT_DOOR_SCOPE=$B161)))*SIGN(((ACT_SKU_SCOPE="ALL")+(ACT_SKU_SCOPE=$G161)))*(ACT_START&lt;=3)*(ACT_END&gt;=3)*IFERROR(ACT_UPLIFT-1,0)))*(1+SUMPRODUCT(SIGN(((ACT_DOOR_SCOPE="ALL")+(ACT_DOOR_SCOPE="TIER_"&amp;$F161)+(ACT_DOOR_SCOPE=$B161)))*SIGN(((ACT_SKU_SCOPE="ALL")+(ACT_SKU_SCOPE=$G161)))*(3&gt;ACT_END)*(ACT_END&gt;0)*IFERROR(ACT_POSTLIFT,0))),0)))</f>
        <v/>
      </c>
      <c r="M161" s="10">
        <f>IF(OR($H161&lt;&gt;"Y",4&lt;$I161),0,IF(SUMPRODUCT(((BULK_ENABLED="Y")*((BULK_TIER="ALL")+(BULK_TIER=$F161))*((BULK_SKU="ALL")+(BULK_SKU=$G161))*(BULK_START&lt;=4)*(BULK_END&gt;=4)))&gt;0,IFERROR(SUMPRODUCT(((BULK_ENABLED="Y")*((BULK_TIER="ALL")+(BULK_TIER=$F161))*((BULK_SKU="ALL")+(BULK_SKU=$G161))*(BULK_START&lt;=4)*(BULK_END&gt;=4))*IFERROR(BULK_VALUE,0))/MAX(1,SUMPRODUCT(((BULK_ENABLED="Y")*((BULK_TIER="ALL")+(BULK_TIER=$F161))*((BULK_SKU="ALL")+(BULK_SKU=$G161))*(BULK_START&lt;=4)*(BULK_END&gt;=4)))),0),ROUND((INDEX(VELOCITY_TABLE,MATCH($F161,TIER_LIST,0),1))*(IF((4-$I161+1)&lt;=0,0,IF((4-$I161+1)=1,RAMP_W1,IF((4-$I161+1)=2,RAMP_W2,IF((4-$I161+1)=3,RAMP_W3,RAMP_W4PLUS)))))*(INDEX(ACTIVE_MULT_TABLE,1,1))*(1+SUMPRODUCT(SIGN(((ACT_DOOR_SCOPE="ALL")+(ACT_DOOR_SCOPE="TIER_"&amp;$F161)+(ACT_DOOR_SCOPE=$B161)))*SIGN(((ACT_SKU_SCOPE="ALL")+(ACT_SKU_SCOPE=$G161)))*(ACT_START&lt;=4)*(ACT_END&gt;=4)*IFERROR(ACT_UPLIFT-1,0)))*(1+SUMPRODUCT(SIGN(((ACT_DOOR_SCOPE="ALL")+(ACT_DOOR_SCOPE="TIER_"&amp;$F161)+(ACT_DOOR_SCOPE=$B161)))*SIGN(((ACT_SKU_SCOPE="ALL")+(ACT_SKU_SCOPE=$G161)))*(4&gt;ACT_END)*(ACT_END&gt;0)*IFERROR(ACT_POSTLIFT,0))),0)))</f>
        <v/>
      </c>
      <c r="N161" s="10">
        <f>IF(OR($H161&lt;&gt;"Y",5&lt;$I161),0,IF(SUMPRODUCT(((BULK_ENABLED="Y")*((BULK_TIER="ALL")+(BULK_TIER=$F161))*((BULK_SKU="ALL")+(BULK_SKU=$G161))*(BULK_START&lt;=5)*(BULK_END&gt;=5)))&gt;0,IFERROR(SUMPRODUCT(((BULK_ENABLED="Y")*((BULK_TIER="ALL")+(BULK_TIER=$F161))*((BULK_SKU="ALL")+(BULK_SKU=$G161))*(BULK_START&lt;=5)*(BULK_END&gt;=5))*IFERROR(BULK_VALUE,0))/MAX(1,SUMPRODUCT(((BULK_ENABLED="Y")*((BULK_TIER="ALL")+(BULK_TIER=$F161))*((BULK_SKU="ALL")+(BULK_SKU=$G161))*(BULK_START&lt;=5)*(BULK_END&gt;=5)))),0),ROUND((INDEX(VELOCITY_TABLE,MATCH($F161,TIER_LIST,0),1))*(IF((5-$I161+1)&lt;=0,0,IF((5-$I161+1)=1,RAMP_W1,IF((5-$I161+1)=2,RAMP_W2,IF((5-$I161+1)=3,RAMP_W3,RAMP_W4PLUS)))))*(INDEX(ACTIVE_MULT_TABLE,1,1))*(1+SUMPRODUCT(SIGN(((ACT_DOOR_SCOPE="ALL")+(ACT_DOOR_SCOPE="TIER_"&amp;$F161)+(ACT_DOOR_SCOPE=$B161)))*SIGN(((ACT_SKU_SCOPE="ALL")+(ACT_SKU_SCOPE=$G161)))*(ACT_START&lt;=5)*(ACT_END&gt;=5)*IFERROR(ACT_UPLIFT-1,0)))*(1+SUMPRODUCT(SIGN(((ACT_DOOR_SCOPE="ALL")+(ACT_DOOR_SCOPE="TIER_"&amp;$F161)+(ACT_DOOR_SCOPE=$B161)))*SIGN(((ACT_SKU_SCOPE="ALL")+(ACT_SKU_SCOPE=$G161)))*(5&gt;ACT_END)*(ACT_END&gt;0)*IFERROR(ACT_POSTLIFT,0))),0)))</f>
        <v/>
      </c>
      <c r="O161" s="10">
        <f>IF(OR($H161&lt;&gt;"Y",6&lt;$I161),0,IF(SUMPRODUCT(((BULK_ENABLED="Y")*((BULK_TIER="ALL")+(BULK_TIER=$F161))*((BULK_SKU="ALL")+(BULK_SKU=$G161))*(BULK_START&lt;=6)*(BULK_END&gt;=6)))&gt;0,IFERROR(SUMPRODUCT(((BULK_ENABLED="Y")*((BULK_TIER="ALL")+(BULK_TIER=$F161))*((BULK_SKU="ALL")+(BULK_SKU=$G161))*(BULK_START&lt;=6)*(BULK_END&gt;=6))*IFERROR(BULK_VALUE,0))/MAX(1,SUMPRODUCT(((BULK_ENABLED="Y")*((BULK_TIER="ALL")+(BULK_TIER=$F161))*((BULK_SKU="ALL")+(BULK_SKU=$G161))*(BULK_START&lt;=6)*(BULK_END&gt;=6)))),0),ROUND((INDEX(VELOCITY_TABLE,MATCH($F161,TIER_LIST,0),1))*(IF((6-$I161+1)&lt;=0,0,IF((6-$I161+1)=1,RAMP_W1,IF((6-$I161+1)=2,RAMP_W2,IF((6-$I161+1)=3,RAMP_W3,RAMP_W4PLUS)))))*(INDEX(ACTIVE_MULT_TABLE,1,1))*(1+SUMPRODUCT(SIGN(((ACT_DOOR_SCOPE="ALL")+(ACT_DOOR_SCOPE="TIER_"&amp;$F161)+(ACT_DOOR_SCOPE=$B161)))*SIGN(((ACT_SKU_SCOPE="ALL")+(ACT_SKU_SCOPE=$G161)))*(ACT_START&lt;=6)*(ACT_END&gt;=6)*IFERROR(ACT_UPLIFT-1,0)))*(1+SUMPRODUCT(SIGN(((ACT_DOOR_SCOPE="ALL")+(ACT_DOOR_SCOPE="TIER_"&amp;$F161)+(ACT_DOOR_SCOPE=$B161)))*SIGN(((ACT_SKU_SCOPE="ALL")+(ACT_SKU_SCOPE=$G161)))*(6&gt;ACT_END)*(ACT_END&gt;0)*IFERROR(ACT_POSTLIFT,0))),0)))</f>
        <v/>
      </c>
      <c r="P161" s="10">
        <f>IF(OR($H161&lt;&gt;"Y",7&lt;$I161),0,IF(SUMPRODUCT(((BULK_ENABLED="Y")*((BULK_TIER="ALL")+(BULK_TIER=$F161))*((BULK_SKU="ALL")+(BULK_SKU=$G161))*(BULK_START&lt;=7)*(BULK_END&gt;=7)))&gt;0,IFERROR(SUMPRODUCT(((BULK_ENABLED="Y")*((BULK_TIER="ALL")+(BULK_TIER=$F161))*((BULK_SKU="ALL")+(BULK_SKU=$G161))*(BULK_START&lt;=7)*(BULK_END&gt;=7))*IFERROR(BULK_VALUE,0))/MAX(1,SUMPRODUCT(((BULK_ENABLED="Y")*((BULK_TIER="ALL")+(BULK_TIER=$F161))*((BULK_SKU="ALL")+(BULK_SKU=$G161))*(BULK_START&lt;=7)*(BULK_END&gt;=7)))),0),ROUND((INDEX(VELOCITY_TABLE,MATCH($F161,TIER_LIST,0),1))*(IF((7-$I161+1)&lt;=0,0,IF((7-$I161+1)=1,RAMP_W1,IF((7-$I161+1)=2,RAMP_W2,IF((7-$I161+1)=3,RAMP_W3,RAMP_W4PLUS)))))*(INDEX(ACTIVE_MULT_TABLE,1,1))*(1+SUMPRODUCT(SIGN(((ACT_DOOR_SCOPE="ALL")+(ACT_DOOR_SCOPE="TIER_"&amp;$F161)+(ACT_DOOR_SCOPE=$B161)))*SIGN(((ACT_SKU_SCOPE="ALL")+(ACT_SKU_SCOPE=$G161)))*(ACT_START&lt;=7)*(ACT_END&gt;=7)*IFERROR(ACT_UPLIFT-1,0)))*(1+SUMPRODUCT(SIGN(((ACT_DOOR_SCOPE="ALL")+(ACT_DOOR_SCOPE="TIER_"&amp;$F161)+(ACT_DOOR_SCOPE=$B161)))*SIGN(((ACT_SKU_SCOPE="ALL")+(ACT_SKU_SCOPE=$G161)))*(7&gt;ACT_END)*(ACT_END&gt;0)*IFERROR(ACT_POSTLIFT,0))),0)))</f>
        <v/>
      </c>
      <c r="Q161" s="10">
        <f>IF(OR($H161&lt;&gt;"Y",8&lt;$I161),0,IF(SUMPRODUCT(((BULK_ENABLED="Y")*((BULK_TIER="ALL")+(BULK_TIER=$F161))*((BULK_SKU="ALL")+(BULK_SKU=$G161))*(BULK_START&lt;=8)*(BULK_END&gt;=8)))&gt;0,IFERROR(SUMPRODUCT(((BULK_ENABLED="Y")*((BULK_TIER="ALL")+(BULK_TIER=$F161))*((BULK_SKU="ALL")+(BULK_SKU=$G161))*(BULK_START&lt;=8)*(BULK_END&gt;=8))*IFERROR(BULK_VALUE,0))/MAX(1,SUMPRODUCT(((BULK_ENABLED="Y")*((BULK_TIER="ALL")+(BULK_TIER=$F161))*((BULK_SKU="ALL")+(BULK_SKU=$G161))*(BULK_START&lt;=8)*(BULK_END&gt;=8)))),0),ROUND((INDEX(VELOCITY_TABLE,MATCH($F161,TIER_LIST,0),1))*(IF((8-$I161+1)&lt;=0,0,IF((8-$I161+1)=1,RAMP_W1,IF((8-$I161+1)=2,RAMP_W2,IF((8-$I161+1)=3,RAMP_W3,RAMP_W4PLUS)))))*(INDEX(ACTIVE_MULT_TABLE,1,1))*(1+SUMPRODUCT(SIGN(((ACT_DOOR_SCOPE="ALL")+(ACT_DOOR_SCOPE="TIER_"&amp;$F161)+(ACT_DOOR_SCOPE=$B161)))*SIGN(((ACT_SKU_SCOPE="ALL")+(ACT_SKU_SCOPE=$G161)))*(ACT_START&lt;=8)*(ACT_END&gt;=8)*IFERROR(ACT_UPLIFT-1,0)))*(1+SUMPRODUCT(SIGN(((ACT_DOOR_SCOPE="ALL")+(ACT_DOOR_SCOPE="TIER_"&amp;$F161)+(ACT_DOOR_SCOPE=$B161)))*SIGN(((ACT_SKU_SCOPE="ALL")+(ACT_SKU_SCOPE=$G161)))*(8&gt;ACT_END)*(ACT_END&gt;0)*IFERROR(ACT_POSTLIFT,0))),0)))</f>
        <v/>
      </c>
      <c r="R161" s="10">
        <f>IF(OR($H161&lt;&gt;"Y",9&lt;$I161),0,IF(SUMPRODUCT(((BULK_ENABLED="Y")*((BULK_TIER="ALL")+(BULK_TIER=$F161))*((BULK_SKU="ALL")+(BULK_SKU=$G161))*(BULK_START&lt;=9)*(BULK_END&gt;=9)))&gt;0,IFERROR(SUMPRODUCT(((BULK_ENABLED="Y")*((BULK_TIER="ALL")+(BULK_TIER=$F161))*((BULK_SKU="ALL")+(BULK_SKU=$G161))*(BULK_START&lt;=9)*(BULK_END&gt;=9))*IFERROR(BULK_VALUE,0))/MAX(1,SUMPRODUCT(((BULK_ENABLED="Y")*((BULK_TIER="ALL")+(BULK_TIER=$F161))*((BULK_SKU="ALL")+(BULK_SKU=$G161))*(BULK_START&lt;=9)*(BULK_END&gt;=9)))),0),ROUND((INDEX(VELOCITY_TABLE,MATCH($F161,TIER_LIST,0),1))*(IF((9-$I161+1)&lt;=0,0,IF((9-$I161+1)=1,RAMP_W1,IF((9-$I161+1)=2,RAMP_W2,IF((9-$I161+1)=3,RAMP_W3,RAMP_W4PLUS)))))*(INDEX(ACTIVE_MULT_TABLE,1,1))*(1+SUMPRODUCT(SIGN(((ACT_DOOR_SCOPE="ALL")+(ACT_DOOR_SCOPE="TIER_"&amp;$F161)+(ACT_DOOR_SCOPE=$B161)))*SIGN(((ACT_SKU_SCOPE="ALL")+(ACT_SKU_SCOPE=$G161)))*(ACT_START&lt;=9)*(ACT_END&gt;=9)*IFERROR(ACT_UPLIFT-1,0)))*(1+SUMPRODUCT(SIGN(((ACT_DOOR_SCOPE="ALL")+(ACT_DOOR_SCOPE="TIER_"&amp;$F161)+(ACT_DOOR_SCOPE=$B161)))*SIGN(((ACT_SKU_SCOPE="ALL")+(ACT_SKU_SCOPE=$G161)))*(9&gt;ACT_END)*(ACT_END&gt;0)*IFERROR(ACT_POSTLIFT,0))),0)))</f>
        <v/>
      </c>
      <c r="S161" s="10">
        <f>IF(OR($H161&lt;&gt;"Y",10&lt;$I161),0,IF(SUMPRODUCT(((BULK_ENABLED="Y")*((BULK_TIER="ALL")+(BULK_TIER=$F161))*((BULK_SKU="ALL")+(BULK_SKU=$G161))*(BULK_START&lt;=10)*(BULK_END&gt;=10)))&gt;0,IFERROR(SUMPRODUCT(((BULK_ENABLED="Y")*((BULK_TIER="ALL")+(BULK_TIER=$F161))*((BULK_SKU="ALL")+(BULK_SKU=$G161))*(BULK_START&lt;=10)*(BULK_END&gt;=10))*IFERROR(BULK_VALUE,0))/MAX(1,SUMPRODUCT(((BULK_ENABLED="Y")*((BULK_TIER="ALL")+(BULK_TIER=$F161))*((BULK_SKU="ALL")+(BULK_SKU=$G161))*(BULK_START&lt;=10)*(BULK_END&gt;=10)))),0),ROUND((INDEX(VELOCITY_TABLE,MATCH($F161,TIER_LIST,0),1))*(IF((10-$I161+1)&lt;=0,0,IF((10-$I161+1)=1,RAMP_W1,IF((10-$I161+1)=2,RAMP_W2,IF((10-$I161+1)=3,RAMP_W3,RAMP_W4PLUS)))))*(INDEX(ACTIVE_MULT_TABLE,1,1))*(1+SUMPRODUCT(SIGN(((ACT_DOOR_SCOPE="ALL")+(ACT_DOOR_SCOPE="TIER_"&amp;$F161)+(ACT_DOOR_SCOPE=$B161)))*SIGN(((ACT_SKU_SCOPE="ALL")+(ACT_SKU_SCOPE=$G161)))*(ACT_START&lt;=10)*(ACT_END&gt;=10)*IFERROR(ACT_UPLIFT-1,0)))*(1+SUMPRODUCT(SIGN(((ACT_DOOR_SCOPE="ALL")+(ACT_DOOR_SCOPE="TIER_"&amp;$F161)+(ACT_DOOR_SCOPE=$B161)))*SIGN(((ACT_SKU_SCOPE="ALL")+(ACT_SKU_SCOPE=$G161)))*(10&gt;ACT_END)*(ACT_END&gt;0)*IFERROR(ACT_POSTLIFT,0))),0)))</f>
        <v/>
      </c>
      <c r="T161" s="10">
        <f>IF(OR($H161&lt;&gt;"Y",11&lt;$I161),0,IF(SUMPRODUCT(((BULK_ENABLED="Y")*((BULK_TIER="ALL")+(BULK_TIER=$F161))*((BULK_SKU="ALL")+(BULK_SKU=$G161))*(BULK_START&lt;=11)*(BULK_END&gt;=11)))&gt;0,IFERROR(SUMPRODUCT(((BULK_ENABLED="Y")*((BULK_TIER="ALL")+(BULK_TIER=$F161))*((BULK_SKU="ALL")+(BULK_SKU=$G161))*(BULK_START&lt;=11)*(BULK_END&gt;=11))*IFERROR(BULK_VALUE,0))/MAX(1,SUMPRODUCT(((BULK_ENABLED="Y")*((BULK_TIER="ALL")+(BULK_TIER=$F161))*((BULK_SKU="ALL")+(BULK_SKU=$G161))*(BULK_START&lt;=11)*(BULK_END&gt;=11)))),0),ROUND((INDEX(VELOCITY_TABLE,MATCH($F161,TIER_LIST,0),1))*(IF((11-$I161+1)&lt;=0,0,IF((11-$I161+1)=1,RAMP_W1,IF((11-$I161+1)=2,RAMP_W2,IF((11-$I161+1)=3,RAMP_W3,RAMP_W4PLUS)))))*(INDEX(ACTIVE_MULT_TABLE,1,1))*(1+SUMPRODUCT(SIGN(((ACT_DOOR_SCOPE="ALL")+(ACT_DOOR_SCOPE="TIER_"&amp;$F161)+(ACT_DOOR_SCOPE=$B161)))*SIGN(((ACT_SKU_SCOPE="ALL")+(ACT_SKU_SCOPE=$G161)))*(ACT_START&lt;=11)*(ACT_END&gt;=11)*IFERROR(ACT_UPLIFT-1,0)))*(1+SUMPRODUCT(SIGN(((ACT_DOOR_SCOPE="ALL")+(ACT_DOOR_SCOPE="TIER_"&amp;$F161)+(ACT_DOOR_SCOPE=$B161)))*SIGN(((ACT_SKU_SCOPE="ALL")+(ACT_SKU_SCOPE=$G161)))*(11&gt;ACT_END)*(ACT_END&gt;0)*IFERROR(ACT_POSTLIFT,0))),0)))</f>
        <v/>
      </c>
      <c r="U161" s="10">
        <f>IF(OR($H161&lt;&gt;"Y",12&lt;$I161),0,IF(SUMPRODUCT(((BULK_ENABLED="Y")*((BULK_TIER="ALL")+(BULK_TIER=$F161))*((BULK_SKU="ALL")+(BULK_SKU=$G161))*(BULK_START&lt;=12)*(BULK_END&gt;=12)))&gt;0,IFERROR(SUMPRODUCT(((BULK_ENABLED="Y")*((BULK_TIER="ALL")+(BULK_TIER=$F161))*((BULK_SKU="ALL")+(BULK_SKU=$G161))*(BULK_START&lt;=12)*(BULK_END&gt;=12))*IFERROR(BULK_VALUE,0))/MAX(1,SUMPRODUCT(((BULK_ENABLED="Y")*((BULK_TIER="ALL")+(BULK_TIER=$F161))*((BULK_SKU="ALL")+(BULK_SKU=$G161))*(BULK_START&lt;=12)*(BULK_END&gt;=12)))),0),ROUND((INDEX(VELOCITY_TABLE,MATCH($F161,TIER_LIST,0),1))*(IF((12-$I161+1)&lt;=0,0,IF((12-$I161+1)=1,RAMP_W1,IF((12-$I161+1)=2,RAMP_W2,IF((12-$I161+1)=3,RAMP_W3,RAMP_W4PLUS)))))*(INDEX(ACTIVE_MULT_TABLE,1,1))*(1+SUMPRODUCT(SIGN(((ACT_DOOR_SCOPE="ALL")+(ACT_DOOR_SCOPE="TIER_"&amp;$F161)+(ACT_DOOR_SCOPE=$B161)))*SIGN(((ACT_SKU_SCOPE="ALL")+(ACT_SKU_SCOPE=$G161)))*(ACT_START&lt;=12)*(ACT_END&gt;=12)*IFERROR(ACT_UPLIFT-1,0)))*(1+SUMPRODUCT(SIGN(((ACT_DOOR_SCOPE="ALL")+(ACT_DOOR_SCOPE="TIER_"&amp;$F161)+(ACT_DOOR_SCOPE=$B161)))*SIGN(((ACT_SKU_SCOPE="ALL")+(ACT_SKU_SCOPE=$G161)))*(12&gt;ACT_END)*(ACT_END&gt;0)*IFERROR(ACT_POSTLIFT,0))),0)))</f>
        <v/>
      </c>
      <c r="V161" s="10">
        <f>IF(OR($H161&lt;&gt;"Y",13&lt;$I161),0,IF(SUMPRODUCT(((BULK_ENABLED="Y")*((BULK_TIER="ALL")+(BULK_TIER=$F161))*((BULK_SKU="ALL")+(BULK_SKU=$G161))*(BULK_START&lt;=13)*(BULK_END&gt;=13)))&gt;0,IFERROR(SUMPRODUCT(((BULK_ENABLED="Y")*((BULK_TIER="ALL")+(BULK_TIER=$F161))*((BULK_SKU="ALL")+(BULK_SKU=$G161))*(BULK_START&lt;=13)*(BULK_END&gt;=13))*IFERROR(BULK_VALUE,0))/MAX(1,SUMPRODUCT(((BULK_ENABLED="Y")*((BULK_TIER="ALL")+(BULK_TIER=$F161))*((BULK_SKU="ALL")+(BULK_SKU=$G161))*(BULK_START&lt;=13)*(BULK_END&gt;=13)))),0),ROUND((INDEX(VELOCITY_TABLE,MATCH($F161,TIER_LIST,0),1))*(IF((13-$I161+1)&lt;=0,0,IF((13-$I161+1)=1,RAMP_W1,IF((13-$I161+1)=2,RAMP_W2,IF((13-$I161+1)=3,RAMP_W3,RAMP_W4PLUS)))))*(INDEX(ACTIVE_MULT_TABLE,1,1))*(1+SUMPRODUCT(SIGN(((ACT_DOOR_SCOPE="ALL")+(ACT_DOOR_SCOPE="TIER_"&amp;$F161)+(ACT_DOOR_SCOPE=$B161)))*SIGN(((ACT_SKU_SCOPE="ALL")+(ACT_SKU_SCOPE=$G161)))*(ACT_START&lt;=13)*(ACT_END&gt;=13)*IFERROR(ACT_UPLIFT-1,0)))*(1+SUMPRODUCT(SIGN(((ACT_DOOR_SCOPE="ALL")+(ACT_DOOR_SCOPE="TIER_"&amp;$F161)+(ACT_DOOR_SCOPE=$B161)))*SIGN(((ACT_SKU_SCOPE="ALL")+(ACT_SKU_SCOPE=$G161)))*(13&gt;ACT_END)*(ACT_END&gt;0)*IFERROR(ACT_POSTLIFT,0))),0)))</f>
        <v/>
      </c>
    </row>
    <row r="162">
      <c r="A162" t="inlineStr">
        <is>
          <t>R0158</t>
        </is>
      </c>
      <c r="B162">
        <f>Doors!$A$57</f>
        <v/>
      </c>
      <c r="C162">
        <f>Doors!$C$57</f>
        <v/>
      </c>
      <c r="D162">
        <f>Doors!$B$57</f>
        <v/>
      </c>
      <c r="E162">
        <f>Doors!$E$57</f>
        <v/>
      </c>
      <c r="F162">
        <f>Doors!$F$57</f>
        <v/>
      </c>
      <c r="G162" t="inlineStr">
        <is>
          <t>Pineapple Passion Fruit</t>
        </is>
      </c>
      <c r="H162">
        <f>Doors!$H$57</f>
        <v/>
      </c>
      <c r="I162">
        <f>Doors!$J$57</f>
        <v/>
      </c>
      <c r="J162" s="10">
        <f>IF(OR($H162&lt;&gt;"Y",1&lt;$I162),0,IF(SUMPRODUCT(((BULK_ENABLED="Y")*((BULK_TIER="ALL")+(BULK_TIER=$F162))*((BULK_SKU="ALL")+(BULK_SKU=$G162))*(BULK_START&lt;=1)*(BULK_END&gt;=1)))&gt;0,IFERROR(SUMPRODUCT(((BULK_ENABLED="Y")*((BULK_TIER="ALL")+(BULK_TIER=$F162))*((BULK_SKU="ALL")+(BULK_SKU=$G162))*(BULK_START&lt;=1)*(BULK_END&gt;=1))*IFERROR(BULK_VALUE,0))/MAX(1,SUMPRODUCT(((BULK_ENABLED="Y")*((BULK_TIER="ALL")+(BULK_TIER=$F162))*((BULK_SKU="ALL")+(BULK_SKU=$G162))*(BULK_START&lt;=1)*(BULK_END&gt;=1)))),0),ROUND((INDEX(VELOCITY_TABLE,MATCH($F162,TIER_LIST,0),2))*(IF((1-$I162+1)&lt;=0,0,IF((1-$I162+1)=1,RAMP_W1,IF((1-$I162+1)=2,RAMP_W2,IF((1-$I162+1)=3,RAMP_W3,RAMP_W4PLUS)))))*(INDEX(ACTIVE_MULT_TABLE,2,1))*(1+SUMPRODUCT(SIGN(((ACT_DOOR_SCOPE="ALL")+(ACT_DOOR_SCOPE="TIER_"&amp;$F162)+(ACT_DOOR_SCOPE=$B162)))*SIGN(((ACT_SKU_SCOPE="ALL")+(ACT_SKU_SCOPE=$G162)))*(ACT_START&lt;=1)*(ACT_END&gt;=1)*IFERROR(ACT_UPLIFT-1,0)))*(1+SUMPRODUCT(SIGN(((ACT_DOOR_SCOPE="ALL")+(ACT_DOOR_SCOPE="TIER_"&amp;$F162)+(ACT_DOOR_SCOPE=$B162)))*SIGN(((ACT_SKU_SCOPE="ALL")+(ACT_SKU_SCOPE=$G162)))*(1&gt;ACT_END)*(ACT_END&gt;0)*IFERROR(ACT_POSTLIFT,0))),0)))</f>
        <v/>
      </c>
      <c r="K162" s="10">
        <f>IF(OR($H162&lt;&gt;"Y",2&lt;$I162),0,IF(SUMPRODUCT(((BULK_ENABLED="Y")*((BULK_TIER="ALL")+(BULK_TIER=$F162))*((BULK_SKU="ALL")+(BULK_SKU=$G162))*(BULK_START&lt;=2)*(BULK_END&gt;=2)))&gt;0,IFERROR(SUMPRODUCT(((BULK_ENABLED="Y")*((BULK_TIER="ALL")+(BULK_TIER=$F162))*((BULK_SKU="ALL")+(BULK_SKU=$G162))*(BULK_START&lt;=2)*(BULK_END&gt;=2))*IFERROR(BULK_VALUE,0))/MAX(1,SUMPRODUCT(((BULK_ENABLED="Y")*((BULK_TIER="ALL")+(BULK_TIER=$F162))*((BULK_SKU="ALL")+(BULK_SKU=$G162))*(BULK_START&lt;=2)*(BULK_END&gt;=2)))),0),ROUND((INDEX(VELOCITY_TABLE,MATCH($F162,TIER_LIST,0),2))*(IF((2-$I162+1)&lt;=0,0,IF((2-$I162+1)=1,RAMP_W1,IF((2-$I162+1)=2,RAMP_W2,IF((2-$I162+1)=3,RAMP_W3,RAMP_W4PLUS)))))*(INDEX(ACTIVE_MULT_TABLE,2,1))*(1+SUMPRODUCT(SIGN(((ACT_DOOR_SCOPE="ALL")+(ACT_DOOR_SCOPE="TIER_"&amp;$F162)+(ACT_DOOR_SCOPE=$B162)))*SIGN(((ACT_SKU_SCOPE="ALL")+(ACT_SKU_SCOPE=$G162)))*(ACT_START&lt;=2)*(ACT_END&gt;=2)*IFERROR(ACT_UPLIFT-1,0)))*(1+SUMPRODUCT(SIGN(((ACT_DOOR_SCOPE="ALL")+(ACT_DOOR_SCOPE="TIER_"&amp;$F162)+(ACT_DOOR_SCOPE=$B162)))*SIGN(((ACT_SKU_SCOPE="ALL")+(ACT_SKU_SCOPE=$G162)))*(2&gt;ACT_END)*(ACT_END&gt;0)*IFERROR(ACT_POSTLIFT,0))),0)))</f>
        <v/>
      </c>
      <c r="L162" s="10">
        <f>IF(OR($H162&lt;&gt;"Y",3&lt;$I162),0,IF(SUMPRODUCT(((BULK_ENABLED="Y")*((BULK_TIER="ALL")+(BULK_TIER=$F162))*((BULK_SKU="ALL")+(BULK_SKU=$G162))*(BULK_START&lt;=3)*(BULK_END&gt;=3)))&gt;0,IFERROR(SUMPRODUCT(((BULK_ENABLED="Y")*((BULK_TIER="ALL")+(BULK_TIER=$F162))*((BULK_SKU="ALL")+(BULK_SKU=$G162))*(BULK_START&lt;=3)*(BULK_END&gt;=3))*IFERROR(BULK_VALUE,0))/MAX(1,SUMPRODUCT(((BULK_ENABLED="Y")*((BULK_TIER="ALL")+(BULK_TIER=$F162))*((BULK_SKU="ALL")+(BULK_SKU=$G162))*(BULK_START&lt;=3)*(BULK_END&gt;=3)))),0),ROUND((INDEX(VELOCITY_TABLE,MATCH($F162,TIER_LIST,0),2))*(IF((3-$I162+1)&lt;=0,0,IF((3-$I162+1)=1,RAMP_W1,IF((3-$I162+1)=2,RAMP_W2,IF((3-$I162+1)=3,RAMP_W3,RAMP_W4PLUS)))))*(INDEX(ACTIVE_MULT_TABLE,2,1))*(1+SUMPRODUCT(SIGN(((ACT_DOOR_SCOPE="ALL")+(ACT_DOOR_SCOPE="TIER_"&amp;$F162)+(ACT_DOOR_SCOPE=$B162)))*SIGN(((ACT_SKU_SCOPE="ALL")+(ACT_SKU_SCOPE=$G162)))*(ACT_START&lt;=3)*(ACT_END&gt;=3)*IFERROR(ACT_UPLIFT-1,0)))*(1+SUMPRODUCT(SIGN(((ACT_DOOR_SCOPE="ALL")+(ACT_DOOR_SCOPE="TIER_"&amp;$F162)+(ACT_DOOR_SCOPE=$B162)))*SIGN(((ACT_SKU_SCOPE="ALL")+(ACT_SKU_SCOPE=$G162)))*(3&gt;ACT_END)*(ACT_END&gt;0)*IFERROR(ACT_POSTLIFT,0))),0)))</f>
        <v/>
      </c>
      <c r="M162" s="10">
        <f>IF(OR($H162&lt;&gt;"Y",4&lt;$I162),0,IF(SUMPRODUCT(((BULK_ENABLED="Y")*((BULK_TIER="ALL")+(BULK_TIER=$F162))*((BULK_SKU="ALL")+(BULK_SKU=$G162))*(BULK_START&lt;=4)*(BULK_END&gt;=4)))&gt;0,IFERROR(SUMPRODUCT(((BULK_ENABLED="Y")*((BULK_TIER="ALL")+(BULK_TIER=$F162))*((BULK_SKU="ALL")+(BULK_SKU=$G162))*(BULK_START&lt;=4)*(BULK_END&gt;=4))*IFERROR(BULK_VALUE,0))/MAX(1,SUMPRODUCT(((BULK_ENABLED="Y")*((BULK_TIER="ALL")+(BULK_TIER=$F162))*((BULK_SKU="ALL")+(BULK_SKU=$G162))*(BULK_START&lt;=4)*(BULK_END&gt;=4)))),0),ROUND((INDEX(VELOCITY_TABLE,MATCH($F162,TIER_LIST,0),2))*(IF((4-$I162+1)&lt;=0,0,IF((4-$I162+1)=1,RAMP_W1,IF((4-$I162+1)=2,RAMP_W2,IF((4-$I162+1)=3,RAMP_W3,RAMP_W4PLUS)))))*(INDEX(ACTIVE_MULT_TABLE,2,1))*(1+SUMPRODUCT(SIGN(((ACT_DOOR_SCOPE="ALL")+(ACT_DOOR_SCOPE="TIER_"&amp;$F162)+(ACT_DOOR_SCOPE=$B162)))*SIGN(((ACT_SKU_SCOPE="ALL")+(ACT_SKU_SCOPE=$G162)))*(ACT_START&lt;=4)*(ACT_END&gt;=4)*IFERROR(ACT_UPLIFT-1,0)))*(1+SUMPRODUCT(SIGN(((ACT_DOOR_SCOPE="ALL")+(ACT_DOOR_SCOPE="TIER_"&amp;$F162)+(ACT_DOOR_SCOPE=$B162)))*SIGN(((ACT_SKU_SCOPE="ALL")+(ACT_SKU_SCOPE=$G162)))*(4&gt;ACT_END)*(ACT_END&gt;0)*IFERROR(ACT_POSTLIFT,0))),0)))</f>
        <v/>
      </c>
      <c r="N162" s="10">
        <f>IF(OR($H162&lt;&gt;"Y",5&lt;$I162),0,IF(SUMPRODUCT(((BULK_ENABLED="Y")*((BULK_TIER="ALL")+(BULK_TIER=$F162))*((BULK_SKU="ALL")+(BULK_SKU=$G162))*(BULK_START&lt;=5)*(BULK_END&gt;=5)))&gt;0,IFERROR(SUMPRODUCT(((BULK_ENABLED="Y")*((BULK_TIER="ALL")+(BULK_TIER=$F162))*((BULK_SKU="ALL")+(BULK_SKU=$G162))*(BULK_START&lt;=5)*(BULK_END&gt;=5))*IFERROR(BULK_VALUE,0))/MAX(1,SUMPRODUCT(((BULK_ENABLED="Y")*((BULK_TIER="ALL")+(BULK_TIER=$F162))*((BULK_SKU="ALL")+(BULK_SKU=$G162))*(BULK_START&lt;=5)*(BULK_END&gt;=5)))),0),ROUND((INDEX(VELOCITY_TABLE,MATCH($F162,TIER_LIST,0),2))*(IF((5-$I162+1)&lt;=0,0,IF((5-$I162+1)=1,RAMP_W1,IF((5-$I162+1)=2,RAMP_W2,IF((5-$I162+1)=3,RAMP_W3,RAMP_W4PLUS)))))*(INDEX(ACTIVE_MULT_TABLE,2,1))*(1+SUMPRODUCT(SIGN(((ACT_DOOR_SCOPE="ALL")+(ACT_DOOR_SCOPE="TIER_"&amp;$F162)+(ACT_DOOR_SCOPE=$B162)))*SIGN(((ACT_SKU_SCOPE="ALL")+(ACT_SKU_SCOPE=$G162)))*(ACT_START&lt;=5)*(ACT_END&gt;=5)*IFERROR(ACT_UPLIFT-1,0)))*(1+SUMPRODUCT(SIGN(((ACT_DOOR_SCOPE="ALL")+(ACT_DOOR_SCOPE="TIER_"&amp;$F162)+(ACT_DOOR_SCOPE=$B162)))*SIGN(((ACT_SKU_SCOPE="ALL")+(ACT_SKU_SCOPE=$G162)))*(5&gt;ACT_END)*(ACT_END&gt;0)*IFERROR(ACT_POSTLIFT,0))),0)))</f>
        <v/>
      </c>
      <c r="O162" s="10">
        <f>IF(OR($H162&lt;&gt;"Y",6&lt;$I162),0,IF(SUMPRODUCT(((BULK_ENABLED="Y")*((BULK_TIER="ALL")+(BULK_TIER=$F162))*((BULK_SKU="ALL")+(BULK_SKU=$G162))*(BULK_START&lt;=6)*(BULK_END&gt;=6)))&gt;0,IFERROR(SUMPRODUCT(((BULK_ENABLED="Y")*((BULK_TIER="ALL")+(BULK_TIER=$F162))*((BULK_SKU="ALL")+(BULK_SKU=$G162))*(BULK_START&lt;=6)*(BULK_END&gt;=6))*IFERROR(BULK_VALUE,0))/MAX(1,SUMPRODUCT(((BULK_ENABLED="Y")*((BULK_TIER="ALL")+(BULK_TIER=$F162))*((BULK_SKU="ALL")+(BULK_SKU=$G162))*(BULK_START&lt;=6)*(BULK_END&gt;=6)))),0),ROUND((INDEX(VELOCITY_TABLE,MATCH($F162,TIER_LIST,0),2))*(IF((6-$I162+1)&lt;=0,0,IF((6-$I162+1)=1,RAMP_W1,IF((6-$I162+1)=2,RAMP_W2,IF((6-$I162+1)=3,RAMP_W3,RAMP_W4PLUS)))))*(INDEX(ACTIVE_MULT_TABLE,2,1))*(1+SUMPRODUCT(SIGN(((ACT_DOOR_SCOPE="ALL")+(ACT_DOOR_SCOPE="TIER_"&amp;$F162)+(ACT_DOOR_SCOPE=$B162)))*SIGN(((ACT_SKU_SCOPE="ALL")+(ACT_SKU_SCOPE=$G162)))*(ACT_START&lt;=6)*(ACT_END&gt;=6)*IFERROR(ACT_UPLIFT-1,0)))*(1+SUMPRODUCT(SIGN(((ACT_DOOR_SCOPE="ALL")+(ACT_DOOR_SCOPE="TIER_"&amp;$F162)+(ACT_DOOR_SCOPE=$B162)))*SIGN(((ACT_SKU_SCOPE="ALL")+(ACT_SKU_SCOPE=$G162)))*(6&gt;ACT_END)*(ACT_END&gt;0)*IFERROR(ACT_POSTLIFT,0))),0)))</f>
        <v/>
      </c>
      <c r="P162" s="10">
        <f>IF(OR($H162&lt;&gt;"Y",7&lt;$I162),0,IF(SUMPRODUCT(((BULK_ENABLED="Y")*((BULK_TIER="ALL")+(BULK_TIER=$F162))*((BULK_SKU="ALL")+(BULK_SKU=$G162))*(BULK_START&lt;=7)*(BULK_END&gt;=7)))&gt;0,IFERROR(SUMPRODUCT(((BULK_ENABLED="Y")*((BULK_TIER="ALL")+(BULK_TIER=$F162))*((BULK_SKU="ALL")+(BULK_SKU=$G162))*(BULK_START&lt;=7)*(BULK_END&gt;=7))*IFERROR(BULK_VALUE,0))/MAX(1,SUMPRODUCT(((BULK_ENABLED="Y")*((BULK_TIER="ALL")+(BULK_TIER=$F162))*((BULK_SKU="ALL")+(BULK_SKU=$G162))*(BULK_START&lt;=7)*(BULK_END&gt;=7)))),0),ROUND((INDEX(VELOCITY_TABLE,MATCH($F162,TIER_LIST,0),2))*(IF((7-$I162+1)&lt;=0,0,IF((7-$I162+1)=1,RAMP_W1,IF((7-$I162+1)=2,RAMP_W2,IF((7-$I162+1)=3,RAMP_W3,RAMP_W4PLUS)))))*(INDEX(ACTIVE_MULT_TABLE,2,1))*(1+SUMPRODUCT(SIGN(((ACT_DOOR_SCOPE="ALL")+(ACT_DOOR_SCOPE="TIER_"&amp;$F162)+(ACT_DOOR_SCOPE=$B162)))*SIGN(((ACT_SKU_SCOPE="ALL")+(ACT_SKU_SCOPE=$G162)))*(ACT_START&lt;=7)*(ACT_END&gt;=7)*IFERROR(ACT_UPLIFT-1,0)))*(1+SUMPRODUCT(SIGN(((ACT_DOOR_SCOPE="ALL")+(ACT_DOOR_SCOPE="TIER_"&amp;$F162)+(ACT_DOOR_SCOPE=$B162)))*SIGN(((ACT_SKU_SCOPE="ALL")+(ACT_SKU_SCOPE=$G162)))*(7&gt;ACT_END)*(ACT_END&gt;0)*IFERROR(ACT_POSTLIFT,0))),0)))</f>
        <v/>
      </c>
      <c r="Q162" s="10">
        <f>IF(OR($H162&lt;&gt;"Y",8&lt;$I162),0,IF(SUMPRODUCT(((BULK_ENABLED="Y")*((BULK_TIER="ALL")+(BULK_TIER=$F162))*((BULK_SKU="ALL")+(BULK_SKU=$G162))*(BULK_START&lt;=8)*(BULK_END&gt;=8)))&gt;0,IFERROR(SUMPRODUCT(((BULK_ENABLED="Y")*((BULK_TIER="ALL")+(BULK_TIER=$F162))*((BULK_SKU="ALL")+(BULK_SKU=$G162))*(BULK_START&lt;=8)*(BULK_END&gt;=8))*IFERROR(BULK_VALUE,0))/MAX(1,SUMPRODUCT(((BULK_ENABLED="Y")*((BULK_TIER="ALL")+(BULK_TIER=$F162))*((BULK_SKU="ALL")+(BULK_SKU=$G162))*(BULK_START&lt;=8)*(BULK_END&gt;=8)))),0),ROUND((INDEX(VELOCITY_TABLE,MATCH($F162,TIER_LIST,0),2))*(IF((8-$I162+1)&lt;=0,0,IF((8-$I162+1)=1,RAMP_W1,IF((8-$I162+1)=2,RAMP_W2,IF((8-$I162+1)=3,RAMP_W3,RAMP_W4PLUS)))))*(INDEX(ACTIVE_MULT_TABLE,2,1))*(1+SUMPRODUCT(SIGN(((ACT_DOOR_SCOPE="ALL")+(ACT_DOOR_SCOPE="TIER_"&amp;$F162)+(ACT_DOOR_SCOPE=$B162)))*SIGN(((ACT_SKU_SCOPE="ALL")+(ACT_SKU_SCOPE=$G162)))*(ACT_START&lt;=8)*(ACT_END&gt;=8)*IFERROR(ACT_UPLIFT-1,0)))*(1+SUMPRODUCT(SIGN(((ACT_DOOR_SCOPE="ALL")+(ACT_DOOR_SCOPE="TIER_"&amp;$F162)+(ACT_DOOR_SCOPE=$B162)))*SIGN(((ACT_SKU_SCOPE="ALL")+(ACT_SKU_SCOPE=$G162)))*(8&gt;ACT_END)*(ACT_END&gt;0)*IFERROR(ACT_POSTLIFT,0))),0)))</f>
        <v/>
      </c>
      <c r="R162" s="10">
        <f>IF(OR($H162&lt;&gt;"Y",9&lt;$I162),0,IF(SUMPRODUCT(((BULK_ENABLED="Y")*((BULK_TIER="ALL")+(BULK_TIER=$F162))*((BULK_SKU="ALL")+(BULK_SKU=$G162))*(BULK_START&lt;=9)*(BULK_END&gt;=9)))&gt;0,IFERROR(SUMPRODUCT(((BULK_ENABLED="Y")*((BULK_TIER="ALL")+(BULK_TIER=$F162))*((BULK_SKU="ALL")+(BULK_SKU=$G162))*(BULK_START&lt;=9)*(BULK_END&gt;=9))*IFERROR(BULK_VALUE,0))/MAX(1,SUMPRODUCT(((BULK_ENABLED="Y")*((BULK_TIER="ALL")+(BULK_TIER=$F162))*((BULK_SKU="ALL")+(BULK_SKU=$G162))*(BULK_START&lt;=9)*(BULK_END&gt;=9)))),0),ROUND((INDEX(VELOCITY_TABLE,MATCH($F162,TIER_LIST,0),2))*(IF((9-$I162+1)&lt;=0,0,IF((9-$I162+1)=1,RAMP_W1,IF((9-$I162+1)=2,RAMP_W2,IF((9-$I162+1)=3,RAMP_W3,RAMP_W4PLUS)))))*(INDEX(ACTIVE_MULT_TABLE,2,1))*(1+SUMPRODUCT(SIGN(((ACT_DOOR_SCOPE="ALL")+(ACT_DOOR_SCOPE="TIER_"&amp;$F162)+(ACT_DOOR_SCOPE=$B162)))*SIGN(((ACT_SKU_SCOPE="ALL")+(ACT_SKU_SCOPE=$G162)))*(ACT_START&lt;=9)*(ACT_END&gt;=9)*IFERROR(ACT_UPLIFT-1,0)))*(1+SUMPRODUCT(SIGN(((ACT_DOOR_SCOPE="ALL")+(ACT_DOOR_SCOPE="TIER_"&amp;$F162)+(ACT_DOOR_SCOPE=$B162)))*SIGN(((ACT_SKU_SCOPE="ALL")+(ACT_SKU_SCOPE=$G162)))*(9&gt;ACT_END)*(ACT_END&gt;0)*IFERROR(ACT_POSTLIFT,0))),0)))</f>
        <v/>
      </c>
      <c r="S162" s="10">
        <f>IF(OR($H162&lt;&gt;"Y",10&lt;$I162),0,IF(SUMPRODUCT(((BULK_ENABLED="Y")*((BULK_TIER="ALL")+(BULK_TIER=$F162))*((BULK_SKU="ALL")+(BULK_SKU=$G162))*(BULK_START&lt;=10)*(BULK_END&gt;=10)))&gt;0,IFERROR(SUMPRODUCT(((BULK_ENABLED="Y")*((BULK_TIER="ALL")+(BULK_TIER=$F162))*((BULK_SKU="ALL")+(BULK_SKU=$G162))*(BULK_START&lt;=10)*(BULK_END&gt;=10))*IFERROR(BULK_VALUE,0))/MAX(1,SUMPRODUCT(((BULK_ENABLED="Y")*((BULK_TIER="ALL")+(BULK_TIER=$F162))*((BULK_SKU="ALL")+(BULK_SKU=$G162))*(BULK_START&lt;=10)*(BULK_END&gt;=10)))),0),ROUND((INDEX(VELOCITY_TABLE,MATCH($F162,TIER_LIST,0),2))*(IF((10-$I162+1)&lt;=0,0,IF((10-$I162+1)=1,RAMP_W1,IF((10-$I162+1)=2,RAMP_W2,IF((10-$I162+1)=3,RAMP_W3,RAMP_W4PLUS)))))*(INDEX(ACTIVE_MULT_TABLE,2,1))*(1+SUMPRODUCT(SIGN(((ACT_DOOR_SCOPE="ALL")+(ACT_DOOR_SCOPE="TIER_"&amp;$F162)+(ACT_DOOR_SCOPE=$B162)))*SIGN(((ACT_SKU_SCOPE="ALL")+(ACT_SKU_SCOPE=$G162)))*(ACT_START&lt;=10)*(ACT_END&gt;=10)*IFERROR(ACT_UPLIFT-1,0)))*(1+SUMPRODUCT(SIGN(((ACT_DOOR_SCOPE="ALL")+(ACT_DOOR_SCOPE="TIER_"&amp;$F162)+(ACT_DOOR_SCOPE=$B162)))*SIGN(((ACT_SKU_SCOPE="ALL")+(ACT_SKU_SCOPE=$G162)))*(10&gt;ACT_END)*(ACT_END&gt;0)*IFERROR(ACT_POSTLIFT,0))),0)))</f>
        <v/>
      </c>
      <c r="T162" s="10">
        <f>IF(OR($H162&lt;&gt;"Y",11&lt;$I162),0,IF(SUMPRODUCT(((BULK_ENABLED="Y")*((BULK_TIER="ALL")+(BULK_TIER=$F162))*((BULK_SKU="ALL")+(BULK_SKU=$G162))*(BULK_START&lt;=11)*(BULK_END&gt;=11)))&gt;0,IFERROR(SUMPRODUCT(((BULK_ENABLED="Y")*((BULK_TIER="ALL")+(BULK_TIER=$F162))*((BULK_SKU="ALL")+(BULK_SKU=$G162))*(BULK_START&lt;=11)*(BULK_END&gt;=11))*IFERROR(BULK_VALUE,0))/MAX(1,SUMPRODUCT(((BULK_ENABLED="Y")*((BULK_TIER="ALL")+(BULK_TIER=$F162))*((BULK_SKU="ALL")+(BULK_SKU=$G162))*(BULK_START&lt;=11)*(BULK_END&gt;=11)))),0),ROUND((INDEX(VELOCITY_TABLE,MATCH($F162,TIER_LIST,0),2))*(IF((11-$I162+1)&lt;=0,0,IF((11-$I162+1)=1,RAMP_W1,IF((11-$I162+1)=2,RAMP_W2,IF((11-$I162+1)=3,RAMP_W3,RAMP_W4PLUS)))))*(INDEX(ACTIVE_MULT_TABLE,2,1))*(1+SUMPRODUCT(SIGN(((ACT_DOOR_SCOPE="ALL")+(ACT_DOOR_SCOPE="TIER_"&amp;$F162)+(ACT_DOOR_SCOPE=$B162)))*SIGN(((ACT_SKU_SCOPE="ALL")+(ACT_SKU_SCOPE=$G162)))*(ACT_START&lt;=11)*(ACT_END&gt;=11)*IFERROR(ACT_UPLIFT-1,0)))*(1+SUMPRODUCT(SIGN(((ACT_DOOR_SCOPE="ALL")+(ACT_DOOR_SCOPE="TIER_"&amp;$F162)+(ACT_DOOR_SCOPE=$B162)))*SIGN(((ACT_SKU_SCOPE="ALL")+(ACT_SKU_SCOPE=$G162)))*(11&gt;ACT_END)*(ACT_END&gt;0)*IFERROR(ACT_POSTLIFT,0))),0)))</f>
        <v/>
      </c>
      <c r="U162" s="10">
        <f>IF(OR($H162&lt;&gt;"Y",12&lt;$I162),0,IF(SUMPRODUCT(((BULK_ENABLED="Y")*((BULK_TIER="ALL")+(BULK_TIER=$F162))*((BULK_SKU="ALL")+(BULK_SKU=$G162))*(BULK_START&lt;=12)*(BULK_END&gt;=12)))&gt;0,IFERROR(SUMPRODUCT(((BULK_ENABLED="Y")*((BULK_TIER="ALL")+(BULK_TIER=$F162))*((BULK_SKU="ALL")+(BULK_SKU=$G162))*(BULK_START&lt;=12)*(BULK_END&gt;=12))*IFERROR(BULK_VALUE,0))/MAX(1,SUMPRODUCT(((BULK_ENABLED="Y")*((BULK_TIER="ALL")+(BULK_TIER=$F162))*((BULK_SKU="ALL")+(BULK_SKU=$G162))*(BULK_START&lt;=12)*(BULK_END&gt;=12)))),0),ROUND((INDEX(VELOCITY_TABLE,MATCH($F162,TIER_LIST,0),2))*(IF((12-$I162+1)&lt;=0,0,IF((12-$I162+1)=1,RAMP_W1,IF((12-$I162+1)=2,RAMP_W2,IF((12-$I162+1)=3,RAMP_W3,RAMP_W4PLUS)))))*(INDEX(ACTIVE_MULT_TABLE,2,1))*(1+SUMPRODUCT(SIGN(((ACT_DOOR_SCOPE="ALL")+(ACT_DOOR_SCOPE="TIER_"&amp;$F162)+(ACT_DOOR_SCOPE=$B162)))*SIGN(((ACT_SKU_SCOPE="ALL")+(ACT_SKU_SCOPE=$G162)))*(ACT_START&lt;=12)*(ACT_END&gt;=12)*IFERROR(ACT_UPLIFT-1,0)))*(1+SUMPRODUCT(SIGN(((ACT_DOOR_SCOPE="ALL")+(ACT_DOOR_SCOPE="TIER_"&amp;$F162)+(ACT_DOOR_SCOPE=$B162)))*SIGN(((ACT_SKU_SCOPE="ALL")+(ACT_SKU_SCOPE=$G162)))*(12&gt;ACT_END)*(ACT_END&gt;0)*IFERROR(ACT_POSTLIFT,0))),0)))</f>
        <v/>
      </c>
      <c r="V162" s="10">
        <f>IF(OR($H162&lt;&gt;"Y",13&lt;$I162),0,IF(SUMPRODUCT(((BULK_ENABLED="Y")*((BULK_TIER="ALL")+(BULK_TIER=$F162))*((BULK_SKU="ALL")+(BULK_SKU=$G162))*(BULK_START&lt;=13)*(BULK_END&gt;=13)))&gt;0,IFERROR(SUMPRODUCT(((BULK_ENABLED="Y")*((BULK_TIER="ALL")+(BULK_TIER=$F162))*((BULK_SKU="ALL")+(BULK_SKU=$G162))*(BULK_START&lt;=13)*(BULK_END&gt;=13))*IFERROR(BULK_VALUE,0))/MAX(1,SUMPRODUCT(((BULK_ENABLED="Y")*((BULK_TIER="ALL")+(BULK_TIER=$F162))*((BULK_SKU="ALL")+(BULK_SKU=$G162))*(BULK_START&lt;=13)*(BULK_END&gt;=13)))),0),ROUND((INDEX(VELOCITY_TABLE,MATCH($F162,TIER_LIST,0),2))*(IF((13-$I162+1)&lt;=0,0,IF((13-$I162+1)=1,RAMP_W1,IF((13-$I162+1)=2,RAMP_W2,IF((13-$I162+1)=3,RAMP_W3,RAMP_W4PLUS)))))*(INDEX(ACTIVE_MULT_TABLE,2,1))*(1+SUMPRODUCT(SIGN(((ACT_DOOR_SCOPE="ALL")+(ACT_DOOR_SCOPE="TIER_"&amp;$F162)+(ACT_DOOR_SCOPE=$B162)))*SIGN(((ACT_SKU_SCOPE="ALL")+(ACT_SKU_SCOPE=$G162)))*(ACT_START&lt;=13)*(ACT_END&gt;=13)*IFERROR(ACT_UPLIFT-1,0)))*(1+SUMPRODUCT(SIGN(((ACT_DOOR_SCOPE="ALL")+(ACT_DOOR_SCOPE="TIER_"&amp;$F162)+(ACT_DOOR_SCOPE=$B162)))*SIGN(((ACT_SKU_SCOPE="ALL")+(ACT_SKU_SCOPE=$G162)))*(13&gt;ACT_END)*(ACT_END&gt;0)*IFERROR(ACT_POSTLIFT,0))),0)))</f>
        <v/>
      </c>
    </row>
    <row r="163">
      <c r="A163" t="inlineStr">
        <is>
          <t>R0159</t>
        </is>
      </c>
      <c r="B163">
        <f>Doors!$A$57</f>
        <v/>
      </c>
      <c r="C163">
        <f>Doors!$C$57</f>
        <v/>
      </c>
      <c r="D163">
        <f>Doors!$B$57</f>
        <v/>
      </c>
      <c r="E163">
        <f>Doors!$E$57</f>
        <v/>
      </c>
      <c r="F163">
        <f>Doors!$F$57</f>
        <v/>
      </c>
      <c r="G163" t="inlineStr">
        <is>
          <t>Raspberry</t>
        </is>
      </c>
      <c r="H163">
        <f>Doors!$I$57</f>
        <v/>
      </c>
      <c r="I163">
        <f>Doors!$J$57</f>
        <v/>
      </c>
      <c r="J163" s="10">
        <f>IF(OR($H163&lt;&gt;"Y",1&lt;$I163),0,IF(SUMPRODUCT(((BULK_ENABLED="Y")*((BULK_TIER="ALL")+(BULK_TIER=$F163))*((BULK_SKU="ALL")+(BULK_SKU=$G163))*(BULK_START&lt;=1)*(BULK_END&gt;=1)))&gt;0,IFERROR(SUMPRODUCT(((BULK_ENABLED="Y")*((BULK_TIER="ALL")+(BULK_TIER=$F163))*((BULK_SKU="ALL")+(BULK_SKU=$G163))*(BULK_START&lt;=1)*(BULK_END&gt;=1))*IFERROR(BULK_VALUE,0))/MAX(1,SUMPRODUCT(((BULK_ENABLED="Y")*((BULK_TIER="ALL")+(BULK_TIER=$F163))*((BULK_SKU="ALL")+(BULK_SKU=$G163))*(BULK_START&lt;=1)*(BULK_END&gt;=1)))),0),ROUND((INDEX(VELOCITY_TABLE,MATCH($F163,TIER_LIST,0),3))*(IF((1-$I163+1)&lt;=0,0,IF((1-$I163+1)=1,RAMP_W1,IF((1-$I163+1)=2,RAMP_W2,IF((1-$I163+1)=3,RAMP_W3,RAMP_W4PLUS)))))*(INDEX(ACTIVE_MULT_TABLE,3,1))*(1+SUMPRODUCT(SIGN(((ACT_DOOR_SCOPE="ALL")+(ACT_DOOR_SCOPE="TIER_"&amp;$F163)+(ACT_DOOR_SCOPE=$B163)))*SIGN(((ACT_SKU_SCOPE="ALL")+(ACT_SKU_SCOPE=$G163)))*(ACT_START&lt;=1)*(ACT_END&gt;=1)*IFERROR(ACT_UPLIFT-1,0)))*(1+SUMPRODUCT(SIGN(((ACT_DOOR_SCOPE="ALL")+(ACT_DOOR_SCOPE="TIER_"&amp;$F163)+(ACT_DOOR_SCOPE=$B163)))*SIGN(((ACT_SKU_SCOPE="ALL")+(ACT_SKU_SCOPE=$G163)))*(1&gt;ACT_END)*(ACT_END&gt;0)*IFERROR(ACT_POSTLIFT,0))),0)))</f>
        <v/>
      </c>
      <c r="K163" s="10">
        <f>IF(OR($H163&lt;&gt;"Y",2&lt;$I163),0,IF(SUMPRODUCT(((BULK_ENABLED="Y")*((BULK_TIER="ALL")+(BULK_TIER=$F163))*((BULK_SKU="ALL")+(BULK_SKU=$G163))*(BULK_START&lt;=2)*(BULK_END&gt;=2)))&gt;0,IFERROR(SUMPRODUCT(((BULK_ENABLED="Y")*((BULK_TIER="ALL")+(BULK_TIER=$F163))*((BULK_SKU="ALL")+(BULK_SKU=$G163))*(BULK_START&lt;=2)*(BULK_END&gt;=2))*IFERROR(BULK_VALUE,0))/MAX(1,SUMPRODUCT(((BULK_ENABLED="Y")*((BULK_TIER="ALL")+(BULK_TIER=$F163))*((BULK_SKU="ALL")+(BULK_SKU=$G163))*(BULK_START&lt;=2)*(BULK_END&gt;=2)))),0),ROUND((INDEX(VELOCITY_TABLE,MATCH($F163,TIER_LIST,0),3))*(IF((2-$I163+1)&lt;=0,0,IF((2-$I163+1)=1,RAMP_W1,IF((2-$I163+1)=2,RAMP_W2,IF((2-$I163+1)=3,RAMP_W3,RAMP_W4PLUS)))))*(INDEX(ACTIVE_MULT_TABLE,3,1))*(1+SUMPRODUCT(SIGN(((ACT_DOOR_SCOPE="ALL")+(ACT_DOOR_SCOPE="TIER_"&amp;$F163)+(ACT_DOOR_SCOPE=$B163)))*SIGN(((ACT_SKU_SCOPE="ALL")+(ACT_SKU_SCOPE=$G163)))*(ACT_START&lt;=2)*(ACT_END&gt;=2)*IFERROR(ACT_UPLIFT-1,0)))*(1+SUMPRODUCT(SIGN(((ACT_DOOR_SCOPE="ALL")+(ACT_DOOR_SCOPE="TIER_"&amp;$F163)+(ACT_DOOR_SCOPE=$B163)))*SIGN(((ACT_SKU_SCOPE="ALL")+(ACT_SKU_SCOPE=$G163)))*(2&gt;ACT_END)*(ACT_END&gt;0)*IFERROR(ACT_POSTLIFT,0))),0)))</f>
        <v/>
      </c>
      <c r="L163" s="10">
        <f>IF(OR($H163&lt;&gt;"Y",3&lt;$I163),0,IF(SUMPRODUCT(((BULK_ENABLED="Y")*((BULK_TIER="ALL")+(BULK_TIER=$F163))*((BULK_SKU="ALL")+(BULK_SKU=$G163))*(BULK_START&lt;=3)*(BULK_END&gt;=3)))&gt;0,IFERROR(SUMPRODUCT(((BULK_ENABLED="Y")*((BULK_TIER="ALL")+(BULK_TIER=$F163))*((BULK_SKU="ALL")+(BULK_SKU=$G163))*(BULK_START&lt;=3)*(BULK_END&gt;=3))*IFERROR(BULK_VALUE,0))/MAX(1,SUMPRODUCT(((BULK_ENABLED="Y")*((BULK_TIER="ALL")+(BULK_TIER=$F163))*((BULK_SKU="ALL")+(BULK_SKU=$G163))*(BULK_START&lt;=3)*(BULK_END&gt;=3)))),0),ROUND((INDEX(VELOCITY_TABLE,MATCH($F163,TIER_LIST,0),3))*(IF((3-$I163+1)&lt;=0,0,IF((3-$I163+1)=1,RAMP_W1,IF((3-$I163+1)=2,RAMP_W2,IF((3-$I163+1)=3,RAMP_W3,RAMP_W4PLUS)))))*(INDEX(ACTIVE_MULT_TABLE,3,1))*(1+SUMPRODUCT(SIGN(((ACT_DOOR_SCOPE="ALL")+(ACT_DOOR_SCOPE="TIER_"&amp;$F163)+(ACT_DOOR_SCOPE=$B163)))*SIGN(((ACT_SKU_SCOPE="ALL")+(ACT_SKU_SCOPE=$G163)))*(ACT_START&lt;=3)*(ACT_END&gt;=3)*IFERROR(ACT_UPLIFT-1,0)))*(1+SUMPRODUCT(SIGN(((ACT_DOOR_SCOPE="ALL")+(ACT_DOOR_SCOPE="TIER_"&amp;$F163)+(ACT_DOOR_SCOPE=$B163)))*SIGN(((ACT_SKU_SCOPE="ALL")+(ACT_SKU_SCOPE=$G163)))*(3&gt;ACT_END)*(ACT_END&gt;0)*IFERROR(ACT_POSTLIFT,0))),0)))</f>
        <v/>
      </c>
      <c r="M163" s="10">
        <f>IF(OR($H163&lt;&gt;"Y",4&lt;$I163),0,IF(SUMPRODUCT(((BULK_ENABLED="Y")*((BULK_TIER="ALL")+(BULK_TIER=$F163))*((BULK_SKU="ALL")+(BULK_SKU=$G163))*(BULK_START&lt;=4)*(BULK_END&gt;=4)))&gt;0,IFERROR(SUMPRODUCT(((BULK_ENABLED="Y")*((BULK_TIER="ALL")+(BULK_TIER=$F163))*((BULK_SKU="ALL")+(BULK_SKU=$G163))*(BULK_START&lt;=4)*(BULK_END&gt;=4))*IFERROR(BULK_VALUE,0))/MAX(1,SUMPRODUCT(((BULK_ENABLED="Y")*((BULK_TIER="ALL")+(BULK_TIER=$F163))*((BULK_SKU="ALL")+(BULK_SKU=$G163))*(BULK_START&lt;=4)*(BULK_END&gt;=4)))),0),ROUND((INDEX(VELOCITY_TABLE,MATCH($F163,TIER_LIST,0),3))*(IF((4-$I163+1)&lt;=0,0,IF((4-$I163+1)=1,RAMP_W1,IF((4-$I163+1)=2,RAMP_W2,IF((4-$I163+1)=3,RAMP_W3,RAMP_W4PLUS)))))*(INDEX(ACTIVE_MULT_TABLE,3,1))*(1+SUMPRODUCT(SIGN(((ACT_DOOR_SCOPE="ALL")+(ACT_DOOR_SCOPE="TIER_"&amp;$F163)+(ACT_DOOR_SCOPE=$B163)))*SIGN(((ACT_SKU_SCOPE="ALL")+(ACT_SKU_SCOPE=$G163)))*(ACT_START&lt;=4)*(ACT_END&gt;=4)*IFERROR(ACT_UPLIFT-1,0)))*(1+SUMPRODUCT(SIGN(((ACT_DOOR_SCOPE="ALL")+(ACT_DOOR_SCOPE="TIER_"&amp;$F163)+(ACT_DOOR_SCOPE=$B163)))*SIGN(((ACT_SKU_SCOPE="ALL")+(ACT_SKU_SCOPE=$G163)))*(4&gt;ACT_END)*(ACT_END&gt;0)*IFERROR(ACT_POSTLIFT,0))),0)))</f>
        <v/>
      </c>
      <c r="N163" s="10">
        <f>IF(OR($H163&lt;&gt;"Y",5&lt;$I163),0,IF(SUMPRODUCT(((BULK_ENABLED="Y")*((BULK_TIER="ALL")+(BULK_TIER=$F163))*((BULK_SKU="ALL")+(BULK_SKU=$G163))*(BULK_START&lt;=5)*(BULK_END&gt;=5)))&gt;0,IFERROR(SUMPRODUCT(((BULK_ENABLED="Y")*((BULK_TIER="ALL")+(BULK_TIER=$F163))*((BULK_SKU="ALL")+(BULK_SKU=$G163))*(BULK_START&lt;=5)*(BULK_END&gt;=5))*IFERROR(BULK_VALUE,0))/MAX(1,SUMPRODUCT(((BULK_ENABLED="Y")*((BULK_TIER="ALL")+(BULK_TIER=$F163))*((BULK_SKU="ALL")+(BULK_SKU=$G163))*(BULK_START&lt;=5)*(BULK_END&gt;=5)))),0),ROUND((INDEX(VELOCITY_TABLE,MATCH($F163,TIER_LIST,0),3))*(IF((5-$I163+1)&lt;=0,0,IF((5-$I163+1)=1,RAMP_W1,IF((5-$I163+1)=2,RAMP_W2,IF((5-$I163+1)=3,RAMP_W3,RAMP_W4PLUS)))))*(INDEX(ACTIVE_MULT_TABLE,3,1))*(1+SUMPRODUCT(SIGN(((ACT_DOOR_SCOPE="ALL")+(ACT_DOOR_SCOPE="TIER_"&amp;$F163)+(ACT_DOOR_SCOPE=$B163)))*SIGN(((ACT_SKU_SCOPE="ALL")+(ACT_SKU_SCOPE=$G163)))*(ACT_START&lt;=5)*(ACT_END&gt;=5)*IFERROR(ACT_UPLIFT-1,0)))*(1+SUMPRODUCT(SIGN(((ACT_DOOR_SCOPE="ALL")+(ACT_DOOR_SCOPE="TIER_"&amp;$F163)+(ACT_DOOR_SCOPE=$B163)))*SIGN(((ACT_SKU_SCOPE="ALL")+(ACT_SKU_SCOPE=$G163)))*(5&gt;ACT_END)*(ACT_END&gt;0)*IFERROR(ACT_POSTLIFT,0))),0)))</f>
        <v/>
      </c>
      <c r="O163" s="10">
        <f>IF(OR($H163&lt;&gt;"Y",6&lt;$I163),0,IF(SUMPRODUCT(((BULK_ENABLED="Y")*((BULK_TIER="ALL")+(BULK_TIER=$F163))*((BULK_SKU="ALL")+(BULK_SKU=$G163))*(BULK_START&lt;=6)*(BULK_END&gt;=6)))&gt;0,IFERROR(SUMPRODUCT(((BULK_ENABLED="Y")*((BULK_TIER="ALL")+(BULK_TIER=$F163))*((BULK_SKU="ALL")+(BULK_SKU=$G163))*(BULK_START&lt;=6)*(BULK_END&gt;=6))*IFERROR(BULK_VALUE,0))/MAX(1,SUMPRODUCT(((BULK_ENABLED="Y")*((BULK_TIER="ALL")+(BULK_TIER=$F163))*((BULK_SKU="ALL")+(BULK_SKU=$G163))*(BULK_START&lt;=6)*(BULK_END&gt;=6)))),0),ROUND((INDEX(VELOCITY_TABLE,MATCH($F163,TIER_LIST,0),3))*(IF((6-$I163+1)&lt;=0,0,IF((6-$I163+1)=1,RAMP_W1,IF((6-$I163+1)=2,RAMP_W2,IF((6-$I163+1)=3,RAMP_W3,RAMP_W4PLUS)))))*(INDEX(ACTIVE_MULT_TABLE,3,1))*(1+SUMPRODUCT(SIGN(((ACT_DOOR_SCOPE="ALL")+(ACT_DOOR_SCOPE="TIER_"&amp;$F163)+(ACT_DOOR_SCOPE=$B163)))*SIGN(((ACT_SKU_SCOPE="ALL")+(ACT_SKU_SCOPE=$G163)))*(ACT_START&lt;=6)*(ACT_END&gt;=6)*IFERROR(ACT_UPLIFT-1,0)))*(1+SUMPRODUCT(SIGN(((ACT_DOOR_SCOPE="ALL")+(ACT_DOOR_SCOPE="TIER_"&amp;$F163)+(ACT_DOOR_SCOPE=$B163)))*SIGN(((ACT_SKU_SCOPE="ALL")+(ACT_SKU_SCOPE=$G163)))*(6&gt;ACT_END)*(ACT_END&gt;0)*IFERROR(ACT_POSTLIFT,0))),0)))</f>
        <v/>
      </c>
      <c r="P163" s="10">
        <f>IF(OR($H163&lt;&gt;"Y",7&lt;$I163),0,IF(SUMPRODUCT(((BULK_ENABLED="Y")*((BULK_TIER="ALL")+(BULK_TIER=$F163))*((BULK_SKU="ALL")+(BULK_SKU=$G163))*(BULK_START&lt;=7)*(BULK_END&gt;=7)))&gt;0,IFERROR(SUMPRODUCT(((BULK_ENABLED="Y")*((BULK_TIER="ALL")+(BULK_TIER=$F163))*((BULK_SKU="ALL")+(BULK_SKU=$G163))*(BULK_START&lt;=7)*(BULK_END&gt;=7))*IFERROR(BULK_VALUE,0))/MAX(1,SUMPRODUCT(((BULK_ENABLED="Y")*((BULK_TIER="ALL")+(BULK_TIER=$F163))*((BULK_SKU="ALL")+(BULK_SKU=$G163))*(BULK_START&lt;=7)*(BULK_END&gt;=7)))),0),ROUND((INDEX(VELOCITY_TABLE,MATCH($F163,TIER_LIST,0),3))*(IF((7-$I163+1)&lt;=0,0,IF((7-$I163+1)=1,RAMP_W1,IF((7-$I163+1)=2,RAMP_W2,IF((7-$I163+1)=3,RAMP_W3,RAMP_W4PLUS)))))*(INDEX(ACTIVE_MULT_TABLE,3,1))*(1+SUMPRODUCT(SIGN(((ACT_DOOR_SCOPE="ALL")+(ACT_DOOR_SCOPE="TIER_"&amp;$F163)+(ACT_DOOR_SCOPE=$B163)))*SIGN(((ACT_SKU_SCOPE="ALL")+(ACT_SKU_SCOPE=$G163)))*(ACT_START&lt;=7)*(ACT_END&gt;=7)*IFERROR(ACT_UPLIFT-1,0)))*(1+SUMPRODUCT(SIGN(((ACT_DOOR_SCOPE="ALL")+(ACT_DOOR_SCOPE="TIER_"&amp;$F163)+(ACT_DOOR_SCOPE=$B163)))*SIGN(((ACT_SKU_SCOPE="ALL")+(ACT_SKU_SCOPE=$G163)))*(7&gt;ACT_END)*(ACT_END&gt;0)*IFERROR(ACT_POSTLIFT,0))),0)))</f>
        <v/>
      </c>
      <c r="Q163" s="10">
        <f>IF(OR($H163&lt;&gt;"Y",8&lt;$I163),0,IF(SUMPRODUCT(((BULK_ENABLED="Y")*((BULK_TIER="ALL")+(BULK_TIER=$F163))*((BULK_SKU="ALL")+(BULK_SKU=$G163))*(BULK_START&lt;=8)*(BULK_END&gt;=8)))&gt;0,IFERROR(SUMPRODUCT(((BULK_ENABLED="Y")*((BULK_TIER="ALL")+(BULK_TIER=$F163))*((BULK_SKU="ALL")+(BULK_SKU=$G163))*(BULK_START&lt;=8)*(BULK_END&gt;=8))*IFERROR(BULK_VALUE,0))/MAX(1,SUMPRODUCT(((BULK_ENABLED="Y")*((BULK_TIER="ALL")+(BULK_TIER=$F163))*((BULK_SKU="ALL")+(BULK_SKU=$G163))*(BULK_START&lt;=8)*(BULK_END&gt;=8)))),0),ROUND((INDEX(VELOCITY_TABLE,MATCH($F163,TIER_LIST,0),3))*(IF((8-$I163+1)&lt;=0,0,IF((8-$I163+1)=1,RAMP_W1,IF((8-$I163+1)=2,RAMP_W2,IF((8-$I163+1)=3,RAMP_W3,RAMP_W4PLUS)))))*(INDEX(ACTIVE_MULT_TABLE,3,1))*(1+SUMPRODUCT(SIGN(((ACT_DOOR_SCOPE="ALL")+(ACT_DOOR_SCOPE="TIER_"&amp;$F163)+(ACT_DOOR_SCOPE=$B163)))*SIGN(((ACT_SKU_SCOPE="ALL")+(ACT_SKU_SCOPE=$G163)))*(ACT_START&lt;=8)*(ACT_END&gt;=8)*IFERROR(ACT_UPLIFT-1,0)))*(1+SUMPRODUCT(SIGN(((ACT_DOOR_SCOPE="ALL")+(ACT_DOOR_SCOPE="TIER_"&amp;$F163)+(ACT_DOOR_SCOPE=$B163)))*SIGN(((ACT_SKU_SCOPE="ALL")+(ACT_SKU_SCOPE=$G163)))*(8&gt;ACT_END)*(ACT_END&gt;0)*IFERROR(ACT_POSTLIFT,0))),0)))</f>
        <v/>
      </c>
      <c r="R163" s="10">
        <f>IF(OR($H163&lt;&gt;"Y",9&lt;$I163),0,IF(SUMPRODUCT(((BULK_ENABLED="Y")*((BULK_TIER="ALL")+(BULK_TIER=$F163))*((BULK_SKU="ALL")+(BULK_SKU=$G163))*(BULK_START&lt;=9)*(BULK_END&gt;=9)))&gt;0,IFERROR(SUMPRODUCT(((BULK_ENABLED="Y")*((BULK_TIER="ALL")+(BULK_TIER=$F163))*((BULK_SKU="ALL")+(BULK_SKU=$G163))*(BULK_START&lt;=9)*(BULK_END&gt;=9))*IFERROR(BULK_VALUE,0))/MAX(1,SUMPRODUCT(((BULK_ENABLED="Y")*((BULK_TIER="ALL")+(BULK_TIER=$F163))*((BULK_SKU="ALL")+(BULK_SKU=$G163))*(BULK_START&lt;=9)*(BULK_END&gt;=9)))),0),ROUND((INDEX(VELOCITY_TABLE,MATCH($F163,TIER_LIST,0),3))*(IF((9-$I163+1)&lt;=0,0,IF((9-$I163+1)=1,RAMP_W1,IF((9-$I163+1)=2,RAMP_W2,IF((9-$I163+1)=3,RAMP_W3,RAMP_W4PLUS)))))*(INDEX(ACTIVE_MULT_TABLE,3,1))*(1+SUMPRODUCT(SIGN(((ACT_DOOR_SCOPE="ALL")+(ACT_DOOR_SCOPE="TIER_"&amp;$F163)+(ACT_DOOR_SCOPE=$B163)))*SIGN(((ACT_SKU_SCOPE="ALL")+(ACT_SKU_SCOPE=$G163)))*(ACT_START&lt;=9)*(ACT_END&gt;=9)*IFERROR(ACT_UPLIFT-1,0)))*(1+SUMPRODUCT(SIGN(((ACT_DOOR_SCOPE="ALL")+(ACT_DOOR_SCOPE="TIER_"&amp;$F163)+(ACT_DOOR_SCOPE=$B163)))*SIGN(((ACT_SKU_SCOPE="ALL")+(ACT_SKU_SCOPE=$G163)))*(9&gt;ACT_END)*(ACT_END&gt;0)*IFERROR(ACT_POSTLIFT,0))),0)))</f>
        <v/>
      </c>
      <c r="S163" s="10">
        <f>IF(OR($H163&lt;&gt;"Y",10&lt;$I163),0,IF(SUMPRODUCT(((BULK_ENABLED="Y")*((BULK_TIER="ALL")+(BULK_TIER=$F163))*((BULK_SKU="ALL")+(BULK_SKU=$G163))*(BULK_START&lt;=10)*(BULK_END&gt;=10)))&gt;0,IFERROR(SUMPRODUCT(((BULK_ENABLED="Y")*((BULK_TIER="ALL")+(BULK_TIER=$F163))*((BULK_SKU="ALL")+(BULK_SKU=$G163))*(BULK_START&lt;=10)*(BULK_END&gt;=10))*IFERROR(BULK_VALUE,0))/MAX(1,SUMPRODUCT(((BULK_ENABLED="Y")*((BULK_TIER="ALL")+(BULK_TIER=$F163))*((BULK_SKU="ALL")+(BULK_SKU=$G163))*(BULK_START&lt;=10)*(BULK_END&gt;=10)))),0),ROUND((INDEX(VELOCITY_TABLE,MATCH($F163,TIER_LIST,0),3))*(IF((10-$I163+1)&lt;=0,0,IF((10-$I163+1)=1,RAMP_W1,IF((10-$I163+1)=2,RAMP_W2,IF((10-$I163+1)=3,RAMP_W3,RAMP_W4PLUS)))))*(INDEX(ACTIVE_MULT_TABLE,3,1))*(1+SUMPRODUCT(SIGN(((ACT_DOOR_SCOPE="ALL")+(ACT_DOOR_SCOPE="TIER_"&amp;$F163)+(ACT_DOOR_SCOPE=$B163)))*SIGN(((ACT_SKU_SCOPE="ALL")+(ACT_SKU_SCOPE=$G163)))*(ACT_START&lt;=10)*(ACT_END&gt;=10)*IFERROR(ACT_UPLIFT-1,0)))*(1+SUMPRODUCT(SIGN(((ACT_DOOR_SCOPE="ALL")+(ACT_DOOR_SCOPE="TIER_"&amp;$F163)+(ACT_DOOR_SCOPE=$B163)))*SIGN(((ACT_SKU_SCOPE="ALL")+(ACT_SKU_SCOPE=$G163)))*(10&gt;ACT_END)*(ACT_END&gt;0)*IFERROR(ACT_POSTLIFT,0))),0)))</f>
        <v/>
      </c>
      <c r="T163" s="10">
        <f>IF(OR($H163&lt;&gt;"Y",11&lt;$I163),0,IF(SUMPRODUCT(((BULK_ENABLED="Y")*((BULK_TIER="ALL")+(BULK_TIER=$F163))*((BULK_SKU="ALL")+(BULK_SKU=$G163))*(BULK_START&lt;=11)*(BULK_END&gt;=11)))&gt;0,IFERROR(SUMPRODUCT(((BULK_ENABLED="Y")*((BULK_TIER="ALL")+(BULK_TIER=$F163))*((BULK_SKU="ALL")+(BULK_SKU=$G163))*(BULK_START&lt;=11)*(BULK_END&gt;=11))*IFERROR(BULK_VALUE,0))/MAX(1,SUMPRODUCT(((BULK_ENABLED="Y")*((BULK_TIER="ALL")+(BULK_TIER=$F163))*((BULK_SKU="ALL")+(BULK_SKU=$G163))*(BULK_START&lt;=11)*(BULK_END&gt;=11)))),0),ROUND((INDEX(VELOCITY_TABLE,MATCH($F163,TIER_LIST,0),3))*(IF((11-$I163+1)&lt;=0,0,IF((11-$I163+1)=1,RAMP_W1,IF((11-$I163+1)=2,RAMP_W2,IF((11-$I163+1)=3,RAMP_W3,RAMP_W4PLUS)))))*(INDEX(ACTIVE_MULT_TABLE,3,1))*(1+SUMPRODUCT(SIGN(((ACT_DOOR_SCOPE="ALL")+(ACT_DOOR_SCOPE="TIER_"&amp;$F163)+(ACT_DOOR_SCOPE=$B163)))*SIGN(((ACT_SKU_SCOPE="ALL")+(ACT_SKU_SCOPE=$G163)))*(ACT_START&lt;=11)*(ACT_END&gt;=11)*IFERROR(ACT_UPLIFT-1,0)))*(1+SUMPRODUCT(SIGN(((ACT_DOOR_SCOPE="ALL")+(ACT_DOOR_SCOPE="TIER_"&amp;$F163)+(ACT_DOOR_SCOPE=$B163)))*SIGN(((ACT_SKU_SCOPE="ALL")+(ACT_SKU_SCOPE=$G163)))*(11&gt;ACT_END)*(ACT_END&gt;0)*IFERROR(ACT_POSTLIFT,0))),0)))</f>
        <v/>
      </c>
      <c r="U163" s="10">
        <f>IF(OR($H163&lt;&gt;"Y",12&lt;$I163),0,IF(SUMPRODUCT(((BULK_ENABLED="Y")*((BULK_TIER="ALL")+(BULK_TIER=$F163))*((BULK_SKU="ALL")+(BULK_SKU=$G163))*(BULK_START&lt;=12)*(BULK_END&gt;=12)))&gt;0,IFERROR(SUMPRODUCT(((BULK_ENABLED="Y")*((BULK_TIER="ALL")+(BULK_TIER=$F163))*((BULK_SKU="ALL")+(BULK_SKU=$G163))*(BULK_START&lt;=12)*(BULK_END&gt;=12))*IFERROR(BULK_VALUE,0))/MAX(1,SUMPRODUCT(((BULK_ENABLED="Y")*((BULK_TIER="ALL")+(BULK_TIER=$F163))*((BULK_SKU="ALL")+(BULK_SKU=$G163))*(BULK_START&lt;=12)*(BULK_END&gt;=12)))),0),ROUND((INDEX(VELOCITY_TABLE,MATCH($F163,TIER_LIST,0),3))*(IF((12-$I163+1)&lt;=0,0,IF((12-$I163+1)=1,RAMP_W1,IF((12-$I163+1)=2,RAMP_W2,IF((12-$I163+1)=3,RAMP_W3,RAMP_W4PLUS)))))*(INDEX(ACTIVE_MULT_TABLE,3,1))*(1+SUMPRODUCT(SIGN(((ACT_DOOR_SCOPE="ALL")+(ACT_DOOR_SCOPE="TIER_"&amp;$F163)+(ACT_DOOR_SCOPE=$B163)))*SIGN(((ACT_SKU_SCOPE="ALL")+(ACT_SKU_SCOPE=$G163)))*(ACT_START&lt;=12)*(ACT_END&gt;=12)*IFERROR(ACT_UPLIFT-1,0)))*(1+SUMPRODUCT(SIGN(((ACT_DOOR_SCOPE="ALL")+(ACT_DOOR_SCOPE="TIER_"&amp;$F163)+(ACT_DOOR_SCOPE=$B163)))*SIGN(((ACT_SKU_SCOPE="ALL")+(ACT_SKU_SCOPE=$G163)))*(12&gt;ACT_END)*(ACT_END&gt;0)*IFERROR(ACT_POSTLIFT,0))),0)))</f>
        <v/>
      </c>
      <c r="V163" s="10">
        <f>IF(OR($H163&lt;&gt;"Y",13&lt;$I163),0,IF(SUMPRODUCT(((BULK_ENABLED="Y")*((BULK_TIER="ALL")+(BULK_TIER=$F163))*((BULK_SKU="ALL")+(BULK_SKU=$G163))*(BULK_START&lt;=13)*(BULK_END&gt;=13)))&gt;0,IFERROR(SUMPRODUCT(((BULK_ENABLED="Y")*((BULK_TIER="ALL")+(BULK_TIER=$F163))*((BULK_SKU="ALL")+(BULK_SKU=$G163))*(BULK_START&lt;=13)*(BULK_END&gt;=13))*IFERROR(BULK_VALUE,0))/MAX(1,SUMPRODUCT(((BULK_ENABLED="Y")*((BULK_TIER="ALL")+(BULK_TIER=$F163))*((BULK_SKU="ALL")+(BULK_SKU=$G163))*(BULK_START&lt;=13)*(BULK_END&gt;=13)))),0),ROUND((INDEX(VELOCITY_TABLE,MATCH($F163,TIER_LIST,0),3))*(IF((13-$I163+1)&lt;=0,0,IF((13-$I163+1)=1,RAMP_W1,IF((13-$I163+1)=2,RAMP_W2,IF((13-$I163+1)=3,RAMP_W3,RAMP_W4PLUS)))))*(INDEX(ACTIVE_MULT_TABLE,3,1))*(1+SUMPRODUCT(SIGN(((ACT_DOOR_SCOPE="ALL")+(ACT_DOOR_SCOPE="TIER_"&amp;$F163)+(ACT_DOOR_SCOPE=$B163)))*SIGN(((ACT_SKU_SCOPE="ALL")+(ACT_SKU_SCOPE=$G163)))*(ACT_START&lt;=13)*(ACT_END&gt;=13)*IFERROR(ACT_UPLIFT-1,0)))*(1+SUMPRODUCT(SIGN(((ACT_DOOR_SCOPE="ALL")+(ACT_DOOR_SCOPE="TIER_"&amp;$F163)+(ACT_DOOR_SCOPE=$B163)))*SIGN(((ACT_SKU_SCOPE="ALL")+(ACT_SKU_SCOPE=$G163)))*(13&gt;ACT_END)*(ACT_END&gt;0)*IFERROR(ACT_POSTLIFT,0))),0)))</f>
        <v/>
      </c>
    </row>
    <row r="164">
      <c r="A164" t="inlineStr">
        <is>
          <t>R0160</t>
        </is>
      </c>
      <c r="B164">
        <f>Doors!$A$58</f>
        <v/>
      </c>
      <c r="C164">
        <f>Doors!$C$58</f>
        <v/>
      </c>
      <c r="D164">
        <f>Doors!$B$58</f>
        <v/>
      </c>
      <c r="E164">
        <f>Doors!$E$58</f>
        <v/>
      </c>
      <c r="F164">
        <f>Doors!$F$58</f>
        <v/>
      </c>
      <c r="G164" t="inlineStr">
        <is>
          <t>Lime Lemon</t>
        </is>
      </c>
      <c r="H164">
        <f>Doors!$G$58</f>
        <v/>
      </c>
      <c r="I164">
        <f>Doors!$J$58</f>
        <v/>
      </c>
      <c r="J164" s="10">
        <f>IF(OR($H164&lt;&gt;"Y",1&lt;$I164),0,IF(SUMPRODUCT(((BULK_ENABLED="Y")*((BULK_TIER="ALL")+(BULK_TIER=$F164))*((BULK_SKU="ALL")+(BULK_SKU=$G164))*(BULK_START&lt;=1)*(BULK_END&gt;=1)))&gt;0,IFERROR(SUMPRODUCT(((BULK_ENABLED="Y")*((BULK_TIER="ALL")+(BULK_TIER=$F164))*((BULK_SKU="ALL")+(BULK_SKU=$G164))*(BULK_START&lt;=1)*(BULK_END&gt;=1))*IFERROR(BULK_VALUE,0))/MAX(1,SUMPRODUCT(((BULK_ENABLED="Y")*((BULK_TIER="ALL")+(BULK_TIER=$F164))*((BULK_SKU="ALL")+(BULK_SKU=$G164))*(BULK_START&lt;=1)*(BULK_END&gt;=1)))),0),ROUND((INDEX(VELOCITY_TABLE,MATCH($F164,TIER_LIST,0),1))*(IF((1-$I164+1)&lt;=0,0,IF((1-$I164+1)=1,RAMP_W1,IF((1-$I164+1)=2,RAMP_W2,IF((1-$I164+1)=3,RAMP_W3,RAMP_W4PLUS)))))*(INDEX(ACTIVE_MULT_TABLE,1,1))*(1+SUMPRODUCT(SIGN(((ACT_DOOR_SCOPE="ALL")+(ACT_DOOR_SCOPE="TIER_"&amp;$F164)+(ACT_DOOR_SCOPE=$B164)))*SIGN(((ACT_SKU_SCOPE="ALL")+(ACT_SKU_SCOPE=$G164)))*(ACT_START&lt;=1)*(ACT_END&gt;=1)*IFERROR(ACT_UPLIFT-1,0)))*(1+SUMPRODUCT(SIGN(((ACT_DOOR_SCOPE="ALL")+(ACT_DOOR_SCOPE="TIER_"&amp;$F164)+(ACT_DOOR_SCOPE=$B164)))*SIGN(((ACT_SKU_SCOPE="ALL")+(ACT_SKU_SCOPE=$G164)))*(1&gt;ACT_END)*(ACT_END&gt;0)*IFERROR(ACT_POSTLIFT,0))),0)))</f>
        <v/>
      </c>
      <c r="K164" s="10">
        <f>IF(OR($H164&lt;&gt;"Y",2&lt;$I164),0,IF(SUMPRODUCT(((BULK_ENABLED="Y")*((BULK_TIER="ALL")+(BULK_TIER=$F164))*((BULK_SKU="ALL")+(BULK_SKU=$G164))*(BULK_START&lt;=2)*(BULK_END&gt;=2)))&gt;0,IFERROR(SUMPRODUCT(((BULK_ENABLED="Y")*((BULK_TIER="ALL")+(BULK_TIER=$F164))*((BULK_SKU="ALL")+(BULK_SKU=$G164))*(BULK_START&lt;=2)*(BULK_END&gt;=2))*IFERROR(BULK_VALUE,0))/MAX(1,SUMPRODUCT(((BULK_ENABLED="Y")*((BULK_TIER="ALL")+(BULK_TIER=$F164))*((BULK_SKU="ALL")+(BULK_SKU=$G164))*(BULK_START&lt;=2)*(BULK_END&gt;=2)))),0),ROUND((INDEX(VELOCITY_TABLE,MATCH($F164,TIER_LIST,0),1))*(IF((2-$I164+1)&lt;=0,0,IF((2-$I164+1)=1,RAMP_W1,IF((2-$I164+1)=2,RAMP_W2,IF((2-$I164+1)=3,RAMP_W3,RAMP_W4PLUS)))))*(INDEX(ACTIVE_MULT_TABLE,1,1))*(1+SUMPRODUCT(SIGN(((ACT_DOOR_SCOPE="ALL")+(ACT_DOOR_SCOPE="TIER_"&amp;$F164)+(ACT_DOOR_SCOPE=$B164)))*SIGN(((ACT_SKU_SCOPE="ALL")+(ACT_SKU_SCOPE=$G164)))*(ACT_START&lt;=2)*(ACT_END&gt;=2)*IFERROR(ACT_UPLIFT-1,0)))*(1+SUMPRODUCT(SIGN(((ACT_DOOR_SCOPE="ALL")+(ACT_DOOR_SCOPE="TIER_"&amp;$F164)+(ACT_DOOR_SCOPE=$B164)))*SIGN(((ACT_SKU_SCOPE="ALL")+(ACT_SKU_SCOPE=$G164)))*(2&gt;ACT_END)*(ACT_END&gt;0)*IFERROR(ACT_POSTLIFT,0))),0)))</f>
        <v/>
      </c>
      <c r="L164" s="10">
        <f>IF(OR($H164&lt;&gt;"Y",3&lt;$I164),0,IF(SUMPRODUCT(((BULK_ENABLED="Y")*((BULK_TIER="ALL")+(BULK_TIER=$F164))*((BULK_SKU="ALL")+(BULK_SKU=$G164))*(BULK_START&lt;=3)*(BULK_END&gt;=3)))&gt;0,IFERROR(SUMPRODUCT(((BULK_ENABLED="Y")*((BULK_TIER="ALL")+(BULK_TIER=$F164))*((BULK_SKU="ALL")+(BULK_SKU=$G164))*(BULK_START&lt;=3)*(BULK_END&gt;=3))*IFERROR(BULK_VALUE,0))/MAX(1,SUMPRODUCT(((BULK_ENABLED="Y")*((BULK_TIER="ALL")+(BULK_TIER=$F164))*((BULK_SKU="ALL")+(BULK_SKU=$G164))*(BULK_START&lt;=3)*(BULK_END&gt;=3)))),0),ROUND((INDEX(VELOCITY_TABLE,MATCH($F164,TIER_LIST,0),1))*(IF((3-$I164+1)&lt;=0,0,IF((3-$I164+1)=1,RAMP_W1,IF((3-$I164+1)=2,RAMP_W2,IF((3-$I164+1)=3,RAMP_W3,RAMP_W4PLUS)))))*(INDEX(ACTIVE_MULT_TABLE,1,1))*(1+SUMPRODUCT(SIGN(((ACT_DOOR_SCOPE="ALL")+(ACT_DOOR_SCOPE="TIER_"&amp;$F164)+(ACT_DOOR_SCOPE=$B164)))*SIGN(((ACT_SKU_SCOPE="ALL")+(ACT_SKU_SCOPE=$G164)))*(ACT_START&lt;=3)*(ACT_END&gt;=3)*IFERROR(ACT_UPLIFT-1,0)))*(1+SUMPRODUCT(SIGN(((ACT_DOOR_SCOPE="ALL")+(ACT_DOOR_SCOPE="TIER_"&amp;$F164)+(ACT_DOOR_SCOPE=$B164)))*SIGN(((ACT_SKU_SCOPE="ALL")+(ACT_SKU_SCOPE=$G164)))*(3&gt;ACT_END)*(ACT_END&gt;0)*IFERROR(ACT_POSTLIFT,0))),0)))</f>
        <v/>
      </c>
      <c r="M164" s="10">
        <f>IF(OR($H164&lt;&gt;"Y",4&lt;$I164),0,IF(SUMPRODUCT(((BULK_ENABLED="Y")*((BULK_TIER="ALL")+(BULK_TIER=$F164))*((BULK_SKU="ALL")+(BULK_SKU=$G164))*(BULK_START&lt;=4)*(BULK_END&gt;=4)))&gt;0,IFERROR(SUMPRODUCT(((BULK_ENABLED="Y")*((BULK_TIER="ALL")+(BULK_TIER=$F164))*((BULK_SKU="ALL")+(BULK_SKU=$G164))*(BULK_START&lt;=4)*(BULK_END&gt;=4))*IFERROR(BULK_VALUE,0))/MAX(1,SUMPRODUCT(((BULK_ENABLED="Y")*((BULK_TIER="ALL")+(BULK_TIER=$F164))*((BULK_SKU="ALL")+(BULK_SKU=$G164))*(BULK_START&lt;=4)*(BULK_END&gt;=4)))),0),ROUND((INDEX(VELOCITY_TABLE,MATCH($F164,TIER_LIST,0),1))*(IF((4-$I164+1)&lt;=0,0,IF((4-$I164+1)=1,RAMP_W1,IF((4-$I164+1)=2,RAMP_W2,IF((4-$I164+1)=3,RAMP_W3,RAMP_W4PLUS)))))*(INDEX(ACTIVE_MULT_TABLE,1,1))*(1+SUMPRODUCT(SIGN(((ACT_DOOR_SCOPE="ALL")+(ACT_DOOR_SCOPE="TIER_"&amp;$F164)+(ACT_DOOR_SCOPE=$B164)))*SIGN(((ACT_SKU_SCOPE="ALL")+(ACT_SKU_SCOPE=$G164)))*(ACT_START&lt;=4)*(ACT_END&gt;=4)*IFERROR(ACT_UPLIFT-1,0)))*(1+SUMPRODUCT(SIGN(((ACT_DOOR_SCOPE="ALL")+(ACT_DOOR_SCOPE="TIER_"&amp;$F164)+(ACT_DOOR_SCOPE=$B164)))*SIGN(((ACT_SKU_SCOPE="ALL")+(ACT_SKU_SCOPE=$G164)))*(4&gt;ACT_END)*(ACT_END&gt;0)*IFERROR(ACT_POSTLIFT,0))),0)))</f>
        <v/>
      </c>
      <c r="N164" s="10">
        <f>IF(OR($H164&lt;&gt;"Y",5&lt;$I164),0,IF(SUMPRODUCT(((BULK_ENABLED="Y")*((BULK_TIER="ALL")+(BULK_TIER=$F164))*((BULK_SKU="ALL")+(BULK_SKU=$G164))*(BULK_START&lt;=5)*(BULK_END&gt;=5)))&gt;0,IFERROR(SUMPRODUCT(((BULK_ENABLED="Y")*((BULK_TIER="ALL")+(BULK_TIER=$F164))*((BULK_SKU="ALL")+(BULK_SKU=$G164))*(BULK_START&lt;=5)*(BULK_END&gt;=5))*IFERROR(BULK_VALUE,0))/MAX(1,SUMPRODUCT(((BULK_ENABLED="Y")*((BULK_TIER="ALL")+(BULK_TIER=$F164))*((BULK_SKU="ALL")+(BULK_SKU=$G164))*(BULK_START&lt;=5)*(BULK_END&gt;=5)))),0),ROUND((INDEX(VELOCITY_TABLE,MATCH($F164,TIER_LIST,0),1))*(IF((5-$I164+1)&lt;=0,0,IF((5-$I164+1)=1,RAMP_W1,IF((5-$I164+1)=2,RAMP_W2,IF((5-$I164+1)=3,RAMP_W3,RAMP_W4PLUS)))))*(INDEX(ACTIVE_MULT_TABLE,1,1))*(1+SUMPRODUCT(SIGN(((ACT_DOOR_SCOPE="ALL")+(ACT_DOOR_SCOPE="TIER_"&amp;$F164)+(ACT_DOOR_SCOPE=$B164)))*SIGN(((ACT_SKU_SCOPE="ALL")+(ACT_SKU_SCOPE=$G164)))*(ACT_START&lt;=5)*(ACT_END&gt;=5)*IFERROR(ACT_UPLIFT-1,0)))*(1+SUMPRODUCT(SIGN(((ACT_DOOR_SCOPE="ALL")+(ACT_DOOR_SCOPE="TIER_"&amp;$F164)+(ACT_DOOR_SCOPE=$B164)))*SIGN(((ACT_SKU_SCOPE="ALL")+(ACT_SKU_SCOPE=$G164)))*(5&gt;ACT_END)*(ACT_END&gt;0)*IFERROR(ACT_POSTLIFT,0))),0)))</f>
        <v/>
      </c>
      <c r="O164" s="10">
        <f>IF(OR($H164&lt;&gt;"Y",6&lt;$I164),0,IF(SUMPRODUCT(((BULK_ENABLED="Y")*((BULK_TIER="ALL")+(BULK_TIER=$F164))*((BULK_SKU="ALL")+(BULK_SKU=$G164))*(BULK_START&lt;=6)*(BULK_END&gt;=6)))&gt;0,IFERROR(SUMPRODUCT(((BULK_ENABLED="Y")*((BULK_TIER="ALL")+(BULK_TIER=$F164))*((BULK_SKU="ALL")+(BULK_SKU=$G164))*(BULK_START&lt;=6)*(BULK_END&gt;=6))*IFERROR(BULK_VALUE,0))/MAX(1,SUMPRODUCT(((BULK_ENABLED="Y")*((BULK_TIER="ALL")+(BULK_TIER=$F164))*((BULK_SKU="ALL")+(BULK_SKU=$G164))*(BULK_START&lt;=6)*(BULK_END&gt;=6)))),0),ROUND((INDEX(VELOCITY_TABLE,MATCH($F164,TIER_LIST,0),1))*(IF((6-$I164+1)&lt;=0,0,IF((6-$I164+1)=1,RAMP_W1,IF((6-$I164+1)=2,RAMP_W2,IF((6-$I164+1)=3,RAMP_W3,RAMP_W4PLUS)))))*(INDEX(ACTIVE_MULT_TABLE,1,1))*(1+SUMPRODUCT(SIGN(((ACT_DOOR_SCOPE="ALL")+(ACT_DOOR_SCOPE="TIER_"&amp;$F164)+(ACT_DOOR_SCOPE=$B164)))*SIGN(((ACT_SKU_SCOPE="ALL")+(ACT_SKU_SCOPE=$G164)))*(ACT_START&lt;=6)*(ACT_END&gt;=6)*IFERROR(ACT_UPLIFT-1,0)))*(1+SUMPRODUCT(SIGN(((ACT_DOOR_SCOPE="ALL")+(ACT_DOOR_SCOPE="TIER_"&amp;$F164)+(ACT_DOOR_SCOPE=$B164)))*SIGN(((ACT_SKU_SCOPE="ALL")+(ACT_SKU_SCOPE=$G164)))*(6&gt;ACT_END)*(ACT_END&gt;0)*IFERROR(ACT_POSTLIFT,0))),0)))</f>
        <v/>
      </c>
      <c r="P164" s="10">
        <f>IF(OR($H164&lt;&gt;"Y",7&lt;$I164),0,IF(SUMPRODUCT(((BULK_ENABLED="Y")*((BULK_TIER="ALL")+(BULK_TIER=$F164))*((BULK_SKU="ALL")+(BULK_SKU=$G164))*(BULK_START&lt;=7)*(BULK_END&gt;=7)))&gt;0,IFERROR(SUMPRODUCT(((BULK_ENABLED="Y")*((BULK_TIER="ALL")+(BULK_TIER=$F164))*((BULK_SKU="ALL")+(BULK_SKU=$G164))*(BULK_START&lt;=7)*(BULK_END&gt;=7))*IFERROR(BULK_VALUE,0))/MAX(1,SUMPRODUCT(((BULK_ENABLED="Y")*((BULK_TIER="ALL")+(BULK_TIER=$F164))*((BULK_SKU="ALL")+(BULK_SKU=$G164))*(BULK_START&lt;=7)*(BULK_END&gt;=7)))),0),ROUND((INDEX(VELOCITY_TABLE,MATCH($F164,TIER_LIST,0),1))*(IF((7-$I164+1)&lt;=0,0,IF((7-$I164+1)=1,RAMP_W1,IF((7-$I164+1)=2,RAMP_W2,IF((7-$I164+1)=3,RAMP_W3,RAMP_W4PLUS)))))*(INDEX(ACTIVE_MULT_TABLE,1,1))*(1+SUMPRODUCT(SIGN(((ACT_DOOR_SCOPE="ALL")+(ACT_DOOR_SCOPE="TIER_"&amp;$F164)+(ACT_DOOR_SCOPE=$B164)))*SIGN(((ACT_SKU_SCOPE="ALL")+(ACT_SKU_SCOPE=$G164)))*(ACT_START&lt;=7)*(ACT_END&gt;=7)*IFERROR(ACT_UPLIFT-1,0)))*(1+SUMPRODUCT(SIGN(((ACT_DOOR_SCOPE="ALL")+(ACT_DOOR_SCOPE="TIER_"&amp;$F164)+(ACT_DOOR_SCOPE=$B164)))*SIGN(((ACT_SKU_SCOPE="ALL")+(ACT_SKU_SCOPE=$G164)))*(7&gt;ACT_END)*(ACT_END&gt;0)*IFERROR(ACT_POSTLIFT,0))),0)))</f>
        <v/>
      </c>
      <c r="Q164" s="10">
        <f>IF(OR($H164&lt;&gt;"Y",8&lt;$I164),0,IF(SUMPRODUCT(((BULK_ENABLED="Y")*((BULK_TIER="ALL")+(BULK_TIER=$F164))*((BULK_SKU="ALL")+(BULK_SKU=$G164))*(BULK_START&lt;=8)*(BULK_END&gt;=8)))&gt;0,IFERROR(SUMPRODUCT(((BULK_ENABLED="Y")*((BULK_TIER="ALL")+(BULK_TIER=$F164))*((BULK_SKU="ALL")+(BULK_SKU=$G164))*(BULK_START&lt;=8)*(BULK_END&gt;=8))*IFERROR(BULK_VALUE,0))/MAX(1,SUMPRODUCT(((BULK_ENABLED="Y")*((BULK_TIER="ALL")+(BULK_TIER=$F164))*((BULK_SKU="ALL")+(BULK_SKU=$G164))*(BULK_START&lt;=8)*(BULK_END&gt;=8)))),0),ROUND((INDEX(VELOCITY_TABLE,MATCH($F164,TIER_LIST,0),1))*(IF((8-$I164+1)&lt;=0,0,IF((8-$I164+1)=1,RAMP_W1,IF((8-$I164+1)=2,RAMP_W2,IF((8-$I164+1)=3,RAMP_W3,RAMP_W4PLUS)))))*(INDEX(ACTIVE_MULT_TABLE,1,1))*(1+SUMPRODUCT(SIGN(((ACT_DOOR_SCOPE="ALL")+(ACT_DOOR_SCOPE="TIER_"&amp;$F164)+(ACT_DOOR_SCOPE=$B164)))*SIGN(((ACT_SKU_SCOPE="ALL")+(ACT_SKU_SCOPE=$G164)))*(ACT_START&lt;=8)*(ACT_END&gt;=8)*IFERROR(ACT_UPLIFT-1,0)))*(1+SUMPRODUCT(SIGN(((ACT_DOOR_SCOPE="ALL")+(ACT_DOOR_SCOPE="TIER_"&amp;$F164)+(ACT_DOOR_SCOPE=$B164)))*SIGN(((ACT_SKU_SCOPE="ALL")+(ACT_SKU_SCOPE=$G164)))*(8&gt;ACT_END)*(ACT_END&gt;0)*IFERROR(ACT_POSTLIFT,0))),0)))</f>
        <v/>
      </c>
      <c r="R164" s="10">
        <f>IF(OR($H164&lt;&gt;"Y",9&lt;$I164),0,IF(SUMPRODUCT(((BULK_ENABLED="Y")*((BULK_TIER="ALL")+(BULK_TIER=$F164))*((BULK_SKU="ALL")+(BULK_SKU=$G164))*(BULK_START&lt;=9)*(BULK_END&gt;=9)))&gt;0,IFERROR(SUMPRODUCT(((BULK_ENABLED="Y")*((BULK_TIER="ALL")+(BULK_TIER=$F164))*((BULK_SKU="ALL")+(BULK_SKU=$G164))*(BULK_START&lt;=9)*(BULK_END&gt;=9))*IFERROR(BULK_VALUE,0))/MAX(1,SUMPRODUCT(((BULK_ENABLED="Y")*((BULK_TIER="ALL")+(BULK_TIER=$F164))*((BULK_SKU="ALL")+(BULK_SKU=$G164))*(BULK_START&lt;=9)*(BULK_END&gt;=9)))),0),ROUND((INDEX(VELOCITY_TABLE,MATCH($F164,TIER_LIST,0),1))*(IF((9-$I164+1)&lt;=0,0,IF((9-$I164+1)=1,RAMP_W1,IF((9-$I164+1)=2,RAMP_W2,IF((9-$I164+1)=3,RAMP_W3,RAMP_W4PLUS)))))*(INDEX(ACTIVE_MULT_TABLE,1,1))*(1+SUMPRODUCT(SIGN(((ACT_DOOR_SCOPE="ALL")+(ACT_DOOR_SCOPE="TIER_"&amp;$F164)+(ACT_DOOR_SCOPE=$B164)))*SIGN(((ACT_SKU_SCOPE="ALL")+(ACT_SKU_SCOPE=$G164)))*(ACT_START&lt;=9)*(ACT_END&gt;=9)*IFERROR(ACT_UPLIFT-1,0)))*(1+SUMPRODUCT(SIGN(((ACT_DOOR_SCOPE="ALL")+(ACT_DOOR_SCOPE="TIER_"&amp;$F164)+(ACT_DOOR_SCOPE=$B164)))*SIGN(((ACT_SKU_SCOPE="ALL")+(ACT_SKU_SCOPE=$G164)))*(9&gt;ACT_END)*(ACT_END&gt;0)*IFERROR(ACT_POSTLIFT,0))),0)))</f>
        <v/>
      </c>
      <c r="S164" s="10">
        <f>IF(OR($H164&lt;&gt;"Y",10&lt;$I164),0,IF(SUMPRODUCT(((BULK_ENABLED="Y")*((BULK_TIER="ALL")+(BULK_TIER=$F164))*((BULK_SKU="ALL")+(BULK_SKU=$G164))*(BULK_START&lt;=10)*(BULK_END&gt;=10)))&gt;0,IFERROR(SUMPRODUCT(((BULK_ENABLED="Y")*((BULK_TIER="ALL")+(BULK_TIER=$F164))*((BULK_SKU="ALL")+(BULK_SKU=$G164))*(BULK_START&lt;=10)*(BULK_END&gt;=10))*IFERROR(BULK_VALUE,0))/MAX(1,SUMPRODUCT(((BULK_ENABLED="Y")*((BULK_TIER="ALL")+(BULK_TIER=$F164))*((BULK_SKU="ALL")+(BULK_SKU=$G164))*(BULK_START&lt;=10)*(BULK_END&gt;=10)))),0),ROUND((INDEX(VELOCITY_TABLE,MATCH($F164,TIER_LIST,0),1))*(IF((10-$I164+1)&lt;=0,0,IF((10-$I164+1)=1,RAMP_W1,IF((10-$I164+1)=2,RAMP_W2,IF((10-$I164+1)=3,RAMP_W3,RAMP_W4PLUS)))))*(INDEX(ACTIVE_MULT_TABLE,1,1))*(1+SUMPRODUCT(SIGN(((ACT_DOOR_SCOPE="ALL")+(ACT_DOOR_SCOPE="TIER_"&amp;$F164)+(ACT_DOOR_SCOPE=$B164)))*SIGN(((ACT_SKU_SCOPE="ALL")+(ACT_SKU_SCOPE=$G164)))*(ACT_START&lt;=10)*(ACT_END&gt;=10)*IFERROR(ACT_UPLIFT-1,0)))*(1+SUMPRODUCT(SIGN(((ACT_DOOR_SCOPE="ALL")+(ACT_DOOR_SCOPE="TIER_"&amp;$F164)+(ACT_DOOR_SCOPE=$B164)))*SIGN(((ACT_SKU_SCOPE="ALL")+(ACT_SKU_SCOPE=$G164)))*(10&gt;ACT_END)*(ACT_END&gt;0)*IFERROR(ACT_POSTLIFT,0))),0)))</f>
        <v/>
      </c>
      <c r="T164" s="10">
        <f>IF(OR($H164&lt;&gt;"Y",11&lt;$I164),0,IF(SUMPRODUCT(((BULK_ENABLED="Y")*((BULK_TIER="ALL")+(BULK_TIER=$F164))*((BULK_SKU="ALL")+(BULK_SKU=$G164))*(BULK_START&lt;=11)*(BULK_END&gt;=11)))&gt;0,IFERROR(SUMPRODUCT(((BULK_ENABLED="Y")*((BULK_TIER="ALL")+(BULK_TIER=$F164))*((BULK_SKU="ALL")+(BULK_SKU=$G164))*(BULK_START&lt;=11)*(BULK_END&gt;=11))*IFERROR(BULK_VALUE,0))/MAX(1,SUMPRODUCT(((BULK_ENABLED="Y")*((BULK_TIER="ALL")+(BULK_TIER=$F164))*((BULK_SKU="ALL")+(BULK_SKU=$G164))*(BULK_START&lt;=11)*(BULK_END&gt;=11)))),0),ROUND((INDEX(VELOCITY_TABLE,MATCH($F164,TIER_LIST,0),1))*(IF((11-$I164+1)&lt;=0,0,IF((11-$I164+1)=1,RAMP_W1,IF((11-$I164+1)=2,RAMP_W2,IF((11-$I164+1)=3,RAMP_W3,RAMP_W4PLUS)))))*(INDEX(ACTIVE_MULT_TABLE,1,1))*(1+SUMPRODUCT(SIGN(((ACT_DOOR_SCOPE="ALL")+(ACT_DOOR_SCOPE="TIER_"&amp;$F164)+(ACT_DOOR_SCOPE=$B164)))*SIGN(((ACT_SKU_SCOPE="ALL")+(ACT_SKU_SCOPE=$G164)))*(ACT_START&lt;=11)*(ACT_END&gt;=11)*IFERROR(ACT_UPLIFT-1,0)))*(1+SUMPRODUCT(SIGN(((ACT_DOOR_SCOPE="ALL")+(ACT_DOOR_SCOPE="TIER_"&amp;$F164)+(ACT_DOOR_SCOPE=$B164)))*SIGN(((ACT_SKU_SCOPE="ALL")+(ACT_SKU_SCOPE=$G164)))*(11&gt;ACT_END)*(ACT_END&gt;0)*IFERROR(ACT_POSTLIFT,0))),0)))</f>
        <v/>
      </c>
      <c r="U164" s="10">
        <f>IF(OR($H164&lt;&gt;"Y",12&lt;$I164),0,IF(SUMPRODUCT(((BULK_ENABLED="Y")*((BULK_TIER="ALL")+(BULK_TIER=$F164))*((BULK_SKU="ALL")+(BULK_SKU=$G164))*(BULK_START&lt;=12)*(BULK_END&gt;=12)))&gt;0,IFERROR(SUMPRODUCT(((BULK_ENABLED="Y")*((BULK_TIER="ALL")+(BULK_TIER=$F164))*((BULK_SKU="ALL")+(BULK_SKU=$G164))*(BULK_START&lt;=12)*(BULK_END&gt;=12))*IFERROR(BULK_VALUE,0))/MAX(1,SUMPRODUCT(((BULK_ENABLED="Y")*((BULK_TIER="ALL")+(BULK_TIER=$F164))*((BULK_SKU="ALL")+(BULK_SKU=$G164))*(BULK_START&lt;=12)*(BULK_END&gt;=12)))),0),ROUND((INDEX(VELOCITY_TABLE,MATCH($F164,TIER_LIST,0),1))*(IF((12-$I164+1)&lt;=0,0,IF((12-$I164+1)=1,RAMP_W1,IF((12-$I164+1)=2,RAMP_W2,IF((12-$I164+1)=3,RAMP_W3,RAMP_W4PLUS)))))*(INDEX(ACTIVE_MULT_TABLE,1,1))*(1+SUMPRODUCT(SIGN(((ACT_DOOR_SCOPE="ALL")+(ACT_DOOR_SCOPE="TIER_"&amp;$F164)+(ACT_DOOR_SCOPE=$B164)))*SIGN(((ACT_SKU_SCOPE="ALL")+(ACT_SKU_SCOPE=$G164)))*(ACT_START&lt;=12)*(ACT_END&gt;=12)*IFERROR(ACT_UPLIFT-1,0)))*(1+SUMPRODUCT(SIGN(((ACT_DOOR_SCOPE="ALL")+(ACT_DOOR_SCOPE="TIER_"&amp;$F164)+(ACT_DOOR_SCOPE=$B164)))*SIGN(((ACT_SKU_SCOPE="ALL")+(ACT_SKU_SCOPE=$G164)))*(12&gt;ACT_END)*(ACT_END&gt;0)*IFERROR(ACT_POSTLIFT,0))),0)))</f>
        <v/>
      </c>
      <c r="V164" s="10">
        <f>IF(OR($H164&lt;&gt;"Y",13&lt;$I164),0,IF(SUMPRODUCT(((BULK_ENABLED="Y")*((BULK_TIER="ALL")+(BULK_TIER=$F164))*((BULK_SKU="ALL")+(BULK_SKU=$G164))*(BULK_START&lt;=13)*(BULK_END&gt;=13)))&gt;0,IFERROR(SUMPRODUCT(((BULK_ENABLED="Y")*((BULK_TIER="ALL")+(BULK_TIER=$F164))*((BULK_SKU="ALL")+(BULK_SKU=$G164))*(BULK_START&lt;=13)*(BULK_END&gt;=13))*IFERROR(BULK_VALUE,0))/MAX(1,SUMPRODUCT(((BULK_ENABLED="Y")*((BULK_TIER="ALL")+(BULK_TIER=$F164))*((BULK_SKU="ALL")+(BULK_SKU=$G164))*(BULK_START&lt;=13)*(BULK_END&gt;=13)))),0),ROUND((INDEX(VELOCITY_TABLE,MATCH($F164,TIER_LIST,0),1))*(IF((13-$I164+1)&lt;=0,0,IF((13-$I164+1)=1,RAMP_W1,IF((13-$I164+1)=2,RAMP_W2,IF((13-$I164+1)=3,RAMP_W3,RAMP_W4PLUS)))))*(INDEX(ACTIVE_MULT_TABLE,1,1))*(1+SUMPRODUCT(SIGN(((ACT_DOOR_SCOPE="ALL")+(ACT_DOOR_SCOPE="TIER_"&amp;$F164)+(ACT_DOOR_SCOPE=$B164)))*SIGN(((ACT_SKU_SCOPE="ALL")+(ACT_SKU_SCOPE=$G164)))*(ACT_START&lt;=13)*(ACT_END&gt;=13)*IFERROR(ACT_UPLIFT-1,0)))*(1+SUMPRODUCT(SIGN(((ACT_DOOR_SCOPE="ALL")+(ACT_DOOR_SCOPE="TIER_"&amp;$F164)+(ACT_DOOR_SCOPE=$B164)))*SIGN(((ACT_SKU_SCOPE="ALL")+(ACT_SKU_SCOPE=$G164)))*(13&gt;ACT_END)*(ACT_END&gt;0)*IFERROR(ACT_POSTLIFT,0))),0)))</f>
        <v/>
      </c>
    </row>
    <row r="165">
      <c r="A165" t="inlineStr">
        <is>
          <t>R0161</t>
        </is>
      </c>
      <c r="B165">
        <f>Doors!$A$58</f>
        <v/>
      </c>
      <c r="C165">
        <f>Doors!$C$58</f>
        <v/>
      </c>
      <c r="D165">
        <f>Doors!$B$58</f>
        <v/>
      </c>
      <c r="E165">
        <f>Doors!$E$58</f>
        <v/>
      </c>
      <c r="F165">
        <f>Doors!$F$58</f>
        <v/>
      </c>
      <c r="G165" t="inlineStr">
        <is>
          <t>Pineapple Passion Fruit</t>
        </is>
      </c>
      <c r="H165">
        <f>Doors!$H$58</f>
        <v/>
      </c>
      <c r="I165">
        <f>Doors!$J$58</f>
        <v/>
      </c>
      <c r="J165" s="10">
        <f>IF(OR($H165&lt;&gt;"Y",1&lt;$I165),0,IF(SUMPRODUCT(((BULK_ENABLED="Y")*((BULK_TIER="ALL")+(BULK_TIER=$F165))*((BULK_SKU="ALL")+(BULK_SKU=$G165))*(BULK_START&lt;=1)*(BULK_END&gt;=1)))&gt;0,IFERROR(SUMPRODUCT(((BULK_ENABLED="Y")*((BULK_TIER="ALL")+(BULK_TIER=$F165))*((BULK_SKU="ALL")+(BULK_SKU=$G165))*(BULK_START&lt;=1)*(BULK_END&gt;=1))*IFERROR(BULK_VALUE,0))/MAX(1,SUMPRODUCT(((BULK_ENABLED="Y")*((BULK_TIER="ALL")+(BULK_TIER=$F165))*((BULK_SKU="ALL")+(BULK_SKU=$G165))*(BULK_START&lt;=1)*(BULK_END&gt;=1)))),0),ROUND((INDEX(VELOCITY_TABLE,MATCH($F165,TIER_LIST,0),2))*(IF((1-$I165+1)&lt;=0,0,IF((1-$I165+1)=1,RAMP_W1,IF((1-$I165+1)=2,RAMP_W2,IF((1-$I165+1)=3,RAMP_W3,RAMP_W4PLUS)))))*(INDEX(ACTIVE_MULT_TABLE,2,1))*(1+SUMPRODUCT(SIGN(((ACT_DOOR_SCOPE="ALL")+(ACT_DOOR_SCOPE="TIER_"&amp;$F165)+(ACT_DOOR_SCOPE=$B165)))*SIGN(((ACT_SKU_SCOPE="ALL")+(ACT_SKU_SCOPE=$G165)))*(ACT_START&lt;=1)*(ACT_END&gt;=1)*IFERROR(ACT_UPLIFT-1,0)))*(1+SUMPRODUCT(SIGN(((ACT_DOOR_SCOPE="ALL")+(ACT_DOOR_SCOPE="TIER_"&amp;$F165)+(ACT_DOOR_SCOPE=$B165)))*SIGN(((ACT_SKU_SCOPE="ALL")+(ACT_SKU_SCOPE=$G165)))*(1&gt;ACT_END)*(ACT_END&gt;0)*IFERROR(ACT_POSTLIFT,0))),0)))</f>
        <v/>
      </c>
      <c r="K165" s="10">
        <f>IF(OR($H165&lt;&gt;"Y",2&lt;$I165),0,IF(SUMPRODUCT(((BULK_ENABLED="Y")*((BULK_TIER="ALL")+(BULK_TIER=$F165))*((BULK_SKU="ALL")+(BULK_SKU=$G165))*(BULK_START&lt;=2)*(BULK_END&gt;=2)))&gt;0,IFERROR(SUMPRODUCT(((BULK_ENABLED="Y")*((BULK_TIER="ALL")+(BULK_TIER=$F165))*((BULK_SKU="ALL")+(BULK_SKU=$G165))*(BULK_START&lt;=2)*(BULK_END&gt;=2))*IFERROR(BULK_VALUE,0))/MAX(1,SUMPRODUCT(((BULK_ENABLED="Y")*((BULK_TIER="ALL")+(BULK_TIER=$F165))*((BULK_SKU="ALL")+(BULK_SKU=$G165))*(BULK_START&lt;=2)*(BULK_END&gt;=2)))),0),ROUND((INDEX(VELOCITY_TABLE,MATCH($F165,TIER_LIST,0),2))*(IF((2-$I165+1)&lt;=0,0,IF((2-$I165+1)=1,RAMP_W1,IF((2-$I165+1)=2,RAMP_W2,IF((2-$I165+1)=3,RAMP_W3,RAMP_W4PLUS)))))*(INDEX(ACTIVE_MULT_TABLE,2,1))*(1+SUMPRODUCT(SIGN(((ACT_DOOR_SCOPE="ALL")+(ACT_DOOR_SCOPE="TIER_"&amp;$F165)+(ACT_DOOR_SCOPE=$B165)))*SIGN(((ACT_SKU_SCOPE="ALL")+(ACT_SKU_SCOPE=$G165)))*(ACT_START&lt;=2)*(ACT_END&gt;=2)*IFERROR(ACT_UPLIFT-1,0)))*(1+SUMPRODUCT(SIGN(((ACT_DOOR_SCOPE="ALL")+(ACT_DOOR_SCOPE="TIER_"&amp;$F165)+(ACT_DOOR_SCOPE=$B165)))*SIGN(((ACT_SKU_SCOPE="ALL")+(ACT_SKU_SCOPE=$G165)))*(2&gt;ACT_END)*(ACT_END&gt;0)*IFERROR(ACT_POSTLIFT,0))),0)))</f>
        <v/>
      </c>
      <c r="L165" s="10">
        <f>IF(OR($H165&lt;&gt;"Y",3&lt;$I165),0,IF(SUMPRODUCT(((BULK_ENABLED="Y")*((BULK_TIER="ALL")+(BULK_TIER=$F165))*((BULK_SKU="ALL")+(BULK_SKU=$G165))*(BULK_START&lt;=3)*(BULK_END&gt;=3)))&gt;0,IFERROR(SUMPRODUCT(((BULK_ENABLED="Y")*((BULK_TIER="ALL")+(BULK_TIER=$F165))*((BULK_SKU="ALL")+(BULK_SKU=$G165))*(BULK_START&lt;=3)*(BULK_END&gt;=3))*IFERROR(BULK_VALUE,0))/MAX(1,SUMPRODUCT(((BULK_ENABLED="Y")*((BULK_TIER="ALL")+(BULK_TIER=$F165))*((BULK_SKU="ALL")+(BULK_SKU=$G165))*(BULK_START&lt;=3)*(BULK_END&gt;=3)))),0),ROUND((INDEX(VELOCITY_TABLE,MATCH($F165,TIER_LIST,0),2))*(IF((3-$I165+1)&lt;=0,0,IF((3-$I165+1)=1,RAMP_W1,IF((3-$I165+1)=2,RAMP_W2,IF((3-$I165+1)=3,RAMP_W3,RAMP_W4PLUS)))))*(INDEX(ACTIVE_MULT_TABLE,2,1))*(1+SUMPRODUCT(SIGN(((ACT_DOOR_SCOPE="ALL")+(ACT_DOOR_SCOPE="TIER_"&amp;$F165)+(ACT_DOOR_SCOPE=$B165)))*SIGN(((ACT_SKU_SCOPE="ALL")+(ACT_SKU_SCOPE=$G165)))*(ACT_START&lt;=3)*(ACT_END&gt;=3)*IFERROR(ACT_UPLIFT-1,0)))*(1+SUMPRODUCT(SIGN(((ACT_DOOR_SCOPE="ALL")+(ACT_DOOR_SCOPE="TIER_"&amp;$F165)+(ACT_DOOR_SCOPE=$B165)))*SIGN(((ACT_SKU_SCOPE="ALL")+(ACT_SKU_SCOPE=$G165)))*(3&gt;ACT_END)*(ACT_END&gt;0)*IFERROR(ACT_POSTLIFT,0))),0)))</f>
        <v/>
      </c>
      <c r="M165" s="10">
        <f>IF(OR($H165&lt;&gt;"Y",4&lt;$I165),0,IF(SUMPRODUCT(((BULK_ENABLED="Y")*((BULK_TIER="ALL")+(BULK_TIER=$F165))*((BULK_SKU="ALL")+(BULK_SKU=$G165))*(BULK_START&lt;=4)*(BULK_END&gt;=4)))&gt;0,IFERROR(SUMPRODUCT(((BULK_ENABLED="Y")*((BULK_TIER="ALL")+(BULK_TIER=$F165))*((BULK_SKU="ALL")+(BULK_SKU=$G165))*(BULK_START&lt;=4)*(BULK_END&gt;=4))*IFERROR(BULK_VALUE,0))/MAX(1,SUMPRODUCT(((BULK_ENABLED="Y")*((BULK_TIER="ALL")+(BULK_TIER=$F165))*((BULK_SKU="ALL")+(BULK_SKU=$G165))*(BULK_START&lt;=4)*(BULK_END&gt;=4)))),0),ROUND((INDEX(VELOCITY_TABLE,MATCH($F165,TIER_LIST,0),2))*(IF((4-$I165+1)&lt;=0,0,IF((4-$I165+1)=1,RAMP_W1,IF((4-$I165+1)=2,RAMP_W2,IF((4-$I165+1)=3,RAMP_W3,RAMP_W4PLUS)))))*(INDEX(ACTIVE_MULT_TABLE,2,1))*(1+SUMPRODUCT(SIGN(((ACT_DOOR_SCOPE="ALL")+(ACT_DOOR_SCOPE="TIER_"&amp;$F165)+(ACT_DOOR_SCOPE=$B165)))*SIGN(((ACT_SKU_SCOPE="ALL")+(ACT_SKU_SCOPE=$G165)))*(ACT_START&lt;=4)*(ACT_END&gt;=4)*IFERROR(ACT_UPLIFT-1,0)))*(1+SUMPRODUCT(SIGN(((ACT_DOOR_SCOPE="ALL")+(ACT_DOOR_SCOPE="TIER_"&amp;$F165)+(ACT_DOOR_SCOPE=$B165)))*SIGN(((ACT_SKU_SCOPE="ALL")+(ACT_SKU_SCOPE=$G165)))*(4&gt;ACT_END)*(ACT_END&gt;0)*IFERROR(ACT_POSTLIFT,0))),0)))</f>
        <v/>
      </c>
      <c r="N165" s="10">
        <f>IF(OR($H165&lt;&gt;"Y",5&lt;$I165),0,IF(SUMPRODUCT(((BULK_ENABLED="Y")*((BULK_TIER="ALL")+(BULK_TIER=$F165))*((BULK_SKU="ALL")+(BULK_SKU=$G165))*(BULK_START&lt;=5)*(BULK_END&gt;=5)))&gt;0,IFERROR(SUMPRODUCT(((BULK_ENABLED="Y")*((BULK_TIER="ALL")+(BULK_TIER=$F165))*((BULK_SKU="ALL")+(BULK_SKU=$G165))*(BULK_START&lt;=5)*(BULK_END&gt;=5))*IFERROR(BULK_VALUE,0))/MAX(1,SUMPRODUCT(((BULK_ENABLED="Y")*((BULK_TIER="ALL")+(BULK_TIER=$F165))*((BULK_SKU="ALL")+(BULK_SKU=$G165))*(BULK_START&lt;=5)*(BULK_END&gt;=5)))),0),ROUND((INDEX(VELOCITY_TABLE,MATCH($F165,TIER_LIST,0),2))*(IF((5-$I165+1)&lt;=0,0,IF((5-$I165+1)=1,RAMP_W1,IF((5-$I165+1)=2,RAMP_W2,IF((5-$I165+1)=3,RAMP_W3,RAMP_W4PLUS)))))*(INDEX(ACTIVE_MULT_TABLE,2,1))*(1+SUMPRODUCT(SIGN(((ACT_DOOR_SCOPE="ALL")+(ACT_DOOR_SCOPE="TIER_"&amp;$F165)+(ACT_DOOR_SCOPE=$B165)))*SIGN(((ACT_SKU_SCOPE="ALL")+(ACT_SKU_SCOPE=$G165)))*(ACT_START&lt;=5)*(ACT_END&gt;=5)*IFERROR(ACT_UPLIFT-1,0)))*(1+SUMPRODUCT(SIGN(((ACT_DOOR_SCOPE="ALL")+(ACT_DOOR_SCOPE="TIER_"&amp;$F165)+(ACT_DOOR_SCOPE=$B165)))*SIGN(((ACT_SKU_SCOPE="ALL")+(ACT_SKU_SCOPE=$G165)))*(5&gt;ACT_END)*(ACT_END&gt;0)*IFERROR(ACT_POSTLIFT,0))),0)))</f>
        <v/>
      </c>
      <c r="O165" s="10">
        <f>IF(OR($H165&lt;&gt;"Y",6&lt;$I165),0,IF(SUMPRODUCT(((BULK_ENABLED="Y")*((BULK_TIER="ALL")+(BULK_TIER=$F165))*((BULK_SKU="ALL")+(BULK_SKU=$G165))*(BULK_START&lt;=6)*(BULK_END&gt;=6)))&gt;0,IFERROR(SUMPRODUCT(((BULK_ENABLED="Y")*((BULK_TIER="ALL")+(BULK_TIER=$F165))*((BULK_SKU="ALL")+(BULK_SKU=$G165))*(BULK_START&lt;=6)*(BULK_END&gt;=6))*IFERROR(BULK_VALUE,0))/MAX(1,SUMPRODUCT(((BULK_ENABLED="Y")*((BULK_TIER="ALL")+(BULK_TIER=$F165))*((BULK_SKU="ALL")+(BULK_SKU=$G165))*(BULK_START&lt;=6)*(BULK_END&gt;=6)))),0),ROUND((INDEX(VELOCITY_TABLE,MATCH($F165,TIER_LIST,0),2))*(IF((6-$I165+1)&lt;=0,0,IF((6-$I165+1)=1,RAMP_W1,IF((6-$I165+1)=2,RAMP_W2,IF((6-$I165+1)=3,RAMP_W3,RAMP_W4PLUS)))))*(INDEX(ACTIVE_MULT_TABLE,2,1))*(1+SUMPRODUCT(SIGN(((ACT_DOOR_SCOPE="ALL")+(ACT_DOOR_SCOPE="TIER_"&amp;$F165)+(ACT_DOOR_SCOPE=$B165)))*SIGN(((ACT_SKU_SCOPE="ALL")+(ACT_SKU_SCOPE=$G165)))*(ACT_START&lt;=6)*(ACT_END&gt;=6)*IFERROR(ACT_UPLIFT-1,0)))*(1+SUMPRODUCT(SIGN(((ACT_DOOR_SCOPE="ALL")+(ACT_DOOR_SCOPE="TIER_"&amp;$F165)+(ACT_DOOR_SCOPE=$B165)))*SIGN(((ACT_SKU_SCOPE="ALL")+(ACT_SKU_SCOPE=$G165)))*(6&gt;ACT_END)*(ACT_END&gt;0)*IFERROR(ACT_POSTLIFT,0))),0)))</f>
        <v/>
      </c>
      <c r="P165" s="10">
        <f>IF(OR($H165&lt;&gt;"Y",7&lt;$I165),0,IF(SUMPRODUCT(((BULK_ENABLED="Y")*((BULK_TIER="ALL")+(BULK_TIER=$F165))*((BULK_SKU="ALL")+(BULK_SKU=$G165))*(BULK_START&lt;=7)*(BULK_END&gt;=7)))&gt;0,IFERROR(SUMPRODUCT(((BULK_ENABLED="Y")*((BULK_TIER="ALL")+(BULK_TIER=$F165))*((BULK_SKU="ALL")+(BULK_SKU=$G165))*(BULK_START&lt;=7)*(BULK_END&gt;=7))*IFERROR(BULK_VALUE,0))/MAX(1,SUMPRODUCT(((BULK_ENABLED="Y")*((BULK_TIER="ALL")+(BULK_TIER=$F165))*((BULK_SKU="ALL")+(BULK_SKU=$G165))*(BULK_START&lt;=7)*(BULK_END&gt;=7)))),0),ROUND((INDEX(VELOCITY_TABLE,MATCH($F165,TIER_LIST,0),2))*(IF((7-$I165+1)&lt;=0,0,IF((7-$I165+1)=1,RAMP_W1,IF((7-$I165+1)=2,RAMP_W2,IF((7-$I165+1)=3,RAMP_W3,RAMP_W4PLUS)))))*(INDEX(ACTIVE_MULT_TABLE,2,1))*(1+SUMPRODUCT(SIGN(((ACT_DOOR_SCOPE="ALL")+(ACT_DOOR_SCOPE="TIER_"&amp;$F165)+(ACT_DOOR_SCOPE=$B165)))*SIGN(((ACT_SKU_SCOPE="ALL")+(ACT_SKU_SCOPE=$G165)))*(ACT_START&lt;=7)*(ACT_END&gt;=7)*IFERROR(ACT_UPLIFT-1,0)))*(1+SUMPRODUCT(SIGN(((ACT_DOOR_SCOPE="ALL")+(ACT_DOOR_SCOPE="TIER_"&amp;$F165)+(ACT_DOOR_SCOPE=$B165)))*SIGN(((ACT_SKU_SCOPE="ALL")+(ACT_SKU_SCOPE=$G165)))*(7&gt;ACT_END)*(ACT_END&gt;0)*IFERROR(ACT_POSTLIFT,0))),0)))</f>
        <v/>
      </c>
      <c r="Q165" s="10">
        <f>IF(OR($H165&lt;&gt;"Y",8&lt;$I165),0,IF(SUMPRODUCT(((BULK_ENABLED="Y")*((BULK_TIER="ALL")+(BULK_TIER=$F165))*((BULK_SKU="ALL")+(BULK_SKU=$G165))*(BULK_START&lt;=8)*(BULK_END&gt;=8)))&gt;0,IFERROR(SUMPRODUCT(((BULK_ENABLED="Y")*((BULK_TIER="ALL")+(BULK_TIER=$F165))*((BULK_SKU="ALL")+(BULK_SKU=$G165))*(BULK_START&lt;=8)*(BULK_END&gt;=8))*IFERROR(BULK_VALUE,0))/MAX(1,SUMPRODUCT(((BULK_ENABLED="Y")*((BULK_TIER="ALL")+(BULK_TIER=$F165))*((BULK_SKU="ALL")+(BULK_SKU=$G165))*(BULK_START&lt;=8)*(BULK_END&gt;=8)))),0),ROUND((INDEX(VELOCITY_TABLE,MATCH($F165,TIER_LIST,0),2))*(IF((8-$I165+1)&lt;=0,0,IF((8-$I165+1)=1,RAMP_W1,IF((8-$I165+1)=2,RAMP_W2,IF((8-$I165+1)=3,RAMP_W3,RAMP_W4PLUS)))))*(INDEX(ACTIVE_MULT_TABLE,2,1))*(1+SUMPRODUCT(SIGN(((ACT_DOOR_SCOPE="ALL")+(ACT_DOOR_SCOPE="TIER_"&amp;$F165)+(ACT_DOOR_SCOPE=$B165)))*SIGN(((ACT_SKU_SCOPE="ALL")+(ACT_SKU_SCOPE=$G165)))*(ACT_START&lt;=8)*(ACT_END&gt;=8)*IFERROR(ACT_UPLIFT-1,0)))*(1+SUMPRODUCT(SIGN(((ACT_DOOR_SCOPE="ALL")+(ACT_DOOR_SCOPE="TIER_"&amp;$F165)+(ACT_DOOR_SCOPE=$B165)))*SIGN(((ACT_SKU_SCOPE="ALL")+(ACT_SKU_SCOPE=$G165)))*(8&gt;ACT_END)*(ACT_END&gt;0)*IFERROR(ACT_POSTLIFT,0))),0)))</f>
        <v/>
      </c>
      <c r="R165" s="10">
        <f>IF(OR($H165&lt;&gt;"Y",9&lt;$I165),0,IF(SUMPRODUCT(((BULK_ENABLED="Y")*((BULK_TIER="ALL")+(BULK_TIER=$F165))*((BULK_SKU="ALL")+(BULK_SKU=$G165))*(BULK_START&lt;=9)*(BULK_END&gt;=9)))&gt;0,IFERROR(SUMPRODUCT(((BULK_ENABLED="Y")*((BULK_TIER="ALL")+(BULK_TIER=$F165))*((BULK_SKU="ALL")+(BULK_SKU=$G165))*(BULK_START&lt;=9)*(BULK_END&gt;=9))*IFERROR(BULK_VALUE,0))/MAX(1,SUMPRODUCT(((BULK_ENABLED="Y")*((BULK_TIER="ALL")+(BULK_TIER=$F165))*((BULK_SKU="ALL")+(BULK_SKU=$G165))*(BULK_START&lt;=9)*(BULK_END&gt;=9)))),0),ROUND((INDEX(VELOCITY_TABLE,MATCH($F165,TIER_LIST,0),2))*(IF((9-$I165+1)&lt;=0,0,IF((9-$I165+1)=1,RAMP_W1,IF((9-$I165+1)=2,RAMP_W2,IF((9-$I165+1)=3,RAMP_W3,RAMP_W4PLUS)))))*(INDEX(ACTIVE_MULT_TABLE,2,1))*(1+SUMPRODUCT(SIGN(((ACT_DOOR_SCOPE="ALL")+(ACT_DOOR_SCOPE="TIER_"&amp;$F165)+(ACT_DOOR_SCOPE=$B165)))*SIGN(((ACT_SKU_SCOPE="ALL")+(ACT_SKU_SCOPE=$G165)))*(ACT_START&lt;=9)*(ACT_END&gt;=9)*IFERROR(ACT_UPLIFT-1,0)))*(1+SUMPRODUCT(SIGN(((ACT_DOOR_SCOPE="ALL")+(ACT_DOOR_SCOPE="TIER_"&amp;$F165)+(ACT_DOOR_SCOPE=$B165)))*SIGN(((ACT_SKU_SCOPE="ALL")+(ACT_SKU_SCOPE=$G165)))*(9&gt;ACT_END)*(ACT_END&gt;0)*IFERROR(ACT_POSTLIFT,0))),0)))</f>
        <v/>
      </c>
      <c r="S165" s="10">
        <f>IF(OR($H165&lt;&gt;"Y",10&lt;$I165),0,IF(SUMPRODUCT(((BULK_ENABLED="Y")*((BULK_TIER="ALL")+(BULK_TIER=$F165))*((BULK_SKU="ALL")+(BULK_SKU=$G165))*(BULK_START&lt;=10)*(BULK_END&gt;=10)))&gt;0,IFERROR(SUMPRODUCT(((BULK_ENABLED="Y")*((BULK_TIER="ALL")+(BULK_TIER=$F165))*((BULK_SKU="ALL")+(BULK_SKU=$G165))*(BULK_START&lt;=10)*(BULK_END&gt;=10))*IFERROR(BULK_VALUE,0))/MAX(1,SUMPRODUCT(((BULK_ENABLED="Y")*((BULK_TIER="ALL")+(BULK_TIER=$F165))*((BULK_SKU="ALL")+(BULK_SKU=$G165))*(BULK_START&lt;=10)*(BULK_END&gt;=10)))),0),ROUND((INDEX(VELOCITY_TABLE,MATCH($F165,TIER_LIST,0),2))*(IF((10-$I165+1)&lt;=0,0,IF((10-$I165+1)=1,RAMP_W1,IF((10-$I165+1)=2,RAMP_W2,IF((10-$I165+1)=3,RAMP_W3,RAMP_W4PLUS)))))*(INDEX(ACTIVE_MULT_TABLE,2,1))*(1+SUMPRODUCT(SIGN(((ACT_DOOR_SCOPE="ALL")+(ACT_DOOR_SCOPE="TIER_"&amp;$F165)+(ACT_DOOR_SCOPE=$B165)))*SIGN(((ACT_SKU_SCOPE="ALL")+(ACT_SKU_SCOPE=$G165)))*(ACT_START&lt;=10)*(ACT_END&gt;=10)*IFERROR(ACT_UPLIFT-1,0)))*(1+SUMPRODUCT(SIGN(((ACT_DOOR_SCOPE="ALL")+(ACT_DOOR_SCOPE="TIER_"&amp;$F165)+(ACT_DOOR_SCOPE=$B165)))*SIGN(((ACT_SKU_SCOPE="ALL")+(ACT_SKU_SCOPE=$G165)))*(10&gt;ACT_END)*(ACT_END&gt;0)*IFERROR(ACT_POSTLIFT,0))),0)))</f>
        <v/>
      </c>
      <c r="T165" s="10">
        <f>IF(OR($H165&lt;&gt;"Y",11&lt;$I165),0,IF(SUMPRODUCT(((BULK_ENABLED="Y")*((BULK_TIER="ALL")+(BULK_TIER=$F165))*((BULK_SKU="ALL")+(BULK_SKU=$G165))*(BULK_START&lt;=11)*(BULK_END&gt;=11)))&gt;0,IFERROR(SUMPRODUCT(((BULK_ENABLED="Y")*((BULK_TIER="ALL")+(BULK_TIER=$F165))*((BULK_SKU="ALL")+(BULK_SKU=$G165))*(BULK_START&lt;=11)*(BULK_END&gt;=11))*IFERROR(BULK_VALUE,0))/MAX(1,SUMPRODUCT(((BULK_ENABLED="Y")*((BULK_TIER="ALL")+(BULK_TIER=$F165))*((BULK_SKU="ALL")+(BULK_SKU=$G165))*(BULK_START&lt;=11)*(BULK_END&gt;=11)))),0),ROUND((INDEX(VELOCITY_TABLE,MATCH($F165,TIER_LIST,0),2))*(IF((11-$I165+1)&lt;=0,0,IF((11-$I165+1)=1,RAMP_W1,IF((11-$I165+1)=2,RAMP_W2,IF((11-$I165+1)=3,RAMP_W3,RAMP_W4PLUS)))))*(INDEX(ACTIVE_MULT_TABLE,2,1))*(1+SUMPRODUCT(SIGN(((ACT_DOOR_SCOPE="ALL")+(ACT_DOOR_SCOPE="TIER_"&amp;$F165)+(ACT_DOOR_SCOPE=$B165)))*SIGN(((ACT_SKU_SCOPE="ALL")+(ACT_SKU_SCOPE=$G165)))*(ACT_START&lt;=11)*(ACT_END&gt;=11)*IFERROR(ACT_UPLIFT-1,0)))*(1+SUMPRODUCT(SIGN(((ACT_DOOR_SCOPE="ALL")+(ACT_DOOR_SCOPE="TIER_"&amp;$F165)+(ACT_DOOR_SCOPE=$B165)))*SIGN(((ACT_SKU_SCOPE="ALL")+(ACT_SKU_SCOPE=$G165)))*(11&gt;ACT_END)*(ACT_END&gt;0)*IFERROR(ACT_POSTLIFT,0))),0)))</f>
        <v/>
      </c>
      <c r="U165" s="10">
        <f>IF(OR($H165&lt;&gt;"Y",12&lt;$I165),0,IF(SUMPRODUCT(((BULK_ENABLED="Y")*((BULK_TIER="ALL")+(BULK_TIER=$F165))*((BULK_SKU="ALL")+(BULK_SKU=$G165))*(BULK_START&lt;=12)*(BULK_END&gt;=12)))&gt;0,IFERROR(SUMPRODUCT(((BULK_ENABLED="Y")*((BULK_TIER="ALL")+(BULK_TIER=$F165))*((BULK_SKU="ALL")+(BULK_SKU=$G165))*(BULK_START&lt;=12)*(BULK_END&gt;=12))*IFERROR(BULK_VALUE,0))/MAX(1,SUMPRODUCT(((BULK_ENABLED="Y")*((BULK_TIER="ALL")+(BULK_TIER=$F165))*((BULK_SKU="ALL")+(BULK_SKU=$G165))*(BULK_START&lt;=12)*(BULK_END&gt;=12)))),0),ROUND((INDEX(VELOCITY_TABLE,MATCH($F165,TIER_LIST,0),2))*(IF((12-$I165+1)&lt;=0,0,IF((12-$I165+1)=1,RAMP_W1,IF((12-$I165+1)=2,RAMP_W2,IF((12-$I165+1)=3,RAMP_W3,RAMP_W4PLUS)))))*(INDEX(ACTIVE_MULT_TABLE,2,1))*(1+SUMPRODUCT(SIGN(((ACT_DOOR_SCOPE="ALL")+(ACT_DOOR_SCOPE="TIER_"&amp;$F165)+(ACT_DOOR_SCOPE=$B165)))*SIGN(((ACT_SKU_SCOPE="ALL")+(ACT_SKU_SCOPE=$G165)))*(ACT_START&lt;=12)*(ACT_END&gt;=12)*IFERROR(ACT_UPLIFT-1,0)))*(1+SUMPRODUCT(SIGN(((ACT_DOOR_SCOPE="ALL")+(ACT_DOOR_SCOPE="TIER_"&amp;$F165)+(ACT_DOOR_SCOPE=$B165)))*SIGN(((ACT_SKU_SCOPE="ALL")+(ACT_SKU_SCOPE=$G165)))*(12&gt;ACT_END)*(ACT_END&gt;0)*IFERROR(ACT_POSTLIFT,0))),0)))</f>
        <v/>
      </c>
      <c r="V165" s="10">
        <f>IF(OR($H165&lt;&gt;"Y",13&lt;$I165),0,IF(SUMPRODUCT(((BULK_ENABLED="Y")*((BULK_TIER="ALL")+(BULK_TIER=$F165))*((BULK_SKU="ALL")+(BULK_SKU=$G165))*(BULK_START&lt;=13)*(BULK_END&gt;=13)))&gt;0,IFERROR(SUMPRODUCT(((BULK_ENABLED="Y")*((BULK_TIER="ALL")+(BULK_TIER=$F165))*((BULK_SKU="ALL")+(BULK_SKU=$G165))*(BULK_START&lt;=13)*(BULK_END&gt;=13))*IFERROR(BULK_VALUE,0))/MAX(1,SUMPRODUCT(((BULK_ENABLED="Y")*((BULK_TIER="ALL")+(BULK_TIER=$F165))*((BULK_SKU="ALL")+(BULK_SKU=$G165))*(BULK_START&lt;=13)*(BULK_END&gt;=13)))),0),ROUND((INDEX(VELOCITY_TABLE,MATCH($F165,TIER_LIST,0),2))*(IF((13-$I165+1)&lt;=0,0,IF((13-$I165+1)=1,RAMP_W1,IF((13-$I165+1)=2,RAMP_W2,IF((13-$I165+1)=3,RAMP_W3,RAMP_W4PLUS)))))*(INDEX(ACTIVE_MULT_TABLE,2,1))*(1+SUMPRODUCT(SIGN(((ACT_DOOR_SCOPE="ALL")+(ACT_DOOR_SCOPE="TIER_"&amp;$F165)+(ACT_DOOR_SCOPE=$B165)))*SIGN(((ACT_SKU_SCOPE="ALL")+(ACT_SKU_SCOPE=$G165)))*(ACT_START&lt;=13)*(ACT_END&gt;=13)*IFERROR(ACT_UPLIFT-1,0)))*(1+SUMPRODUCT(SIGN(((ACT_DOOR_SCOPE="ALL")+(ACT_DOOR_SCOPE="TIER_"&amp;$F165)+(ACT_DOOR_SCOPE=$B165)))*SIGN(((ACT_SKU_SCOPE="ALL")+(ACT_SKU_SCOPE=$G165)))*(13&gt;ACT_END)*(ACT_END&gt;0)*IFERROR(ACT_POSTLIFT,0))),0)))</f>
        <v/>
      </c>
    </row>
    <row r="166">
      <c r="A166" t="inlineStr">
        <is>
          <t>R0162</t>
        </is>
      </c>
      <c r="B166">
        <f>Doors!$A$58</f>
        <v/>
      </c>
      <c r="C166">
        <f>Doors!$C$58</f>
        <v/>
      </c>
      <c r="D166">
        <f>Doors!$B$58</f>
        <v/>
      </c>
      <c r="E166">
        <f>Doors!$E$58</f>
        <v/>
      </c>
      <c r="F166">
        <f>Doors!$F$58</f>
        <v/>
      </c>
      <c r="G166" t="inlineStr">
        <is>
          <t>Raspberry</t>
        </is>
      </c>
      <c r="H166">
        <f>Doors!$I$58</f>
        <v/>
      </c>
      <c r="I166">
        <f>Doors!$J$58</f>
        <v/>
      </c>
      <c r="J166" s="10">
        <f>IF(OR($H166&lt;&gt;"Y",1&lt;$I166),0,IF(SUMPRODUCT(((BULK_ENABLED="Y")*((BULK_TIER="ALL")+(BULK_TIER=$F166))*((BULK_SKU="ALL")+(BULK_SKU=$G166))*(BULK_START&lt;=1)*(BULK_END&gt;=1)))&gt;0,IFERROR(SUMPRODUCT(((BULK_ENABLED="Y")*((BULK_TIER="ALL")+(BULK_TIER=$F166))*((BULK_SKU="ALL")+(BULK_SKU=$G166))*(BULK_START&lt;=1)*(BULK_END&gt;=1))*IFERROR(BULK_VALUE,0))/MAX(1,SUMPRODUCT(((BULK_ENABLED="Y")*((BULK_TIER="ALL")+(BULK_TIER=$F166))*((BULK_SKU="ALL")+(BULK_SKU=$G166))*(BULK_START&lt;=1)*(BULK_END&gt;=1)))),0),ROUND((INDEX(VELOCITY_TABLE,MATCH($F166,TIER_LIST,0),3))*(IF((1-$I166+1)&lt;=0,0,IF((1-$I166+1)=1,RAMP_W1,IF((1-$I166+1)=2,RAMP_W2,IF((1-$I166+1)=3,RAMP_W3,RAMP_W4PLUS)))))*(INDEX(ACTIVE_MULT_TABLE,3,1))*(1+SUMPRODUCT(SIGN(((ACT_DOOR_SCOPE="ALL")+(ACT_DOOR_SCOPE="TIER_"&amp;$F166)+(ACT_DOOR_SCOPE=$B166)))*SIGN(((ACT_SKU_SCOPE="ALL")+(ACT_SKU_SCOPE=$G166)))*(ACT_START&lt;=1)*(ACT_END&gt;=1)*IFERROR(ACT_UPLIFT-1,0)))*(1+SUMPRODUCT(SIGN(((ACT_DOOR_SCOPE="ALL")+(ACT_DOOR_SCOPE="TIER_"&amp;$F166)+(ACT_DOOR_SCOPE=$B166)))*SIGN(((ACT_SKU_SCOPE="ALL")+(ACT_SKU_SCOPE=$G166)))*(1&gt;ACT_END)*(ACT_END&gt;0)*IFERROR(ACT_POSTLIFT,0))),0)))</f>
        <v/>
      </c>
      <c r="K166" s="10">
        <f>IF(OR($H166&lt;&gt;"Y",2&lt;$I166),0,IF(SUMPRODUCT(((BULK_ENABLED="Y")*((BULK_TIER="ALL")+(BULK_TIER=$F166))*((BULK_SKU="ALL")+(BULK_SKU=$G166))*(BULK_START&lt;=2)*(BULK_END&gt;=2)))&gt;0,IFERROR(SUMPRODUCT(((BULK_ENABLED="Y")*((BULK_TIER="ALL")+(BULK_TIER=$F166))*((BULK_SKU="ALL")+(BULK_SKU=$G166))*(BULK_START&lt;=2)*(BULK_END&gt;=2))*IFERROR(BULK_VALUE,0))/MAX(1,SUMPRODUCT(((BULK_ENABLED="Y")*((BULK_TIER="ALL")+(BULK_TIER=$F166))*((BULK_SKU="ALL")+(BULK_SKU=$G166))*(BULK_START&lt;=2)*(BULK_END&gt;=2)))),0),ROUND((INDEX(VELOCITY_TABLE,MATCH($F166,TIER_LIST,0),3))*(IF((2-$I166+1)&lt;=0,0,IF((2-$I166+1)=1,RAMP_W1,IF((2-$I166+1)=2,RAMP_W2,IF((2-$I166+1)=3,RAMP_W3,RAMP_W4PLUS)))))*(INDEX(ACTIVE_MULT_TABLE,3,1))*(1+SUMPRODUCT(SIGN(((ACT_DOOR_SCOPE="ALL")+(ACT_DOOR_SCOPE="TIER_"&amp;$F166)+(ACT_DOOR_SCOPE=$B166)))*SIGN(((ACT_SKU_SCOPE="ALL")+(ACT_SKU_SCOPE=$G166)))*(ACT_START&lt;=2)*(ACT_END&gt;=2)*IFERROR(ACT_UPLIFT-1,0)))*(1+SUMPRODUCT(SIGN(((ACT_DOOR_SCOPE="ALL")+(ACT_DOOR_SCOPE="TIER_"&amp;$F166)+(ACT_DOOR_SCOPE=$B166)))*SIGN(((ACT_SKU_SCOPE="ALL")+(ACT_SKU_SCOPE=$G166)))*(2&gt;ACT_END)*(ACT_END&gt;0)*IFERROR(ACT_POSTLIFT,0))),0)))</f>
        <v/>
      </c>
      <c r="L166" s="10">
        <f>IF(OR($H166&lt;&gt;"Y",3&lt;$I166),0,IF(SUMPRODUCT(((BULK_ENABLED="Y")*((BULK_TIER="ALL")+(BULK_TIER=$F166))*((BULK_SKU="ALL")+(BULK_SKU=$G166))*(BULK_START&lt;=3)*(BULK_END&gt;=3)))&gt;0,IFERROR(SUMPRODUCT(((BULK_ENABLED="Y")*((BULK_TIER="ALL")+(BULK_TIER=$F166))*((BULK_SKU="ALL")+(BULK_SKU=$G166))*(BULK_START&lt;=3)*(BULK_END&gt;=3))*IFERROR(BULK_VALUE,0))/MAX(1,SUMPRODUCT(((BULK_ENABLED="Y")*((BULK_TIER="ALL")+(BULK_TIER=$F166))*((BULK_SKU="ALL")+(BULK_SKU=$G166))*(BULK_START&lt;=3)*(BULK_END&gt;=3)))),0),ROUND((INDEX(VELOCITY_TABLE,MATCH($F166,TIER_LIST,0),3))*(IF((3-$I166+1)&lt;=0,0,IF((3-$I166+1)=1,RAMP_W1,IF((3-$I166+1)=2,RAMP_W2,IF((3-$I166+1)=3,RAMP_W3,RAMP_W4PLUS)))))*(INDEX(ACTIVE_MULT_TABLE,3,1))*(1+SUMPRODUCT(SIGN(((ACT_DOOR_SCOPE="ALL")+(ACT_DOOR_SCOPE="TIER_"&amp;$F166)+(ACT_DOOR_SCOPE=$B166)))*SIGN(((ACT_SKU_SCOPE="ALL")+(ACT_SKU_SCOPE=$G166)))*(ACT_START&lt;=3)*(ACT_END&gt;=3)*IFERROR(ACT_UPLIFT-1,0)))*(1+SUMPRODUCT(SIGN(((ACT_DOOR_SCOPE="ALL")+(ACT_DOOR_SCOPE="TIER_"&amp;$F166)+(ACT_DOOR_SCOPE=$B166)))*SIGN(((ACT_SKU_SCOPE="ALL")+(ACT_SKU_SCOPE=$G166)))*(3&gt;ACT_END)*(ACT_END&gt;0)*IFERROR(ACT_POSTLIFT,0))),0)))</f>
        <v/>
      </c>
      <c r="M166" s="10">
        <f>IF(OR($H166&lt;&gt;"Y",4&lt;$I166),0,IF(SUMPRODUCT(((BULK_ENABLED="Y")*((BULK_TIER="ALL")+(BULK_TIER=$F166))*((BULK_SKU="ALL")+(BULK_SKU=$G166))*(BULK_START&lt;=4)*(BULK_END&gt;=4)))&gt;0,IFERROR(SUMPRODUCT(((BULK_ENABLED="Y")*((BULK_TIER="ALL")+(BULK_TIER=$F166))*((BULK_SKU="ALL")+(BULK_SKU=$G166))*(BULK_START&lt;=4)*(BULK_END&gt;=4))*IFERROR(BULK_VALUE,0))/MAX(1,SUMPRODUCT(((BULK_ENABLED="Y")*((BULK_TIER="ALL")+(BULK_TIER=$F166))*((BULK_SKU="ALL")+(BULK_SKU=$G166))*(BULK_START&lt;=4)*(BULK_END&gt;=4)))),0),ROUND((INDEX(VELOCITY_TABLE,MATCH($F166,TIER_LIST,0),3))*(IF((4-$I166+1)&lt;=0,0,IF((4-$I166+1)=1,RAMP_W1,IF((4-$I166+1)=2,RAMP_W2,IF((4-$I166+1)=3,RAMP_W3,RAMP_W4PLUS)))))*(INDEX(ACTIVE_MULT_TABLE,3,1))*(1+SUMPRODUCT(SIGN(((ACT_DOOR_SCOPE="ALL")+(ACT_DOOR_SCOPE="TIER_"&amp;$F166)+(ACT_DOOR_SCOPE=$B166)))*SIGN(((ACT_SKU_SCOPE="ALL")+(ACT_SKU_SCOPE=$G166)))*(ACT_START&lt;=4)*(ACT_END&gt;=4)*IFERROR(ACT_UPLIFT-1,0)))*(1+SUMPRODUCT(SIGN(((ACT_DOOR_SCOPE="ALL")+(ACT_DOOR_SCOPE="TIER_"&amp;$F166)+(ACT_DOOR_SCOPE=$B166)))*SIGN(((ACT_SKU_SCOPE="ALL")+(ACT_SKU_SCOPE=$G166)))*(4&gt;ACT_END)*(ACT_END&gt;0)*IFERROR(ACT_POSTLIFT,0))),0)))</f>
        <v/>
      </c>
      <c r="N166" s="10">
        <f>IF(OR($H166&lt;&gt;"Y",5&lt;$I166),0,IF(SUMPRODUCT(((BULK_ENABLED="Y")*((BULK_TIER="ALL")+(BULK_TIER=$F166))*((BULK_SKU="ALL")+(BULK_SKU=$G166))*(BULK_START&lt;=5)*(BULK_END&gt;=5)))&gt;0,IFERROR(SUMPRODUCT(((BULK_ENABLED="Y")*((BULK_TIER="ALL")+(BULK_TIER=$F166))*((BULK_SKU="ALL")+(BULK_SKU=$G166))*(BULK_START&lt;=5)*(BULK_END&gt;=5))*IFERROR(BULK_VALUE,0))/MAX(1,SUMPRODUCT(((BULK_ENABLED="Y")*((BULK_TIER="ALL")+(BULK_TIER=$F166))*((BULK_SKU="ALL")+(BULK_SKU=$G166))*(BULK_START&lt;=5)*(BULK_END&gt;=5)))),0),ROUND((INDEX(VELOCITY_TABLE,MATCH($F166,TIER_LIST,0),3))*(IF((5-$I166+1)&lt;=0,0,IF((5-$I166+1)=1,RAMP_W1,IF((5-$I166+1)=2,RAMP_W2,IF((5-$I166+1)=3,RAMP_W3,RAMP_W4PLUS)))))*(INDEX(ACTIVE_MULT_TABLE,3,1))*(1+SUMPRODUCT(SIGN(((ACT_DOOR_SCOPE="ALL")+(ACT_DOOR_SCOPE="TIER_"&amp;$F166)+(ACT_DOOR_SCOPE=$B166)))*SIGN(((ACT_SKU_SCOPE="ALL")+(ACT_SKU_SCOPE=$G166)))*(ACT_START&lt;=5)*(ACT_END&gt;=5)*IFERROR(ACT_UPLIFT-1,0)))*(1+SUMPRODUCT(SIGN(((ACT_DOOR_SCOPE="ALL")+(ACT_DOOR_SCOPE="TIER_"&amp;$F166)+(ACT_DOOR_SCOPE=$B166)))*SIGN(((ACT_SKU_SCOPE="ALL")+(ACT_SKU_SCOPE=$G166)))*(5&gt;ACT_END)*(ACT_END&gt;0)*IFERROR(ACT_POSTLIFT,0))),0)))</f>
        <v/>
      </c>
      <c r="O166" s="10">
        <f>IF(OR($H166&lt;&gt;"Y",6&lt;$I166),0,IF(SUMPRODUCT(((BULK_ENABLED="Y")*((BULK_TIER="ALL")+(BULK_TIER=$F166))*((BULK_SKU="ALL")+(BULK_SKU=$G166))*(BULK_START&lt;=6)*(BULK_END&gt;=6)))&gt;0,IFERROR(SUMPRODUCT(((BULK_ENABLED="Y")*((BULK_TIER="ALL")+(BULK_TIER=$F166))*((BULK_SKU="ALL")+(BULK_SKU=$G166))*(BULK_START&lt;=6)*(BULK_END&gt;=6))*IFERROR(BULK_VALUE,0))/MAX(1,SUMPRODUCT(((BULK_ENABLED="Y")*((BULK_TIER="ALL")+(BULK_TIER=$F166))*((BULK_SKU="ALL")+(BULK_SKU=$G166))*(BULK_START&lt;=6)*(BULK_END&gt;=6)))),0),ROUND((INDEX(VELOCITY_TABLE,MATCH($F166,TIER_LIST,0),3))*(IF((6-$I166+1)&lt;=0,0,IF((6-$I166+1)=1,RAMP_W1,IF((6-$I166+1)=2,RAMP_W2,IF((6-$I166+1)=3,RAMP_W3,RAMP_W4PLUS)))))*(INDEX(ACTIVE_MULT_TABLE,3,1))*(1+SUMPRODUCT(SIGN(((ACT_DOOR_SCOPE="ALL")+(ACT_DOOR_SCOPE="TIER_"&amp;$F166)+(ACT_DOOR_SCOPE=$B166)))*SIGN(((ACT_SKU_SCOPE="ALL")+(ACT_SKU_SCOPE=$G166)))*(ACT_START&lt;=6)*(ACT_END&gt;=6)*IFERROR(ACT_UPLIFT-1,0)))*(1+SUMPRODUCT(SIGN(((ACT_DOOR_SCOPE="ALL")+(ACT_DOOR_SCOPE="TIER_"&amp;$F166)+(ACT_DOOR_SCOPE=$B166)))*SIGN(((ACT_SKU_SCOPE="ALL")+(ACT_SKU_SCOPE=$G166)))*(6&gt;ACT_END)*(ACT_END&gt;0)*IFERROR(ACT_POSTLIFT,0))),0)))</f>
        <v/>
      </c>
      <c r="P166" s="10">
        <f>IF(OR($H166&lt;&gt;"Y",7&lt;$I166),0,IF(SUMPRODUCT(((BULK_ENABLED="Y")*((BULK_TIER="ALL")+(BULK_TIER=$F166))*((BULK_SKU="ALL")+(BULK_SKU=$G166))*(BULK_START&lt;=7)*(BULK_END&gt;=7)))&gt;0,IFERROR(SUMPRODUCT(((BULK_ENABLED="Y")*((BULK_TIER="ALL")+(BULK_TIER=$F166))*((BULK_SKU="ALL")+(BULK_SKU=$G166))*(BULK_START&lt;=7)*(BULK_END&gt;=7))*IFERROR(BULK_VALUE,0))/MAX(1,SUMPRODUCT(((BULK_ENABLED="Y")*((BULK_TIER="ALL")+(BULK_TIER=$F166))*((BULK_SKU="ALL")+(BULK_SKU=$G166))*(BULK_START&lt;=7)*(BULK_END&gt;=7)))),0),ROUND((INDEX(VELOCITY_TABLE,MATCH($F166,TIER_LIST,0),3))*(IF((7-$I166+1)&lt;=0,0,IF((7-$I166+1)=1,RAMP_W1,IF((7-$I166+1)=2,RAMP_W2,IF((7-$I166+1)=3,RAMP_W3,RAMP_W4PLUS)))))*(INDEX(ACTIVE_MULT_TABLE,3,1))*(1+SUMPRODUCT(SIGN(((ACT_DOOR_SCOPE="ALL")+(ACT_DOOR_SCOPE="TIER_"&amp;$F166)+(ACT_DOOR_SCOPE=$B166)))*SIGN(((ACT_SKU_SCOPE="ALL")+(ACT_SKU_SCOPE=$G166)))*(ACT_START&lt;=7)*(ACT_END&gt;=7)*IFERROR(ACT_UPLIFT-1,0)))*(1+SUMPRODUCT(SIGN(((ACT_DOOR_SCOPE="ALL")+(ACT_DOOR_SCOPE="TIER_"&amp;$F166)+(ACT_DOOR_SCOPE=$B166)))*SIGN(((ACT_SKU_SCOPE="ALL")+(ACT_SKU_SCOPE=$G166)))*(7&gt;ACT_END)*(ACT_END&gt;0)*IFERROR(ACT_POSTLIFT,0))),0)))</f>
        <v/>
      </c>
      <c r="Q166" s="10">
        <f>IF(OR($H166&lt;&gt;"Y",8&lt;$I166),0,IF(SUMPRODUCT(((BULK_ENABLED="Y")*((BULK_TIER="ALL")+(BULK_TIER=$F166))*((BULK_SKU="ALL")+(BULK_SKU=$G166))*(BULK_START&lt;=8)*(BULK_END&gt;=8)))&gt;0,IFERROR(SUMPRODUCT(((BULK_ENABLED="Y")*((BULK_TIER="ALL")+(BULK_TIER=$F166))*((BULK_SKU="ALL")+(BULK_SKU=$G166))*(BULK_START&lt;=8)*(BULK_END&gt;=8))*IFERROR(BULK_VALUE,0))/MAX(1,SUMPRODUCT(((BULK_ENABLED="Y")*((BULK_TIER="ALL")+(BULK_TIER=$F166))*((BULK_SKU="ALL")+(BULK_SKU=$G166))*(BULK_START&lt;=8)*(BULK_END&gt;=8)))),0),ROUND((INDEX(VELOCITY_TABLE,MATCH($F166,TIER_LIST,0),3))*(IF((8-$I166+1)&lt;=0,0,IF((8-$I166+1)=1,RAMP_W1,IF((8-$I166+1)=2,RAMP_W2,IF((8-$I166+1)=3,RAMP_W3,RAMP_W4PLUS)))))*(INDEX(ACTIVE_MULT_TABLE,3,1))*(1+SUMPRODUCT(SIGN(((ACT_DOOR_SCOPE="ALL")+(ACT_DOOR_SCOPE="TIER_"&amp;$F166)+(ACT_DOOR_SCOPE=$B166)))*SIGN(((ACT_SKU_SCOPE="ALL")+(ACT_SKU_SCOPE=$G166)))*(ACT_START&lt;=8)*(ACT_END&gt;=8)*IFERROR(ACT_UPLIFT-1,0)))*(1+SUMPRODUCT(SIGN(((ACT_DOOR_SCOPE="ALL")+(ACT_DOOR_SCOPE="TIER_"&amp;$F166)+(ACT_DOOR_SCOPE=$B166)))*SIGN(((ACT_SKU_SCOPE="ALL")+(ACT_SKU_SCOPE=$G166)))*(8&gt;ACT_END)*(ACT_END&gt;0)*IFERROR(ACT_POSTLIFT,0))),0)))</f>
        <v/>
      </c>
      <c r="R166" s="10">
        <f>IF(OR($H166&lt;&gt;"Y",9&lt;$I166),0,IF(SUMPRODUCT(((BULK_ENABLED="Y")*((BULK_TIER="ALL")+(BULK_TIER=$F166))*((BULK_SKU="ALL")+(BULK_SKU=$G166))*(BULK_START&lt;=9)*(BULK_END&gt;=9)))&gt;0,IFERROR(SUMPRODUCT(((BULK_ENABLED="Y")*((BULK_TIER="ALL")+(BULK_TIER=$F166))*((BULK_SKU="ALL")+(BULK_SKU=$G166))*(BULK_START&lt;=9)*(BULK_END&gt;=9))*IFERROR(BULK_VALUE,0))/MAX(1,SUMPRODUCT(((BULK_ENABLED="Y")*((BULK_TIER="ALL")+(BULK_TIER=$F166))*((BULK_SKU="ALL")+(BULK_SKU=$G166))*(BULK_START&lt;=9)*(BULK_END&gt;=9)))),0),ROUND((INDEX(VELOCITY_TABLE,MATCH($F166,TIER_LIST,0),3))*(IF((9-$I166+1)&lt;=0,0,IF((9-$I166+1)=1,RAMP_W1,IF((9-$I166+1)=2,RAMP_W2,IF((9-$I166+1)=3,RAMP_W3,RAMP_W4PLUS)))))*(INDEX(ACTIVE_MULT_TABLE,3,1))*(1+SUMPRODUCT(SIGN(((ACT_DOOR_SCOPE="ALL")+(ACT_DOOR_SCOPE="TIER_"&amp;$F166)+(ACT_DOOR_SCOPE=$B166)))*SIGN(((ACT_SKU_SCOPE="ALL")+(ACT_SKU_SCOPE=$G166)))*(ACT_START&lt;=9)*(ACT_END&gt;=9)*IFERROR(ACT_UPLIFT-1,0)))*(1+SUMPRODUCT(SIGN(((ACT_DOOR_SCOPE="ALL")+(ACT_DOOR_SCOPE="TIER_"&amp;$F166)+(ACT_DOOR_SCOPE=$B166)))*SIGN(((ACT_SKU_SCOPE="ALL")+(ACT_SKU_SCOPE=$G166)))*(9&gt;ACT_END)*(ACT_END&gt;0)*IFERROR(ACT_POSTLIFT,0))),0)))</f>
        <v/>
      </c>
      <c r="S166" s="10">
        <f>IF(OR($H166&lt;&gt;"Y",10&lt;$I166),0,IF(SUMPRODUCT(((BULK_ENABLED="Y")*((BULK_TIER="ALL")+(BULK_TIER=$F166))*((BULK_SKU="ALL")+(BULK_SKU=$G166))*(BULK_START&lt;=10)*(BULK_END&gt;=10)))&gt;0,IFERROR(SUMPRODUCT(((BULK_ENABLED="Y")*((BULK_TIER="ALL")+(BULK_TIER=$F166))*((BULK_SKU="ALL")+(BULK_SKU=$G166))*(BULK_START&lt;=10)*(BULK_END&gt;=10))*IFERROR(BULK_VALUE,0))/MAX(1,SUMPRODUCT(((BULK_ENABLED="Y")*((BULK_TIER="ALL")+(BULK_TIER=$F166))*((BULK_SKU="ALL")+(BULK_SKU=$G166))*(BULK_START&lt;=10)*(BULK_END&gt;=10)))),0),ROUND((INDEX(VELOCITY_TABLE,MATCH($F166,TIER_LIST,0),3))*(IF((10-$I166+1)&lt;=0,0,IF((10-$I166+1)=1,RAMP_W1,IF((10-$I166+1)=2,RAMP_W2,IF((10-$I166+1)=3,RAMP_W3,RAMP_W4PLUS)))))*(INDEX(ACTIVE_MULT_TABLE,3,1))*(1+SUMPRODUCT(SIGN(((ACT_DOOR_SCOPE="ALL")+(ACT_DOOR_SCOPE="TIER_"&amp;$F166)+(ACT_DOOR_SCOPE=$B166)))*SIGN(((ACT_SKU_SCOPE="ALL")+(ACT_SKU_SCOPE=$G166)))*(ACT_START&lt;=10)*(ACT_END&gt;=10)*IFERROR(ACT_UPLIFT-1,0)))*(1+SUMPRODUCT(SIGN(((ACT_DOOR_SCOPE="ALL")+(ACT_DOOR_SCOPE="TIER_"&amp;$F166)+(ACT_DOOR_SCOPE=$B166)))*SIGN(((ACT_SKU_SCOPE="ALL")+(ACT_SKU_SCOPE=$G166)))*(10&gt;ACT_END)*(ACT_END&gt;0)*IFERROR(ACT_POSTLIFT,0))),0)))</f>
        <v/>
      </c>
      <c r="T166" s="10">
        <f>IF(OR($H166&lt;&gt;"Y",11&lt;$I166),0,IF(SUMPRODUCT(((BULK_ENABLED="Y")*((BULK_TIER="ALL")+(BULK_TIER=$F166))*((BULK_SKU="ALL")+(BULK_SKU=$G166))*(BULK_START&lt;=11)*(BULK_END&gt;=11)))&gt;0,IFERROR(SUMPRODUCT(((BULK_ENABLED="Y")*((BULK_TIER="ALL")+(BULK_TIER=$F166))*((BULK_SKU="ALL")+(BULK_SKU=$G166))*(BULK_START&lt;=11)*(BULK_END&gt;=11))*IFERROR(BULK_VALUE,0))/MAX(1,SUMPRODUCT(((BULK_ENABLED="Y")*((BULK_TIER="ALL")+(BULK_TIER=$F166))*((BULK_SKU="ALL")+(BULK_SKU=$G166))*(BULK_START&lt;=11)*(BULK_END&gt;=11)))),0),ROUND((INDEX(VELOCITY_TABLE,MATCH($F166,TIER_LIST,0),3))*(IF((11-$I166+1)&lt;=0,0,IF((11-$I166+1)=1,RAMP_W1,IF((11-$I166+1)=2,RAMP_W2,IF((11-$I166+1)=3,RAMP_W3,RAMP_W4PLUS)))))*(INDEX(ACTIVE_MULT_TABLE,3,1))*(1+SUMPRODUCT(SIGN(((ACT_DOOR_SCOPE="ALL")+(ACT_DOOR_SCOPE="TIER_"&amp;$F166)+(ACT_DOOR_SCOPE=$B166)))*SIGN(((ACT_SKU_SCOPE="ALL")+(ACT_SKU_SCOPE=$G166)))*(ACT_START&lt;=11)*(ACT_END&gt;=11)*IFERROR(ACT_UPLIFT-1,0)))*(1+SUMPRODUCT(SIGN(((ACT_DOOR_SCOPE="ALL")+(ACT_DOOR_SCOPE="TIER_"&amp;$F166)+(ACT_DOOR_SCOPE=$B166)))*SIGN(((ACT_SKU_SCOPE="ALL")+(ACT_SKU_SCOPE=$G166)))*(11&gt;ACT_END)*(ACT_END&gt;0)*IFERROR(ACT_POSTLIFT,0))),0)))</f>
        <v/>
      </c>
      <c r="U166" s="10">
        <f>IF(OR($H166&lt;&gt;"Y",12&lt;$I166),0,IF(SUMPRODUCT(((BULK_ENABLED="Y")*((BULK_TIER="ALL")+(BULK_TIER=$F166))*((BULK_SKU="ALL")+(BULK_SKU=$G166))*(BULK_START&lt;=12)*(BULK_END&gt;=12)))&gt;0,IFERROR(SUMPRODUCT(((BULK_ENABLED="Y")*((BULK_TIER="ALL")+(BULK_TIER=$F166))*((BULK_SKU="ALL")+(BULK_SKU=$G166))*(BULK_START&lt;=12)*(BULK_END&gt;=12))*IFERROR(BULK_VALUE,0))/MAX(1,SUMPRODUCT(((BULK_ENABLED="Y")*((BULK_TIER="ALL")+(BULK_TIER=$F166))*((BULK_SKU="ALL")+(BULK_SKU=$G166))*(BULK_START&lt;=12)*(BULK_END&gt;=12)))),0),ROUND((INDEX(VELOCITY_TABLE,MATCH($F166,TIER_LIST,0),3))*(IF((12-$I166+1)&lt;=0,0,IF((12-$I166+1)=1,RAMP_W1,IF((12-$I166+1)=2,RAMP_W2,IF((12-$I166+1)=3,RAMP_W3,RAMP_W4PLUS)))))*(INDEX(ACTIVE_MULT_TABLE,3,1))*(1+SUMPRODUCT(SIGN(((ACT_DOOR_SCOPE="ALL")+(ACT_DOOR_SCOPE="TIER_"&amp;$F166)+(ACT_DOOR_SCOPE=$B166)))*SIGN(((ACT_SKU_SCOPE="ALL")+(ACT_SKU_SCOPE=$G166)))*(ACT_START&lt;=12)*(ACT_END&gt;=12)*IFERROR(ACT_UPLIFT-1,0)))*(1+SUMPRODUCT(SIGN(((ACT_DOOR_SCOPE="ALL")+(ACT_DOOR_SCOPE="TIER_"&amp;$F166)+(ACT_DOOR_SCOPE=$B166)))*SIGN(((ACT_SKU_SCOPE="ALL")+(ACT_SKU_SCOPE=$G166)))*(12&gt;ACT_END)*(ACT_END&gt;0)*IFERROR(ACT_POSTLIFT,0))),0)))</f>
        <v/>
      </c>
      <c r="V166" s="10">
        <f>IF(OR($H166&lt;&gt;"Y",13&lt;$I166),0,IF(SUMPRODUCT(((BULK_ENABLED="Y")*((BULK_TIER="ALL")+(BULK_TIER=$F166))*((BULK_SKU="ALL")+(BULK_SKU=$G166))*(BULK_START&lt;=13)*(BULK_END&gt;=13)))&gt;0,IFERROR(SUMPRODUCT(((BULK_ENABLED="Y")*((BULK_TIER="ALL")+(BULK_TIER=$F166))*((BULK_SKU="ALL")+(BULK_SKU=$G166))*(BULK_START&lt;=13)*(BULK_END&gt;=13))*IFERROR(BULK_VALUE,0))/MAX(1,SUMPRODUCT(((BULK_ENABLED="Y")*((BULK_TIER="ALL")+(BULK_TIER=$F166))*((BULK_SKU="ALL")+(BULK_SKU=$G166))*(BULK_START&lt;=13)*(BULK_END&gt;=13)))),0),ROUND((INDEX(VELOCITY_TABLE,MATCH($F166,TIER_LIST,0),3))*(IF((13-$I166+1)&lt;=0,0,IF((13-$I166+1)=1,RAMP_W1,IF((13-$I166+1)=2,RAMP_W2,IF((13-$I166+1)=3,RAMP_W3,RAMP_W4PLUS)))))*(INDEX(ACTIVE_MULT_TABLE,3,1))*(1+SUMPRODUCT(SIGN(((ACT_DOOR_SCOPE="ALL")+(ACT_DOOR_SCOPE="TIER_"&amp;$F166)+(ACT_DOOR_SCOPE=$B166)))*SIGN(((ACT_SKU_SCOPE="ALL")+(ACT_SKU_SCOPE=$G166)))*(ACT_START&lt;=13)*(ACT_END&gt;=13)*IFERROR(ACT_UPLIFT-1,0)))*(1+SUMPRODUCT(SIGN(((ACT_DOOR_SCOPE="ALL")+(ACT_DOOR_SCOPE="TIER_"&amp;$F166)+(ACT_DOOR_SCOPE=$B166)))*SIGN(((ACT_SKU_SCOPE="ALL")+(ACT_SKU_SCOPE=$G166)))*(13&gt;ACT_END)*(ACT_END&gt;0)*IFERROR(ACT_POSTLIFT,0))),0)))</f>
        <v/>
      </c>
    </row>
    <row r="167">
      <c r="A167" t="inlineStr">
        <is>
          <t>R0163</t>
        </is>
      </c>
      <c r="B167">
        <f>Doors!$A$59</f>
        <v/>
      </c>
      <c r="C167">
        <f>Doors!$C$59</f>
        <v/>
      </c>
      <c r="D167">
        <f>Doors!$B$59</f>
        <v/>
      </c>
      <c r="E167">
        <f>Doors!$E$59</f>
        <v/>
      </c>
      <c r="F167">
        <f>Doors!$F$59</f>
        <v/>
      </c>
      <c r="G167" t="inlineStr">
        <is>
          <t>Lime Lemon</t>
        </is>
      </c>
      <c r="H167">
        <f>Doors!$G$59</f>
        <v/>
      </c>
      <c r="I167">
        <f>Doors!$J$59</f>
        <v/>
      </c>
      <c r="J167" s="10">
        <f>IF(OR($H167&lt;&gt;"Y",1&lt;$I167),0,IF(SUMPRODUCT(((BULK_ENABLED="Y")*((BULK_TIER="ALL")+(BULK_TIER=$F167))*((BULK_SKU="ALL")+(BULK_SKU=$G167))*(BULK_START&lt;=1)*(BULK_END&gt;=1)))&gt;0,IFERROR(SUMPRODUCT(((BULK_ENABLED="Y")*((BULK_TIER="ALL")+(BULK_TIER=$F167))*((BULK_SKU="ALL")+(BULK_SKU=$G167))*(BULK_START&lt;=1)*(BULK_END&gt;=1))*IFERROR(BULK_VALUE,0))/MAX(1,SUMPRODUCT(((BULK_ENABLED="Y")*((BULK_TIER="ALL")+(BULK_TIER=$F167))*((BULK_SKU="ALL")+(BULK_SKU=$G167))*(BULK_START&lt;=1)*(BULK_END&gt;=1)))),0),ROUND((INDEX(VELOCITY_TABLE,MATCH($F167,TIER_LIST,0),1))*(IF((1-$I167+1)&lt;=0,0,IF((1-$I167+1)=1,RAMP_W1,IF((1-$I167+1)=2,RAMP_W2,IF((1-$I167+1)=3,RAMP_W3,RAMP_W4PLUS)))))*(INDEX(ACTIVE_MULT_TABLE,1,1))*(1+SUMPRODUCT(SIGN(((ACT_DOOR_SCOPE="ALL")+(ACT_DOOR_SCOPE="TIER_"&amp;$F167)+(ACT_DOOR_SCOPE=$B167)))*SIGN(((ACT_SKU_SCOPE="ALL")+(ACT_SKU_SCOPE=$G167)))*(ACT_START&lt;=1)*(ACT_END&gt;=1)*IFERROR(ACT_UPLIFT-1,0)))*(1+SUMPRODUCT(SIGN(((ACT_DOOR_SCOPE="ALL")+(ACT_DOOR_SCOPE="TIER_"&amp;$F167)+(ACT_DOOR_SCOPE=$B167)))*SIGN(((ACT_SKU_SCOPE="ALL")+(ACT_SKU_SCOPE=$G167)))*(1&gt;ACT_END)*(ACT_END&gt;0)*IFERROR(ACT_POSTLIFT,0))),0)))</f>
        <v/>
      </c>
      <c r="K167" s="10">
        <f>IF(OR($H167&lt;&gt;"Y",2&lt;$I167),0,IF(SUMPRODUCT(((BULK_ENABLED="Y")*((BULK_TIER="ALL")+(BULK_TIER=$F167))*((BULK_SKU="ALL")+(BULK_SKU=$G167))*(BULK_START&lt;=2)*(BULK_END&gt;=2)))&gt;0,IFERROR(SUMPRODUCT(((BULK_ENABLED="Y")*((BULK_TIER="ALL")+(BULK_TIER=$F167))*((BULK_SKU="ALL")+(BULK_SKU=$G167))*(BULK_START&lt;=2)*(BULK_END&gt;=2))*IFERROR(BULK_VALUE,0))/MAX(1,SUMPRODUCT(((BULK_ENABLED="Y")*((BULK_TIER="ALL")+(BULK_TIER=$F167))*((BULK_SKU="ALL")+(BULK_SKU=$G167))*(BULK_START&lt;=2)*(BULK_END&gt;=2)))),0),ROUND((INDEX(VELOCITY_TABLE,MATCH($F167,TIER_LIST,0),1))*(IF((2-$I167+1)&lt;=0,0,IF((2-$I167+1)=1,RAMP_W1,IF((2-$I167+1)=2,RAMP_W2,IF((2-$I167+1)=3,RAMP_W3,RAMP_W4PLUS)))))*(INDEX(ACTIVE_MULT_TABLE,1,1))*(1+SUMPRODUCT(SIGN(((ACT_DOOR_SCOPE="ALL")+(ACT_DOOR_SCOPE="TIER_"&amp;$F167)+(ACT_DOOR_SCOPE=$B167)))*SIGN(((ACT_SKU_SCOPE="ALL")+(ACT_SKU_SCOPE=$G167)))*(ACT_START&lt;=2)*(ACT_END&gt;=2)*IFERROR(ACT_UPLIFT-1,0)))*(1+SUMPRODUCT(SIGN(((ACT_DOOR_SCOPE="ALL")+(ACT_DOOR_SCOPE="TIER_"&amp;$F167)+(ACT_DOOR_SCOPE=$B167)))*SIGN(((ACT_SKU_SCOPE="ALL")+(ACT_SKU_SCOPE=$G167)))*(2&gt;ACT_END)*(ACT_END&gt;0)*IFERROR(ACT_POSTLIFT,0))),0)))</f>
        <v/>
      </c>
      <c r="L167" s="10">
        <f>IF(OR($H167&lt;&gt;"Y",3&lt;$I167),0,IF(SUMPRODUCT(((BULK_ENABLED="Y")*((BULK_TIER="ALL")+(BULK_TIER=$F167))*((BULK_SKU="ALL")+(BULK_SKU=$G167))*(BULK_START&lt;=3)*(BULK_END&gt;=3)))&gt;0,IFERROR(SUMPRODUCT(((BULK_ENABLED="Y")*((BULK_TIER="ALL")+(BULK_TIER=$F167))*((BULK_SKU="ALL")+(BULK_SKU=$G167))*(BULK_START&lt;=3)*(BULK_END&gt;=3))*IFERROR(BULK_VALUE,0))/MAX(1,SUMPRODUCT(((BULK_ENABLED="Y")*((BULK_TIER="ALL")+(BULK_TIER=$F167))*((BULK_SKU="ALL")+(BULK_SKU=$G167))*(BULK_START&lt;=3)*(BULK_END&gt;=3)))),0),ROUND((INDEX(VELOCITY_TABLE,MATCH($F167,TIER_LIST,0),1))*(IF((3-$I167+1)&lt;=0,0,IF((3-$I167+1)=1,RAMP_W1,IF((3-$I167+1)=2,RAMP_W2,IF((3-$I167+1)=3,RAMP_W3,RAMP_W4PLUS)))))*(INDEX(ACTIVE_MULT_TABLE,1,1))*(1+SUMPRODUCT(SIGN(((ACT_DOOR_SCOPE="ALL")+(ACT_DOOR_SCOPE="TIER_"&amp;$F167)+(ACT_DOOR_SCOPE=$B167)))*SIGN(((ACT_SKU_SCOPE="ALL")+(ACT_SKU_SCOPE=$G167)))*(ACT_START&lt;=3)*(ACT_END&gt;=3)*IFERROR(ACT_UPLIFT-1,0)))*(1+SUMPRODUCT(SIGN(((ACT_DOOR_SCOPE="ALL")+(ACT_DOOR_SCOPE="TIER_"&amp;$F167)+(ACT_DOOR_SCOPE=$B167)))*SIGN(((ACT_SKU_SCOPE="ALL")+(ACT_SKU_SCOPE=$G167)))*(3&gt;ACT_END)*(ACT_END&gt;0)*IFERROR(ACT_POSTLIFT,0))),0)))</f>
        <v/>
      </c>
      <c r="M167" s="10">
        <f>IF(OR($H167&lt;&gt;"Y",4&lt;$I167),0,IF(SUMPRODUCT(((BULK_ENABLED="Y")*((BULK_TIER="ALL")+(BULK_TIER=$F167))*((BULK_SKU="ALL")+(BULK_SKU=$G167))*(BULK_START&lt;=4)*(BULK_END&gt;=4)))&gt;0,IFERROR(SUMPRODUCT(((BULK_ENABLED="Y")*((BULK_TIER="ALL")+(BULK_TIER=$F167))*((BULK_SKU="ALL")+(BULK_SKU=$G167))*(BULK_START&lt;=4)*(BULK_END&gt;=4))*IFERROR(BULK_VALUE,0))/MAX(1,SUMPRODUCT(((BULK_ENABLED="Y")*((BULK_TIER="ALL")+(BULK_TIER=$F167))*((BULK_SKU="ALL")+(BULK_SKU=$G167))*(BULK_START&lt;=4)*(BULK_END&gt;=4)))),0),ROUND((INDEX(VELOCITY_TABLE,MATCH($F167,TIER_LIST,0),1))*(IF((4-$I167+1)&lt;=0,0,IF((4-$I167+1)=1,RAMP_W1,IF((4-$I167+1)=2,RAMP_W2,IF((4-$I167+1)=3,RAMP_W3,RAMP_W4PLUS)))))*(INDEX(ACTIVE_MULT_TABLE,1,1))*(1+SUMPRODUCT(SIGN(((ACT_DOOR_SCOPE="ALL")+(ACT_DOOR_SCOPE="TIER_"&amp;$F167)+(ACT_DOOR_SCOPE=$B167)))*SIGN(((ACT_SKU_SCOPE="ALL")+(ACT_SKU_SCOPE=$G167)))*(ACT_START&lt;=4)*(ACT_END&gt;=4)*IFERROR(ACT_UPLIFT-1,0)))*(1+SUMPRODUCT(SIGN(((ACT_DOOR_SCOPE="ALL")+(ACT_DOOR_SCOPE="TIER_"&amp;$F167)+(ACT_DOOR_SCOPE=$B167)))*SIGN(((ACT_SKU_SCOPE="ALL")+(ACT_SKU_SCOPE=$G167)))*(4&gt;ACT_END)*(ACT_END&gt;0)*IFERROR(ACT_POSTLIFT,0))),0)))</f>
        <v/>
      </c>
      <c r="N167" s="10">
        <f>IF(OR($H167&lt;&gt;"Y",5&lt;$I167),0,IF(SUMPRODUCT(((BULK_ENABLED="Y")*((BULK_TIER="ALL")+(BULK_TIER=$F167))*((BULK_SKU="ALL")+(BULK_SKU=$G167))*(BULK_START&lt;=5)*(BULK_END&gt;=5)))&gt;0,IFERROR(SUMPRODUCT(((BULK_ENABLED="Y")*((BULK_TIER="ALL")+(BULK_TIER=$F167))*((BULK_SKU="ALL")+(BULK_SKU=$G167))*(BULK_START&lt;=5)*(BULK_END&gt;=5))*IFERROR(BULK_VALUE,0))/MAX(1,SUMPRODUCT(((BULK_ENABLED="Y")*((BULK_TIER="ALL")+(BULK_TIER=$F167))*((BULK_SKU="ALL")+(BULK_SKU=$G167))*(BULK_START&lt;=5)*(BULK_END&gt;=5)))),0),ROUND((INDEX(VELOCITY_TABLE,MATCH($F167,TIER_LIST,0),1))*(IF((5-$I167+1)&lt;=0,0,IF((5-$I167+1)=1,RAMP_W1,IF((5-$I167+1)=2,RAMP_W2,IF((5-$I167+1)=3,RAMP_W3,RAMP_W4PLUS)))))*(INDEX(ACTIVE_MULT_TABLE,1,1))*(1+SUMPRODUCT(SIGN(((ACT_DOOR_SCOPE="ALL")+(ACT_DOOR_SCOPE="TIER_"&amp;$F167)+(ACT_DOOR_SCOPE=$B167)))*SIGN(((ACT_SKU_SCOPE="ALL")+(ACT_SKU_SCOPE=$G167)))*(ACT_START&lt;=5)*(ACT_END&gt;=5)*IFERROR(ACT_UPLIFT-1,0)))*(1+SUMPRODUCT(SIGN(((ACT_DOOR_SCOPE="ALL")+(ACT_DOOR_SCOPE="TIER_"&amp;$F167)+(ACT_DOOR_SCOPE=$B167)))*SIGN(((ACT_SKU_SCOPE="ALL")+(ACT_SKU_SCOPE=$G167)))*(5&gt;ACT_END)*(ACT_END&gt;0)*IFERROR(ACT_POSTLIFT,0))),0)))</f>
        <v/>
      </c>
      <c r="O167" s="10">
        <f>IF(OR($H167&lt;&gt;"Y",6&lt;$I167),0,IF(SUMPRODUCT(((BULK_ENABLED="Y")*((BULK_TIER="ALL")+(BULK_TIER=$F167))*((BULK_SKU="ALL")+(BULK_SKU=$G167))*(BULK_START&lt;=6)*(BULK_END&gt;=6)))&gt;0,IFERROR(SUMPRODUCT(((BULK_ENABLED="Y")*((BULK_TIER="ALL")+(BULK_TIER=$F167))*((BULK_SKU="ALL")+(BULK_SKU=$G167))*(BULK_START&lt;=6)*(BULK_END&gt;=6))*IFERROR(BULK_VALUE,0))/MAX(1,SUMPRODUCT(((BULK_ENABLED="Y")*((BULK_TIER="ALL")+(BULK_TIER=$F167))*((BULK_SKU="ALL")+(BULK_SKU=$G167))*(BULK_START&lt;=6)*(BULK_END&gt;=6)))),0),ROUND((INDEX(VELOCITY_TABLE,MATCH($F167,TIER_LIST,0),1))*(IF((6-$I167+1)&lt;=0,0,IF((6-$I167+1)=1,RAMP_W1,IF((6-$I167+1)=2,RAMP_W2,IF((6-$I167+1)=3,RAMP_W3,RAMP_W4PLUS)))))*(INDEX(ACTIVE_MULT_TABLE,1,1))*(1+SUMPRODUCT(SIGN(((ACT_DOOR_SCOPE="ALL")+(ACT_DOOR_SCOPE="TIER_"&amp;$F167)+(ACT_DOOR_SCOPE=$B167)))*SIGN(((ACT_SKU_SCOPE="ALL")+(ACT_SKU_SCOPE=$G167)))*(ACT_START&lt;=6)*(ACT_END&gt;=6)*IFERROR(ACT_UPLIFT-1,0)))*(1+SUMPRODUCT(SIGN(((ACT_DOOR_SCOPE="ALL")+(ACT_DOOR_SCOPE="TIER_"&amp;$F167)+(ACT_DOOR_SCOPE=$B167)))*SIGN(((ACT_SKU_SCOPE="ALL")+(ACT_SKU_SCOPE=$G167)))*(6&gt;ACT_END)*(ACT_END&gt;0)*IFERROR(ACT_POSTLIFT,0))),0)))</f>
        <v/>
      </c>
      <c r="P167" s="10">
        <f>IF(OR($H167&lt;&gt;"Y",7&lt;$I167),0,IF(SUMPRODUCT(((BULK_ENABLED="Y")*((BULK_TIER="ALL")+(BULK_TIER=$F167))*((BULK_SKU="ALL")+(BULK_SKU=$G167))*(BULK_START&lt;=7)*(BULK_END&gt;=7)))&gt;0,IFERROR(SUMPRODUCT(((BULK_ENABLED="Y")*((BULK_TIER="ALL")+(BULK_TIER=$F167))*((BULK_SKU="ALL")+(BULK_SKU=$G167))*(BULK_START&lt;=7)*(BULK_END&gt;=7))*IFERROR(BULK_VALUE,0))/MAX(1,SUMPRODUCT(((BULK_ENABLED="Y")*((BULK_TIER="ALL")+(BULK_TIER=$F167))*((BULK_SKU="ALL")+(BULK_SKU=$G167))*(BULK_START&lt;=7)*(BULK_END&gt;=7)))),0),ROUND((INDEX(VELOCITY_TABLE,MATCH($F167,TIER_LIST,0),1))*(IF((7-$I167+1)&lt;=0,0,IF((7-$I167+1)=1,RAMP_W1,IF((7-$I167+1)=2,RAMP_W2,IF((7-$I167+1)=3,RAMP_W3,RAMP_W4PLUS)))))*(INDEX(ACTIVE_MULT_TABLE,1,1))*(1+SUMPRODUCT(SIGN(((ACT_DOOR_SCOPE="ALL")+(ACT_DOOR_SCOPE="TIER_"&amp;$F167)+(ACT_DOOR_SCOPE=$B167)))*SIGN(((ACT_SKU_SCOPE="ALL")+(ACT_SKU_SCOPE=$G167)))*(ACT_START&lt;=7)*(ACT_END&gt;=7)*IFERROR(ACT_UPLIFT-1,0)))*(1+SUMPRODUCT(SIGN(((ACT_DOOR_SCOPE="ALL")+(ACT_DOOR_SCOPE="TIER_"&amp;$F167)+(ACT_DOOR_SCOPE=$B167)))*SIGN(((ACT_SKU_SCOPE="ALL")+(ACT_SKU_SCOPE=$G167)))*(7&gt;ACT_END)*(ACT_END&gt;0)*IFERROR(ACT_POSTLIFT,0))),0)))</f>
        <v/>
      </c>
      <c r="Q167" s="10">
        <f>IF(OR($H167&lt;&gt;"Y",8&lt;$I167),0,IF(SUMPRODUCT(((BULK_ENABLED="Y")*((BULK_TIER="ALL")+(BULK_TIER=$F167))*((BULK_SKU="ALL")+(BULK_SKU=$G167))*(BULK_START&lt;=8)*(BULK_END&gt;=8)))&gt;0,IFERROR(SUMPRODUCT(((BULK_ENABLED="Y")*((BULK_TIER="ALL")+(BULK_TIER=$F167))*((BULK_SKU="ALL")+(BULK_SKU=$G167))*(BULK_START&lt;=8)*(BULK_END&gt;=8))*IFERROR(BULK_VALUE,0))/MAX(1,SUMPRODUCT(((BULK_ENABLED="Y")*((BULK_TIER="ALL")+(BULK_TIER=$F167))*((BULK_SKU="ALL")+(BULK_SKU=$G167))*(BULK_START&lt;=8)*(BULK_END&gt;=8)))),0),ROUND((INDEX(VELOCITY_TABLE,MATCH($F167,TIER_LIST,0),1))*(IF((8-$I167+1)&lt;=0,0,IF((8-$I167+1)=1,RAMP_W1,IF((8-$I167+1)=2,RAMP_W2,IF((8-$I167+1)=3,RAMP_W3,RAMP_W4PLUS)))))*(INDEX(ACTIVE_MULT_TABLE,1,1))*(1+SUMPRODUCT(SIGN(((ACT_DOOR_SCOPE="ALL")+(ACT_DOOR_SCOPE="TIER_"&amp;$F167)+(ACT_DOOR_SCOPE=$B167)))*SIGN(((ACT_SKU_SCOPE="ALL")+(ACT_SKU_SCOPE=$G167)))*(ACT_START&lt;=8)*(ACT_END&gt;=8)*IFERROR(ACT_UPLIFT-1,0)))*(1+SUMPRODUCT(SIGN(((ACT_DOOR_SCOPE="ALL")+(ACT_DOOR_SCOPE="TIER_"&amp;$F167)+(ACT_DOOR_SCOPE=$B167)))*SIGN(((ACT_SKU_SCOPE="ALL")+(ACT_SKU_SCOPE=$G167)))*(8&gt;ACT_END)*(ACT_END&gt;0)*IFERROR(ACT_POSTLIFT,0))),0)))</f>
        <v/>
      </c>
      <c r="R167" s="10">
        <f>IF(OR($H167&lt;&gt;"Y",9&lt;$I167),0,IF(SUMPRODUCT(((BULK_ENABLED="Y")*((BULK_TIER="ALL")+(BULK_TIER=$F167))*((BULK_SKU="ALL")+(BULK_SKU=$G167))*(BULK_START&lt;=9)*(BULK_END&gt;=9)))&gt;0,IFERROR(SUMPRODUCT(((BULK_ENABLED="Y")*((BULK_TIER="ALL")+(BULK_TIER=$F167))*((BULK_SKU="ALL")+(BULK_SKU=$G167))*(BULK_START&lt;=9)*(BULK_END&gt;=9))*IFERROR(BULK_VALUE,0))/MAX(1,SUMPRODUCT(((BULK_ENABLED="Y")*((BULK_TIER="ALL")+(BULK_TIER=$F167))*((BULK_SKU="ALL")+(BULK_SKU=$G167))*(BULK_START&lt;=9)*(BULK_END&gt;=9)))),0),ROUND((INDEX(VELOCITY_TABLE,MATCH($F167,TIER_LIST,0),1))*(IF((9-$I167+1)&lt;=0,0,IF((9-$I167+1)=1,RAMP_W1,IF((9-$I167+1)=2,RAMP_W2,IF((9-$I167+1)=3,RAMP_W3,RAMP_W4PLUS)))))*(INDEX(ACTIVE_MULT_TABLE,1,1))*(1+SUMPRODUCT(SIGN(((ACT_DOOR_SCOPE="ALL")+(ACT_DOOR_SCOPE="TIER_"&amp;$F167)+(ACT_DOOR_SCOPE=$B167)))*SIGN(((ACT_SKU_SCOPE="ALL")+(ACT_SKU_SCOPE=$G167)))*(ACT_START&lt;=9)*(ACT_END&gt;=9)*IFERROR(ACT_UPLIFT-1,0)))*(1+SUMPRODUCT(SIGN(((ACT_DOOR_SCOPE="ALL")+(ACT_DOOR_SCOPE="TIER_"&amp;$F167)+(ACT_DOOR_SCOPE=$B167)))*SIGN(((ACT_SKU_SCOPE="ALL")+(ACT_SKU_SCOPE=$G167)))*(9&gt;ACT_END)*(ACT_END&gt;0)*IFERROR(ACT_POSTLIFT,0))),0)))</f>
        <v/>
      </c>
      <c r="S167" s="10">
        <f>IF(OR($H167&lt;&gt;"Y",10&lt;$I167),0,IF(SUMPRODUCT(((BULK_ENABLED="Y")*((BULK_TIER="ALL")+(BULK_TIER=$F167))*((BULK_SKU="ALL")+(BULK_SKU=$G167))*(BULK_START&lt;=10)*(BULK_END&gt;=10)))&gt;0,IFERROR(SUMPRODUCT(((BULK_ENABLED="Y")*((BULK_TIER="ALL")+(BULK_TIER=$F167))*((BULK_SKU="ALL")+(BULK_SKU=$G167))*(BULK_START&lt;=10)*(BULK_END&gt;=10))*IFERROR(BULK_VALUE,0))/MAX(1,SUMPRODUCT(((BULK_ENABLED="Y")*((BULK_TIER="ALL")+(BULK_TIER=$F167))*((BULK_SKU="ALL")+(BULK_SKU=$G167))*(BULK_START&lt;=10)*(BULK_END&gt;=10)))),0),ROUND((INDEX(VELOCITY_TABLE,MATCH($F167,TIER_LIST,0),1))*(IF((10-$I167+1)&lt;=0,0,IF((10-$I167+1)=1,RAMP_W1,IF((10-$I167+1)=2,RAMP_W2,IF((10-$I167+1)=3,RAMP_W3,RAMP_W4PLUS)))))*(INDEX(ACTIVE_MULT_TABLE,1,1))*(1+SUMPRODUCT(SIGN(((ACT_DOOR_SCOPE="ALL")+(ACT_DOOR_SCOPE="TIER_"&amp;$F167)+(ACT_DOOR_SCOPE=$B167)))*SIGN(((ACT_SKU_SCOPE="ALL")+(ACT_SKU_SCOPE=$G167)))*(ACT_START&lt;=10)*(ACT_END&gt;=10)*IFERROR(ACT_UPLIFT-1,0)))*(1+SUMPRODUCT(SIGN(((ACT_DOOR_SCOPE="ALL")+(ACT_DOOR_SCOPE="TIER_"&amp;$F167)+(ACT_DOOR_SCOPE=$B167)))*SIGN(((ACT_SKU_SCOPE="ALL")+(ACT_SKU_SCOPE=$G167)))*(10&gt;ACT_END)*(ACT_END&gt;0)*IFERROR(ACT_POSTLIFT,0))),0)))</f>
        <v/>
      </c>
      <c r="T167" s="10">
        <f>IF(OR($H167&lt;&gt;"Y",11&lt;$I167),0,IF(SUMPRODUCT(((BULK_ENABLED="Y")*((BULK_TIER="ALL")+(BULK_TIER=$F167))*((BULK_SKU="ALL")+(BULK_SKU=$G167))*(BULK_START&lt;=11)*(BULK_END&gt;=11)))&gt;0,IFERROR(SUMPRODUCT(((BULK_ENABLED="Y")*((BULK_TIER="ALL")+(BULK_TIER=$F167))*((BULK_SKU="ALL")+(BULK_SKU=$G167))*(BULK_START&lt;=11)*(BULK_END&gt;=11))*IFERROR(BULK_VALUE,0))/MAX(1,SUMPRODUCT(((BULK_ENABLED="Y")*((BULK_TIER="ALL")+(BULK_TIER=$F167))*((BULK_SKU="ALL")+(BULK_SKU=$G167))*(BULK_START&lt;=11)*(BULK_END&gt;=11)))),0),ROUND((INDEX(VELOCITY_TABLE,MATCH($F167,TIER_LIST,0),1))*(IF((11-$I167+1)&lt;=0,0,IF((11-$I167+1)=1,RAMP_W1,IF((11-$I167+1)=2,RAMP_W2,IF((11-$I167+1)=3,RAMP_W3,RAMP_W4PLUS)))))*(INDEX(ACTIVE_MULT_TABLE,1,1))*(1+SUMPRODUCT(SIGN(((ACT_DOOR_SCOPE="ALL")+(ACT_DOOR_SCOPE="TIER_"&amp;$F167)+(ACT_DOOR_SCOPE=$B167)))*SIGN(((ACT_SKU_SCOPE="ALL")+(ACT_SKU_SCOPE=$G167)))*(ACT_START&lt;=11)*(ACT_END&gt;=11)*IFERROR(ACT_UPLIFT-1,0)))*(1+SUMPRODUCT(SIGN(((ACT_DOOR_SCOPE="ALL")+(ACT_DOOR_SCOPE="TIER_"&amp;$F167)+(ACT_DOOR_SCOPE=$B167)))*SIGN(((ACT_SKU_SCOPE="ALL")+(ACT_SKU_SCOPE=$G167)))*(11&gt;ACT_END)*(ACT_END&gt;0)*IFERROR(ACT_POSTLIFT,0))),0)))</f>
        <v/>
      </c>
      <c r="U167" s="10">
        <f>IF(OR($H167&lt;&gt;"Y",12&lt;$I167),0,IF(SUMPRODUCT(((BULK_ENABLED="Y")*((BULK_TIER="ALL")+(BULK_TIER=$F167))*((BULK_SKU="ALL")+(BULK_SKU=$G167))*(BULK_START&lt;=12)*(BULK_END&gt;=12)))&gt;0,IFERROR(SUMPRODUCT(((BULK_ENABLED="Y")*((BULK_TIER="ALL")+(BULK_TIER=$F167))*((BULK_SKU="ALL")+(BULK_SKU=$G167))*(BULK_START&lt;=12)*(BULK_END&gt;=12))*IFERROR(BULK_VALUE,0))/MAX(1,SUMPRODUCT(((BULK_ENABLED="Y")*((BULK_TIER="ALL")+(BULK_TIER=$F167))*((BULK_SKU="ALL")+(BULK_SKU=$G167))*(BULK_START&lt;=12)*(BULK_END&gt;=12)))),0),ROUND((INDEX(VELOCITY_TABLE,MATCH($F167,TIER_LIST,0),1))*(IF((12-$I167+1)&lt;=0,0,IF((12-$I167+1)=1,RAMP_W1,IF((12-$I167+1)=2,RAMP_W2,IF((12-$I167+1)=3,RAMP_W3,RAMP_W4PLUS)))))*(INDEX(ACTIVE_MULT_TABLE,1,1))*(1+SUMPRODUCT(SIGN(((ACT_DOOR_SCOPE="ALL")+(ACT_DOOR_SCOPE="TIER_"&amp;$F167)+(ACT_DOOR_SCOPE=$B167)))*SIGN(((ACT_SKU_SCOPE="ALL")+(ACT_SKU_SCOPE=$G167)))*(ACT_START&lt;=12)*(ACT_END&gt;=12)*IFERROR(ACT_UPLIFT-1,0)))*(1+SUMPRODUCT(SIGN(((ACT_DOOR_SCOPE="ALL")+(ACT_DOOR_SCOPE="TIER_"&amp;$F167)+(ACT_DOOR_SCOPE=$B167)))*SIGN(((ACT_SKU_SCOPE="ALL")+(ACT_SKU_SCOPE=$G167)))*(12&gt;ACT_END)*(ACT_END&gt;0)*IFERROR(ACT_POSTLIFT,0))),0)))</f>
        <v/>
      </c>
      <c r="V167" s="10">
        <f>IF(OR($H167&lt;&gt;"Y",13&lt;$I167),0,IF(SUMPRODUCT(((BULK_ENABLED="Y")*((BULK_TIER="ALL")+(BULK_TIER=$F167))*((BULK_SKU="ALL")+(BULK_SKU=$G167))*(BULK_START&lt;=13)*(BULK_END&gt;=13)))&gt;0,IFERROR(SUMPRODUCT(((BULK_ENABLED="Y")*((BULK_TIER="ALL")+(BULK_TIER=$F167))*((BULK_SKU="ALL")+(BULK_SKU=$G167))*(BULK_START&lt;=13)*(BULK_END&gt;=13))*IFERROR(BULK_VALUE,0))/MAX(1,SUMPRODUCT(((BULK_ENABLED="Y")*((BULK_TIER="ALL")+(BULK_TIER=$F167))*((BULK_SKU="ALL")+(BULK_SKU=$G167))*(BULK_START&lt;=13)*(BULK_END&gt;=13)))),0),ROUND((INDEX(VELOCITY_TABLE,MATCH($F167,TIER_LIST,0),1))*(IF((13-$I167+1)&lt;=0,0,IF((13-$I167+1)=1,RAMP_W1,IF((13-$I167+1)=2,RAMP_W2,IF((13-$I167+1)=3,RAMP_W3,RAMP_W4PLUS)))))*(INDEX(ACTIVE_MULT_TABLE,1,1))*(1+SUMPRODUCT(SIGN(((ACT_DOOR_SCOPE="ALL")+(ACT_DOOR_SCOPE="TIER_"&amp;$F167)+(ACT_DOOR_SCOPE=$B167)))*SIGN(((ACT_SKU_SCOPE="ALL")+(ACT_SKU_SCOPE=$G167)))*(ACT_START&lt;=13)*(ACT_END&gt;=13)*IFERROR(ACT_UPLIFT-1,0)))*(1+SUMPRODUCT(SIGN(((ACT_DOOR_SCOPE="ALL")+(ACT_DOOR_SCOPE="TIER_"&amp;$F167)+(ACT_DOOR_SCOPE=$B167)))*SIGN(((ACT_SKU_SCOPE="ALL")+(ACT_SKU_SCOPE=$G167)))*(13&gt;ACT_END)*(ACT_END&gt;0)*IFERROR(ACT_POSTLIFT,0))),0)))</f>
        <v/>
      </c>
    </row>
    <row r="168">
      <c r="A168" t="inlineStr">
        <is>
          <t>R0164</t>
        </is>
      </c>
      <c r="B168">
        <f>Doors!$A$59</f>
        <v/>
      </c>
      <c r="C168">
        <f>Doors!$C$59</f>
        <v/>
      </c>
      <c r="D168">
        <f>Doors!$B$59</f>
        <v/>
      </c>
      <c r="E168">
        <f>Doors!$E$59</f>
        <v/>
      </c>
      <c r="F168">
        <f>Doors!$F$59</f>
        <v/>
      </c>
      <c r="G168" t="inlineStr">
        <is>
          <t>Pineapple Passion Fruit</t>
        </is>
      </c>
      <c r="H168">
        <f>Doors!$H$59</f>
        <v/>
      </c>
      <c r="I168">
        <f>Doors!$J$59</f>
        <v/>
      </c>
      <c r="J168" s="10">
        <f>IF(OR($H168&lt;&gt;"Y",1&lt;$I168),0,IF(SUMPRODUCT(((BULK_ENABLED="Y")*((BULK_TIER="ALL")+(BULK_TIER=$F168))*((BULK_SKU="ALL")+(BULK_SKU=$G168))*(BULK_START&lt;=1)*(BULK_END&gt;=1)))&gt;0,IFERROR(SUMPRODUCT(((BULK_ENABLED="Y")*((BULK_TIER="ALL")+(BULK_TIER=$F168))*((BULK_SKU="ALL")+(BULK_SKU=$G168))*(BULK_START&lt;=1)*(BULK_END&gt;=1))*IFERROR(BULK_VALUE,0))/MAX(1,SUMPRODUCT(((BULK_ENABLED="Y")*((BULK_TIER="ALL")+(BULK_TIER=$F168))*((BULK_SKU="ALL")+(BULK_SKU=$G168))*(BULK_START&lt;=1)*(BULK_END&gt;=1)))),0),ROUND((INDEX(VELOCITY_TABLE,MATCH($F168,TIER_LIST,0),2))*(IF((1-$I168+1)&lt;=0,0,IF((1-$I168+1)=1,RAMP_W1,IF((1-$I168+1)=2,RAMP_W2,IF((1-$I168+1)=3,RAMP_W3,RAMP_W4PLUS)))))*(INDEX(ACTIVE_MULT_TABLE,2,1))*(1+SUMPRODUCT(SIGN(((ACT_DOOR_SCOPE="ALL")+(ACT_DOOR_SCOPE="TIER_"&amp;$F168)+(ACT_DOOR_SCOPE=$B168)))*SIGN(((ACT_SKU_SCOPE="ALL")+(ACT_SKU_SCOPE=$G168)))*(ACT_START&lt;=1)*(ACT_END&gt;=1)*IFERROR(ACT_UPLIFT-1,0)))*(1+SUMPRODUCT(SIGN(((ACT_DOOR_SCOPE="ALL")+(ACT_DOOR_SCOPE="TIER_"&amp;$F168)+(ACT_DOOR_SCOPE=$B168)))*SIGN(((ACT_SKU_SCOPE="ALL")+(ACT_SKU_SCOPE=$G168)))*(1&gt;ACT_END)*(ACT_END&gt;0)*IFERROR(ACT_POSTLIFT,0))),0)))</f>
        <v/>
      </c>
      <c r="K168" s="10">
        <f>IF(OR($H168&lt;&gt;"Y",2&lt;$I168),0,IF(SUMPRODUCT(((BULK_ENABLED="Y")*((BULK_TIER="ALL")+(BULK_TIER=$F168))*((BULK_SKU="ALL")+(BULK_SKU=$G168))*(BULK_START&lt;=2)*(BULK_END&gt;=2)))&gt;0,IFERROR(SUMPRODUCT(((BULK_ENABLED="Y")*((BULK_TIER="ALL")+(BULK_TIER=$F168))*((BULK_SKU="ALL")+(BULK_SKU=$G168))*(BULK_START&lt;=2)*(BULK_END&gt;=2))*IFERROR(BULK_VALUE,0))/MAX(1,SUMPRODUCT(((BULK_ENABLED="Y")*((BULK_TIER="ALL")+(BULK_TIER=$F168))*((BULK_SKU="ALL")+(BULK_SKU=$G168))*(BULK_START&lt;=2)*(BULK_END&gt;=2)))),0),ROUND((INDEX(VELOCITY_TABLE,MATCH($F168,TIER_LIST,0),2))*(IF((2-$I168+1)&lt;=0,0,IF((2-$I168+1)=1,RAMP_W1,IF((2-$I168+1)=2,RAMP_W2,IF((2-$I168+1)=3,RAMP_W3,RAMP_W4PLUS)))))*(INDEX(ACTIVE_MULT_TABLE,2,1))*(1+SUMPRODUCT(SIGN(((ACT_DOOR_SCOPE="ALL")+(ACT_DOOR_SCOPE="TIER_"&amp;$F168)+(ACT_DOOR_SCOPE=$B168)))*SIGN(((ACT_SKU_SCOPE="ALL")+(ACT_SKU_SCOPE=$G168)))*(ACT_START&lt;=2)*(ACT_END&gt;=2)*IFERROR(ACT_UPLIFT-1,0)))*(1+SUMPRODUCT(SIGN(((ACT_DOOR_SCOPE="ALL")+(ACT_DOOR_SCOPE="TIER_"&amp;$F168)+(ACT_DOOR_SCOPE=$B168)))*SIGN(((ACT_SKU_SCOPE="ALL")+(ACT_SKU_SCOPE=$G168)))*(2&gt;ACT_END)*(ACT_END&gt;0)*IFERROR(ACT_POSTLIFT,0))),0)))</f>
        <v/>
      </c>
      <c r="L168" s="10">
        <f>IF(OR($H168&lt;&gt;"Y",3&lt;$I168),0,IF(SUMPRODUCT(((BULK_ENABLED="Y")*((BULK_TIER="ALL")+(BULK_TIER=$F168))*((BULK_SKU="ALL")+(BULK_SKU=$G168))*(BULK_START&lt;=3)*(BULK_END&gt;=3)))&gt;0,IFERROR(SUMPRODUCT(((BULK_ENABLED="Y")*((BULK_TIER="ALL")+(BULK_TIER=$F168))*((BULK_SKU="ALL")+(BULK_SKU=$G168))*(BULK_START&lt;=3)*(BULK_END&gt;=3))*IFERROR(BULK_VALUE,0))/MAX(1,SUMPRODUCT(((BULK_ENABLED="Y")*((BULK_TIER="ALL")+(BULK_TIER=$F168))*((BULK_SKU="ALL")+(BULK_SKU=$G168))*(BULK_START&lt;=3)*(BULK_END&gt;=3)))),0),ROUND((INDEX(VELOCITY_TABLE,MATCH($F168,TIER_LIST,0),2))*(IF((3-$I168+1)&lt;=0,0,IF((3-$I168+1)=1,RAMP_W1,IF((3-$I168+1)=2,RAMP_W2,IF((3-$I168+1)=3,RAMP_W3,RAMP_W4PLUS)))))*(INDEX(ACTIVE_MULT_TABLE,2,1))*(1+SUMPRODUCT(SIGN(((ACT_DOOR_SCOPE="ALL")+(ACT_DOOR_SCOPE="TIER_"&amp;$F168)+(ACT_DOOR_SCOPE=$B168)))*SIGN(((ACT_SKU_SCOPE="ALL")+(ACT_SKU_SCOPE=$G168)))*(ACT_START&lt;=3)*(ACT_END&gt;=3)*IFERROR(ACT_UPLIFT-1,0)))*(1+SUMPRODUCT(SIGN(((ACT_DOOR_SCOPE="ALL")+(ACT_DOOR_SCOPE="TIER_"&amp;$F168)+(ACT_DOOR_SCOPE=$B168)))*SIGN(((ACT_SKU_SCOPE="ALL")+(ACT_SKU_SCOPE=$G168)))*(3&gt;ACT_END)*(ACT_END&gt;0)*IFERROR(ACT_POSTLIFT,0))),0)))</f>
        <v/>
      </c>
      <c r="M168" s="10">
        <f>IF(OR($H168&lt;&gt;"Y",4&lt;$I168),0,IF(SUMPRODUCT(((BULK_ENABLED="Y")*((BULK_TIER="ALL")+(BULK_TIER=$F168))*((BULK_SKU="ALL")+(BULK_SKU=$G168))*(BULK_START&lt;=4)*(BULK_END&gt;=4)))&gt;0,IFERROR(SUMPRODUCT(((BULK_ENABLED="Y")*((BULK_TIER="ALL")+(BULK_TIER=$F168))*((BULK_SKU="ALL")+(BULK_SKU=$G168))*(BULK_START&lt;=4)*(BULK_END&gt;=4))*IFERROR(BULK_VALUE,0))/MAX(1,SUMPRODUCT(((BULK_ENABLED="Y")*((BULK_TIER="ALL")+(BULK_TIER=$F168))*((BULK_SKU="ALL")+(BULK_SKU=$G168))*(BULK_START&lt;=4)*(BULK_END&gt;=4)))),0),ROUND((INDEX(VELOCITY_TABLE,MATCH($F168,TIER_LIST,0),2))*(IF((4-$I168+1)&lt;=0,0,IF((4-$I168+1)=1,RAMP_W1,IF((4-$I168+1)=2,RAMP_W2,IF((4-$I168+1)=3,RAMP_W3,RAMP_W4PLUS)))))*(INDEX(ACTIVE_MULT_TABLE,2,1))*(1+SUMPRODUCT(SIGN(((ACT_DOOR_SCOPE="ALL")+(ACT_DOOR_SCOPE="TIER_"&amp;$F168)+(ACT_DOOR_SCOPE=$B168)))*SIGN(((ACT_SKU_SCOPE="ALL")+(ACT_SKU_SCOPE=$G168)))*(ACT_START&lt;=4)*(ACT_END&gt;=4)*IFERROR(ACT_UPLIFT-1,0)))*(1+SUMPRODUCT(SIGN(((ACT_DOOR_SCOPE="ALL")+(ACT_DOOR_SCOPE="TIER_"&amp;$F168)+(ACT_DOOR_SCOPE=$B168)))*SIGN(((ACT_SKU_SCOPE="ALL")+(ACT_SKU_SCOPE=$G168)))*(4&gt;ACT_END)*(ACT_END&gt;0)*IFERROR(ACT_POSTLIFT,0))),0)))</f>
        <v/>
      </c>
      <c r="N168" s="10">
        <f>IF(OR($H168&lt;&gt;"Y",5&lt;$I168),0,IF(SUMPRODUCT(((BULK_ENABLED="Y")*((BULK_TIER="ALL")+(BULK_TIER=$F168))*((BULK_SKU="ALL")+(BULK_SKU=$G168))*(BULK_START&lt;=5)*(BULK_END&gt;=5)))&gt;0,IFERROR(SUMPRODUCT(((BULK_ENABLED="Y")*((BULK_TIER="ALL")+(BULK_TIER=$F168))*((BULK_SKU="ALL")+(BULK_SKU=$G168))*(BULK_START&lt;=5)*(BULK_END&gt;=5))*IFERROR(BULK_VALUE,0))/MAX(1,SUMPRODUCT(((BULK_ENABLED="Y")*((BULK_TIER="ALL")+(BULK_TIER=$F168))*((BULK_SKU="ALL")+(BULK_SKU=$G168))*(BULK_START&lt;=5)*(BULK_END&gt;=5)))),0),ROUND((INDEX(VELOCITY_TABLE,MATCH($F168,TIER_LIST,0),2))*(IF((5-$I168+1)&lt;=0,0,IF((5-$I168+1)=1,RAMP_W1,IF((5-$I168+1)=2,RAMP_W2,IF((5-$I168+1)=3,RAMP_W3,RAMP_W4PLUS)))))*(INDEX(ACTIVE_MULT_TABLE,2,1))*(1+SUMPRODUCT(SIGN(((ACT_DOOR_SCOPE="ALL")+(ACT_DOOR_SCOPE="TIER_"&amp;$F168)+(ACT_DOOR_SCOPE=$B168)))*SIGN(((ACT_SKU_SCOPE="ALL")+(ACT_SKU_SCOPE=$G168)))*(ACT_START&lt;=5)*(ACT_END&gt;=5)*IFERROR(ACT_UPLIFT-1,0)))*(1+SUMPRODUCT(SIGN(((ACT_DOOR_SCOPE="ALL")+(ACT_DOOR_SCOPE="TIER_"&amp;$F168)+(ACT_DOOR_SCOPE=$B168)))*SIGN(((ACT_SKU_SCOPE="ALL")+(ACT_SKU_SCOPE=$G168)))*(5&gt;ACT_END)*(ACT_END&gt;0)*IFERROR(ACT_POSTLIFT,0))),0)))</f>
        <v/>
      </c>
      <c r="O168" s="10">
        <f>IF(OR($H168&lt;&gt;"Y",6&lt;$I168),0,IF(SUMPRODUCT(((BULK_ENABLED="Y")*((BULK_TIER="ALL")+(BULK_TIER=$F168))*((BULK_SKU="ALL")+(BULK_SKU=$G168))*(BULK_START&lt;=6)*(BULK_END&gt;=6)))&gt;0,IFERROR(SUMPRODUCT(((BULK_ENABLED="Y")*((BULK_TIER="ALL")+(BULK_TIER=$F168))*((BULK_SKU="ALL")+(BULK_SKU=$G168))*(BULK_START&lt;=6)*(BULK_END&gt;=6))*IFERROR(BULK_VALUE,0))/MAX(1,SUMPRODUCT(((BULK_ENABLED="Y")*((BULK_TIER="ALL")+(BULK_TIER=$F168))*((BULK_SKU="ALL")+(BULK_SKU=$G168))*(BULK_START&lt;=6)*(BULK_END&gt;=6)))),0),ROUND((INDEX(VELOCITY_TABLE,MATCH($F168,TIER_LIST,0),2))*(IF((6-$I168+1)&lt;=0,0,IF((6-$I168+1)=1,RAMP_W1,IF((6-$I168+1)=2,RAMP_W2,IF((6-$I168+1)=3,RAMP_W3,RAMP_W4PLUS)))))*(INDEX(ACTIVE_MULT_TABLE,2,1))*(1+SUMPRODUCT(SIGN(((ACT_DOOR_SCOPE="ALL")+(ACT_DOOR_SCOPE="TIER_"&amp;$F168)+(ACT_DOOR_SCOPE=$B168)))*SIGN(((ACT_SKU_SCOPE="ALL")+(ACT_SKU_SCOPE=$G168)))*(ACT_START&lt;=6)*(ACT_END&gt;=6)*IFERROR(ACT_UPLIFT-1,0)))*(1+SUMPRODUCT(SIGN(((ACT_DOOR_SCOPE="ALL")+(ACT_DOOR_SCOPE="TIER_"&amp;$F168)+(ACT_DOOR_SCOPE=$B168)))*SIGN(((ACT_SKU_SCOPE="ALL")+(ACT_SKU_SCOPE=$G168)))*(6&gt;ACT_END)*(ACT_END&gt;0)*IFERROR(ACT_POSTLIFT,0))),0)))</f>
        <v/>
      </c>
      <c r="P168" s="10">
        <f>IF(OR($H168&lt;&gt;"Y",7&lt;$I168),0,IF(SUMPRODUCT(((BULK_ENABLED="Y")*((BULK_TIER="ALL")+(BULK_TIER=$F168))*((BULK_SKU="ALL")+(BULK_SKU=$G168))*(BULK_START&lt;=7)*(BULK_END&gt;=7)))&gt;0,IFERROR(SUMPRODUCT(((BULK_ENABLED="Y")*((BULK_TIER="ALL")+(BULK_TIER=$F168))*((BULK_SKU="ALL")+(BULK_SKU=$G168))*(BULK_START&lt;=7)*(BULK_END&gt;=7))*IFERROR(BULK_VALUE,0))/MAX(1,SUMPRODUCT(((BULK_ENABLED="Y")*((BULK_TIER="ALL")+(BULK_TIER=$F168))*((BULK_SKU="ALL")+(BULK_SKU=$G168))*(BULK_START&lt;=7)*(BULK_END&gt;=7)))),0),ROUND((INDEX(VELOCITY_TABLE,MATCH($F168,TIER_LIST,0),2))*(IF((7-$I168+1)&lt;=0,0,IF((7-$I168+1)=1,RAMP_W1,IF((7-$I168+1)=2,RAMP_W2,IF((7-$I168+1)=3,RAMP_W3,RAMP_W4PLUS)))))*(INDEX(ACTIVE_MULT_TABLE,2,1))*(1+SUMPRODUCT(SIGN(((ACT_DOOR_SCOPE="ALL")+(ACT_DOOR_SCOPE="TIER_"&amp;$F168)+(ACT_DOOR_SCOPE=$B168)))*SIGN(((ACT_SKU_SCOPE="ALL")+(ACT_SKU_SCOPE=$G168)))*(ACT_START&lt;=7)*(ACT_END&gt;=7)*IFERROR(ACT_UPLIFT-1,0)))*(1+SUMPRODUCT(SIGN(((ACT_DOOR_SCOPE="ALL")+(ACT_DOOR_SCOPE="TIER_"&amp;$F168)+(ACT_DOOR_SCOPE=$B168)))*SIGN(((ACT_SKU_SCOPE="ALL")+(ACT_SKU_SCOPE=$G168)))*(7&gt;ACT_END)*(ACT_END&gt;0)*IFERROR(ACT_POSTLIFT,0))),0)))</f>
        <v/>
      </c>
      <c r="Q168" s="10">
        <f>IF(OR($H168&lt;&gt;"Y",8&lt;$I168),0,IF(SUMPRODUCT(((BULK_ENABLED="Y")*((BULK_TIER="ALL")+(BULK_TIER=$F168))*((BULK_SKU="ALL")+(BULK_SKU=$G168))*(BULK_START&lt;=8)*(BULK_END&gt;=8)))&gt;0,IFERROR(SUMPRODUCT(((BULK_ENABLED="Y")*((BULK_TIER="ALL")+(BULK_TIER=$F168))*((BULK_SKU="ALL")+(BULK_SKU=$G168))*(BULK_START&lt;=8)*(BULK_END&gt;=8))*IFERROR(BULK_VALUE,0))/MAX(1,SUMPRODUCT(((BULK_ENABLED="Y")*((BULK_TIER="ALL")+(BULK_TIER=$F168))*((BULK_SKU="ALL")+(BULK_SKU=$G168))*(BULK_START&lt;=8)*(BULK_END&gt;=8)))),0),ROUND((INDEX(VELOCITY_TABLE,MATCH($F168,TIER_LIST,0),2))*(IF((8-$I168+1)&lt;=0,0,IF((8-$I168+1)=1,RAMP_W1,IF((8-$I168+1)=2,RAMP_W2,IF((8-$I168+1)=3,RAMP_W3,RAMP_W4PLUS)))))*(INDEX(ACTIVE_MULT_TABLE,2,1))*(1+SUMPRODUCT(SIGN(((ACT_DOOR_SCOPE="ALL")+(ACT_DOOR_SCOPE="TIER_"&amp;$F168)+(ACT_DOOR_SCOPE=$B168)))*SIGN(((ACT_SKU_SCOPE="ALL")+(ACT_SKU_SCOPE=$G168)))*(ACT_START&lt;=8)*(ACT_END&gt;=8)*IFERROR(ACT_UPLIFT-1,0)))*(1+SUMPRODUCT(SIGN(((ACT_DOOR_SCOPE="ALL")+(ACT_DOOR_SCOPE="TIER_"&amp;$F168)+(ACT_DOOR_SCOPE=$B168)))*SIGN(((ACT_SKU_SCOPE="ALL")+(ACT_SKU_SCOPE=$G168)))*(8&gt;ACT_END)*(ACT_END&gt;0)*IFERROR(ACT_POSTLIFT,0))),0)))</f>
        <v/>
      </c>
      <c r="R168" s="10">
        <f>IF(OR($H168&lt;&gt;"Y",9&lt;$I168),0,IF(SUMPRODUCT(((BULK_ENABLED="Y")*((BULK_TIER="ALL")+(BULK_TIER=$F168))*((BULK_SKU="ALL")+(BULK_SKU=$G168))*(BULK_START&lt;=9)*(BULK_END&gt;=9)))&gt;0,IFERROR(SUMPRODUCT(((BULK_ENABLED="Y")*((BULK_TIER="ALL")+(BULK_TIER=$F168))*((BULK_SKU="ALL")+(BULK_SKU=$G168))*(BULK_START&lt;=9)*(BULK_END&gt;=9))*IFERROR(BULK_VALUE,0))/MAX(1,SUMPRODUCT(((BULK_ENABLED="Y")*((BULK_TIER="ALL")+(BULK_TIER=$F168))*((BULK_SKU="ALL")+(BULK_SKU=$G168))*(BULK_START&lt;=9)*(BULK_END&gt;=9)))),0),ROUND((INDEX(VELOCITY_TABLE,MATCH($F168,TIER_LIST,0),2))*(IF((9-$I168+1)&lt;=0,0,IF((9-$I168+1)=1,RAMP_W1,IF((9-$I168+1)=2,RAMP_W2,IF((9-$I168+1)=3,RAMP_W3,RAMP_W4PLUS)))))*(INDEX(ACTIVE_MULT_TABLE,2,1))*(1+SUMPRODUCT(SIGN(((ACT_DOOR_SCOPE="ALL")+(ACT_DOOR_SCOPE="TIER_"&amp;$F168)+(ACT_DOOR_SCOPE=$B168)))*SIGN(((ACT_SKU_SCOPE="ALL")+(ACT_SKU_SCOPE=$G168)))*(ACT_START&lt;=9)*(ACT_END&gt;=9)*IFERROR(ACT_UPLIFT-1,0)))*(1+SUMPRODUCT(SIGN(((ACT_DOOR_SCOPE="ALL")+(ACT_DOOR_SCOPE="TIER_"&amp;$F168)+(ACT_DOOR_SCOPE=$B168)))*SIGN(((ACT_SKU_SCOPE="ALL")+(ACT_SKU_SCOPE=$G168)))*(9&gt;ACT_END)*(ACT_END&gt;0)*IFERROR(ACT_POSTLIFT,0))),0)))</f>
        <v/>
      </c>
      <c r="S168" s="10">
        <f>IF(OR($H168&lt;&gt;"Y",10&lt;$I168),0,IF(SUMPRODUCT(((BULK_ENABLED="Y")*((BULK_TIER="ALL")+(BULK_TIER=$F168))*((BULK_SKU="ALL")+(BULK_SKU=$G168))*(BULK_START&lt;=10)*(BULK_END&gt;=10)))&gt;0,IFERROR(SUMPRODUCT(((BULK_ENABLED="Y")*((BULK_TIER="ALL")+(BULK_TIER=$F168))*((BULK_SKU="ALL")+(BULK_SKU=$G168))*(BULK_START&lt;=10)*(BULK_END&gt;=10))*IFERROR(BULK_VALUE,0))/MAX(1,SUMPRODUCT(((BULK_ENABLED="Y")*((BULK_TIER="ALL")+(BULK_TIER=$F168))*((BULK_SKU="ALL")+(BULK_SKU=$G168))*(BULK_START&lt;=10)*(BULK_END&gt;=10)))),0),ROUND((INDEX(VELOCITY_TABLE,MATCH($F168,TIER_LIST,0),2))*(IF((10-$I168+1)&lt;=0,0,IF((10-$I168+1)=1,RAMP_W1,IF((10-$I168+1)=2,RAMP_W2,IF((10-$I168+1)=3,RAMP_W3,RAMP_W4PLUS)))))*(INDEX(ACTIVE_MULT_TABLE,2,1))*(1+SUMPRODUCT(SIGN(((ACT_DOOR_SCOPE="ALL")+(ACT_DOOR_SCOPE="TIER_"&amp;$F168)+(ACT_DOOR_SCOPE=$B168)))*SIGN(((ACT_SKU_SCOPE="ALL")+(ACT_SKU_SCOPE=$G168)))*(ACT_START&lt;=10)*(ACT_END&gt;=10)*IFERROR(ACT_UPLIFT-1,0)))*(1+SUMPRODUCT(SIGN(((ACT_DOOR_SCOPE="ALL")+(ACT_DOOR_SCOPE="TIER_"&amp;$F168)+(ACT_DOOR_SCOPE=$B168)))*SIGN(((ACT_SKU_SCOPE="ALL")+(ACT_SKU_SCOPE=$G168)))*(10&gt;ACT_END)*(ACT_END&gt;0)*IFERROR(ACT_POSTLIFT,0))),0)))</f>
        <v/>
      </c>
      <c r="T168" s="10">
        <f>IF(OR($H168&lt;&gt;"Y",11&lt;$I168),0,IF(SUMPRODUCT(((BULK_ENABLED="Y")*((BULK_TIER="ALL")+(BULK_TIER=$F168))*((BULK_SKU="ALL")+(BULK_SKU=$G168))*(BULK_START&lt;=11)*(BULK_END&gt;=11)))&gt;0,IFERROR(SUMPRODUCT(((BULK_ENABLED="Y")*((BULK_TIER="ALL")+(BULK_TIER=$F168))*((BULK_SKU="ALL")+(BULK_SKU=$G168))*(BULK_START&lt;=11)*(BULK_END&gt;=11))*IFERROR(BULK_VALUE,0))/MAX(1,SUMPRODUCT(((BULK_ENABLED="Y")*((BULK_TIER="ALL")+(BULK_TIER=$F168))*((BULK_SKU="ALL")+(BULK_SKU=$G168))*(BULK_START&lt;=11)*(BULK_END&gt;=11)))),0),ROUND((INDEX(VELOCITY_TABLE,MATCH($F168,TIER_LIST,0),2))*(IF((11-$I168+1)&lt;=0,0,IF((11-$I168+1)=1,RAMP_W1,IF((11-$I168+1)=2,RAMP_W2,IF((11-$I168+1)=3,RAMP_W3,RAMP_W4PLUS)))))*(INDEX(ACTIVE_MULT_TABLE,2,1))*(1+SUMPRODUCT(SIGN(((ACT_DOOR_SCOPE="ALL")+(ACT_DOOR_SCOPE="TIER_"&amp;$F168)+(ACT_DOOR_SCOPE=$B168)))*SIGN(((ACT_SKU_SCOPE="ALL")+(ACT_SKU_SCOPE=$G168)))*(ACT_START&lt;=11)*(ACT_END&gt;=11)*IFERROR(ACT_UPLIFT-1,0)))*(1+SUMPRODUCT(SIGN(((ACT_DOOR_SCOPE="ALL")+(ACT_DOOR_SCOPE="TIER_"&amp;$F168)+(ACT_DOOR_SCOPE=$B168)))*SIGN(((ACT_SKU_SCOPE="ALL")+(ACT_SKU_SCOPE=$G168)))*(11&gt;ACT_END)*(ACT_END&gt;0)*IFERROR(ACT_POSTLIFT,0))),0)))</f>
        <v/>
      </c>
      <c r="U168" s="10">
        <f>IF(OR($H168&lt;&gt;"Y",12&lt;$I168),0,IF(SUMPRODUCT(((BULK_ENABLED="Y")*((BULK_TIER="ALL")+(BULK_TIER=$F168))*((BULK_SKU="ALL")+(BULK_SKU=$G168))*(BULK_START&lt;=12)*(BULK_END&gt;=12)))&gt;0,IFERROR(SUMPRODUCT(((BULK_ENABLED="Y")*((BULK_TIER="ALL")+(BULK_TIER=$F168))*((BULK_SKU="ALL")+(BULK_SKU=$G168))*(BULK_START&lt;=12)*(BULK_END&gt;=12))*IFERROR(BULK_VALUE,0))/MAX(1,SUMPRODUCT(((BULK_ENABLED="Y")*((BULK_TIER="ALL")+(BULK_TIER=$F168))*((BULK_SKU="ALL")+(BULK_SKU=$G168))*(BULK_START&lt;=12)*(BULK_END&gt;=12)))),0),ROUND((INDEX(VELOCITY_TABLE,MATCH($F168,TIER_LIST,0),2))*(IF((12-$I168+1)&lt;=0,0,IF((12-$I168+1)=1,RAMP_W1,IF((12-$I168+1)=2,RAMP_W2,IF((12-$I168+1)=3,RAMP_W3,RAMP_W4PLUS)))))*(INDEX(ACTIVE_MULT_TABLE,2,1))*(1+SUMPRODUCT(SIGN(((ACT_DOOR_SCOPE="ALL")+(ACT_DOOR_SCOPE="TIER_"&amp;$F168)+(ACT_DOOR_SCOPE=$B168)))*SIGN(((ACT_SKU_SCOPE="ALL")+(ACT_SKU_SCOPE=$G168)))*(ACT_START&lt;=12)*(ACT_END&gt;=12)*IFERROR(ACT_UPLIFT-1,0)))*(1+SUMPRODUCT(SIGN(((ACT_DOOR_SCOPE="ALL")+(ACT_DOOR_SCOPE="TIER_"&amp;$F168)+(ACT_DOOR_SCOPE=$B168)))*SIGN(((ACT_SKU_SCOPE="ALL")+(ACT_SKU_SCOPE=$G168)))*(12&gt;ACT_END)*(ACT_END&gt;0)*IFERROR(ACT_POSTLIFT,0))),0)))</f>
        <v/>
      </c>
      <c r="V168" s="10">
        <f>IF(OR($H168&lt;&gt;"Y",13&lt;$I168),0,IF(SUMPRODUCT(((BULK_ENABLED="Y")*((BULK_TIER="ALL")+(BULK_TIER=$F168))*((BULK_SKU="ALL")+(BULK_SKU=$G168))*(BULK_START&lt;=13)*(BULK_END&gt;=13)))&gt;0,IFERROR(SUMPRODUCT(((BULK_ENABLED="Y")*((BULK_TIER="ALL")+(BULK_TIER=$F168))*((BULK_SKU="ALL")+(BULK_SKU=$G168))*(BULK_START&lt;=13)*(BULK_END&gt;=13))*IFERROR(BULK_VALUE,0))/MAX(1,SUMPRODUCT(((BULK_ENABLED="Y")*((BULK_TIER="ALL")+(BULK_TIER=$F168))*((BULK_SKU="ALL")+(BULK_SKU=$G168))*(BULK_START&lt;=13)*(BULK_END&gt;=13)))),0),ROUND((INDEX(VELOCITY_TABLE,MATCH($F168,TIER_LIST,0),2))*(IF((13-$I168+1)&lt;=0,0,IF((13-$I168+1)=1,RAMP_W1,IF((13-$I168+1)=2,RAMP_W2,IF((13-$I168+1)=3,RAMP_W3,RAMP_W4PLUS)))))*(INDEX(ACTIVE_MULT_TABLE,2,1))*(1+SUMPRODUCT(SIGN(((ACT_DOOR_SCOPE="ALL")+(ACT_DOOR_SCOPE="TIER_"&amp;$F168)+(ACT_DOOR_SCOPE=$B168)))*SIGN(((ACT_SKU_SCOPE="ALL")+(ACT_SKU_SCOPE=$G168)))*(ACT_START&lt;=13)*(ACT_END&gt;=13)*IFERROR(ACT_UPLIFT-1,0)))*(1+SUMPRODUCT(SIGN(((ACT_DOOR_SCOPE="ALL")+(ACT_DOOR_SCOPE="TIER_"&amp;$F168)+(ACT_DOOR_SCOPE=$B168)))*SIGN(((ACT_SKU_SCOPE="ALL")+(ACT_SKU_SCOPE=$G168)))*(13&gt;ACT_END)*(ACT_END&gt;0)*IFERROR(ACT_POSTLIFT,0))),0)))</f>
        <v/>
      </c>
    </row>
    <row r="169">
      <c r="A169" t="inlineStr">
        <is>
          <t>R0165</t>
        </is>
      </c>
      <c r="B169">
        <f>Doors!$A$59</f>
        <v/>
      </c>
      <c r="C169">
        <f>Doors!$C$59</f>
        <v/>
      </c>
      <c r="D169">
        <f>Doors!$B$59</f>
        <v/>
      </c>
      <c r="E169">
        <f>Doors!$E$59</f>
        <v/>
      </c>
      <c r="F169">
        <f>Doors!$F$59</f>
        <v/>
      </c>
      <c r="G169" t="inlineStr">
        <is>
          <t>Raspberry</t>
        </is>
      </c>
      <c r="H169">
        <f>Doors!$I$59</f>
        <v/>
      </c>
      <c r="I169">
        <f>Doors!$J$59</f>
        <v/>
      </c>
      <c r="J169" s="10">
        <f>IF(OR($H169&lt;&gt;"Y",1&lt;$I169),0,IF(SUMPRODUCT(((BULK_ENABLED="Y")*((BULK_TIER="ALL")+(BULK_TIER=$F169))*((BULK_SKU="ALL")+(BULK_SKU=$G169))*(BULK_START&lt;=1)*(BULK_END&gt;=1)))&gt;0,IFERROR(SUMPRODUCT(((BULK_ENABLED="Y")*((BULK_TIER="ALL")+(BULK_TIER=$F169))*((BULK_SKU="ALL")+(BULK_SKU=$G169))*(BULK_START&lt;=1)*(BULK_END&gt;=1))*IFERROR(BULK_VALUE,0))/MAX(1,SUMPRODUCT(((BULK_ENABLED="Y")*((BULK_TIER="ALL")+(BULK_TIER=$F169))*((BULK_SKU="ALL")+(BULK_SKU=$G169))*(BULK_START&lt;=1)*(BULK_END&gt;=1)))),0),ROUND((INDEX(VELOCITY_TABLE,MATCH($F169,TIER_LIST,0),3))*(IF((1-$I169+1)&lt;=0,0,IF((1-$I169+1)=1,RAMP_W1,IF((1-$I169+1)=2,RAMP_W2,IF((1-$I169+1)=3,RAMP_W3,RAMP_W4PLUS)))))*(INDEX(ACTIVE_MULT_TABLE,3,1))*(1+SUMPRODUCT(SIGN(((ACT_DOOR_SCOPE="ALL")+(ACT_DOOR_SCOPE="TIER_"&amp;$F169)+(ACT_DOOR_SCOPE=$B169)))*SIGN(((ACT_SKU_SCOPE="ALL")+(ACT_SKU_SCOPE=$G169)))*(ACT_START&lt;=1)*(ACT_END&gt;=1)*IFERROR(ACT_UPLIFT-1,0)))*(1+SUMPRODUCT(SIGN(((ACT_DOOR_SCOPE="ALL")+(ACT_DOOR_SCOPE="TIER_"&amp;$F169)+(ACT_DOOR_SCOPE=$B169)))*SIGN(((ACT_SKU_SCOPE="ALL")+(ACT_SKU_SCOPE=$G169)))*(1&gt;ACT_END)*(ACT_END&gt;0)*IFERROR(ACT_POSTLIFT,0))),0)))</f>
        <v/>
      </c>
      <c r="K169" s="10">
        <f>IF(OR($H169&lt;&gt;"Y",2&lt;$I169),0,IF(SUMPRODUCT(((BULK_ENABLED="Y")*((BULK_TIER="ALL")+(BULK_TIER=$F169))*((BULK_SKU="ALL")+(BULK_SKU=$G169))*(BULK_START&lt;=2)*(BULK_END&gt;=2)))&gt;0,IFERROR(SUMPRODUCT(((BULK_ENABLED="Y")*((BULK_TIER="ALL")+(BULK_TIER=$F169))*((BULK_SKU="ALL")+(BULK_SKU=$G169))*(BULK_START&lt;=2)*(BULK_END&gt;=2))*IFERROR(BULK_VALUE,0))/MAX(1,SUMPRODUCT(((BULK_ENABLED="Y")*((BULK_TIER="ALL")+(BULK_TIER=$F169))*((BULK_SKU="ALL")+(BULK_SKU=$G169))*(BULK_START&lt;=2)*(BULK_END&gt;=2)))),0),ROUND((INDEX(VELOCITY_TABLE,MATCH($F169,TIER_LIST,0),3))*(IF((2-$I169+1)&lt;=0,0,IF((2-$I169+1)=1,RAMP_W1,IF((2-$I169+1)=2,RAMP_W2,IF((2-$I169+1)=3,RAMP_W3,RAMP_W4PLUS)))))*(INDEX(ACTIVE_MULT_TABLE,3,1))*(1+SUMPRODUCT(SIGN(((ACT_DOOR_SCOPE="ALL")+(ACT_DOOR_SCOPE="TIER_"&amp;$F169)+(ACT_DOOR_SCOPE=$B169)))*SIGN(((ACT_SKU_SCOPE="ALL")+(ACT_SKU_SCOPE=$G169)))*(ACT_START&lt;=2)*(ACT_END&gt;=2)*IFERROR(ACT_UPLIFT-1,0)))*(1+SUMPRODUCT(SIGN(((ACT_DOOR_SCOPE="ALL")+(ACT_DOOR_SCOPE="TIER_"&amp;$F169)+(ACT_DOOR_SCOPE=$B169)))*SIGN(((ACT_SKU_SCOPE="ALL")+(ACT_SKU_SCOPE=$G169)))*(2&gt;ACT_END)*(ACT_END&gt;0)*IFERROR(ACT_POSTLIFT,0))),0)))</f>
        <v/>
      </c>
      <c r="L169" s="10">
        <f>IF(OR($H169&lt;&gt;"Y",3&lt;$I169),0,IF(SUMPRODUCT(((BULK_ENABLED="Y")*((BULK_TIER="ALL")+(BULK_TIER=$F169))*((BULK_SKU="ALL")+(BULK_SKU=$G169))*(BULK_START&lt;=3)*(BULK_END&gt;=3)))&gt;0,IFERROR(SUMPRODUCT(((BULK_ENABLED="Y")*((BULK_TIER="ALL")+(BULK_TIER=$F169))*((BULK_SKU="ALL")+(BULK_SKU=$G169))*(BULK_START&lt;=3)*(BULK_END&gt;=3))*IFERROR(BULK_VALUE,0))/MAX(1,SUMPRODUCT(((BULK_ENABLED="Y")*((BULK_TIER="ALL")+(BULK_TIER=$F169))*((BULK_SKU="ALL")+(BULK_SKU=$G169))*(BULK_START&lt;=3)*(BULK_END&gt;=3)))),0),ROUND((INDEX(VELOCITY_TABLE,MATCH($F169,TIER_LIST,0),3))*(IF((3-$I169+1)&lt;=0,0,IF((3-$I169+1)=1,RAMP_W1,IF((3-$I169+1)=2,RAMP_W2,IF((3-$I169+1)=3,RAMP_W3,RAMP_W4PLUS)))))*(INDEX(ACTIVE_MULT_TABLE,3,1))*(1+SUMPRODUCT(SIGN(((ACT_DOOR_SCOPE="ALL")+(ACT_DOOR_SCOPE="TIER_"&amp;$F169)+(ACT_DOOR_SCOPE=$B169)))*SIGN(((ACT_SKU_SCOPE="ALL")+(ACT_SKU_SCOPE=$G169)))*(ACT_START&lt;=3)*(ACT_END&gt;=3)*IFERROR(ACT_UPLIFT-1,0)))*(1+SUMPRODUCT(SIGN(((ACT_DOOR_SCOPE="ALL")+(ACT_DOOR_SCOPE="TIER_"&amp;$F169)+(ACT_DOOR_SCOPE=$B169)))*SIGN(((ACT_SKU_SCOPE="ALL")+(ACT_SKU_SCOPE=$G169)))*(3&gt;ACT_END)*(ACT_END&gt;0)*IFERROR(ACT_POSTLIFT,0))),0)))</f>
        <v/>
      </c>
      <c r="M169" s="10">
        <f>IF(OR($H169&lt;&gt;"Y",4&lt;$I169),0,IF(SUMPRODUCT(((BULK_ENABLED="Y")*((BULK_TIER="ALL")+(BULK_TIER=$F169))*((BULK_SKU="ALL")+(BULK_SKU=$G169))*(BULK_START&lt;=4)*(BULK_END&gt;=4)))&gt;0,IFERROR(SUMPRODUCT(((BULK_ENABLED="Y")*((BULK_TIER="ALL")+(BULK_TIER=$F169))*((BULK_SKU="ALL")+(BULK_SKU=$G169))*(BULK_START&lt;=4)*(BULK_END&gt;=4))*IFERROR(BULK_VALUE,0))/MAX(1,SUMPRODUCT(((BULK_ENABLED="Y")*((BULK_TIER="ALL")+(BULK_TIER=$F169))*((BULK_SKU="ALL")+(BULK_SKU=$G169))*(BULK_START&lt;=4)*(BULK_END&gt;=4)))),0),ROUND((INDEX(VELOCITY_TABLE,MATCH($F169,TIER_LIST,0),3))*(IF((4-$I169+1)&lt;=0,0,IF((4-$I169+1)=1,RAMP_W1,IF((4-$I169+1)=2,RAMP_W2,IF((4-$I169+1)=3,RAMP_W3,RAMP_W4PLUS)))))*(INDEX(ACTIVE_MULT_TABLE,3,1))*(1+SUMPRODUCT(SIGN(((ACT_DOOR_SCOPE="ALL")+(ACT_DOOR_SCOPE="TIER_"&amp;$F169)+(ACT_DOOR_SCOPE=$B169)))*SIGN(((ACT_SKU_SCOPE="ALL")+(ACT_SKU_SCOPE=$G169)))*(ACT_START&lt;=4)*(ACT_END&gt;=4)*IFERROR(ACT_UPLIFT-1,0)))*(1+SUMPRODUCT(SIGN(((ACT_DOOR_SCOPE="ALL")+(ACT_DOOR_SCOPE="TIER_"&amp;$F169)+(ACT_DOOR_SCOPE=$B169)))*SIGN(((ACT_SKU_SCOPE="ALL")+(ACT_SKU_SCOPE=$G169)))*(4&gt;ACT_END)*(ACT_END&gt;0)*IFERROR(ACT_POSTLIFT,0))),0)))</f>
        <v/>
      </c>
      <c r="N169" s="10">
        <f>IF(OR($H169&lt;&gt;"Y",5&lt;$I169),0,IF(SUMPRODUCT(((BULK_ENABLED="Y")*((BULK_TIER="ALL")+(BULK_TIER=$F169))*((BULK_SKU="ALL")+(BULK_SKU=$G169))*(BULK_START&lt;=5)*(BULK_END&gt;=5)))&gt;0,IFERROR(SUMPRODUCT(((BULK_ENABLED="Y")*((BULK_TIER="ALL")+(BULK_TIER=$F169))*((BULK_SKU="ALL")+(BULK_SKU=$G169))*(BULK_START&lt;=5)*(BULK_END&gt;=5))*IFERROR(BULK_VALUE,0))/MAX(1,SUMPRODUCT(((BULK_ENABLED="Y")*((BULK_TIER="ALL")+(BULK_TIER=$F169))*((BULK_SKU="ALL")+(BULK_SKU=$G169))*(BULK_START&lt;=5)*(BULK_END&gt;=5)))),0),ROUND((INDEX(VELOCITY_TABLE,MATCH($F169,TIER_LIST,0),3))*(IF((5-$I169+1)&lt;=0,0,IF((5-$I169+1)=1,RAMP_W1,IF((5-$I169+1)=2,RAMP_W2,IF((5-$I169+1)=3,RAMP_W3,RAMP_W4PLUS)))))*(INDEX(ACTIVE_MULT_TABLE,3,1))*(1+SUMPRODUCT(SIGN(((ACT_DOOR_SCOPE="ALL")+(ACT_DOOR_SCOPE="TIER_"&amp;$F169)+(ACT_DOOR_SCOPE=$B169)))*SIGN(((ACT_SKU_SCOPE="ALL")+(ACT_SKU_SCOPE=$G169)))*(ACT_START&lt;=5)*(ACT_END&gt;=5)*IFERROR(ACT_UPLIFT-1,0)))*(1+SUMPRODUCT(SIGN(((ACT_DOOR_SCOPE="ALL")+(ACT_DOOR_SCOPE="TIER_"&amp;$F169)+(ACT_DOOR_SCOPE=$B169)))*SIGN(((ACT_SKU_SCOPE="ALL")+(ACT_SKU_SCOPE=$G169)))*(5&gt;ACT_END)*(ACT_END&gt;0)*IFERROR(ACT_POSTLIFT,0))),0)))</f>
        <v/>
      </c>
      <c r="O169" s="10">
        <f>IF(OR($H169&lt;&gt;"Y",6&lt;$I169),0,IF(SUMPRODUCT(((BULK_ENABLED="Y")*((BULK_TIER="ALL")+(BULK_TIER=$F169))*((BULK_SKU="ALL")+(BULK_SKU=$G169))*(BULK_START&lt;=6)*(BULK_END&gt;=6)))&gt;0,IFERROR(SUMPRODUCT(((BULK_ENABLED="Y")*((BULK_TIER="ALL")+(BULK_TIER=$F169))*((BULK_SKU="ALL")+(BULK_SKU=$G169))*(BULK_START&lt;=6)*(BULK_END&gt;=6))*IFERROR(BULK_VALUE,0))/MAX(1,SUMPRODUCT(((BULK_ENABLED="Y")*((BULK_TIER="ALL")+(BULK_TIER=$F169))*((BULK_SKU="ALL")+(BULK_SKU=$G169))*(BULK_START&lt;=6)*(BULK_END&gt;=6)))),0),ROUND((INDEX(VELOCITY_TABLE,MATCH($F169,TIER_LIST,0),3))*(IF((6-$I169+1)&lt;=0,0,IF((6-$I169+1)=1,RAMP_W1,IF((6-$I169+1)=2,RAMP_W2,IF((6-$I169+1)=3,RAMP_W3,RAMP_W4PLUS)))))*(INDEX(ACTIVE_MULT_TABLE,3,1))*(1+SUMPRODUCT(SIGN(((ACT_DOOR_SCOPE="ALL")+(ACT_DOOR_SCOPE="TIER_"&amp;$F169)+(ACT_DOOR_SCOPE=$B169)))*SIGN(((ACT_SKU_SCOPE="ALL")+(ACT_SKU_SCOPE=$G169)))*(ACT_START&lt;=6)*(ACT_END&gt;=6)*IFERROR(ACT_UPLIFT-1,0)))*(1+SUMPRODUCT(SIGN(((ACT_DOOR_SCOPE="ALL")+(ACT_DOOR_SCOPE="TIER_"&amp;$F169)+(ACT_DOOR_SCOPE=$B169)))*SIGN(((ACT_SKU_SCOPE="ALL")+(ACT_SKU_SCOPE=$G169)))*(6&gt;ACT_END)*(ACT_END&gt;0)*IFERROR(ACT_POSTLIFT,0))),0)))</f>
        <v/>
      </c>
      <c r="P169" s="10">
        <f>IF(OR($H169&lt;&gt;"Y",7&lt;$I169),0,IF(SUMPRODUCT(((BULK_ENABLED="Y")*((BULK_TIER="ALL")+(BULK_TIER=$F169))*((BULK_SKU="ALL")+(BULK_SKU=$G169))*(BULK_START&lt;=7)*(BULK_END&gt;=7)))&gt;0,IFERROR(SUMPRODUCT(((BULK_ENABLED="Y")*((BULK_TIER="ALL")+(BULK_TIER=$F169))*((BULK_SKU="ALL")+(BULK_SKU=$G169))*(BULK_START&lt;=7)*(BULK_END&gt;=7))*IFERROR(BULK_VALUE,0))/MAX(1,SUMPRODUCT(((BULK_ENABLED="Y")*((BULK_TIER="ALL")+(BULK_TIER=$F169))*((BULK_SKU="ALL")+(BULK_SKU=$G169))*(BULK_START&lt;=7)*(BULK_END&gt;=7)))),0),ROUND((INDEX(VELOCITY_TABLE,MATCH($F169,TIER_LIST,0),3))*(IF((7-$I169+1)&lt;=0,0,IF((7-$I169+1)=1,RAMP_W1,IF((7-$I169+1)=2,RAMP_W2,IF((7-$I169+1)=3,RAMP_W3,RAMP_W4PLUS)))))*(INDEX(ACTIVE_MULT_TABLE,3,1))*(1+SUMPRODUCT(SIGN(((ACT_DOOR_SCOPE="ALL")+(ACT_DOOR_SCOPE="TIER_"&amp;$F169)+(ACT_DOOR_SCOPE=$B169)))*SIGN(((ACT_SKU_SCOPE="ALL")+(ACT_SKU_SCOPE=$G169)))*(ACT_START&lt;=7)*(ACT_END&gt;=7)*IFERROR(ACT_UPLIFT-1,0)))*(1+SUMPRODUCT(SIGN(((ACT_DOOR_SCOPE="ALL")+(ACT_DOOR_SCOPE="TIER_"&amp;$F169)+(ACT_DOOR_SCOPE=$B169)))*SIGN(((ACT_SKU_SCOPE="ALL")+(ACT_SKU_SCOPE=$G169)))*(7&gt;ACT_END)*(ACT_END&gt;0)*IFERROR(ACT_POSTLIFT,0))),0)))</f>
        <v/>
      </c>
      <c r="Q169" s="10">
        <f>IF(OR($H169&lt;&gt;"Y",8&lt;$I169),0,IF(SUMPRODUCT(((BULK_ENABLED="Y")*((BULK_TIER="ALL")+(BULK_TIER=$F169))*((BULK_SKU="ALL")+(BULK_SKU=$G169))*(BULK_START&lt;=8)*(BULK_END&gt;=8)))&gt;0,IFERROR(SUMPRODUCT(((BULK_ENABLED="Y")*((BULK_TIER="ALL")+(BULK_TIER=$F169))*((BULK_SKU="ALL")+(BULK_SKU=$G169))*(BULK_START&lt;=8)*(BULK_END&gt;=8))*IFERROR(BULK_VALUE,0))/MAX(1,SUMPRODUCT(((BULK_ENABLED="Y")*((BULK_TIER="ALL")+(BULK_TIER=$F169))*((BULK_SKU="ALL")+(BULK_SKU=$G169))*(BULK_START&lt;=8)*(BULK_END&gt;=8)))),0),ROUND((INDEX(VELOCITY_TABLE,MATCH($F169,TIER_LIST,0),3))*(IF((8-$I169+1)&lt;=0,0,IF((8-$I169+1)=1,RAMP_W1,IF((8-$I169+1)=2,RAMP_W2,IF((8-$I169+1)=3,RAMP_W3,RAMP_W4PLUS)))))*(INDEX(ACTIVE_MULT_TABLE,3,1))*(1+SUMPRODUCT(SIGN(((ACT_DOOR_SCOPE="ALL")+(ACT_DOOR_SCOPE="TIER_"&amp;$F169)+(ACT_DOOR_SCOPE=$B169)))*SIGN(((ACT_SKU_SCOPE="ALL")+(ACT_SKU_SCOPE=$G169)))*(ACT_START&lt;=8)*(ACT_END&gt;=8)*IFERROR(ACT_UPLIFT-1,0)))*(1+SUMPRODUCT(SIGN(((ACT_DOOR_SCOPE="ALL")+(ACT_DOOR_SCOPE="TIER_"&amp;$F169)+(ACT_DOOR_SCOPE=$B169)))*SIGN(((ACT_SKU_SCOPE="ALL")+(ACT_SKU_SCOPE=$G169)))*(8&gt;ACT_END)*(ACT_END&gt;0)*IFERROR(ACT_POSTLIFT,0))),0)))</f>
        <v/>
      </c>
      <c r="R169" s="10">
        <f>IF(OR($H169&lt;&gt;"Y",9&lt;$I169),0,IF(SUMPRODUCT(((BULK_ENABLED="Y")*((BULK_TIER="ALL")+(BULK_TIER=$F169))*((BULK_SKU="ALL")+(BULK_SKU=$G169))*(BULK_START&lt;=9)*(BULK_END&gt;=9)))&gt;0,IFERROR(SUMPRODUCT(((BULK_ENABLED="Y")*((BULK_TIER="ALL")+(BULK_TIER=$F169))*((BULK_SKU="ALL")+(BULK_SKU=$G169))*(BULK_START&lt;=9)*(BULK_END&gt;=9))*IFERROR(BULK_VALUE,0))/MAX(1,SUMPRODUCT(((BULK_ENABLED="Y")*((BULK_TIER="ALL")+(BULK_TIER=$F169))*((BULK_SKU="ALL")+(BULK_SKU=$G169))*(BULK_START&lt;=9)*(BULK_END&gt;=9)))),0),ROUND((INDEX(VELOCITY_TABLE,MATCH($F169,TIER_LIST,0),3))*(IF((9-$I169+1)&lt;=0,0,IF((9-$I169+1)=1,RAMP_W1,IF((9-$I169+1)=2,RAMP_W2,IF((9-$I169+1)=3,RAMP_W3,RAMP_W4PLUS)))))*(INDEX(ACTIVE_MULT_TABLE,3,1))*(1+SUMPRODUCT(SIGN(((ACT_DOOR_SCOPE="ALL")+(ACT_DOOR_SCOPE="TIER_"&amp;$F169)+(ACT_DOOR_SCOPE=$B169)))*SIGN(((ACT_SKU_SCOPE="ALL")+(ACT_SKU_SCOPE=$G169)))*(ACT_START&lt;=9)*(ACT_END&gt;=9)*IFERROR(ACT_UPLIFT-1,0)))*(1+SUMPRODUCT(SIGN(((ACT_DOOR_SCOPE="ALL")+(ACT_DOOR_SCOPE="TIER_"&amp;$F169)+(ACT_DOOR_SCOPE=$B169)))*SIGN(((ACT_SKU_SCOPE="ALL")+(ACT_SKU_SCOPE=$G169)))*(9&gt;ACT_END)*(ACT_END&gt;0)*IFERROR(ACT_POSTLIFT,0))),0)))</f>
        <v/>
      </c>
      <c r="S169" s="10">
        <f>IF(OR($H169&lt;&gt;"Y",10&lt;$I169),0,IF(SUMPRODUCT(((BULK_ENABLED="Y")*((BULK_TIER="ALL")+(BULK_TIER=$F169))*((BULK_SKU="ALL")+(BULK_SKU=$G169))*(BULK_START&lt;=10)*(BULK_END&gt;=10)))&gt;0,IFERROR(SUMPRODUCT(((BULK_ENABLED="Y")*((BULK_TIER="ALL")+(BULK_TIER=$F169))*((BULK_SKU="ALL")+(BULK_SKU=$G169))*(BULK_START&lt;=10)*(BULK_END&gt;=10))*IFERROR(BULK_VALUE,0))/MAX(1,SUMPRODUCT(((BULK_ENABLED="Y")*((BULK_TIER="ALL")+(BULK_TIER=$F169))*((BULK_SKU="ALL")+(BULK_SKU=$G169))*(BULK_START&lt;=10)*(BULK_END&gt;=10)))),0),ROUND((INDEX(VELOCITY_TABLE,MATCH($F169,TIER_LIST,0),3))*(IF((10-$I169+1)&lt;=0,0,IF((10-$I169+1)=1,RAMP_W1,IF((10-$I169+1)=2,RAMP_W2,IF((10-$I169+1)=3,RAMP_W3,RAMP_W4PLUS)))))*(INDEX(ACTIVE_MULT_TABLE,3,1))*(1+SUMPRODUCT(SIGN(((ACT_DOOR_SCOPE="ALL")+(ACT_DOOR_SCOPE="TIER_"&amp;$F169)+(ACT_DOOR_SCOPE=$B169)))*SIGN(((ACT_SKU_SCOPE="ALL")+(ACT_SKU_SCOPE=$G169)))*(ACT_START&lt;=10)*(ACT_END&gt;=10)*IFERROR(ACT_UPLIFT-1,0)))*(1+SUMPRODUCT(SIGN(((ACT_DOOR_SCOPE="ALL")+(ACT_DOOR_SCOPE="TIER_"&amp;$F169)+(ACT_DOOR_SCOPE=$B169)))*SIGN(((ACT_SKU_SCOPE="ALL")+(ACT_SKU_SCOPE=$G169)))*(10&gt;ACT_END)*(ACT_END&gt;0)*IFERROR(ACT_POSTLIFT,0))),0)))</f>
        <v/>
      </c>
      <c r="T169" s="10">
        <f>IF(OR($H169&lt;&gt;"Y",11&lt;$I169),0,IF(SUMPRODUCT(((BULK_ENABLED="Y")*((BULK_TIER="ALL")+(BULK_TIER=$F169))*((BULK_SKU="ALL")+(BULK_SKU=$G169))*(BULK_START&lt;=11)*(BULK_END&gt;=11)))&gt;0,IFERROR(SUMPRODUCT(((BULK_ENABLED="Y")*((BULK_TIER="ALL")+(BULK_TIER=$F169))*((BULK_SKU="ALL")+(BULK_SKU=$G169))*(BULK_START&lt;=11)*(BULK_END&gt;=11))*IFERROR(BULK_VALUE,0))/MAX(1,SUMPRODUCT(((BULK_ENABLED="Y")*((BULK_TIER="ALL")+(BULK_TIER=$F169))*((BULK_SKU="ALL")+(BULK_SKU=$G169))*(BULK_START&lt;=11)*(BULK_END&gt;=11)))),0),ROUND((INDEX(VELOCITY_TABLE,MATCH($F169,TIER_LIST,0),3))*(IF((11-$I169+1)&lt;=0,0,IF((11-$I169+1)=1,RAMP_W1,IF((11-$I169+1)=2,RAMP_W2,IF((11-$I169+1)=3,RAMP_W3,RAMP_W4PLUS)))))*(INDEX(ACTIVE_MULT_TABLE,3,1))*(1+SUMPRODUCT(SIGN(((ACT_DOOR_SCOPE="ALL")+(ACT_DOOR_SCOPE="TIER_"&amp;$F169)+(ACT_DOOR_SCOPE=$B169)))*SIGN(((ACT_SKU_SCOPE="ALL")+(ACT_SKU_SCOPE=$G169)))*(ACT_START&lt;=11)*(ACT_END&gt;=11)*IFERROR(ACT_UPLIFT-1,0)))*(1+SUMPRODUCT(SIGN(((ACT_DOOR_SCOPE="ALL")+(ACT_DOOR_SCOPE="TIER_"&amp;$F169)+(ACT_DOOR_SCOPE=$B169)))*SIGN(((ACT_SKU_SCOPE="ALL")+(ACT_SKU_SCOPE=$G169)))*(11&gt;ACT_END)*(ACT_END&gt;0)*IFERROR(ACT_POSTLIFT,0))),0)))</f>
        <v/>
      </c>
      <c r="U169" s="10">
        <f>IF(OR($H169&lt;&gt;"Y",12&lt;$I169),0,IF(SUMPRODUCT(((BULK_ENABLED="Y")*((BULK_TIER="ALL")+(BULK_TIER=$F169))*((BULK_SKU="ALL")+(BULK_SKU=$G169))*(BULK_START&lt;=12)*(BULK_END&gt;=12)))&gt;0,IFERROR(SUMPRODUCT(((BULK_ENABLED="Y")*((BULK_TIER="ALL")+(BULK_TIER=$F169))*((BULK_SKU="ALL")+(BULK_SKU=$G169))*(BULK_START&lt;=12)*(BULK_END&gt;=12))*IFERROR(BULK_VALUE,0))/MAX(1,SUMPRODUCT(((BULK_ENABLED="Y")*((BULK_TIER="ALL")+(BULK_TIER=$F169))*((BULK_SKU="ALL")+(BULK_SKU=$G169))*(BULK_START&lt;=12)*(BULK_END&gt;=12)))),0),ROUND((INDEX(VELOCITY_TABLE,MATCH($F169,TIER_LIST,0),3))*(IF((12-$I169+1)&lt;=0,0,IF((12-$I169+1)=1,RAMP_W1,IF((12-$I169+1)=2,RAMP_W2,IF((12-$I169+1)=3,RAMP_W3,RAMP_W4PLUS)))))*(INDEX(ACTIVE_MULT_TABLE,3,1))*(1+SUMPRODUCT(SIGN(((ACT_DOOR_SCOPE="ALL")+(ACT_DOOR_SCOPE="TIER_"&amp;$F169)+(ACT_DOOR_SCOPE=$B169)))*SIGN(((ACT_SKU_SCOPE="ALL")+(ACT_SKU_SCOPE=$G169)))*(ACT_START&lt;=12)*(ACT_END&gt;=12)*IFERROR(ACT_UPLIFT-1,0)))*(1+SUMPRODUCT(SIGN(((ACT_DOOR_SCOPE="ALL")+(ACT_DOOR_SCOPE="TIER_"&amp;$F169)+(ACT_DOOR_SCOPE=$B169)))*SIGN(((ACT_SKU_SCOPE="ALL")+(ACT_SKU_SCOPE=$G169)))*(12&gt;ACT_END)*(ACT_END&gt;0)*IFERROR(ACT_POSTLIFT,0))),0)))</f>
        <v/>
      </c>
      <c r="V169" s="10">
        <f>IF(OR($H169&lt;&gt;"Y",13&lt;$I169),0,IF(SUMPRODUCT(((BULK_ENABLED="Y")*((BULK_TIER="ALL")+(BULK_TIER=$F169))*((BULK_SKU="ALL")+(BULK_SKU=$G169))*(BULK_START&lt;=13)*(BULK_END&gt;=13)))&gt;0,IFERROR(SUMPRODUCT(((BULK_ENABLED="Y")*((BULK_TIER="ALL")+(BULK_TIER=$F169))*((BULK_SKU="ALL")+(BULK_SKU=$G169))*(BULK_START&lt;=13)*(BULK_END&gt;=13))*IFERROR(BULK_VALUE,0))/MAX(1,SUMPRODUCT(((BULK_ENABLED="Y")*((BULK_TIER="ALL")+(BULK_TIER=$F169))*((BULK_SKU="ALL")+(BULK_SKU=$G169))*(BULK_START&lt;=13)*(BULK_END&gt;=13)))),0),ROUND((INDEX(VELOCITY_TABLE,MATCH($F169,TIER_LIST,0),3))*(IF((13-$I169+1)&lt;=0,0,IF((13-$I169+1)=1,RAMP_W1,IF((13-$I169+1)=2,RAMP_W2,IF((13-$I169+1)=3,RAMP_W3,RAMP_W4PLUS)))))*(INDEX(ACTIVE_MULT_TABLE,3,1))*(1+SUMPRODUCT(SIGN(((ACT_DOOR_SCOPE="ALL")+(ACT_DOOR_SCOPE="TIER_"&amp;$F169)+(ACT_DOOR_SCOPE=$B169)))*SIGN(((ACT_SKU_SCOPE="ALL")+(ACT_SKU_SCOPE=$G169)))*(ACT_START&lt;=13)*(ACT_END&gt;=13)*IFERROR(ACT_UPLIFT-1,0)))*(1+SUMPRODUCT(SIGN(((ACT_DOOR_SCOPE="ALL")+(ACT_DOOR_SCOPE="TIER_"&amp;$F169)+(ACT_DOOR_SCOPE=$B169)))*SIGN(((ACT_SKU_SCOPE="ALL")+(ACT_SKU_SCOPE=$G169)))*(13&gt;ACT_END)*(ACT_END&gt;0)*IFERROR(ACT_POSTLIFT,0))),0)))</f>
        <v/>
      </c>
    </row>
    <row r="170">
      <c r="A170" t="inlineStr">
        <is>
          <t>R0166</t>
        </is>
      </c>
      <c r="B170">
        <f>Doors!$A$60</f>
        <v/>
      </c>
      <c r="C170">
        <f>Doors!$C$60</f>
        <v/>
      </c>
      <c r="D170">
        <f>Doors!$B$60</f>
        <v/>
      </c>
      <c r="E170">
        <f>Doors!$E$60</f>
        <v/>
      </c>
      <c r="F170">
        <f>Doors!$F$60</f>
        <v/>
      </c>
      <c r="G170" t="inlineStr">
        <is>
          <t>Lime Lemon</t>
        </is>
      </c>
      <c r="H170">
        <f>Doors!$G$60</f>
        <v/>
      </c>
      <c r="I170">
        <f>Doors!$J$60</f>
        <v/>
      </c>
      <c r="J170" s="10">
        <f>IF(OR($H170&lt;&gt;"Y",1&lt;$I170),0,IF(SUMPRODUCT(((BULK_ENABLED="Y")*((BULK_TIER="ALL")+(BULK_TIER=$F170))*((BULK_SKU="ALL")+(BULK_SKU=$G170))*(BULK_START&lt;=1)*(BULK_END&gt;=1)))&gt;0,IFERROR(SUMPRODUCT(((BULK_ENABLED="Y")*((BULK_TIER="ALL")+(BULK_TIER=$F170))*((BULK_SKU="ALL")+(BULK_SKU=$G170))*(BULK_START&lt;=1)*(BULK_END&gt;=1))*IFERROR(BULK_VALUE,0))/MAX(1,SUMPRODUCT(((BULK_ENABLED="Y")*((BULK_TIER="ALL")+(BULK_TIER=$F170))*((BULK_SKU="ALL")+(BULK_SKU=$G170))*(BULK_START&lt;=1)*(BULK_END&gt;=1)))),0),ROUND((INDEX(VELOCITY_TABLE,MATCH($F170,TIER_LIST,0),1))*(IF((1-$I170+1)&lt;=0,0,IF((1-$I170+1)=1,RAMP_W1,IF((1-$I170+1)=2,RAMP_W2,IF((1-$I170+1)=3,RAMP_W3,RAMP_W4PLUS)))))*(INDEX(ACTIVE_MULT_TABLE,1,1))*(1+SUMPRODUCT(SIGN(((ACT_DOOR_SCOPE="ALL")+(ACT_DOOR_SCOPE="TIER_"&amp;$F170)+(ACT_DOOR_SCOPE=$B170)))*SIGN(((ACT_SKU_SCOPE="ALL")+(ACT_SKU_SCOPE=$G170)))*(ACT_START&lt;=1)*(ACT_END&gt;=1)*IFERROR(ACT_UPLIFT-1,0)))*(1+SUMPRODUCT(SIGN(((ACT_DOOR_SCOPE="ALL")+(ACT_DOOR_SCOPE="TIER_"&amp;$F170)+(ACT_DOOR_SCOPE=$B170)))*SIGN(((ACT_SKU_SCOPE="ALL")+(ACT_SKU_SCOPE=$G170)))*(1&gt;ACT_END)*(ACT_END&gt;0)*IFERROR(ACT_POSTLIFT,0))),0)))</f>
        <v/>
      </c>
      <c r="K170" s="10">
        <f>IF(OR($H170&lt;&gt;"Y",2&lt;$I170),0,IF(SUMPRODUCT(((BULK_ENABLED="Y")*((BULK_TIER="ALL")+(BULK_TIER=$F170))*((BULK_SKU="ALL")+(BULK_SKU=$G170))*(BULK_START&lt;=2)*(BULK_END&gt;=2)))&gt;0,IFERROR(SUMPRODUCT(((BULK_ENABLED="Y")*((BULK_TIER="ALL")+(BULK_TIER=$F170))*((BULK_SKU="ALL")+(BULK_SKU=$G170))*(BULK_START&lt;=2)*(BULK_END&gt;=2))*IFERROR(BULK_VALUE,0))/MAX(1,SUMPRODUCT(((BULK_ENABLED="Y")*((BULK_TIER="ALL")+(BULK_TIER=$F170))*((BULK_SKU="ALL")+(BULK_SKU=$G170))*(BULK_START&lt;=2)*(BULK_END&gt;=2)))),0),ROUND((INDEX(VELOCITY_TABLE,MATCH($F170,TIER_LIST,0),1))*(IF((2-$I170+1)&lt;=0,0,IF((2-$I170+1)=1,RAMP_W1,IF((2-$I170+1)=2,RAMP_W2,IF((2-$I170+1)=3,RAMP_W3,RAMP_W4PLUS)))))*(INDEX(ACTIVE_MULT_TABLE,1,1))*(1+SUMPRODUCT(SIGN(((ACT_DOOR_SCOPE="ALL")+(ACT_DOOR_SCOPE="TIER_"&amp;$F170)+(ACT_DOOR_SCOPE=$B170)))*SIGN(((ACT_SKU_SCOPE="ALL")+(ACT_SKU_SCOPE=$G170)))*(ACT_START&lt;=2)*(ACT_END&gt;=2)*IFERROR(ACT_UPLIFT-1,0)))*(1+SUMPRODUCT(SIGN(((ACT_DOOR_SCOPE="ALL")+(ACT_DOOR_SCOPE="TIER_"&amp;$F170)+(ACT_DOOR_SCOPE=$B170)))*SIGN(((ACT_SKU_SCOPE="ALL")+(ACT_SKU_SCOPE=$G170)))*(2&gt;ACT_END)*(ACT_END&gt;0)*IFERROR(ACT_POSTLIFT,0))),0)))</f>
        <v/>
      </c>
      <c r="L170" s="10">
        <f>IF(OR($H170&lt;&gt;"Y",3&lt;$I170),0,IF(SUMPRODUCT(((BULK_ENABLED="Y")*((BULK_TIER="ALL")+(BULK_TIER=$F170))*((BULK_SKU="ALL")+(BULK_SKU=$G170))*(BULK_START&lt;=3)*(BULK_END&gt;=3)))&gt;0,IFERROR(SUMPRODUCT(((BULK_ENABLED="Y")*((BULK_TIER="ALL")+(BULK_TIER=$F170))*((BULK_SKU="ALL")+(BULK_SKU=$G170))*(BULK_START&lt;=3)*(BULK_END&gt;=3))*IFERROR(BULK_VALUE,0))/MAX(1,SUMPRODUCT(((BULK_ENABLED="Y")*((BULK_TIER="ALL")+(BULK_TIER=$F170))*((BULK_SKU="ALL")+(BULK_SKU=$G170))*(BULK_START&lt;=3)*(BULK_END&gt;=3)))),0),ROUND((INDEX(VELOCITY_TABLE,MATCH($F170,TIER_LIST,0),1))*(IF((3-$I170+1)&lt;=0,0,IF((3-$I170+1)=1,RAMP_W1,IF((3-$I170+1)=2,RAMP_W2,IF((3-$I170+1)=3,RAMP_W3,RAMP_W4PLUS)))))*(INDEX(ACTIVE_MULT_TABLE,1,1))*(1+SUMPRODUCT(SIGN(((ACT_DOOR_SCOPE="ALL")+(ACT_DOOR_SCOPE="TIER_"&amp;$F170)+(ACT_DOOR_SCOPE=$B170)))*SIGN(((ACT_SKU_SCOPE="ALL")+(ACT_SKU_SCOPE=$G170)))*(ACT_START&lt;=3)*(ACT_END&gt;=3)*IFERROR(ACT_UPLIFT-1,0)))*(1+SUMPRODUCT(SIGN(((ACT_DOOR_SCOPE="ALL")+(ACT_DOOR_SCOPE="TIER_"&amp;$F170)+(ACT_DOOR_SCOPE=$B170)))*SIGN(((ACT_SKU_SCOPE="ALL")+(ACT_SKU_SCOPE=$G170)))*(3&gt;ACT_END)*(ACT_END&gt;0)*IFERROR(ACT_POSTLIFT,0))),0)))</f>
        <v/>
      </c>
      <c r="M170" s="10">
        <f>IF(OR($H170&lt;&gt;"Y",4&lt;$I170),0,IF(SUMPRODUCT(((BULK_ENABLED="Y")*((BULK_TIER="ALL")+(BULK_TIER=$F170))*((BULK_SKU="ALL")+(BULK_SKU=$G170))*(BULK_START&lt;=4)*(BULK_END&gt;=4)))&gt;0,IFERROR(SUMPRODUCT(((BULK_ENABLED="Y")*((BULK_TIER="ALL")+(BULK_TIER=$F170))*((BULK_SKU="ALL")+(BULK_SKU=$G170))*(BULK_START&lt;=4)*(BULK_END&gt;=4))*IFERROR(BULK_VALUE,0))/MAX(1,SUMPRODUCT(((BULK_ENABLED="Y")*((BULK_TIER="ALL")+(BULK_TIER=$F170))*((BULK_SKU="ALL")+(BULK_SKU=$G170))*(BULK_START&lt;=4)*(BULK_END&gt;=4)))),0),ROUND((INDEX(VELOCITY_TABLE,MATCH($F170,TIER_LIST,0),1))*(IF((4-$I170+1)&lt;=0,0,IF((4-$I170+1)=1,RAMP_W1,IF((4-$I170+1)=2,RAMP_W2,IF((4-$I170+1)=3,RAMP_W3,RAMP_W4PLUS)))))*(INDEX(ACTIVE_MULT_TABLE,1,1))*(1+SUMPRODUCT(SIGN(((ACT_DOOR_SCOPE="ALL")+(ACT_DOOR_SCOPE="TIER_"&amp;$F170)+(ACT_DOOR_SCOPE=$B170)))*SIGN(((ACT_SKU_SCOPE="ALL")+(ACT_SKU_SCOPE=$G170)))*(ACT_START&lt;=4)*(ACT_END&gt;=4)*IFERROR(ACT_UPLIFT-1,0)))*(1+SUMPRODUCT(SIGN(((ACT_DOOR_SCOPE="ALL")+(ACT_DOOR_SCOPE="TIER_"&amp;$F170)+(ACT_DOOR_SCOPE=$B170)))*SIGN(((ACT_SKU_SCOPE="ALL")+(ACT_SKU_SCOPE=$G170)))*(4&gt;ACT_END)*(ACT_END&gt;0)*IFERROR(ACT_POSTLIFT,0))),0)))</f>
        <v/>
      </c>
      <c r="N170" s="10">
        <f>IF(OR($H170&lt;&gt;"Y",5&lt;$I170),0,IF(SUMPRODUCT(((BULK_ENABLED="Y")*((BULK_TIER="ALL")+(BULK_TIER=$F170))*((BULK_SKU="ALL")+(BULK_SKU=$G170))*(BULK_START&lt;=5)*(BULK_END&gt;=5)))&gt;0,IFERROR(SUMPRODUCT(((BULK_ENABLED="Y")*((BULK_TIER="ALL")+(BULK_TIER=$F170))*((BULK_SKU="ALL")+(BULK_SKU=$G170))*(BULK_START&lt;=5)*(BULK_END&gt;=5))*IFERROR(BULK_VALUE,0))/MAX(1,SUMPRODUCT(((BULK_ENABLED="Y")*((BULK_TIER="ALL")+(BULK_TIER=$F170))*((BULK_SKU="ALL")+(BULK_SKU=$G170))*(BULK_START&lt;=5)*(BULK_END&gt;=5)))),0),ROUND((INDEX(VELOCITY_TABLE,MATCH($F170,TIER_LIST,0),1))*(IF((5-$I170+1)&lt;=0,0,IF((5-$I170+1)=1,RAMP_W1,IF((5-$I170+1)=2,RAMP_W2,IF((5-$I170+1)=3,RAMP_W3,RAMP_W4PLUS)))))*(INDEX(ACTIVE_MULT_TABLE,1,1))*(1+SUMPRODUCT(SIGN(((ACT_DOOR_SCOPE="ALL")+(ACT_DOOR_SCOPE="TIER_"&amp;$F170)+(ACT_DOOR_SCOPE=$B170)))*SIGN(((ACT_SKU_SCOPE="ALL")+(ACT_SKU_SCOPE=$G170)))*(ACT_START&lt;=5)*(ACT_END&gt;=5)*IFERROR(ACT_UPLIFT-1,0)))*(1+SUMPRODUCT(SIGN(((ACT_DOOR_SCOPE="ALL")+(ACT_DOOR_SCOPE="TIER_"&amp;$F170)+(ACT_DOOR_SCOPE=$B170)))*SIGN(((ACT_SKU_SCOPE="ALL")+(ACT_SKU_SCOPE=$G170)))*(5&gt;ACT_END)*(ACT_END&gt;0)*IFERROR(ACT_POSTLIFT,0))),0)))</f>
        <v/>
      </c>
      <c r="O170" s="10">
        <f>IF(OR($H170&lt;&gt;"Y",6&lt;$I170),0,IF(SUMPRODUCT(((BULK_ENABLED="Y")*((BULK_TIER="ALL")+(BULK_TIER=$F170))*((BULK_SKU="ALL")+(BULK_SKU=$G170))*(BULK_START&lt;=6)*(BULK_END&gt;=6)))&gt;0,IFERROR(SUMPRODUCT(((BULK_ENABLED="Y")*((BULK_TIER="ALL")+(BULK_TIER=$F170))*((BULK_SKU="ALL")+(BULK_SKU=$G170))*(BULK_START&lt;=6)*(BULK_END&gt;=6))*IFERROR(BULK_VALUE,0))/MAX(1,SUMPRODUCT(((BULK_ENABLED="Y")*((BULK_TIER="ALL")+(BULK_TIER=$F170))*((BULK_SKU="ALL")+(BULK_SKU=$G170))*(BULK_START&lt;=6)*(BULK_END&gt;=6)))),0),ROUND((INDEX(VELOCITY_TABLE,MATCH($F170,TIER_LIST,0),1))*(IF((6-$I170+1)&lt;=0,0,IF((6-$I170+1)=1,RAMP_W1,IF((6-$I170+1)=2,RAMP_W2,IF((6-$I170+1)=3,RAMP_W3,RAMP_W4PLUS)))))*(INDEX(ACTIVE_MULT_TABLE,1,1))*(1+SUMPRODUCT(SIGN(((ACT_DOOR_SCOPE="ALL")+(ACT_DOOR_SCOPE="TIER_"&amp;$F170)+(ACT_DOOR_SCOPE=$B170)))*SIGN(((ACT_SKU_SCOPE="ALL")+(ACT_SKU_SCOPE=$G170)))*(ACT_START&lt;=6)*(ACT_END&gt;=6)*IFERROR(ACT_UPLIFT-1,0)))*(1+SUMPRODUCT(SIGN(((ACT_DOOR_SCOPE="ALL")+(ACT_DOOR_SCOPE="TIER_"&amp;$F170)+(ACT_DOOR_SCOPE=$B170)))*SIGN(((ACT_SKU_SCOPE="ALL")+(ACT_SKU_SCOPE=$G170)))*(6&gt;ACT_END)*(ACT_END&gt;0)*IFERROR(ACT_POSTLIFT,0))),0)))</f>
        <v/>
      </c>
      <c r="P170" s="10">
        <f>IF(OR($H170&lt;&gt;"Y",7&lt;$I170),0,IF(SUMPRODUCT(((BULK_ENABLED="Y")*((BULK_TIER="ALL")+(BULK_TIER=$F170))*((BULK_SKU="ALL")+(BULK_SKU=$G170))*(BULK_START&lt;=7)*(BULK_END&gt;=7)))&gt;0,IFERROR(SUMPRODUCT(((BULK_ENABLED="Y")*((BULK_TIER="ALL")+(BULK_TIER=$F170))*((BULK_SKU="ALL")+(BULK_SKU=$G170))*(BULK_START&lt;=7)*(BULK_END&gt;=7))*IFERROR(BULK_VALUE,0))/MAX(1,SUMPRODUCT(((BULK_ENABLED="Y")*((BULK_TIER="ALL")+(BULK_TIER=$F170))*((BULK_SKU="ALL")+(BULK_SKU=$G170))*(BULK_START&lt;=7)*(BULK_END&gt;=7)))),0),ROUND((INDEX(VELOCITY_TABLE,MATCH($F170,TIER_LIST,0),1))*(IF((7-$I170+1)&lt;=0,0,IF((7-$I170+1)=1,RAMP_W1,IF((7-$I170+1)=2,RAMP_W2,IF((7-$I170+1)=3,RAMP_W3,RAMP_W4PLUS)))))*(INDEX(ACTIVE_MULT_TABLE,1,1))*(1+SUMPRODUCT(SIGN(((ACT_DOOR_SCOPE="ALL")+(ACT_DOOR_SCOPE="TIER_"&amp;$F170)+(ACT_DOOR_SCOPE=$B170)))*SIGN(((ACT_SKU_SCOPE="ALL")+(ACT_SKU_SCOPE=$G170)))*(ACT_START&lt;=7)*(ACT_END&gt;=7)*IFERROR(ACT_UPLIFT-1,0)))*(1+SUMPRODUCT(SIGN(((ACT_DOOR_SCOPE="ALL")+(ACT_DOOR_SCOPE="TIER_"&amp;$F170)+(ACT_DOOR_SCOPE=$B170)))*SIGN(((ACT_SKU_SCOPE="ALL")+(ACT_SKU_SCOPE=$G170)))*(7&gt;ACT_END)*(ACT_END&gt;0)*IFERROR(ACT_POSTLIFT,0))),0)))</f>
        <v/>
      </c>
      <c r="Q170" s="10">
        <f>IF(OR($H170&lt;&gt;"Y",8&lt;$I170),0,IF(SUMPRODUCT(((BULK_ENABLED="Y")*((BULK_TIER="ALL")+(BULK_TIER=$F170))*((BULK_SKU="ALL")+(BULK_SKU=$G170))*(BULK_START&lt;=8)*(BULK_END&gt;=8)))&gt;0,IFERROR(SUMPRODUCT(((BULK_ENABLED="Y")*((BULK_TIER="ALL")+(BULK_TIER=$F170))*((BULK_SKU="ALL")+(BULK_SKU=$G170))*(BULK_START&lt;=8)*(BULK_END&gt;=8))*IFERROR(BULK_VALUE,0))/MAX(1,SUMPRODUCT(((BULK_ENABLED="Y")*((BULK_TIER="ALL")+(BULK_TIER=$F170))*((BULK_SKU="ALL")+(BULK_SKU=$G170))*(BULK_START&lt;=8)*(BULK_END&gt;=8)))),0),ROUND((INDEX(VELOCITY_TABLE,MATCH($F170,TIER_LIST,0),1))*(IF((8-$I170+1)&lt;=0,0,IF((8-$I170+1)=1,RAMP_W1,IF((8-$I170+1)=2,RAMP_W2,IF((8-$I170+1)=3,RAMP_W3,RAMP_W4PLUS)))))*(INDEX(ACTIVE_MULT_TABLE,1,1))*(1+SUMPRODUCT(SIGN(((ACT_DOOR_SCOPE="ALL")+(ACT_DOOR_SCOPE="TIER_"&amp;$F170)+(ACT_DOOR_SCOPE=$B170)))*SIGN(((ACT_SKU_SCOPE="ALL")+(ACT_SKU_SCOPE=$G170)))*(ACT_START&lt;=8)*(ACT_END&gt;=8)*IFERROR(ACT_UPLIFT-1,0)))*(1+SUMPRODUCT(SIGN(((ACT_DOOR_SCOPE="ALL")+(ACT_DOOR_SCOPE="TIER_"&amp;$F170)+(ACT_DOOR_SCOPE=$B170)))*SIGN(((ACT_SKU_SCOPE="ALL")+(ACT_SKU_SCOPE=$G170)))*(8&gt;ACT_END)*(ACT_END&gt;0)*IFERROR(ACT_POSTLIFT,0))),0)))</f>
        <v/>
      </c>
      <c r="R170" s="10">
        <f>IF(OR($H170&lt;&gt;"Y",9&lt;$I170),0,IF(SUMPRODUCT(((BULK_ENABLED="Y")*((BULK_TIER="ALL")+(BULK_TIER=$F170))*((BULK_SKU="ALL")+(BULK_SKU=$G170))*(BULK_START&lt;=9)*(BULK_END&gt;=9)))&gt;0,IFERROR(SUMPRODUCT(((BULK_ENABLED="Y")*((BULK_TIER="ALL")+(BULK_TIER=$F170))*((BULK_SKU="ALL")+(BULK_SKU=$G170))*(BULK_START&lt;=9)*(BULK_END&gt;=9))*IFERROR(BULK_VALUE,0))/MAX(1,SUMPRODUCT(((BULK_ENABLED="Y")*((BULK_TIER="ALL")+(BULK_TIER=$F170))*((BULK_SKU="ALL")+(BULK_SKU=$G170))*(BULK_START&lt;=9)*(BULK_END&gt;=9)))),0),ROUND((INDEX(VELOCITY_TABLE,MATCH($F170,TIER_LIST,0),1))*(IF((9-$I170+1)&lt;=0,0,IF((9-$I170+1)=1,RAMP_W1,IF((9-$I170+1)=2,RAMP_W2,IF((9-$I170+1)=3,RAMP_W3,RAMP_W4PLUS)))))*(INDEX(ACTIVE_MULT_TABLE,1,1))*(1+SUMPRODUCT(SIGN(((ACT_DOOR_SCOPE="ALL")+(ACT_DOOR_SCOPE="TIER_"&amp;$F170)+(ACT_DOOR_SCOPE=$B170)))*SIGN(((ACT_SKU_SCOPE="ALL")+(ACT_SKU_SCOPE=$G170)))*(ACT_START&lt;=9)*(ACT_END&gt;=9)*IFERROR(ACT_UPLIFT-1,0)))*(1+SUMPRODUCT(SIGN(((ACT_DOOR_SCOPE="ALL")+(ACT_DOOR_SCOPE="TIER_"&amp;$F170)+(ACT_DOOR_SCOPE=$B170)))*SIGN(((ACT_SKU_SCOPE="ALL")+(ACT_SKU_SCOPE=$G170)))*(9&gt;ACT_END)*(ACT_END&gt;0)*IFERROR(ACT_POSTLIFT,0))),0)))</f>
        <v/>
      </c>
      <c r="S170" s="10">
        <f>IF(OR($H170&lt;&gt;"Y",10&lt;$I170),0,IF(SUMPRODUCT(((BULK_ENABLED="Y")*((BULK_TIER="ALL")+(BULK_TIER=$F170))*((BULK_SKU="ALL")+(BULK_SKU=$G170))*(BULK_START&lt;=10)*(BULK_END&gt;=10)))&gt;0,IFERROR(SUMPRODUCT(((BULK_ENABLED="Y")*((BULK_TIER="ALL")+(BULK_TIER=$F170))*((BULK_SKU="ALL")+(BULK_SKU=$G170))*(BULK_START&lt;=10)*(BULK_END&gt;=10))*IFERROR(BULK_VALUE,0))/MAX(1,SUMPRODUCT(((BULK_ENABLED="Y")*((BULK_TIER="ALL")+(BULK_TIER=$F170))*((BULK_SKU="ALL")+(BULK_SKU=$G170))*(BULK_START&lt;=10)*(BULK_END&gt;=10)))),0),ROUND((INDEX(VELOCITY_TABLE,MATCH($F170,TIER_LIST,0),1))*(IF((10-$I170+1)&lt;=0,0,IF((10-$I170+1)=1,RAMP_W1,IF((10-$I170+1)=2,RAMP_W2,IF((10-$I170+1)=3,RAMP_W3,RAMP_W4PLUS)))))*(INDEX(ACTIVE_MULT_TABLE,1,1))*(1+SUMPRODUCT(SIGN(((ACT_DOOR_SCOPE="ALL")+(ACT_DOOR_SCOPE="TIER_"&amp;$F170)+(ACT_DOOR_SCOPE=$B170)))*SIGN(((ACT_SKU_SCOPE="ALL")+(ACT_SKU_SCOPE=$G170)))*(ACT_START&lt;=10)*(ACT_END&gt;=10)*IFERROR(ACT_UPLIFT-1,0)))*(1+SUMPRODUCT(SIGN(((ACT_DOOR_SCOPE="ALL")+(ACT_DOOR_SCOPE="TIER_"&amp;$F170)+(ACT_DOOR_SCOPE=$B170)))*SIGN(((ACT_SKU_SCOPE="ALL")+(ACT_SKU_SCOPE=$G170)))*(10&gt;ACT_END)*(ACT_END&gt;0)*IFERROR(ACT_POSTLIFT,0))),0)))</f>
        <v/>
      </c>
      <c r="T170" s="10">
        <f>IF(OR($H170&lt;&gt;"Y",11&lt;$I170),0,IF(SUMPRODUCT(((BULK_ENABLED="Y")*((BULK_TIER="ALL")+(BULK_TIER=$F170))*((BULK_SKU="ALL")+(BULK_SKU=$G170))*(BULK_START&lt;=11)*(BULK_END&gt;=11)))&gt;0,IFERROR(SUMPRODUCT(((BULK_ENABLED="Y")*((BULK_TIER="ALL")+(BULK_TIER=$F170))*((BULK_SKU="ALL")+(BULK_SKU=$G170))*(BULK_START&lt;=11)*(BULK_END&gt;=11))*IFERROR(BULK_VALUE,0))/MAX(1,SUMPRODUCT(((BULK_ENABLED="Y")*((BULK_TIER="ALL")+(BULK_TIER=$F170))*((BULK_SKU="ALL")+(BULK_SKU=$G170))*(BULK_START&lt;=11)*(BULK_END&gt;=11)))),0),ROUND((INDEX(VELOCITY_TABLE,MATCH($F170,TIER_LIST,0),1))*(IF((11-$I170+1)&lt;=0,0,IF((11-$I170+1)=1,RAMP_W1,IF((11-$I170+1)=2,RAMP_W2,IF((11-$I170+1)=3,RAMP_W3,RAMP_W4PLUS)))))*(INDEX(ACTIVE_MULT_TABLE,1,1))*(1+SUMPRODUCT(SIGN(((ACT_DOOR_SCOPE="ALL")+(ACT_DOOR_SCOPE="TIER_"&amp;$F170)+(ACT_DOOR_SCOPE=$B170)))*SIGN(((ACT_SKU_SCOPE="ALL")+(ACT_SKU_SCOPE=$G170)))*(ACT_START&lt;=11)*(ACT_END&gt;=11)*IFERROR(ACT_UPLIFT-1,0)))*(1+SUMPRODUCT(SIGN(((ACT_DOOR_SCOPE="ALL")+(ACT_DOOR_SCOPE="TIER_"&amp;$F170)+(ACT_DOOR_SCOPE=$B170)))*SIGN(((ACT_SKU_SCOPE="ALL")+(ACT_SKU_SCOPE=$G170)))*(11&gt;ACT_END)*(ACT_END&gt;0)*IFERROR(ACT_POSTLIFT,0))),0)))</f>
        <v/>
      </c>
      <c r="U170" s="10">
        <f>IF(OR($H170&lt;&gt;"Y",12&lt;$I170),0,IF(SUMPRODUCT(((BULK_ENABLED="Y")*((BULK_TIER="ALL")+(BULK_TIER=$F170))*((BULK_SKU="ALL")+(BULK_SKU=$G170))*(BULK_START&lt;=12)*(BULK_END&gt;=12)))&gt;0,IFERROR(SUMPRODUCT(((BULK_ENABLED="Y")*((BULK_TIER="ALL")+(BULK_TIER=$F170))*((BULK_SKU="ALL")+(BULK_SKU=$G170))*(BULK_START&lt;=12)*(BULK_END&gt;=12))*IFERROR(BULK_VALUE,0))/MAX(1,SUMPRODUCT(((BULK_ENABLED="Y")*((BULK_TIER="ALL")+(BULK_TIER=$F170))*((BULK_SKU="ALL")+(BULK_SKU=$G170))*(BULK_START&lt;=12)*(BULK_END&gt;=12)))),0),ROUND((INDEX(VELOCITY_TABLE,MATCH($F170,TIER_LIST,0),1))*(IF((12-$I170+1)&lt;=0,0,IF((12-$I170+1)=1,RAMP_W1,IF((12-$I170+1)=2,RAMP_W2,IF((12-$I170+1)=3,RAMP_W3,RAMP_W4PLUS)))))*(INDEX(ACTIVE_MULT_TABLE,1,1))*(1+SUMPRODUCT(SIGN(((ACT_DOOR_SCOPE="ALL")+(ACT_DOOR_SCOPE="TIER_"&amp;$F170)+(ACT_DOOR_SCOPE=$B170)))*SIGN(((ACT_SKU_SCOPE="ALL")+(ACT_SKU_SCOPE=$G170)))*(ACT_START&lt;=12)*(ACT_END&gt;=12)*IFERROR(ACT_UPLIFT-1,0)))*(1+SUMPRODUCT(SIGN(((ACT_DOOR_SCOPE="ALL")+(ACT_DOOR_SCOPE="TIER_"&amp;$F170)+(ACT_DOOR_SCOPE=$B170)))*SIGN(((ACT_SKU_SCOPE="ALL")+(ACT_SKU_SCOPE=$G170)))*(12&gt;ACT_END)*(ACT_END&gt;0)*IFERROR(ACT_POSTLIFT,0))),0)))</f>
        <v/>
      </c>
      <c r="V170" s="10">
        <f>IF(OR($H170&lt;&gt;"Y",13&lt;$I170),0,IF(SUMPRODUCT(((BULK_ENABLED="Y")*((BULK_TIER="ALL")+(BULK_TIER=$F170))*((BULK_SKU="ALL")+(BULK_SKU=$G170))*(BULK_START&lt;=13)*(BULK_END&gt;=13)))&gt;0,IFERROR(SUMPRODUCT(((BULK_ENABLED="Y")*((BULK_TIER="ALL")+(BULK_TIER=$F170))*((BULK_SKU="ALL")+(BULK_SKU=$G170))*(BULK_START&lt;=13)*(BULK_END&gt;=13))*IFERROR(BULK_VALUE,0))/MAX(1,SUMPRODUCT(((BULK_ENABLED="Y")*((BULK_TIER="ALL")+(BULK_TIER=$F170))*((BULK_SKU="ALL")+(BULK_SKU=$G170))*(BULK_START&lt;=13)*(BULK_END&gt;=13)))),0),ROUND((INDEX(VELOCITY_TABLE,MATCH($F170,TIER_LIST,0),1))*(IF((13-$I170+1)&lt;=0,0,IF((13-$I170+1)=1,RAMP_W1,IF((13-$I170+1)=2,RAMP_W2,IF((13-$I170+1)=3,RAMP_W3,RAMP_W4PLUS)))))*(INDEX(ACTIVE_MULT_TABLE,1,1))*(1+SUMPRODUCT(SIGN(((ACT_DOOR_SCOPE="ALL")+(ACT_DOOR_SCOPE="TIER_"&amp;$F170)+(ACT_DOOR_SCOPE=$B170)))*SIGN(((ACT_SKU_SCOPE="ALL")+(ACT_SKU_SCOPE=$G170)))*(ACT_START&lt;=13)*(ACT_END&gt;=13)*IFERROR(ACT_UPLIFT-1,0)))*(1+SUMPRODUCT(SIGN(((ACT_DOOR_SCOPE="ALL")+(ACT_DOOR_SCOPE="TIER_"&amp;$F170)+(ACT_DOOR_SCOPE=$B170)))*SIGN(((ACT_SKU_SCOPE="ALL")+(ACT_SKU_SCOPE=$G170)))*(13&gt;ACT_END)*(ACT_END&gt;0)*IFERROR(ACT_POSTLIFT,0))),0)))</f>
        <v/>
      </c>
    </row>
    <row r="171">
      <c r="A171" t="inlineStr">
        <is>
          <t>R0167</t>
        </is>
      </c>
      <c r="B171">
        <f>Doors!$A$60</f>
        <v/>
      </c>
      <c r="C171">
        <f>Doors!$C$60</f>
        <v/>
      </c>
      <c r="D171">
        <f>Doors!$B$60</f>
        <v/>
      </c>
      <c r="E171">
        <f>Doors!$E$60</f>
        <v/>
      </c>
      <c r="F171">
        <f>Doors!$F$60</f>
        <v/>
      </c>
      <c r="G171" t="inlineStr">
        <is>
          <t>Pineapple Passion Fruit</t>
        </is>
      </c>
      <c r="H171">
        <f>Doors!$H$60</f>
        <v/>
      </c>
      <c r="I171">
        <f>Doors!$J$60</f>
        <v/>
      </c>
      <c r="J171" s="10">
        <f>IF(OR($H171&lt;&gt;"Y",1&lt;$I171),0,IF(SUMPRODUCT(((BULK_ENABLED="Y")*((BULK_TIER="ALL")+(BULK_TIER=$F171))*((BULK_SKU="ALL")+(BULK_SKU=$G171))*(BULK_START&lt;=1)*(BULK_END&gt;=1)))&gt;0,IFERROR(SUMPRODUCT(((BULK_ENABLED="Y")*((BULK_TIER="ALL")+(BULK_TIER=$F171))*((BULK_SKU="ALL")+(BULK_SKU=$G171))*(BULK_START&lt;=1)*(BULK_END&gt;=1))*IFERROR(BULK_VALUE,0))/MAX(1,SUMPRODUCT(((BULK_ENABLED="Y")*((BULK_TIER="ALL")+(BULK_TIER=$F171))*((BULK_SKU="ALL")+(BULK_SKU=$G171))*(BULK_START&lt;=1)*(BULK_END&gt;=1)))),0),ROUND((INDEX(VELOCITY_TABLE,MATCH($F171,TIER_LIST,0),2))*(IF((1-$I171+1)&lt;=0,0,IF((1-$I171+1)=1,RAMP_W1,IF((1-$I171+1)=2,RAMP_W2,IF((1-$I171+1)=3,RAMP_W3,RAMP_W4PLUS)))))*(INDEX(ACTIVE_MULT_TABLE,2,1))*(1+SUMPRODUCT(SIGN(((ACT_DOOR_SCOPE="ALL")+(ACT_DOOR_SCOPE="TIER_"&amp;$F171)+(ACT_DOOR_SCOPE=$B171)))*SIGN(((ACT_SKU_SCOPE="ALL")+(ACT_SKU_SCOPE=$G171)))*(ACT_START&lt;=1)*(ACT_END&gt;=1)*IFERROR(ACT_UPLIFT-1,0)))*(1+SUMPRODUCT(SIGN(((ACT_DOOR_SCOPE="ALL")+(ACT_DOOR_SCOPE="TIER_"&amp;$F171)+(ACT_DOOR_SCOPE=$B171)))*SIGN(((ACT_SKU_SCOPE="ALL")+(ACT_SKU_SCOPE=$G171)))*(1&gt;ACT_END)*(ACT_END&gt;0)*IFERROR(ACT_POSTLIFT,0))),0)))</f>
        <v/>
      </c>
      <c r="K171" s="10">
        <f>IF(OR($H171&lt;&gt;"Y",2&lt;$I171),0,IF(SUMPRODUCT(((BULK_ENABLED="Y")*((BULK_TIER="ALL")+(BULK_TIER=$F171))*((BULK_SKU="ALL")+(BULK_SKU=$G171))*(BULK_START&lt;=2)*(BULK_END&gt;=2)))&gt;0,IFERROR(SUMPRODUCT(((BULK_ENABLED="Y")*((BULK_TIER="ALL")+(BULK_TIER=$F171))*((BULK_SKU="ALL")+(BULK_SKU=$G171))*(BULK_START&lt;=2)*(BULK_END&gt;=2))*IFERROR(BULK_VALUE,0))/MAX(1,SUMPRODUCT(((BULK_ENABLED="Y")*((BULK_TIER="ALL")+(BULK_TIER=$F171))*((BULK_SKU="ALL")+(BULK_SKU=$G171))*(BULK_START&lt;=2)*(BULK_END&gt;=2)))),0),ROUND((INDEX(VELOCITY_TABLE,MATCH($F171,TIER_LIST,0),2))*(IF((2-$I171+1)&lt;=0,0,IF((2-$I171+1)=1,RAMP_W1,IF((2-$I171+1)=2,RAMP_W2,IF((2-$I171+1)=3,RAMP_W3,RAMP_W4PLUS)))))*(INDEX(ACTIVE_MULT_TABLE,2,1))*(1+SUMPRODUCT(SIGN(((ACT_DOOR_SCOPE="ALL")+(ACT_DOOR_SCOPE="TIER_"&amp;$F171)+(ACT_DOOR_SCOPE=$B171)))*SIGN(((ACT_SKU_SCOPE="ALL")+(ACT_SKU_SCOPE=$G171)))*(ACT_START&lt;=2)*(ACT_END&gt;=2)*IFERROR(ACT_UPLIFT-1,0)))*(1+SUMPRODUCT(SIGN(((ACT_DOOR_SCOPE="ALL")+(ACT_DOOR_SCOPE="TIER_"&amp;$F171)+(ACT_DOOR_SCOPE=$B171)))*SIGN(((ACT_SKU_SCOPE="ALL")+(ACT_SKU_SCOPE=$G171)))*(2&gt;ACT_END)*(ACT_END&gt;0)*IFERROR(ACT_POSTLIFT,0))),0)))</f>
        <v/>
      </c>
      <c r="L171" s="10">
        <f>IF(OR($H171&lt;&gt;"Y",3&lt;$I171),0,IF(SUMPRODUCT(((BULK_ENABLED="Y")*((BULK_TIER="ALL")+(BULK_TIER=$F171))*((BULK_SKU="ALL")+(BULK_SKU=$G171))*(BULK_START&lt;=3)*(BULK_END&gt;=3)))&gt;0,IFERROR(SUMPRODUCT(((BULK_ENABLED="Y")*((BULK_TIER="ALL")+(BULK_TIER=$F171))*((BULK_SKU="ALL")+(BULK_SKU=$G171))*(BULK_START&lt;=3)*(BULK_END&gt;=3))*IFERROR(BULK_VALUE,0))/MAX(1,SUMPRODUCT(((BULK_ENABLED="Y")*((BULK_TIER="ALL")+(BULK_TIER=$F171))*((BULK_SKU="ALL")+(BULK_SKU=$G171))*(BULK_START&lt;=3)*(BULK_END&gt;=3)))),0),ROUND((INDEX(VELOCITY_TABLE,MATCH($F171,TIER_LIST,0),2))*(IF((3-$I171+1)&lt;=0,0,IF((3-$I171+1)=1,RAMP_W1,IF((3-$I171+1)=2,RAMP_W2,IF((3-$I171+1)=3,RAMP_W3,RAMP_W4PLUS)))))*(INDEX(ACTIVE_MULT_TABLE,2,1))*(1+SUMPRODUCT(SIGN(((ACT_DOOR_SCOPE="ALL")+(ACT_DOOR_SCOPE="TIER_"&amp;$F171)+(ACT_DOOR_SCOPE=$B171)))*SIGN(((ACT_SKU_SCOPE="ALL")+(ACT_SKU_SCOPE=$G171)))*(ACT_START&lt;=3)*(ACT_END&gt;=3)*IFERROR(ACT_UPLIFT-1,0)))*(1+SUMPRODUCT(SIGN(((ACT_DOOR_SCOPE="ALL")+(ACT_DOOR_SCOPE="TIER_"&amp;$F171)+(ACT_DOOR_SCOPE=$B171)))*SIGN(((ACT_SKU_SCOPE="ALL")+(ACT_SKU_SCOPE=$G171)))*(3&gt;ACT_END)*(ACT_END&gt;0)*IFERROR(ACT_POSTLIFT,0))),0)))</f>
        <v/>
      </c>
      <c r="M171" s="10">
        <f>IF(OR($H171&lt;&gt;"Y",4&lt;$I171),0,IF(SUMPRODUCT(((BULK_ENABLED="Y")*((BULK_TIER="ALL")+(BULK_TIER=$F171))*((BULK_SKU="ALL")+(BULK_SKU=$G171))*(BULK_START&lt;=4)*(BULK_END&gt;=4)))&gt;0,IFERROR(SUMPRODUCT(((BULK_ENABLED="Y")*((BULK_TIER="ALL")+(BULK_TIER=$F171))*((BULK_SKU="ALL")+(BULK_SKU=$G171))*(BULK_START&lt;=4)*(BULK_END&gt;=4))*IFERROR(BULK_VALUE,0))/MAX(1,SUMPRODUCT(((BULK_ENABLED="Y")*((BULK_TIER="ALL")+(BULK_TIER=$F171))*((BULK_SKU="ALL")+(BULK_SKU=$G171))*(BULK_START&lt;=4)*(BULK_END&gt;=4)))),0),ROUND((INDEX(VELOCITY_TABLE,MATCH($F171,TIER_LIST,0),2))*(IF((4-$I171+1)&lt;=0,0,IF((4-$I171+1)=1,RAMP_W1,IF((4-$I171+1)=2,RAMP_W2,IF((4-$I171+1)=3,RAMP_W3,RAMP_W4PLUS)))))*(INDEX(ACTIVE_MULT_TABLE,2,1))*(1+SUMPRODUCT(SIGN(((ACT_DOOR_SCOPE="ALL")+(ACT_DOOR_SCOPE="TIER_"&amp;$F171)+(ACT_DOOR_SCOPE=$B171)))*SIGN(((ACT_SKU_SCOPE="ALL")+(ACT_SKU_SCOPE=$G171)))*(ACT_START&lt;=4)*(ACT_END&gt;=4)*IFERROR(ACT_UPLIFT-1,0)))*(1+SUMPRODUCT(SIGN(((ACT_DOOR_SCOPE="ALL")+(ACT_DOOR_SCOPE="TIER_"&amp;$F171)+(ACT_DOOR_SCOPE=$B171)))*SIGN(((ACT_SKU_SCOPE="ALL")+(ACT_SKU_SCOPE=$G171)))*(4&gt;ACT_END)*(ACT_END&gt;0)*IFERROR(ACT_POSTLIFT,0))),0)))</f>
        <v/>
      </c>
      <c r="N171" s="10">
        <f>IF(OR($H171&lt;&gt;"Y",5&lt;$I171),0,IF(SUMPRODUCT(((BULK_ENABLED="Y")*((BULK_TIER="ALL")+(BULK_TIER=$F171))*((BULK_SKU="ALL")+(BULK_SKU=$G171))*(BULK_START&lt;=5)*(BULK_END&gt;=5)))&gt;0,IFERROR(SUMPRODUCT(((BULK_ENABLED="Y")*((BULK_TIER="ALL")+(BULK_TIER=$F171))*((BULK_SKU="ALL")+(BULK_SKU=$G171))*(BULK_START&lt;=5)*(BULK_END&gt;=5))*IFERROR(BULK_VALUE,0))/MAX(1,SUMPRODUCT(((BULK_ENABLED="Y")*((BULK_TIER="ALL")+(BULK_TIER=$F171))*((BULK_SKU="ALL")+(BULK_SKU=$G171))*(BULK_START&lt;=5)*(BULK_END&gt;=5)))),0),ROUND((INDEX(VELOCITY_TABLE,MATCH($F171,TIER_LIST,0),2))*(IF((5-$I171+1)&lt;=0,0,IF((5-$I171+1)=1,RAMP_W1,IF((5-$I171+1)=2,RAMP_W2,IF((5-$I171+1)=3,RAMP_W3,RAMP_W4PLUS)))))*(INDEX(ACTIVE_MULT_TABLE,2,1))*(1+SUMPRODUCT(SIGN(((ACT_DOOR_SCOPE="ALL")+(ACT_DOOR_SCOPE="TIER_"&amp;$F171)+(ACT_DOOR_SCOPE=$B171)))*SIGN(((ACT_SKU_SCOPE="ALL")+(ACT_SKU_SCOPE=$G171)))*(ACT_START&lt;=5)*(ACT_END&gt;=5)*IFERROR(ACT_UPLIFT-1,0)))*(1+SUMPRODUCT(SIGN(((ACT_DOOR_SCOPE="ALL")+(ACT_DOOR_SCOPE="TIER_"&amp;$F171)+(ACT_DOOR_SCOPE=$B171)))*SIGN(((ACT_SKU_SCOPE="ALL")+(ACT_SKU_SCOPE=$G171)))*(5&gt;ACT_END)*(ACT_END&gt;0)*IFERROR(ACT_POSTLIFT,0))),0)))</f>
        <v/>
      </c>
      <c r="O171" s="10">
        <f>IF(OR($H171&lt;&gt;"Y",6&lt;$I171),0,IF(SUMPRODUCT(((BULK_ENABLED="Y")*((BULK_TIER="ALL")+(BULK_TIER=$F171))*((BULK_SKU="ALL")+(BULK_SKU=$G171))*(BULK_START&lt;=6)*(BULK_END&gt;=6)))&gt;0,IFERROR(SUMPRODUCT(((BULK_ENABLED="Y")*((BULK_TIER="ALL")+(BULK_TIER=$F171))*((BULK_SKU="ALL")+(BULK_SKU=$G171))*(BULK_START&lt;=6)*(BULK_END&gt;=6))*IFERROR(BULK_VALUE,0))/MAX(1,SUMPRODUCT(((BULK_ENABLED="Y")*((BULK_TIER="ALL")+(BULK_TIER=$F171))*((BULK_SKU="ALL")+(BULK_SKU=$G171))*(BULK_START&lt;=6)*(BULK_END&gt;=6)))),0),ROUND((INDEX(VELOCITY_TABLE,MATCH($F171,TIER_LIST,0),2))*(IF((6-$I171+1)&lt;=0,0,IF((6-$I171+1)=1,RAMP_W1,IF((6-$I171+1)=2,RAMP_W2,IF((6-$I171+1)=3,RAMP_W3,RAMP_W4PLUS)))))*(INDEX(ACTIVE_MULT_TABLE,2,1))*(1+SUMPRODUCT(SIGN(((ACT_DOOR_SCOPE="ALL")+(ACT_DOOR_SCOPE="TIER_"&amp;$F171)+(ACT_DOOR_SCOPE=$B171)))*SIGN(((ACT_SKU_SCOPE="ALL")+(ACT_SKU_SCOPE=$G171)))*(ACT_START&lt;=6)*(ACT_END&gt;=6)*IFERROR(ACT_UPLIFT-1,0)))*(1+SUMPRODUCT(SIGN(((ACT_DOOR_SCOPE="ALL")+(ACT_DOOR_SCOPE="TIER_"&amp;$F171)+(ACT_DOOR_SCOPE=$B171)))*SIGN(((ACT_SKU_SCOPE="ALL")+(ACT_SKU_SCOPE=$G171)))*(6&gt;ACT_END)*(ACT_END&gt;0)*IFERROR(ACT_POSTLIFT,0))),0)))</f>
        <v/>
      </c>
      <c r="P171" s="10">
        <f>IF(OR($H171&lt;&gt;"Y",7&lt;$I171),0,IF(SUMPRODUCT(((BULK_ENABLED="Y")*((BULK_TIER="ALL")+(BULK_TIER=$F171))*((BULK_SKU="ALL")+(BULK_SKU=$G171))*(BULK_START&lt;=7)*(BULK_END&gt;=7)))&gt;0,IFERROR(SUMPRODUCT(((BULK_ENABLED="Y")*((BULK_TIER="ALL")+(BULK_TIER=$F171))*((BULK_SKU="ALL")+(BULK_SKU=$G171))*(BULK_START&lt;=7)*(BULK_END&gt;=7))*IFERROR(BULK_VALUE,0))/MAX(1,SUMPRODUCT(((BULK_ENABLED="Y")*((BULK_TIER="ALL")+(BULK_TIER=$F171))*((BULK_SKU="ALL")+(BULK_SKU=$G171))*(BULK_START&lt;=7)*(BULK_END&gt;=7)))),0),ROUND((INDEX(VELOCITY_TABLE,MATCH($F171,TIER_LIST,0),2))*(IF((7-$I171+1)&lt;=0,0,IF((7-$I171+1)=1,RAMP_W1,IF((7-$I171+1)=2,RAMP_W2,IF((7-$I171+1)=3,RAMP_W3,RAMP_W4PLUS)))))*(INDEX(ACTIVE_MULT_TABLE,2,1))*(1+SUMPRODUCT(SIGN(((ACT_DOOR_SCOPE="ALL")+(ACT_DOOR_SCOPE="TIER_"&amp;$F171)+(ACT_DOOR_SCOPE=$B171)))*SIGN(((ACT_SKU_SCOPE="ALL")+(ACT_SKU_SCOPE=$G171)))*(ACT_START&lt;=7)*(ACT_END&gt;=7)*IFERROR(ACT_UPLIFT-1,0)))*(1+SUMPRODUCT(SIGN(((ACT_DOOR_SCOPE="ALL")+(ACT_DOOR_SCOPE="TIER_"&amp;$F171)+(ACT_DOOR_SCOPE=$B171)))*SIGN(((ACT_SKU_SCOPE="ALL")+(ACT_SKU_SCOPE=$G171)))*(7&gt;ACT_END)*(ACT_END&gt;0)*IFERROR(ACT_POSTLIFT,0))),0)))</f>
        <v/>
      </c>
      <c r="Q171" s="10">
        <f>IF(OR($H171&lt;&gt;"Y",8&lt;$I171),0,IF(SUMPRODUCT(((BULK_ENABLED="Y")*((BULK_TIER="ALL")+(BULK_TIER=$F171))*((BULK_SKU="ALL")+(BULK_SKU=$G171))*(BULK_START&lt;=8)*(BULK_END&gt;=8)))&gt;0,IFERROR(SUMPRODUCT(((BULK_ENABLED="Y")*((BULK_TIER="ALL")+(BULK_TIER=$F171))*((BULK_SKU="ALL")+(BULK_SKU=$G171))*(BULK_START&lt;=8)*(BULK_END&gt;=8))*IFERROR(BULK_VALUE,0))/MAX(1,SUMPRODUCT(((BULK_ENABLED="Y")*((BULK_TIER="ALL")+(BULK_TIER=$F171))*((BULK_SKU="ALL")+(BULK_SKU=$G171))*(BULK_START&lt;=8)*(BULK_END&gt;=8)))),0),ROUND((INDEX(VELOCITY_TABLE,MATCH($F171,TIER_LIST,0),2))*(IF((8-$I171+1)&lt;=0,0,IF((8-$I171+1)=1,RAMP_W1,IF((8-$I171+1)=2,RAMP_W2,IF((8-$I171+1)=3,RAMP_W3,RAMP_W4PLUS)))))*(INDEX(ACTIVE_MULT_TABLE,2,1))*(1+SUMPRODUCT(SIGN(((ACT_DOOR_SCOPE="ALL")+(ACT_DOOR_SCOPE="TIER_"&amp;$F171)+(ACT_DOOR_SCOPE=$B171)))*SIGN(((ACT_SKU_SCOPE="ALL")+(ACT_SKU_SCOPE=$G171)))*(ACT_START&lt;=8)*(ACT_END&gt;=8)*IFERROR(ACT_UPLIFT-1,0)))*(1+SUMPRODUCT(SIGN(((ACT_DOOR_SCOPE="ALL")+(ACT_DOOR_SCOPE="TIER_"&amp;$F171)+(ACT_DOOR_SCOPE=$B171)))*SIGN(((ACT_SKU_SCOPE="ALL")+(ACT_SKU_SCOPE=$G171)))*(8&gt;ACT_END)*(ACT_END&gt;0)*IFERROR(ACT_POSTLIFT,0))),0)))</f>
        <v/>
      </c>
      <c r="R171" s="10">
        <f>IF(OR($H171&lt;&gt;"Y",9&lt;$I171),0,IF(SUMPRODUCT(((BULK_ENABLED="Y")*((BULK_TIER="ALL")+(BULK_TIER=$F171))*((BULK_SKU="ALL")+(BULK_SKU=$G171))*(BULK_START&lt;=9)*(BULK_END&gt;=9)))&gt;0,IFERROR(SUMPRODUCT(((BULK_ENABLED="Y")*((BULK_TIER="ALL")+(BULK_TIER=$F171))*((BULK_SKU="ALL")+(BULK_SKU=$G171))*(BULK_START&lt;=9)*(BULK_END&gt;=9))*IFERROR(BULK_VALUE,0))/MAX(1,SUMPRODUCT(((BULK_ENABLED="Y")*((BULK_TIER="ALL")+(BULK_TIER=$F171))*((BULK_SKU="ALL")+(BULK_SKU=$G171))*(BULK_START&lt;=9)*(BULK_END&gt;=9)))),0),ROUND((INDEX(VELOCITY_TABLE,MATCH($F171,TIER_LIST,0),2))*(IF((9-$I171+1)&lt;=0,0,IF((9-$I171+1)=1,RAMP_W1,IF((9-$I171+1)=2,RAMP_W2,IF((9-$I171+1)=3,RAMP_W3,RAMP_W4PLUS)))))*(INDEX(ACTIVE_MULT_TABLE,2,1))*(1+SUMPRODUCT(SIGN(((ACT_DOOR_SCOPE="ALL")+(ACT_DOOR_SCOPE="TIER_"&amp;$F171)+(ACT_DOOR_SCOPE=$B171)))*SIGN(((ACT_SKU_SCOPE="ALL")+(ACT_SKU_SCOPE=$G171)))*(ACT_START&lt;=9)*(ACT_END&gt;=9)*IFERROR(ACT_UPLIFT-1,0)))*(1+SUMPRODUCT(SIGN(((ACT_DOOR_SCOPE="ALL")+(ACT_DOOR_SCOPE="TIER_"&amp;$F171)+(ACT_DOOR_SCOPE=$B171)))*SIGN(((ACT_SKU_SCOPE="ALL")+(ACT_SKU_SCOPE=$G171)))*(9&gt;ACT_END)*(ACT_END&gt;0)*IFERROR(ACT_POSTLIFT,0))),0)))</f>
        <v/>
      </c>
      <c r="S171" s="10">
        <f>IF(OR($H171&lt;&gt;"Y",10&lt;$I171),0,IF(SUMPRODUCT(((BULK_ENABLED="Y")*((BULK_TIER="ALL")+(BULK_TIER=$F171))*((BULK_SKU="ALL")+(BULK_SKU=$G171))*(BULK_START&lt;=10)*(BULK_END&gt;=10)))&gt;0,IFERROR(SUMPRODUCT(((BULK_ENABLED="Y")*((BULK_TIER="ALL")+(BULK_TIER=$F171))*((BULK_SKU="ALL")+(BULK_SKU=$G171))*(BULK_START&lt;=10)*(BULK_END&gt;=10))*IFERROR(BULK_VALUE,0))/MAX(1,SUMPRODUCT(((BULK_ENABLED="Y")*((BULK_TIER="ALL")+(BULK_TIER=$F171))*((BULK_SKU="ALL")+(BULK_SKU=$G171))*(BULK_START&lt;=10)*(BULK_END&gt;=10)))),0),ROUND((INDEX(VELOCITY_TABLE,MATCH($F171,TIER_LIST,0),2))*(IF((10-$I171+1)&lt;=0,0,IF((10-$I171+1)=1,RAMP_W1,IF((10-$I171+1)=2,RAMP_W2,IF((10-$I171+1)=3,RAMP_W3,RAMP_W4PLUS)))))*(INDEX(ACTIVE_MULT_TABLE,2,1))*(1+SUMPRODUCT(SIGN(((ACT_DOOR_SCOPE="ALL")+(ACT_DOOR_SCOPE="TIER_"&amp;$F171)+(ACT_DOOR_SCOPE=$B171)))*SIGN(((ACT_SKU_SCOPE="ALL")+(ACT_SKU_SCOPE=$G171)))*(ACT_START&lt;=10)*(ACT_END&gt;=10)*IFERROR(ACT_UPLIFT-1,0)))*(1+SUMPRODUCT(SIGN(((ACT_DOOR_SCOPE="ALL")+(ACT_DOOR_SCOPE="TIER_"&amp;$F171)+(ACT_DOOR_SCOPE=$B171)))*SIGN(((ACT_SKU_SCOPE="ALL")+(ACT_SKU_SCOPE=$G171)))*(10&gt;ACT_END)*(ACT_END&gt;0)*IFERROR(ACT_POSTLIFT,0))),0)))</f>
        <v/>
      </c>
      <c r="T171" s="10">
        <f>IF(OR($H171&lt;&gt;"Y",11&lt;$I171),0,IF(SUMPRODUCT(((BULK_ENABLED="Y")*((BULK_TIER="ALL")+(BULK_TIER=$F171))*((BULK_SKU="ALL")+(BULK_SKU=$G171))*(BULK_START&lt;=11)*(BULK_END&gt;=11)))&gt;0,IFERROR(SUMPRODUCT(((BULK_ENABLED="Y")*((BULK_TIER="ALL")+(BULK_TIER=$F171))*((BULK_SKU="ALL")+(BULK_SKU=$G171))*(BULK_START&lt;=11)*(BULK_END&gt;=11))*IFERROR(BULK_VALUE,0))/MAX(1,SUMPRODUCT(((BULK_ENABLED="Y")*((BULK_TIER="ALL")+(BULK_TIER=$F171))*((BULK_SKU="ALL")+(BULK_SKU=$G171))*(BULK_START&lt;=11)*(BULK_END&gt;=11)))),0),ROUND((INDEX(VELOCITY_TABLE,MATCH($F171,TIER_LIST,0),2))*(IF((11-$I171+1)&lt;=0,0,IF((11-$I171+1)=1,RAMP_W1,IF((11-$I171+1)=2,RAMP_W2,IF((11-$I171+1)=3,RAMP_W3,RAMP_W4PLUS)))))*(INDEX(ACTIVE_MULT_TABLE,2,1))*(1+SUMPRODUCT(SIGN(((ACT_DOOR_SCOPE="ALL")+(ACT_DOOR_SCOPE="TIER_"&amp;$F171)+(ACT_DOOR_SCOPE=$B171)))*SIGN(((ACT_SKU_SCOPE="ALL")+(ACT_SKU_SCOPE=$G171)))*(ACT_START&lt;=11)*(ACT_END&gt;=11)*IFERROR(ACT_UPLIFT-1,0)))*(1+SUMPRODUCT(SIGN(((ACT_DOOR_SCOPE="ALL")+(ACT_DOOR_SCOPE="TIER_"&amp;$F171)+(ACT_DOOR_SCOPE=$B171)))*SIGN(((ACT_SKU_SCOPE="ALL")+(ACT_SKU_SCOPE=$G171)))*(11&gt;ACT_END)*(ACT_END&gt;0)*IFERROR(ACT_POSTLIFT,0))),0)))</f>
        <v/>
      </c>
      <c r="U171" s="10">
        <f>IF(OR($H171&lt;&gt;"Y",12&lt;$I171),0,IF(SUMPRODUCT(((BULK_ENABLED="Y")*((BULK_TIER="ALL")+(BULK_TIER=$F171))*((BULK_SKU="ALL")+(BULK_SKU=$G171))*(BULK_START&lt;=12)*(BULK_END&gt;=12)))&gt;0,IFERROR(SUMPRODUCT(((BULK_ENABLED="Y")*((BULK_TIER="ALL")+(BULK_TIER=$F171))*((BULK_SKU="ALL")+(BULK_SKU=$G171))*(BULK_START&lt;=12)*(BULK_END&gt;=12))*IFERROR(BULK_VALUE,0))/MAX(1,SUMPRODUCT(((BULK_ENABLED="Y")*((BULK_TIER="ALL")+(BULK_TIER=$F171))*((BULK_SKU="ALL")+(BULK_SKU=$G171))*(BULK_START&lt;=12)*(BULK_END&gt;=12)))),0),ROUND((INDEX(VELOCITY_TABLE,MATCH($F171,TIER_LIST,0),2))*(IF((12-$I171+1)&lt;=0,0,IF((12-$I171+1)=1,RAMP_W1,IF((12-$I171+1)=2,RAMP_W2,IF((12-$I171+1)=3,RAMP_W3,RAMP_W4PLUS)))))*(INDEX(ACTIVE_MULT_TABLE,2,1))*(1+SUMPRODUCT(SIGN(((ACT_DOOR_SCOPE="ALL")+(ACT_DOOR_SCOPE="TIER_"&amp;$F171)+(ACT_DOOR_SCOPE=$B171)))*SIGN(((ACT_SKU_SCOPE="ALL")+(ACT_SKU_SCOPE=$G171)))*(ACT_START&lt;=12)*(ACT_END&gt;=12)*IFERROR(ACT_UPLIFT-1,0)))*(1+SUMPRODUCT(SIGN(((ACT_DOOR_SCOPE="ALL")+(ACT_DOOR_SCOPE="TIER_"&amp;$F171)+(ACT_DOOR_SCOPE=$B171)))*SIGN(((ACT_SKU_SCOPE="ALL")+(ACT_SKU_SCOPE=$G171)))*(12&gt;ACT_END)*(ACT_END&gt;0)*IFERROR(ACT_POSTLIFT,0))),0)))</f>
        <v/>
      </c>
      <c r="V171" s="10">
        <f>IF(OR($H171&lt;&gt;"Y",13&lt;$I171),0,IF(SUMPRODUCT(((BULK_ENABLED="Y")*((BULK_TIER="ALL")+(BULK_TIER=$F171))*((BULK_SKU="ALL")+(BULK_SKU=$G171))*(BULK_START&lt;=13)*(BULK_END&gt;=13)))&gt;0,IFERROR(SUMPRODUCT(((BULK_ENABLED="Y")*((BULK_TIER="ALL")+(BULK_TIER=$F171))*((BULK_SKU="ALL")+(BULK_SKU=$G171))*(BULK_START&lt;=13)*(BULK_END&gt;=13))*IFERROR(BULK_VALUE,0))/MAX(1,SUMPRODUCT(((BULK_ENABLED="Y")*((BULK_TIER="ALL")+(BULK_TIER=$F171))*((BULK_SKU="ALL")+(BULK_SKU=$G171))*(BULK_START&lt;=13)*(BULK_END&gt;=13)))),0),ROUND((INDEX(VELOCITY_TABLE,MATCH($F171,TIER_LIST,0),2))*(IF((13-$I171+1)&lt;=0,0,IF((13-$I171+1)=1,RAMP_W1,IF((13-$I171+1)=2,RAMP_W2,IF((13-$I171+1)=3,RAMP_W3,RAMP_W4PLUS)))))*(INDEX(ACTIVE_MULT_TABLE,2,1))*(1+SUMPRODUCT(SIGN(((ACT_DOOR_SCOPE="ALL")+(ACT_DOOR_SCOPE="TIER_"&amp;$F171)+(ACT_DOOR_SCOPE=$B171)))*SIGN(((ACT_SKU_SCOPE="ALL")+(ACT_SKU_SCOPE=$G171)))*(ACT_START&lt;=13)*(ACT_END&gt;=13)*IFERROR(ACT_UPLIFT-1,0)))*(1+SUMPRODUCT(SIGN(((ACT_DOOR_SCOPE="ALL")+(ACT_DOOR_SCOPE="TIER_"&amp;$F171)+(ACT_DOOR_SCOPE=$B171)))*SIGN(((ACT_SKU_SCOPE="ALL")+(ACT_SKU_SCOPE=$G171)))*(13&gt;ACT_END)*(ACT_END&gt;0)*IFERROR(ACT_POSTLIFT,0))),0)))</f>
        <v/>
      </c>
    </row>
    <row r="172">
      <c r="A172" t="inlineStr">
        <is>
          <t>R0168</t>
        </is>
      </c>
      <c r="B172">
        <f>Doors!$A$60</f>
        <v/>
      </c>
      <c r="C172">
        <f>Doors!$C$60</f>
        <v/>
      </c>
      <c r="D172">
        <f>Doors!$B$60</f>
        <v/>
      </c>
      <c r="E172">
        <f>Doors!$E$60</f>
        <v/>
      </c>
      <c r="F172">
        <f>Doors!$F$60</f>
        <v/>
      </c>
      <c r="G172" t="inlineStr">
        <is>
          <t>Raspberry</t>
        </is>
      </c>
      <c r="H172">
        <f>Doors!$I$60</f>
        <v/>
      </c>
      <c r="I172">
        <f>Doors!$J$60</f>
        <v/>
      </c>
      <c r="J172" s="10">
        <f>IF(OR($H172&lt;&gt;"Y",1&lt;$I172),0,IF(SUMPRODUCT(((BULK_ENABLED="Y")*((BULK_TIER="ALL")+(BULK_TIER=$F172))*((BULK_SKU="ALL")+(BULK_SKU=$G172))*(BULK_START&lt;=1)*(BULK_END&gt;=1)))&gt;0,IFERROR(SUMPRODUCT(((BULK_ENABLED="Y")*((BULK_TIER="ALL")+(BULK_TIER=$F172))*((BULK_SKU="ALL")+(BULK_SKU=$G172))*(BULK_START&lt;=1)*(BULK_END&gt;=1))*IFERROR(BULK_VALUE,0))/MAX(1,SUMPRODUCT(((BULK_ENABLED="Y")*((BULK_TIER="ALL")+(BULK_TIER=$F172))*((BULK_SKU="ALL")+(BULK_SKU=$G172))*(BULK_START&lt;=1)*(BULK_END&gt;=1)))),0),ROUND((INDEX(VELOCITY_TABLE,MATCH($F172,TIER_LIST,0),3))*(IF((1-$I172+1)&lt;=0,0,IF((1-$I172+1)=1,RAMP_W1,IF((1-$I172+1)=2,RAMP_W2,IF((1-$I172+1)=3,RAMP_W3,RAMP_W4PLUS)))))*(INDEX(ACTIVE_MULT_TABLE,3,1))*(1+SUMPRODUCT(SIGN(((ACT_DOOR_SCOPE="ALL")+(ACT_DOOR_SCOPE="TIER_"&amp;$F172)+(ACT_DOOR_SCOPE=$B172)))*SIGN(((ACT_SKU_SCOPE="ALL")+(ACT_SKU_SCOPE=$G172)))*(ACT_START&lt;=1)*(ACT_END&gt;=1)*IFERROR(ACT_UPLIFT-1,0)))*(1+SUMPRODUCT(SIGN(((ACT_DOOR_SCOPE="ALL")+(ACT_DOOR_SCOPE="TIER_"&amp;$F172)+(ACT_DOOR_SCOPE=$B172)))*SIGN(((ACT_SKU_SCOPE="ALL")+(ACT_SKU_SCOPE=$G172)))*(1&gt;ACT_END)*(ACT_END&gt;0)*IFERROR(ACT_POSTLIFT,0))),0)))</f>
        <v/>
      </c>
      <c r="K172" s="10">
        <f>IF(OR($H172&lt;&gt;"Y",2&lt;$I172),0,IF(SUMPRODUCT(((BULK_ENABLED="Y")*((BULK_TIER="ALL")+(BULK_TIER=$F172))*((BULK_SKU="ALL")+(BULK_SKU=$G172))*(BULK_START&lt;=2)*(BULK_END&gt;=2)))&gt;0,IFERROR(SUMPRODUCT(((BULK_ENABLED="Y")*((BULK_TIER="ALL")+(BULK_TIER=$F172))*((BULK_SKU="ALL")+(BULK_SKU=$G172))*(BULK_START&lt;=2)*(BULK_END&gt;=2))*IFERROR(BULK_VALUE,0))/MAX(1,SUMPRODUCT(((BULK_ENABLED="Y")*((BULK_TIER="ALL")+(BULK_TIER=$F172))*((BULK_SKU="ALL")+(BULK_SKU=$G172))*(BULK_START&lt;=2)*(BULK_END&gt;=2)))),0),ROUND((INDEX(VELOCITY_TABLE,MATCH($F172,TIER_LIST,0),3))*(IF((2-$I172+1)&lt;=0,0,IF((2-$I172+1)=1,RAMP_W1,IF((2-$I172+1)=2,RAMP_W2,IF((2-$I172+1)=3,RAMP_W3,RAMP_W4PLUS)))))*(INDEX(ACTIVE_MULT_TABLE,3,1))*(1+SUMPRODUCT(SIGN(((ACT_DOOR_SCOPE="ALL")+(ACT_DOOR_SCOPE="TIER_"&amp;$F172)+(ACT_DOOR_SCOPE=$B172)))*SIGN(((ACT_SKU_SCOPE="ALL")+(ACT_SKU_SCOPE=$G172)))*(ACT_START&lt;=2)*(ACT_END&gt;=2)*IFERROR(ACT_UPLIFT-1,0)))*(1+SUMPRODUCT(SIGN(((ACT_DOOR_SCOPE="ALL")+(ACT_DOOR_SCOPE="TIER_"&amp;$F172)+(ACT_DOOR_SCOPE=$B172)))*SIGN(((ACT_SKU_SCOPE="ALL")+(ACT_SKU_SCOPE=$G172)))*(2&gt;ACT_END)*(ACT_END&gt;0)*IFERROR(ACT_POSTLIFT,0))),0)))</f>
        <v/>
      </c>
      <c r="L172" s="10">
        <f>IF(OR($H172&lt;&gt;"Y",3&lt;$I172),0,IF(SUMPRODUCT(((BULK_ENABLED="Y")*((BULK_TIER="ALL")+(BULK_TIER=$F172))*((BULK_SKU="ALL")+(BULK_SKU=$G172))*(BULK_START&lt;=3)*(BULK_END&gt;=3)))&gt;0,IFERROR(SUMPRODUCT(((BULK_ENABLED="Y")*((BULK_TIER="ALL")+(BULK_TIER=$F172))*((BULK_SKU="ALL")+(BULK_SKU=$G172))*(BULK_START&lt;=3)*(BULK_END&gt;=3))*IFERROR(BULK_VALUE,0))/MAX(1,SUMPRODUCT(((BULK_ENABLED="Y")*((BULK_TIER="ALL")+(BULK_TIER=$F172))*((BULK_SKU="ALL")+(BULK_SKU=$G172))*(BULK_START&lt;=3)*(BULK_END&gt;=3)))),0),ROUND((INDEX(VELOCITY_TABLE,MATCH($F172,TIER_LIST,0),3))*(IF((3-$I172+1)&lt;=0,0,IF((3-$I172+1)=1,RAMP_W1,IF((3-$I172+1)=2,RAMP_W2,IF((3-$I172+1)=3,RAMP_W3,RAMP_W4PLUS)))))*(INDEX(ACTIVE_MULT_TABLE,3,1))*(1+SUMPRODUCT(SIGN(((ACT_DOOR_SCOPE="ALL")+(ACT_DOOR_SCOPE="TIER_"&amp;$F172)+(ACT_DOOR_SCOPE=$B172)))*SIGN(((ACT_SKU_SCOPE="ALL")+(ACT_SKU_SCOPE=$G172)))*(ACT_START&lt;=3)*(ACT_END&gt;=3)*IFERROR(ACT_UPLIFT-1,0)))*(1+SUMPRODUCT(SIGN(((ACT_DOOR_SCOPE="ALL")+(ACT_DOOR_SCOPE="TIER_"&amp;$F172)+(ACT_DOOR_SCOPE=$B172)))*SIGN(((ACT_SKU_SCOPE="ALL")+(ACT_SKU_SCOPE=$G172)))*(3&gt;ACT_END)*(ACT_END&gt;0)*IFERROR(ACT_POSTLIFT,0))),0)))</f>
        <v/>
      </c>
      <c r="M172" s="10">
        <f>IF(OR($H172&lt;&gt;"Y",4&lt;$I172),0,IF(SUMPRODUCT(((BULK_ENABLED="Y")*((BULK_TIER="ALL")+(BULK_TIER=$F172))*((BULK_SKU="ALL")+(BULK_SKU=$G172))*(BULK_START&lt;=4)*(BULK_END&gt;=4)))&gt;0,IFERROR(SUMPRODUCT(((BULK_ENABLED="Y")*((BULK_TIER="ALL")+(BULK_TIER=$F172))*((BULK_SKU="ALL")+(BULK_SKU=$G172))*(BULK_START&lt;=4)*(BULK_END&gt;=4))*IFERROR(BULK_VALUE,0))/MAX(1,SUMPRODUCT(((BULK_ENABLED="Y")*((BULK_TIER="ALL")+(BULK_TIER=$F172))*((BULK_SKU="ALL")+(BULK_SKU=$G172))*(BULK_START&lt;=4)*(BULK_END&gt;=4)))),0),ROUND((INDEX(VELOCITY_TABLE,MATCH($F172,TIER_LIST,0),3))*(IF((4-$I172+1)&lt;=0,0,IF((4-$I172+1)=1,RAMP_W1,IF((4-$I172+1)=2,RAMP_W2,IF((4-$I172+1)=3,RAMP_W3,RAMP_W4PLUS)))))*(INDEX(ACTIVE_MULT_TABLE,3,1))*(1+SUMPRODUCT(SIGN(((ACT_DOOR_SCOPE="ALL")+(ACT_DOOR_SCOPE="TIER_"&amp;$F172)+(ACT_DOOR_SCOPE=$B172)))*SIGN(((ACT_SKU_SCOPE="ALL")+(ACT_SKU_SCOPE=$G172)))*(ACT_START&lt;=4)*(ACT_END&gt;=4)*IFERROR(ACT_UPLIFT-1,0)))*(1+SUMPRODUCT(SIGN(((ACT_DOOR_SCOPE="ALL")+(ACT_DOOR_SCOPE="TIER_"&amp;$F172)+(ACT_DOOR_SCOPE=$B172)))*SIGN(((ACT_SKU_SCOPE="ALL")+(ACT_SKU_SCOPE=$G172)))*(4&gt;ACT_END)*(ACT_END&gt;0)*IFERROR(ACT_POSTLIFT,0))),0)))</f>
        <v/>
      </c>
      <c r="N172" s="10">
        <f>IF(OR($H172&lt;&gt;"Y",5&lt;$I172),0,IF(SUMPRODUCT(((BULK_ENABLED="Y")*((BULK_TIER="ALL")+(BULK_TIER=$F172))*((BULK_SKU="ALL")+(BULK_SKU=$G172))*(BULK_START&lt;=5)*(BULK_END&gt;=5)))&gt;0,IFERROR(SUMPRODUCT(((BULK_ENABLED="Y")*((BULK_TIER="ALL")+(BULK_TIER=$F172))*((BULK_SKU="ALL")+(BULK_SKU=$G172))*(BULK_START&lt;=5)*(BULK_END&gt;=5))*IFERROR(BULK_VALUE,0))/MAX(1,SUMPRODUCT(((BULK_ENABLED="Y")*((BULK_TIER="ALL")+(BULK_TIER=$F172))*((BULK_SKU="ALL")+(BULK_SKU=$G172))*(BULK_START&lt;=5)*(BULK_END&gt;=5)))),0),ROUND((INDEX(VELOCITY_TABLE,MATCH($F172,TIER_LIST,0),3))*(IF((5-$I172+1)&lt;=0,0,IF((5-$I172+1)=1,RAMP_W1,IF((5-$I172+1)=2,RAMP_W2,IF((5-$I172+1)=3,RAMP_W3,RAMP_W4PLUS)))))*(INDEX(ACTIVE_MULT_TABLE,3,1))*(1+SUMPRODUCT(SIGN(((ACT_DOOR_SCOPE="ALL")+(ACT_DOOR_SCOPE="TIER_"&amp;$F172)+(ACT_DOOR_SCOPE=$B172)))*SIGN(((ACT_SKU_SCOPE="ALL")+(ACT_SKU_SCOPE=$G172)))*(ACT_START&lt;=5)*(ACT_END&gt;=5)*IFERROR(ACT_UPLIFT-1,0)))*(1+SUMPRODUCT(SIGN(((ACT_DOOR_SCOPE="ALL")+(ACT_DOOR_SCOPE="TIER_"&amp;$F172)+(ACT_DOOR_SCOPE=$B172)))*SIGN(((ACT_SKU_SCOPE="ALL")+(ACT_SKU_SCOPE=$G172)))*(5&gt;ACT_END)*(ACT_END&gt;0)*IFERROR(ACT_POSTLIFT,0))),0)))</f>
        <v/>
      </c>
      <c r="O172" s="10">
        <f>IF(OR($H172&lt;&gt;"Y",6&lt;$I172),0,IF(SUMPRODUCT(((BULK_ENABLED="Y")*((BULK_TIER="ALL")+(BULK_TIER=$F172))*((BULK_SKU="ALL")+(BULK_SKU=$G172))*(BULK_START&lt;=6)*(BULK_END&gt;=6)))&gt;0,IFERROR(SUMPRODUCT(((BULK_ENABLED="Y")*((BULK_TIER="ALL")+(BULK_TIER=$F172))*((BULK_SKU="ALL")+(BULK_SKU=$G172))*(BULK_START&lt;=6)*(BULK_END&gt;=6))*IFERROR(BULK_VALUE,0))/MAX(1,SUMPRODUCT(((BULK_ENABLED="Y")*((BULK_TIER="ALL")+(BULK_TIER=$F172))*((BULK_SKU="ALL")+(BULK_SKU=$G172))*(BULK_START&lt;=6)*(BULK_END&gt;=6)))),0),ROUND((INDEX(VELOCITY_TABLE,MATCH($F172,TIER_LIST,0),3))*(IF((6-$I172+1)&lt;=0,0,IF((6-$I172+1)=1,RAMP_W1,IF((6-$I172+1)=2,RAMP_W2,IF((6-$I172+1)=3,RAMP_W3,RAMP_W4PLUS)))))*(INDEX(ACTIVE_MULT_TABLE,3,1))*(1+SUMPRODUCT(SIGN(((ACT_DOOR_SCOPE="ALL")+(ACT_DOOR_SCOPE="TIER_"&amp;$F172)+(ACT_DOOR_SCOPE=$B172)))*SIGN(((ACT_SKU_SCOPE="ALL")+(ACT_SKU_SCOPE=$G172)))*(ACT_START&lt;=6)*(ACT_END&gt;=6)*IFERROR(ACT_UPLIFT-1,0)))*(1+SUMPRODUCT(SIGN(((ACT_DOOR_SCOPE="ALL")+(ACT_DOOR_SCOPE="TIER_"&amp;$F172)+(ACT_DOOR_SCOPE=$B172)))*SIGN(((ACT_SKU_SCOPE="ALL")+(ACT_SKU_SCOPE=$G172)))*(6&gt;ACT_END)*(ACT_END&gt;0)*IFERROR(ACT_POSTLIFT,0))),0)))</f>
        <v/>
      </c>
      <c r="P172" s="10">
        <f>IF(OR($H172&lt;&gt;"Y",7&lt;$I172),0,IF(SUMPRODUCT(((BULK_ENABLED="Y")*((BULK_TIER="ALL")+(BULK_TIER=$F172))*((BULK_SKU="ALL")+(BULK_SKU=$G172))*(BULK_START&lt;=7)*(BULK_END&gt;=7)))&gt;0,IFERROR(SUMPRODUCT(((BULK_ENABLED="Y")*((BULK_TIER="ALL")+(BULK_TIER=$F172))*((BULK_SKU="ALL")+(BULK_SKU=$G172))*(BULK_START&lt;=7)*(BULK_END&gt;=7))*IFERROR(BULK_VALUE,0))/MAX(1,SUMPRODUCT(((BULK_ENABLED="Y")*((BULK_TIER="ALL")+(BULK_TIER=$F172))*((BULK_SKU="ALL")+(BULK_SKU=$G172))*(BULK_START&lt;=7)*(BULK_END&gt;=7)))),0),ROUND((INDEX(VELOCITY_TABLE,MATCH($F172,TIER_LIST,0),3))*(IF((7-$I172+1)&lt;=0,0,IF((7-$I172+1)=1,RAMP_W1,IF((7-$I172+1)=2,RAMP_W2,IF((7-$I172+1)=3,RAMP_W3,RAMP_W4PLUS)))))*(INDEX(ACTIVE_MULT_TABLE,3,1))*(1+SUMPRODUCT(SIGN(((ACT_DOOR_SCOPE="ALL")+(ACT_DOOR_SCOPE="TIER_"&amp;$F172)+(ACT_DOOR_SCOPE=$B172)))*SIGN(((ACT_SKU_SCOPE="ALL")+(ACT_SKU_SCOPE=$G172)))*(ACT_START&lt;=7)*(ACT_END&gt;=7)*IFERROR(ACT_UPLIFT-1,0)))*(1+SUMPRODUCT(SIGN(((ACT_DOOR_SCOPE="ALL")+(ACT_DOOR_SCOPE="TIER_"&amp;$F172)+(ACT_DOOR_SCOPE=$B172)))*SIGN(((ACT_SKU_SCOPE="ALL")+(ACT_SKU_SCOPE=$G172)))*(7&gt;ACT_END)*(ACT_END&gt;0)*IFERROR(ACT_POSTLIFT,0))),0)))</f>
        <v/>
      </c>
      <c r="Q172" s="10">
        <f>IF(OR($H172&lt;&gt;"Y",8&lt;$I172),0,IF(SUMPRODUCT(((BULK_ENABLED="Y")*((BULK_TIER="ALL")+(BULK_TIER=$F172))*((BULK_SKU="ALL")+(BULK_SKU=$G172))*(BULK_START&lt;=8)*(BULK_END&gt;=8)))&gt;0,IFERROR(SUMPRODUCT(((BULK_ENABLED="Y")*((BULK_TIER="ALL")+(BULK_TIER=$F172))*((BULK_SKU="ALL")+(BULK_SKU=$G172))*(BULK_START&lt;=8)*(BULK_END&gt;=8))*IFERROR(BULK_VALUE,0))/MAX(1,SUMPRODUCT(((BULK_ENABLED="Y")*((BULK_TIER="ALL")+(BULK_TIER=$F172))*((BULK_SKU="ALL")+(BULK_SKU=$G172))*(BULK_START&lt;=8)*(BULK_END&gt;=8)))),0),ROUND((INDEX(VELOCITY_TABLE,MATCH($F172,TIER_LIST,0),3))*(IF((8-$I172+1)&lt;=0,0,IF((8-$I172+1)=1,RAMP_W1,IF((8-$I172+1)=2,RAMP_W2,IF((8-$I172+1)=3,RAMP_W3,RAMP_W4PLUS)))))*(INDEX(ACTIVE_MULT_TABLE,3,1))*(1+SUMPRODUCT(SIGN(((ACT_DOOR_SCOPE="ALL")+(ACT_DOOR_SCOPE="TIER_"&amp;$F172)+(ACT_DOOR_SCOPE=$B172)))*SIGN(((ACT_SKU_SCOPE="ALL")+(ACT_SKU_SCOPE=$G172)))*(ACT_START&lt;=8)*(ACT_END&gt;=8)*IFERROR(ACT_UPLIFT-1,0)))*(1+SUMPRODUCT(SIGN(((ACT_DOOR_SCOPE="ALL")+(ACT_DOOR_SCOPE="TIER_"&amp;$F172)+(ACT_DOOR_SCOPE=$B172)))*SIGN(((ACT_SKU_SCOPE="ALL")+(ACT_SKU_SCOPE=$G172)))*(8&gt;ACT_END)*(ACT_END&gt;0)*IFERROR(ACT_POSTLIFT,0))),0)))</f>
        <v/>
      </c>
      <c r="R172" s="10">
        <f>IF(OR($H172&lt;&gt;"Y",9&lt;$I172),0,IF(SUMPRODUCT(((BULK_ENABLED="Y")*((BULK_TIER="ALL")+(BULK_TIER=$F172))*((BULK_SKU="ALL")+(BULK_SKU=$G172))*(BULK_START&lt;=9)*(BULK_END&gt;=9)))&gt;0,IFERROR(SUMPRODUCT(((BULK_ENABLED="Y")*((BULK_TIER="ALL")+(BULK_TIER=$F172))*((BULK_SKU="ALL")+(BULK_SKU=$G172))*(BULK_START&lt;=9)*(BULK_END&gt;=9))*IFERROR(BULK_VALUE,0))/MAX(1,SUMPRODUCT(((BULK_ENABLED="Y")*((BULK_TIER="ALL")+(BULK_TIER=$F172))*((BULK_SKU="ALL")+(BULK_SKU=$G172))*(BULK_START&lt;=9)*(BULK_END&gt;=9)))),0),ROUND((INDEX(VELOCITY_TABLE,MATCH($F172,TIER_LIST,0),3))*(IF((9-$I172+1)&lt;=0,0,IF((9-$I172+1)=1,RAMP_W1,IF((9-$I172+1)=2,RAMP_W2,IF((9-$I172+1)=3,RAMP_W3,RAMP_W4PLUS)))))*(INDEX(ACTIVE_MULT_TABLE,3,1))*(1+SUMPRODUCT(SIGN(((ACT_DOOR_SCOPE="ALL")+(ACT_DOOR_SCOPE="TIER_"&amp;$F172)+(ACT_DOOR_SCOPE=$B172)))*SIGN(((ACT_SKU_SCOPE="ALL")+(ACT_SKU_SCOPE=$G172)))*(ACT_START&lt;=9)*(ACT_END&gt;=9)*IFERROR(ACT_UPLIFT-1,0)))*(1+SUMPRODUCT(SIGN(((ACT_DOOR_SCOPE="ALL")+(ACT_DOOR_SCOPE="TIER_"&amp;$F172)+(ACT_DOOR_SCOPE=$B172)))*SIGN(((ACT_SKU_SCOPE="ALL")+(ACT_SKU_SCOPE=$G172)))*(9&gt;ACT_END)*(ACT_END&gt;0)*IFERROR(ACT_POSTLIFT,0))),0)))</f>
        <v/>
      </c>
      <c r="S172" s="10">
        <f>IF(OR($H172&lt;&gt;"Y",10&lt;$I172),0,IF(SUMPRODUCT(((BULK_ENABLED="Y")*((BULK_TIER="ALL")+(BULK_TIER=$F172))*((BULK_SKU="ALL")+(BULK_SKU=$G172))*(BULK_START&lt;=10)*(BULK_END&gt;=10)))&gt;0,IFERROR(SUMPRODUCT(((BULK_ENABLED="Y")*((BULK_TIER="ALL")+(BULK_TIER=$F172))*((BULK_SKU="ALL")+(BULK_SKU=$G172))*(BULK_START&lt;=10)*(BULK_END&gt;=10))*IFERROR(BULK_VALUE,0))/MAX(1,SUMPRODUCT(((BULK_ENABLED="Y")*((BULK_TIER="ALL")+(BULK_TIER=$F172))*((BULK_SKU="ALL")+(BULK_SKU=$G172))*(BULK_START&lt;=10)*(BULK_END&gt;=10)))),0),ROUND((INDEX(VELOCITY_TABLE,MATCH($F172,TIER_LIST,0),3))*(IF((10-$I172+1)&lt;=0,0,IF((10-$I172+1)=1,RAMP_W1,IF((10-$I172+1)=2,RAMP_W2,IF((10-$I172+1)=3,RAMP_W3,RAMP_W4PLUS)))))*(INDEX(ACTIVE_MULT_TABLE,3,1))*(1+SUMPRODUCT(SIGN(((ACT_DOOR_SCOPE="ALL")+(ACT_DOOR_SCOPE="TIER_"&amp;$F172)+(ACT_DOOR_SCOPE=$B172)))*SIGN(((ACT_SKU_SCOPE="ALL")+(ACT_SKU_SCOPE=$G172)))*(ACT_START&lt;=10)*(ACT_END&gt;=10)*IFERROR(ACT_UPLIFT-1,0)))*(1+SUMPRODUCT(SIGN(((ACT_DOOR_SCOPE="ALL")+(ACT_DOOR_SCOPE="TIER_"&amp;$F172)+(ACT_DOOR_SCOPE=$B172)))*SIGN(((ACT_SKU_SCOPE="ALL")+(ACT_SKU_SCOPE=$G172)))*(10&gt;ACT_END)*(ACT_END&gt;0)*IFERROR(ACT_POSTLIFT,0))),0)))</f>
        <v/>
      </c>
      <c r="T172" s="10">
        <f>IF(OR($H172&lt;&gt;"Y",11&lt;$I172),0,IF(SUMPRODUCT(((BULK_ENABLED="Y")*((BULK_TIER="ALL")+(BULK_TIER=$F172))*((BULK_SKU="ALL")+(BULK_SKU=$G172))*(BULK_START&lt;=11)*(BULK_END&gt;=11)))&gt;0,IFERROR(SUMPRODUCT(((BULK_ENABLED="Y")*((BULK_TIER="ALL")+(BULK_TIER=$F172))*((BULK_SKU="ALL")+(BULK_SKU=$G172))*(BULK_START&lt;=11)*(BULK_END&gt;=11))*IFERROR(BULK_VALUE,0))/MAX(1,SUMPRODUCT(((BULK_ENABLED="Y")*((BULK_TIER="ALL")+(BULK_TIER=$F172))*((BULK_SKU="ALL")+(BULK_SKU=$G172))*(BULK_START&lt;=11)*(BULK_END&gt;=11)))),0),ROUND((INDEX(VELOCITY_TABLE,MATCH($F172,TIER_LIST,0),3))*(IF((11-$I172+1)&lt;=0,0,IF((11-$I172+1)=1,RAMP_W1,IF((11-$I172+1)=2,RAMP_W2,IF((11-$I172+1)=3,RAMP_W3,RAMP_W4PLUS)))))*(INDEX(ACTIVE_MULT_TABLE,3,1))*(1+SUMPRODUCT(SIGN(((ACT_DOOR_SCOPE="ALL")+(ACT_DOOR_SCOPE="TIER_"&amp;$F172)+(ACT_DOOR_SCOPE=$B172)))*SIGN(((ACT_SKU_SCOPE="ALL")+(ACT_SKU_SCOPE=$G172)))*(ACT_START&lt;=11)*(ACT_END&gt;=11)*IFERROR(ACT_UPLIFT-1,0)))*(1+SUMPRODUCT(SIGN(((ACT_DOOR_SCOPE="ALL")+(ACT_DOOR_SCOPE="TIER_"&amp;$F172)+(ACT_DOOR_SCOPE=$B172)))*SIGN(((ACT_SKU_SCOPE="ALL")+(ACT_SKU_SCOPE=$G172)))*(11&gt;ACT_END)*(ACT_END&gt;0)*IFERROR(ACT_POSTLIFT,0))),0)))</f>
        <v/>
      </c>
      <c r="U172" s="10">
        <f>IF(OR($H172&lt;&gt;"Y",12&lt;$I172),0,IF(SUMPRODUCT(((BULK_ENABLED="Y")*((BULK_TIER="ALL")+(BULK_TIER=$F172))*((BULK_SKU="ALL")+(BULK_SKU=$G172))*(BULK_START&lt;=12)*(BULK_END&gt;=12)))&gt;0,IFERROR(SUMPRODUCT(((BULK_ENABLED="Y")*((BULK_TIER="ALL")+(BULK_TIER=$F172))*((BULK_SKU="ALL")+(BULK_SKU=$G172))*(BULK_START&lt;=12)*(BULK_END&gt;=12))*IFERROR(BULK_VALUE,0))/MAX(1,SUMPRODUCT(((BULK_ENABLED="Y")*((BULK_TIER="ALL")+(BULK_TIER=$F172))*((BULK_SKU="ALL")+(BULK_SKU=$G172))*(BULK_START&lt;=12)*(BULK_END&gt;=12)))),0),ROUND((INDEX(VELOCITY_TABLE,MATCH($F172,TIER_LIST,0),3))*(IF((12-$I172+1)&lt;=0,0,IF((12-$I172+1)=1,RAMP_W1,IF((12-$I172+1)=2,RAMP_W2,IF((12-$I172+1)=3,RAMP_W3,RAMP_W4PLUS)))))*(INDEX(ACTIVE_MULT_TABLE,3,1))*(1+SUMPRODUCT(SIGN(((ACT_DOOR_SCOPE="ALL")+(ACT_DOOR_SCOPE="TIER_"&amp;$F172)+(ACT_DOOR_SCOPE=$B172)))*SIGN(((ACT_SKU_SCOPE="ALL")+(ACT_SKU_SCOPE=$G172)))*(ACT_START&lt;=12)*(ACT_END&gt;=12)*IFERROR(ACT_UPLIFT-1,0)))*(1+SUMPRODUCT(SIGN(((ACT_DOOR_SCOPE="ALL")+(ACT_DOOR_SCOPE="TIER_"&amp;$F172)+(ACT_DOOR_SCOPE=$B172)))*SIGN(((ACT_SKU_SCOPE="ALL")+(ACT_SKU_SCOPE=$G172)))*(12&gt;ACT_END)*(ACT_END&gt;0)*IFERROR(ACT_POSTLIFT,0))),0)))</f>
        <v/>
      </c>
      <c r="V172" s="10">
        <f>IF(OR($H172&lt;&gt;"Y",13&lt;$I172),0,IF(SUMPRODUCT(((BULK_ENABLED="Y")*((BULK_TIER="ALL")+(BULK_TIER=$F172))*((BULK_SKU="ALL")+(BULK_SKU=$G172))*(BULK_START&lt;=13)*(BULK_END&gt;=13)))&gt;0,IFERROR(SUMPRODUCT(((BULK_ENABLED="Y")*((BULK_TIER="ALL")+(BULK_TIER=$F172))*((BULK_SKU="ALL")+(BULK_SKU=$G172))*(BULK_START&lt;=13)*(BULK_END&gt;=13))*IFERROR(BULK_VALUE,0))/MAX(1,SUMPRODUCT(((BULK_ENABLED="Y")*((BULK_TIER="ALL")+(BULK_TIER=$F172))*((BULK_SKU="ALL")+(BULK_SKU=$G172))*(BULK_START&lt;=13)*(BULK_END&gt;=13)))),0),ROUND((INDEX(VELOCITY_TABLE,MATCH($F172,TIER_LIST,0),3))*(IF((13-$I172+1)&lt;=0,0,IF((13-$I172+1)=1,RAMP_W1,IF((13-$I172+1)=2,RAMP_W2,IF((13-$I172+1)=3,RAMP_W3,RAMP_W4PLUS)))))*(INDEX(ACTIVE_MULT_TABLE,3,1))*(1+SUMPRODUCT(SIGN(((ACT_DOOR_SCOPE="ALL")+(ACT_DOOR_SCOPE="TIER_"&amp;$F172)+(ACT_DOOR_SCOPE=$B172)))*SIGN(((ACT_SKU_SCOPE="ALL")+(ACT_SKU_SCOPE=$G172)))*(ACT_START&lt;=13)*(ACT_END&gt;=13)*IFERROR(ACT_UPLIFT-1,0)))*(1+SUMPRODUCT(SIGN(((ACT_DOOR_SCOPE="ALL")+(ACT_DOOR_SCOPE="TIER_"&amp;$F172)+(ACT_DOOR_SCOPE=$B172)))*SIGN(((ACT_SKU_SCOPE="ALL")+(ACT_SKU_SCOPE=$G172)))*(13&gt;ACT_END)*(ACT_END&gt;0)*IFERROR(ACT_POSTLIFT,0))),0)))</f>
        <v/>
      </c>
    </row>
    <row r="173">
      <c r="A173" t="inlineStr">
        <is>
          <t>R0169</t>
        </is>
      </c>
      <c r="B173">
        <f>Doors!$A$61</f>
        <v/>
      </c>
      <c r="C173">
        <f>Doors!$C$61</f>
        <v/>
      </c>
      <c r="D173">
        <f>Doors!$B$61</f>
        <v/>
      </c>
      <c r="E173">
        <f>Doors!$E$61</f>
        <v/>
      </c>
      <c r="F173">
        <f>Doors!$F$61</f>
        <v/>
      </c>
      <c r="G173" t="inlineStr">
        <is>
          <t>Lime Lemon</t>
        </is>
      </c>
      <c r="H173">
        <f>Doors!$G$61</f>
        <v/>
      </c>
      <c r="I173">
        <f>Doors!$J$61</f>
        <v/>
      </c>
      <c r="J173" s="10">
        <f>IF(OR($H173&lt;&gt;"Y",1&lt;$I173),0,IF(SUMPRODUCT(((BULK_ENABLED="Y")*((BULK_TIER="ALL")+(BULK_TIER=$F173))*((BULK_SKU="ALL")+(BULK_SKU=$G173))*(BULK_START&lt;=1)*(BULK_END&gt;=1)))&gt;0,IFERROR(SUMPRODUCT(((BULK_ENABLED="Y")*((BULK_TIER="ALL")+(BULK_TIER=$F173))*((BULK_SKU="ALL")+(BULK_SKU=$G173))*(BULK_START&lt;=1)*(BULK_END&gt;=1))*IFERROR(BULK_VALUE,0))/MAX(1,SUMPRODUCT(((BULK_ENABLED="Y")*((BULK_TIER="ALL")+(BULK_TIER=$F173))*((BULK_SKU="ALL")+(BULK_SKU=$G173))*(BULK_START&lt;=1)*(BULK_END&gt;=1)))),0),ROUND((INDEX(VELOCITY_TABLE,MATCH($F173,TIER_LIST,0),1))*(IF((1-$I173+1)&lt;=0,0,IF((1-$I173+1)=1,RAMP_W1,IF((1-$I173+1)=2,RAMP_W2,IF((1-$I173+1)=3,RAMP_W3,RAMP_W4PLUS)))))*(INDEX(ACTIVE_MULT_TABLE,1,1))*(1+SUMPRODUCT(SIGN(((ACT_DOOR_SCOPE="ALL")+(ACT_DOOR_SCOPE="TIER_"&amp;$F173)+(ACT_DOOR_SCOPE=$B173)))*SIGN(((ACT_SKU_SCOPE="ALL")+(ACT_SKU_SCOPE=$G173)))*(ACT_START&lt;=1)*(ACT_END&gt;=1)*IFERROR(ACT_UPLIFT-1,0)))*(1+SUMPRODUCT(SIGN(((ACT_DOOR_SCOPE="ALL")+(ACT_DOOR_SCOPE="TIER_"&amp;$F173)+(ACT_DOOR_SCOPE=$B173)))*SIGN(((ACT_SKU_SCOPE="ALL")+(ACT_SKU_SCOPE=$G173)))*(1&gt;ACT_END)*(ACT_END&gt;0)*IFERROR(ACT_POSTLIFT,0))),0)))</f>
        <v/>
      </c>
      <c r="K173" s="10">
        <f>IF(OR($H173&lt;&gt;"Y",2&lt;$I173),0,IF(SUMPRODUCT(((BULK_ENABLED="Y")*((BULK_TIER="ALL")+(BULK_TIER=$F173))*((BULK_SKU="ALL")+(BULK_SKU=$G173))*(BULK_START&lt;=2)*(BULK_END&gt;=2)))&gt;0,IFERROR(SUMPRODUCT(((BULK_ENABLED="Y")*((BULK_TIER="ALL")+(BULK_TIER=$F173))*((BULK_SKU="ALL")+(BULK_SKU=$G173))*(BULK_START&lt;=2)*(BULK_END&gt;=2))*IFERROR(BULK_VALUE,0))/MAX(1,SUMPRODUCT(((BULK_ENABLED="Y")*((BULK_TIER="ALL")+(BULK_TIER=$F173))*((BULK_SKU="ALL")+(BULK_SKU=$G173))*(BULK_START&lt;=2)*(BULK_END&gt;=2)))),0),ROUND((INDEX(VELOCITY_TABLE,MATCH($F173,TIER_LIST,0),1))*(IF((2-$I173+1)&lt;=0,0,IF((2-$I173+1)=1,RAMP_W1,IF((2-$I173+1)=2,RAMP_W2,IF((2-$I173+1)=3,RAMP_W3,RAMP_W4PLUS)))))*(INDEX(ACTIVE_MULT_TABLE,1,1))*(1+SUMPRODUCT(SIGN(((ACT_DOOR_SCOPE="ALL")+(ACT_DOOR_SCOPE="TIER_"&amp;$F173)+(ACT_DOOR_SCOPE=$B173)))*SIGN(((ACT_SKU_SCOPE="ALL")+(ACT_SKU_SCOPE=$G173)))*(ACT_START&lt;=2)*(ACT_END&gt;=2)*IFERROR(ACT_UPLIFT-1,0)))*(1+SUMPRODUCT(SIGN(((ACT_DOOR_SCOPE="ALL")+(ACT_DOOR_SCOPE="TIER_"&amp;$F173)+(ACT_DOOR_SCOPE=$B173)))*SIGN(((ACT_SKU_SCOPE="ALL")+(ACT_SKU_SCOPE=$G173)))*(2&gt;ACT_END)*(ACT_END&gt;0)*IFERROR(ACT_POSTLIFT,0))),0)))</f>
        <v/>
      </c>
      <c r="L173" s="10">
        <f>IF(OR($H173&lt;&gt;"Y",3&lt;$I173),0,IF(SUMPRODUCT(((BULK_ENABLED="Y")*((BULK_TIER="ALL")+(BULK_TIER=$F173))*((BULK_SKU="ALL")+(BULK_SKU=$G173))*(BULK_START&lt;=3)*(BULK_END&gt;=3)))&gt;0,IFERROR(SUMPRODUCT(((BULK_ENABLED="Y")*((BULK_TIER="ALL")+(BULK_TIER=$F173))*((BULK_SKU="ALL")+(BULK_SKU=$G173))*(BULK_START&lt;=3)*(BULK_END&gt;=3))*IFERROR(BULK_VALUE,0))/MAX(1,SUMPRODUCT(((BULK_ENABLED="Y")*((BULK_TIER="ALL")+(BULK_TIER=$F173))*((BULK_SKU="ALL")+(BULK_SKU=$G173))*(BULK_START&lt;=3)*(BULK_END&gt;=3)))),0),ROUND((INDEX(VELOCITY_TABLE,MATCH($F173,TIER_LIST,0),1))*(IF((3-$I173+1)&lt;=0,0,IF((3-$I173+1)=1,RAMP_W1,IF((3-$I173+1)=2,RAMP_W2,IF((3-$I173+1)=3,RAMP_W3,RAMP_W4PLUS)))))*(INDEX(ACTIVE_MULT_TABLE,1,1))*(1+SUMPRODUCT(SIGN(((ACT_DOOR_SCOPE="ALL")+(ACT_DOOR_SCOPE="TIER_"&amp;$F173)+(ACT_DOOR_SCOPE=$B173)))*SIGN(((ACT_SKU_SCOPE="ALL")+(ACT_SKU_SCOPE=$G173)))*(ACT_START&lt;=3)*(ACT_END&gt;=3)*IFERROR(ACT_UPLIFT-1,0)))*(1+SUMPRODUCT(SIGN(((ACT_DOOR_SCOPE="ALL")+(ACT_DOOR_SCOPE="TIER_"&amp;$F173)+(ACT_DOOR_SCOPE=$B173)))*SIGN(((ACT_SKU_SCOPE="ALL")+(ACT_SKU_SCOPE=$G173)))*(3&gt;ACT_END)*(ACT_END&gt;0)*IFERROR(ACT_POSTLIFT,0))),0)))</f>
        <v/>
      </c>
      <c r="M173" s="10">
        <f>IF(OR($H173&lt;&gt;"Y",4&lt;$I173),0,IF(SUMPRODUCT(((BULK_ENABLED="Y")*((BULK_TIER="ALL")+(BULK_TIER=$F173))*((BULK_SKU="ALL")+(BULK_SKU=$G173))*(BULK_START&lt;=4)*(BULK_END&gt;=4)))&gt;0,IFERROR(SUMPRODUCT(((BULK_ENABLED="Y")*((BULK_TIER="ALL")+(BULK_TIER=$F173))*((BULK_SKU="ALL")+(BULK_SKU=$G173))*(BULK_START&lt;=4)*(BULK_END&gt;=4))*IFERROR(BULK_VALUE,0))/MAX(1,SUMPRODUCT(((BULK_ENABLED="Y")*((BULK_TIER="ALL")+(BULK_TIER=$F173))*((BULK_SKU="ALL")+(BULK_SKU=$G173))*(BULK_START&lt;=4)*(BULK_END&gt;=4)))),0),ROUND((INDEX(VELOCITY_TABLE,MATCH($F173,TIER_LIST,0),1))*(IF((4-$I173+1)&lt;=0,0,IF((4-$I173+1)=1,RAMP_W1,IF((4-$I173+1)=2,RAMP_W2,IF((4-$I173+1)=3,RAMP_W3,RAMP_W4PLUS)))))*(INDEX(ACTIVE_MULT_TABLE,1,1))*(1+SUMPRODUCT(SIGN(((ACT_DOOR_SCOPE="ALL")+(ACT_DOOR_SCOPE="TIER_"&amp;$F173)+(ACT_DOOR_SCOPE=$B173)))*SIGN(((ACT_SKU_SCOPE="ALL")+(ACT_SKU_SCOPE=$G173)))*(ACT_START&lt;=4)*(ACT_END&gt;=4)*IFERROR(ACT_UPLIFT-1,0)))*(1+SUMPRODUCT(SIGN(((ACT_DOOR_SCOPE="ALL")+(ACT_DOOR_SCOPE="TIER_"&amp;$F173)+(ACT_DOOR_SCOPE=$B173)))*SIGN(((ACT_SKU_SCOPE="ALL")+(ACT_SKU_SCOPE=$G173)))*(4&gt;ACT_END)*(ACT_END&gt;0)*IFERROR(ACT_POSTLIFT,0))),0)))</f>
        <v/>
      </c>
      <c r="N173" s="10">
        <f>IF(OR($H173&lt;&gt;"Y",5&lt;$I173),0,IF(SUMPRODUCT(((BULK_ENABLED="Y")*((BULK_TIER="ALL")+(BULK_TIER=$F173))*((BULK_SKU="ALL")+(BULK_SKU=$G173))*(BULK_START&lt;=5)*(BULK_END&gt;=5)))&gt;0,IFERROR(SUMPRODUCT(((BULK_ENABLED="Y")*((BULK_TIER="ALL")+(BULK_TIER=$F173))*((BULK_SKU="ALL")+(BULK_SKU=$G173))*(BULK_START&lt;=5)*(BULK_END&gt;=5))*IFERROR(BULK_VALUE,0))/MAX(1,SUMPRODUCT(((BULK_ENABLED="Y")*((BULK_TIER="ALL")+(BULK_TIER=$F173))*((BULK_SKU="ALL")+(BULK_SKU=$G173))*(BULK_START&lt;=5)*(BULK_END&gt;=5)))),0),ROUND((INDEX(VELOCITY_TABLE,MATCH($F173,TIER_LIST,0),1))*(IF((5-$I173+1)&lt;=0,0,IF((5-$I173+1)=1,RAMP_W1,IF((5-$I173+1)=2,RAMP_W2,IF((5-$I173+1)=3,RAMP_W3,RAMP_W4PLUS)))))*(INDEX(ACTIVE_MULT_TABLE,1,1))*(1+SUMPRODUCT(SIGN(((ACT_DOOR_SCOPE="ALL")+(ACT_DOOR_SCOPE="TIER_"&amp;$F173)+(ACT_DOOR_SCOPE=$B173)))*SIGN(((ACT_SKU_SCOPE="ALL")+(ACT_SKU_SCOPE=$G173)))*(ACT_START&lt;=5)*(ACT_END&gt;=5)*IFERROR(ACT_UPLIFT-1,0)))*(1+SUMPRODUCT(SIGN(((ACT_DOOR_SCOPE="ALL")+(ACT_DOOR_SCOPE="TIER_"&amp;$F173)+(ACT_DOOR_SCOPE=$B173)))*SIGN(((ACT_SKU_SCOPE="ALL")+(ACT_SKU_SCOPE=$G173)))*(5&gt;ACT_END)*(ACT_END&gt;0)*IFERROR(ACT_POSTLIFT,0))),0)))</f>
        <v/>
      </c>
      <c r="O173" s="10">
        <f>IF(OR($H173&lt;&gt;"Y",6&lt;$I173),0,IF(SUMPRODUCT(((BULK_ENABLED="Y")*((BULK_TIER="ALL")+(BULK_TIER=$F173))*((BULK_SKU="ALL")+(BULK_SKU=$G173))*(BULK_START&lt;=6)*(BULK_END&gt;=6)))&gt;0,IFERROR(SUMPRODUCT(((BULK_ENABLED="Y")*((BULK_TIER="ALL")+(BULK_TIER=$F173))*((BULK_SKU="ALL")+(BULK_SKU=$G173))*(BULK_START&lt;=6)*(BULK_END&gt;=6))*IFERROR(BULK_VALUE,0))/MAX(1,SUMPRODUCT(((BULK_ENABLED="Y")*((BULK_TIER="ALL")+(BULK_TIER=$F173))*((BULK_SKU="ALL")+(BULK_SKU=$G173))*(BULK_START&lt;=6)*(BULK_END&gt;=6)))),0),ROUND((INDEX(VELOCITY_TABLE,MATCH($F173,TIER_LIST,0),1))*(IF((6-$I173+1)&lt;=0,0,IF((6-$I173+1)=1,RAMP_W1,IF((6-$I173+1)=2,RAMP_W2,IF((6-$I173+1)=3,RAMP_W3,RAMP_W4PLUS)))))*(INDEX(ACTIVE_MULT_TABLE,1,1))*(1+SUMPRODUCT(SIGN(((ACT_DOOR_SCOPE="ALL")+(ACT_DOOR_SCOPE="TIER_"&amp;$F173)+(ACT_DOOR_SCOPE=$B173)))*SIGN(((ACT_SKU_SCOPE="ALL")+(ACT_SKU_SCOPE=$G173)))*(ACT_START&lt;=6)*(ACT_END&gt;=6)*IFERROR(ACT_UPLIFT-1,0)))*(1+SUMPRODUCT(SIGN(((ACT_DOOR_SCOPE="ALL")+(ACT_DOOR_SCOPE="TIER_"&amp;$F173)+(ACT_DOOR_SCOPE=$B173)))*SIGN(((ACT_SKU_SCOPE="ALL")+(ACT_SKU_SCOPE=$G173)))*(6&gt;ACT_END)*(ACT_END&gt;0)*IFERROR(ACT_POSTLIFT,0))),0)))</f>
        <v/>
      </c>
      <c r="P173" s="10">
        <f>IF(OR($H173&lt;&gt;"Y",7&lt;$I173),0,IF(SUMPRODUCT(((BULK_ENABLED="Y")*((BULK_TIER="ALL")+(BULK_TIER=$F173))*((BULK_SKU="ALL")+(BULK_SKU=$G173))*(BULK_START&lt;=7)*(BULK_END&gt;=7)))&gt;0,IFERROR(SUMPRODUCT(((BULK_ENABLED="Y")*((BULK_TIER="ALL")+(BULK_TIER=$F173))*((BULK_SKU="ALL")+(BULK_SKU=$G173))*(BULK_START&lt;=7)*(BULK_END&gt;=7))*IFERROR(BULK_VALUE,0))/MAX(1,SUMPRODUCT(((BULK_ENABLED="Y")*((BULK_TIER="ALL")+(BULK_TIER=$F173))*((BULK_SKU="ALL")+(BULK_SKU=$G173))*(BULK_START&lt;=7)*(BULK_END&gt;=7)))),0),ROUND((INDEX(VELOCITY_TABLE,MATCH($F173,TIER_LIST,0),1))*(IF((7-$I173+1)&lt;=0,0,IF((7-$I173+1)=1,RAMP_W1,IF((7-$I173+1)=2,RAMP_W2,IF((7-$I173+1)=3,RAMP_W3,RAMP_W4PLUS)))))*(INDEX(ACTIVE_MULT_TABLE,1,1))*(1+SUMPRODUCT(SIGN(((ACT_DOOR_SCOPE="ALL")+(ACT_DOOR_SCOPE="TIER_"&amp;$F173)+(ACT_DOOR_SCOPE=$B173)))*SIGN(((ACT_SKU_SCOPE="ALL")+(ACT_SKU_SCOPE=$G173)))*(ACT_START&lt;=7)*(ACT_END&gt;=7)*IFERROR(ACT_UPLIFT-1,0)))*(1+SUMPRODUCT(SIGN(((ACT_DOOR_SCOPE="ALL")+(ACT_DOOR_SCOPE="TIER_"&amp;$F173)+(ACT_DOOR_SCOPE=$B173)))*SIGN(((ACT_SKU_SCOPE="ALL")+(ACT_SKU_SCOPE=$G173)))*(7&gt;ACT_END)*(ACT_END&gt;0)*IFERROR(ACT_POSTLIFT,0))),0)))</f>
        <v/>
      </c>
      <c r="Q173" s="10">
        <f>IF(OR($H173&lt;&gt;"Y",8&lt;$I173),0,IF(SUMPRODUCT(((BULK_ENABLED="Y")*((BULK_TIER="ALL")+(BULK_TIER=$F173))*((BULK_SKU="ALL")+(BULK_SKU=$G173))*(BULK_START&lt;=8)*(BULK_END&gt;=8)))&gt;0,IFERROR(SUMPRODUCT(((BULK_ENABLED="Y")*((BULK_TIER="ALL")+(BULK_TIER=$F173))*((BULK_SKU="ALL")+(BULK_SKU=$G173))*(BULK_START&lt;=8)*(BULK_END&gt;=8))*IFERROR(BULK_VALUE,0))/MAX(1,SUMPRODUCT(((BULK_ENABLED="Y")*((BULK_TIER="ALL")+(BULK_TIER=$F173))*((BULK_SKU="ALL")+(BULK_SKU=$G173))*(BULK_START&lt;=8)*(BULK_END&gt;=8)))),0),ROUND((INDEX(VELOCITY_TABLE,MATCH($F173,TIER_LIST,0),1))*(IF((8-$I173+1)&lt;=0,0,IF((8-$I173+1)=1,RAMP_W1,IF((8-$I173+1)=2,RAMP_W2,IF((8-$I173+1)=3,RAMP_W3,RAMP_W4PLUS)))))*(INDEX(ACTIVE_MULT_TABLE,1,1))*(1+SUMPRODUCT(SIGN(((ACT_DOOR_SCOPE="ALL")+(ACT_DOOR_SCOPE="TIER_"&amp;$F173)+(ACT_DOOR_SCOPE=$B173)))*SIGN(((ACT_SKU_SCOPE="ALL")+(ACT_SKU_SCOPE=$G173)))*(ACT_START&lt;=8)*(ACT_END&gt;=8)*IFERROR(ACT_UPLIFT-1,0)))*(1+SUMPRODUCT(SIGN(((ACT_DOOR_SCOPE="ALL")+(ACT_DOOR_SCOPE="TIER_"&amp;$F173)+(ACT_DOOR_SCOPE=$B173)))*SIGN(((ACT_SKU_SCOPE="ALL")+(ACT_SKU_SCOPE=$G173)))*(8&gt;ACT_END)*(ACT_END&gt;0)*IFERROR(ACT_POSTLIFT,0))),0)))</f>
        <v/>
      </c>
      <c r="R173" s="10">
        <f>IF(OR($H173&lt;&gt;"Y",9&lt;$I173),0,IF(SUMPRODUCT(((BULK_ENABLED="Y")*((BULK_TIER="ALL")+(BULK_TIER=$F173))*((BULK_SKU="ALL")+(BULK_SKU=$G173))*(BULK_START&lt;=9)*(BULK_END&gt;=9)))&gt;0,IFERROR(SUMPRODUCT(((BULK_ENABLED="Y")*((BULK_TIER="ALL")+(BULK_TIER=$F173))*((BULK_SKU="ALL")+(BULK_SKU=$G173))*(BULK_START&lt;=9)*(BULK_END&gt;=9))*IFERROR(BULK_VALUE,0))/MAX(1,SUMPRODUCT(((BULK_ENABLED="Y")*((BULK_TIER="ALL")+(BULK_TIER=$F173))*((BULK_SKU="ALL")+(BULK_SKU=$G173))*(BULK_START&lt;=9)*(BULK_END&gt;=9)))),0),ROUND((INDEX(VELOCITY_TABLE,MATCH($F173,TIER_LIST,0),1))*(IF((9-$I173+1)&lt;=0,0,IF((9-$I173+1)=1,RAMP_W1,IF((9-$I173+1)=2,RAMP_W2,IF((9-$I173+1)=3,RAMP_W3,RAMP_W4PLUS)))))*(INDEX(ACTIVE_MULT_TABLE,1,1))*(1+SUMPRODUCT(SIGN(((ACT_DOOR_SCOPE="ALL")+(ACT_DOOR_SCOPE="TIER_"&amp;$F173)+(ACT_DOOR_SCOPE=$B173)))*SIGN(((ACT_SKU_SCOPE="ALL")+(ACT_SKU_SCOPE=$G173)))*(ACT_START&lt;=9)*(ACT_END&gt;=9)*IFERROR(ACT_UPLIFT-1,0)))*(1+SUMPRODUCT(SIGN(((ACT_DOOR_SCOPE="ALL")+(ACT_DOOR_SCOPE="TIER_"&amp;$F173)+(ACT_DOOR_SCOPE=$B173)))*SIGN(((ACT_SKU_SCOPE="ALL")+(ACT_SKU_SCOPE=$G173)))*(9&gt;ACT_END)*(ACT_END&gt;0)*IFERROR(ACT_POSTLIFT,0))),0)))</f>
        <v/>
      </c>
      <c r="S173" s="10">
        <f>IF(OR($H173&lt;&gt;"Y",10&lt;$I173),0,IF(SUMPRODUCT(((BULK_ENABLED="Y")*((BULK_TIER="ALL")+(BULK_TIER=$F173))*((BULK_SKU="ALL")+(BULK_SKU=$G173))*(BULK_START&lt;=10)*(BULK_END&gt;=10)))&gt;0,IFERROR(SUMPRODUCT(((BULK_ENABLED="Y")*((BULK_TIER="ALL")+(BULK_TIER=$F173))*((BULK_SKU="ALL")+(BULK_SKU=$G173))*(BULK_START&lt;=10)*(BULK_END&gt;=10))*IFERROR(BULK_VALUE,0))/MAX(1,SUMPRODUCT(((BULK_ENABLED="Y")*((BULK_TIER="ALL")+(BULK_TIER=$F173))*((BULK_SKU="ALL")+(BULK_SKU=$G173))*(BULK_START&lt;=10)*(BULK_END&gt;=10)))),0),ROUND((INDEX(VELOCITY_TABLE,MATCH($F173,TIER_LIST,0),1))*(IF((10-$I173+1)&lt;=0,0,IF((10-$I173+1)=1,RAMP_W1,IF((10-$I173+1)=2,RAMP_W2,IF((10-$I173+1)=3,RAMP_W3,RAMP_W4PLUS)))))*(INDEX(ACTIVE_MULT_TABLE,1,1))*(1+SUMPRODUCT(SIGN(((ACT_DOOR_SCOPE="ALL")+(ACT_DOOR_SCOPE="TIER_"&amp;$F173)+(ACT_DOOR_SCOPE=$B173)))*SIGN(((ACT_SKU_SCOPE="ALL")+(ACT_SKU_SCOPE=$G173)))*(ACT_START&lt;=10)*(ACT_END&gt;=10)*IFERROR(ACT_UPLIFT-1,0)))*(1+SUMPRODUCT(SIGN(((ACT_DOOR_SCOPE="ALL")+(ACT_DOOR_SCOPE="TIER_"&amp;$F173)+(ACT_DOOR_SCOPE=$B173)))*SIGN(((ACT_SKU_SCOPE="ALL")+(ACT_SKU_SCOPE=$G173)))*(10&gt;ACT_END)*(ACT_END&gt;0)*IFERROR(ACT_POSTLIFT,0))),0)))</f>
        <v/>
      </c>
      <c r="T173" s="10">
        <f>IF(OR($H173&lt;&gt;"Y",11&lt;$I173),0,IF(SUMPRODUCT(((BULK_ENABLED="Y")*((BULK_TIER="ALL")+(BULK_TIER=$F173))*((BULK_SKU="ALL")+(BULK_SKU=$G173))*(BULK_START&lt;=11)*(BULK_END&gt;=11)))&gt;0,IFERROR(SUMPRODUCT(((BULK_ENABLED="Y")*((BULK_TIER="ALL")+(BULK_TIER=$F173))*((BULK_SKU="ALL")+(BULK_SKU=$G173))*(BULK_START&lt;=11)*(BULK_END&gt;=11))*IFERROR(BULK_VALUE,0))/MAX(1,SUMPRODUCT(((BULK_ENABLED="Y")*((BULK_TIER="ALL")+(BULK_TIER=$F173))*((BULK_SKU="ALL")+(BULK_SKU=$G173))*(BULK_START&lt;=11)*(BULK_END&gt;=11)))),0),ROUND((INDEX(VELOCITY_TABLE,MATCH($F173,TIER_LIST,0),1))*(IF((11-$I173+1)&lt;=0,0,IF((11-$I173+1)=1,RAMP_W1,IF((11-$I173+1)=2,RAMP_W2,IF((11-$I173+1)=3,RAMP_W3,RAMP_W4PLUS)))))*(INDEX(ACTIVE_MULT_TABLE,1,1))*(1+SUMPRODUCT(SIGN(((ACT_DOOR_SCOPE="ALL")+(ACT_DOOR_SCOPE="TIER_"&amp;$F173)+(ACT_DOOR_SCOPE=$B173)))*SIGN(((ACT_SKU_SCOPE="ALL")+(ACT_SKU_SCOPE=$G173)))*(ACT_START&lt;=11)*(ACT_END&gt;=11)*IFERROR(ACT_UPLIFT-1,0)))*(1+SUMPRODUCT(SIGN(((ACT_DOOR_SCOPE="ALL")+(ACT_DOOR_SCOPE="TIER_"&amp;$F173)+(ACT_DOOR_SCOPE=$B173)))*SIGN(((ACT_SKU_SCOPE="ALL")+(ACT_SKU_SCOPE=$G173)))*(11&gt;ACT_END)*(ACT_END&gt;0)*IFERROR(ACT_POSTLIFT,0))),0)))</f>
        <v/>
      </c>
      <c r="U173" s="10">
        <f>IF(OR($H173&lt;&gt;"Y",12&lt;$I173),0,IF(SUMPRODUCT(((BULK_ENABLED="Y")*((BULK_TIER="ALL")+(BULK_TIER=$F173))*((BULK_SKU="ALL")+(BULK_SKU=$G173))*(BULK_START&lt;=12)*(BULK_END&gt;=12)))&gt;0,IFERROR(SUMPRODUCT(((BULK_ENABLED="Y")*((BULK_TIER="ALL")+(BULK_TIER=$F173))*((BULK_SKU="ALL")+(BULK_SKU=$G173))*(BULK_START&lt;=12)*(BULK_END&gt;=12))*IFERROR(BULK_VALUE,0))/MAX(1,SUMPRODUCT(((BULK_ENABLED="Y")*((BULK_TIER="ALL")+(BULK_TIER=$F173))*((BULK_SKU="ALL")+(BULK_SKU=$G173))*(BULK_START&lt;=12)*(BULK_END&gt;=12)))),0),ROUND((INDEX(VELOCITY_TABLE,MATCH($F173,TIER_LIST,0),1))*(IF((12-$I173+1)&lt;=0,0,IF((12-$I173+1)=1,RAMP_W1,IF((12-$I173+1)=2,RAMP_W2,IF((12-$I173+1)=3,RAMP_W3,RAMP_W4PLUS)))))*(INDEX(ACTIVE_MULT_TABLE,1,1))*(1+SUMPRODUCT(SIGN(((ACT_DOOR_SCOPE="ALL")+(ACT_DOOR_SCOPE="TIER_"&amp;$F173)+(ACT_DOOR_SCOPE=$B173)))*SIGN(((ACT_SKU_SCOPE="ALL")+(ACT_SKU_SCOPE=$G173)))*(ACT_START&lt;=12)*(ACT_END&gt;=12)*IFERROR(ACT_UPLIFT-1,0)))*(1+SUMPRODUCT(SIGN(((ACT_DOOR_SCOPE="ALL")+(ACT_DOOR_SCOPE="TIER_"&amp;$F173)+(ACT_DOOR_SCOPE=$B173)))*SIGN(((ACT_SKU_SCOPE="ALL")+(ACT_SKU_SCOPE=$G173)))*(12&gt;ACT_END)*(ACT_END&gt;0)*IFERROR(ACT_POSTLIFT,0))),0)))</f>
        <v/>
      </c>
      <c r="V173" s="10">
        <f>IF(OR($H173&lt;&gt;"Y",13&lt;$I173),0,IF(SUMPRODUCT(((BULK_ENABLED="Y")*((BULK_TIER="ALL")+(BULK_TIER=$F173))*((BULK_SKU="ALL")+(BULK_SKU=$G173))*(BULK_START&lt;=13)*(BULK_END&gt;=13)))&gt;0,IFERROR(SUMPRODUCT(((BULK_ENABLED="Y")*((BULK_TIER="ALL")+(BULK_TIER=$F173))*((BULK_SKU="ALL")+(BULK_SKU=$G173))*(BULK_START&lt;=13)*(BULK_END&gt;=13))*IFERROR(BULK_VALUE,0))/MAX(1,SUMPRODUCT(((BULK_ENABLED="Y")*((BULK_TIER="ALL")+(BULK_TIER=$F173))*((BULK_SKU="ALL")+(BULK_SKU=$G173))*(BULK_START&lt;=13)*(BULK_END&gt;=13)))),0),ROUND((INDEX(VELOCITY_TABLE,MATCH($F173,TIER_LIST,0),1))*(IF((13-$I173+1)&lt;=0,0,IF((13-$I173+1)=1,RAMP_W1,IF((13-$I173+1)=2,RAMP_W2,IF((13-$I173+1)=3,RAMP_W3,RAMP_W4PLUS)))))*(INDEX(ACTIVE_MULT_TABLE,1,1))*(1+SUMPRODUCT(SIGN(((ACT_DOOR_SCOPE="ALL")+(ACT_DOOR_SCOPE="TIER_"&amp;$F173)+(ACT_DOOR_SCOPE=$B173)))*SIGN(((ACT_SKU_SCOPE="ALL")+(ACT_SKU_SCOPE=$G173)))*(ACT_START&lt;=13)*(ACT_END&gt;=13)*IFERROR(ACT_UPLIFT-1,0)))*(1+SUMPRODUCT(SIGN(((ACT_DOOR_SCOPE="ALL")+(ACT_DOOR_SCOPE="TIER_"&amp;$F173)+(ACT_DOOR_SCOPE=$B173)))*SIGN(((ACT_SKU_SCOPE="ALL")+(ACT_SKU_SCOPE=$G173)))*(13&gt;ACT_END)*(ACT_END&gt;0)*IFERROR(ACT_POSTLIFT,0))),0)))</f>
        <v/>
      </c>
    </row>
    <row r="174">
      <c r="A174" t="inlineStr">
        <is>
          <t>R0170</t>
        </is>
      </c>
      <c r="B174">
        <f>Doors!$A$61</f>
        <v/>
      </c>
      <c r="C174">
        <f>Doors!$C$61</f>
        <v/>
      </c>
      <c r="D174">
        <f>Doors!$B$61</f>
        <v/>
      </c>
      <c r="E174">
        <f>Doors!$E$61</f>
        <v/>
      </c>
      <c r="F174">
        <f>Doors!$F$61</f>
        <v/>
      </c>
      <c r="G174" t="inlineStr">
        <is>
          <t>Pineapple Passion Fruit</t>
        </is>
      </c>
      <c r="H174">
        <f>Doors!$H$61</f>
        <v/>
      </c>
      <c r="I174">
        <f>Doors!$J$61</f>
        <v/>
      </c>
      <c r="J174" s="10">
        <f>IF(OR($H174&lt;&gt;"Y",1&lt;$I174),0,IF(SUMPRODUCT(((BULK_ENABLED="Y")*((BULK_TIER="ALL")+(BULK_TIER=$F174))*((BULK_SKU="ALL")+(BULK_SKU=$G174))*(BULK_START&lt;=1)*(BULK_END&gt;=1)))&gt;0,IFERROR(SUMPRODUCT(((BULK_ENABLED="Y")*((BULK_TIER="ALL")+(BULK_TIER=$F174))*((BULK_SKU="ALL")+(BULK_SKU=$G174))*(BULK_START&lt;=1)*(BULK_END&gt;=1))*IFERROR(BULK_VALUE,0))/MAX(1,SUMPRODUCT(((BULK_ENABLED="Y")*((BULK_TIER="ALL")+(BULK_TIER=$F174))*((BULK_SKU="ALL")+(BULK_SKU=$G174))*(BULK_START&lt;=1)*(BULK_END&gt;=1)))),0),ROUND((INDEX(VELOCITY_TABLE,MATCH($F174,TIER_LIST,0),2))*(IF((1-$I174+1)&lt;=0,0,IF((1-$I174+1)=1,RAMP_W1,IF((1-$I174+1)=2,RAMP_W2,IF((1-$I174+1)=3,RAMP_W3,RAMP_W4PLUS)))))*(INDEX(ACTIVE_MULT_TABLE,2,1))*(1+SUMPRODUCT(SIGN(((ACT_DOOR_SCOPE="ALL")+(ACT_DOOR_SCOPE="TIER_"&amp;$F174)+(ACT_DOOR_SCOPE=$B174)))*SIGN(((ACT_SKU_SCOPE="ALL")+(ACT_SKU_SCOPE=$G174)))*(ACT_START&lt;=1)*(ACT_END&gt;=1)*IFERROR(ACT_UPLIFT-1,0)))*(1+SUMPRODUCT(SIGN(((ACT_DOOR_SCOPE="ALL")+(ACT_DOOR_SCOPE="TIER_"&amp;$F174)+(ACT_DOOR_SCOPE=$B174)))*SIGN(((ACT_SKU_SCOPE="ALL")+(ACT_SKU_SCOPE=$G174)))*(1&gt;ACT_END)*(ACT_END&gt;0)*IFERROR(ACT_POSTLIFT,0))),0)))</f>
        <v/>
      </c>
      <c r="K174" s="10">
        <f>IF(OR($H174&lt;&gt;"Y",2&lt;$I174),0,IF(SUMPRODUCT(((BULK_ENABLED="Y")*((BULK_TIER="ALL")+(BULK_TIER=$F174))*((BULK_SKU="ALL")+(BULK_SKU=$G174))*(BULK_START&lt;=2)*(BULK_END&gt;=2)))&gt;0,IFERROR(SUMPRODUCT(((BULK_ENABLED="Y")*((BULK_TIER="ALL")+(BULK_TIER=$F174))*((BULK_SKU="ALL")+(BULK_SKU=$G174))*(BULK_START&lt;=2)*(BULK_END&gt;=2))*IFERROR(BULK_VALUE,0))/MAX(1,SUMPRODUCT(((BULK_ENABLED="Y")*((BULK_TIER="ALL")+(BULK_TIER=$F174))*((BULK_SKU="ALL")+(BULK_SKU=$G174))*(BULK_START&lt;=2)*(BULK_END&gt;=2)))),0),ROUND((INDEX(VELOCITY_TABLE,MATCH($F174,TIER_LIST,0),2))*(IF((2-$I174+1)&lt;=0,0,IF((2-$I174+1)=1,RAMP_W1,IF((2-$I174+1)=2,RAMP_W2,IF((2-$I174+1)=3,RAMP_W3,RAMP_W4PLUS)))))*(INDEX(ACTIVE_MULT_TABLE,2,1))*(1+SUMPRODUCT(SIGN(((ACT_DOOR_SCOPE="ALL")+(ACT_DOOR_SCOPE="TIER_"&amp;$F174)+(ACT_DOOR_SCOPE=$B174)))*SIGN(((ACT_SKU_SCOPE="ALL")+(ACT_SKU_SCOPE=$G174)))*(ACT_START&lt;=2)*(ACT_END&gt;=2)*IFERROR(ACT_UPLIFT-1,0)))*(1+SUMPRODUCT(SIGN(((ACT_DOOR_SCOPE="ALL")+(ACT_DOOR_SCOPE="TIER_"&amp;$F174)+(ACT_DOOR_SCOPE=$B174)))*SIGN(((ACT_SKU_SCOPE="ALL")+(ACT_SKU_SCOPE=$G174)))*(2&gt;ACT_END)*(ACT_END&gt;0)*IFERROR(ACT_POSTLIFT,0))),0)))</f>
        <v/>
      </c>
      <c r="L174" s="10">
        <f>IF(OR($H174&lt;&gt;"Y",3&lt;$I174),0,IF(SUMPRODUCT(((BULK_ENABLED="Y")*((BULK_TIER="ALL")+(BULK_TIER=$F174))*((BULK_SKU="ALL")+(BULK_SKU=$G174))*(BULK_START&lt;=3)*(BULK_END&gt;=3)))&gt;0,IFERROR(SUMPRODUCT(((BULK_ENABLED="Y")*((BULK_TIER="ALL")+(BULK_TIER=$F174))*((BULK_SKU="ALL")+(BULK_SKU=$G174))*(BULK_START&lt;=3)*(BULK_END&gt;=3))*IFERROR(BULK_VALUE,0))/MAX(1,SUMPRODUCT(((BULK_ENABLED="Y")*((BULK_TIER="ALL")+(BULK_TIER=$F174))*((BULK_SKU="ALL")+(BULK_SKU=$G174))*(BULK_START&lt;=3)*(BULK_END&gt;=3)))),0),ROUND((INDEX(VELOCITY_TABLE,MATCH($F174,TIER_LIST,0),2))*(IF((3-$I174+1)&lt;=0,0,IF((3-$I174+1)=1,RAMP_W1,IF((3-$I174+1)=2,RAMP_W2,IF((3-$I174+1)=3,RAMP_W3,RAMP_W4PLUS)))))*(INDEX(ACTIVE_MULT_TABLE,2,1))*(1+SUMPRODUCT(SIGN(((ACT_DOOR_SCOPE="ALL")+(ACT_DOOR_SCOPE="TIER_"&amp;$F174)+(ACT_DOOR_SCOPE=$B174)))*SIGN(((ACT_SKU_SCOPE="ALL")+(ACT_SKU_SCOPE=$G174)))*(ACT_START&lt;=3)*(ACT_END&gt;=3)*IFERROR(ACT_UPLIFT-1,0)))*(1+SUMPRODUCT(SIGN(((ACT_DOOR_SCOPE="ALL")+(ACT_DOOR_SCOPE="TIER_"&amp;$F174)+(ACT_DOOR_SCOPE=$B174)))*SIGN(((ACT_SKU_SCOPE="ALL")+(ACT_SKU_SCOPE=$G174)))*(3&gt;ACT_END)*(ACT_END&gt;0)*IFERROR(ACT_POSTLIFT,0))),0)))</f>
        <v/>
      </c>
      <c r="M174" s="10">
        <f>IF(OR($H174&lt;&gt;"Y",4&lt;$I174),0,IF(SUMPRODUCT(((BULK_ENABLED="Y")*((BULK_TIER="ALL")+(BULK_TIER=$F174))*((BULK_SKU="ALL")+(BULK_SKU=$G174))*(BULK_START&lt;=4)*(BULK_END&gt;=4)))&gt;0,IFERROR(SUMPRODUCT(((BULK_ENABLED="Y")*((BULK_TIER="ALL")+(BULK_TIER=$F174))*((BULK_SKU="ALL")+(BULK_SKU=$G174))*(BULK_START&lt;=4)*(BULK_END&gt;=4))*IFERROR(BULK_VALUE,0))/MAX(1,SUMPRODUCT(((BULK_ENABLED="Y")*((BULK_TIER="ALL")+(BULK_TIER=$F174))*((BULK_SKU="ALL")+(BULK_SKU=$G174))*(BULK_START&lt;=4)*(BULK_END&gt;=4)))),0),ROUND((INDEX(VELOCITY_TABLE,MATCH($F174,TIER_LIST,0),2))*(IF((4-$I174+1)&lt;=0,0,IF((4-$I174+1)=1,RAMP_W1,IF((4-$I174+1)=2,RAMP_W2,IF((4-$I174+1)=3,RAMP_W3,RAMP_W4PLUS)))))*(INDEX(ACTIVE_MULT_TABLE,2,1))*(1+SUMPRODUCT(SIGN(((ACT_DOOR_SCOPE="ALL")+(ACT_DOOR_SCOPE="TIER_"&amp;$F174)+(ACT_DOOR_SCOPE=$B174)))*SIGN(((ACT_SKU_SCOPE="ALL")+(ACT_SKU_SCOPE=$G174)))*(ACT_START&lt;=4)*(ACT_END&gt;=4)*IFERROR(ACT_UPLIFT-1,0)))*(1+SUMPRODUCT(SIGN(((ACT_DOOR_SCOPE="ALL")+(ACT_DOOR_SCOPE="TIER_"&amp;$F174)+(ACT_DOOR_SCOPE=$B174)))*SIGN(((ACT_SKU_SCOPE="ALL")+(ACT_SKU_SCOPE=$G174)))*(4&gt;ACT_END)*(ACT_END&gt;0)*IFERROR(ACT_POSTLIFT,0))),0)))</f>
        <v/>
      </c>
      <c r="N174" s="10">
        <f>IF(OR($H174&lt;&gt;"Y",5&lt;$I174),0,IF(SUMPRODUCT(((BULK_ENABLED="Y")*((BULK_TIER="ALL")+(BULK_TIER=$F174))*((BULK_SKU="ALL")+(BULK_SKU=$G174))*(BULK_START&lt;=5)*(BULK_END&gt;=5)))&gt;0,IFERROR(SUMPRODUCT(((BULK_ENABLED="Y")*((BULK_TIER="ALL")+(BULK_TIER=$F174))*((BULK_SKU="ALL")+(BULK_SKU=$G174))*(BULK_START&lt;=5)*(BULK_END&gt;=5))*IFERROR(BULK_VALUE,0))/MAX(1,SUMPRODUCT(((BULK_ENABLED="Y")*((BULK_TIER="ALL")+(BULK_TIER=$F174))*((BULK_SKU="ALL")+(BULK_SKU=$G174))*(BULK_START&lt;=5)*(BULK_END&gt;=5)))),0),ROUND((INDEX(VELOCITY_TABLE,MATCH($F174,TIER_LIST,0),2))*(IF((5-$I174+1)&lt;=0,0,IF((5-$I174+1)=1,RAMP_W1,IF((5-$I174+1)=2,RAMP_W2,IF((5-$I174+1)=3,RAMP_W3,RAMP_W4PLUS)))))*(INDEX(ACTIVE_MULT_TABLE,2,1))*(1+SUMPRODUCT(SIGN(((ACT_DOOR_SCOPE="ALL")+(ACT_DOOR_SCOPE="TIER_"&amp;$F174)+(ACT_DOOR_SCOPE=$B174)))*SIGN(((ACT_SKU_SCOPE="ALL")+(ACT_SKU_SCOPE=$G174)))*(ACT_START&lt;=5)*(ACT_END&gt;=5)*IFERROR(ACT_UPLIFT-1,0)))*(1+SUMPRODUCT(SIGN(((ACT_DOOR_SCOPE="ALL")+(ACT_DOOR_SCOPE="TIER_"&amp;$F174)+(ACT_DOOR_SCOPE=$B174)))*SIGN(((ACT_SKU_SCOPE="ALL")+(ACT_SKU_SCOPE=$G174)))*(5&gt;ACT_END)*(ACT_END&gt;0)*IFERROR(ACT_POSTLIFT,0))),0)))</f>
        <v/>
      </c>
      <c r="O174" s="10">
        <f>IF(OR($H174&lt;&gt;"Y",6&lt;$I174),0,IF(SUMPRODUCT(((BULK_ENABLED="Y")*((BULK_TIER="ALL")+(BULK_TIER=$F174))*((BULK_SKU="ALL")+(BULK_SKU=$G174))*(BULK_START&lt;=6)*(BULK_END&gt;=6)))&gt;0,IFERROR(SUMPRODUCT(((BULK_ENABLED="Y")*((BULK_TIER="ALL")+(BULK_TIER=$F174))*((BULK_SKU="ALL")+(BULK_SKU=$G174))*(BULK_START&lt;=6)*(BULK_END&gt;=6))*IFERROR(BULK_VALUE,0))/MAX(1,SUMPRODUCT(((BULK_ENABLED="Y")*((BULK_TIER="ALL")+(BULK_TIER=$F174))*((BULK_SKU="ALL")+(BULK_SKU=$G174))*(BULK_START&lt;=6)*(BULK_END&gt;=6)))),0),ROUND((INDEX(VELOCITY_TABLE,MATCH($F174,TIER_LIST,0),2))*(IF((6-$I174+1)&lt;=0,0,IF((6-$I174+1)=1,RAMP_W1,IF((6-$I174+1)=2,RAMP_W2,IF((6-$I174+1)=3,RAMP_W3,RAMP_W4PLUS)))))*(INDEX(ACTIVE_MULT_TABLE,2,1))*(1+SUMPRODUCT(SIGN(((ACT_DOOR_SCOPE="ALL")+(ACT_DOOR_SCOPE="TIER_"&amp;$F174)+(ACT_DOOR_SCOPE=$B174)))*SIGN(((ACT_SKU_SCOPE="ALL")+(ACT_SKU_SCOPE=$G174)))*(ACT_START&lt;=6)*(ACT_END&gt;=6)*IFERROR(ACT_UPLIFT-1,0)))*(1+SUMPRODUCT(SIGN(((ACT_DOOR_SCOPE="ALL")+(ACT_DOOR_SCOPE="TIER_"&amp;$F174)+(ACT_DOOR_SCOPE=$B174)))*SIGN(((ACT_SKU_SCOPE="ALL")+(ACT_SKU_SCOPE=$G174)))*(6&gt;ACT_END)*(ACT_END&gt;0)*IFERROR(ACT_POSTLIFT,0))),0)))</f>
        <v/>
      </c>
      <c r="P174" s="10">
        <f>IF(OR($H174&lt;&gt;"Y",7&lt;$I174),0,IF(SUMPRODUCT(((BULK_ENABLED="Y")*((BULK_TIER="ALL")+(BULK_TIER=$F174))*((BULK_SKU="ALL")+(BULK_SKU=$G174))*(BULK_START&lt;=7)*(BULK_END&gt;=7)))&gt;0,IFERROR(SUMPRODUCT(((BULK_ENABLED="Y")*((BULK_TIER="ALL")+(BULK_TIER=$F174))*((BULK_SKU="ALL")+(BULK_SKU=$G174))*(BULK_START&lt;=7)*(BULK_END&gt;=7))*IFERROR(BULK_VALUE,0))/MAX(1,SUMPRODUCT(((BULK_ENABLED="Y")*((BULK_TIER="ALL")+(BULK_TIER=$F174))*((BULK_SKU="ALL")+(BULK_SKU=$G174))*(BULK_START&lt;=7)*(BULK_END&gt;=7)))),0),ROUND((INDEX(VELOCITY_TABLE,MATCH($F174,TIER_LIST,0),2))*(IF((7-$I174+1)&lt;=0,0,IF((7-$I174+1)=1,RAMP_W1,IF((7-$I174+1)=2,RAMP_W2,IF((7-$I174+1)=3,RAMP_W3,RAMP_W4PLUS)))))*(INDEX(ACTIVE_MULT_TABLE,2,1))*(1+SUMPRODUCT(SIGN(((ACT_DOOR_SCOPE="ALL")+(ACT_DOOR_SCOPE="TIER_"&amp;$F174)+(ACT_DOOR_SCOPE=$B174)))*SIGN(((ACT_SKU_SCOPE="ALL")+(ACT_SKU_SCOPE=$G174)))*(ACT_START&lt;=7)*(ACT_END&gt;=7)*IFERROR(ACT_UPLIFT-1,0)))*(1+SUMPRODUCT(SIGN(((ACT_DOOR_SCOPE="ALL")+(ACT_DOOR_SCOPE="TIER_"&amp;$F174)+(ACT_DOOR_SCOPE=$B174)))*SIGN(((ACT_SKU_SCOPE="ALL")+(ACT_SKU_SCOPE=$G174)))*(7&gt;ACT_END)*(ACT_END&gt;0)*IFERROR(ACT_POSTLIFT,0))),0)))</f>
        <v/>
      </c>
      <c r="Q174" s="10">
        <f>IF(OR($H174&lt;&gt;"Y",8&lt;$I174),0,IF(SUMPRODUCT(((BULK_ENABLED="Y")*((BULK_TIER="ALL")+(BULK_TIER=$F174))*((BULK_SKU="ALL")+(BULK_SKU=$G174))*(BULK_START&lt;=8)*(BULK_END&gt;=8)))&gt;0,IFERROR(SUMPRODUCT(((BULK_ENABLED="Y")*((BULK_TIER="ALL")+(BULK_TIER=$F174))*((BULK_SKU="ALL")+(BULK_SKU=$G174))*(BULK_START&lt;=8)*(BULK_END&gt;=8))*IFERROR(BULK_VALUE,0))/MAX(1,SUMPRODUCT(((BULK_ENABLED="Y")*((BULK_TIER="ALL")+(BULK_TIER=$F174))*((BULK_SKU="ALL")+(BULK_SKU=$G174))*(BULK_START&lt;=8)*(BULK_END&gt;=8)))),0),ROUND((INDEX(VELOCITY_TABLE,MATCH($F174,TIER_LIST,0),2))*(IF((8-$I174+1)&lt;=0,0,IF((8-$I174+1)=1,RAMP_W1,IF((8-$I174+1)=2,RAMP_W2,IF((8-$I174+1)=3,RAMP_W3,RAMP_W4PLUS)))))*(INDEX(ACTIVE_MULT_TABLE,2,1))*(1+SUMPRODUCT(SIGN(((ACT_DOOR_SCOPE="ALL")+(ACT_DOOR_SCOPE="TIER_"&amp;$F174)+(ACT_DOOR_SCOPE=$B174)))*SIGN(((ACT_SKU_SCOPE="ALL")+(ACT_SKU_SCOPE=$G174)))*(ACT_START&lt;=8)*(ACT_END&gt;=8)*IFERROR(ACT_UPLIFT-1,0)))*(1+SUMPRODUCT(SIGN(((ACT_DOOR_SCOPE="ALL")+(ACT_DOOR_SCOPE="TIER_"&amp;$F174)+(ACT_DOOR_SCOPE=$B174)))*SIGN(((ACT_SKU_SCOPE="ALL")+(ACT_SKU_SCOPE=$G174)))*(8&gt;ACT_END)*(ACT_END&gt;0)*IFERROR(ACT_POSTLIFT,0))),0)))</f>
        <v/>
      </c>
      <c r="R174" s="10">
        <f>IF(OR($H174&lt;&gt;"Y",9&lt;$I174),0,IF(SUMPRODUCT(((BULK_ENABLED="Y")*((BULK_TIER="ALL")+(BULK_TIER=$F174))*((BULK_SKU="ALL")+(BULK_SKU=$G174))*(BULK_START&lt;=9)*(BULK_END&gt;=9)))&gt;0,IFERROR(SUMPRODUCT(((BULK_ENABLED="Y")*((BULK_TIER="ALL")+(BULK_TIER=$F174))*((BULK_SKU="ALL")+(BULK_SKU=$G174))*(BULK_START&lt;=9)*(BULK_END&gt;=9))*IFERROR(BULK_VALUE,0))/MAX(1,SUMPRODUCT(((BULK_ENABLED="Y")*((BULK_TIER="ALL")+(BULK_TIER=$F174))*((BULK_SKU="ALL")+(BULK_SKU=$G174))*(BULK_START&lt;=9)*(BULK_END&gt;=9)))),0),ROUND((INDEX(VELOCITY_TABLE,MATCH($F174,TIER_LIST,0),2))*(IF((9-$I174+1)&lt;=0,0,IF((9-$I174+1)=1,RAMP_W1,IF((9-$I174+1)=2,RAMP_W2,IF((9-$I174+1)=3,RAMP_W3,RAMP_W4PLUS)))))*(INDEX(ACTIVE_MULT_TABLE,2,1))*(1+SUMPRODUCT(SIGN(((ACT_DOOR_SCOPE="ALL")+(ACT_DOOR_SCOPE="TIER_"&amp;$F174)+(ACT_DOOR_SCOPE=$B174)))*SIGN(((ACT_SKU_SCOPE="ALL")+(ACT_SKU_SCOPE=$G174)))*(ACT_START&lt;=9)*(ACT_END&gt;=9)*IFERROR(ACT_UPLIFT-1,0)))*(1+SUMPRODUCT(SIGN(((ACT_DOOR_SCOPE="ALL")+(ACT_DOOR_SCOPE="TIER_"&amp;$F174)+(ACT_DOOR_SCOPE=$B174)))*SIGN(((ACT_SKU_SCOPE="ALL")+(ACT_SKU_SCOPE=$G174)))*(9&gt;ACT_END)*(ACT_END&gt;0)*IFERROR(ACT_POSTLIFT,0))),0)))</f>
        <v/>
      </c>
      <c r="S174" s="10">
        <f>IF(OR($H174&lt;&gt;"Y",10&lt;$I174),0,IF(SUMPRODUCT(((BULK_ENABLED="Y")*((BULK_TIER="ALL")+(BULK_TIER=$F174))*((BULK_SKU="ALL")+(BULK_SKU=$G174))*(BULK_START&lt;=10)*(BULK_END&gt;=10)))&gt;0,IFERROR(SUMPRODUCT(((BULK_ENABLED="Y")*((BULK_TIER="ALL")+(BULK_TIER=$F174))*((BULK_SKU="ALL")+(BULK_SKU=$G174))*(BULK_START&lt;=10)*(BULK_END&gt;=10))*IFERROR(BULK_VALUE,0))/MAX(1,SUMPRODUCT(((BULK_ENABLED="Y")*((BULK_TIER="ALL")+(BULK_TIER=$F174))*((BULK_SKU="ALL")+(BULK_SKU=$G174))*(BULK_START&lt;=10)*(BULK_END&gt;=10)))),0),ROUND((INDEX(VELOCITY_TABLE,MATCH($F174,TIER_LIST,0),2))*(IF((10-$I174+1)&lt;=0,0,IF((10-$I174+1)=1,RAMP_W1,IF((10-$I174+1)=2,RAMP_W2,IF((10-$I174+1)=3,RAMP_W3,RAMP_W4PLUS)))))*(INDEX(ACTIVE_MULT_TABLE,2,1))*(1+SUMPRODUCT(SIGN(((ACT_DOOR_SCOPE="ALL")+(ACT_DOOR_SCOPE="TIER_"&amp;$F174)+(ACT_DOOR_SCOPE=$B174)))*SIGN(((ACT_SKU_SCOPE="ALL")+(ACT_SKU_SCOPE=$G174)))*(ACT_START&lt;=10)*(ACT_END&gt;=10)*IFERROR(ACT_UPLIFT-1,0)))*(1+SUMPRODUCT(SIGN(((ACT_DOOR_SCOPE="ALL")+(ACT_DOOR_SCOPE="TIER_"&amp;$F174)+(ACT_DOOR_SCOPE=$B174)))*SIGN(((ACT_SKU_SCOPE="ALL")+(ACT_SKU_SCOPE=$G174)))*(10&gt;ACT_END)*(ACT_END&gt;0)*IFERROR(ACT_POSTLIFT,0))),0)))</f>
        <v/>
      </c>
      <c r="T174" s="10">
        <f>IF(OR($H174&lt;&gt;"Y",11&lt;$I174),0,IF(SUMPRODUCT(((BULK_ENABLED="Y")*((BULK_TIER="ALL")+(BULK_TIER=$F174))*((BULK_SKU="ALL")+(BULK_SKU=$G174))*(BULK_START&lt;=11)*(BULK_END&gt;=11)))&gt;0,IFERROR(SUMPRODUCT(((BULK_ENABLED="Y")*((BULK_TIER="ALL")+(BULK_TIER=$F174))*((BULK_SKU="ALL")+(BULK_SKU=$G174))*(BULK_START&lt;=11)*(BULK_END&gt;=11))*IFERROR(BULK_VALUE,0))/MAX(1,SUMPRODUCT(((BULK_ENABLED="Y")*((BULK_TIER="ALL")+(BULK_TIER=$F174))*((BULK_SKU="ALL")+(BULK_SKU=$G174))*(BULK_START&lt;=11)*(BULK_END&gt;=11)))),0),ROUND((INDEX(VELOCITY_TABLE,MATCH($F174,TIER_LIST,0),2))*(IF((11-$I174+1)&lt;=0,0,IF((11-$I174+1)=1,RAMP_W1,IF((11-$I174+1)=2,RAMP_W2,IF((11-$I174+1)=3,RAMP_W3,RAMP_W4PLUS)))))*(INDEX(ACTIVE_MULT_TABLE,2,1))*(1+SUMPRODUCT(SIGN(((ACT_DOOR_SCOPE="ALL")+(ACT_DOOR_SCOPE="TIER_"&amp;$F174)+(ACT_DOOR_SCOPE=$B174)))*SIGN(((ACT_SKU_SCOPE="ALL")+(ACT_SKU_SCOPE=$G174)))*(ACT_START&lt;=11)*(ACT_END&gt;=11)*IFERROR(ACT_UPLIFT-1,0)))*(1+SUMPRODUCT(SIGN(((ACT_DOOR_SCOPE="ALL")+(ACT_DOOR_SCOPE="TIER_"&amp;$F174)+(ACT_DOOR_SCOPE=$B174)))*SIGN(((ACT_SKU_SCOPE="ALL")+(ACT_SKU_SCOPE=$G174)))*(11&gt;ACT_END)*(ACT_END&gt;0)*IFERROR(ACT_POSTLIFT,0))),0)))</f>
        <v/>
      </c>
      <c r="U174" s="10">
        <f>IF(OR($H174&lt;&gt;"Y",12&lt;$I174),0,IF(SUMPRODUCT(((BULK_ENABLED="Y")*((BULK_TIER="ALL")+(BULK_TIER=$F174))*((BULK_SKU="ALL")+(BULK_SKU=$G174))*(BULK_START&lt;=12)*(BULK_END&gt;=12)))&gt;0,IFERROR(SUMPRODUCT(((BULK_ENABLED="Y")*((BULK_TIER="ALL")+(BULK_TIER=$F174))*((BULK_SKU="ALL")+(BULK_SKU=$G174))*(BULK_START&lt;=12)*(BULK_END&gt;=12))*IFERROR(BULK_VALUE,0))/MAX(1,SUMPRODUCT(((BULK_ENABLED="Y")*((BULK_TIER="ALL")+(BULK_TIER=$F174))*((BULK_SKU="ALL")+(BULK_SKU=$G174))*(BULK_START&lt;=12)*(BULK_END&gt;=12)))),0),ROUND((INDEX(VELOCITY_TABLE,MATCH($F174,TIER_LIST,0),2))*(IF((12-$I174+1)&lt;=0,0,IF((12-$I174+1)=1,RAMP_W1,IF((12-$I174+1)=2,RAMP_W2,IF((12-$I174+1)=3,RAMP_W3,RAMP_W4PLUS)))))*(INDEX(ACTIVE_MULT_TABLE,2,1))*(1+SUMPRODUCT(SIGN(((ACT_DOOR_SCOPE="ALL")+(ACT_DOOR_SCOPE="TIER_"&amp;$F174)+(ACT_DOOR_SCOPE=$B174)))*SIGN(((ACT_SKU_SCOPE="ALL")+(ACT_SKU_SCOPE=$G174)))*(ACT_START&lt;=12)*(ACT_END&gt;=12)*IFERROR(ACT_UPLIFT-1,0)))*(1+SUMPRODUCT(SIGN(((ACT_DOOR_SCOPE="ALL")+(ACT_DOOR_SCOPE="TIER_"&amp;$F174)+(ACT_DOOR_SCOPE=$B174)))*SIGN(((ACT_SKU_SCOPE="ALL")+(ACT_SKU_SCOPE=$G174)))*(12&gt;ACT_END)*(ACT_END&gt;0)*IFERROR(ACT_POSTLIFT,0))),0)))</f>
        <v/>
      </c>
      <c r="V174" s="10">
        <f>IF(OR($H174&lt;&gt;"Y",13&lt;$I174),0,IF(SUMPRODUCT(((BULK_ENABLED="Y")*((BULK_TIER="ALL")+(BULK_TIER=$F174))*((BULK_SKU="ALL")+(BULK_SKU=$G174))*(BULK_START&lt;=13)*(BULK_END&gt;=13)))&gt;0,IFERROR(SUMPRODUCT(((BULK_ENABLED="Y")*((BULK_TIER="ALL")+(BULK_TIER=$F174))*((BULK_SKU="ALL")+(BULK_SKU=$G174))*(BULK_START&lt;=13)*(BULK_END&gt;=13))*IFERROR(BULK_VALUE,0))/MAX(1,SUMPRODUCT(((BULK_ENABLED="Y")*((BULK_TIER="ALL")+(BULK_TIER=$F174))*((BULK_SKU="ALL")+(BULK_SKU=$G174))*(BULK_START&lt;=13)*(BULK_END&gt;=13)))),0),ROUND((INDEX(VELOCITY_TABLE,MATCH($F174,TIER_LIST,0),2))*(IF((13-$I174+1)&lt;=0,0,IF((13-$I174+1)=1,RAMP_W1,IF((13-$I174+1)=2,RAMP_W2,IF((13-$I174+1)=3,RAMP_W3,RAMP_W4PLUS)))))*(INDEX(ACTIVE_MULT_TABLE,2,1))*(1+SUMPRODUCT(SIGN(((ACT_DOOR_SCOPE="ALL")+(ACT_DOOR_SCOPE="TIER_"&amp;$F174)+(ACT_DOOR_SCOPE=$B174)))*SIGN(((ACT_SKU_SCOPE="ALL")+(ACT_SKU_SCOPE=$G174)))*(ACT_START&lt;=13)*(ACT_END&gt;=13)*IFERROR(ACT_UPLIFT-1,0)))*(1+SUMPRODUCT(SIGN(((ACT_DOOR_SCOPE="ALL")+(ACT_DOOR_SCOPE="TIER_"&amp;$F174)+(ACT_DOOR_SCOPE=$B174)))*SIGN(((ACT_SKU_SCOPE="ALL")+(ACT_SKU_SCOPE=$G174)))*(13&gt;ACT_END)*(ACT_END&gt;0)*IFERROR(ACT_POSTLIFT,0))),0)))</f>
        <v/>
      </c>
    </row>
    <row r="175">
      <c r="A175" t="inlineStr">
        <is>
          <t>R0171</t>
        </is>
      </c>
      <c r="B175">
        <f>Doors!$A$61</f>
        <v/>
      </c>
      <c r="C175">
        <f>Doors!$C$61</f>
        <v/>
      </c>
      <c r="D175">
        <f>Doors!$B$61</f>
        <v/>
      </c>
      <c r="E175">
        <f>Doors!$E$61</f>
        <v/>
      </c>
      <c r="F175">
        <f>Doors!$F$61</f>
        <v/>
      </c>
      <c r="G175" t="inlineStr">
        <is>
          <t>Raspberry</t>
        </is>
      </c>
      <c r="H175">
        <f>Doors!$I$61</f>
        <v/>
      </c>
      <c r="I175">
        <f>Doors!$J$61</f>
        <v/>
      </c>
      <c r="J175" s="10">
        <f>IF(OR($H175&lt;&gt;"Y",1&lt;$I175),0,IF(SUMPRODUCT(((BULK_ENABLED="Y")*((BULK_TIER="ALL")+(BULK_TIER=$F175))*((BULK_SKU="ALL")+(BULK_SKU=$G175))*(BULK_START&lt;=1)*(BULK_END&gt;=1)))&gt;0,IFERROR(SUMPRODUCT(((BULK_ENABLED="Y")*((BULK_TIER="ALL")+(BULK_TIER=$F175))*((BULK_SKU="ALL")+(BULK_SKU=$G175))*(BULK_START&lt;=1)*(BULK_END&gt;=1))*IFERROR(BULK_VALUE,0))/MAX(1,SUMPRODUCT(((BULK_ENABLED="Y")*((BULK_TIER="ALL")+(BULK_TIER=$F175))*((BULK_SKU="ALL")+(BULK_SKU=$G175))*(BULK_START&lt;=1)*(BULK_END&gt;=1)))),0),ROUND((INDEX(VELOCITY_TABLE,MATCH($F175,TIER_LIST,0),3))*(IF((1-$I175+1)&lt;=0,0,IF((1-$I175+1)=1,RAMP_W1,IF((1-$I175+1)=2,RAMP_W2,IF((1-$I175+1)=3,RAMP_W3,RAMP_W4PLUS)))))*(INDEX(ACTIVE_MULT_TABLE,3,1))*(1+SUMPRODUCT(SIGN(((ACT_DOOR_SCOPE="ALL")+(ACT_DOOR_SCOPE="TIER_"&amp;$F175)+(ACT_DOOR_SCOPE=$B175)))*SIGN(((ACT_SKU_SCOPE="ALL")+(ACT_SKU_SCOPE=$G175)))*(ACT_START&lt;=1)*(ACT_END&gt;=1)*IFERROR(ACT_UPLIFT-1,0)))*(1+SUMPRODUCT(SIGN(((ACT_DOOR_SCOPE="ALL")+(ACT_DOOR_SCOPE="TIER_"&amp;$F175)+(ACT_DOOR_SCOPE=$B175)))*SIGN(((ACT_SKU_SCOPE="ALL")+(ACT_SKU_SCOPE=$G175)))*(1&gt;ACT_END)*(ACT_END&gt;0)*IFERROR(ACT_POSTLIFT,0))),0)))</f>
        <v/>
      </c>
      <c r="K175" s="10">
        <f>IF(OR($H175&lt;&gt;"Y",2&lt;$I175),0,IF(SUMPRODUCT(((BULK_ENABLED="Y")*((BULK_TIER="ALL")+(BULK_TIER=$F175))*((BULK_SKU="ALL")+(BULK_SKU=$G175))*(BULK_START&lt;=2)*(BULK_END&gt;=2)))&gt;0,IFERROR(SUMPRODUCT(((BULK_ENABLED="Y")*((BULK_TIER="ALL")+(BULK_TIER=$F175))*((BULK_SKU="ALL")+(BULK_SKU=$G175))*(BULK_START&lt;=2)*(BULK_END&gt;=2))*IFERROR(BULK_VALUE,0))/MAX(1,SUMPRODUCT(((BULK_ENABLED="Y")*((BULK_TIER="ALL")+(BULK_TIER=$F175))*((BULK_SKU="ALL")+(BULK_SKU=$G175))*(BULK_START&lt;=2)*(BULK_END&gt;=2)))),0),ROUND((INDEX(VELOCITY_TABLE,MATCH($F175,TIER_LIST,0),3))*(IF((2-$I175+1)&lt;=0,0,IF((2-$I175+1)=1,RAMP_W1,IF((2-$I175+1)=2,RAMP_W2,IF((2-$I175+1)=3,RAMP_W3,RAMP_W4PLUS)))))*(INDEX(ACTIVE_MULT_TABLE,3,1))*(1+SUMPRODUCT(SIGN(((ACT_DOOR_SCOPE="ALL")+(ACT_DOOR_SCOPE="TIER_"&amp;$F175)+(ACT_DOOR_SCOPE=$B175)))*SIGN(((ACT_SKU_SCOPE="ALL")+(ACT_SKU_SCOPE=$G175)))*(ACT_START&lt;=2)*(ACT_END&gt;=2)*IFERROR(ACT_UPLIFT-1,0)))*(1+SUMPRODUCT(SIGN(((ACT_DOOR_SCOPE="ALL")+(ACT_DOOR_SCOPE="TIER_"&amp;$F175)+(ACT_DOOR_SCOPE=$B175)))*SIGN(((ACT_SKU_SCOPE="ALL")+(ACT_SKU_SCOPE=$G175)))*(2&gt;ACT_END)*(ACT_END&gt;0)*IFERROR(ACT_POSTLIFT,0))),0)))</f>
        <v/>
      </c>
      <c r="L175" s="10">
        <f>IF(OR($H175&lt;&gt;"Y",3&lt;$I175),0,IF(SUMPRODUCT(((BULK_ENABLED="Y")*((BULK_TIER="ALL")+(BULK_TIER=$F175))*((BULK_SKU="ALL")+(BULK_SKU=$G175))*(BULK_START&lt;=3)*(BULK_END&gt;=3)))&gt;0,IFERROR(SUMPRODUCT(((BULK_ENABLED="Y")*((BULK_TIER="ALL")+(BULK_TIER=$F175))*((BULK_SKU="ALL")+(BULK_SKU=$G175))*(BULK_START&lt;=3)*(BULK_END&gt;=3))*IFERROR(BULK_VALUE,0))/MAX(1,SUMPRODUCT(((BULK_ENABLED="Y")*((BULK_TIER="ALL")+(BULK_TIER=$F175))*((BULK_SKU="ALL")+(BULK_SKU=$G175))*(BULK_START&lt;=3)*(BULK_END&gt;=3)))),0),ROUND((INDEX(VELOCITY_TABLE,MATCH($F175,TIER_LIST,0),3))*(IF((3-$I175+1)&lt;=0,0,IF((3-$I175+1)=1,RAMP_W1,IF((3-$I175+1)=2,RAMP_W2,IF((3-$I175+1)=3,RAMP_W3,RAMP_W4PLUS)))))*(INDEX(ACTIVE_MULT_TABLE,3,1))*(1+SUMPRODUCT(SIGN(((ACT_DOOR_SCOPE="ALL")+(ACT_DOOR_SCOPE="TIER_"&amp;$F175)+(ACT_DOOR_SCOPE=$B175)))*SIGN(((ACT_SKU_SCOPE="ALL")+(ACT_SKU_SCOPE=$G175)))*(ACT_START&lt;=3)*(ACT_END&gt;=3)*IFERROR(ACT_UPLIFT-1,0)))*(1+SUMPRODUCT(SIGN(((ACT_DOOR_SCOPE="ALL")+(ACT_DOOR_SCOPE="TIER_"&amp;$F175)+(ACT_DOOR_SCOPE=$B175)))*SIGN(((ACT_SKU_SCOPE="ALL")+(ACT_SKU_SCOPE=$G175)))*(3&gt;ACT_END)*(ACT_END&gt;0)*IFERROR(ACT_POSTLIFT,0))),0)))</f>
        <v/>
      </c>
      <c r="M175" s="10">
        <f>IF(OR($H175&lt;&gt;"Y",4&lt;$I175),0,IF(SUMPRODUCT(((BULK_ENABLED="Y")*((BULK_TIER="ALL")+(BULK_TIER=$F175))*((BULK_SKU="ALL")+(BULK_SKU=$G175))*(BULK_START&lt;=4)*(BULK_END&gt;=4)))&gt;0,IFERROR(SUMPRODUCT(((BULK_ENABLED="Y")*((BULK_TIER="ALL")+(BULK_TIER=$F175))*((BULK_SKU="ALL")+(BULK_SKU=$G175))*(BULK_START&lt;=4)*(BULK_END&gt;=4))*IFERROR(BULK_VALUE,0))/MAX(1,SUMPRODUCT(((BULK_ENABLED="Y")*((BULK_TIER="ALL")+(BULK_TIER=$F175))*((BULK_SKU="ALL")+(BULK_SKU=$G175))*(BULK_START&lt;=4)*(BULK_END&gt;=4)))),0),ROUND((INDEX(VELOCITY_TABLE,MATCH($F175,TIER_LIST,0),3))*(IF((4-$I175+1)&lt;=0,0,IF((4-$I175+1)=1,RAMP_W1,IF((4-$I175+1)=2,RAMP_W2,IF((4-$I175+1)=3,RAMP_W3,RAMP_W4PLUS)))))*(INDEX(ACTIVE_MULT_TABLE,3,1))*(1+SUMPRODUCT(SIGN(((ACT_DOOR_SCOPE="ALL")+(ACT_DOOR_SCOPE="TIER_"&amp;$F175)+(ACT_DOOR_SCOPE=$B175)))*SIGN(((ACT_SKU_SCOPE="ALL")+(ACT_SKU_SCOPE=$G175)))*(ACT_START&lt;=4)*(ACT_END&gt;=4)*IFERROR(ACT_UPLIFT-1,0)))*(1+SUMPRODUCT(SIGN(((ACT_DOOR_SCOPE="ALL")+(ACT_DOOR_SCOPE="TIER_"&amp;$F175)+(ACT_DOOR_SCOPE=$B175)))*SIGN(((ACT_SKU_SCOPE="ALL")+(ACT_SKU_SCOPE=$G175)))*(4&gt;ACT_END)*(ACT_END&gt;0)*IFERROR(ACT_POSTLIFT,0))),0)))</f>
        <v/>
      </c>
      <c r="N175" s="10">
        <f>IF(OR($H175&lt;&gt;"Y",5&lt;$I175),0,IF(SUMPRODUCT(((BULK_ENABLED="Y")*((BULK_TIER="ALL")+(BULK_TIER=$F175))*((BULK_SKU="ALL")+(BULK_SKU=$G175))*(BULK_START&lt;=5)*(BULK_END&gt;=5)))&gt;0,IFERROR(SUMPRODUCT(((BULK_ENABLED="Y")*((BULK_TIER="ALL")+(BULK_TIER=$F175))*((BULK_SKU="ALL")+(BULK_SKU=$G175))*(BULK_START&lt;=5)*(BULK_END&gt;=5))*IFERROR(BULK_VALUE,0))/MAX(1,SUMPRODUCT(((BULK_ENABLED="Y")*((BULK_TIER="ALL")+(BULK_TIER=$F175))*((BULK_SKU="ALL")+(BULK_SKU=$G175))*(BULK_START&lt;=5)*(BULK_END&gt;=5)))),0),ROUND((INDEX(VELOCITY_TABLE,MATCH($F175,TIER_LIST,0),3))*(IF((5-$I175+1)&lt;=0,0,IF((5-$I175+1)=1,RAMP_W1,IF((5-$I175+1)=2,RAMP_W2,IF((5-$I175+1)=3,RAMP_W3,RAMP_W4PLUS)))))*(INDEX(ACTIVE_MULT_TABLE,3,1))*(1+SUMPRODUCT(SIGN(((ACT_DOOR_SCOPE="ALL")+(ACT_DOOR_SCOPE="TIER_"&amp;$F175)+(ACT_DOOR_SCOPE=$B175)))*SIGN(((ACT_SKU_SCOPE="ALL")+(ACT_SKU_SCOPE=$G175)))*(ACT_START&lt;=5)*(ACT_END&gt;=5)*IFERROR(ACT_UPLIFT-1,0)))*(1+SUMPRODUCT(SIGN(((ACT_DOOR_SCOPE="ALL")+(ACT_DOOR_SCOPE="TIER_"&amp;$F175)+(ACT_DOOR_SCOPE=$B175)))*SIGN(((ACT_SKU_SCOPE="ALL")+(ACT_SKU_SCOPE=$G175)))*(5&gt;ACT_END)*(ACT_END&gt;0)*IFERROR(ACT_POSTLIFT,0))),0)))</f>
        <v/>
      </c>
      <c r="O175" s="10">
        <f>IF(OR($H175&lt;&gt;"Y",6&lt;$I175),0,IF(SUMPRODUCT(((BULK_ENABLED="Y")*((BULK_TIER="ALL")+(BULK_TIER=$F175))*((BULK_SKU="ALL")+(BULK_SKU=$G175))*(BULK_START&lt;=6)*(BULK_END&gt;=6)))&gt;0,IFERROR(SUMPRODUCT(((BULK_ENABLED="Y")*((BULK_TIER="ALL")+(BULK_TIER=$F175))*((BULK_SKU="ALL")+(BULK_SKU=$G175))*(BULK_START&lt;=6)*(BULK_END&gt;=6))*IFERROR(BULK_VALUE,0))/MAX(1,SUMPRODUCT(((BULK_ENABLED="Y")*((BULK_TIER="ALL")+(BULK_TIER=$F175))*((BULK_SKU="ALL")+(BULK_SKU=$G175))*(BULK_START&lt;=6)*(BULK_END&gt;=6)))),0),ROUND((INDEX(VELOCITY_TABLE,MATCH($F175,TIER_LIST,0),3))*(IF((6-$I175+1)&lt;=0,0,IF((6-$I175+1)=1,RAMP_W1,IF((6-$I175+1)=2,RAMP_W2,IF((6-$I175+1)=3,RAMP_W3,RAMP_W4PLUS)))))*(INDEX(ACTIVE_MULT_TABLE,3,1))*(1+SUMPRODUCT(SIGN(((ACT_DOOR_SCOPE="ALL")+(ACT_DOOR_SCOPE="TIER_"&amp;$F175)+(ACT_DOOR_SCOPE=$B175)))*SIGN(((ACT_SKU_SCOPE="ALL")+(ACT_SKU_SCOPE=$G175)))*(ACT_START&lt;=6)*(ACT_END&gt;=6)*IFERROR(ACT_UPLIFT-1,0)))*(1+SUMPRODUCT(SIGN(((ACT_DOOR_SCOPE="ALL")+(ACT_DOOR_SCOPE="TIER_"&amp;$F175)+(ACT_DOOR_SCOPE=$B175)))*SIGN(((ACT_SKU_SCOPE="ALL")+(ACT_SKU_SCOPE=$G175)))*(6&gt;ACT_END)*(ACT_END&gt;0)*IFERROR(ACT_POSTLIFT,0))),0)))</f>
        <v/>
      </c>
      <c r="P175" s="10">
        <f>IF(OR($H175&lt;&gt;"Y",7&lt;$I175),0,IF(SUMPRODUCT(((BULK_ENABLED="Y")*((BULK_TIER="ALL")+(BULK_TIER=$F175))*((BULK_SKU="ALL")+(BULK_SKU=$G175))*(BULK_START&lt;=7)*(BULK_END&gt;=7)))&gt;0,IFERROR(SUMPRODUCT(((BULK_ENABLED="Y")*((BULK_TIER="ALL")+(BULK_TIER=$F175))*((BULK_SKU="ALL")+(BULK_SKU=$G175))*(BULK_START&lt;=7)*(BULK_END&gt;=7))*IFERROR(BULK_VALUE,0))/MAX(1,SUMPRODUCT(((BULK_ENABLED="Y")*((BULK_TIER="ALL")+(BULK_TIER=$F175))*((BULK_SKU="ALL")+(BULK_SKU=$G175))*(BULK_START&lt;=7)*(BULK_END&gt;=7)))),0),ROUND((INDEX(VELOCITY_TABLE,MATCH($F175,TIER_LIST,0),3))*(IF((7-$I175+1)&lt;=0,0,IF((7-$I175+1)=1,RAMP_W1,IF((7-$I175+1)=2,RAMP_W2,IF((7-$I175+1)=3,RAMP_W3,RAMP_W4PLUS)))))*(INDEX(ACTIVE_MULT_TABLE,3,1))*(1+SUMPRODUCT(SIGN(((ACT_DOOR_SCOPE="ALL")+(ACT_DOOR_SCOPE="TIER_"&amp;$F175)+(ACT_DOOR_SCOPE=$B175)))*SIGN(((ACT_SKU_SCOPE="ALL")+(ACT_SKU_SCOPE=$G175)))*(ACT_START&lt;=7)*(ACT_END&gt;=7)*IFERROR(ACT_UPLIFT-1,0)))*(1+SUMPRODUCT(SIGN(((ACT_DOOR_SCOPE="ALL")+(ACT_DOOR_SCOPE="TIER_"&amp;$F175)+(ACT_DOOR_SCOPE=$B175)))*SIGN(((ACT_SKU_SCOPE="ALL")+(ACT_SKU_SCOPE=$G175)))*(7&gt;ACT_END)*(ACT_END&gt;0)*IFERROR(ACT_POSTLIFT,0))),0)))</f>
        <v/>
      </c>
      <c r="Q175" s="10">
        <f>IF(OR($H175&lt;&gt;"Y",8&lt;$I175),0,IF(SUMPRODUCT(((BULK_ENABLED="Y")*((BULK_TIER="ALL")+(BULK_TIER=$F175))*((BULK_SKU="ALL")+(BULK_SKU=$G175))*(BULK_START&lt;=8)*(BULK_END&gt;=8)))&gt;0,IFERROR(SUMPRODUCT(((BULK_ENABLED="Y")*((BULK_TIER="ALL")+(BULK_TIER=$F175))*((BULK_SKU="ALL")+(BULK_SKU=$G175))*(BULK_START&lt;=8)*(BULK_END&gt;=8))*IFERROR(BULK_VALUE,0))/MAX(1,SUMPRODUCT(((BULK_ENABLED="Y")*((BULK_TIER="ALL")+(BULK_TIER=$F175))*((BULK_SKU="ALL")+(BULK_SKU=$G175))*(BULK_START&lt;=8)*(BULK_END&gt;=8)))),0),ROUND((INDEX(VELOCITY_TABLE,MATCH($F175,TIER_LIST,0),3))*(IF((8-$I175+1)&lt;=0,0,IF((8-$I175+1)=1,RAMP_W1,IF((8-$I175+1)=2,RAMP_W2,IF((8-$I175+1)=3,RAMP_W3,RAMP_W4PLUS)))))*(INDEX(ACTIVE_MULT_TABLE,3,1))*(1+SUMPRODUCT(SIGN(((ACT_DOOR_SCOPE="ALL")+(ACT_DOOR_SCOPE="TIER_"&amp;$F175)+(ACT_DOOR_SCOPE=$B175)))*SIGN(((ACT_SKU_SCOPE="ALL")+(ACT_SKU_SCOPE=$G175)))*(ACT_START&lt;=8)*(ACT_END&gt;=8)*IFERROR(ACT_UPLIFT-1,0)))*(1+SUMPRODUCT(SIGN(((ACT_DOOR_SCOPE="ALL")+(ACT_DOOR_SCOPE="TIER_"&amp;$F175)+(ACT_DOOR_SCOPE=$B175)))*SIGN(((ACT_SKU_SCOPE="ALL")+(ACT_SKU_SCOPE=$G175)))*(8&gt;ACT_END)*(ACT_END&gt;0)*IFERROR(ACT_POSTLIFT,0))),0)))</f>
        <v/>
      </c>
      <c r="R175" s="10">
        <f>IF(OR($H175&lt;&gt;"Y",9&lt;$I175),0,IF(SUMPRODUCT(((BULK_ENABLED="Y")*((BULK_TIER="ALL")+(BULK_TIER=$F175))*((BULK_SKU="ALL")+(BULK_SKU=$G175))*(BULK_START&lt;=9)*(BULK_END&gt;=9)))&gt;0,IFERROR(SUMPRODUCT(((BULK_ENABLED="Y")*((BULK_TIER="ALL")+(BULK_TIER=$F175))*((BULK_SKU="ALL")+(BULK_SKU=$G175))*(BULK_START&lt;=9)*(BULK_END&gt;=9))*IFERROR(BULK_VALUE,0))/MAX(1,SUMPRODUCT(((BULK_ENABLED="Y")*((BULK_TIER="ALL")+(BULK_TIER=$F175))*((BULK_SKU="ALL")+(BULK_SKU=$G175))*(BULK_START&lt;=9)*(BULK_END&gt;=9)))),0),ROUND((INDEX(VELOCITY_TABLE,MATCH($F175,TIER_LIST,0),3))*(IF((9-$I175+1)&lt;=0,0,IF((9-$I175+1)=1,RAMP_W1,IF((9-$I175+1)=2,RAMP_W2,IF((9-$I175+1)=3,RAMP_W3,RAMP_W4PLUS)))))*(INDEX(ACTIVE_MULT_TABLE,3,1))*(1+SUMPRODUCT(SIGN(((ACT_DOOR_SCOPE="ALL")+(ACT_DOOR_SCOPE="TIER_"&amp;$F175)+(ACT_DOOR_SCOPE=$B175)))*SIGN(((ACT_SKU_SCOPE="ALL")+(ACT_SKU_SCOPE=$G175)))*(ACT_START&lt;=9)*(ACT_END&gt;=9)*IFERROR(ACT_UPLIFT-1,0)))*(1+SUMPRODUCT(SIGN(((ACT_DOOR_SCOPE="ALL")+(ACT_DOOR_SCOPE="TIER_"&amp;$F175)+(ACT_DOOR_SCOPE=$B175)))*SIGN(((ACT_SKU_SCOPE="ALL")+(ACT_SKU_SCOPE=$G175)))*(9&gt;ACT_END)*(ACT_END&gt;0)*IFERROR(ACT_POSTLIFT,0))),0)))</f>
        <v/>
      </c>
      <c r="S175" s="10">
        <f>IF(OR($H175&lt;&gt;"Y",10&lt;$I175),0,IF(SUMPRODUCT(((BULK_ENABLED="Y")*((BULK_TIER="ALL")+(BULK_TIER=$F175))*((BULK_SKU="ALL")+(BULK_SKU=$G175))*(BULK_START&lt;=10)*(BULK_END&gt;=10)))&gt;0,IFERROR(SUMPRODUCT(((BULK_ENABLED="Y")*((BULK_TIER="ALL")+(BULK_TIER=$F175))*((BULK_SKU="ALL")+(BULK_SKU=$G175))*(BULK_START&lt;=10)*(BULK_END&gt;=10))*IFERROR(BULK_VALUE,0))/MAX(1,SUMPRODUCT(((BULK_ENABLED="Y")*((BULK_TIER="ALL")+(BULK_TIER=$F175))*((BULK_SKU="ALL")+(BULK_SKU=$G175))*(BULK_START&lt;=10)*(BULK_END&gt;=10)))),0),ROUND((INDEX(VELOCITY_TABLE,MATCH($F175,TIER_LIST,0),3))*(IF((10-$I175+1)&lt;=0,0,IF((10-$I175+1)=1,RAMP_W1,IF((10-$I175+1)=2,RAMP_W2,IF((10-$I175+1)=3,RAMP_W3,RAMP_W4PLUS)))))*(INDEX(ACTIVE_MULT_TABLE,3,1))*(1+SUMPRODUCT(SIGN(((ACT_DOOR_SCOPE="ALL")+(ACT_DOOR_SCOPE="TIER_"&amp;$F175)+(ACT_DOOR_SCOPE=$B175)))*SIGN(((ACT_SKU_SCOPE="ALL")+(ACT_SKU_SCOPE=$G175)))*(ACT_START&lt;=10)*(ACT_END&gt;=10)*IFERROR(ACT_UPLIFT-1,0)))*(1+SUMPRODUCT(SIGN(((ACT_DOOR_SCOPE="ALL")+(ACT_DOOR_SCOPE="TIER_"&amp;$F175)+(ACT_DOOR_SCOPE=$B175)))*SIGN(((ACT_SKU_SCOPE="ALL")+(ACT_SKU_SCOPE=$G175)))*(10&gt;ACT_END)*(ACT_END&gt;0)*IFERROR(ACT_POSTLIFT,0))),0)))</f>
        <v/>
      </c>
      <c r="T175" s="10">
        <f>IF(OR($H175&lt;&gt;"Y",11&lt;$I175),0,IF(SUMPRODUCT(((BULK_ENABLED="Y")*((BULK_TIER="ALL")+(BULK_TIER=$F175))*((BULK_SKU="ALL")+(BULK_SKU=$G175))*(BULK_START&lt;=11)*(BULK_END&gt;=11)))&gt;0,IFERROR(SUMPRODUCT(((BULK_ENABLED="Y")*((BULK_TIER="ALL")+(BULK_TIER=$F175))*((BULK_SKU="ALL")+(BULK_SKU=$G175))*(BULK_START&lt;=11)*(BULK_END&gt;=11))*IFERROR(BULK_VALUE,0))/MAX(1,SUMPRODUCT(((BULK_ENABLED="Y")*((BULK_TIER="ALL")+(BULK_TIER=$F175))*((BULK_SKU="ALL")+(BULK_SKU=$G175))*(BULK_START&lt;=11)*(BULK_END&gt;=11)))),0),ROUND((INDEX(VELOCITY_TABLE,MATCH($F175,TIER_LIST,0),3))*(IF((11-$I175+1)&lt;=0,0,IF((11-$I175+1)=1,RAMP_W1,IF((11-$I175+1)=2,RAMP_W2,IF((11-$I175+1)=3,RAMP_W3,RAMP_W4PLUS)))))*(INDEX(ACTIVE_MULT_TABLE,3,1))*(1+SUMPRODUCT(SIGN(((ACT_DOOR_SCOPE="ALL")+(ACT_DOOR_SCOPE="TIER_"&amp;$F175)+(ACT_DOOR_SCOPE=$B175)))*SIGN(((ACT_SKU_SCOPE="ALL")+(ACT_SKU_SCOPE=$G175)))*(ACT_START&lt;=11)*(ACT_END&gt;=11)*IFERROR(ACT_UPLIFT-1,0)))*(1+SUMPRODUCT(SIGN(((ACT_DOOR_SCOPE="ALL")+(ACT_DOOR_SCOPE="TIER_"&amp;$F175)+(ACT_DOOR_SCOPE=$B175)))*SIGN(((ACT_SKU_SCOPE="ALL")+(ACT_SKU_SCOPE=$G175)))*(11&gt;ACT_END)*(ACT_END&gt;0)*IFERROR(ACT_POSTLIFT,0))),0)))</f>
        <v/>
      </c>
      <c r="U175" s="10">
        <f>IF(OR($H175&lt;&gt;"Y",12&lt;$I175),0,IF(SUMPRODUCT(((BULK_ENABLED="Y")*((BULK_TIER="ALL")+(BULK_TIER=$F175))*((BULK_SKU="ALL")+(BULK_SKU=$G175))*(BULK_START&lt;=12)*(BULK_END&gt;=12)))&gt;0,IFERROR(SUMPRODUCT(((BULK_ENABLED="Y")*((BULK_TIER="ALL")+(BULK_TIER=$F175))*((BULK_SKU="ALL")+(BULK_SKU=$G175))*(BULK_START&lt;=12)*(BULK_END&gt;=12))*IFERROR(BULK_VALUE,0))/MAX(1,SUMPRODUCT(((BULK_ENABLED="Y")*((BULK_TIER="ALL")+(BULK_TIER=$F175))*((BULK_SKU="ALL")+(BULK_SKU=$G175))*(BULK_START&lt;=12)*(BULK_END&gt;=12)))),0),ROUND((INDEX(VELOCITY_TABLE,MATCH($F175,TIER_LIST,0),3))*(IF((12-$I175+1)&lt;=0,0,IF((12-$I175+1)=1,RAMP_W1,IF((12-$I175+1)=2,RAMP_W2,IF((12-$I175+1)=3,RAMP_W3,RAMP_W4PLUS)))))*(INDEX(ACTIVE_MULT_TABLE,3,1))*(1+SUMPRODUCT(SIGN(((ACT_DOOR_SCOPE="ALL")+(ACT_DOOR_SCOPE="TIER_"&amp;$F175)+(ACT_DOOR_SCOPE=$B175)))*SIGN(((ACT_SKU_SCOPE="ALL")+(ACT_SKU_SCOPE=$G175)))*(ACT_START&lt;=12)*(ACT_END&gt;=12)*IFERROR(ACT_UPLIFT-1,0)))*(1+SUMPRODUCT(SIGN(((ACT_DOOR_SCOPE="ALL")+(ACT_DOOR_SCOPE="TIER_"&amp;$F175)+(ACT_DOOR_SCOPE=$B175)))*SIGN(((ACT_SKU_SCOPE="ALL")+(ACT_SKU_SCOPE=$G175)))*(12&gt;ACT_END)*(ACT_END&gt;0)*IFERROR(ACT_POSTLIFT,0))),0)))</f>
        <v/>
      </c>
      <c r="V175" s="10">
        <f>IF(OR($H175&lt;&gt;"Y",13&lt;$I175),0,IF(SUMPRODUCT(((BULK_ENABLED="Y")*((BULK_TIER="ALL")+(BULK_TIER=$F175))*((BULK_SKU="ALL")+(BULK_SKU=$G175))*(BULK_START&lt;=13)*(BULK_END&gt;=13)))&gt;0,IFERROR(SUMPRODUCT(((BULK_ENABLED="Y")*((BULK_TIER="ALL")+(BULK_TIER=$F175))*((BULK_SKU="ALL")+(BULK_SKU=$G175))*(BULK_START&lt;=13)*(BULK_END&gt;=13))*IFERROR(BULK_VALUE,0))/MAX(1,SUMPRODUCT(((BULK_ENABLED="Y")*((BULK_TIER="ALL")+(BULK_TIER=$F175))*((BULK_SKU="ALL")+(BULK_SKU=$G175))*(BULK_START&lt;=13)*(BULK_END&gt;=13)))),0),ROUND((INDEX(VELOCITY_TABLE,MATCH($F175,TIER_LIST,0),3))*(IF((13-$I175+1)&lt;=0,0,IF((13-$I175+1)=1,RAMP_W1,IF((13-$I175+1)=2,RAMP_W2,IF((13-$I175+1)=3,RAMP_W3,RAMP_W4PLUS)))))*(INDEX(ACTIVE_MULT_TABLE,3,1))*(1+SUMPRODUCT(SIGN(((ACT_DOOR_SCOPE="ALL")+(ACT_DOOR_SCOPE="TIER_"&amp;$F175)+(ACT_DOOR_SCOPE=$B175)))*SIGN(((ACT_SKU_SCOPE="ALL")+(ACT_SKU_SCOPE=$G175)))*(ACT_START&lt;=13)*(ACT_END&gt;=13)*IFERROR(ACT_UPLIFT-1,0)))*(1+SUMPRODUCT(SIGN(((ACT_DOOR_SCOPE="ALL")+(ACT_DOOR_SCOPE="TIER_"&amp;$F175)+(ACT_DOOR_SCOPE=$B175)))*SIGN(((ACT_SKU_SCOPE="ALL")+(ACT_SKU_SCOPE=$G175)))*(13&gt;ACT_END)*(ACT_END&gt;0)*IFERROR(ACT_POSTLIFT,0))),0)))</f>
        <v/>
      </c>
    </row>
    <row r="176">
      <c r="A176" t="inlineStr">
        <is>
          <t>R0172</t>
        </is>
      </c>
      <c r="B176">
        <f>Doors!$A$62</f>
        <v/>
      </c>
      <c r="C176">
        <f>Doors!$C$62</f>
        <v/>
      </c>
      <c r="D176">
        <f>Doors!$B$62</f>
        <v/>
      </c>
      <c r="E176">
        <f>Doors!$E$62</f>
        <v/>
      </c>
      <c r="F176">
        <f>Doors!$F$62</f>
        <v/>
      </c>
      <c r="G176" t="inlineStr">
        <is>
          <t>Lime Lemon</t>
        </is>
      </c>
      <c r="H176">
        <f>Doors!$G$62</f>
        <v/>
      </c>
      <c r="I176">
        <f>Doors!$J$62</f>
        <v/>
      </c>
      <c r="J176" s="10">
        <f>IF(OR($H176&lt;&gt;"Y",1&lt;$I176),0,IF(SUMPRODUCT(((BULK_ENABLED="Y")*((BULK_TIER="ALL")+(BULK_TIER=$F176))*((BULK_SKU="ALL")+(BULK_SKU=$G176))*(BULK_START&lt;=1)*(BULK_END&gt;=1)))&gt;0,IFERROR(SUMPRODUCT(((BULK_ENABLED="Y")*((BULK_TIER="ALL")+(BULK_TIER=$F176))*((BULK_SKU="ALL")+(BULK_SKU=$G176))*(BULK_START&lt;=1)*(BULK_END&gt;=1))*IFERROR(BULK_VALUE,0))/MAX(1,SUMPRODUCT(((BULK_ENABLED="Y")*((BULK_TIER="ALL")+(BULK_TIER=$F176))*((BULK_SKU="ALL")+(BULK_SKU=$G176))*(BULK_START&lt;=1)*(BULK_END&gt;=1)))),0),ROUND((INDEX(VELOCITY_TABLE,MATCH($F176,TIER_LIST,0),1))*(IF((1-$I176+1)&lt;=0,0,IF((1-$I176+1)=1,RAMP_W1,IF((1-$I176+1)=2,RAMP_W2,IF((1-$I176+1)=3,RAMP_W3,RAMP_W4PLUS)))))*(INDEX(ACTIVE_MULT_TABLE,1,1))*(1+SUMPRODUCT(SIGN(((ACT_DOOR_SCOPE="ALL")+(ACT_DOOR_SCOPE="TIER_"&amp;$F176)+(ACT_DOOR_SCOPE=$B176)))*SIGN(((ACT_SKU_SCOPE="ALL")+(ACT_SKU_SCOPE=$G176)))*(ACT_START&lt;=1)*(ACT_END&gt;=1)*IFERROR(ACT_UPLIFT-1,0)))*(1+SUMPRODUCT(SIGN(((ACT_DOOR_SCOPE="ALL")+(ACT_DOOR_SCOPE="TIER_"&amp;$F176)+(ACT_DOOR_SCOPE=$B176)))*SIGN(((ACT_SKU_SCOPE="ALL")+(ACT_SKU_SCOPE=$G176)))*(1&gt;ACT_END)*(ACT_END&gt;0)*IFERROR(ACT_POSTLIFT,0))),0)))</f>
        <v/>
      </c>
      <c r="K176" s="10">
        <f>IF(OR($H176&lt;&gt;"Y",2&lt;$I176),0,IF(SUMPRODUCT(((BULK_ENABLED="Y")*((BULK_TIER="ALL")+(BULK_TIER=$F176))*((BULK_SKU="ALL")+(BULK_SKU=$G176))*(BULK_START&lt;=2)*(BULK_END&gt;=2)))&gt;0,IFERROR(SUMPRODUCT(((BULK_ENABLED="Y")*((BULK_TIER="ALL")+(BULK_TIER=$F176))*((BULK_SKU="ALL")+(BULK_SKU=$G176))*(BULK_START&lt;=2)*(BULK_END&gt;=2))*IFERROR(BULK_VALUE,0))/MAX(1,SUMPRODUCT(((BULK_ENABLED="Y")*((BULK_TIER="ALL")+(BULK_TIER=$F176))*((BULK_SKU="ALL")+(BULK_SKU=$G176))*(BULK_START&lt;=2)*(BULK_END&gt;=2)))),0),ROUND((INDEX(VELOCITY_TABLE,MATCH($F176,TIER_LIST,0),1))*(IF((2-$I176+1)&lt;=0,0,IF((2-$I176+1)=1,RAMP_W1,IF((2-$I176+1)=2,RAMP_W2,IF((2-$I176+1)=3,RAMP_W3,RAMP_W4PLUS)))))*(INDEX(ACTIVE_MULT_TABLE,1,1))*(1+SUMPRODUCT(SIGN(((ACT_DOOR_SCOPE="ALL")+(ACT_DOOR_SCOPE="TIER_"&amp;$F176)+(ACT_DOOR_SCOPE=$B176)))*SIGN(((ACT_SKU_SCOPE="ALL")+(ACT_SKU_SCOPE=$G176)))*(ACT_START&lt;=2)*(ACT_END&gt;=2)*IFERROR(ACT_UPLIFT-1,0)))*(1+SUMPRODUCT(SIGN(((ACT_DOOR_SCOPE="ALL")+(ACT_DOOR_SCOPE="TIER_"&amp;$F176)+(ACT_DOOR_SCOPE=$B176)))*SIGN(((ACT_SKU_SCOPE="ALL")+(ACT_SKU_SCOPE=$G176)))*(2&gt;ACT_END)*(ACT_END&gt;0)*IFERROR(ACT_POSTLIFT,0))),0)))</f>
        <v/>
      </c>
      <c r="L176" s="10">
        <f>IF(OR($H176&lt;&gt;"Y",3&lt;$I176),0,IF(SUMPRODUCT(((BULK_ENABLED="Y")*((BULK_TIER="ALL")+(BULK_TIER=$F176))*((BULK_SKU="ALL")+(BULK_SKU=$G176))*(BULK_START&lt;=3)*(BULK_END&gt;=3)))&gt;0,IFERROR(SUMPRODUCT(((BULK_ENABLED="Y")*((BULK_TIER="ALL")+(BULK_TIER=$F176))*((BULK_SKU="ALL")+(BULK_SKU=$G176))*(BULK_START&lt;=3)*(BULK_END&gt;=3))*IFERROR(BULK_VALUE,0))/MAX(1,SUMPRODUCT(((BULK_ENABLED="Y")*((BULK_TIER="ALL")+(BULK_TIER=$F176))*((BULK_SKU="ALL")+(BULK_SKU=$G176))*(BULK_START&lt;=3)*(BULK_END&gt;=3)))),0),ROUND((INDEX(VELOCITY_TABLE,MATCH($F176,TIER_LIST,0),1))*(IF((3-$I176+1)&lt;=0,0,IF((3-$I176+1)=1,RAMP_W1,IF((3-$I176+1)=2,RAMP_W2,IF((3-$I176+1)=3,RAMP_W3,RAMP_W4PLUS)))))*(INDEX(ACTIVE_MULT_TABLE,1,1))*(1+SUMPRODUCT(SIGN(((ACT_DOOR_SCOPE="ALL")+(ACT_DOOR_SCOPE="TIER_"&amp;$F176)+(ACT_DOOR_SCOPE=$B176)))*SIGN(((ACT_SKU_SCOPE="ALL")+(ACT_SKU_SCOPE=$G176)))*(ACT_START&lt;=3)*(ACT_END&gt;=3)*IFERROR(ACT_UPLIFT-1,0)))*(1+SUMPRODUCT(SIGN(((ACT_DOOR_SCOPE="ALL")+(ACT_DOOR_SCOPE="TIER_"&amp;$F176)+(ACT_DOOR_SCOPE=$B176)))*SIGN(((ACT_SKU_SCOPE="ALL")+(ACT_SKU_SCOPE=$G176)))*(3&gt;ACT_END)*(ACT_END&gt;0)*IFERROR(ACT_POSTLIFT,0))),0)))</f>
        <v/>
      </c>
      <c r="M176" s="10">
        <f>IF(OR($H176&lt;&gt;"Y",4&lt;$I176),0,IF(SUMPRODUCT(((BULK_ENABLED="Y")*((BULK_TIER="ALL")+(BULK_TIER=$F176))*((BULK_SKU="ALL")+(BULK_SKU=$G176))*(BULK_START&lt;=4)*(BULK_END&gt;=4)))&gt;0,IFERROR(SUMPRODUCT(((BULK_ENABLED="Y")*((BULK_TIER="ALL")+(BULK_TIER=$F176))*((BULK_SKU="ALL")+(BULK_SKU=$G176))*(BULK_START&lt;=4)*(BULK_END&gt;=4))*IFERROR(BULK_VALUE,0))/MAX(1,SUMPRODUCT(((BULK_ENABLED="Y")*((BULK_TIER="ALL")+(BULK_TIER=$F176))*((BULK_SKU="ALL")+(BULK_SKU=$G176))*(BULK_START&lt;=4)*(BULK_END&gt;=4)))),0),ROUND((INDEX(VELOCITY_TABLE,MATCH($F176,TIER_LIST,0),1))*(IF((4-$I176+1)&lt;=0,0,IF((4-$I176+1)=1,RAMP_W1,IF((4-$I176+1)=2,RAMP_W2,IF((4-$I176+1)=3,RAMP_W3,RAMP_W4PLUS)))))*(INDEX(ACTIVE_MULT_TABLE,1,1))*(1+SUMPRODUCT(SIGN(((ACT_DOOR_SCOPE="ALL")+(ACT_DOOR_SCOPE="TIER_"&amp;$F176)+(ACT_DOOR_SCOPE=$B176)))*SIGN(((ACT_SKU_SCOPE="ALL")+(ACT_SKU_SCOPE=$G176)))*(ACT_START&lt;=4)*(ACT_END&gt;=4)*IFERROR(ACT_UPLIFT-1,0)))*(1+SUMPRODUCT(SIGN(((ACT_DOOR_SCOPE="ALL")+(ACT_DOOR_SCOPE="TIER_"&amp;$F176)+(ACT_DOOR_SCOPE=$B176)))*SIGN(((ACT_SKU_SCOPE="ALL")+(ACT_SKU_SCOPE=$G176)))*(4&gt;ACT_END)*(ACT_END&gt;0)*IFERROR(ACT_POSTLIFT,0))),0)))</f>
        <v/>
      </c>
      <c r="N176" s="10">
        <f>IF(OR($H176&lt;&gt;"Y",5&lt;$I176),0,IF(SUMPRODUCT(((BULK_ENABLED="Y")*((BULK_TIER="ALL")+(BULK_TIER=$F176))*((BULK_SKU="ALL")+(BULK_SKU=$G176))*(BULK_START&lt;=5)*(BULK_END&gt;=5)))&gt;0,IFERROR(SUMPRODUCT(((BULK_ENABLED="Y")*((BULK_TIER="ALL")+(BULK_TIER=$F176))*((BULK_SKU="ALL")+(BULK_SKU=$G176))*(BULK_START&lt;=5)*(BULK_END&gt;=5))*IFERROR(BULK_VALUE,0))/MAX(1,SUMPRODUCT(((BULK_ENABLED="Y")*((BULK_TIER="ALL")+(BULK_TIER=$F176))*((BULK_SKU="ALL")+(BULK_SKU=$G176))*(BULK_START&lt;=5)*(BULK_END&gt;=5)))),0),ROUND((INDEX(VELOCITY_TABLE,MATCH($F176,TIER_LIST,0),1))*(IF((5-$I176+1)&lt;=0,0,IF((5-$I176+1)=1,RAMP_W1,IF((5-$I176+1)=2,RAMP_W2,IF((5-$I176+1)=3,RAMP_W3,RAMP_W4PLUS)))))*(INDEX(ACTIVE_MULT_TABLE,1,1))*(1+SUMPRODUCT(SIGN(((ACT_DOOR_SCOPE="ALL")+(ACT_DOOR_SCOPE="TIER_"&amp;$F176)+(ACT_DOOR_SCOPE=$B176)))*SIGN(((ACT_SKU_SCOPE="ALL")+(ACT_SKU_SCOPE=$G176)))*(ACT_START&lt;=5)*(ACT_END&gt;=5)*IFERROR(ACT_UPLIFT-1,0)))*(1+SUMPRODUCT(SIGN(((ACT_DOOR_SCOPE="ALL")+(ACT_DOOR_SCOPE="TIER_"&amp;$F176)+(ACT_DOOR_SCOPE=$B176)))*SIGN(((ACT_SKU_SCOPE="ALL")+(ACT_SKU_SCOPE=$G176)))*(5&gt;ACT_END)*(ACT_END&gt;0)*IFERROR(ACT_POSTLIFT,0))),0)))</f>
        <v/>
      </c>
      <c r="O176" s="10">
        <f>IF(OR($H176&lt;&gt;"Y",6&lt;$I176),0,IF(SUMPRODUCT(((BULK_ENABLED="Y")*((BULK_TIER="ALL")+(BULK_TIER=$F176))*((BULK_SKU="ALL")+(BULK_SKU=$G176))*(BULK_START&lt;=6)*(BULK_END&gt;=6)))&gt;0,IFERROR(SUMPRODUCT(((BULK_ENABLED="Y")*((BULK_TIER="ALL")+(BULK_TIER=$F176))*((BULK_SKU="ALL")+(BULK_SKU=$G176))*(BULK_START&lt;=6)*(BULK_END&gt;=6))*IFERROR(BULK_VALUE,0))/MAX(1,SUMPRODUCT(((BULK_ENABLED="Y")*((BULK_TIER="ALL")+(BULK_TIER=$F176))*((BULK_SKU="ALL")+(BULK_SKU=$G176))*(BULK_START&lt;=6)*(BULK_END&gt;=6)))),0),ROUND((INDEX(VELOCITY_TABLE,MATCH($F176,TIER_LIST,0),1))*(IF((6-$I176+1)&lt;=0,0,IF((6-$I176+1)=1,RAMP_W1,IF((6-$I176+1)=2,RAMP_W2,IF((6-$I176+1)=3,RAMP_W3,RAMP_W4PLUS)))))*(INDEX(ACTIVE_MULT_TABLE,1,1))*(1+SUMPRODUCT(SIGN(((ACT_DOOR_SCOPE="ALL")+(ACT_DOOR_SCOPE="TIER_"&amp;$F176)+(ACT_DOOR_SCOPE=$B176)))*SIGN(((ACT_SKU_SCOPE="ALL")+(ACT_SKU_SCOPE=$G176)))*(ACT_START&lt;=6)*(ACT_END&gt;=6)*IFERROR(ACT_UPLIFT-1,0)))*(1+SUMPRODUCT(SIGN(((ACT_DOOR_SCOPE="ALL")+(ACT_DOOR_SCOPE="TIER_"&amp;$F176)+(ACT_DOOR_SCOPE=$B176)))*SIGN(((ACT_SKU_SCOPE="ALL")+(ACT_SKU_SCOPE=$G176)))*(6&gt;ACT_END)*(ACT_END&gt;0)*IFERROR(ACT_POSTLIFT,0))),0)))</f>
        <v/>
      </c>
      <c r="P176" s="10">
        <f>IF(OR($H176&lt;&gt;"Y",7&lt;$I176),0,IF(SUMPRODUCT(((BULK_ENABLED="Y")*((BULK_TIER="ALL")+(BULK_TIER=$F176))*((BULK_SKU="ALL")+(BULK_SKU=$G176))*(BULK_START&lt;=7)*(BULK_END&gt;=7)))&gt;0,IFERROR(SUMPRODUCT(((BULK_ENABLED="Y")*((BULK_TIER="ALL")+(BULK_TIER=$F176))*((BULK_SKU="ALL")+(BULK_SKU=$G176))*(BULK_START&lt;=7)*(BULK_END&gt;=7))*IFERROR(BULK_VALUE,0))/MAX(1,SUMPRODUCT(((BULK_ENABLED="Y")*((BULK_TIER="ALL")+(BULK_TIER=$F176))*((BULK_SKU="ALL")+(BULK_SKU=$G176))*(BULK_START&lt;=7)*(BULK_END&gt;=7)))),0),ROUND((INDEX(VELOCITY_TABLE,MATCH($F176,TIER_LIST,0),1))*(IF((7-$I176+1)&lt;=0,0,IF((7-$I176+1)=1,RAMP_W1,IF((7-$I176+1)=2,RAMP_W2,IF((7-$I176+1)=3,RAMP_W3,RAMP_W4PLUS)))))*(INDEX(ACTIVE_MULT_TABLE,1,1))*(1+SUMPRODUCT(SIGN(((ACT_DOOR_SCOPE="ALL")+(ACT_DOOR_SCOPE="TIER_"&amp;$F176)+(ACT_DOOR_SCOPE=$B176)))*SIGN(((ACT_SKU_SCOPE="ALL")+(ACT_SKU_SCOPE=$G176)))*(ACT_START&lt;=7)*(ACT_END&gt;=7)*IFERROR(ACT_UPLIFT-1,0)))*(1+SUMPRODUCT(SIGN(((ACT_DOOR_SCOPE="ALL")+(ACT_DOOR_SCOPE="TIER_"&amp;$F176)+(ACT_DOOR_SCOPE=$B176)))*SIGN(((ACT_SKU_SCOPE="ALL")+(ACT_SKU_SCOPE=$G176)))*(7&gt;ACT_END)*(ACT_END&gt;0)*IFERROR(ACT_POSTLIFT,0))),0)))</f>
        <v/>
      </c>
      <c r="Q176" s="10">
        <f>IF(OR($H176&lt;&gt;"Y",8&lt;$I176),0,IF(SUMPRODUCT(((BULK_ENABLED="Y")*((BULK_TIER="ALL")+(BULK_TIER=$F176))*((BULK_SKU="ALL")+(BULK_SKU=$G176))*(BULK_START&lt;=8)*(BULK_END&gt;=8)))&gt;0,IFERROR(SUMPRODUCT(((BULK_ENABLED="Y")*((BULK_TIER="ALL")+(BULK_TIER=$F176))*((BULK_SKU="ALL")+(BULK_SKU=$G176))*(BULK_START&lt;=8)*(BULK_END&gt;=8))*IFERROR(BULK_VALUE,0))/MAX(1,SUMPRODUCT(((BULK_ENABLED="Y")*((BULK_TIER="ALL")+(BULK_TIER=$F176))*((BULK_SKU="ALL")+(BULK_SKU=$G176))*(BULK_START&lt;=8)*(BULK_END&gt;=8)))),0),ROUND((INDEX(VELOCITY_TABLE,MATCH($F176,TIER_LIST,0),1))*(IF((8-$I176+1)&lt;=0,0,IF((8-$I176+1)=1,RAMP_W1,IF((8-$I176+1)=2,RAMP_W2,IF((8-$I176+1)=3,RAMP_W3,RAMP_W4PLUS)))))*(INDEX(ACTIVE_MULT_TABLE,1,1))*(1+SUMPRODUCT(SIGN(((ACT_DOOR_SCOPE="ALL")+(ACT_DOOR_SCOPE="TIER_"&amp;$F176)+(ACT_DOOR_SCOPE=$B176)))*SIGN(((ACT_SKU_SCOPE="ALL")+(ACT_SKU_SCOPE=$G176)))*(ACT_START&lt;=8)*(ACT_END&gt;=8)*IFERROR(ACT_UPLIFT-1,0)))*(1+SUMPRODUCT(SIGN(((ACT_DOOR_SCOPE="ALL")+(ACT_DOOR_SCOPE="TIER_"&amp;$F176)+(ACT_DOOR_SCOPE=$B176)))*SIGN(((ACT_SKU_SCOPE="ALL")+(ACT_SKU_SCOPE=$G176)))*(8&gt;ACT_END)*(ACT_END&gt;0)*IFERROR(ACT_POSTLIFT,0))),0)))</f>
        <v/>
      </c>
      <c r="R176" s="10">
        <f>IF(OR($H176&lt;&gt;"Y",9&lt;$I176),0,IF(SUMPRODUCT(((BULK_ENABLED="Y")*((BULK_TIER="ALL")+(BULK_TIER=$F176))*((BULK_SKU="ALL")+(BULK_SKU=$G176))*(BULK_START&lt;=9)*(BULK_END&gt;=9)))&gt;0,IFERROR(SUMPRODUCT(((BULK_ENABLED="Y")*((BULK_TIER="ALL")+(BULK_TIER=$F176))*((BULK_SKU="ALL")+(BULK_SKU=$G176))*(BULK_START&lt;=9)*(BULK_END&gt;=9))*IFERROR(BULK_VALUE,0))/MAX(1,SUMPRODUCT(((BULK_ENABLED="Y")*((BULK_TIER="ALL")+(BULK_TIER=$F176))*((BULK_SKU="ALL")+(BULK_SKU=$G176))*(BULK_START&lt;=9)*(BULK_END&gt;=9)))),0),ROUND((INDEX(VELOCITY_TABLE,MATCH($F176,TIER_LIST,0),1))*(IF((9-$I176+1)&lt;=0,0,IF((9-$I176+1)=1,RAMP_W1,IF((9-$I176+1)=2,RAMP_W2,IF((9-$I176+1)=3,RAMP_W3,RAMP_W4PLUS)))))*(INDEX(ACTIVE_MULT_TABLE,1,1))*(1+SUMPRODUCT(SIGN(((ACT_DOOR_SCOPE="ALL")+(ACT_DOOR_SCOPE="TIER_"&amp;$F176)+(ACT_DOOR_SCOPE=$B176)))*SIGN(((ACT_SKU_SCOPE="ALL")+(ACT_SKU_SCOPE=$G176)))*(ACT_START&lt;=9)*(ACT_END&gt;=9)*IFERROR(ACT_UPLIFT-1,0)))*(1+SUMPRODUCT(SIGN(((ACT_DOOR_SCOPE="ALL")+(ACT_DOOR_SCOPE="TIER_"&amp;$F176)+(ACT_DOOR_SCOPE=$B176)))*SIGN(((ACT_SKU_SCOPE="ALL")+(ACT_SKU_SCOPE=$G176)))*(9&gt;ACT_END)*(ACT_END&gt;0)*IFERROR(ACT_POSTLIFT,0))),0)))</f>
        <v/>
      </c>
      <c r="S176" s="10">
        <f>IF(OR($H176&lt;&gt;"Y",10&lt;$I176),0,IF(SUMPRODUCT(((BULK_ENABLED="Y")*((BULK_TIER="ALL")+(BULK_TIER=$F176))*((BULK_SKU="ALL")+(BULK_SKU=$G176))*(BULK_START&lt;=10)*(BULK_END&gt;=10)))&gt;0,IFERROR(SUMPRODUCT(((BULK_ENABLED="Y")*((BULK_TIER="ALL")+(BULK_TIER=$F176))*((BULK_SKU="ALL")+(BULK_SKU=$G176))*(BULK_START&lt;=10)*(BULK_END&gt;=10))*IFERROR(BULK_VALUE,0))/MAX(1,SUMPRODUCT(((BULK_ENABLED="Y")*((BULK_TIER="ALL")+(BULK_TIER=$F176))*((BULK_SKU="ALL")+(BULK_SKU=$G176))*(BULK_START&lt;=10)*(BULK_END&gt;=10)))),0),ROUND((INDEX(VELOCITY_TABLE,MATCH($F176,TIER_LIST,0),1))*(IF((10-$I176+1)&lt;=0,0,IF((10-$I176+1)=1,RAMP_W1,IF((10-$I176+1)=2,RAMP_W2,IF((10-$I176+1)=3,RAMP_W3,RAMP_W4PLUS)))))*(INDEX(ACTIVE_MULT_TABLE,1,1))*(1+SUMPRODUCT(SIGN(((ACT_DOOR_SCOPE="ALL")+(ACT_DOOR_SCOPE="TIER_"&amp;$F176)+(ACT_DOOR_SCOPE=$B176)))*SIGN(((ACT_SKU_SCOPE="ALL")+(ACT_SKU_SCOPE=$G176)))*(ACT_START&lt;=10)*(ACT_END&gt;=10)*IFERROR(ACT_UPLIFT-1,0)))*(1+SUMPRODUCT(SIGN(((ACT_DOOR_SCOPE="ALL")+(ACT_DOOR_SCOPE="TIER_"&amp;$F176)+(ACT_DOOR_SCOPE=$B176)))*SIGN(((ACT_SKU_SCOPE="ALL")+(ACT_SKU_SCOPE=$G176)))*(10&gt;ACT_END)*(ACT_END&gt;0)*IFERROR(ACT_POSTLIFT,0))),0)))</f>
        <v/>
      </c>
      <c r="T176" s="10">
        <f>IF(OR($H176&lt;&gt;"Y",11&lt;$I176),0,IF(SUMPRODUCT(((BULK_ENABLED="Y")*((BULK_TIER="ALL")+(BULK_TIER=$F176))*((BULK_SKU="ALL")+(BULK_SKU=$G176))*(BULK_START&lt;=11)*(BULK_END&gt;=11)))&gt;0,IFERROR(SUMPRODUCT(((BULK_ENABLED="Y")*((BULK_TIER="ALL")+(BULK_TIER=$F176))*((BULK_SKU="ALL")+(BULK_SKU=$G176))*(BULK_START&lt;=11)*(BULK_END&gt;=11))*IFERROR(BULK_VALUE,0))/MAX(1,SUMPRODUCT(((BULK_ENABLED="Y")*((BULK_TIER="ALL")+(BULK_TIER=$F176))*((BULK_SKU="ALL")+(BULK_SKU=$G176))*(BULK_START&lt;=11)*(BULK_END&gt;=11)))),0),ROUND((INDEX(VELOCITY_TABLE,MATCH($F176,TIER_LIST,0),1))*(IF((11-$I176+1)&lt;=0,0,IF((11-$I176+1)=1,RAMP_W1,IF((11-$I176+1)=2,RAMP_W2,IF((11-$I176+1)=3,RAMP_W3,RAMP_W4PLUS)))))*(INDEX(ACTIVE_MULT_TABLE,1,1))*(1+SUMPRODUCT(SIGN(((ACT_DOOR_SCOPE="ALL")+(ACT_DOOR_SCOPE="TIER_"&amp;$F176)+(ACT_DOOR_SCOPE=$B176)))*SIGN(((ACT_SKU_SCOPE="ALL")+(ACT_SKU_SCOPE=$G176)))*(ACT_START&lt;=11)*(ACT_END&gt;=11)*IFERROR(ACT_UPLIFT-1,0)))*(1+SUMPRODUCT(SIGN(((ACT_DOOR_SCOPE="ALL")+(ACT_DOOR_SCOPE="TIER_"&amp;$F176)+(ACT_DOOR_SCOPE=$B176)))*SIGN(((ACT_SKU_SCOPE="ALL")+(ACT_SKU_SCOPE=$G176)))*(11&gt;ACT_END)*(ACT_END&gt;0)*IFERROR(ACT_POSTLIFT,0))),0)))</f>
        <v/>
      </c>
      <c r="U176" s="10">
        <f>IF(OR($H176&lt;&gt;"Y",12&lt;$I176),0,IF(SUMPRODUCT(((BULK_ENABLED="Y")*((BULK_TIER="ALL")+(BULK_TIER=$F176))*((BULK_SKU="ALL")+(BULK_SKU=$G176))*(BULK_START&lt;=12)*(BULK_END&gt;=12)))&gt;0,IFERROR(SUMPRODUCT(((BULK_ENABLED="Y")*((BULK_TIER="ALL")+(BULK_TIER=$F176))*((BULK_SKU="ALL")+(BULK_SKU=$G176))*(BULK_START&lt;=12)*(BULK_END&gt;=12))*IFERROR(BULK_VALUE,0))/MAX(1,SUMPRODUCT(((BULK_ENABLED="Y")*((BULK_TIER="ALL")+(BULK_TIER=$F176))*((BULK_SKU="ALL")+(BULK_SKU=$G176))*(BULK_START&lt;=12)*(BULK_END&gt;=12)))),0),ROUND((INDEX(VELOCITY_TABLE,MATCH($F176,TIER_LIST,0),1))*(IF((12-$I176+1)&lt;=0,0,IF((12-$I176+1)=1,RAMP_W1,IF((12-$I176+1)=2,RAMP_W2,IF((12-$I176+1)=3,RAMP_W3,RAMP_W4PLUS)))))*(INDEX(ACTIVE_MULT_TABLE,1,1))*(1+SUMPRODUCT(SIGN(((ACT_DOOR_SCOPE="ALL")+(ACT_DOOR_SCOPE="TIER_"&amp;$F176)+(ACT_DOOR_SCOPE=$B176)))*SIGN(((ACT_SKU_SCOPE="ALL")+(ACT_SKU_SCOPE=$G176)))*(ACT_START&lt;=12)*(ACT_END&gt;=12)*IFERROR(ACT_UPLIFT-1,0)))*(1+SUMPRODUCT(SIGN(((ACT_DOOR_SCOPE="ALL")+(ACT_DOOR_SCOPE="TIER_"&amp;$F176)+(ACT_DOOR_SCOPE=$B176)))*SIGN(((ACT_SKU_SCOPE="ALL")+(ACT_SKU_SCOPE=$G176)))*(12&gt;ACT_END)*(ACT_END&gt;0)*IFERROR(ACT_POSTLIFT,0))),0)))</f>
        <v/>
      </c>
      <c r="V176" s="10">
        <f>IF(OR($H176&lt;&gt;"Y",13&lt;$I176),0,IF(SUMPRODUCT(((BULK_ENABLED="Y")*((BULK_TIER="ALL")+(BULK_TIER=$F176))*((BULK_SKU="ALL")+(BULK_SKU=$G176))*(BULK_START&lt;=13)*(BULK_END&gt;=13)))&gt;0,IFERROR(SUMPRODUCT(((BULK_ENABLED="Y")*((BULK_TIER="ALL")+(BULK_TIER=$F176))*((BULK_SKU="ALL")+(BULK_SKU=$G176))*(BULK_START&lt;=13)*(BULK_END&gt;=13))*IFERROR(BULK_VALUE,0))/MAX(1,SUMPRODUCT(((BULK_ENABLED="Y")*((BULK_TIER="ALL")+(BULK_TIER=$F176))*((BULK_SKU="ALL")+(BULK_SKU=$G176))*(BULK_START&lt;=13)*(BULK_END&gt;=13)))),0),ROUND((INDEX(VELOCITY_TABLE,MATCH($F176,TIER_LIST,0),1))*(IF((13-$I176+1)&lt;=0,0,IF((13-$I176+1)=1,RAMP_W1,IF((13-$I176+1)=2,RAMP_W2,IF((13-$I176+1)=3,RAMP_W3,RAMP_W4PLUS)))))*(INDEX(ACTIVE_MULT_TABLE,1,1))*(1+SUMPRODUCT(SIGN(((ACT_DOOR_SCOPE="ALL")+(ACT_DOOR_SCOPE="TIER_"&amp;$F176)+(ACT_DOOR_SCOPE=$B176)))*SIGN(((ACT_SKU_SCOPE="ALL")+(ACT_SKU_SCOPE=$G176)))*(ACT_START&lt;=13)*(ACT_END&gt;=13)*IFERROR(ACT_UPLIFT-1,0)))*(1+SUMPRODUCT(SIGN(((ACT_DOOR_SCOPE="ALL")+(ACT_DOOR_SCOPE="TIER_"&amp;$F176)+(ACT_DOOR_SCOPE=$B176)))*SIGN(((ACT_SKU_SCOPE="ALL")+(ACT_SKU_SCOPE=$G176)))*(13&gt;ACT_END)*(ACT_END&gt;0)*IFERROR(ACT_POSTLIFT,0))),0)))</f>
        <v/>
      </c>
    </row>
    <row r="177">
      <c r="A177" t="inlineStr">
        <is>
          <t>R0173</t>
        </is>
      </c>
      <c r="B177">
        <f>Doors!$A$62</f>
        <v/>
      </c>
      <c r="C177">
        <f>Doors!$C$62</f>
        <v/>
      </c>
      <c r="D177">
        <f>Doors!$B$62</f>
        <v/>
      </c>
      <c r="E177">
        <f>Doors!$E$62</f>
        <v/>
      </c>
      <c r="F177">
        <f>Doors!$F$62</f>
        <v/>
      </c>
      <c r="G177" t="inlineStr">
        <is>
          <t>Pineapple Passion Fruit</t>
        </is>
      </c>
      <c r="H177">
        <f>Doors!$H$62</f>
        <v/>
      </c>
      <c r="I177">
        <f>Doors!$J$62</f>
        <v/>
      </c>
      <c r="J177" s="10">
        <f>IF(OR($H177&lt;&gt;"Y",1&lt;$I177),0,IF(SUMPRODUCT(((BULK_ENABLED="Y")*((BULK_TIER="ALL")+(BULK_TIER=$F177))*((BULK_SKU="ALL")+(BULK_SKU=$G177))*(BULK_START&lt;=1)*(BULK_END&gt;=1)))&gt;0,IFERROR(SUMPRODUCT(((BULK_ENABLED="Y")*((BULK_TIER="ALL")+(BULK_TIER=$F177))*((BULK_SKU="ALL")+(BULK_SKU=$G177))*(BULK_START&lt;=1)*(BULK_END&gt;=1))*IFERROR(BULK_VALUE,0))/MAX(1,SUMPRODUCT(((BULK_ENABLED="Y")*((BULK_TIER="ALL")+(BULK_TIER=$F177))*((BULK_SKU="ALL")+(BULK_SKU=$G177))*(BULK_START&lt;=1)*(BULK_END&gt;=1)))),0),ROUND((INDEX(VELOCITY_TABLE,MATCH($F177,TIER_LIST,0),2))*(IF((1-$I177+1)&lt;=0,0,IF((1-$I177+1)=1,RAMP_W1,IF((1-$I177+1)=2,RAMP_W2,IF((1-$I177+1)=3,RAMP_W3,RAMP_W4PLUS)))))*(INDEX(ACTIVE_MULT_TABLE,2,1))*(1+SUMPRODUCT(SIGN(((ACT_DOOR_SCOPE="ALL")+(ACT_DOOR_SCOPE="TIER_"&amp;$F177)+(ACT_DOOR_SCOPE=$B177)))*SIGN(((ACT_SKU_SCOPE="ALL")+(ACT_SKU_SCOPE=$G177)))*(ACT_START&lt;=1)*(ACT_END&gt;=1)*IFERROR(ACT_UPLIFT-1,0)))*(1+SUMPRODUCT(SIGN(((ACT_DOOR_SCOPE="ALL")+(ACT_DOOR_SCOPE="TIER_"&amp;$F177)+(ACT_DOOR_SCOPE=$B177)))*SIGN(((ACT_SKU_SCOPE="ALL")+(ACT_SKU_SCOPE=$G177)))*(1&gt;ACT_END)*(ACT_END&gt;0)*IFERROR(ACT_POSTLIFT,0))),0)))</f>
        <v/>
      </c>
      <c r="K177" s="10">
        <f>IF(OR($H177&lt;&gt;"Y",2&lt;$I177),0,IF(SUMPRODUCT(((BULK_ENABLED="Y")*((BULK_TIER="ALL")+(BULK_TIER=$F177))*((BULK_SKU="ALL")+(BULK_SKU=$G177))*(BULK_START&lt;=2)*(BULK_END&gt;=2)))&gt;0,IFERROR(SUMPRODUCT(((BULK_ENABLED="Y")*((BULK_TIER="ALL")+(BULK_TIER=$F177))*((BULK_SKU="ALL")+(BULK_SKU=$G177))*(BULK_START&lt;=2)*(BULK_END&gt;=2))*IFERROR(BULK_VALUE,0))/MAX(1,SUMPRODUCT(((BULK_ENABLED="Y")*((BULK_TIER="ALL")+(BULK_TIER=$F177))*((BULK_SKU="ALL")+(BULK_SKU=$G177))*(BULK_START&lt;=2)*(BULK_END&gt;=2)))),0),ROUND((INDEX(VELOCITY_TABLE,MATCH($F177,TIER_LIST,0),2))*(IF((2-$I177+1)&lt;=0,0,IF((2-$I177+1)=1,RAMP_W1,IF((2-$I177+1)=2,RAMP_W2,IF((2-$I177+1)=3,RAMP_W3,RAMP_W4PLUS)))))*(INDEX(ACTIVE_MULT_TABLE,2,1))*(1+SUMPRODUCT(SIGN(((ACT_DOOR_SCOPE="ALL")+(ACT_DOOR_SCOPE="TIER_"&amp;$F177)+(ACT_DOOR_SCOPE=$B177)))*SIGN(((ACT_SKU_SCOPE="ALL")+(ACT_SKU_SCOPE=$G177)))*(ACT_START&lt;=2)*(ACT_END&gt;=2)*IFERROR(ACT_UPLIFT-1,0)))*(1+SUMPRODUCT(SIGN(((ACT_DOOR_SCOPE="ALL")+(ACT_DOOR_SCOPE="TIER_"&amp;$F177)+(ACT_DOOR_SCOPE=$B177)))*SIGN(((ACT_SKU_SCOPE="ALL")+(ACT_SKU_SCOPE=$G177)))*(2&gt;ACT_END)*(ACT_END&gt;0)*IFERROR(ACT_POSTLIFT,0))),0)))</f>
        <v/>
      </c>
      <c r="L177" s="10">
        <f>IF(OR($H177&lt;&gt;"Y",3&lt;$I177),0,IF(SUMPRODUCT(((BULK_ENABLED="Y")*((BULK_TIER="ALL")+(BULK_TIER=$F177))*((BULK_SKU="ALL")+(BULK_SKU=$G177))*(BULK_START&lt;=3)*(BULK_END&gt;=3)))&gt;0,IFERROR(SUMPRODUCT(((BULK_ENABLED="Y")*((BULK_TIER="ALL")+(BULK_TIER=$F177))*((BULK_SKU="ALL")+(BULK_SKU=$G177))*(BULK_START&lt;=3)*(BULK_END&gt;=3))*IFERROR(BULK_VALUE,0))/MAX(1,SUMPRODUCT(((BULK_ENABLED="Y")*((BULK_TIER="ALL")+(BULK_TIER=$F177))*((BULK_SKU="ALL")+(BULK_SKU=$G177))*(BULK_START&lt;=3)*(BULK_END&gt;=3)))),0),ROUND((INDEX(VELOCITY_TABLE,MATCH($F177,TIER_LIST,0),2))*(IF((3-$I177+1)&lt;=0,0,IF((3-$I177+1)=1,RAMP_W1,IF((3-$I177+1)=2,RAMP_W2,IF((3-$I177+1)=3,RAMP_W3,RAMP_W4PLUS)))))*(INDEX(ACTIVE_MULT_TABLE,2,1))*(1+SUMPRODUCT(SIGN(((ACT_DOOR_SCOPE="ALL")+(ACT_DOOR_SCOPE="TIER_"&amp;$F177)+(ACT_DOOR_SCOPE=$B177)))*SIGN(((ACT_SKU_SCOPE="ALL")+(ACT_SKU_SCOPE=$G177)))*(ACT_START&lt;=3)*(ACT_END&gt;=3)*IFERROR(ACT_UPLIFT-1,0)))*(1+SUMPRODUCT(SIGN(((ACT_DOOR_SCOPE="ALL")+(ACT_DOOR_SCOPE="TIER_"&amp;$F177)+(ACT_DOOR_SCOPE=$B177)))*SIGN(((ACT_SKU_SCOPE="ALL")+(ACT_SKU_SCOPE=$G177)))*(3&gt;ACT_END)*(ACT_END&gt;0)*IFERROR(ACT_POSTLIFT,0))),0)))</f>
        <v/>
      </c>
      <c r="M177" s="10">
        <f>IF(OR($H177&lt;&gt;"Y",4&lt;$I177),0,IF(SUMPRODUCT(((BULK_ENABLED="Y")*((BULK_TIER="ALL")+(BULK_TIER=$F177))*((BULK_SKU="ALL")+(BULK_SKU=$G177))*(BULK_START&lt;=4)*(BULK_END&gt;=4)))&gt;0,IFERROR(SUMPRODUCT(((BULK_ENABLED="Y")*((BULK_TIER="ALL")+(BULK_TIER=$F177))*((BULK_SKU="ALL")+(BULK_SKU=$G177))*(BULK_START&lt;=4)*(BULK_END&gt;=4))*IFERROR(BULK_VALUE,0))/MAX(1,SUMPRODUCT(((BULK_ENABLED="Y")*((BULK_TIER="ALL")+(BULK_TIER=$F177))*((BULK_SKU="ALL")+(BULK_SKU=$G177))*(BULK_START&lt;=4)*(BULK_END&gt;=4)))),0),ROUND((INDEX(VELOCITY_TABLE,MATCH($F177,TIER_LIST,0),2))*(IF((4-$I177+1)&lt;=0,0,IF((4-$I177+1)=1,RAMP_W1,IF((4-$I177+1)=2,RAMP_W2,IF((4-$I177+1)=3,RAMP_W3,RAMP_W4PLUS)))))*(INDEX(ACTIVE_MULT_TABLE,2,1))*(1+SUMPRODUCT(SIGN(((ACT_DOOR_SCOPE="ALL")+(ACT_DOOR_SCOPE="TIER_"&amp;$F177)+(ACT_DOOR_SCOPE=$B177)))*SIGN(((ACT_SKU_SCOPE="ALL")+(ACT_SKU_SCOPE=$G177)))*(ACT_START&lt;=4)*(ACT_END&gt;=4)*IFERROR(ACT_UPLIFT-1,0)))*(1+SUMPRODUCT(SIGN(((ACT_DOOR_SCOPE="ALL")+(ACT_DOOR_SCOPE="TIER_"&amp;$F177)+(ACT_DOOR_SCOPE=$B177)))*SIGN(((ACT_SKU_SCOPE="ALL")+(ACT_SKU_SCOPE=$G177)))*(4&gt;ACT_END)*(ACT_END&gt;0)*IFERROR(ACT_POSTLIFT,0))),0)))</f>
        <v/>
      </c>
      <c r="N177" s="10">
        <f>IF(OR($H177&lt;&gt;"Y",5&lt;$I177),0,IF(SUMPRODUCT(((BULK_ENABLED="Y")*((BULK_TIER="ALL")+(BULK_TIER=$F177))*((BULK_SKU="ALL")+(BULK_SKU=$G177))*(BULK_START&lt;=5)*(BULK_END&gt;=5)))&gt;0,IFERROR(SUMPRODUCT(((BULK_ENABLED="Y")*((BULK_TIER="ALL")+(BULK_TIER=$F177))*((BULK_SKU="ALL")+(BULK_SKU=$G177))*(BULK_START&lt;=5)*(BULK_END&gt;=5))*IFERROR(BULK_VALUE,0))/MAX(1,SUMPRODUCT(((BULK_ENABLED="Y")*((BULK_TIER="ALL")+(BULK_TIER=$F177))*((BULK_SKU="ALL")+(BULK_SKU=$G177))*(BULK_START&lt;=5)*(BULK_END&gt;=5)))),0),ROUND((INDEX(VELOCITY_TABLE,MATCH($F177,TIER_LIST,0),2))*(IF((5-$I177+1)&lt;=0,0,IF((5-$I177+1)=1,RAMP_W1,IF((5-$I177+1)=2,RAMP_W2,IF((5-$I177+1)=3,RAMP_W3,RAMP_W4PLUS)))))*(INDEX(ACTIVE_MULT_TABLE,2,1))*(1+SUMPRODUCT(SIGN(((ACT_DOOR_SCOPE="ALL")+(ACT_DOOR_SCOPE="TIER_"&amp;$F177)+(ACT_DOOR_SCOPE=$B177)))*SIGN(((ACT_SKU_SCOPE="ALL")+(ACT_SKU_SCOPE=$G177)))*(ACT_START&lt;=5)*(ACT_END&gt;=5)*IFERROR(ACT_UPLIFT-1,0)))*(1+SUMPRODUCT(SIGN(((ACT_DOOR_SCOPE="ALL")+(ACT_DOOR_SCOPE="TIER_"&amp;$F177)+(ACT_DOOR_SCOPE=$B177)))*SIGN(((ACT_SKU_SCOPE="ALL")+(ACT_SKU_SCOPE=$G177)))*(5&gt;ACT_END)*(ACT_END&gt;0)*IFERROR(ACT_POSTLIFT,0))),0)))</f>
        <v/>
      </c>
      <c r="O177" s="10">
        <f>IF(OR($H177&lt;&gt;"Y",6&lt;$I177),0,IF(SUMPRODUCT(((BULK_ENABLED="Y")*((BULK_TIER="ALL")+(BULK_TIER=$F177))*((BULK_SKU="ALL")+(BULK_SKU=$G177))*(BULK_START&lt;=6)*(BULK_END&gt;=6)))&gt;0,IFERROR(SUMPRODUCT(((BULK_ENABLED="Y")*((BULK_TIER="ALL")+(BULK_TIER=$F177))*((BULK_SKU="ALL")+(BULK_SKU=$G177))*(BULK_START&lt;=6)*(BULK_END&gt;=6))*IFERROR(BULK_VALUE,0))/MAX(1,SUMPRODUCT(((BULK_ENABLED="Y")*((BULK_TIER="ALL")+(BULK_TIER=$F177))*((BULK_SKU="ALL")+(BULK_SKU=$G177))*(BULK_START&lt;=6)*(BULK_END&gt;=6)))),0),ROUND((INDEX(VELOCITY_TABLE,MATCH($F177,TIER_LIST,0),2))*(IF((6-$I177+1)&lt;=0,0,IF((6-$I177+1)=1,RAMP_W1,IF((6-$I177+1)=2,RAMP_W2,IF((6-$I177+1)=3,RAMP_W3,RAMP_W4PLUS)))))*(INDEX(ACTIVE_MULT_TABLE,2,1))*(1+SUMPRODUCT(SIGN(((ACT_DOOR_SCOPE="ALL")+(ACT_DOOR_SCOPE="TIER_"&amp;$F177)+(ACT_DOOR_SCOPE=$B177)))*SIGN(((ACT_SKU_SCOPE="ALL")+(ACT_SKU_SCOPE=$G177)))*(ACT_START&lt;=6)*(ACT_END&gt;=6)*IFERROR(ACT_UPLIFT-1,0)))*(1+SUMPRODUCT(SIGN(((ACT_DOOR_SCOPE="ALL")+(ACT_DOOR_SCOPE="TIER_"&amp;$F177)+(ACT_DOOR_SCOPE=$B177)))*SIGN(((ACT_SKU_SCOPE="ALL")+(ACT_SKU_SCOPE=$G177)))*(6&gt;ACT_END)*(ACT_END&gt;0)*IFERROR(ACT_POSTLIFT,0))),0)))</f>
        <v/>
      </c>
      <c r="P177" s="10">
        <f>IF(OR($H177&lt;&gt;"Y",7&lt;$I177),0,IF(SUMPRODUCT(((BULK_ENABLED="Y")*((BULK_TIER="ALL")+(BULK_TIER=$F177))*((BULK_SKU="ALL")+(BULK_SKU=$G177))*(BULK_START&lt;=7)*(BULK_END&gt;=7)))&gt;0,IFERROR(SUMPRODUCT(((BULK_ENABLED="Y")*((BULK_TIER="ALL")+(BULK_TIER=$F177))*((BULK_SKU="ALL")+(BULK_SKU=$G177))*(BULK_START&lt;=7)*(BULK_END&gt;=7))*IFERROR(BULK_VALUE,0))/MAX(1,SUMPRODUCT(((BULK_ENABLED="Y")*((BULK_TIER="ALL")+(BULK_TIER=$F177))*((BULK_SKU="ALL")+(BULK_SKU=$G177))*(BULK_START&lt;=7)*(BULK_END&gt;=7)))),0),ROUND((INDEX(VELOCITY_TABLE,MATCH($F177,TIER_LIST,0),2))*(IF((7-$I177+1)&lt;=0,0,IF((7-$I177+1)=1,RAMP_W1,IF((7-$I177+1)=2,RAMP_W2,IF((7-$I177+1)=3,RAMP_W3,RAMP_W4PLUS)))))*(INDEX(ACTIVE_MULT_TABLE,2,1))*(1+SUMPRODUCT(SIGN(((ACT_DOOR_SCOPE="ALL")+(ACT_DOOR_SCOPE="TIER_"&amp;$F177)+(ACT_DOOR_SCOPE=$B177)))*SIGN(((ACT_SKU_SCOPE="ALL")+(ACT_SKU_SCOPE=$G177)))*(ACT_START&lt;=7)*(ACT_END&gt;=7)*IFERROR(ACT_UPLIFT-1,0)))*(1+SUMPRODUCT(SIGN(((ACT_DOOR_SCOPE="ALL")+(ACT_DOOR_SCOPE="TIER_"&amp;$F177)+(ACT_DOOR_SCOPE=$B177)))*SIGN(((ACT_SKU_SCOPE="ALL")+(ACT_SKU_SCOPE=$G177)))*(7&gt;ACT_END)*(ACT_END&gt;0)*IFERROR(ACT_POSTLIFT,0))),0)))</f>
        <v/>
      </c>
      <c r="Q177" s="10">
        <f>IF(OR($H177&lt;&gt;"Y",8&lt;$I177),0,IF(SUMPRODUCT(((BULK_ENABLED="Y")*((BULK_TIER="ALL")+(BULK_TIER=$F177))*((BULK_SKU="ALL")+(BULK_SKU=$G177))*(BULK_START&lt;=8)*(BULK_END&gt;=8)))&gt;0,IFERROR(SUMPRODUCT(((BULK_ENABLED="Y")*((BULK_TIER="ALL")+(BULK_TIER=$F177))*((BULK_SKU="ALL")+(BULK_SKU=$G177))*(BULK_START&lt;=8)*(BULK_END&gt;=8))*IFERROR(BULK_VALUE,0))/MAX(1,SUMPRODUCT(((BULK_ENABLED="Y")*((BULK_TIER="ALL")+(BULK_TIER=$F177))*((BULK_SKU="ALL")+(BULK_SKU=$G177))*(BULK_START&lt;=8)*(BULK_END&gt;=8)))),0),ROUND((INDEX(VELOCITY_TABLE,MATCH($F177,TIER_LIST,0),2))*(IF((8-$I177+1)&lt;=0,0,IF((8-$I177+1)=1,RAMP_W1,IF((8-$I177+1)=2,RAMP_W2,IF((8-$I177+1)=3,RAMP_W3,RAMP_W4PLUS)))))*(INDEX(ACTIVE_MULT_TABLE,2,1))*(1+SUMPRODUCT(SIGN(((ACT_DOOR_SCOPE="ALL")+(ACT_DOOR_SCOPE="TIER_"&amp;$F177)+(ACT_DOOR_SCOPE=$B177)))*SIGN(((ACT_SKU_SCOPE="ALL")+(ACT_SKU_SCOPE=$G177)))*(ACT_START&lt;=8)*(ACT_END&gt;=8)*IFERROR(ACT_UPLIFT-1,0)))*(1+SUMPRODUCT(SIGN(((ACT_DOOR_SCOPE="ALL")+(ACT_DOOR_SCOPE="TIER_"&amp;$F177)+(ACT_DOOR_SCOPE=$B177)))*SIGN(((ACT_SKU_SCOPE="ALL")+(ACT_SKU_SCOPE=$G177)))*(8&gt;ACT_END)*(ACT_END&gt;0)*IFERROR(ACT_POSTLIFT,0))),0)))</f>
        <v/>
      </c>
      <c r="R177" s="10">
        <f>IF(OR($H177&lt;&gt;"Y",9&lt;$I177),0,IF(SUMPRODUCT(((BULK_ENABLED="Y")*((BULK_TIER="ALL")+(BULK_TIER=$F177))*((BULK_SKU="ALL")+(BULK_SKU=$G177))*(BULK_START&lt;=9)*(BULK_END&gt;=9)))&gt;0,IFERROR(SUMPRODUCT(((BULK_ENABLED="Y")*((BULK_TIER="ALL")+(BULK_TIER=$F177))*((BULK_SKU="ALL")+(BULK_SKU=$G177))*(BULK_START&lt;=9)*(BULK_END&gt;=9))*IFERROR(BULK_VALUE,0))/MAX(1,SUMPRODUCT(((BULK_ENABLED="Y")*((BULK_TIER="ALL")+(BULK_TIER=$F177))*((BULK_SKU="ALL")+(BULK_SKU=$G177))*(BULK_START&lt;=9)*(BULK_END&gt;=9)))),0),ROUND((INDEX(VELOCITY_TABLE,MATCH($F177,TIER_LIST,0),2))*(IF((9-$I177+1)&lt;=0,0,IF((9-$I177+1)=1,RAMP_W1,IF((9-$I177+1)=2,RAMP_W2,IF((9-$I177+1)=3,RAMP_W3,RAMP_W4PLUS)))))*(INDEX(ACTIVE_MULT_TABLE,2,1))*(1+SUMPRODUCT(SIGN(((ACT_DOOR_SCOPE="ALL")+(ACT_DOOR_SCOPE="TIER_"&amp;$F177)+(ACT_DOOR_SCOPE=$B177)))*SIGN(((ACT_SKU_SCOPE="ALL")+(ACT_SKU_SCOPE=$G177)))*(ACT_START&lt;=9)*(ACT_END&gt;=9)*IFERROR(ACT_UPLIFT-1,0)))*(1+SUMPRODUCT(SIGN(((ACT_DOOR_SCOPE="ALL")+(ACT_DOOR_SCOPE="TIER_"&amp;$F177)+(ACT_DOOR_SCOPE=$B177)))*SIGN(((ACT_SKU_SCOPE="ALL")+(ACT_SKU_SCOPE=$G177)))*(9&gt;ACT_END)*(ACT_END&gt;0)*IFERROR(ACT_POSTLIFT,0))),0)))</f>
        <v/>
      </c>
      <c r="S177" s="10">
        <f>IF(OR($H177&lt;&gt;"Y",10&lt;$I177),0,IF(SUMPRODUCT(((BULK_ENABLED="Y")*((BULK_TIER="ALL")+(BULK_TIER=$F177))*((BULK_SKU="ALL")+(BULK_SKU=$G177))*(BULK_START&lt;=10)*(BULK_END&gt;=10)))&gt;0,IFERROR(SUMPRODUCT(((BULK_ENABLED="Y")*((BULK_TIER="ALL")+(BULK_TIER=$F177))*((BULK_SKU="ALL")+(BULK_SKU=$G177))*(BULK_START&lt;=10)*(BULK_END&gt;=10))*IFERROR(BULK_VALUE,0))/MAX(1,SUMPRODUCT(((BULK_ENABLED="Y")*((BULK_TIER="ALL")+(BULK_TIER=$F177))*((BULK_SKU="ALL")+(BULK_SKU=$G177))*(BULK_START&lt;=10)*(BULK_END&gt;=10)))),0),ROUND((INDEX(VELOCITY_TABLE,MATCH($F177,TIER_LIST,0),2))*(IF((10-$I177+1)&lt;=0,0,IF((10-$I177+1)=1,RAMP_W1,IF((10-$I177+1)=2,RAMP_W2,IF((10-$I177+1)=3,RAMP_W3,RAMP_W4PLUS)))))*(INDEX(ACTIVE_MULT_TABLE,2,1))*(1+SUMPRODUCT(SIGN(((ACT_DOOR_SCOPE="ALL")+(ACT_DOOR_SCOPE="TIER_"&amp;$F177)+(ACT_DOOR_SCOPE=$B177)))*SIGN(((ACT_SKU_SCOPE="ALL")+(ACT_SKU_SCOPE=$G177)))*(ACT_START&lt;=10)*(ACT_END&gt;=10)*IFERROR(ACT_UPLIFT-1,0)))*(1+SUMPRODUCT(SIGN(((ACT_DOOR_SCOPE="ALL")+(ACT_DOOR_SCOPE="TIER_"&amp;$F177)+(ACT_DOOR_SCOPE=$B177)))*SIGN(((ACT_SKU_SCOPE="ALL")+(ACT_SKU_SCOPE=$G177)))*(10&gt;ACT_END)*(ACT_END&gt;0)*IFERROR(ACT_POSTLIFT,0))),0)))</f>
        <v/>
      </c>
      <c r="T177" s="10">
        <f>IF(OR($H177&lt;&gt;"Y",11&lt;$I177),0,IF(SUMPRODUCT(((BULK_ENABLED="Y")*((BULK_TIER="ALL")+(BULK_TIER=$F177))*((BULK_SKU="ALL")+(BULK_SKU=$G177))*(BULK_START&lt;=11)*(BULK_END&gt;=11)))&gt;0,IFERROR(SUMPRODUCT(((BULK_ENABLED="Y")*((BULK_TIER="ALL")+(BULK_TIER=$F177))*((BULK_SKU="ALL")+(BULK_SKU=$G177))*(BULK_START&lt;=11)*(BULK_END&gt;=11))*IFERROR(BULK_VALUE,0))/MAX(1,SUMPRODUCT(((BULK_ENABLED="Y")*((BULK_TIER="ALL")+(BULK_TIER=$F177))*((BULK_SKU="ALL")+(BULK_SKU=$G177))*(BULK_START&lt;=11)*(BULK_END&gt;=11)))),0),ROUND((INDEX(VELOCITY_TABLE,MATCH($F177,TIER_LIST,0),2))*(IF((11-$I177+1)&lt;=0,0,IF((11-$I177+1)=1,RAMP_W1,IF((11-$I177+1)=2,RAMP_W2,IF((11-$I177+1)=3,RAMP_W3,RAMP_W4PLUS)))))*(INDEX(ACTIVE_MULT_TABLE,2,1))*(1+SUMPRODUCT(SIGN(((ACT_DOOR_SCOPE="ALL")+(ACT_DOOR_SCOPE="TIER_"&amp;$F177)+(ACT_DOOR_SCOPE=$B177)))*SIGN(((ACT_SKU_SCOPE="ALL")+(ACT_SKU_SCOPE=$G177)))*(ACT_START&lt;=11)*(ACT_END&gt;=11)*IFERROR(ACT_UPLIFT-1,0)))*(1+SUMPRODUCT(SIGN(((ACT_DOOR_SCOPE="ALL")+(ACT_DOOR_SCOPE="TIER_"&amp;$F177)+(ACT_DOOR_SCOPE=$B177)))*SIGN(((ACT_SKU_SCOPE="ALL")+(ACT_SKU_SCOPE=$G177)))*(11&gt;ACT_END)*(ACT_END&gt;0)*IFERROR(ACT_POSTLIFT,0))),0)))</f>
        <v/>
      </c>
      <c r="U177" s="10">
        <f>IF(OR($H177&lt;&gt;"Y",12&lt;$I177),0,IF(SUMPRODUCT(((BULK_ENABLED="Y")*((BULK_TIER="ALL")+(BULK_TIER=$F177))*((BULK_SKU="ALL")+(BULK_SKU=$G177))*(BULK_START&lt;=12)*(BULK_END&gt;=12)))&gt;0,IFERROR(SUMPRODUCT(((BULK_ENABLED="Y")*((BULK_TIER="ALL")+(BULK_TIER=$F177))*((BULK_SKU="ALL")+(BULK_SKU=$G177))*(BULK_START&lt;=12)*(BULK_END&gt;=12))*IFERROR(BULK_VALUE,0))/MAX(1,SUMPRODUCT(((BULK_ENABLED="Y")*((BULK_TIER="ALL")+(BULK_TIER=$F177))*((BULK_SKU="ALL")+(BULK_SKU=$G177))*(BULK_START&lt;=12)*(BULK_END&gt;=12)))),0),ROUND((INDEX(VELOCITY_TABLE,MATCH($F177,TIER_LIST,0),2))*(IF((12-$I177+1)&lt;=0,0,IF((12-$I177+1)=1,RAMP_W1,IF((12-$I177+1)=2,RAMP_W2,IF((12-$I177+1)=3,RAMP_W3,RAMP_W4PLUS)))))*(INDEX(ACTIVE_MULT_TABLE,2,1))*(1+SUMPRODUCT(SIGN(((ACT_DOOR_SCOPE="ALL")+(ACT_DOOR_SCOPE="TIER_"&amp;$F177)+(ACT_DOOR_SCOPE=$B177)))*SIGN(((ACT_SKU_SCOPE="ALL")+(ACT_SKU_SCOPE=$G177)))*(ACT_START&lt;=12)*(ACT_END&gt;=12)*IFERROR(ACT_UPLIFT-1,0)))*(1+SUMPRODUCT(SIGN(((ACT_DOOR_SCOPE="ALL")+(ACT_DOOR_SCOPE="TIER_"&amp;$F177)+(ACT_DOOR_SCOPE=$B177)))*SIGN(((ACT_SKU_SCOPE="ALL")+(ACT_SKU_SCOPE=$G177)))*(12&gt;ACT_END)*(ACT_END&gt;0)*IFERROR(ACT_POSTLIFT,0))),0)))</f>
        <v/>
      </c>
      <c r="V177" s="10">
        <f>IF(OR($H177&lt;&gt;"Y",13&lt;$I177),0,IF(SUMPRODUCT(((BULK_ENABLED="Y")*((BULK_TIER="ALL")+(BULK_TIER=$F177))*((BULK_SKU="ALL")+(BULK_SKU=$G177))*(BULK_START&lt;=13)*(BULK_END&gt;=13)))&gt;0,IFERROR(SUMPRODUCT(((BULK_ENABLED="Y")*((BULK_TIER="ALL")+(BULK_TIER=$F177))*((BULK_SKU="ALL")+(BULK_SKU=$G177))*(BULK_START&lt;=13)*(BULK_END&gt;=13))*IFERROR(BULK_VALUE,0))/MAX(1,SUMPRODUCT(((BULK_ENABLED="Y")*((BULK_TIER="ALL")+(BULK_TIER=$F177))*((BULK_SKU="ALL")+(BULK_SKU=$G177))*(BULK_START&lt;=13)*(BULK_END&gt;=13)))),0),ROUND((INDEX(VELOCITY_TABLE,MATCH($F177,TIER_LIST,0),2))*(IF((13-$I177+1)&lt;=0,0,IF((13-$I177+1)=1,RAMP_W1,IF((13-$I177+1)=2,RAMP_W2,IF((13-$I177+1)=3,RAMP_W3,RAMP_W4PLUS)))))*(INDEX(ACTIVE_MULT_TABLE,2,1))*(1+SUMPRODUCT(SIGN(((ACT_DOOR_SCOPE="ALL")+(ACT_DOOR_SCOPE="TIER_"&amp;$F177)+(ACT_DOOR_SCOPE=$B177)))*SIGN(((ACT_SKU_SCOPE="ALL")+(ACT_SKU_SCOPE=$G177)))*(ACT_START&lt;=13)*(ACT_END&gt;=13)*IFERROR(ACT_UPLIFT-1,0)))*(1+SUMPRODUCT(SIGN(((ACT_DOOR_SCOPE="ALL")+(ACT_DOOR_SCOPE="TIER_"&amp;$F177)+(ACT_DOOR_SCOPE=$B177)))*SIGN(((ACT_SKU_SCOPE="ALL")+(ACT_SKU_SCOPE=$G177)))*(13&gt;ACT_END)*(ACT_END&gt;0)*IFERROR(ACT_POSTLIFT,0))),0)))</f>
        <v/>
      </c>
    </row>
    <row r="178">
      <c r="A178" t="inlineStr">
        <is>
          <t>R0174</t>
        </is>
      </c>
      <c r="B178">
        <f>Doors!$A$62</f>
        <v/>
      </c>
      <c r="C178">
        <f>Doors!$C$62</f>
        <v/>
      </c>
      <c r="D178">
        <f>Doors!$B$62</f>
        <v/>
      </c>
      <c r="E178">
        <f>Doors!$E$62</f>
        <v/>
      </c>
      <c r="F178">
        <f>Doors!$F$62</f>
        <v/>
      </c>
      <c r="G178" t="inlineStr">
        <is>
          <t>Raspberry</t>
        </is>
      </c>
      <c r="H178">
        <f>Doors!$I$62</f>
        <v/>
      </c>
      <c r="I178">
        <f>Doors!$J$62</f>
        <v/>
      </c>
      <c r="J178" s="10">
        <f>IF(OR($H178&lt;&gt;"Y",1&lt;$I178),0,IF(SUMPRODUCT(((BULK_ENABLED="Y")*((BULK_TIER="ALL")+(BULK_TIER=$F178))*((BULK_SKU="ALL")+(BULK_SKU=$G178))*(BULK_START&lt;=1)*(BULK_END&gt;=1)))&gt;0,IFERROR(SUMPRODUCT(((BULK_ENABLED="Y")*((BULK_TIER="ALL")+(BULK_TIER=$F178))*((BULK_SKU="ALL")+(BULK_SKU=$G178))*(BULK_START&lt;=1)*(BULK_END&gt;=1))*IFERROR(BULK_VALUE,0))/MAX(1,SUMPRODUCT(((BULK_ENABLED="Y")*((BULK_TIER="ALL")+(BULK_TIER=$F178))*((BULK_SKU="ALL")+(BULK_SKU=$G178))*(BULK_START&lt;=1)*(BULK_END&gt;=1)))),0),ROUND((INDEX(VELOCITY_TABLE,MATCH($F178,TIER_LIST,0),3))*(IF((1-$I178+1)&lt;=0,0,IF((1-$I178+1)=1,RAMP_W1,IF((1-$I178+1)=2,RAMP_W2,IF((1-$I178+1)=3,RAMP_W3,RAMP_W4PLUS)))))*(INDEX(ACTIVE_MULT_TABLE,3,1))*(1+SUMPRODUCT(SIGN(((ACT_DOOR_SCOPE="ALL")+(ACT_DOOR_SCOPE="TIER_"&amp;$F178)+(ACT_DOOR_SCOPE=$B178)))*SIGN(((ACT_SKU_SCOPE="ALL")+(ACT_SKU_SCOPE=$G178)))*(ACT_START&lt;=1)*(ACT_END&gt;=1)*IFERROR(ACT_UPLIFT-1,0)))*(1+SUMPRODUCT(SIGN(((ACT_DOOR_SCOPE="ALL")+(ACT_DOOR_SCOPE="TIER_"&amp;$F178)+(ACT_DOOR_SCOPE=$B178)))*SIGN(((ACT_SKU_SCOPE="ALL")+(ACT_SKU_SCOPE=$G178)))*(1&gt;ACT_END)*(ACT_END&gt;0)*IFERROR(ACT_POSTLIFT,0))),0)))</f>
        <v/>
      </c>
      <c r="K178" s="10">
        <f>IF(OR($H178&lt;&gt;"Y",2&lt;$I178),0,IF(SUMPRODUCT(((BULK_ENABLED="Y")*((BULK_TIER="ALL")+(BULK_TIER=$F178))*((BULK_SKU="ALL")+(BULK_SKU=$G178))*(BULK_START&lt;=2)*(BULK_END&gt;=2)))&gt;0,IFERROR(SUMPRODUCT(((BULK_ENABLED="Y")*((BULK_TIER="ALL")+(BULK_TIER=$F178))*((BULK_SKU="ALL")+(BULK_SKU=$G178))*(BULK_START&lt;=2)*(BULK_END&gt;=2))*IFERROR(BULK_VALUE,0))/MAX(1,SUMPRODUCT(((BULK_ENABLED="Y")*((BULK_TIER="ALL")+(BULK_TIER=$F178))*((BULK_SKU="ALL")+(BULK_SKU=$G178))*(BULK_START&lt;=2)*(BULK_END&gt;=2)))),0),ROUND((INDEX(VELOCITY_TABLE,MATCH($F178,TIER_LIST,0),3))*(IF((2-$I178+1)&lt;=0,0,IF((2-$I178+1)=1,RAMP_W1,IF((2-$I178+1)=2,RAMP_W2,IF((2-$I178+1)=3,RAMP_W3,RAMP_W4PLUS)))))*(INDEX(ACTIVE_MULT_TABLE,3,1))*(1+SUMPRODUCT(SIGN(((ACT_DOOR_SCOPE="ALL")+(ACT_DOOR_SCOPE="TIER_"&amp;$F178)+(ACT_DOOR_SCOPE=$B178)))*SIGN(((ACT_SKU_SCOPE="ALL")+(ACT_SKU_SCOPE=$G178)))*(ACT_START&lt;=2)*(ACT_END&gt;=2)*IFERROR(ACT_UPLIFT-1,0)))*(1+SUMPRODUCT(SIGN(((ACT_DOOR_SCOPE="ALL")+(ACT_DOOR_SCOPE="TIER_"&amp;$F178)+(ACT_DOOR_SCOPE=$B178)))*SIGN(((ACT_SKU_SCOPE="ALL")+(ACT_SKU_SCOPE=$G178)))*(2&gt;ACT_END)*(ACT_END&gt;0)*IFERROR(ACT_POSTLIFT,0))),0)))</f>
        <v/>
      </c>
      <c r="L178" s="10">
        <f>IF(OR($H178&lt;&gt;"Y",3&lt;$I178),0,IF(SUMPRODUCT(((BULK_ENABLED="Y")*((BULK_TIER="ALL")+(BULK_TIER=$F178))*((BULK_SKU="ALL")+(BULK_SKU=$G178))*(BULK_START&lt;=3)*(BULK_END&gt;=3)))&gt;0,IFERROR(SUMPRODUCT(((BULK_ENABLED="Y")*((BULK_TIER="ALL")+(BULK_TIER=$F178))*((BULK_SKU="ALL")+(BULK_SKU=$G178))*(BULK_START&lt;=3)*(BULK_END&gt;=3))*IFERROR(BULK_VALUE,0))/MAX(1,SUMPRODUCT(((BULK_ENABLED="Y")*((BULK_TIER="ALL")+(BULK_TIER=$F178))*((BULK_SKU="ALL")+(BULK_SKU=$G178))*(BULK_START&lt;=3)*(BULK_END&gt;=3)))),0),ROUND((INDEX(VELOCITY_TABLE,MATCH($F178,TIER_LIST,0),3))*(IF((3-$I178+1)&lt;=0,0,IF((3-$I178+1)=1,RAMP_W1,IF((3-$I178+1)=2,RAMP_W2,IF((3-$I178+1)=3,RAMP_W3,RAMP_W4PLUS)))))*(INDEX(ACTIVE_MULT_TABLE,3,1))*(1+SUMPRODUCT(SIGN(((ACT_DOOR_SCOPE="ALL")+(ACT_DOOR_SCOPE="TIER_"&amp;$F178)+(ACT_DOOR_SCOPE=$B178)))*SIGN(((ACT_SKU_SCOPE="ALL")+(ACT_SKU_SCOPE=$G178)))*(ACT_START&lt;=3)*(ACT_END&gt;=3)*IFERROR(ACT_UPLIFT-1,0)))*(1+SUMPRODUCT(SIGN(((ACT_DOOR_SCOPE="ALL")+(ACT_DOOR_SCOPE="TIER_"&amp;$F178)+(ACT_DOOR_SCOPE=$B178)))*SIGN(((ACT_SKU_SCOPE="ALL")+(ACT_SKU_SCOPE=$G178)))*(3&gt;ACT_END)*(ACT_END&gt;0)*IFERROR(ACT_POSTLIFT,0))),0)))</f>
        <v/>
      </c>
      <c r="M178" s="10">
        <f>IF(OR($H178&lt;&gt;"Y",4&lt;$I178),0,IF(SUMPRODUCT(((BULK_ENABLED="Y")*((BULK_TIER="ALL")+(BULK_TIER=$F178))*((BULK_SKU="ALL")+(BULK_SKU=$G178))*(BULK_START&lt;=4)*(BULK_END&gt;=4)))&gt;0,IFERROR(SUMPRODUCT(((BULK_ENABLED="Y")*((BULK_TIER="ALL")+(BULK_TIER=$F178))*((BULK_SKU="ALL")+(BULK_SKU=$G178))*(BULK_START&lt;=4)*(BULK_END&gt;=4))*IFERROR(BULK_VALUE,0))/MAX(1,SUMPRODUCT(((BULK_ENABLED="Y")*((BULK_TIER="ALL")+(BULK_TIER=$F178))*((BULK_SKU="ALL")+(BULK_SKU=$G178))*(BULK_START&lt;=4)*(BULK_END&gt;=4)))),0),ROUND((INDEX(VELOCITY_TABLE,MATCH($F178,TIER_LIST,0),3))*(IF((4-$I178+1)&lt;=0,0,IF((4-$I178+1)=1,RAMP_W1,IF((4-$I178+1)=2,RAMP_W2,IF((4-$I178+1)=3,RAMP_W3,RAMP_W4PLUS)))))*(INDEX(ACTIVE_MULT_TABLE,3,1))*(1+SUMPRODUCT(SIGN(((ACT_DOOR_SCOPE="ALL")+(ACT_DOOR_SCOPE="TIER_"&amp;$F178)+(ACT_DOOR_SCOPE=$B178)))*SIGN(((ACT_SKU_SCOPE="ALL")+(ACT_SKU_SCOPE=$G178)))*(ACT_START&lt;=4)*(ACT_END&gt;=4)*IFERROR(ACT_UPLIFT-1,0)))*(1+SUMPRODUCT(SIGN(((ACT_DOOR_SCOPE="ALL")+(ACT_DOOR_SCOPE="TIER_"&amp;$F178)+(ACT_DOOR_SCOPE=$B178)))*SIGN(((ACT_SKU_SCOPE="ALL")+(ACT_SKU_SCOPE=$G178)))*(4&gt;ACT_END)*(ACT_END&gt;0)*IFERROR(ACT_POSTLIFT,0))),0)))</f>
        <v/>
      </c>
      <c r="N178" s="10">
        <f>IF(OR($H178&lt;&gt;"Y",5&lt;$I178),0,IF(SUMPRODUCT(((BULK_ENABLED="Y")*((BULK_TIER="ALL")+(BULK_TIER=$F178))*((BULK_SKU="ALL")+(BULK_SKU=$G178))*(BULK_START&lt;=5)*(BULK_END&gt;=5)))&gt;0,IFERROR(SUMPRODUCT(((BULK_ENABLED="Y")*((BULK_TIER="ALL")+(BULK_TIER=$F178))*((BULK_SKU="ALL")+(BULK_SKU=$G178))*(BULK_START&lt;=5)*(BULK_END&gt;=5))*IFERROR(BULK_VALUE,0))/MAX(1,SUMPRODUCT(((BULK_ENABLED="Y")*((BULK_TIER="ALL")+(BULK_TIER=$F178))*((BULK_SKU="ALL")+(BULK_SKU=$G178))*(BULK_START&lt;=5)*(BULK_END&gt;=5)))),0),ROUND((INDEX(VELOCITY_TABLE,MATCH($F178,TIER_LIST,0),3))*(IF((5-$I178+1)&lt;=0,0,IF((5-$I178+1)=1,RAMP_W1,IF((5-$I178+1)=2,RAMP_W2,IF((5-$I178+1)=3,RAMP_W3,RAMP_W4PLUS)))))*(INDEX(ACTIVE_MULT_TABLE,3,1))*(1+SUMPRODUCT(SIGN(((ACT_DOOR_SCOPE="ALL")+(ACT_DOOR_SCOPE="TIER_"&amp;$F178)+(ACT_DOOR_SCOPE=$B178)))*SIGN(((ACT_SKU_SCOPE="ALL")+(ACT_SKU_SCOPE=$G178)))*(ACT_START&lt;=5)*(ACT_END&gt;=5)*IFERROR(ACT_UPLIFT-1,0)))*(1+SUMPRODUCT(SIGN(((ACT_DOOR_SCOPE="ALL")+(ACT_DOOR_SCOPE="TIER_"&amp;$F178)+(ACT_DOOR_SCOPE=$B178)))*SIGN(((ACT_SKU_SCOPE="ALL")+(ACT_SKU_SCOPE=$G178)))*(5&gt;ACT_END)*(ACT_END&gt;0)*IFERROR(ACT_POSTLIFT,0))),0)))</f>
        <v/>
      </c>
      <c r="O178" s="10">
        <f>IF(OR($H178&lt;&gt;"Y",6&lt;$I178),0,IF(SUMPRODUCT(((BULK_ENABLED="Y")*((BULK_TIER="ALL")+(BULK_TIER=$F178))*((BULK_SKU="ALL")+(BULK_SKU=$G178))*(BULK_START&lt;=6)*(BULK_END&gt;=6)))&gt;0,IFERROR(SUMPRODUCT(((BULK_ENABLED="Y")*((BULK_TIER="ALL")+(BULK_TIER=$F178))*((BULK_SKU="ALL")+(BULK_SKU=$G178))*(BULK_START&lt;=6)*(BULK_END&gt;=6))*IFERROR(BULK_VALUE,0))/MAX(1,SUMPRODUCT(((BULK_ENABLED="Y")*((BULK_TIER="ALL")+(BULK_TIER=$F178))*((BULK_SKU="ALL")+(BULK_SKU=$G178))*(BULK_START&lt;=6)*(BULK_END&gt;=6)))),0),ROUND((INDEX(VELOCITY_TABLE,MATCH($F178,TIER_LIST,0),3))*(IF((6-$I178+1)&lt;=0,0,IF((6-$I178+1)=1,RAMP_W1,IF((6-$I178+1)=2,RAMP_W2,IF((6-$I178+1)=3,RAMP_W3,RAMP_W4PLUS)))))*(INDEX(ACTIVE_MULT_TABLE,3,1))*(1+SUMPRODUCT(SIGN(((ACT_DOOR_SCOPE="ALL")+(ACT_DOOR_SCOPE="TIER_"&amp;$F178)+(ACT_DOOR_SCOPE=$B178)))*SIGN(((ACT_SKU_SCOPE="ALL")+(ACT_SKU_SCOPE=$G178)))*(ACT_START&lt;=6)*(ACT_END&gt;=6)*IFERROR(ACT_UPLIFT-1,0)))*(1+SUMPRODUCT(SIGN(((ACT_DOOR_SCOPE="ALL")+(ACT_DOOR_SCOPE="TIER_"&amp;$F178)+(ACT_DOOR_SCOPE=$B178)))*SIGN(((ACT_SKU_SCOPE="ALL")+(ACT_SKU_SCOPE=$G178)))*(6&gt;ACT_END)*(ACT_END&gt;0)*IFERROR(ACT_POSTLIFT,0))),0)))</f>
        <v/>
      </c>
      <c r="P178" s="10">
        <f>IF(OR($H178&lt;&gt;"Y",7&lt;$I178),0,IF(SUMPRODUCT(((BULK_ENABLED="Y")*((BULK_TIER="ALL")+(BULK_TIER=$F178))*((BULK_SKU="ALL")+(BULK_SKU=$G178))*(BULK_START&lt;=7)*(BULK_END&gt;=7)))&gt;0,IFERROR(SUMPRODUCT(((BULK_ENABLED="Y")*((BULK_TIER="ALL")+(BULK_TIER=$F178))*((BULK_SKU="ALL")+(BULK_SKU=$G178))*(BULK_START&lt;=7)*(BULK_END&gt;=7))*IFERROR(BULK_VALUE,0))/MAX(1,SUMPRODUCT(((BULK_ENABLED="Y")*((BULK_TIER="ALL")+(BULK_TIER=$F178))*((BULK_SKU="ALL")+(BULK_SKU=$G178))*(BULK_START&lt;=7)*(BULK_END&gt;=7)))),0),ROUND((INDEX(VELOCITY_TABLE,MATCH($F178,TIER_LIST,0),3))*(IF((7-$I178+1)&lt;=0,0,IF((7-$I178+1)=1,RAMP_W1,IF((7-$I178+1)=2,RAMP_W2,IF((7-$I178+1)=3,RAMP_W3,RAMP_W4PLUS)))))*(INDEX(ACTIVE_MULT_TABLE,3,1))*(1+SUMPRODUCT(SIGN(((ACT_DOOR_SCOPE="ALL")+(ACT_DOOR_SCOPE="TIER_"&amp;$F178)+(ACT_DOOR_SCOPE=$B178)))*SIGN(((ACT_SKU_SCOPE="ALL")+(ACT_SKU_SCOPE=$G178)))*(ACT_START&lt;=7)*(ACT_END&gt;=7)*IFERROR(ACT_UPLIFT-1,0)))*(1+SUMPRODUCT(SIGN(((ACT_DOOR_SCOPE="ALL")+(ACT_DOOR_SCOPE="TIER_"&amp;$F178)+(ACT_DOOR_SCOPE=$B178)))*SIGN(((ACT_SKU_SCOPE="ALL")+(ACT_SKU_SCOPE=$G178)))*(7&gt;ACT_END)*(ACT_END&gt;0)*IFERROR(ACT_POSTLIFT,0))),0)))</f>
        <v/>
      </c>
      <c r="Q178" s="10">
        <f>IF(OR($H178&lt;&gt;"Y",8&lt;$I178),0,IF(SUMPRODUCT(((BULK_ENABLED="Y")*((BULK_TIER="ALL")+(BULK_TIER=$F178))*((BULK_SKU="ALL")+(BULK_SKU=$G178))*(BULK_START&lt;=8)*(BULK_END&gt;=8)))&gt;0,IFERROR(SUMPRODUCT(((BULK_ENABLED="Y")*((BULK_TIER="ALL")+(BULK_TIER=$F178))*((BULK_SKU="ALL")+(BULK_SKU=$G178))*(BULK_START&lt;=8)*(BULK_END&gt;=8))*IFERROR(BULK_VALUE,0))/MAX(1,SUMPRODUCT(((BULK_ENABLED="Y")*((BULK_TIER="ALL")+(BULK_TIER=$F178))*((BULK_SKU="ALL")+(BULK_SKU=$G178))*(BULK_START&lt;=8)*(BULK_END&gt;=8)))),0),ROUND((INDEX(VELOCITY_TABLE,MATCH($F178,TIER_LIST,0),3))*(IF((8-$I178+1)&lt;=0,0,IF((8-$I178+1)=1,RAMP_W1,IF((8-$I178+1)=2,RAMP_W2,IF((8-$I178+1)=3,RAMP_W3,RAMP_W4PLUS)))))*(INDEX(ACTIVE_MULT_TABLE,3,1))*(1+SUMPRODUCT(SIGN(((ACT_DOOR_SCOPE="ALL")+(ACT_DOOR_SCOPE="TIER_"&amp;$F178)+(ACT_DOOR_SCOPE=$B178)))*SIGN(((ACT_SKU_SCOPE="ALL")+(ACT_SKU_SCOPE=$G178)))*(ACT_START&lt;=8)*(ACT_END&gt;=8)*IFERROR(ACT_UPLIFT-1,0)))*(1+SUMPRODUCT(SIGN(((ACT_DOOR_SCOPE="ALL")+(ACT_DOOR_SCOPE="TIER_"&amp;$F178)+(ACT_DOOR_SCOPE=$B178)))*SIGN(((ACT_SKU_SCOPE="ALL")+(ACT_SKU_SCOPE=$G178)))*(8&gt;ACT_END)*(ACT_END&gt;0)*IFERROR(ACT_POSTLIFT,0))),0)))</f>
        <v/>
      </c>
      <c r="R178" s="10">
        <f>IF(OR($H178&lt;&gt;"Y",9&lt;$I178),0,IF(SUMPRODUCT(((BULK_ENABLED="Y")*((BULK_TIER="ALL")+(BULK_TIER=$F178))*((BULK_SKU="ALL")+(BULK_SKU=$G178))*(BULK_START&lt;=9)*(BULK_END&gt;=9)))&gt;0,IFERROR(SUMPRODUCT(((BULK_ENABLED="Y")*((BULK_TIER="ALL")+(BULK_TIER=$F178))*((BULK_SKU="ALL")+(BULK_SKU=$G178))*(BULK_START&lt;=9)*(BULK_END&gt;=9))*IFERROR(BULK_VALUE,0))/MAX(1,SUMPRODUCT(((BULK_ENABLED="Y")*((BULK_TIER="ALL")+(BULK_TIER=$F178))*((BULK_SKU="ALL")+(BULK_SKU=$G178))*(BULK_START&lt;=9)*(BULK_END&gt;=9)))),0),ROUND((INDEX(VELOCITY_TABLE,MATCH($F178,TIER_LIST,0),3))*(IF((9-$I178+1)&lt;=0,0,IF((9-$I178+1)=1,RAMP_W1,IF((9-$I178+1)=2,RAMP_W2,IF((9-$I178+1)=3,RAMP_W3,RAMP_W4PLUS)))))*(INDEX(ACTIVE_MULT_TABLE,3,1))*(1+SUMPRODUCT(SIGN(((ACT_DOOR_SCOPE="ALL")+(ACT_DOOR_SCOPE="TIER_"&amp;$F178)+(ACT_DOOR_SCOPE=$B178)))*SIGN(((ACT_SKU_SCOPE="ALL")+(ACT_SKU_SCOPE=$G178)))*(ACT_START&lt;=9)*(ACT_END&gt;=9)*IFERROR(ACT_UPLIFT-1,0)))*(1+SUMPRODUCT(SIGN(((ACT_DOOR_SCOPE="ALL")+(ACT_DOOR_SCOPE="TIER_"&amp;$F178)+(ACT_DOOR_SCOPE=$B178)))*SIGN(((ACT_SKU_SCOPE="ALL")+(ACT_SKU_SCOPE=$G178)))*(9&gt;ACT_END)*(ACT_END&gt;0)*IFERROR(ACT_POSTLIFT,0))),0)))</f>
        <v/>
      </c>
      <c r="S178" s="10">
        <f>IF(OR($H178&lt;&gt;"Y",10&lt;$I178),0,IF(SUMPRODUCT(((BULK_ENABLED="Y")*((BULK_TIER="ALL")+(BULK_TIER=$F178))*((BULK_SKU="ALL")+(BULK_SKU=$G178))*(BULK_START&lt;=10)*(BULK_END&gt;=10)))&gt;0,IFERROR(SUMPRODUCT(((BULK_ENABLED="Y")*((BULK_TIER="ALL")+(BULK_TIER=$F178))*((BULK_SKU="ALL")+(BULK_SKU=$G178))*(BULK_START&lt;=10)*(BULK_END&gt;=10))*IFERROR(BULK_VALUE,0))/MAX(1,SUMPRODUCT(((BULK_ENABLED="Y")*((BULK_TIER="ALL")+(BULK_TIER=$F178))*((BULK_SKU="ALL")+(BULK_SKU=$G178))*(BULK_START&lt;=10)*(BULK_END&gt;=10)))),0),ROUND((INDEX(VELOCITY_TABLE,MATCH($F178,TIER_LIST,0),3))*(IF((10-$I178+1)&lt;=0,0,IF((10-$I178+1)=1,RAMP_W1,IF((10-$I178+1)=2,RAMP_W2,IF((10-$I178+1)=3,RAMP_W3,RAMP_W4PLUS)))))*(INDEX(ACTIVE_MULT_TABLE,3,1))*(1+SUMPRODUCT(SIGN(((ACT_DOOR_SCOPE="ALL")+(ACT_DOOR_SCOPE="TIER_"&amp;$F178)+(ACT_DOOR_SCOPE=$B178)))*SIGN(((ACT_SKU_SCOPE="ALL")+(ACT_SKU_SCOPE=$G178)))*(ACT_START&lt;=10)*(ACT_END&gt;=10)*IFERROR(ACT_UPLIFT-1,0)))*(1+SUMPRODUCT(SIGN(((ACT_DOOR_SCOPE="ALL")+(ACT_DOOR_SCOPE="TIER_"&amp;$F178)+(ACT_DOOR_SCOPE=$B178)))*SIGN(((ACT_SKU_SCOPE="ALL")+(ACT_SKU_SCOPE=$G178)))*(10&gt;ACT_END)*(ACT_END&gt;0)*IFERROR(ACT_POSTLIFT,0))),0)))</f>
        <v/>
      </c>
      <c r="T178" s="10">
        <f>IF(OR($H178&lt;&gt;"Y",11&lt;$I178),0,IF(SUMPRODUCT(((BULK_ENABLED="Y")*((BULK_TIER="ALL")+(BULK_TIER=$F178))*((BULK_SKU="ALL")+(BULK_SKU=$G178))*(BULK_START&lt;=11)*(BULK_END&gt;=11)))&gt;0,IFERROR(SUMPRODUCT(((BULK_ENABLED="Y")*((BULK_TIER="ALL")+(BULK_TIER=$F178))*((BULK_SKU="ALL")+(BULK_SKU=$G178))*(BULK_START&lt;=11)*(BULK_END&gt;=11))*IFERROR(BULK_VALUE,0))/MAX(1,SUMPRODUCT(((BULK_ENABLED="Y")*((BULK_TIER="ALL")+(BULK_TIER=$F178))*((BULK_SKU="ALL")+(BULK_SKU=$G178))*(BULK_START&lt;=11)*(BULK_END&gt;=11)))),0),ROUND((INDEX(VELOCITY_TABLE,MATCH($F178,TIER_LIST,0),3))*(IF((11-$I178+1)&lt;=0,0,IF((11-$I178+1)=1,RAMP_W1,IF((11-$I178+1)=2,RAMP_W2,IF((11-$I178+1)=3,RAMP_W3,RAMP_W4PLUS)))))*(INDEX(ACTIVE_MULT_TABLE,3,1))*(1+SUMPRODUCT(SIGN(((ACT_DOOR_SCOPE="ALL")+(ACT_DOOR_SCOPE="TIER_"&amp;$F178)+(ACT_DOOR_SCOPE=$B178)))*SIGN(((ACT_SKU_SCOPE="ALL")+(ACT_SKU_SCOPE=$G178)))*(ACT_START&lt;=11)*(ACT_END&gt;=11)*IFERROR(ACT_UPLIFT-1,0)))*(1+SUMPRODUCT(SIGN(((ACT_DOOR_SCOPE="ALL")+(ACT_DOOR_SCOPE="TIER_"&amp;$F178)+(ACT_DOOR_SCOPE=$B178)))*SIGN(((ACT_SKU_SCOPE="ALL")+(ACT_SKU_SCOPE=$G178)))*(11&gt;ACT_END)*(ACT_END&gt;0)*IFERROR(ACT_POSTLIFT,0))),0)))</f>
        <v/>
      </c>
      <c r="U178" s="10">
        <f>IF(OR($H178&lt;&gt;"Y",12&lt;$I178),0,IF(SUMPRODUCT(((BULK_ENABLED="Y")*((BULK_TIER="ALL")+(BULK_TIER=$F178))*((BULK_SKU="ALL")+(BULK_SKU=$G178))*(BULK_START&lt;=12)*(BULK_END&gt;=12)))&gt;0,IFERROR(SUMPRODUCT(((BULK_ENABLED="Y")*((BULK_TIER="ALL")+(BULK_TIER=$F178))*((BULK_SKU="ALL")+(BULK_SKU=$G178))*(BULK_START&lt;=12)*(BULK_END&gt;=12))*IFERROR(BULK_VALUE,0))/MAX(1,SUMPRODUCT(((BULK_ENABLED="Y")*((BULK_TIER="ALL")+(BULK_TIER=$F178))*((BULK_SKU="ALL")+(BULK_SKU=$G178))*(BULK_START&lt;=12)*(BULK_END&gt;=12)))),0),ROUND((INDEX(VELOCITY_TABLE,MATCH($F178,TIER_LIST,0),3))*(IF((12-$I178+1)&lt;=0,0,IF((12-$I178+1)=1,RAMP_W1,IF((12-$I178+1)=2,RAMP_W2,IF((12-$I178+1)=3,RAMP_W3,RAMP_W4PLUS)))))*(INDEX(ACTIVE_MULT_TABLE,3,1))*(1+SUMPRODUCT(SIGN(((ACT_DOOR_SCOPE="ALL")+(ACT_DOOR_SCOPE="TIER_"&amp;$F178)+(ACT_DOOR_SCOPE=$B178)))*SIGN(((ACT_SKU_SCOPE="ALL")+(ACT_SKU_SCOPE=$G178)))*(ACT_START&lt;=12)*(ACT_END&gt;=12)*IFERROR(ACT_UPLIFT-1,0)))*(1+SUMPRODUCT(SIGN(((ACT_DOOR_SCOPE="ALL")+(ACT_DOOR_SCOPE="TIER_"&amp;$F178)+(ACT_DOOR_SCOPE=$B178)))*SIGN(((ACT_SKU_SCOPE="ALL")+(ACT_SKU_SCOPE=$G178)))*(12&gt;ACT_END)*(ACT_END&gt;0)*IFERROR(ACT_POSTLIFT,0))),0)))</f>
        <v/>
      </c>
      <c r="V178" s="10">
        <f>IF(OR($H178&lt;&gt;"Y",13&lt;$I178),0,IF(SUMPRODUCT(((BULK_ENABLED="Y")*((BULK_TIER="ALL")+(BULK_TIER=$F178))*((BULK_SKU="ALL")+(BULK_SKU=$G178))*(BULK_START&lt;=13)*(BULK_END&gt;=13)))&gt;0,IFERROR(SUMPRODUCT(((BULK_ENABLED="Y")*((BULK_TIER="ALL")+(BULK_TIER=$F178))*((BULK_SKU="ALL")+(BULK_SKU=$G178))*(BULK_START&lt;=13)*(BULK_END&gt;=13))*IFERROR(BULK_VALUE,0))/MAX(1,SUMPRODUCT(((BULK_ENABLED="Y")*((BULK_TIER="ALL")+(BULK_TIER=$F178))*((BULK_SKU="ALL")+(BULK_SKU=$G178))*(BULK_START&lt;=13)*(BULK_END&gt;=13)))),0),ROUND((INDEX(VELOCITY_TABLE,MATCH($F178,TIER_LIST,0),3))*(IF((13-$I178+1)&lt;=0,0,IF((13-$I178+1)=1,RAMP_W1,IF((13-$I178+1)=2,RAMP_W2,IF((13-$I178+1)=3,RAMP_W3,RAMP_W4PLUS)))))*(INDEX(ACTIVE_MULT_TABLE,3,1))*(1+SUMPRODUCT(SIGN(((ACT_DOOR_SCOPE="ALL")+(ACT_DOOR_SCOPE="TIER_"&amp;$F178)+(ACT_DOOR_SCOPE=$B178)))*SIGN(((ACT_SKU_SCOPE="ALL")+(ACT_SKU_SCOPE=$G178)))*(ACT_START&lt;=13)*(ACT_END&gt;=13)*IFERROR(ACT_UPLIFT-1,0)))*(1+SUMPRODUCT(SIGN(((ACT_DOOR_SCOPE="ALL")+(ACT_DOOR_SCOPE="TIER_"&amp;$F178)+(ACT_DOOR_SCOPE=$B178)))*SIGN(((ACT_SKU_SCOPE="ALL")+(ACT_SKU_SCOPE=$G178)))*(13&gt;ACT_END)*(ACT_END&gt;0)*IFERROR(ACT_POSTLIFT,0))),0)))</f>
        <v/>
      </c>
    </row>
    <row r="179">
      <c r="A179" t="inlineStr">
        <is>
          <t>R0175</t>
        </is>
      </c>
      <c r="B179">
        <f>Doors!$A$63</f>
        <v/>
      </c>
      <c r="C179">
        <f>Doors!$C$63</f>
        <v/>
      </c>
      <c r="D179">
        <f>Doors!$B$63</f>
        <v/>
      </c>
      <c r="E179">
        <f>Doors!$E$63</f>
        <v/>
      </c>
      <c r="F179">
        <f>Doors!$F$63</f>
        <v/>
      </c>
      <c r="G179" t="inlineStr">
        <is>
          <t>Lime Lemon</t>
        </is>
      </c>
      <c r="H179">
        <f>Doors!$G$63</f>
        <v/>
      </c>
      <c r="I179">
        <f>Doors!$J$63</f>
        <v/>
      </c>
      <c r="J179" s="10">
        <f>IF(OR($H179&lt;&gt;"Y",1&lt;$I179),0,IF(SUMPRODUCT(((BULK_ENABLED="Y")*((BULK_TIER="ALL")+(BULK_TIER=$F179))*((BULK_SKU="ALL")+(BULK_SKU=$G179))*(BULK_START&lt;=1)*(BULK_END&gt;=1)))&gt;0,IFERROR(SUMPRODUCT(((BULK_ENABLED="Y")*((BULK_TIER="ALL")+(BULK_TIER=$F179))*((BULK_SKU="ALL")+(BULK_SKU=$G179))*(BULK_START&lt;=1)*(BULK_END&gt;=1))*IFERROR(BULK_VALUE,0))/MAX(1,SUMPRODUCT(((BULK_ENABLED="Y")*((BULK_TIER="ALL")+(BULK_TIER=$F179))*((BULK_SKU="ALL")+(BULK_SKU=$G179))*(BULK_START&lt;=1)*(BULK_END&gt;=1)))),0),ROUND((INDEX(VELOCITY_TABLE,MATCH($F179,TIER_LIST,0),1))*(IF((1-$I179+1)&lt;=0,0,IF((1-$I179+1)=1,RAMP_W1,IF((1-$I179+1)=2,RAMP_W2,IF((1-$I179+1)=3,RAMP_W3,RAMP_W4PLUS)))))*(INDEX(ACTIVE_MULT_TABLE,1,1))*(1+SUMPRODUCT(SIGN(((ACT_DOOR_SCOPE="ALL")+(ACT_DOOR_SCOPE="TIER_"&amp;$F179)+(ACT_DOOR_SCOPE=$B179)))*SIGN(((ACT_SKU_SCOPE="ALL")+(ACT_SKU_SCOPE=$G179)))*(ACT_START&lt;=1)*(ACT_END&gt;=1)*IFERROR(ACT_UPLIFT-1,0)))*(1+SUMPRODUCT(SIGN(((ACT_DOOR_SCOPE="ALL")+(ACT_DOOR_SCOPE="TIER_"&amp;$F179)+(ACT_DOOR_SCOPE=$B179)))*SIGN(((ACT_SKU_SCOPE="ALL")+(ACT_SKU_SCOPE=$G179)))*(1&gt;ACT_END)*(ACT_END&gt;0)*IFERROR(ACT_POSTLIFT,0))),0)))</f>
        <v/>
      </c>
      <c r="K179" s="10">
        <f>IF(OR($H179&lt;&gt;"Y",2&lt;$I179),0,IF(SUMPRODUCT(((BULK_ENABLED="Y")*((BULK_TIER="ALL")+(BULK_TIER=$F179))*((BULK_SKU="ALL")+(BULK_SKU=$G179))*(BULK_START&lt;=2)*(BULK_END&gt;=2)))&gt;0,IFERROR(SUMPRODUCT(((BULK_ENABLED="Y")*((BULK_TIER="ALL")+(BULK_TIER=$F179))*((BULK_SKU="ALL")+(BULK_SKU=$G179))*(BULK_START&lt;=2)*(BULK_END&gt;=2))*IFERROR(BULK_VALUE,0))/MAX(1,SUMPRODUCT(((BULK_ENABLED="Y")*((BULK_TIER="ALL")+(BULK_TIER=$F179))*((BULK_SKU="ALL")+(BULK_SKU=$G179))*(BULK_START&lt;=2)*(BULK_END&gt;=2)))),0),ROUND((INDEX(VELOCITY_TABLE,MATCH($F179,TIER_LIST,0),1))*(IF((2-$I179+1)&lt;=0,0,IF((2-$I179+1)=1,RAMP_W1,IF((2-$I179+1)=2,RAMP_W2,IF((2-$I179+1)=3,RAMP_W3,RAMP_W4PLUS)))))*(INDEX(ACTIVE_MULT_TABLE,1,1))*(1+SUMPRODUCT(SIGN(((ACT_DOOR_SCOPE="ALL")+(ACT_DOOR_SCOPE="TIER_"&amp;$F179)+(ACT_DOOR_SCOPE=$B179)))*SIGN(((ACT_SKU_SCOPE="ALL")+(ACT_SKU_SCOPE=$G179)))*(ACT_START&lt;=2)*(ACT_END&gt;=2)*IFERROR(ACT_UPLIFT-1,0)))*(1+SUMPRODUCT(SIGN(((ACT_DOOR_SCOPE="ALL")+(ACT_DOOR_SCOPE="TIER_"&amp;$F179)+(ACT_DOOR_SCOPE=$B179)))*SIGN(((ACT_SKU_SCOPE="ALL")+(ACT_SKU_SCOPE=$G179)))*(2&gt;ACT_END)*(ACT_END&gt;0)*IFERROR(ACT_POSTLIFT,0))),0)))</f>
        <v/>
      </c>
      <c r="L179" s="10">
        <f>IF(OR($H179&lt;&gt;"Y",3&lt;$I179),0,IF(SUMPRODUCT(((BULK_ENABLED="Y")*((BULK_TIER="ALL")+(BULK_TIER=$F179))*((BULK_SKU="ALL")+(BULK_SKU=$G179))*(BULK_START&lt;=3)*(BULK_END&gt;=3)))&gt;0,IFERROR(SUMPRODUCT(((BULK_ENABLED="Y")*((BULK_TIER="ALL")+(BULK_TIER=$F179))*((BULK_SKU="ALL")+(BULK_SKU=$G179))*(BULK_START&lt;=3)*(BULK_END&gt;=3))*IFERROR(BULK_VALUE,0))/MAX(1,SUMPRODUCT(((BULK_ENABLED="Y")*((BULK_TIER="ALL")+(BULK_TIER=$F179))*((BULK_SKU="ALL")+(BULK_SKU=$G179))*(BULK_START&lt;=3)*(BULK_END&gt;=3)))),0),ROUND((INDEX(VELOCITY_TABLE,MATCH($F179,TIER_LIST,0),1))*(IF((3-$I179+1)&lt;=0,0,IF((3-$I179+1)=1,RAMP_W1,IF((3-$I179+1)=2,RAMP_W2,IF((3-$I179+1)=3,RAMP_W3,RAMP_W4PLUS)))))*(INDEX(ACTIVE_MULT_TABLE,1,1))*(1+SUMPRODUCT(SIGN(((ACT_DOOR_SCOPE="ALL")+(ACT_DOOR_SCOPE="TIER_"&amp;$F179)+(ACT_DOOR_SCOPE=$B179)))*SIGN(((ACT_SKU_SCOPE="ALL")+(ACT_SKU_SCOPE=$G179)))*(ACT_START&lt;=3)*(ACT_END&gt;=3)*IFERROR(ACT_UPLIFT-1,0)))*(1+SUMPRODUCT(SIGN(((ACT_DOOR_SCOPE="ALL")+(ACT_DOOR_SCOPE="TIER_"&amp;$F179)+(ACT_DOOR_SCOPE=$B179)))*SIGN(((ACT_SKU_SCOPE="ALL")+(ACT_SKU_SCOPE=$G179)))*(3&gt;ACT_END)*(ACT_END&gt;0)*IFERROR(ACT_POSTLIFT,0))),0)))</f>
        <v/>
      </c>
      <c r="M179" s="10">
        <f>IF(OR($H179&lt;&gt;"Y",4&lt;$I179),0,IF(SUMPRODUCT(((BULK_ENABLED="Y")*((BULK_TIER="ALL")+(BULK_TIER=$F179))*((BULK_SKU="ALL")+(BULK_SKU=$G179))*(BULK_START&lt;=4)*(BULK_END&gt;=4)))&gt;0,IFERROR(SUMPRODUCT(((BULK_ENABLED="Y")*((BULK_TIER="ALL")+(BULK_TIER=$F179))*((BULK_SKU="ALL")+(BULK_SKU=$G179))*(BULK_START&lt;=4)*(BULK_END&gt;=4))*IFERROR(BULK_VALUE,0))/MAX(1,SUMPRODUCT(((BULK_ENABLED="Y")*((BULK_TIER="ALL")+(BULK_TIER=$F179))*((BULK_SKU="ALL")+(BULK_SKU=$G179))*(BULK_START&lt;=4)*(BULK_END&gt;=4)))),0),ROUND((INDEX(VELOCITY_TABLE,MATCH($F179,TIER_LIST,0),1))*(IF((4-$I179+1)&lt;=0,0,IF((4-$I179+1)=1,RAMP_W1,IF((4-$I179+1)=2,RAMP_W2,IF((4-$I179+1)=3,RAMP_W3,RAMP_W4PLUS)))))*(INDEX(ACTIVE_MULT_TABLE,1,1))*(1+SUMPRODUCT(SIGN(((ACT_DOOR_SCOPE="ALL")+(ACT_DOOR_SCOPE="TIER_"&amp;$F179)+(ACT_DOOR_SCOPE=$B179)))*SIGN(((ACT_SKU_SCOPE="ALL")+(ACT_SKU_SCOPE=$G179)))*(ACT_START&lt;=4)*(ACT_END&gt;=4)*IFERROR(ACT_UPLIFT-1,0)))*(1+SUMPRODUCT(SIGN(((ACT_DOOR_SCOPE="ALL")+(ACT_DOOR_SCOPE="TIER_"&amp;$F179)+(ACT_DOOR_SCOPE=$B179)))*SIGN(((ACT_SKU_SCOPE="ALL")+(ACT_SKU_SCOPE=$G179)))*(4&gt;ACT_END)*(ACT_END&gt;0)*IFERROR(ACT_POSTLIFT,0))),0)))</f>
        <v/>
      </c>
      <c r="N179" s="10">
        <f>IF(OR($H179&lt;&gt;"Y",5&lt;$I179),0,IF(SUMPRODUCT(((BULK_ENABLED="Y")*((BULK_TIER="ALL")+(BULK_TIER=$F179))*((BULK_SKU="ALL")+(BULK_SKU=$G179))*(BULK_START&lt;=5)*(BULK_END&gt;=5)))&gt;0,IFERROR(SUMPRODUCT(((BULK_ENABLED="Y")*((BULK_TIER="ALL")+(BULK_TIER=$F179))*((BULK_SKU="ALL")+(BULK_SKU=$G179))*(BULK_START&lt;=5)*(BULK_END&gt;=5))*IFERROR(BULK_VALUE,0))/MAX(1,SUMPRODUCT(((BULK_ENABLED="Y")*((BULK_TIER="ALL")+(BULK_TIER=$F179))*((BULK_SKU="ALL")+(BULK_SKU=$G179))*(BULK_START&lt;=5)*(BULK_END&gt;=5)))),0),ROUND((INDEX(VELOCITY_TABLE,MATCH($F179,TIER_LIST,0),1))*(IF((5-$I179+1)&lt;=0,0,IF((5-$I179+1)=1,RAMP_W1,IF((5-$I179+1)=2,RAMP_W2,IF((5-$I179+1)=3,RAMP_W3,RAMP_W4PLUS)))))*(INDEX(ACTIVE_MULT_TABLE,1,1))*(1+SUMPRODUCT(SIGN(((ACT_DOOR_SCOPE="ALL")+(ACT_DOOR_SCOPE="TIER_"&amp;$F179)+(ACT_DOOR_SCOPE=$B179)))*SIGN(((ACT_SKU_SCOPE="ALL")+(ACT_SKU_SCOPE=$G179)))*(ACT_START&lt;=5)*(ACT_END&gt;=5)*IFERROR(ACT_UPLIFT-1,0)))*(1+SUMPRODUCT(SIGN(((ACT_DOOR_SCOPE="ALL")+(ACT_DOOR_SCOPE="TIER_"&amp;$F179)+(ACT_DOOR_SCOPE=$B179)))*SIGN(((ACT_SKU_SCOPE="ALL")+(ACT_SKU_SCOPE=$G179)))*(5&gt;ACT_END)*(ACT_END&gt;0)*IFERROR(ACT_POSTLIFT,0))),0)))</f>
        <v/>
      </c>
      <c r="O179" s="10">
        <f>IF(OR($H179&lt;&gt;"Y",6&lt;$I179),0,IF(SUMPRODUCT(((BULK_ENABLED="Y")*((BULK_TIER="ALL")+(BULK_TIER=$F179))*((BULK_SKU="ALL")+(BULK_SKU=$G179))*(BULK_START&lt;=6)*(BULK_END&gt;=6)))&gt;0,IFERROR(SUMPRODUCT(((BULK_ENABLED="Y")*((BULK_TIER="ALL")+(BULK_TIER=$F179))*((BULK_SKU="ALL")+(BULK_SKU=$G179))*(BULK_START&lt;=6)*(BULK_END&gt;=6))*IFERROR(BULK_VALUE,0))/MAX(1,SUMPRODUCT(((BULK_ENABLED="Y")*((BULK_TIER="ALL")+(BULK_TIER=$F179))*((BULK_SKU="ALL")+(BULK_SKU=$G179))*(BULK_START&lt;=6)*(BULK_END&gt;=6)))),0),ROUND((INDEX(VELOCITY_TABLE,MATCH($F179,TIER_LIST,0),1))*(IF((6-$I179+1)&lt;=0,0,IF((6-$I179+1)=1,RAMP_W1,IF((6-$I179+1)=2,RAMP_W2,IF((6-$I179+1)=3,RAMP_W3,RAMP_W4PLUS)))))*(INDEX(ACTIVE_MULT_TABLE,1,1))*(1+SUMPRODUCT(SIGN(((ACT_DOOR_SCOPE="ALL")+(ACT_DOOR_SCOPE="TIER_"&amp;$F179)+(ACT_DOOR_SCOPE=$B179)))*SIGN(((ACT_SKU_SCOPE="ALL")+(ACT_SKU_SCOPE=$G179)))*(ACT_START&lt;=6)*(ACT_END&gt;=6)*IFERROR(ACT_UPLIFT-1,0)))*(1+SUMPRODUCT(SIGN(((ACT_DOOR_SCOPE="ALL")+(ACT_DOOR_SCOPE="TIER_"&amp;$F179)+(ACT_DOOR_SCOPE=$B179)))*SIGN(((ACT_SKU_SCOPE="ALL")+(ACT_SKU_SCOPE=$G179)))*(6&gt;ACT_END)*(ACT_END&gt;0)*IFERROR(ACT_POSTLIFT,0))),0)))</f>
        <v/>
      </c>
      <c r="P179" s="10">
        <f>IF(OR($H179&lt;&gt;"Y",7&lt;$I179),0,IF(SUMPRODUCT(((BULK_ENABLED="Y")*((BULK_TIER="ALL")+(BULK_TIER=$F179))*((BULK_SKU="ALL")+(BULK_SKU=$G179))*(BULK_START&lt;=7)*(BULK_END&gt;=7)))&gt;0,IFERROR(SUMPRODUCT(((BULK_ENABLED="Y")*((BULK_TIER="ALL")+(BULK_TIER=$F179))*((BULK_SKU="ALL")+(BULK_SKU=$G179))*(BULK_START&lt;=7)*(BULK_END&gt;=7))*IFERROR(BULK_VALUE,0))/MAX(1,SUMPRODUCT(((BULK_ENABLED="Y")*((BULK_TIER="ALL")+(BULK_TIER=$F179))*((BULK_SKU="ALL")+(BULK_SKU=$G179))*(BULK_START&lt;=7)*(BULK_END&gt;=7)))),0),ROUND((INDEX(VELOCITY_TABLE,MATCH($F179,TIER_LIST,0),1))*(IF((7-$I179+1)&lt;=0,0,IF((7-$I179+1)=1,RAMP_W1,IF((7-$I179+1)=2,RAMP_W2,IF((7-$I179+1)=3,RAMP_W3,RAMP_W4PLUS)))))*(INDEX(ACTIVE_MULT_TABLE,1,1))*(1+SUMPRODUCT(SIGN(((ACT_DOOR_SCOPE="ALL")+(ACT_DOOR_SCOPE="TIER_"&amp;$F179)+(ACT_DOOR_SCOPE=$B179)))*SIGN(((ACT_SKU_SCOPE="ALL")+(ACT_SKU_SCOPE=$G179)))*(ACT_START&lt;=7)*(ACT_END&gt;=7)*IFERROR(ACT_UPLIFT-1,0)))*(1+SUMPRODUCT(SIGN(((ACT_DOOR_SCOPE="ALL")+(ACT_DOOR_SCOPE="TIER_"&amp;$F179)+(ACT_DOOR_SCOPE=$B179)))*SIGN(((ACT_SKU_SCOPE="ALL")+(ACT_SKU_SCOPE=$G179)))*(7&gt;ACT_END)*(ACT_END&gt;0)*IFERROR(ACT_POSTLIFT,0))),0)))</f>
        <v/>
      </c>
      <c r="Q179" s="10">
        <f>IF(OR($H179&lt;&gt;"Y",8&lt;$I179),0,IF(SUMPRODUCT(((BULK_ENABLED="Y")*((BULK_TIER="ALL")+(BULK_TIER=$F179))*((BULK_SKU="ALL")+(BULK_SKU=$G179))*(BULK_START&lt;=8)*(BULK_END&gt;=8)))&gt;0,IFERROR(SUMPRODUCT(((BULK_ENABLED="Y")*((BULK_TIER="ALL")+(BULK_TIER=$F179))*((BULK_SKU="ALL")+(BULK_SKU=$G179))*(BULK_START&lt;=8)*(BULK_END&gt;=8))*IFERROR(BULK_VALUE,0))/MAX(1,SUMPRODUCT(((BULK_ENABLED="Y")*((BULK_TIER="ALL")+(BULK_TIER=$F179))*((BULK_SKU="ALL")+(BULK_SKU=$G179))*(BULK_START&lt;=8)*(BULK_END&gt;=8)))),0),ROUND((INDEX(VELOCITY_TABLE,MATCH($F179,TIER_LIST,0),1))*(IF((8-$I179+1)&lt;=0,0,IF((8-$I179+1)=1,RAMP_W1,IF((8-$I179+1)=2,RAMP_W2,IF((8-$I179+1)=3,RAMP_W3,RAMP_W4PLUS)))))*(INDEX(ACTIVE_MULT_TABLE,1,1))*(1+SUMPRODUCT(SIGN(((ACT_DOOR_SCOPE="ALL")+(ACT_DOOR_SCOPE="TIER_"&amp;$F179)+(ACT_DOOR_SCOPE=$B179)))*SIGN(((ACT_SKU_SCOPE="ALL")+(ACT_SKU_SCOPE=$G179)))*(ACT_START&lt;=8)*(ACT_END&gt;=8)*IFERROR(ACT_UPLIFT-1,0)))*(1+SUMPRODUCT(SIGN(((ACT_DOOR_SCOPE="ALL")+(ACT_DOOR_SCOPE="TIER_"&amp;$F179)+(ACT_DOOR_SCOPE=$B179)))*SIGN(((ACT_SKU_SCOPE="ALL")+(ACT_SKU_SCOPE=$G179)))*(8&gt;ACT_END)*(ACT_END&gt;0)*IFERROR(ACT_POSTLIFT,0))),0)))</f>
        <v/>
      </c>
      <c r="R179" s="10">
        <f>IF(OR($H179&lt;&gt;"Y",9&lt;$I179),0,IF(SUMPRODUCT(((BULK_ENABLED="Y")*((BULK_TIER="ALL")+(BULK_TIER=$F179))*((BULK_SKU="ALL")+(BULK_SKU=$G179))*(BULK_START&lt;=9)*(BULK_END&gt;=9)))&gt;0,IFERROR(SUMPRODUCT(((BULK_ENABLED="Y")*((BULK_TIER="ALL")+(BULK_TIER=$F179))*((BULK_SKU="ALL")+(BULK_SKU=$G179))*(BULK_START&lt;=9)*(BULK_END&gt;=9))*IFERROR(BULK_VALUE,0))/MAX(1,SUMPRODUCT(((BULK_ENABLED="Y")*((BULK_TIER="ALL")+(BULK_TIER=$F179))*((BULK_SKU="ALL")+(BULK_SKU=$G179))*(BULK_START&lt;=9)*(BULK_END&gt;=9)))),0),ROUND((INDEX(VELOCITY_TABLE,MATCH($F179,TIER_LIST,0),1))*(IF((9-$I179+1)&lt;=0,0,IF((9-$I179+1)=1,RAMP_W1,IF((9-$I179+1)=2,RAMP_W2,IF((9-$I179+1)=3,RAMP_W3,RAMP_W4PLUS)))))*(INDEX(ACTIVE_MULT_TABLE,1,1))*(1+SUMPRODUCT(SIGN(((ACT_DOOR_SCOPE="ALL")+(ACT_DOOR_SCOPE="TIER_"&amp;$F179)+(ACT_DOOR_SCOPE=$B179)))*SIGN(((ACT_SKU_SCOPE="ALL")+(ACT_SKU_SCOPE=$G179)))*(ACT_START&lt;=9)*(ACT_END&gt;=9)*IFERROR(ACT_UPLIFT-1,0)))*(1+SUMPRODUCT(SIGN(((ACT_DOOR_SCOPE="ALL")+(ACT_DOOR_SCOPE="TIER_"&amp;$F179)+(ACT_DOOR_SCOPE=$B179)))*SIGN(((ACT_SKU_SCOPE="ALL")+(ACT_SKU_SCOPE=$G179)))*(9&gt;ACT_END)*(ACT_END&gt;0)*IFERROR(ACT_POSTLIFT,0))),0)))</f>
        <v/>
      </c>
      <c r="S179" s="10">
        <f>IF(OR($H179&lt;&gt;"Y",10&lt;$I179),0,IF(SUMPRODUCT(((BULK_ENABLED="Y")*((BULK_TIER="ALL")+(BULK_TIER=$F179))*((BULK_SKU="ALL")+(BULK_SKU=$G179))*(BULK_START&lt;=10)*(BULK_END&gt;=10)))&gt;0,IFERROR(SUMPRODUCT(((BULK_ENABLED="Y")*((BULK_TIER="ALL")+(BULK_TIER=$F179))*((BULK_SKU="ALL")+(BULK_SKU=$G179))*(BULK_START&lt;=10)*(BULK_END&gt;=10))*IFERROR(BULK_VALUE,0))/MAX(1,SUMPRODUCT(((BULK_ENABLED="Y")*((BULK_TIER="ALL")+(BULK_TIER=$F179))*((BULK_SKU="ALL")+(BULK_SKU=$G179))*(BULK_START&lt;=10)*(BULK_END&gt;=10)))),0),ROUND((INDEX(VELOCITY_TABLE,MATCH($F179,TIER_LIST,0),1))*(IF((10-$I179+1)&lt;=0,0,IF((10-$I179+1)=1,RAMP_W1,IF((10-$I179+1)=2,RAMP_W2,IF((10-$I179+1)=3,RAMP_W3,RAMP_W4PLUS)))))*(INDEX(ACTIVE_MULT_TABLE,1,1))*(1+SUMPRODUCT(SIGN(((ACT_DOOR_SCOPE="ALL")+(ACT_DOOR_SCOPE="TIER_"&amp;$F179)+(ACT_DOOR_SCOPE=$B179)))*SIGN(((ACT_SKU_SCOPE="ALL")+(ACT_SKU_SCOPE=$G179)))*(ACT_START&lt;=10)*(ACT_END&gt;=10)*IFERROR(ACT_UPLIFT-1,0)))*(1+SUMPRODUCT(SIGN(((ACT_DOOR_SCOPE="ALL")+(ACT_DOOR_SCOPE="TIER_"&amp;$F179)+(ACT_DOOR_SCOPE=$B179)))*SIGN(((ACT_SKU_SCOPE="ALL")+(ACT_SKU_SCOPE=$G179)))*(10&gt;ACT_END)*(ACT_END&gt;0)*IFERROR(ACT_POSTLIFT,0))),0)))</f>
        <v/>
      </c>
      <c r="T179" s="10">
        <f>IF(OR($H179&lt;&gt;"Y",11&lt;$I179),0,IF(SUMPRODUCT(((BULK_ENABLED="Y")*((BULK_TIER="ALL")+(BULK_TIER=$F179))*((BULK_SKU="ALL")+(BULK_SKU=$G179))*(BULK_START&lt;=11)*(BULK_END&gt;=11)))&gt;0,IFERROR(SUMPRODUCT(((BULK_ENABLED="Y")*((BULK_TIER="ALL")+(BULK_TIER=$F179))*((BULK_SKU="ALL")+(BULK_SKU=$G179))*(BULK_START&lt;=11)*(BULK_END&gt;=11))*IFERROR(BULK_VALUE,0))/MAX(1,SUMPRODUCT(((BULK_ENABLED="Y")*((BULK_TIER="ALL")+(BULK_TIER=$F179))*((BULK_SKU="ALL")+(BULK_SKU=$G179))*(BULK_START&lt;=11)*(BULK_END&gt;=11)))),0),ROUND((INDEX(VELOCITY_TABLE,MATCH($F179,TIER_LIST,0),1))*(IF((11-$I179+1)&lt;=0,0,IF((11-$I179+1)=1,RAMP_W1,IF((11-$I179+1)=2,RAMP_W2,IF((11-$I179+1)=3,RAMP_W3,RAMP_W4PLUS)))))*(INDEX(ACTIVE_MULT_TABLE,1,1))*(1+SUMPRODUCT(SIGN(((ACT_DOOR_SCOPE="ALL")+(ACT_DOOR_SCOPE="TIER_"&amp;$F179)+(ACT_DOOR_SCOPE=$B179)))*SIGN(((ACT_SKU_SCOPE="ALL")+(ACT_SKU_SCOPE=$G179)))*(ACT_START&lt;=11)*(ACT_END&gt;=11)*IFERROR(ACT_UPLIFT-1,0)))*(1+SUMPRODUCT(SIGN(((ACT_DOOR_SCOPE="ALL")+(ACT_DOOR_SCOPE="TIER_"&amp;$F179)+(ACT_DOOR_SCOPE=$B179)))*SIGN(((ACT_SKU_SCOPE="ALL")+(ACT_SKU_SCOPE=$G179)))*(11&gt;ACT_END)*(ACT_END&gt;0)*IFERROR(ACT_POSTLIFT,0))),0)))</f>
        <v/>
      </c>
      <c r="U179" s="10">
        <f>IF(OR($H179&lt;&gt;"Y",12&lt;$I179),0,IF(SUMPRODUCT(((BULK_ENABLED="Y")*((BULK_TIER="ALL")+(BULK_TIER=$F179))*((BULK_SKU="ALL")+(BULK_SKU=$G179))*(BULK_START&lt;=12)*(BULK_END&gt;=12)))&gt;0,IFERROR(SUMPRODUCT(((BULK_ENABLED="Y")*((BULK_TIER="ALL")+(BULK_TIER=$F179))*((BULK_SKU="ALL")+(BULK_SKU=$G179))*(BULK_START&lt;=12)*(BULK_END&gt;=12))*IFERROR(BULK_VALUE,0))/MAX(1,SUMPRODUCT(((BULK_ENABLED="Y")*((BULK_TIER="ALL")+(BULK_TIER=$F179))*((BULK_SKU="ALL")+(BULK_SKU=$G179))*(BULK_START&lt;=12)*(BULK_END&gt;=12)))),0),ROUND((INDEX(VELOCITY_TABLE,MATCH($F179,TIER_LIST,0),1))*(IF((12-$I179+1)&lt;=0,0,IF((12-$I179+1)=1,RAMP_W1,IF((12-$I179+1)=2,RAMP_W2,IF((12-$I179+1)=3,RAMP_W3,RAMP_W4PLUS)))))*(INDEX(ACTIVE_MULT_TABLE,1,1))*(1+SUMPRODUCT(SIGN(((ACT_DOOR_SCOPE="ALL")+(ACT_DOOR_SCOPE="TIER_"&amp;$F179)+(ACT_DOOR_SCOPE=$B179)))*SIGN(((ACT_SKU_SCOPE="ALL")+(ACT_SKU_SCOPE=$G179)))*(ACT_START&lt;=12)*(ACT_END&gt;=12)*IFERROR(ACT_UPLIFT-1,0)))*(1+SUMPRODUCT(SIGN(((ACT_DOOR_SCOPE="ALL")+(ACT_DOOR_SCOPE="TIER_"&amp;$F179)+(ACT_DOOR_SCOPE=$B179)))*SIGN(((ACT_SKU_SCOPE="ALL")+(ACT_SKU_SCOPE=$G179)))*(12&gt;ACT_END)*(ACT_END&gt;0)*IFERROR(ACT_POSTLIFT,0))),0)))</f>
        <v/>
      </c>
      <c r="V179" s="10">
        <f>IF(OR($H179&lt;&gt;"Y",13&lt;$I179),0,IF(SUMPRODUCT(((BULK_ENABLED="Y")*((BULK_TIER="ALL")+(BULK_TIER=$F179))*((BULK_SKU="ALL")+(BULK_SKU=$G179))*(BULK_START&lt;=13)*(BULK_END&gt;=13)))&gt;0,IFERROR(SUMPRODUCT(((BULK_ENABLED="Y")*((BULK_TIER="ALL")+(BULK_TIER=$F179))*((BULK_SKU="ALL")+(BULK_SKU=$G179))*(BULK_START&lt;=13)*(BULK_END&gt;=13))*IFERROR(BULK_VALUE,0))/MAX(1,SUMPRODUCT(((BULK_ENABLED="Y")*((BULK_TIER="ALL")+(BULK_TIER=$F179))*((BULK_SKU="ALL")+(BULK_SKU=$G179))*(BULK_START&lt;=13)*(BULK_END&gt;=13)))),0),ROUND((INDEX(VELOCITY_TABLE,MATCH($F179,TIER_LIST,0),1))*(IF((13-$I179+1)&lt;=0,0,IF((13-$I179+1)=1,RAMP_W1,IF((13-$I179+1)=2,RAMP_W2,IF((13-$I179+1)=3,RAMP_W3,RAMP_W4PLUS)))))*(INDEX(ACTIVE_MULT_TABLE,1,1))*(1+SUMPRODUCT(SIGN(((ACT_DOOR_SCOPE="ALL")+(ACT_DOOR_SCOPE="TIER_"&amp;$F179)+(ACT_DOOR_SCOPE=$B179)))*SIGN(((ACT_SKU_SCOPE="ALL")+(ACT_SKU_SCOPE=$G179)))*(ACT_START&lt;=13)*(ACT_END&gt;=13)*IFERROR(ACT_UPLIFT-1,0)))*(1+SUMPRODUCT(SIGN(((ACT_DOOR_SCOPE="ALL")+(ACT_DOOR_SCOPE="TIER_"&amp;$F179)+(ACT_DOOR_SCOPE=$B179)))*SIGN(((ACT_SKU_SCOPE="ALL")+(ACT_SKU_SCOPE=$G179)))*(13&gt;ACT_END)*(ACT_END&gt;0)*IFERROR(ACT_POSTLIFT,0))),0)))</f>
        <v/>
      </c>
    </row>
    <row r="180">
      <c r="A180" t="inlineStr">
        <is>
          <t>R0176</t>
        </is>
      </c>
      <c r="B180">
        <f>Doors!$A$63</f>
        <v/>
      </c>
      <c r="C180">
        <f>Doors!$C$63</f>
        <v/>
      </c>
      <c r="D180">
        <f>Doors!$B$63</f>
        <v/>
      </c>
      <c r="E180">
        <f>Doors!$E$63</f>
        <v/>
      </c>
      <c r="F180">
        <f>Doors!$F$63</f>
        <v/>
      </c>
      <c r="G180" t="inlineStr">
        <is>
          <t>Pineapple Passion Fruit</t>
        </is>
      </c>
      <c r="H180">
        <f>Doors!$H$63</f>
        <v/>
      </c>
      <c r="I180">
        <f>Doors!$J$63</f>
        <v/>
      </c>
      <c r="J180" s="10">
        <f>IF(OR($H180&lt;&gt;"Y",1&lt;$I180),0,IF(SUMPRODUCT(((BULK_ENABLED="Y")*((BULK_TIER="ALL")+(BULK_TIER=$F180))*((BULK_SKU="ALL")+(BULK_SKU=$G180))*(BULK_START&lt;=1)*(BULK_END&gt;=1)))&gt;0,IFERROR(SUMPRODUCT(((BULK_ENABLED="Y")*((BULK_TIER="ALL")+(BULK_TIER=$F180))*((BULK_SKU="ALL")+(BULK_SKU=$G180))*(BULK_START&lt;=1)*(BULK_END&gt;=1))*IFERROR(BULK_VALUE,0))/MAX(1,SUMPRODUCT(((BULK_ENABLED="Y")*((BULK_TIER="ALL")+(BULK_TIER=$F180))*((BULK_SKU="ALL")+(BULK_SKU=$G180))*(BULK_START&lt;=1)*(BULK_END&gt;=1)))),0),ROUND((INDEX(VELOCITY_TABLE,MATCH($F180,TIER_LIST,0),2))*(IF((1-$I180+1)&lt;=0,0,IF((1-$I180+1)=1,RAMP_W1,IF((1-$I180+1)=2,RAMP_W2,IF((1-$I180+1)=3,RAMP_W3,RAMP_W4PLUS)))))*(INDEX(ACTIVE_MULT_TABLE,2,1))*(1+SUMPRODUCT(SIGN(((ACT_DOOR_SCOPE="ALL")+(ACT_DOOR_SCOPE="TIER_"&amp;$F180)+(ACT_DOOR_SCOPE=$B180)))*SIGN(((ACT_SKU_SCOPE="ALL")+(ACT_SKU_SCOPE=$G180)))*(ACT_START&lt;=1)*(ACT_END&gt;=1)*IFERROR(ACT_UPLIFT-1,0)))*(1+SUMPRODUCT(SIGN(((ACT_DOOR_SCOPE="ALL")+(ACT_DOOR_SCOPE="TIER_"&amp;$F180)+(ACT_DOOR_SCOPE=$B180)))*SIGN(((ACT_SKU_SCOPE="ALL")+(ACT_SKU_SCOPE=$G180)))*(1&gt;ACT_END)*(ACT_END&gt;0)*IFERROR(ACT_POSTLIFT,0))),0)))</f>
        <v/>
      </c>
      <c r="K180" s="10">
        <f>IF(OR($H180&lt;&gt;"Y",2&lt;$I180),0,IF(SUMPRODUCT(((BULK_ENABLED="Y")*((BULK_TIER="ALL")+(BULK_TIER=$F180))*((BULK_SKU="ALL")+(BULK_SKU=$G180))*(BULK_START&lt;=2)*(BULK_END&gt;=2)))&gt;0,IFERROR(SUMPRODUCT(((BULK_ENABLED="Y")*((BULK_TIER="ALL")+(BULK_TIER=$F180))*((BULK_SKU="ALL")+(BULK_SKU=$G180))*(BULK_START&lt;=2)*(BULK_END&gt;=2))*IFERROR(BULK_VALUE,0))/MAX(1,SUMPRODUCT(((BULK_ENABLED="Y")*((BULK_TIER="ALL")+(BULK_TIER=$F180))*((BULK_SKU="ALL")+(BULK_SKU=$G180))*(BULK_START&lt;=2)*(BULK_END&gt;=2)))),0),ROUND((INDEX(VELOCITY_TABLE,MATCH($F180,TIER_LIST,0),2))*(IF((2-$I180+1)&lt;=0,0,IF((2-$I180+1)=1,RAMP_W1,IF((2-$I180+1)=2,RAMP_W2,IF((2-$I180+1)=3,RAMP_W3,RAMP_W4PLUS)))))*(INDEX(ACTIVE_MULT_TABLE,2,1))*(1+SUMPRODUCT(SIGN(((ACT_DOOR_SCOPE="ALL")+(ACT_DOOR_SCOPE="TIER_"&amp;$F180)+(ACT_DOOR_SCOPE=$B180)))*SIGN(((ACT_SKU_SCOPE="ALL")+(ACT_SKU_SCOPE=$G180)))*(ACT_START&lt;=2)*(ACT_END&gt;=2)*IFERROR(ACT_UPLIFT-1,0)))*(1+SUMPRODUCT(SIGN(((ACT_DOOR_SCOPE="ALL")+(ACT_DOOR_SCOPE="TIER_"&amp;$F180)+(ACT_DOOR_SCOPE=$B180)))*SIGN(((ACT_SKU_SCOPE="ALL")+(ACT_SKU_SCOPE=$G180)))*(2&gt;ACT_END)*(ACT_END&gt;0)*IFERROR(ACT_POSTLIFT,0))),0)))</f>
        <v/>
      </c>
      <c r="L180" s="10">
        <f>IF(OR($H180&lt;&gt;"Y",3&lt;$I180),0,IF(SUMPRODUCT(((BULK_ENABLED="Y")*((BULK_TIER="ALL")+(BULK_TIER=$F180))*((BULK_SKU="ALL")+(BULK_SKU=$G180))*(BULK_START&lt;=3)*(BULK_END&gt;=3)))&gt;0,IFERROR(SUMPRODUCT(((BULK_ENABLED="Y")*((BULK_TIER="ALL")+(BULK_TIER=$F180))*((BULK_SKU="ALL")+(BULK_SKU=$G180))*(BULK_START&lt;=3)*(BULK_END&gt;=3))*IFERROR(BULK_VALUE,0))/MAX(1,SUMPRODUCT(((BULK_ENABLED="Y")*((BULK_TIER="ALL")+(BULK_TIER=$F180))*((BULK_SKU="ALL")+(BULK_SKU=$G180))*(BULK_START&lt;=3)*(BULK_END&gt;=3)))),0),ROUND((INDEX(VELOCITY_TABLE,MATCH($F180,TIER_LIST,0),2))*(IF((3-$I180+1)&lt;=0,0,IF((3-$I180+1)=1,RAMP_W1,IF((3-$I180+1)=2,RAMP_W2,IF((3-$I180+1)=3,RAMP_W3,RAMP_W4PLUS)))))*(INDEX(ACTIVE_MULT_TABLE,2,1))*(1+SUMPRODUCT(SIGN(((ACT_DOOR_SCOPE="ALL")+(ACT_DOOR_SCOPE="TIER_"&amp;$F180)+(ACT_DOOR_SCOPE=$B180)))*SIGN(((ACT_SKU_SCOPE="ALL")+(ACT_SKU_SCOPE=$G180)))*(ACT_START&lt;=3)*(ACT_END&gt;=3)*IFERROR(ACT_UPLIFT-1,0)))*(1+SUMPRODUCT(SIGN(((ACT_DOOR_SCOPE="ALL")+(ACT_DOOR_SCOPE="TIER_"&amp;$F180)+(ACT_DOOR_SCOPE=$B180)))*SIGN(((ACT_SKU_SCOPE="ALL")+(ACT_SKU_SCOPE=$G180)))*(3&gt;ACT_END)*(ACT_END&gt;0)*IFERROR(ACT_POSTLIFT,0))),0)))</f>
        <v/>
      </c>
      <c r="M180" s="10">
        <f>IF(OR($H180&lt;&gt;"Y",4&lt;$I180),0,IF(SUMPRODUCT(((BULK_ENABLED="Y")*((BULK_TIER="ALL")+(BULK_TIER=$F180))*((BULK_SKU="ALL")+(BULK_SKU=$G180))*(BULK_START&lt;=4)*(BULK_END&gt;=4)))&gt;0,IFERROR(SUMPRODUCT(((BULK_ENABLED="Y")*((BULK_TIER="ALL")+(BULK_TIER=$F180))*((BULK_SKU="ALL")+(BULK_SKU=$G180))*(BULK_START&lt;=4)*(BULK_END&gt;=4))*IFERROR(BULK_VALUE,0))/MAX(1,SUMPRODUCT(((BULK_ENABLED="Y")*((BULK_TIER="ALL")+(BULK_TIER=$F180))*((BULK_SKU="ALL")+(BULK_SKU=$G180))*(BULK_START&lt;=4)*(BULK_END&gt;=4)))),0),ROUND((INDEX(VELOCITY_TABLE,MATCH($F180,TIER_LIST,0),2))*(IF((4-$I180+1)&lt;=0,0,IF((4-$I180+1)=1,RAMP_W1,IF((4-$I180+1)=2,RAMP_W2,IF((4-$I180+1)=3,RAMP_W3,RAMP_W4PLUS)))))*(INDEX(ACTIVE_MULT_TABLE,2,1))*(1+SUMPRODUCT(SIGN(((ACT_DOOR_SCOPE="ALL")+(ACT_DOOR_SCOPE="TIER_"&amp;$F180)+(ACT_DOOR_SCOPE=$B180)))*SIGN(((ACT_SKU_SCOPE="ALL")+(ACT_SKU_SCOPE=$G180)))*(ACT_START&lt;=4)*(ACT_END&gt;=4)*IFERROR(ACT_UPLIFT-1,0)))*(1+SUMPRODUCT(SIGN(((ACT_DOOR_SCOPE="ALL")+(ACT_DOOR_SCOPE="TIER_"&amp;$F180)+(ACT_DOOR_SCOPE=$B180)))*SIGN(((ACT_SKU_SCOPE="ALL")+(ACT_SKU_SCOPE=$G180)))*(4&gt;ACT_END)*(ACT_END&gt;0)*IFERROR(ACT_POSTLIFT,0))),0)))</f>
        <v/>
      </c>
      <c r="N180" s="10">
        <f>IF(OR($H180&lt;&gt;"Y",5&lt;$I180),0,IF(SUMPRODUCT(((BULK_ENABLED="Y")*((BULK_TIER="ALL")+(BULK_TIER=$F180))*((BULK_SKU="ALL")+(BULK_SKU=$G180))*(BULK_START&lt;=5)*(BULK_END&gt;=5)))&gt;0,IFERROR(SUMPRODUCT(((BULK_ENABLED="Y")*((BULK_TIER="ALL")+(BULK_TIER=$F180))*((BULK_SKU="ALL")+(BULK_SKU=$G180))*(BULK_START&lt;=5)*(BULK_END&gt;=5))*IFERROR(BULK_VALUE,0))/MAX(1,SUMPRODUCT(((BULK_ENABLED="Y")*((BULK_TIER="ALL")+(BULK_TIER=$F180))*((BULK_SKU="ALL")+(BULK_SKU=$G180))*(BULK_START&lt;=5)*(BULK_END&gt;=5)))),0),ROUND((INDEX(VELOCITY_TABLE,MATCH($F180,TIER_LIST,0),2))*(IF((5-$I180+1)&lt;=0,0,IF((5-$I180+1)=1,RAMP_W1,IF((5-$I180+1)=2,RAMP_W2,IF((5-$I180+1)=3,RAMP_W3,RAMP_W4PLUS)))))*(INDEX(ACTIVE_MULT_TABLE,2,1))*(1+SUMPRODUCT(SIGN(((ACT_DOOR_SCOPE="ALL")+(ACT_DOOR_SCOPE="TIER_"&amp;$F180)+(ACT_DOOR_SCOPE=$B180)))*SIGN(((ACT_SKU_SCOPE="ALL")+(ACT_SKU_SCOPE=$G180)))*(ACT_START&lt;=5)*(ACT_END&gt;=5)*IFERROR(ACT_UPLIFT-1,0)))*(1+SUMPRODUCT(SIGN(((ACT_DOOR_SCOPE="ALL")+(ACT_DOOR_SCOPE="TIER_"&amp;$F180)+(ACT_DOOR_SCOPE=$B180)))*SIGN(((ACT_SKU_SCOPE="ALL")+(ACT_SKU_SCOPE=$G180)))*(5&gt;ACT_END)*(ACT_END&gt;0)*IFERROR(ACT_POSTLIFT,0))),0)))</f>
        <v/>
      </c>
      <c r="O180" s="10">
        <f>IF(OR($H180&lt;&gt;"Y",6&lt;$I180),0,IF(SUMPRODUCT(((BULK_ENABLED="Y")*((BULK_TIER="ALL")+(BULK_TIER=$F180))*((BULK_SKU="ALL")+(BULK_SKU=$G180))*(BULK_START&lt;=6)*(BULK_END&gt;=6)))&gt;0,IFERROR(SUMPRODUCT(((BULK_ENABLED="Y")*((BULK_TIER="ALL")+(BULK_TIER=$F180))*((BULK_SKU="ALL")+(BULK_SKU=$G180))*(BULK_START&lt;=6)*(BULK_END&gt;=6))*IFERROR(BULK_VALUE,0))/MAX(1,SUMPRODUCT(((BULK_ENABLED="Y")*((BULK_TIER="ALL")+(BULK_TIER=$F180))*((BULK_SKU="ALL")+(BULK_SKU=$G180))*(BULK_START&lt;=6)*(BULK_END&gt;=6)))),0),ROUND((INDEX(VELOCITY_TABLE,MATCH($F180,TIER_LIST,0),2))*(IF((6-$I180+1)&lt;=0,0,IF((6-$I180+1)=1,RAMP_W1,IF((6-$I180+1)=2,RAMP_W2,IF((6-$I180+1)=3,RAMP_W3,RAMP_W4PLUS)))))*(INDEX(ACTIVE_MULT_TABLE,2,1))*(1+SUMPRODUCT(SIGN(((ACT_DOOR_SCOPE="ALL")+(ACT_DOOR_SCOPE="TIER_"&amp;$F180)+(ACT_DOOR_SCOPE=$B180)))*SIGN(((ACT_SKU_SCOPE="ALL")+(ACT_SKU_SCOPE=$G180)))*(ACT_START&lt;=6)*(ACT_END&gt;=6)*IFERROR(ACT_UPLIFT-1,0)))*(1+SUMPRODUCT(SIGN(((ACT_DOOR_SCOPE="ALL")+(ACT_DOOR_SCOPE="TIER_"&amp;$F180)+(ACT_DOOR_SCOPE=$B180)))*SIGN(((ACT_SKU_SCOPE="ALL")+(ACT_SKU_SCOPE=$G180)))*(6&gt;ACT_END)*(ACT_END&gt;0)*IFERROR(ACT_POSTLIFT,0))),0)))</f>
        <v/>
      </c>
      <c r="P180" s="10">
        <f>IF(OR($H180&lt;&gt;"Y",7&lt;$I180),0,IF(SUMPRODUCT(((BULK_ENABLED="Y")*((BULK_TIER="ALL")+(BULK_TIER=$F180))*((BULK_SKU="ALL")+(BULK_SKU=$G180))*(BULK_START&lt;=7)*(BULK_END&gt;=7)))&gt;0,IFERROR(SUMPRODUCT(((BULK_ENABLED="Y")*((BULK_TIER="ALL")+(BULK_TIER=$F180))*((BULK_SKU="ALL")+(BULK_SKU=$G180))*(BULK_START&lt;=7)*(BULK_END&gt;=7))*IFERROR(BULK_VALUE,0))/MAX(1,SUMPRODUCT(((BULK_ENABLED="Y")*((BULK_TIER="ALL")+(BULK_TIER=$F180))*((BULK_SKU="ALL")+(BULK_SKU=$G180))*(BULK_START&lt;=7)*(BULK_END&gt;=7)))),0),ROUND((INDEX(VELOCITY_TABLE,MATCH($F180,TIER_LIST,0),2))*(IF((7-$I180+1)&lt;=0,0,IF((7-$I180+1)=1,RAMP_W1,IF((7-$I180+1)=2,RAMP_W2,IF((7-$I180+1)=3,RAMP_W3,RAMP_W4PLUS)))))*(INDEX(ACTIVE_MULT_TABLE,2,1))*(1+SUMPRODUCT(SIGN(((ACT_DOOR_SCOPE="ALL")+(ACT_DOOR_SCOPE="TIER_"&amp;$F180)+(ACT_DOOR_SCOPE=$B180)))*SIGN(((ACT_SKU_SCOPE="ALL")+(ACT_SKU_SCOPE=$G180)))*(ACT_START&lt;=7)*(ACT_END&gt;=7)*IFERROR(ACT_UPLIFT-1,0)))*(1+SUMPRODUCT(SIGN(((ACT_DOOR_SCOPE="ALL")+(ACT_DOOR_SCOPE="TIER_"&amp;$F180)+(ACT_DOOR_SCOPE=$B180)))*SIGN(((ACT_SKU_SCOPE="ALL")+(ACT_SKU_SCOPE=$G180)))*(7&gt;ACT_END)*(ACT_END&gt;0)*IFERROR(ACT_POSTLIFT,0))),0)))</f>
        <v/>
      </c>
      <c r="Q180" s="10">
        <f>IF(OR($H180&lt;&gt;"Y",8&lt;$I180),0,IF(SUMPRODUCT(((BULK_ENABLED="Y")*((BULK_TIER="ALL")+(BULK_TIER=$F180))*((BULK_SKU="ALL")+(BULK_SKU=$G180))*(BULK_START&lt;=8)*(BULK_END&gt;=8)))&gt;0,IFERROR(SUMPRODUCT(((BULK_ENABLED="Y")*((BULK_TIER="ALL")+(BULK_TIER=$F180))*((BULK_SKU="ALL")+(BULK_SKU=$G180))*(BULK_START&lt;=8)*(BULK_END&gt;=8))*IFERROR(BULK_VALUE,0))/MAX(1,SUMPRODUCT(((BULK_ENABLED="Y")*((BULK_TIER="ALL")+(BULK_TIER=$F180))*((BULK_SKU="ALL")+(BULK_SKU=$G180))*(BULK_START&lt;=8)*(BULK_END&gt;=8)))),0),ROUND((INDEX(VELOCITY_TABLE,MATCH($F180,TIER_LIST,0),2))*(IF((8-$I180+1)&lt;=0,0,IF((8-$I180+1)=1,RAMP_W1,IF((8-$I180+1)=2,RAMP_W2,IF((8-$I180+1)=3,RAMP_W3,RAMP_W4PLUS)))))*(INDEX(ACTIVE_MULT_TABLE,2,1))*(1+SUMPRODUCT(SIGN(((ACT_DOOR_SCOPE="ALL")+(ACT_DOOR_SCOPE="TIER_"&amp;$F180)+(ACT_DOOR_SCOPE=$B180)))*SIGN(((ACT_SKU_SCOPE="ALL")+(ACT_SKU_SCOPE=$G180)))*(ACT_START&lt;=8)*(ACT_END&gt;=8)*IFERROR(ACT_UPLIFT-1,0)))*(1+SUMPRODUCT(SIGN(((ACT_DOOR_SCOPE="ALL")+(ACT_DOOR_SCOPE="TIER_"&amp;$F180)+(ACT_DOOR_SCOPE=$B180)))*SIGN(((ACT_SKU_SCOPE="ALL")+(ACT_SKU_SCOPE=$G180)))*(8&gt;ACT_END)*(ACT_END&gt;0)*IFERROR(ACT_POSTLIFT,0))),0)))</f>
        <v/>
      </c>
      <c r="R180" s="10">
        <f>IF(OR($H180&lt;&gt;"Y",9&lt;$I180),0,IF(SUMPRODUCT(((BULK_ENABLED="Y")*((BULK_TIER="ALL")+(BULK_TIER=$F180))*((BULK_SKU="ALL")+(BULK_SKU=$G180))*(BULK_START&lt;=9)*(BULK_END&gt;=9)))&gt;0,IFERROR(SUMPRODUCT(((BULK_ENABLED="Y")*((BULK_TIER="ALL")+(BULK_TIER=$F180))*((BULK_SKU="ALL")+(BULK_SKU=$G180))*(BULK_START&lt;=9)*(BULK_END&gt;=9))*IFERROR(BULK_VALUE,0))/MAX(1,SUMPRODUCT(((BULK_ENABLED="Y")*((BULK_TIER="ALL")+(BULK_TIER=$F180))*((BULK_SKU="ALL")+(BULK_SKU=$G180))*(BULK_START&lt;=9)*(BULK_END&gt;=9)))),0),ROUND((INDEX(VELOCITY_TABLE,MATCH($F180,TIER_LIST,0),2))*(IF((9-$I180+1)&lt;=0,0,IF((9-$I180+1)=1,RAMP_W1,IF((9-$I180+1)=2,RAMP_W2,IF((9-$I180+1)=3,RAMP_W3,RAMP_W4PLUS)))))*(INDEX(ACTIVE_MULT_TABLE,2,1))*(1+SUMPRODUCT(SIGN(((ACT_DOOR_SCOPE="ALL")+(ACT_DOOR_SCOPE="TIER_"&amp;$F180)+(ACT_DOOR_SCOPE=$B180)))*SIGN(((ACT_SKU_SCOPE="ALL")+(ACT_SKU_SCOPE=$G180)))*(ACT_START&lt;=9)*(ACT_END&gt;=9)*IFERROR(ACT_UPLIFT-1,0)))*(1+SUMPRODUCT(SIGN(((ACT_DOOR_SCOPE="ALL")+(ACT_DOOR_SCOPE="TIER_"&amp;$F180)+(ACT_DOOR_SCOPE=$B180)))*SIGN(((ACT_SKU_SCOPE="ALL")+(ACT_SKU_SCOPE=$G180)))*(9&gt;ACT_END)*(ACT_END&gt;0)*IFERROR(ACT_POSTLIFT,0))),0)))</f>
        <v/>
      </c>
      <c r="S180" s="10">
        <f>IF(OR($H180&lt;&gt;"Y",10&lt;$I180),0,IF(SUMPRODUCT(((BULK_ENABLED="Y")*((BULK_TIER="ALL")+(BULK_TIER=$F180))*((BULK_SKU="ALL")+(BULK_SKU=$G180))*(BULK_START&lt;=10)*(BULK_END&gt;=10)))&gt;0,IFERROR(SUMPRODUCT(((BULK_ENABLED="Y")*((BULK_TIER="ALL")+(BULK_TIER=$F180))*((BULK_SKU="ALL")+(BULK_SKU=$G180))*(BULK_START&lt;=10)*(BULK_END&gt;=10))*IFERROR(BULK_VALUE,0))/MAX(1,SUMPRODUCT(((BULK_ENABLED="Y")*((BULK_TIER="ALL")+(BULK_TIER=$F180))*((BULK_SKU="ALL")+(BULK_SKU=$G180))*(BULK_START&lt;=10)*(BULK_END&gt;=10)))),0),ROUND((INDEX(VELOCITY_TABLE,MATCH($F180,TIER_LIST,0),2))*(IF((10-$I180+1)&lt;=0,0,IF((10-$I180+1)=1,RAMP_W1,IF((10-$I180+1)=2,RAMP_W2,IF((10-$I180+1)=3,RAMP_W3,RAMP_W4PLUS)))))*(INDEX(ACTIVE_MULT_TABLE,2,1))*(1+SUMPRODUCT(SIGN(((ACT_DOOR_SCOPE="ALL")+(ACT_DOOR_SCOPE="TIER_"&amp;$F180)+(ACT_DOOR_SCOPE=$B180)))*SIGN(((ACT_SKU_SCOPE="ALL")+(ACT_SKU_SCOPE=$G180)))*(ACT_START&lt;=10)*(ACT_END&gt;=10)*IFERROR(ACT_UPLIFT-1,0)))*(1+SUMPRODUCT(SIGN(((ACT_DOOR_SCOPE="ALL")+(ACT_DOOR_SCOPE="TIER_"&amp;$F180)+(ACT_DOOR_SCOPE=$B180)))*SIGN(((ACT_SKU_SCOPE="ALL")+(ACT_SKU_SCOPE=$G180)))*(10&gt;ACT_END)*(ACT_END&gt;0)*IFERROR(ACT_POSTLIFT,0))),0)))</f>
        <v/>
      </c>
      <c r="T180" s="10">
        <f>IF(OR($H180&lt;&gt;"Y",11&lt;$I180),0,IF(SUMPRODUCT(((BULK_ENABLED="Y")*((BULK_TIER="ALL")+(BULK_TIER=$F180))*((BULK_SKU="ALL")+(BULK_SKU=$G180))*(BULK_START&lt;=11)*(BULK_END&gt;=11)))&gt;0,IFERROR(SUMPRODUCT(((BULK_ENABLED="Y")*((BULK_TIER="ALL")+(BULK_TIER=$F180))*((BULK_SKU="ALL")+(BULK_SKU=$G180))*(BULK_START&lt;=11)*(BULK_END&gt;=11))*IFERROR(BULK_VALUE,0))/MAX(1,SUMPRODUCT(((BULK_ENABLED="Y")*((BULK_TIER="ALL")+(BULK_TIER=$F180))*((BULK_SKU="ALL")+(BULK_SKU=$G180))*(BULK_START&lt;=11)*(BULK_END&gt;=11)))),0),ROUND((INDEX(VELOCITY_TABLE,MATCH($F180,TIER_LIST,0),2))*(IF((11-$I180+1)&lt;=0,0,IF((11-$I180+1)=1,RAMP_W1,IF((11-$I180+1)=2,RAMP_W2,IF((11-$I180+1)=3,RAMP_W3,RAMP_W4PLUS)))))*(INDEX(ACTIVE_MULT_TABLE,2,1))*(1+SUMPRODUCT(SIGN(((ACT_DOOR_SCOPE="ALL")+(ACT_DOOR_SCOPE="TIER_"&amp;$F180)+(ACT_DOOR_SCOPE=$B180)))*SIGN(((ACT_SKU_SCOPE="ALL")+(ACT_SKU_SCOPE=$G180)))*(ACT_START&lt;=11)*(ACT_END&gt;=11)*IFERROR(ACT_UPLIFT-1,0)))*(1+SUMPRODUCT(SIGN(((ACT_DOOR_SCOPE="ALL")+(ACT_DOOR_SCOPE="TIER_"&amp;$F180)+(ACT_DOOR_SCOPE=$B180)))*SIGN(((ACT_SKU_SCOPE="ALL")+(ACT_SKU_SCOPE=$G180)))*(11&gt;ACT_END)*(ACT_END&gt;0)*IFERROR(ACT_POSTLIFT,0))),0)))</f>
        <v/>
      </c>
      <c r="U180" s="10">
        <f>IF(OR($H180&lt;&gt;"Y",12&lt;$I180),0,IF(SUMPRODUCT(((BULK_ENABLED="Y")*((BULK_TIER="ALL")+(BULK_TIER=$F180))*((BULK_SKU="ALL")+(BULK_SKU=$G180))*(BULK_START&lt;=12)*(BULK_END&gt;=12)))&gt;0,IFERROR(SUMPRODUCT(((BULK_ENABLED="Y")*((BULK_TIER="ALL")+(BULK_TIER=$F180))*((BULK_SKU="ALL")+(BULK_SKU=$G180))*(BULK_START&lt;=12)*(BULK_END&gt;=12))*IFERROR(BULK_VALUE,0))/MAX(1,SUMPRODUCT(((BULK_ENABLED="Y")*((BULK_TIER="ALL")+(BULK_TIER=$F180))*((BULK_SKU="ALL")+(BULK_SKU=$G180))*(BULK_START&lt;=12)*(BULK_END&gt;=12)))),0),ROUND((INDEX(VELOCITY_TABLE,MATCH($F180,TIER_LIST,0),2))*(IF((12-$I180+1)&lt;=0,0,IF((12-$I180+1)=1,RAMP_W1,IF((12-$I180+1)=2,RAMP_W2,IF((12-$I180+1)=3,RAMP_W3,RAMP_W4PLUS)))))*(INDEX(ACTIVE_MULT_TABLE,2,1))*(1+SUMPRODUCT(SIGN(((ACT_DOOR_SCOPE="ALL")+(ACT_DOOR_SCOPE="TIER_"&amp;$F180)+(ACT_DOOR_SCOPE=$B180)))*SIGN(((ACT_SKU_SCOPE="ALL")+(ACT_SKU_SCOPE=$G180)))*(ACT_START&lt;=12)*(ACT_END&gt;=12)*IFERROR(ACT_UPLIFT-1,0)))*(1+SUMPRODUCT(SIGN(((ACT_DOOR_SCOPE="ALL")+(ACT_DOOR_SCOPE="TIER_"&amp;$F180)+(ACT_DOOR_SCOPE=$B180)))*SIGN(((ACT_SKU_SCOPE="ALL")+(ACT_SKU_SCOPE=$G180)))*(12&gt;ACT_END)*(ACT_END&gt;0)*IFERROR(ACT_POSTLIFT,0))),0)))</f>
        <v/>
      </c>
      <c r="V180" s="10">
        <f>IF(OR($H180&lt;&gt;"Y",13&lt;$I180),0,IF(SUMPRODUCT(((BULK_ENABLED="Y")*((BULK_TIER="ALL")+(BULK_TIER=$F180))*((BULK_SKU="ALL")+(BULK_SKU=$G180))*(BULK_START&lt;=13)*(BULK_END&gt;=13)))&gt;0,IFERROR(SUMPRODUCT(((BULK_ENABLED="Y")*((BULK_TIER="ALL")+(BULK_TIER=$F180))*((BULK_SKU="ALL")+(BULK_SKU=$G180))*(BULK_START&lt;=13)*(BULK_END&gt;=13))*IFERROR(BULK_VALUE,0))/MAX(1,SUMPRODUCT(((BULK_ENABLED="Y")*((BULK_TIER="ALL")+(BULK_TIER=$F180))*((BULK_SKU="ALL")+(BULK_SKU=$G180))*(BULK_START&lt;=13)*(BULK_END&gt;=13)))),0),ROUND((INDEX(VELOCITY_TABLE,MATCH($F180,TIER_LIST,0),2))*(IF((13-$I180+1)&lt;=0,0,IF((13-$I180+1)=1,RAMP_W1,IF((13-$I180+1)=2,RAMP_W2,IF((13-$I180+1)=3,RAMP_W3,RAMP_W4PLUS)))))*(INDEX(ACTIVE_MULT_TABLE,2,1))*(1+SUMPRODUCT(SIGN(((ACT_DOOR_SCOPE="ALL")+(ACT_DOOR_SCOPE="TIER_"&amp;$F180)+(ACT_DOOR_SCOPE=$B180)))*SIGN(((ACT_SKU_SCOPE="ALL")+(ACT_SKU_SCOPE=$G180)))*(ACT_START&lt;=13)*(ACT_END&gt;=13)*IFERROR(ACT_UPLIFT-1,0)))*(1+SUMPRODUCT(SIGN(((ACT_DOOR_SCOPE="ALL")+(ACT_DOOR_SCOPE="TIER_"&amp;$F180)+(ACT_DOOR_SCOPE=$B180)))*SIGN(((ACT_SKU_SCOPE="ALL")+(ACT_SKU_SCOPE=$G180)))*(13&gt;ACT_END)*(ACT_END&gt;0)*IFERROR(ACT_POSTLIFT,0))),0)))</f>
        <v/>
      </c>
    </row>
    <row r="181">
      <c r="A181" t="inlineStr">
        <is>
          <t>R0177</t>
        </is>
      </c>
      <c r="B181">
        <f>Doors!$A$63</f>
        <v/>
      </c>
      <c r="C181">
        <f>Doors!$C$63</f>
        <v/>
      </c>
      <c r="D181">
        <f>Doors!$B$63</f>
        <v/>
      </c>
      <c r="E181">
        <f>Doors!$E$63</f>
        <v/>
      </c>
      <c r="F181">
        <f>Doors!$F$63</f>
        <v/>
      </c>
      <c r="G181" t="inlineStr">
        <is>
          <t>Raspberry</t>
        </is>
      </c>
      <c r="H181">
        <f>Doors!$I$63</f>
        <v/>
      </c>
      <c r="I181">
        <f>Doors!$J$63</f>
        <v/>
      </c>
      <c r="J181" s="10">
        <f>IF(OR($H181&lt;&gt;"Y",1&lt;$I181),0,IF(SUMPRODUCT(((BULK_ENABLED="Y")*((BULK_TIER="ALL")+(BULK_TIER=$F181))*((BULK_SKU="ALL")+(BULK_SKU=$G181))*(BULK_START&lt;=1)*(BULK_END&gt;=1)))&gt;0,IFERROR(SUMPRODUCT(((BULK_ENABLED="Y")*((BULK_TIER="ALL")+(BULK_TIER=$F181))*((BULK_SKU="ALL")+(BULK_SKU=$G181))*(BULK_START&lt;=1)*(BULK_END&gt;=1))*IFERROR(BULK_VALUE,0))/MAX(1,SUMPRODUCT(((BULK_ENABLED="Y")*((BULK_TIER="ALL")+(BULK_TIER=$F181))*((BULK_SKU="ALL")+(BULK_SKU=$G181))*(BULK_START&lt;=1)*(BULK_END&gt;=1)))),0),ROUND((INDEX(VELOCITY_TABLE,MATCH($F181,TIER_LIST,0),3))*(IF((1-$I181+1)&lt;=0,0,IF((1-$I181+1)=1,RAMP_W1,IF((1-$I181+1)=2,RAMP_W2,IF((1-$I181+1)=3,RAMP_W3,RAMP_W4PLUS)))))*(INDEX(ACTIVE_MULT_TABLE,3,1))*(1+SUMPRODUCT(SIGN(((ACT_DOOR_SCOPE="ALL")+(ACT_DOOR_SCOPE="TIER_"&amp;$F181)+(ACT_DOOR_SCOPE=$B181)))*SIGN(((ACT_SKU_SCOPE="ALL")+(ACT_SKU_SCOPE=$G181)))*(ACT_START&lt;=1)*(ACT_END&gt;=1)*IFERROR(ACT_UPLIFT-1,0)))*(1+SUMPRODUCT(SIGN(((ACT_DOOR_SCOPE="ALL")+(ACT_DOOR_SCOPE="TIER_"&amp;$F181)+(ACT_DOOR_SCOPE=$B181)))*SIGN(((ACT_SKU_SCOPE="ALL")+(ACT_SKU_SCOPE=$G181)))*(1&gt;ACT_END)*(ACT_END&gt;0)*IFERROR(ACT_POSTLIFT,0))),0)))</f>
        <v/>
      </c>
      <c r="K181" s="10">
        <f>IF(OR($H181&lt;&gt;"Y",2&lt;$I181),0,IF(SUMPRODUCT(((BULK_ENABLED="Y")*((BULK_TIER="ALL")+(BULK_TIER=$F181))*((BULK_SKU="ALL")+(BULK_SKU=$G181))*(BULK_START&lt;=2)*(BULK_END&gt;=2)))&gt;0,IFERROR(SUMPRODUCT(((BULK_ENABLED="Y")*((BULK_TIER="ALL")+(BULK_TIER=$F181))*((BULK_SKU="ALL")+(BULK_SKU=$G181))*(BULK_START&lt;=2)*(BULK_END&gt;=2))*IFERROR(BULK_VALUE,0))/MAX(1,SUMPRODUCT(((BULK_ENABLED="Y")*((BULK_TIER="ALL")+(BULK_TIER=$F181))*((BULK_SKU="ALL")+(BULK_SKU=$G181))*(BULK_START&lt;=2)*(BULK_END&gt;=2)))),0),ROUND((INDEX(VELOCITY_TABLE,MATCH($F181,TIER_LIST,0),3))*(IF((2-$I181+1)&lt;=0,0,IF((2-$I181+1)=1,RAMP_W1,IF((2-$I181+1)=2,RAMP_W2,IF((2-$I181+1)=3,RAMP_W3,RAMP_W4PLUS)))))*(INDEX(ACTIVE_MULT_TABLE,3,1))*(1+SUMPRODUCT(SIGN(((ACT_DOOR_SCOPE="ALL")+(ACT_DOOR_SCOPE="TIER_"&amp;$F181)+(ACT_DOOR_SCOPE=$B181)))*SIGN(((ACT_SKU_SCOPE="ALL")+(ACT_SKU_SCOPE=$G181)))*(ACT_START&lt;=2)*(ACT_END&gt;=2)*IFERROR(ACT_UPLIFT-1,0)))*(1+SUMPRODUCT(SIGN(((ACT_DOOR_SCOPE="ALL")+(ACT_DOOR_SCOPE="TIER_"&amp;$F181)+(ACT_DOOR_SCOPE=$B181)))*SIGN(((ACT_SKU_SCOPE="ALL")+(ACT_SKU_SCOPE=$G181)))*(2&gt;ACT_END)*(ACT_END&gt;0)*IFERROR(ACT_POSTLIFT,0))),0)))</f>
        <v/>
      </c>
      <c r="L181" s="10">
        <f>IF(OR($H181&lt;&gt;"Y",3&lt;$I181),0,IF(SUMPRODUCT(((BULK_ENABLED="Y")*((BULK_TIER="ALL")+(BULK_TIER=$F181))*((BULK_SKU="ALL")+(BULK_SKU=$G181))*(BULK_START&lt;=3)*(BULK_END&gt;=3)))&gt;0,IFERROR(SUMPRODUCT(((BULK_ENABLED="Y")*((BULK_TIER="ALL")+(BULK_TIER=$F181))*((BULK_SKU="ALL")+(BULK_SKU=$G181))*(BULK_START&lt;=3)*(BULK_END&gt;=3))*IFERROR(BULK_VALUE,0))/MAX(1,SUMPRODUCT(((BULK_ENABLED="Y")*((BULK_TIER="ALL")+(BULK_TIER=$F181))*((BULK_SKU="ALL")+(BULK_SKU=$G181))*(BULK_START&lt;=3)*(BULK_END&gt;=3)))),0),ROUND((INDEX(VELOCITY_TABLE,MATCH($F181,TIER_LIST,0),3))*(IF((3-$I181+1)&lt;=0,0,IF((3-$I181+1)=1,RAMP_W1,IF((3-$I181+1)=2,RAMP_W2,IF((3-$I181+1)=3,RAMP_W3,RAMP_W4PLUS)))))*(INDEX(ACTIVE_MULT_TABLE,3,1))*(1+SUMPRODUCT(SIGN(((ACT_DOOR_SCOPE="ALL")+(ACT_DOOR_SCOPE="TIER_"&amp;$F181)+(ACT_DOOR_SCOPE=$B181)))*SIGN(((ACT_SKU_SCOPE="ALL")+(ACT_SKU_SCOPE=$G181)))*(ACT_START&lt;=3)*(ACT_END&gt;=3)*IFERROR(ACT_UPLIFT-1,0)))*(1+SUMPRODUCT(SIGN(((ACT_DOOR_SCOPE="ALL")+(ACT_DOOR_SCOPE="TIER_"&amp;$F181)+(ACT_DOOR_SCOPE=$B181)))*SIGN(((ACT_SKU_SCOPE="ALL")+(ACT_SKU_SCOPE=$G181)))*(3&gt;ACT_END)*(ACT_END&gt;0)*IFERROR(ACT_POSTLIFT,0))),0)))</f>
        <v/>
      </c>
      <c r="M181" s="10">
        <f>IF(OR($H181&lt;&gt;"Y",4&lt;$I181),0,IF(SUMPRODUCT(((BULK_ENABLED="Y")*((BULK_TIER="ALL")+(BULK_TIER=$F181))*((BULK_SKU="ALL")+(BULK_SKU=$G181))*(BULK_START&lt;=4)*(BULK_END&gt;=4)))&gt;0,IFERROR(SUMPRODUCT(((BULK_ENABLED="Y")*((BULK_TIER="ALL")+(BULK_TIER=$F181))*((BULK_SKU="ALL")+(BULK_SKU=$G181))*(BULK_START&lt;=4)*(BULK_END&gt;=4))*IFERROR(BULK_VALUE,0))/MAX(1,SUMPRODUCT(((BULK_ENABLED="Y")*((BULK_TIER="ALL")+(BULK_TIER=$F181))*((BULK_SKU="ALL")+(BULK_SKU=$G181))*(BULK_START&lt;=4)*(BULK_END&gt;=4)))),0),ROUND((INDEX(VELOCITY_TABLE,MATCH($F181,TIER_LIST,0),3))*(IF((4-$I181+1)&lt;=0,0,IF((4-$I181+1)=1,RAMP_W1,IF((4-$I181+1)=2,RAMP_W2,IF((4-$I181+1)=3,RAMP_W3,RAMP_W4PLUS)))))*(INDEX(ACTIVE_MULT_TABLE,3,1))*(1+SUMPRODUCT(SIGN(((ACT_DOOR_SCOPE="ALL")+(ACT_DOOR_SCOPE="TIER_"&amp;$F181)+(ACT_DOOR_SCOPE=$B181)))*SIGN(((ACT_SKU_SCOPE="ALL")+(ACT_SKU_SCOPE=$G181)))*(ACT_START&lt;=4)*(ACT_END&gt;=4)*IFERROR(ACT_UPLIFT-1,0)))*(1+SUMPRODUCT(SIGN(((ACT_DOOR_SCOPE="ALL")+(ACT_DOOR_SCOPE="TIER_"&amp;$F181)+(ACT_DOOR_SCOPE=$B181)))*SIGN(((ACT_SKU_SCOPE="ALL")+(ACT_SKU_SCOPE=$G181)))*(4&gt;ACT_END)*(ACT_END&gt;0)*IFERROR(ACT_POSTLIFT,0))),0)))</f>
        <v/>
      </c>
      <c r="N181" s="10">
        <f>IF(OR($H181&lt;&gt;"Y",5&lt;$I181),0,IF(SUMPRODUCT(((BULK_ENABLED="Y")*((BULK_TIER="ALL")+(BULK_TIER=$F181))*((BULK_SKU="ALL")+(BULK_SKU=$G181))*(BULK_START&lt;=5)*(BULK_END&gt;=5)))&gt;0,IFERROR(SUMPRODUCT(((BULK_ENABLED="Y")*((BULK_TIER="ALL")+(BULK_TIER=$F181))*((BULK_SKU="ALL")+(BULK_SKU=$G181))*(BULK_START&lt;=5)*(BULK_END&gt;=5))*IFERROR(BULK_VALUE,0))/MAX(1,SUMPRODUCT(((BULK_ENABLED="Y")*((BULK_TIER="ALL")+(BULK_TIER=$F181))*((BULK_SKU="ALL")+(BULK_SKU=$G181))*(BULK_START&lt;=5)*(BULK_END&gt;=5)))),0),ROUND((INDEX(VELOCITY_TABLE,MATCH($F181,TIER_LIST,0),3))*(IF((5-$I181+1)&lt;=0,0,IF((5-$I181+1)=1,RAMP_W1,IF((5-$I181+1)=2,RAMP_W2,IF((5-$I181+1)=3,RAMP_W3,RAMP_W4PLUS)))))*(INDEX(ACTIVE_MULT_TABLE,3,1))*(1+SUMPRODUCT(SIGN(((ACT_DOOR_SCOPE="ALL")+(ACT_DOOR_SCOPE="TIER_"&amp;$F181)+(ACT_DOOR_SCOPE=$B181)))*SIGN(((ACT_SKU_SCOPE="ALL")+(ACT_SKU_SCOPE=$G181)))*(ACT_START&lt;=5)*(ACT_END&gt;=5)*IFERROR(ACT_UPLIFT-1,0)))*(1+SUMPRODUCT(SIGN(((ACT_DOOR_SCOPE="ALL")+(ACT_DOOR_SCOPE="TIER_"&amp;$F181)+(ACT_DOOR_SCOPE=$B181)))*SIGN(((ACT_SKU_SCOPE="ALL")+(ACT_SKU_SCOPE=$G181)))*(5&gt;ACT_END)*(ACT_END&gt;0)*IFERROR(ACT_POSTLIFT,0))),0)))</f>
        <v/>
      </c>
      <c r="O181" s="10">
        <f>IF(OR($H181&lt;&gt;"Y",6&lt;$I181),0,IF(SUMPRODUCT(((BULK_ENABLED="Y")*((BULK_TIER="ALL")+(BULK_TIER=$F181))*((BULK_SKU="ALL")+(BULK_SKU=$G181))*(BULK_START&lt;=6)*(BULK_END&gt;=6)))&gt;0,IFERROR(SUMPRODUCT(((BULK_ENABLED="Y")*((BULK_TIER="ALL")+(BULK_TIER=$F181))*((BULK_SKU="ALL")+(BULK_SKU=$G181))*(BULK_START&lt;=6)*(BULK_END&gt;=6))*IFERROR(BULK_VALUE,0))/MAX(1,SUMPRODUCT(((BULK_ENABLED="Y")*((BULK_TIER="ALL")+(BULK_TIER=$F181))*((BULK_SKU="ALL")+(BULK_SKU=$G181))*(BULK_START&lt;=6)*(BULK_END&gt;=6)))),0),ROUND((INDEX(VELOCITY_TABLE,MATCH($F181,TIER_LIST,0),3))*(IF((6-$I181+1)&lt;=0,0,IF((6-$I181+1)=1,RAMP_W1,IF((6-$I181+1)=2,RAMP_W2,IF((6-$I181+1)=3,RAMP_W3,RAMP_W4PLUS)))))*(INDEX(ACTIVE_MULT_TABLE,3,1))*(1+SUMPRODUCT(SIGN(((ACT_DOOR_SCOPE="ALL")+(ACT_DOOR_SCOPE="TIER_"&amp;$F181)+(ACT_DOOR_SCOPE=$B181)))*SIGN(((ACT_SKU_SCOPE="ALL")+(ACT_SKU_SCOPE=$G181)))*(ACT_START&lt;=6)*(ACT_END&gt;=6)*IFERROR(ACT_UPLIFT-1,0)))*(1+SUMPRODUCT(SIGN(((ACT_DOOR_SCOPE="ALL")+(ACT_DOOR_SCOPE="TIER_"&amp;$F181)+(ACT_DOOR_SCOPE=$B181)))*SIGN(((ACT_SKU_SCOPE="ALL")+(ACT_SKU_SCOPE=$G181)))*(6&gt;ACT_END)*(ACT_END&gt;0)*IFERROR(ACT_POSTLIFT,0))),0)))</f>
        <v/>
      </c>
      <c r="P181" s="10">
        <f>IF(OR($H181&lt;&gt;"Y",7&lt;$I181),0,IF(SUMPRODUCT(((BULK_ENABLED="Y")*((BULK_TIER="ALL")+(BULK_TIER=$F181))*((BULK_SKU="ALL")+(BULK_SKU=$G181))*(BULK_START&lt;=7)*(BULK_END&gt;=7)))&gt;0,IFERROR(SUMPRODUCT(((BULK_ENABLED="Y")*((BULK_TIER="ALL")+(BULK_TIER=$F181))*((BULK_SKU="ALL")+(BULK_SKU=$G181))*(BULK_START&lt;=7)*(BULK_END&gt;=7))*IFERROR(BULK_VALUE,0))/MAX(1,SUMPRODUCT(((BULK_ENABLED="Y")*((BULK_TIER="ALL")+(BULK_TIER=$F181))*((BULK_SKU="ALL")+(BULK_SKU=$G181))*(BULK_START&lt;=7)*(BULK_END&gt;=7)))),0),ROUND((INDEX(VELOCITY_TABLE,MATCH($F181,TIER_LIST,0),3))*(IF((7-$I181+1)&lt;=0,0,IF((7-$I181+1)=1,RAMP_W1,IF((7-$I181+1)=2,RAMP_W2,IF((7-$I181+1)=3,RAMP_W3,RAMP_W4PLUS)))))*(INDEX(ACTIVE_MULT_TABLE,3,1))*(1+SUMPRODUCT(SIGN(((ACT_DOOR_SCOPE="ALL")+(ACT_DOOR_SCOPE="TIER_"&amp;$F181)+(ACT_DOOR_SCOPE=$B181)))*SIGN(((ACT_SKU_SCOPE="ALL")+(ACT_SKU_SCOPE=$G181)))*(ACT_START&lt;=7)*(ACT_END&gt;=7)*IFERROR(ACT_UPLIFT-1,0)))*(1+SUMPRODUCT(SIGN(((ACT_DOOR_SCOPE="ALL")+(ACT_DOOR_SCOPE="TIER_"&amp;$F181)+(ACT_DOOR_SCOPE=$B181)))*SIGN(((ACT_SKU_SCOPE="ALL")+(ACT_SKU_SCOPE=$G181)))*(7&gt;ACT_END)*(ACT_END&gt;0)*IFERROR(ACT_POSTLIFT,0))),0)))</f>
        <v/>
      </c>
      <c r="Q181" s="10">
        <f>IF(OR($H181&lt;&gt;"Y",8&lt;$I181),0,IF(SUMPRODUCT(((BULK_ENABLED="Y")*((BULK_TIER="ALL")+(BULK_TIER=$F181))*((BULK_SKU="ALL")+(BULK_SKU=$G181))*(BULK_START&lt;=8)*(BULK_END&gt;=8)))&gt;0,IFERROR(SUMPRODUCT(((BULK_ENABLED="Y")*((BULK_TIER="ALL")+(BULK_TIER=$F181))*((BULK_SKU="ALL")+(BULK_SKU=$G181))*(BULK_START&lt;=8)*(BULK_END&gt;=8))*IFERROR(BULK_VALUE,0))/MAX(1,SUMPRODUCT(((BULK_ENABLED="Y")*((BULK_TIER="ALL")+(BULK_TIER=$F181))*((BULK_SKU="ALL")+(BULK_SKU=$G181))*(BULK_START&lt;=8)*(BULK_END&gt;=8)))),0),ROUND((INDEX(VELOCITY_TABLE,MATCH($F181,TIER_LIST,0),3))*(IF((8-$I181+1)&lt;=0,0,IF((8-$I181+1)=1,RAMP_W1,IF((8-$I181+1)=2,RAMP_W2,IF((8-$I181+1)=3,RAMP_W3,RAMP_W4PLUS)))))*(INDEX(ACTIVE_MULT_TABLE,3,1))*(1+SUMPRODUCT(SIGN(((ACT_DOOR_SCOPE="ALL")+(ACT_DOOR_SCOPE="TIER_"&amp;$F181)+(ACT_DOOR_SCOPE=$B181)))*SIGN(((ACT_SKU_SCOPE="ALL")+(ACT_SKU_SCOPE=$G181)))*(ACT_START&lt;=8)*(ACT_END&gt;=8)*IFERROR(ACT_UPLIFT-1,0)))*(1+SUMPRODUCT(SIGN(((ACT_DOOR_SCOPE="ALL")+(ACT_DOOR_SCOPE="TIER_"&amp;$F181)+(ACT_DOOR_SCOPE=$B181)))*SIGN(((ACT_SKU_SCOPE="ALL")+(ACT_SKU_SCOPE=$G181)))*(8&gt;ACT_END)*(ACT_END&gt;0)*IFERROR(ACT_POSTLIFT,0))),0)))</f>
        <v/>
      </c>
      <c r="R181" s="10">
        <f>IF(OR($H181&lt;&gt;"Y",9&lt;$I181),0,IF(SUMPRODUCT(((BULK_ENABLED="Y")*((BULK_TIER="ALL")+(BULK_TIER=$F181))*((BULK_SKU="ALL")+(BULK_SKU=$G181))*(BULK_START&lt;=9)*(BULK_END&gt;=9)))&gt;0,IFERROR(SUMPRODUCT(((BULK_ENABLED="Y")*((BULK_TIER="ALL")+(BULK_TIER=$F181))*((BULK_SKU="ALL")+(BULK_SKU=$G181))*(BULK_START&lt;=9)*(BULK_END&gt;=9))*IFERROR(BULK_VALUE,0))/MAX(1,SUMPRODUCT(((BULK_ENABLED="Y")*((BULK_TIER="ALL")+(BULK_TIER=$F181))*((BULK_SKU="ALL")+(BULK_SKU=$G181))*(BULK_START&lt;=9)*(BULK_END&gt;=9)))),0),ROUND((INDEX(VELOCITY_TABLE,MATCH($F181,TIER_LIST,0),3))*(IF((9-$I181+1)&lt;=0,0,IF((9-$I181+1)=1,RAMP_W1,IF((9-$I181+1)=2,RAMP_W2,IF((9-$I181+1)=3,RAMP_W3,RAMP_W4PLUS)))))*(INDEX(ACTIVE_MULT_TABLE,3,1))*(1+SUMPRODUCT(SIGN(((ACT_DOOR_SCOPE="ALL")+(ACT_DOOR_SCOPE="TIER_"&amp;$F181)+(ACT_DOOR_SCOPE=$B181)))*SIGN(((ACT_SKU_SCOPE="ALL")+(ACT_SKU_SCOPE=$G181)))*(ACT_START&lt;=9)*(ACT_END&gt;=9)*IFERROR(ACT_UPLIFT-1,0)))*(1+SUMPRODUCT(SIGN(((ACT_DOOR_SCOPE="ALL")+(ACT_DOOR_SCOPE="TIER_"&amp;$F181)+(ACT_DOOR_SCOPE=$B181)))*SIGN(((ACT_SKU_SCOPE="ALL")+(ACT_SKU_SCOPE=$G181)))*(9&gt;ACT_END)*(ACT_END&gt;0)*IFERROR(ACT_POSTLIFT,0))),0)))</f>
        <v/>
      </c>
      <c r="S181" s="10">
        <f>IF(OR($H181&lt;&gt;"Y",10&lt;$I181),0,IF(SUMPRODUCT(((BULK_ENABLED="Y")*((BULK_TIER="ALL")+(BULK_TIER=$F181))*((BULK_SKU="ALL")+(BULK_SKU=$G181))*(BULK_START&lt;=10)*(BULK_END&gt;=10)))&gt;0,IFERROR(SUMPRODUCT(((BULK_ENABLED="Y")*((BULK_TIER="ALL")+(BULK_TIER=$F181))*((BULK_SKU="ALL")+(BULK_SKU=$G181))*(BULK_START&lt;=10)*(BULK_END&gt;=10))*IFERROR(BULK_VALUE,0))/MAX(1,SUMPRODUCT(((BULK_ENABLED="Y")*((BULK_TIER="ALL")+(BULK_TIER=$F181))*((BULK_SKU="ALL")+(BULK_SKU=$G181))*(BULK_START&lt;=10)*(BULK_END&gt;=10)))),0),ROUND((INDEX(VELOCITY_TABLE,MATCH($F181,TIER_LIST,0),3))*(IF((10-$I181+1)&lt;=0,0,IF((10-$I181+1)=1,RAMP_W1,IF((10-$I181+1)=2,RAMP_W2,IF((10-$I181+1)=3,RAMP_W3,RAMP_W4PLUS)))))*(INDEX(ACTIVE_MULT_TABLE,3,1))*(1+SUMPRODUCT(SIGN(((ACT_DOOR_SCOPE="ALL")+(ACT_DOOR_SCOPE="TIER_"&amp;$F181)+(ACT_DOOR_SCOPE=$B181)))*SIGN(((ACT_SKU_SCOPE="ALL")+(ACT_SKU_SCOPE=$G181)))*(ACT_START&lt;=10)*(ACT_END&gt;=10)*IFERROR(ACT_UPLIFT-1,0)))*(1+SUMPRODUCT(SIGN(((ACT_DOOR_SCOPE="ALL")+(ACT_DOOR_SCOPE="TIER_"&amp;$F181)+(ACT_DOOR_SCOPE=$B181)))*SIGN(((ACT_SKU_SCOPE="ALL")+(ACT_SKU_SCOPE=$G181)))*(10&gt;ACT_END)*(ACT_END&gt;0)*IFERROR(ACT_POSTLIFT,0))),0)))</f>
        <v/>
      </c>
      <c r="T181" s="10">
        <f>IF(OR($H181&lt;&gt;"Y",11&lt;$I181),0,IF(SUMPRODUCT(((BULK_ENABLED="Y")*((BULK_TIER="ALL")+(BULK_TIER=$F181))*((BULK_SKU="ALL")+(BULK_SKU=$G181))*(BULK_START&lt;=11)*(BULK_END&gt;=11)))&gt;0,IFERROR(SUMPRODUCT(((BULK_ENABLED="Y")*((BULK_TIER="ALL")+(BULK_TIER=$F181))*((BULK_SKU="ALL")+(BULK_SKU=$G181))*(BULK_START&lt;=11)*(BULK_END&gt;=11))*IFERROR(BULK_VALUE,0))/MAX(1,SUMPRODUCT(((BULK_ENABLED="Y")*((BULK_TIER="ALL")+(BULK_TIER=$F181))*((BULK_SKU="ALL")+(BULK_SKU=$G181))*(BULK_START&lt;=11)*(BULK_END&gt;=11)))),0),ROUND((INDEX(VELOCITY_TABLE,MATCH($F181,TIER_LIST,0),3))*(IF((11-$I181+1)&lt;=0,0,IF((11-$I181+1)=1,RAMP_W1,IF((11-$I181+1)=2,RAMP_W2,IF((11-$I181+1)=3,RAMP_W3,RAMP_W4PLUS)))))*(INDEX(ACTIVE_MULT_TABLE,3,1))*(1+SUMPRODUCT(SIGN(((ACT_DOOR_SCOPE="ALL")+(ACT_DOOR_SCOPE="TIER_"&amp;$F181)+(ACT_DOOR_SCOPE=$B181)))*SIGN(((ACT_SKU_SCOPE="ALL")+(ACT_SKU_SCOPE=$G181)))*(ACT_START&lt;=11)*(ACT_END&gt;=11)*IFERROR(ACT_UPLIFT-1,0)))*(1+SUMPRODUCT(SIGN(((ACT_DOOR_SCOPE="ALL")+(ACT_DOOR_SCOPE="TIER_"&amp;$F181)+(ACT_DOOR_SCOPE=$B181)))*SIGN(((ACT_SKU_SCOPE="ALL")+(ACT_SKU_SCOPE=$G181)))*(11&gt;ACT_END)*(ACT_END&gt;0)*IFERROR(ACT_POSTLIFT,0))),0)))</f>
        <v/>
      </c>
      <c r="U181" s="10">
        <f>IF(OR($H181&lt;&gt;"Y",12&lt;$I181),0,IF(SUMPRODUCT(((BULK_ENABLED="Y")*((BULK_TIER="ALL")+(BULK_TIER=$F181))*((BULK_SKU="ALL")+(BULK_SKU=$G181))*(BULK_START&lt;=12)*(BULK_END&gt;=12)))&gt;0,IFERROR(SUMPRODUCT(((BULK_ENABLED="Y")*((BULK_TIER="ALL")+(BULK_TIER=$F181))*((BULK_SKU="ALL")+(BULK_SKU=$G181))*(BULK_START&lt;=12)*(BULK_END&gt;=12))*IFERROR(BULK_VALUE,0))/MAX(1,SUMPRODUCT(((BULK_ENABLED="Y")*((BULK_TIER="ALL")+(BULK_TIER=$F181))*((BULK_SKU="ALL")+(BULK_SKU=$G181))*(BULK_START&lt;=12)*(BULK_END&gt;=12)))),0),ROUND((INDEX(VELOCITY_TABLE,MATCH($F181,TIER_LIST,0),3))*(IF((12-$I181+1)&lt;=0,0,IF((12-$I181+1)=1,RAMP_W1,IF((12-$I181+1)=2,RAMP_W2,IF((12-$I181+1)=3,RAMP_W3,RAMP_W4PLUS)))))*(INDEX(ACTIVE_MULT_TABLE,3,1))*(1+SUMPRODUCT(SIGN(((ACT_DOOR_SCOPE="ALL")+(ACT_DOOR_SCOPE="TIER_"&amp;$F181)+(ACT_DOOR_SCOPE=$B181)))*SIGN(((ACT_SKU_SCOPE="ALL")+(ACT_SKU_SCOPE=$G181)))*(ACT_START&lt;=12)*(ACT_END&gt;=12)*IFERROR(ACT_UPLIFT-1,0)))*(1+SUMPRODUCT(SIGN(((ACT_DOOR_SCOPE="ALL")+(ACT_DOOR_SCOPE="TIER_"&amp;$F181)+(ACT_DOOR_SCOPE=$B181)))*SIGN(((ACT_SKU_SCOPE="ALL")+(ACT_SKU_SCOPE=$G181)))*(12&gt;ACT_END)*(ACT_END&gt;0)*IFERROR(ACT_POSTLIFT,0))),0)))</f>
        <v/>
      </c>
      <c r="V181" s="10">
        <f>IF(OR($H181&lt;&gt;"Y",13&lt;$I181),0,IF(SUMPRODUCT(((BULK_ENABLED="Y")*((BULK_TIER="ALL")+(BULK_TIER=$F181))*((BULK_SKU="ALL")+(BULK_SKU=$G181))*(BULK_START&lt;=13)*(BULK_END&gt;=13)))&gt;0,IFERROR(SUMPRODUCT(((BULK_ENABLED="Y")*((BULK_TIER="ALL")+(BULK_TIER=$F181))*((BULK_SKU="ALL")+(BULK_SKU=$G181))*(BULK_START&lt;=13)*(BULK_END&gt;=13))*IFERROR(BULK_VALUE,0))/MAX(1,SUMPRODUCT(((BULK_ENABLED="Y")*((BULK_TIER="ALL")+(BULK_TIER=$F181))*((BULK_SKU="ALL")+(BULK_SKU=$G181))*(BULK_START&lt;=13)*(BULK_END&gt;=13)))),0),ROUND((INDEX(VELOCITY_TABLE,MATCH($F181,TIER_LIST,0),3))*(IF((13-$I181+1)&lt;=0,0,IF((13-$I181+1)=1,RAMP_W1,IF((13-$I181+1)=2,RAMP_W2,IF((13-$I181+1)=3,RAMP_W3,RAMP_W4PLUS)))))*(INDEX(ACTIVE_MULT_TABLE,3,1))*(1+SUMPRODUCT(SIGN(((ACT_DOOR_SCOPE="ALL")+(ACT_DOOR_SCOPE="TIER_"&amp;$F181)+(ACT_DOOR_SCOPE=$B181)))*SIGN(((ACT_SKU_SCOPE="ALL")+(ACT_SKU_SCOPE=$G181)))*(ACT_START&lt;=13)*(ACT_END&gt;=13)*IFERROR(ACT_UPLIFT-1,0)))*(1+SUMPRODUCT(SIGN(((ACT_DOOR_SCOPE="ALL")+(ACT_DOOR_SCOPE="TIER_"&amp;$F181)+(ACT_DOOR_SCOPE=$B181)))*SIGN(((ACT_SKU_SCOPE="ALL")+(ACT_SKU_SCOPE=$G181)))*(13&gt;ACT_END)*(ACT_END&gt;0)*IFERROR(ACT_POSTLIFT,0))),0)))</f>
        <v/>
      </c>
    </row>
    <row r="182">
      <c r="A182" t="inlineStr">
        <is>
          <t>R0178</t>
        </is>
      </c>
      <c r="B182">
        <f>Doors!$A$64</f>
        <v/>
      </c>
      <c r="C182">
        <f>Doors!$C$64</f>
        <v/>
      </c>
      <c r="D182">
        <f>Doors!$B$64</f>
        <v/>
      </c>
      <c r="E182">
        <f>Doors!$E$64</f>
        <v/>
      </c>
      <c r="F182">
        <f>Doors!$F$64</f>
        <v/>
      </c>
      <c r="G182" t="inlineStr">
        <is>
          <t>Lime Lemon</t>
        </is>
      </c>
      <c r="H182">
        <f>Doors!$G$64</f>
        <v/>
      </c>
      <c r="I182">
        <f>Doors!$J$64</f>
        <v/>
      </c>
      <c r="J182" s="10">
        <f>IF(OR($H182&lt;&gt;"Y",1&lt;$I182),0,IF(SUMPRODUCT(((BULK_ENABLED="Y")*((BULK_TIER="ALL")+(BULK_TIER=$F182))*((BULK_SKU="ALL")+(BULK_SKU=$G182))*(BULK_START&lt;=1)*(BULK_END&gt;=1)))&gt;0,IFERROR(SUMPRODUCT(((BULK_ENABLED="Y")*((BULK_TIER="ALL")+(BULK_TIER=$F182))*((BULK_SKU="ALL")+(BULK_SKU=$G182))*(BULK_START&lt;=1)*(BULK_END&gt;=1))*IFERROR(BULK_VALUE,0))/MAX(1,SUMPRODUCT(((BULK_ENABLED="Y")*((BULK_TIER="ALL")+(BULK_TIER=$F182))*((BULK_SKU="ALL")+(BULK_SKU=$G182))*(BULK_START&lt;=1)*(BULK_END&gt;=1)))),0),ROUND((INDEX(VELOCITY_TABLE,MATCH($F182,TIER_LIST,0),1))*(IF((1-$I182+1)&lt;=0,0,IF((1-$I182+1)=1,RAMP_W1,IF((1-$I182+1)=2,RAMP_W2,IF((1-$I182+1)=3,RAMP_W3,RAMP_W4PLUS)))))*(INDEX(ACTIVE_MULT_TABLE,1,1))*(1+SUMPRODUCT(SIGN(((ACT_DOOR_SCOPE="ALL")+(ACT_DOOR_SCOPE="TIER_"&amp;$F182)+(ACT_DOOR_SCOPE=$B182)))*SIGN(((ACT_SKU_SCOPE="ALL")+(ACT_SKU_SCOPE=$G182)))*(ACT_START&lt;=1)*(ACT_END&gt;=1)*IFERROR(ACT_UPLIFT-1,0)))*(1+SUMPRODUCT(SIGN(((ACT_DOOR_SCOPE="ALL")+(ACT_DOOR_SCOPE="TIER_"&amp;$F182)+(ACT_DOOR_SCOPE=$B182)))*SIGN(((ACT_SKU_SCOPE="ALL")+(ACT_SKU_SCOPE=$G182)))*(1&gt;ACT_END)*(ACT_END&gt;0)*IFERROR(ACT_POSTLIFT,0))),0)))</f>
        <v/>
      </c>
      <c r="K182" s="10">
        <f>IF(OR($H182&lt;&gt;"Y",2&lt;$I182),0,IF(SUMPRODUCT(((BULK_ENABLED="Y")*((BULK_TIER="ALL")+(BULK_TIER=$F182))*((BULK_SKU="ALL")+(BULK_SKU=$G182))*(BULK_START&lt;=2)*(BULK_END&gt;=2)))&gt;0,IFERROR(SUMPRODUCT(((BULK_ENABLED="Y")*((BULK_TIER="ALL")+(BULK_TIER=$F182))*((BULK_SKU="ALL")+(BULK_SKU=$G182))*(BULK_START&lt;=2)*(BULK_END&gt;=2))*IFERROR(BULK_VALUE,0))/MAX(1,SUMPRODUCT(((BULK_ENABLED="Y")*((BULK_TIER="ALL")+(BULK_TIER=$F182))*((BULK_SKU="ALL")+(BULK_SKU=$G182))*(BULK_START&lt;=2)*(BULK_END&gt;=2)))),0),ROUND((INDEX(VELOCITY_TABLE,MATCH($F182,TIER_LIST,0),1))*(IF((2-$I182+1)&lt;=0,0,IF((2-$I182+1)=1,RAMP_W1,IF((2-$I182+1)=2,RAMP_W2,IF((2-$I182+1)=3,RAMP_W3,RAMP_W4PLUS)))))*(INDEX(ACTIVE_MULT_TABLE,1,1))*(1+SUMPRODUCT(SIGN(((ACT_DOOR_SCOPE="ALL")+(ACT_DOOR_SCOPE="TIER_"&amp;$F182)+(ACT_DOOR_SCOPE=$B182)))*SIGN(((ACT_SKU_SCOPE="ALL")+(ACT_SKU_SCOPE=$G182)))*(ACT_START&lt;=2)*(ACT_END&gt;=2)*IFERROR(ACT_UPLIFT-1,0)))*(1+SUMPRODUCT(SIGN(((ACT_DOOR_SCOPE="ALL")+(ACT_DOOR_SCOPE="TIER_"&amp;$F182)+(ACT_DOOR_SCOPE=$B182)))*SIGN(((ACT_SKU_SCOPE="ALL")+(ACT_SKU_SCOPE=$G182)))*(2&gt;ACT_END)*(ACT_END&gt;0)*IFERROR(ACT_POSTLIFT,0))),0)))</f>
        <v/>
      </c>
      <c r="L182" s="10">
        <f>IF(OR($H182&lt;&gt;"Y",3&lt;$I182),0,IF(SUMPRODUCT(((BULK_ENABLED="Y")*((BULK_TIER="ALL")+(BULK_TIER=$F182))*((BULK_SKU="ALL")+(BULK_SKU=$G182))*(BULK_START&lt;=3)*(BULK_END&gt;=3)))&gt;0,IFERROR(SUMPRODUCT(((BULK_ENABLED="Y")*((BULK_TIER="ALL")+(BULK_TIER=$F182))*((BULK_SKU="ALL")+(BULK_SKU=$G182))*(BULK_START&lt;=3)*(BULK_END&gt;=3))*IFERROR(BULK_VALUE,0))/MAX(1,SUMPRODUCT(((BULK_ENABLED="Y")*((BULK_TIER="ALL")+(BULK_TIER=$F182))*((BULK_SKU="ALL")+(BULK_SKU=$G182))*(BULK_START&lt;=3)*(BULK_END&gt;=3)))),0),ROUND((INDEX(VELOCITY_TABLE,MATCH($F182,TIER_LIST,0),1))*(IF((3-$I182+1)&lt;=0,0,IF((3-$I182+1)=1,RAMP_W1,IF((3-$I182+1)=2,RAMP_W2,IF((3-$I182+1)=3,RAMP_W3,RAMP_W4PLUS)))))*(INDEX(ACTIVE_MULT_TABLE,1,1))*(1+SUMPRODUCT(SIGN(((ACT_DOOR_SCOPE="ALL")+(ACT_DOOR_SCOPE="TIER_"&amp;$F182)+(ACT_DOOR_SCOPE=$B182)))*SIGN(((ACT_SKU_SCOPE="ALL")+(ACT_SKU_SCOPE=$G182)))*(ACT_START&lt;=3)*(ACT_END&gt;=3)*IFERROR(ACT_UPLIFT-1,0)))*(1+SUMPRODUCT(SIGN(((ACT_DOOR_SCOPE="ALL")+(ACT_DOOR_SCOPE="TIER_"&amp;$F182)+(ACT_DOOR_SCOPE=$B182)))*SIGN(((ACT_SKU_SCOPE="ALL")+(ACT_SKU_SCOPE=$G182)))*(3&gt;ACT_END)*(ACT_END&gt;0)*IFERROR(ACT_POSTLIFT,0))),0)))</f>
        <v/>
      </c>
      <c r="M182" s="10">
        <f>IF(OR($H182&lt;&gt;"Y",4&lt;$I182),0,IF(SUMPRODUCT(((BULK_ENABLED="Y")*((BULK_TIER="ALL")+(BULK_TIER=$F182))*((BULK_SKU="ALL")+(BULK_SKU=$G182))*(BULK_START&lt;=4)*(BULK_END&gt;=4)))&gt;0,IFERROR(SUMPRODUCT(((BULK_ENABLED="Y")*((BULK_TIER="ALL")+(BULK_TIER=$F182))*((BULK_SKU="ALL")+(BULK_SKU=$G182))*(BULK_START&lt;=4)*(BULK_END&gt;=4))*IFERROR(BULK_VALUE,0))/MAX(1,SUMPRODUCT(((BULK_ENABLED="Y")*((BULK_TIER="ALL")+(BULK_TIER=$F182))*((BULK_SKU="ALL")+(BULK_SKU=$G182))*(BULK_START&lt;=4)*(BULK_END&gt;=4)))),0),ROUND((INDEX(VELOCITY_TABLE,MATCH($F182,TIER_LIST,0),1))*(IF((4-$I182+1)&lt;=0,0,IF((4-$I182+1)=1,RAMP_W1,IF((4-$I182+1)=2,RAMP_W2,IF((4-$I182+1)=3,RAMP_W3,RAMP_W4PLUS)))))*(INDEX(ACTIVE_MULT_TABLE,1,1))*(1+SUMPRODUCT(SIGN(((ACT_DOOR_SCOPE="ALL")+(ACT_DOOR_SCOPE="TIER_"&amp;$F182)+(ACT_DOOR_SCOPE=$B182)))*SIGN(((ACT_SKU_SCOPE="ALL")+(ACT_SKU_SCOPE=$G182)))*(ACT_START&lt;=4)*(ACT_END&gt;=4)*IFERROR(ACT_UPLIFT-1,0)))*(1+SUMPRODUCT(SIGN(((ACT_DOOR_SCOPE="ALL")+(ACT_DOOR_SCOPE="TIER_"&amp;$F182)+(ACT_DOOR_SCOPE=$B182)))*SIGN(((ACT_SKU_SCOPE="ALL")+(ACT_SKU_SCOPE=$G182)))*(4&gt;ACT_END)*(ACT_END&gt;0)*IFERROR(ACT_POSTLIFT,0))),0)))</f>
        <v/>
      </c>
      <c r="N182" s="10">
        <f>IF(OR($H182&lt;&gt;"Y",5&lt;$I182),0,IF(SUMPRODUCT(((BULK_ENABLED="Y")*((BULK_TIER="ALL")+(BULK_TIER=$F182))*((BULK_SKU="ALL")+(BULK_SKU=$G182))*(BULK_START&lt;=5)*(BULK_END&gt;=5)))&gt;0,IFERROR(SUMPRODUCT(((BULK_ENABLED="Y")*((BULK_TIER="ALL")+(BULK_TIER=$F182))*((BULK_SKU="ALL")+(BULK_SKU=$G182))*(BULK_START&lt;=5)*(BULK_END&gt;=5))*IFERROR(BULK_VALUE,0))/MAX(1,SUMPRODUCT(((BULK_ENABLED="Y")*((BULK_TIER="ALL")+(BULK_TIER=$F182))*((BULK_SKU="ALL")+(BULK_SKU=$G182))*(BULK_START&lt;=5)*(BULK_END&gt;=5)))),0),ROUND((INDEX(VELOCITY_TABLE,MATCH($F182,TIER_LIST,0),1))*(IF((5-$I182+1)&lt;=0,0,IF((5-$I182+1)=1,RAMP_W1,IF((5-$I182+1)=2,RAMP_W2,IF((5-$I182+1)=3,RAMP_W3,RAMP_W4PLUS)))))*(INDEX(ACTIVE_MULT_TABLE,1,1))*(1+SUMPRODUCT(SIGN(((ACT_DOOR_SCOPE="ALL")+(ACT_DOOR_SCOPE="TIER_"&amp;$F182)+(ACT_DOOR_SCOPE=$B182)))*SIGN(((ACT_SKU_SCOPE="ALL")+(ACT_SKU_SCOPE=$G182)))*(ACT_START&lt;=5)*(ACT_END&gt;=5)*IFERROR(ACT_UPLIFT-1,0)))*(1+SUMPRODUCT(SIGN(((ACT_DOOR_SCOPE="ALL")+(ACT_DOOR_SCOPE="TIER_"&amp;$F182)+(ACT_DOOR_SCOPE=$B182)))*SIGN(((ACT_SKU_SCOPE="ALL")+(ACT_SKU_SCOPE=$G182)))*(5&gt;ACT_END)*(ACT_END&gt;0)*IFERROR(ACT_POSTLIFT,0))),0)))</f>
        <v/>
      </c>
      <c r="O182" s="10">
        <f>IF(OR($H182&lt;&gt;"Y",6&lt;$I182),0,IF(SUMPRODUCT(((BULK_ENABLED="Y")*((BULK_TIER="ALL")+(BULK_TIER=$F182))*((BULK_SKU="ALL")+(BULK_SKU=$G182))*(BULK_START&lt;=6)*(BULK_END&gt;=6)))&gt;0,IFERROR(SUMPRODUCT(((BULK_ENABLED="Y")*((BULK_TIER="ALL")+(BULK_TIER=$F182))*((BULK_SKU="ALL")+(BULK_SKU=$G182))*(BULK_START&lt;=6)*(BULK_END&gt;=6))*IFERROR(BULK_VALUE,0))/MAX(1,SUMPRODUCT(((BULK_ENABLED="Y")*((BULK_TIER="ALL")+(BULK_TIER=$F182))*((BULK_SKU="ALL")+(BULK_SKU=$G182))*(BULK_START&lt;=6)*(BULK_END&gt;=6)))),0),ROUND((INDEX(VELOCITY_TABLE,MATCH($F182,TIER_LIST,0),1))*(IF((6-$I182+1)&lt;=0,0,IF((6-$I182+1)=1,RAMP_W1,IF((6-$I182+1)=2,RAMP_W2,IF((6-$I182+1)=3,RAMP_W3,RAMP_W4PLUS)))))*(INDEX(ACTIVE_MULT_TABLE,1,1))*(1+SUMPRODUCT(SIGN(((ACT_DOOR_SCOPE="ALL")+(ACT_DOOR_SCOPE="TIER_"&amp;$F182)+(ACT_DOOR_SCOPE=$B182)))*SIGN(((ACT_SKU_SCOPE="ALL")+(ACT_SKU_SCOPE=$G182)))*(ACT_START&lt;=6)*(ACT_END&gt;=6)*IFERROR(ACT_UPLIFT-1,0)))*(1+SUMPRODUCT(SIGN(((ACT_DOOR_SCOPE="ALL")+(ACT_DOOR_SCOPE="TIER_"&amp;$F182)+(ACT_DOOR_SCOPE=$B182)))*SIGN(((ACT_SKU_SCOPE="ALL")+(ACT_SKU_SCOPE=$G182)))*(6&gt;ACT_END)*(ACT_END&gt;0)*IFERROR(ACT_POSTLIFT,0))),0)))</f>
        <v/>
      </c>
      <c r="P182" s="10">
        <f>IF(OR($H182&lt;&gt;"Y",7&lt;$I182),0,IF(SUMPRODUCT(((BULK_ENABLED="Y")*((BULK_TIER="ALL")+(BULK_TIER=$F182))*((BULK_SKU="ALL")+(BULK_SKU=$G182))*(BULK_START&lt;=7)*(BULK_END&gt;=7)))&gt;0,IFERROR(SUMPRODUCT(((BULK_ENABLED="Y")*((BULK_TIER="ALL")+(BULK_TIER=$F182))*((BULK_SKU="ALL")+(BULK_SKU=$G182))*(BULK_START&lt;=7)*(BULK_END&gt;=7))*IFERROR(BULK_VALUE,0))/MAX(1,SUMPRODUCT(((BULK_ENABLED="Y")*((BULK_TIER="ALL")+(BULK_TIER=$F182))*((BULK_SKU="ALL")+(BULK_SKU=$G182))*(BULK_START&lt;=7)*(BULK_END&gt;=7)))),0),ROUND((INDEX(VELOCITY_TABLE,MATCH($F182,TIER_LIST,0),1))*(IF((7-$I182+1)&lt;=0,0,IF((7-$I182+1)=1,RAMP_W1,IF((7-$I182+1)=2,RAMP_W2,IF((7-$I182+1)=3,RAMP_W3,RAMP_W4PLUS)))))*(INDEX(ACTIVE_MULT_TABLE,1,1))*(1+SUMPRODUCT(SIGN(((ACT_DOOR_SCOPE="ALL")+(ACT_DOOR_SCOPE="TIER_"&amp;$F182)+(ACT_DOOR_SCOPE=$B182)))*SIGN(((ACT_SKU_SCOPE="ALL")+(ACT_SKU_SCOPE=$G182)))*(ACT_START&lt;=7)*(ACT_END&gt;=7)*IFERROR(ACT_UPLIFT-1,0)))*(1+SUMPRODUCT(SIGN(((ACT_DOOR_SCOPE="ALL")+(ACT_DOOR_SCOPE="TIER_"&amp;$F182)+(ACT_DOOR_SCOPE=$B182)))*SIGN(((ACT_SKU_SCOPE="ALL")+(ACT_SKU_SCOPE=$G182)))*(7&gt;ACT_END)*(ACT_END&gt;0)*IFERROR(ACT_POSTLIFT,0))),0)))</f>
        <v/>
      </c>
      <c r="Q182" s="10">
        <f>IF(OR($H182&lt;&gt;"Y",8&lt;$I182),0,IF(SUMPRODUCT(((BULK_ENABLED="Y")*((BULK_TIER="ALL")+(BULK_TIER=$F182))*((BULK_SKU="ALL")+(BULK_SKU=$G182))*(BULK_START&lt;=8)*(BULK_END&gt;=8)))&gt;0,IFERROR(SUMPRODUCT(((BULK_ENABLED="Y")*((BULK_TIER="ALL")+(BULK_TIER=$F182))*((BULK_SKU="ALL")+(BULK_SKU=$G182))*(BULK_START&lt;=8)*(BULK_END&gt;=8))*IFERROR(BULK_VALUE,0))/MAX(1,SUMPRODUCT(((BULK_ENABLED="Y")*((BULK_TIER="ALL")+(BULK_TIER=$F182))*((BULK_SKU="ALL")+(BULK_SKU=$G182))*(BULK_START&lt;=8)*(BULK_END&gt;=8)))),0),ROUND((INDEX(VELOCITY_TABLE,MATCH($F182,TIER_LIST,0),1))*(IF((8-$I182+1)&lt;=0,0,IF((8-$I182+1)=1,RAMP_W1,IF((8-$I182+1)=2,RAMP_W2,IF((8-$I182+1)=3,RAMP_W3,RAMP_W4PLUS)))))*(INDEX(ACTIVE_MULT_TABLE,1,1))*(1+SUMPRODUCT(SIGN(((ACT_DOOR_SCOPE="ALL")+(ACT_DOOR_SCOPE="TIER_"&amp;$F182)+(ACT_DOOR_SCOPE=$B182)))*SIGN(((ACT_SKU_SCOPE="ALL")+(ACT_SKU_SCOPE=$G182)))*(ACT_START&lt;=8)*(ACT_END&gt;=8)*IFERROR(ACT_UPLIFT-1,0)))*(1+SUMPRODUCT(SIGN(((ACT_DOOR_SCOPE="ALL")+(ACT_DOOR_SCOPE="TIER_"&amp;$F182)+(ACT_DOOR_SCOPE=$B182)))*SIGN(((ACT_SKU_SCOPE="ALL")+(ACT_SKU_SCOPE=$G182)))*(8&gt;ACT_END)*(ACT_END&gt;0)*IFERROR(ACT_POSTLIFT,0))),0)))</f>
        <v/>
      </c>
      <c r="R182" s="10">
        <f>IF(OR($H182&lt;&gt;"Y",9&lt;$I182),0,IF(SUMPRODUCT(((BULK_ENABLED="Y")*((BULK_TIER="ALL")+(BULK_TIER=$F182))*((BULK_SKU="ALL")+(BULK_SKU=$G182))*(BULK_START&lt;=9)*(BULK_END&gt;=9)))&gt;0,IFERROR(SUMPRODUCT(((BULK_ENABLED="Y")*((BULK_TIER="ALL")+(BULK_TIER=$F182))*((BULK_SKU="ALL")+(BULK_SKU=$G182))*(BULK_START&lt;=9)*(BULK_END&gt;=9))*IFERROR(BULK_VALUE,0))/MAX(1,SUMPRODUCT(((BULK_ENABLED="Y")*((BULK_TIER="ALL")+(BULK_TIER=$F182))*((BULK_SKU="ALL")+(BULK_SKU=$G182))*(BULK_START&lt;=9)*(BULK_END&gt;=9)))),0),ROUND((INDEX(VELOCITY_TABLE,MATCH($F182,TIER_LIST,0),1))*(IF((9-$I182+1)&lt;=0,0,IF((9-$I182+1)=1,RAMP_W1,IF((9-$I182+1)=2,RAMP_W2,IF((9-$I182+1)=3,RAMP_W3,RAMP_W4PLUS)))))*(INDEX(ACTIVE_MULT_TABLE,1,1))*(1+SUMPRODUCT(SIGN(((ACT_DOOR_SCOPE="ALL")+(ACT_DOOR_SCOPE="TIER_"&amp;$F182)+(ACT_DOOR_SCOPE=$B182)))*SIGN(((ACT_SKU_SCOPE="ALL")+(ACT_SKU_SCOPE=$G182)))*(ACT_START&lt;=9)*(ACT_END&gt;=9)*IFERROR(ACT_UPLIFT-1,0)))*(1+SUMPRODUCT(SIGN(((ACT_DOOR_SCOPE="ALL")+(ACT_DOOR_SCOPE="TIER_"&amp;$F182)+(ACT_DOOR_SCOPE=$B182)))*SIGN(((ACT_SKU_SCOPE="ALL")+(ACT_SKU_SCOPE=$G182)))*(9&gt;ACT_END)*(ACT_END&gt;0)*IFERROR(ACT_POSTLIFT,0))),0)))</f>
        <v/>
      </c>
      <c r="S182" s="10">
        <f>IF(OR($H182&lt;&gt;"Y",10&lt;$I182),0,IF(SUMPRODUCT(((BULK_ENABLED="Y")*((BULK_TIER="ALL")+(BULK_TIER=$F182))*((BULK_SKU="ALL")+(BULK_SKU=$G182))*(BULK_START&lt;=10)*(BULK_END&gt;=10)))&gt;0,IFERROR(SUMPRODUCT(((BULK_ENABLED="Y")*((BULK_TIER="ALL")+(BULK_TIER=$F182))*((BULK_SKU="ALL")+(BULK_SKU=$G182))*(BULK_START&lt;=10)*(BULK_END&gt;=10))*IFERROR(BULK_VALUE,0))/MAX(1,SUMPRODUCT(((BULK_ENABLED="Y")*((BULK_TIER="ALL")+(BULK_TIER=$F182))*((BULK_SKU="ALL")+(BULK_SKU=$G182))*(BULK_START&lt;=10)*(BULK_END&gt;=10)))),0),ROUND((INDEX(VELOCITY_TABLE,MATCH($F182,TIER_LIST,0),1))*(IF((10-$I182+1)&lt;=0,0,IF((10-$I182+1)=1,RAMP_W1,IF((10-$I182+1)=2,RAMP_W2,IF((10-$I182+1)=3,RAMP_W3,RAMP_W4PLUS)))))*(INDEX(ACTIVE_MULT_TABLE,1,1))*(1+SUMPRODUCT(SIGN(((ACT_DOOR_SCOPE="ALL")+(ACT_DOOR_SCOPE="TIER_"&amp;$F182)+(ACT_DOOR_SCOPE=$B182)))*SIGN(((ACT_SKU_SCOPE="ALL")+(ACT_SKU_SCOPE=$G182)))*(ACT_START&lt;=10)*(ACT_END&gt;=10)*IFERROR(ACT_UPLIFT-1,0)))*(1+SUMPRODUCT(SIGN(((ACT_DOOR_SCOPE="ALL")+(ACT_DOOR_SCOPE="TIER_"&amp;$F182)+(ACT_DOOR_SCOPE=$B182)))*SIGN(((ACT_SKU_SCOPE="ALL")+(ACT_SKU_SCOPE=$G182)))*(10&gt;ACT_END)*(ACT_END&gt;0)*IFERROR(ACT_POSTLIFT,0))),0)))</f>
        <v/>
      </c>
      <c r="T182" s="10">
        <f>IF(OR($H182&lt;&gt;"Y",11&lt;$I182),0,IF(SUMPRODUCT(((BULK_ENABLED="Y")*((BULK_TIER="ALL")+(BULK_TIER=$F182))*((BULK_SKU="ALL")+(BULK_SKU=$G182))*(BULK_START&lt;=11)*(BULK_END&gt;=11)))&gt;0,IFERROR(SUMPRODUCT(((BULK_ENABLED="Y")*((BULK_TIER="ALL")+(BULK_TIER=$F182))*((BULK_SKU="ALL")+(BULK_SKU=$G182))*(BULK_START&lt;=11)*(BULK_END&gt;=11))*IFERROR(BULK_VALUE,0))/MAX(1,SUMPRODUCT(((BULK_ENABLED="Y")*((BULK_TIER="ALL")+(BULK_TIER=$F182))*((BULK_SKU="ALL")+(BULK_SKU=$G182))*(BULK_START&lt;=11)*(BULK_END&gt;=11)))),0),ROUND((INDEX(VELOCITY_TABLE,MATCH($F182,TIER_LIST,0),1))*(IF((11-$I182+1)&lt;=0,0,IF((11-$I182+1)=1,RAMP_W1,IF((11-$I182+1)=2,RAMP_W2,IF((11-$I182+1)=3,RAMP_W3,RAMP_W4PLUS)))))*(INDEX(ACTIVE_MULT_TABLE,1,1))*(1+SUMPRODUCT(SIGN(((ACT_DOOR_SCOPE="ALL")+(ACT_DOOR_SCOPE="TIER_"&amp;$F182)+(ACT_DOOR_SCOPE=$B182)))*SIGN(((ACT_SKU_SCOPE="ALL")+(ACT_SKU_SCOPE=$G182)))*(ACT_START&lt;=11)*(ACT_END&gt;=11)*IFERROR(ACT_UPLIFT-1,0)))*(1+SUMPRODUCT(SIGN(((ACT_DOOR_SCOPE="ALL")+(ACT_DOOR_SCOPE="TIER_"&amp;$F182)+(ACT_DOOR_SCOPE=$B182)))*SIGN(((ACT_SKU_SCOPE="ALL")+(ACT_SKU_SCOPE=$G182)))*(11&gt;ACT_END)*(ACT_END&gt;0)*IFERROR(ACT_POSTLIFT,0))),0)))</f>
        <v/>
      </c>
      <c r="U182" s="10">
        <f>IF(OR($H182&lt;&gt;"Y",12&lt;$I182),0,IF(SUMPRODUCT(((BULK_ENABLED="Y")*((BULK_TIER="ALL")+(BULK_TIER=$F182))*((BULK_SKU="ALL")+(BULK_SKU=$G182))*(BULK_START&lt;=12)*(BULK_END&gt;=12)))&gt;0,IFERROR(SUMPRODUCT(((BULK_ENABLED="Y")*((BULK_TIER="ALL")+(BULK_TIER=$F182))*((BULK_SKU="ALL")+(BULK_SKU=$G182))*(BULK_START&lt;=12)*(BULK_END&gt;=12))*IFERROR(BULK_VALUE,0))/MAX(1,SUMPRODUCT(((BULK_ENABLED="Y")*((BULK_TIER="ALL")+(BULK_TIER=$F182))*((BULK_SKU="ALL")+(BULK_SKU=$G182))*(BULK_START&lt;=12)*(BULK_END&gt;=12)))),0),ROUND((INDEX(VELOCITY_TABLE,MATCH($F182,TIER_LIST,0),1))*(IF((12-$I182+1)&lt;=0,0,IF((12-$I182+1)=1,RAMP_W1,IF((12-$I182+1)=2,RAMP_W2,IF((12-$I182+1)=3,RAMP_W3,RAMP_W4PLUS)))))*(INDEX(ACTIVE_MULT_TABLE,1,1))*(1+SUMPRODUCT(SIGN(((ACT_DOOR_SCOPE="ALL")+(ACT_DOOR_SCOPE="TIER_"&amp;$F182)+(ACT_DOOR_SCOPE=$B182)))*SIGN(((ACT_SKU_SCOPE="ALL")+(ACT_SKU_SCOPE=$G182)))*(ACT_START&lt;=12)*(ACT_END&gt;=12)*IFERROR(ACT_UPLIFT-1,0)))*(1+SUMPRODUCT(SIGN(((ACT_DOOR_SCOPE="ALL")+(ACT_DOOR_SCOPE="TIER_"&amp;$F182)+(ACT_DOOR_SCOPE=$B182)))*SIGN(((ACT_SKU_SCOPE="ALL")+(ACT_SKU_SCOPE=$G182)))*(12&gt;ACT_END)*(ACT_END&gt;0)*IFERROR(ACT_POSTLIFT,0))),0)))</f>
        <v/>
      </c>
      <c r="V182" s="10">
        <f>IF(OR($H182&lt;&gt;"Y",13&lt;$I182),0,IF(SUMPRODUCT(((BULK_ENABLED="Y")*((BULK_TIER="ALL")+(BULK_TIER=$F182))*((BULK_SKU="ALL")+(BULK_SKU=$G182))*(BULK_START&lt;=13)*(BULK_END&gt;=13)))&gt;0,IFERROR(SUMPRODUCT(((BULK_ENABLED="Y")*((BULK_TIER="ALL")+(BULK_TIER=$F182))*((BULK_SKU="ALL")+(BULK_SKU=$G182))*(BULK_START&lt;=13)*(BULK_END&gt;=13))*IFERROR(BULK_VALUE,0))/MAX(1,SUMPRODUCT(((BULK_ENABLED="Y")*((BULK_TIER="ALL")+(BULK_TIER=$F182))*((BULK_SKU="ALL")+(BULK_SKU=$G182))*(BULK_START&lt;=13)*(BULK_END&gt;=13)))),0),ROUND((INDEX(VELOCITY_TABLE,MATCH($F182,TIER_LIST,0),1))*(IF((13-$I182+1)&lt;=0,0,IF((13-$I182+1)=1,RAMP_W1,IF((13-$I182+1)=2,RAMP_W2,IF((13-$I182+1)=3,RAMP_W3,RAMP_W4PLUS)))))*(INDEX(ACTIVE_MULT_TABLE,1,1))*(1+SUMPRODUCT(SIGN(((ACT_DOOR_SCOPE="ALL")+(ACT_DOOR_SCOPE="TIER_"&amp;$F182)+(ACT_DOOR_SCOPE=$B182)))*SIGN(((ACT_SKU_SCOPE="ALL")+(ACT_SKU_SCOPE=$G182)))*(ACT_START&lt;=13)*(ACT_END&gt;=13)*IFERROR(ACT_UPLIFT-1,0)))*(1+SUMPRODUCT(SIGN(((ACT_DOOR_SCOPE="ALL")+(ACT_DOOR_SCOPE="TIER_"&amp;$F182)+(ACT_DOOR_SCOPE=$B182)))*SIGN(((ACT_SKU_SCOPE="ALL")+(ACT_SKU_SCOPE=$G182)))*(13&gt;ACT_END)*(ACT_END&gt;0)*IFERROR(ACT_POSTLIFT,0))),0)))</f>
        <v/>
      </c>
    </row>
    <row r="183">
      <c r="A183" t="inlineStr">
        <is>
          <t>R0179</t>
        </is>
      </c>
      <c r="B183">
        <f>Doors!$A$64</f>
        <v/>
      </c>
      <c r="C183">
        <f>Doors!$C$64</f>
        <v/>
      </c>
      <c r="D183">
        <f>Doors!$B$64</f>
        <v/>
      </c>
      <c r="E183">
        <f>Doors!$E$64</f>
        <v/>
      </c>
      <c r="F183">
        <f>Doors!$F$64</f>
        <v/>
      </c>
      <c r="G183" t="inlineStr">
        <is>
          <t>Pineapple Passion Fruit</t>
        </is>
      </c>
      <c r="H183">
        <f>Doors!$H$64</f>
        <v/>
      </c>
      <c r="I183">
        <f>Doors!$J$64</f>
        <v/>
      </c>
      <c r="J183" s="10">
        <f>IF(OR($H183&lt;&gt;"Y",1&lt;$I183),0,IF(SUMPRODUCT(((BULK_ENABLED="Y")*((BULK_TIER="ALL")+(BULK_TIER=$F183))*((BULK_SKU="ALL")+(BULK_SKU=$G183))*(BULK_START&lt;=1)*(BULK_END&gt;=1)))&gt;0,IFERROR(SUMPRODUCT(((BULK_ENABLED="Y")*((BULK_TIER="ALL")+(BULK_TIER=$F183))*((BULK_SKU="ALL")+(BULK_SKU=$G183))*(BULK_START&lt;=1)*(BULK_END&gt;=1))*IFERROR(BULK_VALUE,0))/MAX(1,SUMPRODUCT(((BULK_ENABLED="Y")*((BULK_TIER="ALL")+(BULK_TIER=$F183))*((BULK_SKU="ALL")+(BULK_SKU=$G183))*(BULK_START&lt;=1)*(BULK_END&gt;=1)))),0),ROUND((INDEX(VELOCITY_TABLE,MATCH($F183,TIER_LIST,0),2))*(IF((1-$I183+1)&lt;=0,0,IF((1-$I183+1)=1,RAMP_W1,IF((1-$I183+1)=2,RAMP_W2,IF((1-$I183+1)=3,RAMP_W3,RAMP_W4PLUS)))))*(INDEX(ACTIVE_MULT_TABLE,2,1))*(1+SUMPRODUCT(SIGN(((ACT_DOOR_SCOPE="ALL")+(ACT_DOOR_SCOPE="TIER_"&amp;$F183)+(ACT_DOOR_SCOPE=$B183)))*SIGN(((ACT_SKU_SCOPE="ALL")+(ACT_SKU_SCOPE=$G183)))*(ACT_START&lt;=1)*(ACT_END&gt;=1)*IFERROR(ACT_UPLIFT-1,0)))*(1+SUMPRODUCT(SIGN(((ACT_DOOR_SCOPE="ALL")+(ACT_DOOR_SCOPE="TIER_"&amp;$F183)+(ACT_DOOR_SCOPE=$B183)))*SIGN(((ACT_SKU_SCOPE="ALL")+(ACT_SKU_SCOPE=$G183)))*(1&gt;ACT_END)*(ACT_END&gt;0)*IFERROR(ACT_POSTLIFT,0))),0)))</f>
        <v/>
      </c>
      <c r="K183" s="10">
        <f>IF(OR($H183&lt;&gt;"Y",2&lt;$I183),0,IF(SUMPRODUCT(((BULK_ENABLED="Y")*((BULK_TIER="ALL")+(BULK_TIER=$F183))*((BULK_SKU="ALL")+(BULK_SKU=$G183))*(BULK_START&lt;=2)*(BULK_END&gt;=2)))&gt;0,IFERROR(SUMPRODUCT(((BULK_ENABLED="Y")*((BULK_TIER="ALL")+(BULK_TIER=$F183))*((BULK_SKU="ALL")+(BULK_SKU=$G183))*(BULK_START&lt;=2)*(BULK_END&gt;=2))*IFERROR(BULK_VALUE,0))/MAX(1,SUMPRODUCT(((BULK_ENABLED="Y")*((BULK_TIER="ALL")+(BULK_TIER=$F183))*((BULK_SKU="ALL")+(BULK_SKU=$G183))*(BULK_START&lt;=2)*(BULK_END&gt;=2)))),0),ROUND((INDEX(VELOCITY_TABLE,MATCH($F183,TIER_LIST,0),2))*(IF((2-$I183+1)&lt;=0,0,IF((2-$I183+1)=1,RAMP_W1,IF((2-$I183+1)=2,RAMP_W2,IF((2-$I183+1)=3,RAMP_W3,RAMP_W4PLUS)))))*(INDEX(ACTIVE_MULT_TABLE,2,1))*(1+SUMPRODUCT(SIGN(((ACT_DOOR_SCOPE="ALL")+(ACT_DOOR_SCOPE="TIER_"&amp;$F183)+(ACT_DOOR_SCOPE=$B183)))*SIGN(((ACT_SKU_SCOPE="ALL")+(ACT_SKU_SCOPE=$G183)))*(ACT_START&lt;=2)*(ACT_END&gt;=2)*IFERROR(ACT_UPLIFT-1,0)))*(1+SUMPRODUCT(SIGN(((ACT_DOOR_SCOPE="ALL")+(ACT_DOOR_SCOPE="TIER_"&amp;$F183)+(ACT_DOOR_SCOPE=$B183)))*SIGN(((ACT_SKU_SCOPE="ALL")+(ACT_SKU_SCOPE=$G183)))*(2&gt;ACT_END)*(ACT_END&gt;0)*IFERROR(ACT_POSTLIFT,0))),0)))</f>
        <v/>
      </c>
      <c r="L183" s="10">
        <f>IF(OR($H183&lt;&gt;"Y",3&lt;$I183),0,IF(SUMPRODUCT(((BULK_ENABLED="Y")*((BULK_TIER="ALL")+(BULK_TIER=$F183))*((BULK_SKU="ALL")+(BULK_SKU=$G183))*(BULK_START&lt;=3)*(BULK_END&gt;=3)))&gt;0,IFERROR(SUMPRODUCT(((BULK_ENABLED="Y")*((BULK_TIER="ALL")+(BULK_TIER=$F183))*((BULK_SKU="ALL")+(BULK_SKU=$G183))*(BULK_START&lt;=3)*(BULK_END&gt;=3))*IFERROR(BULK_VALUE,0))/MAX(1,SUMPRODUCT(((BULK_ENABLED="Y")*((BULK_TIER="ALL")+(BULK_TIER=$F183))*((BULK_SKU="ALL")+(BULK_SKU=$G183))*(BULK_START&lt;=3)*(BULK_END&gt;=3)))),0),ROUND((INDEX(VELOCITY_TABLE,MATCH($F183,TIER_LIST,0),2))*(IF((3-$I183+1)&lt;=0,0,IF((3-$I183+1)=1,RAMP_W1,IF((3-$I183+1)=2,RAMP_W2,IF((3-$I183+1)=3,RAMP_W3,RAMP_W4PLUS)))))*(INDEX(ACTIVE_MULT_TABLE,2,1))*(1+SUMPRODUCT(SIGN(((ACT_DOOR_SCOPE="ALL")+(ACT_DOOR_SCOPE="TIER_"&amp;$F183)+(ACT_DOOR_SCOPE=$B183)))*SIGN(((ACT_SKU_SCOPE="ALL")+(ACT_SKU_SCOPE=$G183)))*(ACT_START&lt;=3)*(ACT_END&gt;=3)*IFERROR(ACT_UPLIFT-1,0)))*(1+SUMPRODUCT(SIGN(((ACT_DOOR_SCOPE="ALL")+(ACT_DOOR_SCOPE="TIER_"&amp;$F183)+(ACT_DOOR_SCOPE=$B183)))*SIGN(((ACT_SKU_SCOPE="ALL")+(ACT_SKU_SCOPE=$G183)))*(3&gt;ACT_END)*(ACT_END&gt;0)*IFERROR(ACT_POSTLIFT,0))),0)))</f>
        <v/>
      </c>
      <c r="M183" s="10">
        <f>IF(OR($H183&lt;&gt;"Y",4&lt;$I183),0,IF(SUMPRODUCT(((BULK_ENABLED="Y")*((BULK_TIER="ALL")+(BULK_TIER=$F183))*((BULK_SKU="ALL")+(BULK_SKU=$G183))*(BULK_START&lt;=4)*(BULK_END&gt;=4)))&gt;0,IFERROR(SUMPRODUCT(((BULK_ENABLED="Y")*((BULK_TIER="ALL")+(BULK_TIER=$F183))*((BULK_SKU="ALL")+(BULK_SKU=$G183))*(BULK_START&lt;=4)*(BULK_END&gt;=4))*IFERROR(BULK_VALUE,0))/MAX(1,SUMPRODUCT(((BULK_ENABLED="Y")*((BULK_TIER="ALL")+(BULK_TIER=$F183))*((BULK_SKU="ALL")+(BULK_SKU=$G183))*(BULK_START&lt;=4)*(BULK_END&gt;=4)))),0),ROUND((INDEX(VELOCITY_TABLE,MATCH($F183,TIER_LIST,0),2))*(IF((4-$I183+1)&lt;=0,0,IF((4-$I183+1)=1,RAMP_W1,IF((4-$I183+1)=2,RAMP_W2,IF((4-$I183+1)=3,RAMP_W3,RAMP_W4PLUS)))))*(INDEX(ACTIVE_MULT_TABLE,2,1))*(1+SUMPRODUCT(SIGN(((ACT_DOOR_SCOPE="ALL")+(ACT_DOOR_SCOPE="TIER_"&amp;$F183)+(ACT_DOOR_SCOPE=$B183)))*SIGN(((ACT_SKU_SCOPE="ALL")+(ACT_SKU_SCOPE=$G183)))*(ACT_START&lt;=4)*(ACT_END&gt;=4)*IFERROR(ACT_UPLIFT-1,0)))*(1+SUMPRODUCT(SIGN(((ACT_DOOR_SCOPE="ALL")+(ACT_DOOR_SCOPE="TIER_"&amp;$F183)+(ACT_DOOR_SCOPE=$B183)))*SIGN(((ACT_SKU_SCOPE="ALL")+(ACT_SKU_SCOPE=$G183)))*(4&gt;ACT_END)*(ACT_END&gt;0)*IFERROR(ACT_POSTLIFT,0))),0)))</f>
        <v/>
      </c>
      <c r="N183" s="10">
        <f>IF(OR($H183&lt;&gt;"Y",5&lt;$I183),0,IF(SUMPRODUCT(((BULK_ENABLED="Y")*((BULK_TIER="ALL")+(BULK_TIER=$F183))*((BULK_SKU="ALL")+(BULK_SKU=$G183))*(BULK_START&lt;=5)*(BULK_END&gt;=5)))&gt;0,IFERROR(SUMPRODUCT(((BULK_ENABLED="Y")*((BULK_TIER="ALL")+(BULK_TIER=$F183))*((BULK_SKU="ALL")+(BULK_SKU=$G183))*(BULK_START&lt;=5)*(BULK_END&gt;=5))*IFERROR(BULK_VALUE,0))/MAX(1,SUMPRODUCT(((BULK_ENABLED="Y")*((BULK_TIER="ALL")+(BULK_TIER=$F183))*((BULK_SKU="ALL")+(BULK_SKU=$G183))*(BULK_START&lt;=5)*(BULK_END&gt;=5)))),0),ROUND((INDEX(VELOCITY_TABLE,MATCH($F183,TIER_LIST,0),2))*(IF((5-$I183+1)&lt;=0,0,IF((5-$I183+1)=1,RAMP_W1,IF((5-$I183+1)=2,RAMP_W2,IF((5-$I183+1)=3,RAMP_W3,RAMP_W4PLUS)))))*(INDEX(ACTIVE_MULT_TABLE,2,1))*(1+SUMPRODUCT(SIGN(((ACT_DOOR_SCOPE="ALL")+(ACT_DOOR_SCOPE="TIER_"&amp;$F183)+(ACT_DOOR_SCOPE=$B183)))*SIGN(((ACT_SKU_SCOPE="ALL")+(ACT_SKU_SCOPE=$G183)))*(ACT_START&lt;=5)*(ACT_END&gt;=5)*IFERROR(ACT_UPLIFT-1,0)))*(1+SUMPRODUCT(SIGN(((ACT_DOOR_SCOPE="ALL")+(ACT_DOOR_SCOPE="TIER_"&amp;$F183)+(ACT_DOOR_SCOPE=$B183)))*SIGN(((ACT_SKU_SCOPE="ALL")+(ACT_SKU_SCOPE=$G183)))*(5&gt;ACT_END)*(ACT_END&gt;0)*IFERROR(ACT_POSTLIFT,0))),0)))</f>
        <v/>
      </c>
      <c r="O183" s="10">
        <f>IF(OR($H183&lt;&gt;"Y",6&lt;$I183),0,IF(SUMPRODUCT(((BULK_ENABLED="Y")*((BULK_TIER="ALL")+(BULK_TIER=$F183))*((BULK_SKU="ALL")+(BULK_SKU=$G183))*(BULK_START&lt;=6)*(BULK_END&gt;=6)))&gt;0,IFERROR(SUMPRODUCT(((BULK_ENABLED="Y")*((BULK_TIER="ALL")+(BULK_TIER=$F183))*((BULK_SKU="ALL")+(BULK_SKU=$G183))*(BULK_START&lt;=6)*(BULK_END&gt;=6))*IFERROR(BULK_VALUE,0))/MAX(1,SUMPRODUCT(((BULK_ENABLED="Y")*((BULK_TIER="ALL")+(BULK_TIER=$F183))*((BULK_SKU="ALL")+(BULK_SKU=$G183))*(BULK_START&lt;=6)*(BULK_END&gt;=6)))),0),ROUND((INDEX(VELOCITY_TABLE,MATCH($F183,TIER_LIST,0),2))*(IF((6-$I183+1)&lt;=0,0,IF((6-$I183+1)=1,RAMP_W1,IF((6-$I183+1)=2,RAMP_W2,IF((6-$I183+1)=3,RAMP_W3,RAMP_W4PLUS)))))*(INDEX(ACTIVE_MULT_TABLE,2,1))*(1+SUMPRODUCT(SIGN(((ACT_DOOR_SCOPE="ALL")+(ACT_DOOR_SCOPE="TIER_"&amp;$F183)+(ACT_DOOR_SCOPE=$B183)))*SIGN(((ACT_SKU_SCOPE="ALL")+(ACT_SKU_SCOPE=$G183)))*(ACT_START&lt;=6)*(ACT_END&gt;=6)*IFERROR(ACT_UPLIFT-1,0)))*(1+SUMPRODUCT(SIGN(((ACT_DOOR_SCOPE="ALL")+(ACT_DOOR_SCOPE="TIER_"&amp;$F183)+(ACT_DOOR_SCOPE=$B183)))*SIGN(((ACT_SKU_SCOPE="ALL")+(ACT_SKU_SCOPE=$G183)))*(6&gt;ACT_END)*(ACT_END&gt;0)*IFERROR(ACT_POSTLIFT,0))),0)))</f>
        <v/>
      </c>
      <c r="P183" s="10">
        <f>IF(OR($H183&lt;&gt;"Y",7&lt;$I183),0,IF(SUMPRODUCT(((BULK_ENABLED="Y")*((BULK_TIER="ALL")+(BULK_TIER=$F183))*((BULK_SKU="ALL")+(BULK_SKU=$G183))*(BULK_START&lt;=7)*(BULK_END&gt;=7)))&gt;0,IFERROR(SUMPRODUCT(((BULK_ENABLED="Y")*((BULK_TIER="ALL")+(BULK_TIER=$F183))*((BULK_SKU="ALL")+(BULK_SKU=$G183))*(BULK_START&lt;=7)*(BULK_END&gt;=7))*IFERROR(BULK_VALUE,0))/MAX(1,SUMPRODUCT(((BULK_ENABLED="Y")*((BULK_TIER="ALL")+(BULK_TIER=$F183))*((BULK_SKU="ALL")+(BULK_SKU=$G183))*(BULK_START&lt;=7)*(BULK_END&gt;=7)))),0),ROUND((INDEX(VELOCITY_TABLE,MATCH($F183,TIER_LIST,0),2))*(IF((7-$I183+1)&lt;=0,0,IF((7-$I183+1)=1,RAMP_W1,IF((7-$I183+1)=2,RAMP_W2,IF((7-$I183+1)=3,RAMP_W3,RAMP_W4PLUS)))))*(INDEX(ACTIVE_MULT_TABLE,2,1))*(1+SUMPRODUCT(SIGN(((ACT_DOOR_SCOPE="ALL")+(ACT_DOOR_SCOPE="TIER_"&amp;$F183)+(ACT_DOOR_SCOPE=$B183)))*SIGN(((ACT_SKU_SCOPE="ALL")+(ACT_SKU_SCOPE=$G183)))*(ACT_START&lt;=7)*(ACT_END&gt;=7)*IFERROR(ACT_UPLIFT-1,0)))*(1+SUMPRODUCT(SIGN(((ACT_DOOR_SCOPE="ALL")+(ACT_DOOR_SCOPE="TIER_"&amp;$F183)+(ACT_DOOR_SCOPE=$B183)))*SIGN(((ACT_SKU_SCOPE="ALL")+(ACT_SKU_SCOPE=$G183)))*(7&gt;ACT_END)*(ACT_END&gt;0)*IFERROR(ACT_POSTLIFT,0))),0)))</f>
        <v/>
      </c>
      <c r="Q183" s="10">
        <f>IF(OR($H183&lt;&gt;"Y",8&lt;$I183),0,IF(SUMPRODUCT(((BULK_ENABLED="Y")*((BULK_TIER="ALL")+(BULK_TIER=$F183))*((BULK_SKU="ALL")+(BULK_SKU=$G183))*(BULK_START&lt;=8)*(BULK_END&gt;=8)))&gt;0,IFERROR(SUMPRODUCT(((BULK_ENABLED="Y")*((BULK_TIER="ALL")+(BULK_TIER=$F183))*((BULK_SKU="ALL")+(BULK_SKU=$G183))*(BULK_START&lt;=8)*(BULK_END&gt;=8))*IFERROR(BULK_VALUE,0))/MAX(1,SUMPRODUCT(((BULK_ENABLED="Y")*((BULK_TIER="ALL")+(BULK_TIER=$F183))*((BULK_SKU="ALL")+(BULK_SKU=$G183))*(BULK_START&lt;=8)*(BULK_END&gt;=8)))),0),ROUND((INDEX(VELOCITY_TABLE,MATCH($F183,TIER_LIST,0),2))*(IF((8-$I183+1)&lt;=0,0,IF((8-$I183+1)=1,RAMP_W1,IF((8-$I183+1)=2,RAMP_W2,IF((8-$I183+1)=3,RAMP_W3,RAMP_W4PLUS)))))*(INDEX(ACTIVE_MULT_TABLE,2,1))*(1+SUMPRODUCT(SIGN(((ACT_DOOR_SCOPE="ALL")+(ACT_DOOR_SCOPE="TIER_"&amp;$F183)+(ACT_DOOR_SCOPE=$B183)))*SIGN(((ACT_SKU_SCOPE="ALL")+(ACT_SKU_SCOPE=$G183)))*(ACT_START&lt;=8)*(ACT_END&gt;=8)*IFERROR(ACT_UPLIFT-1,0)))*(1+SUMPRODUCT(SIGN(((ACT_DOOR_SCOPE="ALL")+(ACT_DOOR_SCOPE="TIER_"&amp;$F183)+(ACT_DOOR_SCOPE=$B183)))*SIGN(((ACT_SKU_SCOPE="ALL")+(ACT_SKU_SCOPE=$G183)))*(8&gt;ACT_END)*(ACT_END&gt;0)*IFERROR(ACT_POSTLIFT,0))),0)))</f>
        <v/>
      </c>
      <c r="R183" s="10">
        <f>IF(OR($H183&lt;&gt;"Y",9&lt;$I183),0,IF(SUMPRODUCT(((BULK_ENABLED="Y")*((BULK_TIER="ALL")+(BULK_TIER=$F183))*((BULK_SKU="ALL")+(BULK_SKU=$G183))*(BULK_START&lt;=9)*(BULK_END&gt;=9)))&gt;0,IFERROR(SUMPRODUCT(((BULK_ENABLED="Y")*((BULK_TIER="ALL")+(BULK_TIER=$F183))*((BULK_SKU="ALL")+(BULK_SKU=$G183))*(BULK_START&lt;=9)*(BULK_END&gt;=9))*IFERROR(BULK_VALUE,0))/MAX(1,SUMPRODUCT(((BULK_ENABLED="Y")*((BULK_TIER="ALL")+(BULK_TIER=$F183))*((BULK_SKU="ALL")+(BULK_SKU=$G183))*(BULK_START&lt;=9)*(BULK_END&gt;=9)))),0),ROUND((INDEX(VELOCITY_TABLE,MATCH($F183,TIER_LIST,0),2))*(IF((9-$I183+1)&lt;=0,0,IF((9-$I183+1)=1,RAMP_W1,IF((9-$I183+1)=2,RAMP_W2,IF((9-$I183+1)=3,RAMP_W3,RAMP_W4PLUS)))))*(INDEX(ACTIVE_MULT_TABLE,2,1))*(1+SUMPRODUCT(SIGN(((ACT_DOOR_SCOPE="ALL")+(ACT_DOOR_SCOPE="TIER_"&amp;$F183)+(ACT_DOOR_SCOPE=$B183)))*SIGN(((ACT_SKU_SCOPE="ALL")+(ACT_SKU_SCOPE=$G183)))*(ACT_START&lt;=9)*(ACT_END&gt;=9)*IFERROR(ACT_UPLIFT-1,0)))*(1+SUMPRODUCT(SIGN(((ACT_DOOR_SCOPE="ALL")+(ACT_DOOR_SCOPE="TIER_"&amp;$F183)+(ACT_DOOR_SCOPE=$B183)))*SIGN(((ACT_SKU_SCOPE="ALL")+(ACT_SKU_SCOPE=$G183)))*(9&gt;ACT_END)*(ACT_END&gt;0)*IFERROR(ACT_POSTLIFT,0))),0)))</f>
        <v/>
      </c>
      <c r="S183" s="10">
        <f>IF(OR($H183&lt;&gt;"Y",10&lt;$I183),0,IF(SUMPRODUCT(((BULK_ENABLED="Y")*((BULK_TIER="ALL")+(BULK_TIER=$F183))*((BULK_SKU="ALL")+(BULK_SKU=$G183))*(BULK_START&lt;=10)*(BULK_END&gt;=10)))&gt;0,IFERROR(SUMPRODUCT(((BULK_ENABLED="Y")*((BULK_TIER="ALL")+(BULK_TIER=$F183))*((BULK_SKU="ALL")+(BULK_SKU=$G183))*(BULK_START&lt;=10)*(BULK_END&gt;=10))*IFERROR(BULK_VALUE,0))/MAX(1,SUMPRODUCT(((BULK_ENABLED="Y")*((BULK_TIER="ALL")+(BULK_TIER=$F183))*((BULK_SKU="ALL")+(BULK_SKU=$G183))*(BULK_START&lt;=10)*(BULK_END&gt;=10)))),0),ROUND((INDEX(VELOCITY_TABLE,MATCH($F183,TIER_LIST,0),2))*(IF((10-$I183+1)&lt;=0,0,IF((10-$I183+1)=1,RAMP_W1,IF((10-$I183+1)=2,RAMP_W2,IF((10-$I183+1)=3,RAMP_W3,RAMP_W4PLUS)))))*(INDEX(ACTIVE_MULT_TABLE,2,1))*(1+SUMPRODUCT(SIGN(((ACT_DOOR_SCOPE="ALL")+(ACT_DOOR_SCOPE="TIER_"&amp;$F183)+(ACT_DOOR_SCOPE=$B183)))*SIGN(((ACT_SKU_SCOPE="ALL")+(ACT_SKU_SCOPE=$G183)))*(ACT_START&lt;=10)*(ACT_END&gt;=10)*IFERROR(ACT_UPLIFT-1,0)))*(1+SUMPRODUCT(SIGN(((ACT_DOOR_SCOPE="ALL")+(ACT_DOOR_SCOPE="TIER_"&amp;$F183)+(ACT_DOOR_SCOPE=$B183)))*SIGN(((ACT_SKU_SCOPE="ALL")+(ACT_SKU_SCOPE=$G183)))*(10&gt;ACT_END)*(ACT_END&gt;0)*IFERROR(ACT_POSTLIFT,0))),0)))</f>
        <v/>
      </c>
      <c r="T183" s="10">
        <f>IF(OR($H183&lt;&gt;"Y",11&lt;$I183),0,IF(SUMPRODUCT(((BULK_ENABLED="Y")*((BULK_TIER="ALL")+(BULK_TIER=$F183))*((BULK_SKU="ALL")+(BULK_SKU=$G183))*(BULK_START&lt;=11)*(BULK_END&gt;=11)))&gt;0,IFERROR(SUMPRODUCT(((BULK_ENABLED="Y")*((BULK_TIER="ALL")+(BULK_TIER=$F183))*((BULK_SKU="ALL")+(BULK_SKU=$G183))*(BULK_START&lt;=11)*(BULK_END&gt;=11))*IFERROR(BULK_VALUE,0))/MAX(1,SUMPRODUCT(((BULK_ENABLED="Y")*((BULK_TIER="ALL")+(BULK_TIER=$F183))*((BULK_SKU="ALL")+(BULK_SKU=$G183))*(BULK_START&lt;=11)*(BULK_END&gt;=11)))),0),ROUND((INDEX(VELOCITY_TABLE,MATCH($F183,TIER_LIST,0),2))*(IF((11-$I183+1)&lt;=0,0,IF((11-$I183+1)=1,RAMP_W1,IF((11-$I183+1)=2,RAMP_W2,IF((11-$I183+1)=3,RAMP_W3,RAMP_W4PLUS)))))*(INDEX(ACTIVE_MULT_TABLE,2,1))*(1+SUMPRODUCT(SIGN(((ACT_DOOR_SCOPE="ALL")+(ACT_DOOR_SCOPE="TIER_"&amp;$F183)+(ACT_DOOR_SCOPE=$B183)))*SIGN(((ACT_SKU_SCOPE="ALL")+(ACT_SKU_SCOPE=$G183)))*(ACT_START&lt;=11)*(ACT_END&gt;=11)*IFERROR(ACT_UPLIFT-1,0)))*(1+SUMPRODUCT(SIGN(((ACT_DOOR_SCOPE="ALL")+(ACT_DOOR_SCOPE="TIER_"&amp;$F183)+(ACT_DOOR_SCOPE=$B183)))*SIGN(((ACT_SKU_SCOPE="ALL")+(ACT_SKU_SCOPE=$G183)))*(11&gt;ACT_END)*(ACT_END&gt;0)*IFERROR(ACT_POSTLIFT,0))),0)))</f>
        <v/>
      </c>
      <c r="U183" s="10">
        <f>IF(OR($H183&lt;&gt;"Y",12&lt;$I183),0,IF(SUMPRODUCT(((BULK_ENABLED="Y")*((BULK_TIER="ALL")+(BULK_TIER=$F183))*((BULK_SKU="ALL")+(BULK_SKU=$G183))*(BULK_START&lt;=12)*(BULK_END&gt;=12)))&gt;0,IFERROR(SUMPRODUCT(((BULK_ENABLED="Y")*((BULK_TIER="ALL")+(BULK_TIER=$F183))*((BULK_SKU="ALL")+(BULK_SKU=$G183))*(BULK_START&lt;=12)*(BULK_END&gt;=12))*IFERROR(BULK_VALUE,0))/MAX(1,SUMPRODUCT(((BULK_ENABLED="Y")*((BULK_TIER="ALL")+(BULK_TIER=$F183))*((BULK_SKU="ALL")+(BULK_SKU=$G183))*(BULK_START&lt;=12)*(BULK_END&gt;=12)))),0),ROUND((INDEX(VELOCITY_TABLE,MATCH($F183,TIER_LIST,0),2))*(IF((12-$I183+1)&lt;=0,0,IF((12-$I183+1)=1,RAMP_W1,IF((12-$I183+1)=2,RAMP_W2,IF((12-$I183+1)=3,RAMP_W3,RAMP_W4PLUS)))))*(INDEX(ACTIVE_MULT_TABLE,2,1))*(1+SUMPRODUCT(SIGN(((ACT_DOOR_SCOPE="ALL")+(ACT_DOOR_SCOPE="TIER_"&amp;$F183)+(ACT_DOOR_SCOPE=$B183)))*SIGN(((ACT_SKU_SCOPE="ALL")+(ACT_SKU_SCOPE=$G183)))*(ACT_START&lt;=12)*(ACT_END&gt;=12)*IFERROR(ACT_UPLIFT-1,0)))*(1+SUMPRODUCT(SIGN(((ACT_DOOR_SCOPE="ALL")+(ACT_DOOR_SCOPE="TIER_"&amp;$F183)+(ACT_DOOR_SCOPE=$B183)))*SIGN(((ACT_SKU_SCOPE="ALL")+(ACT_SKU_SCOPE=$G183)))*(12&gt;ACT_END)*(ACT_END&gt;0)*IFERROR(ACT_POSTLIFT,0))),0)))</f>
        <v/>
      </c>
      <c r="V183" s="10">
        <f>IF(OR($H183&lt;&gt;"Y",13&lt;$I183),0,IF(SUMPRODUCT(((BULK_ENABLED="Y")*((BULK_TIER="ALL")+(BULK_TIER=$F183))*((BULK_SKU="ALL")+(BULK_SKU=$G183))*(BULK_START&lt;=13)*(BULK_END&gt;=13)))&gt;0,IFERROR(SUMPRODUCT(((BULK_ENABLED="Y")*((BULK_TIER="ALL")+(BULK_TIER=$F183))*((BULK_SKU="ALL")+(BULK_SKU=$G183))*(BULK_START&lt;=13)*(BULK_END&gt;=13))*IFERROR(BULK_VALUE,0))/MAX(1,SUMPRODUCT(((BULK_ENABLED="Y")*((BULK_TIER="ALL")+(BULK_TIER=$F183))*((BULK_SKU="ALL")+(BULK_SKU=$G183))*(BULK_START&lt;=13)*(BULK_END&gt;=13)))),0),ROUND((INDEX(VELOCITY_TABLE,MATCH($F183,TIER_LIST,0),2))*(IF((13-$I183+1)&lt;=0,0,IF((13-$I183+1)=1,RAMP_W1,IF((13-$I183+1)=2,RAMP_W2,IF((13-$I183+1)=3,RAMP_W3,RAMP_W4PLUS)))))*(INDEX(ACTIVE_MULT_TABLE,2,1))*(1+SUMPRODUCT(SIGN(((ACT_DOOR_SCOPE="ALL")+(ACT_DOOR_SCOPE="TIER_"&amp;$F183)+(ACT_DOOR_SCOPE=$B183)))*SIGN(((ACT_SKU_SCOPE="ALL")+(ACT_SKU_SCOPE=$G183)))*(ACT_START&lt;=13)*(ACT_END&gt;=13)*IFERROR(ACT_UPLIFT-1,0)))*(1+SUMPRODUCT(SIGN(((ACT_DOOR_SCOPE="ALL")+(ACT_DOOR_SCOPE="TIER_"&amp;$F183)+(ACT_DOOR_SCOPE=$B183)))*SIGN(((ACT_SKU_SCOPE="ALL")+(ACT_SKU_SCOPE=$G183)))*(13&gt;ACT_END)*(ACT_END&gt;0)*IFERROR(ACT_POSTLIFT,0))),0)))</f>
        <v/>
      </c>
    </row>
    <row r="184">
      <c r="A184" t="inlineStr">
        <is>
          <t>R0180</t>
        </is>
      </c>
      <c r="B184">
        <f>Doors!$A$64</f>
        <v/>
      </c>
      <c r="C184">
        <f>Doors!$C$64</f>
        <v/>
      </c>
      <c r="D184">
        <f>Doors!$B$64</f>
        <v/>
      </c>
      <c r="E184">
        <f>Doors!$E$64</f>
        <v/>
      </c>
      <c r="F184">
        <f>Doors!$F$64</f>
        <v/>
      </c>
      <c r="G184" t="inlineStr">
        <is>
          <t>Raspberry</t>
        </is>
      </c>
      <c r="H184">
        <f>Doors!$I$64</f>
        <v/>
      </c>
      <c r="I184">
        <f>Doors!$J$64</f>
        <v/>
      </c>
      <c r="J184" s="10">
        <f>IF(OR($H184&lt;&gt;"Y",1&lt;$I184),0,IF(SUMPRODUCT(((BULK_ENABLED="Y")*((BULK_TIER="ALL")+(BULK_TIER=$F184))*((BULK_SKU="ALL")+(BULK_SKU=$G184))*(BULK_START&lt;=1)*(BULK_END&gt;=1)))&gt;0,IFERROR(SUMPRODUCT(((BULK_ENABLED="Y")*((BULK_TIER="ALL")+(BULK_TIER=$F184))*((BULK_SKU="ALL")+(BULK_SKU=$G184))*(BULK_START&lt;=1)*(BULK_END&gt;=1))*IFERROR(BULK_VALUE,0))/MAX(1,SUMPRODUCT(((BULK_ENABLED="Y")*((BULK_TIER="ALL")+(BULK_TIER=$F184))*((BULK_SKU="ALL")+(BULK_SKU=$G184))*(BULK_START&lt;=1)*(BULK_END&gt;=1)))),0),ROUND((INDEX(VELOCITY_TABLE,MATCH($F184,TIER_LIST,0),3))*(IF((1-$I184+1)&lt;=0,0,IF((1-$I184+1)=1,RAMP_W1,IF((1-$I184+1)=2,RAMP_W2,IF((1-$I184+1)=3,RAMP_W3,RAMP_W4PLUS)))))*(INDEX(ACTIVE_MULT_TABLE,3,1))*(1+SUMPRODUCT(SIGN(((ACT_DOOR_SCOPE="ALL")+(ACT_DOOR_SCOPE="TIER_"&amp;$F184)+(ACT_DOOR_SCOPE=$B184)))*SIGN(((ACT_SKU_SCOPE="ALL")+(ACT_SKU_SCOPE=$G184)))*(ACT_START&lt;=1)*(ACT_END&gt;=1)*IFERROR(ACT_UPLIFT-1,0)))*(1+SUMPRODUCT(SIGN(((ACT_DOOR_SCOPE="ALL")+(ACT_DOOR_SCOPE="TIER_"&amp;$F184)+(ACT_DOOR_SCOPE=$B184)))*SIGN(((ACT_SKU_SCOPE="ALL")+(ACT_SKU_SCOPE=$G184)))*(1&gt;ACT_END)*(ACT_END&gt;0)*IFERROR(ACT_POSTLIFT,0))),0)))</f>
        <v/>
      </c>
      <c r="K184" s="10">
        <f>IF(OR($H184&lt;&gt;"Y",2&lt;$I184),0,IF(SUMPRODUCT(((BULK_ENABLED="Y")*((BULK_TIER="ALL")+(BULK_TIER=$F184))*((BULK_SKU="ALL")+(BULK_SKU=$G184))*(BULK_START&lt;=2)*(BULK_END&gt;=2)))&gt;0,IFERROR(SUMPRODUCT(((BULK_ENABLED="Y")*((BULK_TIER="ALL")+(BULK_TIER=$F184))*((BULK_SKU="ALL")+(BULK_SKU=$G184))*(BULK_START&lt;=2)*(BULK_END&gt;=2))*IFERROR(BULK_VALUE,0))/MAX(1,SUMPRODUCT(((BULK_ENABLED="Y")*((BULK_TIER="ALL")+(BULK_TIER=$F184))*((BULK_SKU="ALL")+(BULK_SKU=$G184))*(BULK_START&lt;=2)*(BULK_END&gt;=2)))),0),ROUND((INDEX(VELOCITY_TABLE,MATCH($F184,TIER_LIST,0),3))*(IF((2-$I184+1)&lt;=0,0,IF((2-$I184+1)=1,RAMP_W1,IF((2-$I184+1)=2,RAMP_W2,IF((2-$I184+1)=3,RAMP_W3,RAMP_W4PLUS)))))*(INDEX(ACTIVE_MULT_TABLE,3,1))*(1+SUMPRODUCT(SIGN(((ACT_DOOR_SCOPE="ALL")+(ACT_DOOR_SCOPE="TIER_"&amp;$F184)+(ACT_DOOR_SCOPE=$B184)))*SIGN(((ACT_SKU_SCOPE="ALL")+(ACT_SKU_SCOPE=$G184)))*(ACT_START&lt;=2)*(ACT_END&gt;=2)*IFERROR(ACT_UPLIFT-1,0)))*(1+SUMPRODUCT(SIGN(((ACT_DOOR_SCOPE="ALL")+(ACT_DOOR_SCOPE="TIER_"&amp;$F184)+(ACT_DOOR_SCOPE=$B184)))*SIGN(((ACT_SKU_SCOPE="ALL")+(ACT_SKU_SCOPE=$G184)))*(2&gt;ACT_END)*(ACT_END&gt;0)*IFERROR(ACT_POSTLIFT,0))),0)))</f>
        <v/>
      </c>
      <c r="L184" s="10">
        <f>IF(OR($H184&lt;&gt;"Y",3&lt;$I184),0,IF(SUMPRODUCT(((BULK_ENABLED="Y")*((BULK_TIER="ALL")+(BULK_TIER=$F184))*((BULK_SKU="ALL")+(BULK_SKU=$G184))*(BULK_START&lt;=3)*(BULK_END&gt;=3)))&gt;0,IFERROR(SUMPRODUCT(((BULK_ENABLED="Y")*((BULK_TIER="ALL")+(BULK_TIER=$F184))*((BULK_SKU="ALL")+(BULK_SKU=$G184))*(BULK_START&lt;=3)*(BULK_END&gt;=3))*IFERROR(BULK_VALUE,0))/MAX(1,SUMPRODUCT(((BULK_ENABLED="Y")*((BULK_TIER="ALL")+(BULK_TIER=$F184))*((BULK_SKU="ALL")+(BULK_SKU=$G184))*(BULK_START&lt;=3)*(BULK_END&gt;=3)))),0),ROUND((INDEX(VELOCITY_TABLE,MATCH($F184,TIER_LIST,0),3))*(IF((3-$I184+1)&lt;=0,0,IF((3-$I184+1)=1,RAMP_W1,IF((3-$I184+1)=2,RAMP_W2,IF((3-$I184+1)=3,RAMP_W3,RAMP_W4PLUS)))))*(INDEX(ACTIVE_MULT_TABLE,3,1))*(1+SUMPRODUCT(SIGN(((ACT_DOOR_SCOPE="ALL")+(ACT_DOOR_SCOPE="TIER_"&amp;$F184)+(ACT_DOOR_SCOPE=$B184)))*SIGN(((ACT_SKU_SCOPE="ALL")+(ACT_SKU_SCOPE=$G184)))*(ACT_START&lt;=3)*(ACT_END&gt;=3)*IFERROR(ACT_UPLIFT-1,0)))*(1+SUMPRODUCT(SIGN(((ACT_DOOR_SCOPE="ALL")+(ACT_DOOR_SCOPE="TIER_"&amp;$F184)+(ACT_DOOR_SCOPE=$B184)))*SIGN(((ACT_SKU_SCOPE="ALL")+(ACT_SKU_SCOPE=$G184)))*(3&gt;ACT_END)*(ACT_END&gt;0)*IFERROR(ACT_POSTLIFT,0))),0)))</f>
        <v/>
      </c>
      <c r="M184" s="10">
        <f>IF(OR($H184&lt;&gt;"Y",4&lt;$I184),0,IF(SUMPRODUCT(((BULK_ENABLED="Y")*((BULK_TIER="ALL")+(BULK_TIER=$F184))*((BULK_SKU="ALL")+(BULK_SKU=$G184))*(BULK_START&lt;=4)*(BULK_END&gt;=4)))&gt;0,IFERROR(SUMPRODUCT(((BULK_ENABLED="Y")*((BULK_TIER="ALL")+(BULK_TIER=$F184))*((BULK_SKU="ALL")+(BULK_SKU=$G184))*(BULK_START&lt;=4)*(BULK_END&gt;=4))*IFERROR(BULK_VALUE,0))/MAX(1,SUMPRODUCT(((BULK_ENABLED="Y")*((BULK_TIER="ALL")+(BULK_TIER=$F184))*((BULK_SKU="ALL")+(BULK_SKU=$G184))*(BULK_START&lt;=4)*(BULK_END&gt;=4)))),0),ROUND((INDEX(VELOCITY_TABLE,MATCH($F184,TIER_LIST,0),3))*(IF((4-$I184+1)&lt;=0,0,IF((4-$I184+1)=1,RAMP_W1,IF((4-$I184+1)=2,RAMP_W2,IF((4-$I184+1)=3,RAMP_W3,RAMP_W4PLUS)))))*(INDEX(ACTIVE_MULT_TABLE,3,1))*(1+SUMPRODUCT(SIGN(((ACT_DOOR_SCOPE="ALL")+(ACT_DOOR_SCOPE="TIER_"&amp;$F184)+(ACT_DOOR_SCOPE=$B184)))*SIGN(((ACT_SKU_SCOPE="ALL")+(ACT_SKU_SCOPE=$G184)))*(ACT_START&lt;=4)*(ACT_END&gt;=4)*IFERROR(ACT_UPLIFT-1,0)))*(1+SUMPRODUCT(SIGN(((ACT_DOOR_SCOPE="ALL")+(ACT_DOOR_SCOPE="TIER_"&amp;$F184)+(ACT_DOOR_SCOPE=$B184)))*SIGN(((ACT_SKU_SCOPE="ALL")+(ACT_SKU_SCOPE=$G184)))*(4&gt;ACT_END)*(ACT_END&gt;0)*IFERROR(ACT_POSTLIFT,0))),0)))</f>
        <v/>
      </c>
      <c r="N184" s="10">
        <f>IF(OR($H184&lt;&gt;"Y",5&lt;$I184),0,IF(SUMPRODUCT(((BULK_ENABLED="Y")*((BULK_TIER="ALL")+(BULK_TIER=$F184))*((BULK_SKU="ALL")+(BULK_SKU=$G184))*(BULK_START&lt;=5)*(BULK_END&gt;=5)))&gt;0,IFERROR(SUMPRODUCT(((BULK_ENABLED="Y")*((BULK_TIER="ALL")+(BULK_TIER=$F184))*((BULK_SKU="ALL")+(BULK_SKU=$G184))*(BULK_START&lt;=5)*(BULK_END&gt;=5))*IFERROR(BULK_VALUE,0))/MAX(1,SUMPRODUCT(((BULK_ENABLED="Y")*((BULK_TIER="ALL")+(BULK_TIER=$F184))*((BULK_SKU="ALL")+(BULK_SKU=$G184))*(BULK_START&lt;=5)*(BULK_END&gt;=5)))),0),ROUND((INDEX(VELOCITY_TABLE,MATCH($F184,TIER_LIST,0),3))*(IF((5-$I184+1)&lt;=0,0,IF((5-$I184+1)=1,RAMP_W1,IF((5-$I184+1)=2,RAMP_W2,IF((5-$I184+1)=3,RAMP_W3,RAMP_W4PLUS)))))*(INDEX(ACTIVE_MULT_TABLE,3,1))*(1+SUMPRODUCT(SIGN(((ACT_DOOR_SCOPE="ALL")+(ACT_DOOR_SCOPE="TIER_"&amp;$F184)+(ACT_DOOR_SCOPE=$B184)))*SIGN(((ACT_SKU_SCOPE="ALL")+(ACT_SKU_SCOPE=$G184)))*(ACT_START&lt;=5)*(ACT_END&gt;=5)*IFERROR(ACT_UPLIFT-1,0)))*(1+SUMPRODUCT(SIGN(((ACT_DOOR_SCOPE="ALL")+(ACT_DOOR_SCOPE="TIER_"&amp;$F184)+(ACT_DOOR_SCOPE=$B184)))*SIGN(((ACT_SKU_SCOPE="ALL")+(ACT_SKU_SCOPE=$G184)))*(5&gt;ACT_END)*(ACT_END&gt;0)*IFERROR(ACT_POSTLIFT,0))),0)))</f>
        <v/>
      </c>
      <c r="O184" s="10">
        <f>IF(OR($H184&lt;&gt;"Y",6&lt;$I184),0,IF(SUMPRODUCT(((BULK_ENABLED="Y")*((BULK_TIER="ALL")+(BULK_TIER=$F184))*((BULK_SKU="ALL")+(BULK_SKU=$G184))*(BULK_START&lt;=6)*(BULK_END&gt;=6)))&gt;0,IFERROR(SUMPRODUCT(((BULK_ENABLED="Y")*((BULK_TIER="ALL")+(BULK_TIER=$F184))*((BULK_SKU="ALL")+(BULK_SKU=$G184))*(BULK_START&lt;=6)*(BULK_END&gt;=6))*IFERROR(BULK_VALUE,0))/MAX(1,SUMPRODUCT(((BULK_ENABLED="Y")*((BULK_TIER="ALL")+(BULK_TIER=$F184))*((BULK_SKU="ALL")+(BULK_SKU=$G184))*(BULK_START&lt;=6)*(BULK_END&gt;=6)))),0),ROUND((INDEX(VELOCITY_TABLE,MATCH($F184,TIER_LIST,0),3))*(IF((6-$I184+1)&lt;=0,0,IF((6-$I184+1)=1,RAMP_W1,IF((6-$I184+1)=2,RAMP_W2,IF((6-$I184+1)=3,RAMP_W3,RAMP_W4PLUS)))))*(INDEX(ACTIVE_MULT_TABLE,3,1))*(1+SUMPRODUCT(SIGN(((ACT_DOOR_SCOPE="ALL")+(ACT_DOOR_SCOPE="TIER_"&amp;$F184)+(ACT_DOOR_SCOPE=$B184)))*SIGN(((ACT_SKU_SCOPE="ALL")+(ACT_SKU_SCOPE=$G184)))*(ACT_START&lt;=6)*(ACT_END&gt;=6)*IFERROR(ACT_UPLIFT-1,0)))*(1+SUMPRODUCT(SIGN(((ACT_DOOR_SCOPE="ALL")+(ACT_DOOR_SCOPE="TIER_"&amp;$F184)+(ACT_DOOR_SCOPE=$B184)))*SIGN(((ACT_SKU_SCOPE="ALL")+(ACT_SKU_SCOPE=$G184)))*(6&gt;ACT_END)*(ACT_END&gt;0)*IFERROR(ACT_POSTLIFT,0))),0)))</f>
        <v/>
      </c>
      <c r="P184" s="10">
        <f>IF(OR($H184&lt;&gt;"Y",7&lt;$I184),0,IF(SUMPRODUCT(((BULK_ENABLED="Y")*((BULK_TIER="ALL")+(BULK_TIER=$F184))*((BULK_SKU="ALL")+(BULK_SKU=$G184))*(BULK_START&lt;=7)*(BULK_END&gt;=7)))&gt;0,IFERROR(SUMPRODUCT(((BULK_ENABLED="Y")*((BULK_TIER="ALL")+(BULK_TIER=$F184))*((BULK_SKU="ALL")+(BULK_SKU=$G184))*(BULK_START&lt;=7)*(BULK_END&gt;=7))*IFERROR(BULK_VALUE,0))/MAX(1,SUMPRODUCT(((BULK_ENABLED="Y")*((BULK_TIER="ALL")+(BULK_TIER=$F184))*((BULK_SKU="ALL")+(BULK_SKU=$G184))*(BULK_START&lt;=7)*(BULK_END&gt;=7)))),0),ROUND((INDEX(VELOCITY_TABLE,MATCH($F184,TIER_LIST,0),3))*(IF((7-$I184+1)&lt;=0,0,IF((7-$I184+1)=1,RAMP_W1,IF((7-$I184+1)=2,RAMP_W2,IF((7-$I184+1)=3,RAMP_W3,RAMP_W4PLUS)))))*(INDEX(ACTIVE_MULT_TABLE,3,1))*(1+SUMPRODUCT(SIGN(((ACT_DOOR_SCOPE="ALL")+(ACT_DOOR_SCOPE="TIER_"&amp;$F184)+(ACT_DOOR_SCOPE=$B184)))*SIGN(((ACT_SKU_SCOPE="ALL")+(ACT_SKU_SCOPE=$G184)))*(ACT_START&lt;=7)*(ACT_END&gt;=7)*IFERROR(ACT_UPLIFT-1,0)))*(1+SUMPRODUCT(SIGN(((ACT_DOOR_SCOPE="ALL")+(ACT_DOOR_SCOPE="TIER_"&amp;$F184)+(ACT_DOOR_SCOPE=$B184)))*SIGN(((ACT_SKU_SCOPE="ALL")+(ACT_SKU_SCOPE=$G184)))*(7&gt;ACT_END)*(ACT_END&gt;0)*IFERROR(ACT_POSTLIFT,0))),0)))</f>
        <v/>
      </c>
      <c r="Q184" s="10">
        <f>IF(OR($H184&lt;&gt;"Y",8&lt;$I184),0,IF(SUMPRODUCT(((BULK_ENABLED="Y")*((BULK_TIER="ALL")+(BULK_TIER=$F184))*((BULK_SKU="ALL")+(BULK_SKU=$G184))*(BULK_START&lt;=8)*(BULK_END&gt;=8)))&gt;0,IFERROR(SUMPRODUCT(((BULK_ENABLED="Y")*((BULK_TIER="ALL")+(BULK_TIER=$F184))*((BULK_SKU="ALL")+(BULK_SKU=$G184))*(BULK_START&lt;=8)*(BULK_END&gt;=8))*IFERROR(BULK_VALUE,0))/MAX(1,SUMPRODUCT(((BULK_ENABLED="Y")*((BULK_TIER="ALL")+(BULK_TIER=$F184))*((BULK_SKU="ALL")+(BULK_SKU=$G184))*(BULK_START&lt;=8)*(BULK_END&gt;=8)))),0),ROUND((INDEX(VELOCITY_TABLE,MATCH($F184,TIER_LIST,0),3))*(IF((8-$I184+1)&lt;=0,0,IF((8-$I184+1)=1,RAMP_W1,IF((8-$I184+1)=2,RAMP_W2,IF((8-$I184+1)=3,RAMP_W3,RAMP_W4PLUS)))))*(INDEX(ACTIVE_MULT_TABLE,3,1))*(1+SUMPRODUCT(SIGN(((ACT_DOOR_SCOPE="ALL")+(ACT_DOOR_SCOPE="TIER_"&amp;$F184)+(ACT_DOOR_SCOPE=$B184)))*SIGN(((ACT_SKU_SCOPE="ALL")+(ACT_SKU_SCOPE=$G184)))*(ACT_START&lt;=8)*(ACT_END&gt;=8)*IFERROR(ACT_UPLIFT-1,0)))*(1+SUMPRODUCT(SIGN(((ACT_DOOR_SCOPE="ALL")+(ACT_DOOR_SCOPE="TIER_"&amp;$F184)+(ACT_DOOR_SCOPE=$B184)))*SIGN(((ACT_SKU_SCOPE="ALL")+(ACT_SKU_SCOPE=$G184)))*(8&gt;ACT_END)*(ACT_END&gt;0)*IFERROR(ACT_POSTLIFT,0))),0)))</f>
        <v/>
      </c>
      <c r="R184" s="10">
        <f>IF(OR($H184&lt;&gt;"Y",9&lt;$I184),0,IF(SUMPRODUCT(((BULK_ENABLED="Y")*((BULK_TIER="ALL")+(BULK_TIER=$F184))*((BULK_SKU="ALL")+(BULK_SKU=$G184))*(BULK_START&lt;=9)*(BULK_END&gt;=9)))&gt;0,IFERROR(SUMPRODUCT(((BULK_ENABLED="Y")*((BULK_TIER="ALL")+(BULK_TIER=$F184))*((BULK_SKU="ALL")+(BULK_SKU=$G184))*(BULK_START&lt;=9)*(BULK_END&gt;=9))*IFERROR(BULK_VALUE,0))/MAX(1,SUMPRODUCT(((BULK_ENABLED="Y")*((BULK_TIER="ALL")+(BULK_TIER=$F184))*((BULK_SKU="ALL")+(BULK_SKU=$G184))*(BULK_START&lt;=9)*(BULK_END&gt;=9)))),0),ROUND((INDEX(VELOCITY_TABLE,MATCH($F184,TIER_LIST,0),3))*(IF((9-$I184+1)&lt;=0,0,IF((9-$I184+1)=1,RAMP_W1,IF((9-$I184+1)=2,RAMP_W2,IF((9-$I184+1)=3,RAMP_W3,RAMP_W4PLUS)))))*(INDEX(ACTIVE_MULT_TABLE,3,1))*(1+SUMPRODUCT(SIGN(((ACT_DOOR_SCOPE="ALL")+(ACT_DOOR_SCOPE="TIER_"&amp;$F184)+(ACT_DOOR_SCOPE=$B184)))*SIGN(((ACT_SKU_SCOPE="ALL")+(ACT_SKU_SCOPE=$G184)))*(ACT_START&lt;=9)*(ACT_END&gt;=9)*IFERROR(ACT_UPLIFT-1,0)))*(1+SUMPRODUCT(SIGN(((ACT_DOOR_SCOPE="ALL")+(ACT_DOOR_SCOPE="TIER_"&amp;$F184)+(ACT_DOOR_SCOPE=$B184)))*SIGN(((ACT_SKU_SCOPE="ALL")+(ACT_SKU_SCOPE=$G184)))*(9&gt;ACT_END)*(ACT_END&gt;0)*IFERROR(ACT_POSTLIFT,0))),0)))</f>
        <v/>
      </c>
      <c r="S184" s="10">
        <f>IF(OR($H184&lt;&gt;"Y",10&lt;$I184),0,IF(SUMPRODUCT(((BULK_ENABLED="Y")*((BULK_TIER="ALL")+(BULK_TIER=$F184))*((BULK_SKU="ALL")+(BULK_SKU=$G184))*(BULK_START&lt;=10)*(BULK_END&gt;=10)))&gt;0,IFERROR(SUMPRODUCT(((BULK_ENABLED="Y")*((BULK_TIER="ALL")+(BULK_TIER=$F184))*((BULK_SKU="ALL")+(BULK_SKU=$G184))*(BULK_START&lt;=10)*(BULK_END&gt;=10))*IFERROR(BULK_VALUE,0))/MAX(1,SUMPRODUCT(((BULK_ENABLED="Y")*((BULK_TIER="ALL")+(BULK_TIER=$F184))*((BULK_SKU="ALL")+(BULK_SKU=$G184))*(BULK_START&lt;=10)*(BULK_END&gt;=10)))),0),ROUND((INDEX(VELOCITY_TABLE,MATCH($F184,TIER_LIST,0),3))*(IF((10-$I184+1)&lt;=0,0,IF((10-$I184+1)=1,RAMP_W1,IF((10-$I184+1)=2,RAMP_W2,IF((10-$I184+1)=3,RAMP_W3,RAMP_W4PLUS)))))*(INDEX(ACTIVE_MULT_TABLE,3,1))*(1+SUMPRODUCT(SIGN(((ACT_DOOR_SCOPE="ALL")+(ACT_DOOR_SCOPE="TIER_"&amp;$F184)+(ACT_DOOR_SCOPE=$B184)))*SIGN(((ACT_SKU_SCOPE="ALL")+(ACT_SKU_SCOPE=$G184)))*(ACT_START&lt;=10)*(ACT_END&gt;=10)*IFERROR(ACT_UPLIFT-1,0)))*(1+SUMPRODUCT(SIGN(((ACT_DOOR_SCOPE="ALL")+(ACT_DOOR_SCOPE="TIER_"&amp;$F184)+(ACT_DOOR_SCOPE=$B184)))*SIGN(((ACT_SKU_SCOPE="ALL")+(ACT_SKU_SCOPE=$G184)))*(10&gt;ACT_END)*(ACT_END&gt;0)*IFERROR(ACT_POSTLIFT,0))),0)))</f>
        <v/>
      </c>
      <c r="T184" s="10">
        <f>IF(OR($H184&lt;&gt;"Y",11&lt;$I184),0,IF(SUMPRODUCT(((BULK_ENABLED="Y")*((BULK_TIER="ALL")+(BULK_TIER=$F184))*((BULK_SKU="ALL")+(BULK_SKU=$G184))*(BULK_START&lt;=11)*(BULK_END&gt;=11)))&gt;0,IFERROR(SUMPRODUCT(((BULK_ENABLED="Y")*((BULK_TIER="ALL")+(BULK_TIER=$F184))*((BULK_SKU="ALL")+(BULK_SKU=$G184))*(BULK_START&lt;=11)*(BULK_END&gt;=11))*IFERROR(BULK_VALUE,0))/MAX(1,SUMPRODUCT(((BULK_ENABLED="Y")*((BULK_TIER="ALL")+(BULK_TIER=$F184))*((BULK_SKU="ALL")+(BULK_SKU=$G184))*(BULK_START&lt;=11)*(BULK_END&gt;=11)))),0),ROUND((INDEX(VELOCITY_TABLE,MATCH($F184,TIER_LIST,0),3))*(IF((11-$I184+1)&lt;=0,0,IF((11-$I184+1)=1,RAMP_W1,IF((11-$I184+1)=2,RAMP_W2,IF((11-$I184+1)=3,RAMP_W3,RAMP_W4PLUS)))))*(INDEX(ACTIVE_MULT_TABLE,3,1))*(1+SUMPRODUCT(SIGN(((ACT_DOOR_SCOPE="ALL")+(ACT_DOOR_SCOPE="TIER_"&amp;$F184)+(ACT_DOOR_SCOPE=$B184)))*SIGN(((ACT_SKU_SCOPE="ALL")+(ACT_SKU_SCOPE=$G184)))*(ACT_START&lt;=11)*(ACT_END&gt;=11)*IFERROR(ACT_UPLIFT-1,0)))*(1+SUMPRODUCT(SIGN(((ACT_DOOR_SCOPE="ALL")+(ACT_DOOR_SCOPE="TIER_"&amp;$F184)+(ACT_DOOR_SCOPE=$B184)))*SIGN(((ACT_SKU_SCOPE="ALL")+(ACT_SKU_SCOPE=$G184)))*(11&gt;ACT_END)*(ACT_END&gt;0)*IFERROR(ACT_POSTLIFT,0))),0)))</f>
        <v/>
      </c>
      <c r="U184" s="10">
        <f>IF(OR($H184&lt;&gt;"Y",12&lt;$I184),0,IF(SUMPRODUCT(((BULK_ENABLED="Y")*((BULK_TIER="ALL")+(BULK_TIER=$F184))*((BULK_SKU="ALL")+(BULK_SKU=$G184))*(BULK_START&lt;=12)*(BULK_END&gt;=12)))&gt;0,IFERROR(SUMPRODUCT(((BULK_ENABLED="Y")*((BULK_TIER="ALL")+(BULK_TIER=$F184))*((BULK_SKU="ALL")+(BULK_SKU=$G184))*(BULK_START&lt;=12)*(BULK_END&gt;=12))*IFERROR(BULK_VALUE,0))/MAX(1,SUMPRODUCT(((BULK_ENABLED="Y")*((BULK_TIER="ALL")+(BULK_TIER=$F184))*((BULK_SKU="ALL")+(BULK_SKU=$G184))*(BULK_START&lt;=12)*(BULK_END&gt;=12)))),0),ROUND((INDEX(VELOCITY_TABLE,MATCH($F184,TIER_LIST,0),3))*(IF((12-$I184+1)&lt;=0,0,IF((12-$I184+1)=1,RAMP_W1,IF((12-$I184+1)=2,RAMP_W2,IF((12-$I184+1)=3,RAMP_W3,RAMP_W4PLUS)))))*(INDEX(ACTIVE_MULT_TABLE,3,1))*(1+SUMPRODUCT(SIGN(((ACT_DOOR_SCOPE="ALL")+(ACT_DOOR_SCOPE="TIER_"&amp;$F184)+(ACT_DOOR_SCOPE=$B184)))*SIGN(((ACT_SKU_SCOPE="ALL")+(ACT_SKU_SCOPE=$G184)))*(ACT_START&lt;=12)*(ACT_END&gt;=12)*IFERROR(ACT_UPLIFT-1,0)))*(1+SUMPRODUCT(SIGN(((ACT_DOOR_SCOPE="ALL")+(ACT_DOOR_SCOPE="TIER_"&amp;$F184)+(ACT_DOOR_SCOPE=$B184)))*SIGN(((ACT_SKU_SCOPE="ALL")+(ACT_SKU_SCOPE=$G184)))*(12&gt;ACT_END)*(ACT_END&gt;0)*IFERROR(ACT_POSTLIFT,0))),0)))</f>
        <v/>
      </c>
      <c r="V184" s="10">
        <f>IF(OR($H184&lt;&gt;"Y",13&lt;$I184),0,IF(SUMPRODUCT(((BULK_ENABLED="Y")*((BULK_TIER="ALL")+(BULK_TIER=$F184))*((BULK_SKU="ALL")+(BULK_SKU=$G184))*(BULK_START&lt;=13)*(BULK_END&gt;=13)))&gt;0,IFERROR(SUMPRODUCT(((BULK_ENABLED="Y")*((BULK_TIER="ALL")+(BULK_TIER=$F184))*((BULK_SKU="ALL")+(BULK_SKU=$G184))*(BULK_START&lt;=13)*(BULK_END&gt;=13))*IFERROR(BULK_VALUE,0))/MAX(1,SUMPRODUCT(((BULK_ENABLED="Y")*((BULK_TIER="ALL")+(BULK_TIER=$F184))*((BULK_SKU="ALL")+(BULK_SKU=$G184))*(BULK_START&lt;=13)*(BULK_END&gt;=13)))),0),ROUND((INDEX(VELOCITY_TABLE,MATCH($F184,TIER_LIST,0),3))*(IF((13-$I184+1)&lt;=0,0,IF((13-$I184+1)=1,RAMP_W1,IF((13-$I184+1)=2,RAMP_W2,IF((13-$I184+1)=3,RAMP_W3,RAMP_W4PLUS)))))*(INDEX(ACTIVE_MULT_TABLE,3,1))*(1+SUMPRODUCT(SIGN(((ACT_DOOR_SCOPE="ALL")+(ACT_DOOR_SCOPE="TIER_"&amp;$F184)+(ACT_DOOR_SCOPE=$B184)))*SIGN(((ACT_SKU_SCOPE="ALL")+(ACT_SKU_SCOPE=$G184)))*(ACT_START&lt;=13)*(ACT_END&gt;=13)*IFERROR(ACT_UPLIFT-1,0)))*(1+SUMPRODUCT(SIGN(((ACT_DOOR_SCOPE="ALL")+(ACT_DOOR_SCOPE="TIER_"&amp;$F184)+(ACT_DOOR_SCOPE=$B184)))*SIGN(((ACT_SKU_SCOPE="ALL")+(ACT_SKU_SCOPE=$G184)))*(13&gt;ACT_END)*(ACT_END&gt;0)*IFERROR(ACT_POSTLIFT,0))),0)))</f>
        <v/>
      </c>
    </row>
    <row r="185">
      <c r="A185" t="inlineStr">
        <is>
          <t>R0181</t>
        </is>
      </c>
      <c r="B185">
        <f>Doors!$A$65</f>
        <v/>
      </c>
      <c r="C185">
        <f>Doors!$C$65</f>
        <v/>
      </c>
      <c r="D185">
        <f>Doors!$B$65</f>
        <v/>
      </c>
      <c r="E185">
        <f>Doors!$E$65</f>
        <v/>
      </c>
      <c r="F185">
        <f>Doors!$F$65</f>
        <v/>
      </c>
      <c r="G185" t="inlineStr">
        <is>
          <t>Lime Lemon</t>
        </is>
      </c>
      <c r="H185">
        <f>Doors!$G$65</f>
        <v/>
      </c>
      <c r="I185">
        <f>Doors!$J$65</f>
        <v/>
      </c>
      <c r="J185" s="10">
        <f>IF(OR($H185&lt;&gt;"Y",1&lt;$I185),0,IF(SUMPRODUCT(((BULK_ENABLED="Y")*((BULK_TIER="ALL")+(BULK_TIER=$F185))*((BULK_SKU="ALL")+(BULK_SKU=$G185))*(BULK_START&lt;=1)*(BULK_END&gt;=1)))&gt;0,IFERROR(SUMPRODUCT(((BULK_ENABLED="Y")*((BULK_TIER="ALL")+(BULK_TIER=$F185))*((BULK_SKU="ALL")+(BULK_SKU=$G185))*(BULK_START&lt;=1)*(BULK_END&gt;=1))*IFERROR(BULK_VALUE,0))/MAX(1,SUMPRODUCT(((BULK_ENABLED="Y")*((BULK_TIER="ALL")+(BULK_TIER=$F185))*((BULK_SKU="ALL")+(BULK_SKU=$G185))*(BULK_START&lt;=1)*(BULK_END&gt;=1)))),0),ROUND((INDEX(VELOCITY_TABLE,MATCH($F185,TIER_LIST,0),1))*(IF((1-$I185+1)&lt;=0,0,IF((1-$I185+1)=1,RAMP_W1,IF((1-$I185+1)=2,RAMP_W2,IF((1-$I185+1)=3,RAMP_W3,RAMP_W4PLUS)))))*(INDEX(ACTIVE_MULT_TABLE,1,1))*(1+SUMPRODUCT(SIGN(((ACT_DOOR_SCOPE="ALL")+(ACT_DOOR_SCOPE="TIER_"&amp;$F185)+(ACT_DOOR_SCOPE=$B185)))*SIGN(((ACT_SKU_SCOPE="ALL")+(ACT_SKU_SCOPE=$G185)))*(ACT_START&lt;=1)*(ACT_END&gt;=1)*IFERROR(ACT_UPLIFT-1,0)))*(1+SUMPRODUCT(SIGN(((ACT_DOOR_SCOPE="ALL")+(ACT_DOOR_SCOPE="TIER_"&amp;$F185)+(ACT_DOOR_SCOPE=$B185)))*SIGN(((ACT_SKU_SCOPE="ALL")+(ACT_SKU_SCOPE=$G185)))*(1&gt;ACT_END)*(ACT_END&gt;0)*IFERROR(ACT_POSTLIFT,0))),0)))</f>
        <v/>
      </c>
      <c r="K185" s="10">
        <f>IF(OR($H185&lt;&gt;"Y",2&lt;$I185),0,IF(SUMPRODUCT(((BULK_ENABLED="Y")*((BULK_TIER="ALL")+(BULK_TIER=$F185))*((BULK_SKU="ALL")+(BULK_SKU=$G185))*(BULK_START&lt;=2)*(BULK_END&gt;=2)))&gt;0,IFERROR(SUMPRODUCT(((BULK_ENABLED="Y")*((BULK_TIER="ALL")+(BULK_TIER=$F185))*((BULK_SKU="ALL")+(BULK_SKU=$G185))*(BULK_START&lt;=2)*(BULK_END&gt;=2))*IFERROR(BULK_VALUE,0))/MAX(1,SUMPRODUCT(((BULK_ENABLED="Y")*((BULK_TIER="ALL")+(BULK_TIER=$F185))*((BULK_SKU="ALL")+(BULK_SKU=$G185))*(BULK_START&lt;=2)*(BULK_END&gt;=2)))),0),ROUND((INDEX(VELOCITY_TABLE,MATCH($F185,TIER_LIST,0),1))*(IF((2-$I185+1)&lt;=0,0,IF((2-$I185+1)=1,RAMP_W1,IF((2-$I185+1)=2,RAMP_W2,IF((2-$I185+1)=3,RAMP_W3,RAMP_W4PLUS)))))*(INDEX(ACTIVE_MULT_TABLE,1,1))*(1+SUMPRODUCT(SIGN(((ACT_DOOR_SCOPE="ALL")+(ACT_DOOR_SCOPE="TIER_"&amp;$F185)+(ACT_DOOR_SCOPE=$B185)))*SIGN(((ACT_SKU_SCOPE="ALL")+(ACT_SKU_SCOPE=$G185)))*(ACT_START&lt;=2)*(ACT_END&gt;=2)*IFERROR(ACT_UPLIFT-1,0)))*(1+SUMPRODUCT(SIGN(((ACT_DOOR_SCOPE="ALL")+(ACT_DOOR_SCOPE="TIER_"&amp;$F185)+(ACT_DOOR_SCOPE=$B185)))*SIGN(((ACT_SKU_SCOPE="ALL")+(ACT_SKU_SCOPE=$G185)))*(2&gt;ACT_END)*(ACT_END&gt;0)*IFERROR(ACT_POSTLIFT,0))),0)))</f>
        <v/>
      </c>
      <c r="L185" s="10">
        <f>IF(OR($H185&lt;&gt;"Y",3&lt;$I185),0,IF(SUMPRODUCT(((BULK_ENABLED="Y")*((BULK_TIER="ALL")+(BULK_TIER=$F185))*((BULK_SKU="ALL")+(BULK_SKU=$G185))*(BULK_START&lt;=3)*(BULK_END&gt;=3)))&gt;0,IFERROR(SUMPRODUCT(((BULK_ENABLED="Y")*((BULK_TIER="ALL")+(BULK_TIER=$F185))*((BULK_SKU="ALL")+(BULK_SKU=$G185))*(BULK_START&lt;=3)*(BULK_END&gt;=3))*IFERROR(BULK_VALUE,0))/MAX(1,SUMPRODUCT(((BULK_ENABLED="Y")*((BULK_TIER="ALL")+(BULK_TIER=$F185))*((BULK_SKU="ALL")+(BULK_SKU=$G185))*(BULK_START&lt;=3)*(BULK_END&gt;=3)))),0),ROUND((INDEX(VELOCITY_TABLE,MATCH($F185,TIER_LIST,0),1))*(IF((3-$I185+1)&lt;=0,0,IF((3-$I185+1)=1,RAMP_W1,IF((3-$I185+1)=2,RAMP_W2,IF((3-$I185+1)=3,RAMP_W3,RAMP_W4PLUS)))))*(INDEX(ACTIVE_MULT_TABLE,1,1))*(1+SUMPRODUCT(SIGN(((ACT_DOOR_SCOPE="ALL")+(ACT_DOOR_SCOPE="TIER_"&amp;$F185)+(ACT_DOOR_SCOPE=$B185)))*SIGN(((ACT_SKU_SCOPE="ALL")+(ACT_SKU_SCOPE=$G185)))*(ACT_START&lt;=3)*(ACT_END&gt;=3)*IFERROR(ACT_UPLIFT-1,0)))*(1+SUMPRODUCT(SIGN(((ACT_DOOR_SCOPE="ALL")+(ACT_DOOR_SCOPE="TIER_"&amp;$F185)+(ACT_DOOR_SCOPE=$B185)))*SIGN(((ACT_SKU_SCOPE="ALL")+(ACT_SKU_SCOPE=$G185)))*(3&gt;ACT_END)*(ACT_END&gt;0)*IFERROR(ACT_POSTLIFT,0))),0)))</f>
        <v/>
      </c>
      <c r="M185" s="10">
        <f>IF(OR($H185&lt;&gt;"Y",4&lt;$I185),0,IF(SUMPRODUCT(((BULK_ENABLED="Y")*((BULK_TIER="ALL")+(BULK_TIER=$F185))*((BULK_SKU="ALL")+(BULK_SKU=$G185))*(BULK_START&lt;=4)*(BULK_END&gt;=4)))&gt;0,IFERROR(SUMPRODUCT(((BULK_ENABLED="Y")*((BULK_TIER="ALL")+(BULK_TIER=$F185))*((BULK_SKU="ALL")+(BULK_SKU=$G185))*(BULK_START&lt;=4)*(BULK_END&gt;=4))*IFERROR(BULK_VALUE,0))/MAX(1,SUMPRODUCT(((BULK_ENABLED="Y")*((BULK_TIER="ALL")+(BULK_TIER=$F185))*((BULK_SKU="ALL")+(BULK_SKU=$G185))*(BULK_START&lt;=4)*(BULK_END&gt;=4)))),0),ROUND((INDEX(VELOCITY_TABLE,MATCH($F185,TIER_LIST,0),1))*(IF((4-$I185+1)&lt;=0,0,IF((4-$I185+1)=1,RAMP_W1,IF((4-$I185+1)=2,RAMP_W2,IF((4-$I185+1)=3,RAMP_W3,RAMP_W4PLUS)))))*(INDEX(ACTIVE_MULT_TABLE,1,1))*(1+SUMPRODUCT(SIGN(((ACT_DOOR_SCOPE="ALL")+(ACT_DOOR_SCOPE="TIER_"&amp;$F185)+(ACT_DOOR_SCOPE=$B185)))*SIGN(((ACT_SKU_SCOPE="ALL")+(ACT_SKU_SCOPE=$G185)))*(ACT_START&lt;=4)*(ACT_END&gt;=4)*IFERROR(ACT_UPLIFT-1,0)))*(1+SUMPRODUCT(SIGN(((ACT_DOOR_SCOPE="ALL")+(ACT_DOOR_SCOPE="TIER_"&amp;$F185)+(ACT_DOOR_SCOPE=$B185)))*SIGN(((ACT_SKU_SCOPE="ALL")+(ACT_SKU_SCOPE=$G185)))*(4&gt;ACT_END)*(ACT_END&gt;0)*IFERROR(ACT_POSTLIFT,0))),0)))</f>
        <v/>
      </c>
      <c r="N185" s="10">
        <f>IF(OR($H185&lt;&gt;"Y",5&lt;$I185),0,IF(SUMPRODUCT(((BULK_ENABLED="Y")*((BULK_TIER="ALL")+(BULK_TIER=$F185))*((BULK_SKU="ALL")+(BULK_SKU=$G185))*(BULK_START&lt;=5)*(BULK_END&gt;=5)))&gt;0,IFERROR(SUMPRODUCT(((BULK_ENABLED="Y")*((BULK_TIER="ALL")+(BULK_TIER=$F185))*((BULK_SKU="ALL")+(BULK_SKU=$G185))*(BULK_START&lt;=5)*(BULK_END&gt;=5))*IFERROR(BULK_VALUE,0))/MAX(1,SUMPRODUCT(((BULK_ENABLED="Y")*((BULK_TIER="ALL")+(BULK_TIER=$F185))*((BULK_SKU="ALL")+(BULK_SKU=$G185))*(BULK_START&lt;=5)*(BULK_END&gt;=5)))),0),ROUND((INDEX(VELOCITY_TABLE,MATCH($F185,TIER_LIST,0),1))*(IF((5-$I185+1)&lt;=0,0,IF((5-$I185+1)=1,RAMP_W1,IF((5-$I185+1)=2,RAMP_W2,IF((5-$I185+1)=3,RAMP_W3,RAMP_W4PLUS)))))*(INDEX(ACTIVE_MULT_TABLE,1,1))*(1+SUMPRODUCT(SIGN(((ACT_DOOR_SCOPE="ALL")+(ACT_DOOR_SCOPE="TIER_"&amp;$F185)+(ACT_DOOR_SCOPE=$B185)))*SIGN(((ACT_SKU_SCOPE="ALL")+(ACT_SKU_SCOPE=$G185)))*(ACT_START&lt;=5)*(ACT_END&gt;=5)*IFERROR(ACT_UPLIFT-1,0)))*(1+SUMPRODUCT(SIGN(((ACT_DOOR_SCOPE="ALL")+(ACT_DOOR_SCOPE="TIER_"&amp;$F185)+(ACT_DOOR_SCOPE=$B185)))*SIGN(((ACT_SKU_SCOPE="ALL")+(ACT_SKU_SCOPE=$G185)))*(5&gt;ACT_END)*(ACT_END&gt;0)*IFERROR(ACT_POSTLIFT,0))),0)))</f>
        <v/>
      </c>
      <c r="O185" s="10">
        <f>IF(OR($H185&lt;&gt;"Y",6&lt;$I185),0,IF(SUMPRODUCT(((BULK_ENABLED="Y")*((BULK_TIER="ALL")+(BULK_TIER=$F185))*((BULK_SKU="ALL")+(BULK_SKU=$G185))*(BULK_START&lt;=6)*(BULK_END&gt;=6)))&gt;0,IFERROR(SUMPRODUCT(((BULK_ENABLED="Y")*((BULK_TIER="ALL")+(BULK_TIER=$F185))*((BULK_SKU="ALL")+(BULK_SKU=$G185))*(BULK_START&lt;=6)*(BULK_END&gt;=6))*IFERROR(BULK_VALUE,0))/MAX(1,SUMPRODUCT(((BULK_ENABLED="Y")*((BULK_TIER="ALL")+(BULK_TIER=$F185))*((BULK_SKU="ALL")+(BULK_SKU=$G185))*(BULK_START&lt;=6)*(BULK_END&gt;=6)))),0),ROUND((INDEX(VELOCITY_TABLE,MATCH($F185,TIER_LIST,0),1))*(IF((6-$I185+1)&lt;=0,0,IF((6-$I185+1)=1,RAMP_W1,IF((6-$I185+1)=2,RAMP_W2,IF((6-$I185+1)=3,RAMP_W3,RAMP_W4PLUS)))))*(INDEX(ACTIVE_MULT_TABLE,1,1))*(1+SUMPRODUCT(SIGN(((ACT_DOOR_SCOPE="ALL")+(ACT_DOOR_SCOPE="TIER_"&amp;$F185)+(ACT_DOOR_SCOPE=$B185)))*SIGN(((ACT_SKU_SCOPE="ALL")+(ACT_SKU_SCOPE=$G185)))*(ACT_START&lt;=6)*(ACT_END&gt;=6)*IFERROR(ACT_UPLIFT-1,0)))*(1+SUMPRODUCT(SIGN(((ACT_DOOR_SCOPE="ALL")+(ACT_DOOR_SCOPE="TIER_"&amp;$F185)+(ACT_DOOR_SCOPE=$B185)))*SIGN(((ACT_SKU_SCOPE="ALL")+(ACT_SKU_SCOPE=$G185)))*(6&gt;ACT_END)*(ACT_END&gt;0)*IFERROR(ACT_POSTLIFT,0))),0)))</f>
        <v/>
      </c>
      <c r="P185" s="10">
        <f>IF(OR($H185&lt;&gt;"Y",7&lt;$I185),0,IF(SUMPRODUCT(((BULK_ENABLED="Y")*((BULK_TIER="ALL")+(BULK_TIER=$F185))*((BULK_SKU="ALL")+(BULK_SKU=$G185))*(BULK_START&lt;=7)*(BULK_END&gt;=7)))&gt;0,IFERROR(SUMPRODUCT(((BULK_ENABLED="Y")*((BULK_TIER="ALL")+(BULK_TIER=$F185))*((BULK_SKU="ALL")+(BULK_SKU=$G185))*(BULK_START&lt;=7)*(BULK_END&gt;=7))*IFERROR(BULK_VALUE,0))/MAX(1,SUMPRODUCT(((BULK_ENABLED="Y")*((BULK_TIER="ALL")+(BULK_TIER=$F185))*((BULK_SKU="ALL")+(BULK_SKU=$G185))*(BULK_START&lt;=7)*(BULK_END&gt;=7)))),0),ROUND((INDEX(VELOCITY_TABLE,MATCH($F185,TIER_LIST,0),1))*(IF((7-$I185+1)&lt;=0,0,IF((7-$I185+1)=1,RAMP_W1,IF((7-$I185+1)=2,RAMP_W2,IF((7-$I185+1)=3,RAMP_W3,RAMP_W4PLUS)))))*(INDEX(ACTIVE_MULT_TABLE,1,1))*(1+SUMPRODUCT(SIGN(((ACT_DOOR_SCOPE="ALL")+(ACT_DOOR_SCOPE="TIER_"&amp;$F185)+(ACT_DOOR_SCOPE=$B185)))*SIGN(((ACT_SKU_SCOPE="ALL")+(ACT_SKU_SCOPE=$G185)))*(ACT_START&lt;=7)*(ACT_END&gt;=7)*IFERROR(ACT_UPLIFT-1,0)))*(1+SUMPRODUCT(SIGN(((ACT_DOOR_SCOPE="ALL")+(ACT_DOOR_SCOPE="TIER_"&amp;$F185)+(ACT_DOOR_SCOPE=$B185)))*SIGN(((ACT_SKU_SCOPE="ALL")+(ACT_SKU_SCOPE=$G185)))*(7&gt;ACT_END)*(ACT_END&gt;0)*IFERROR(ACT_POSTLIFT,0))),0)))</f>
        <v/>
      </c>
      <c r="Q185" s="10">
        <f>IF(OR($H185&lt;&gt;"Y",8&lt;$I185),0,IF(SUMPRODUCT(((BULK_ENABLED="Y")*((BULK_TIER="ALL")+(BULK_TIER=$F185))*((BULK_SKU="ALL")+(BULK_SKU=$G185))*(BULK_START&lt;=8)*(BULK_END&gt;=8)))&gt;0,IFERROR(SUMPRODUCT(((BULK_ENABLED="Y")*((BULK_TIER="ALL")+(BULK_TIER=$F185))*((BULK_SKU="ALL")+(BULK_SKU=$G185))*(BULK_START&lt;=8)*(BULK_END&gt;=8))*IFERROR(BULK_VALUE,0))/MAX(1,SUMPRODUCT(((BULK_ENABLED="Y")*((BULK_TIER="ALL")+(BULK_TIER=$F185))*((BULK_SKU="ALL")+(BULK_SKU=$G185))*(BULK_START&lt;=8)*(BULK_END&gt;=8)))),0),ROUND((INDEX(VELOCITY_TABLE,MATCH($F185,TIER_LIST,0),1))*(IF((8-$I185+1)&lt;=0,0,IF((8-$I185+1)=1,RAMP_W1,IF((8-$I185+1)=2,RAMP_W2,IF((8-$I185+1)=3,RAMP_W3,RAMP_W4PLUS)))))*(INDEX(ACTIVE_MULT_TABLE,1,1))*(1+SUMPRODUCT(SIGN(((ACT_DOOR_SCOPE="ALL")+(ACT_DOOR_SCOPE="TIER_"&amp;$F185)+(ACT_DOOR_SCOPE=$B185)))*SIGN(((ACT_SKU_SCOPE="ALL")+(ACT_SKU_SCOPE=$G185)))*(ACT_START&lt;=8)*(ACT_END&gt;=8)*IFERROR(ACT_UPLIFT-1,0)))*(1+SUMPRODUCT(SIGN(((ACT_DOOR_SCOPE="ALL")+(ACT_DOOR_SCOPE="TIER_"&amp;$F185)+(ACT_DOOR_SCOPE=$B185)))*SIGN(((ACT_SKU_SCOPE="ALL")+(ACT_SKU_SCOPE=$G185)))*(8&gt;ACT_END)*(ACT_END&gt;0)*IFERROR(ACT_POSTLIFT,0))),0)))</f>
        <v/>
      </c>
      <c r="R185" s="10">
        <f>IF(OR($H185&lt;&gt;"Y",9&lt;$I185),0,IF(SUMPRODUCT(((BULK_ENABLED="Y")*((BULK_TIER="ALL")+(BULK_TIER=$F185))*((BULK_SKU="ALL")+(BULK_SKU=$G185))*(BULK_START&lt;=9)*(BULK_END&gt;=9)))&gt;0,IFERROR(SUMPRODUCT(((BULK_ENABLED="Y")*((BULK_TIER="ALL")+(BULK_TIER=$F185))*((BULK_SKU="ALL")+(BULK_SKU=$G185))*(BULK_START&lt;=9)*(BULK_END&gt;=9))*IFERROR(BULK_VALUE,0))/MAX(1,SUMPRODUCT(((BULK_ENABLED="Y")*((BULK_TIER="ALL")+(BULK_TIER=$F185))*((BULK_SKU="ALL")+(BULK_SKU=$G185))*(BULK_START&lt;=9)*(BULK_END&gt;=9)))),0),ROUND((INDEX(VELOCITY_TABLE,MATCH($F185,TIER_LIST,0),1))*(IF((9-$I185+1)&lt;=0,0,IF((9-$I185+1)=1,RAMP_W1,IF((9-$I185+1)=2,RAMP_W2,IF((9-$I185+1)=3,RAMP_W3,RAMP_W4PLUS)))))*(INDEX(ACTIVE_MULT_TABLE,1,1))*(1+SUMPRODUCT(SIGN(((ACT_DOOR_SCOPE="ALL")+(ACT_DOOR_SCOPE="TIER_"&amp;$F185)+(ACT_DOOR_SCOPE=$B185)))*SIGN(((ACT_SKU_SCOPE="ALL")+(ACT_SKU_SCOPE=$G185)))*(ACT_START&lt;=9)*(ACT_END&gt;=9)*IFERROR(ACT_UPLIFT-1,0)))*(1+SUMPRODUCT(SIGN(((ACT_DOOR_SCOPE="ALL")+(ACT_DOOR_SCOPE="TIER_"&amp;$F185)+(ACT_DOOR_SCOPE=$B185)))*SIGN(((ACT_SKU_SCOPE="ALL")+(ACT_SKU_SCOPE=$G185)))*(9&gt;ACT_END)*(ACT_END&gt;0)*IFERROR(ACT_POSTLIFT,0))),0)))</f>
        <v/>
      </c>
      <c r="S185" s="10">
        <f>IF(OR($H185&lt;&gt;"Y",10&lt;$I185),0,IF(SUMPRODUCT(((BULK_ENABLED="Y")*((BULK_TIER="ALL")+(BULK_TIER=$F185))*((BULK_SKU="ALL")+(BULK_SKU=$G185))*(BULK_START&lt;=10)*(BULK_END&gt;=10)))&gt;0,IFERROR(SUMPRODUCT(((BULK_ENABLED="Y")*((BULK_TIER="ALL")+(BULK_TIER=$F185))*((BULK_SKU="ALL")+(BULK_SKU=$G185))*(BULK_START&lt;=10)*(BULK_END&gt;=10))*IFERROR(BULK_VALUE,0))/MAX(1,SUMPRODUCT(((BULK_ENABLED="Y")*((BULK_TIER="ALL")+(BULK_TIER=$F185))*((BULK_SKU="ALL")+(BULK_SKU=$G185))*(BULK_START&lt;=10)*(BULK_END&gt;=10)))),0),ROUND((INDEX(VELOCITY_TABLE,MATCH($F185,TIER_LIST,0),1))*(IF((10-$I185+1)&lt;=0,0,IF((10-$I185+1)=1,RAMP_W1,IF((10-$I185+1)=2,RAMP_W2,IF((10-$I185+1)=3,RAMP_W3,RAMP_W4PLUS)))))*(INDEX(ACTIVE_MULT_TABLE,1,1))*(1+SUMPRODUCT(SIGN(((ACT_DOOR_SCOPE="ALL")+(ACT_DOOR_SCOPE="TIER_"&amp;$F185)+(ACT_DOOR_SCOPE=$B185)))*SIGN(((ACT_SKU_SCOPE="ALL")+(ACT_SKU_SCOPE=$G185)))*(ACT_START&lt;=10)*(ACT_END&gt;=10)*IFERROR(ACT_UPLIFT-1,0)))*(1+SUMPRODUCT(SIGN(((ACT_DOOR_SCOPE="ALL")+(ACT_DOOR_SCOPE="TIER_"&amp;$F185)+(ACT_DOOR_SCOPE=$B185)))*SIGN(((ACT_SKU_SCOPE="ALL")+(ACT_SKU_SCOPE=$G185)))*(10&gt;ACT_END)*(ACT_END&gt;0)*IFERROR(ACT_POSTLIFT,0))),0)))</f>
        <v/>
      </c>
      <c r="T185" s="10">
        <f>IF(OR($H185&lt;&gt;"Y",11&lt;$I185),0,IF(SUMPRODUCT(((BULK_ENABLED="Y")*((BULK_TIER="ALL")+(BULK_TIER=$F185))*((BULK_SKU="ALL")+(BULK_SKU=$G185))*(BULK_START&lt;=11)*(BULK_END&gt;=11)))&gt;0,IFERROR(SUMPRODUCT(((BULK_ENABLED="Y")*((BULK_TIER="ALL")+(BULK_TIER=$F185))*((BULK_SKU="ALL")+(BULK_SKU=$G185))*(BULK_START&lt;=11)*(BULK_END&gt;=11))*IFERROR(BULK_VALUE,0))/MAX(1,SUMPRODUCT(((BULK_ENABLED="Y")*((BULK_TIER="ALL")+(BULK_TIER=$F185))*((BULK_SKU="ALL")+(BULK_SKU=$G185))*(BULK_START&lt;=11)*(BULK_END&gt;=11)))),0),ROUND((INDEX(VELOCITY_TABLE,MATCH($F185,TIER_LIST,0),1))*(IF((11-$I185+1)&lt;=0,0,IF((11-$I185+1)=1,RAMP_W1,IF((11-$I185+1)=2,RAMP_W2,IF((11-$I185+1)=3,RAMP_W3,RAMP_W4PLUS)))))*(INDEX(ACTIVE_MULT_TABLE,1,1))*(1+SUMPRODUCT(SIGN(((ACT_DOOR_SCOPE="ALL")+(ACT_DOOR_SCOPE="TIER_"&amp;$F185)+(ACT_DOOR_SCOPE=$B185)))*SIGN(((ACT_SKU_SCOPE="ALL")+(ACT_SKU_SCOPE=$G185)))*(ACT_START&lt;=11)*(ACT_END&gt;=11)*IFERROR(ACT_UPLIFT-1,0)))*(1+SUMPRODUCT(SIGN(((ACT_DOOR_SCOPE="ALL")+(ACT_DOOR_SCOPE="TIER_"&amp;$F185)+(ACT_DOOR_SCOPE=$B185)))*SIGN(((ACT_SKU_SCOPE="ALL")+(ACT_SKU_SCOPE=$G185)))*(11&gt;ACT_END)*(ACT_END&gt;0)*IFERROR(ACT_POSTLIFT,0))),0)))</f>
        <v/>
      </c>
      <c r="U185" s="10">
        <f>IF(OR($H185&lt;&gt;"Y",12&lt;$I185),0,IF(SUMPRODUCT(((BULK_ENABLED="Y")*((BULK_TIER="ALL")+(BULK_TIER=$F185))*((BULK_SKU="ALL")+(BULK_SKU=$G185))*(BULK_START&lt;=12)*(BULK_END&gt;=12)))&gt;0,IFERROR(SUMPRODUCT(((BULK_ENABLED="Y")*((BULK_TIER="ALL")+(BULK_TIER=$F185))*((BULK_SKU="ALL")+(BULK_SKU=$G185))*(BULK_START&lt;=12)*(BULK_END&gt;=12))*IFERROR(BULK_VALUE,0))/MAX(1,SUMPRODUCT(((BULK_ENABLED="Y")*((BULK_TIER="ALL")+(BULK_TIER=$F185))*((BULK_SKU="ALL")+(BULK_SKU=$G185))*(BULK_START&lt;=12)*(BULK_END&gt;=12)))),0),ROUND((INDEX(VELOCITY_TABLE,MATCH($F185,TIER_LIST,0),1))*(IF((12-$I185+1)&lt;=0,0,IF((12-$I185+1)=1,RAMP_W1,IF((12-$I185+1)=2,RAMP_W2,IF((12-$I185+1)=3,RAMP_W3,RAMP_W4PLUS)))))*(INDEX(ACTIVE_MULT_TABLE,1,1))*(1+SUMPRODUCT(SIGN(((ACT_DOOR_SCOPE="ALL")+(ACT_DOOR_SCOPE="TIER_"&amp;$F185)+(ACT_DOOR_SCOPE=$B185)))*SIGN(((ACT_SKU_SCOPE="ALL")+(ACT_SKU_SCOPE=$G185)))*(ACT_START&lt;=12)*(ACT_END&gt;=12)*IFERROR(ACT_UPLIFT-1,0)))*(1+SUMPRODUCT(SIGN(((ACT_DOOR_SCOPE="ALL")+(ACT_DOOR_SCOPE="TIER_"&amp;$F185)+(ACT_DOOR_SCOPE=$B185)))*SIGN(((ACT_SKU_SCOPE="ALL")+(ACT_SKU_SCOPE=$G185)))*(12&gt;ACT_END)*(ACT_END&gt;0)*IFERROR(ACT_POSTLIFT,0))),0)))</f>
        <v/>
      </c>
      <c r="V185" s="10">
        <f>IF(OR($H185&lt;&gt;"Y",13&lt;$I185),0,IF(SUMPRODUCT(((BULK_ENABLED="Y")*((BULK_TIER="ALL")+(BULK_TIER=$F185))*((BULK_SKU="ALL")+(BULK_SKU=$G185))*(BULK_START&lt;=13)*(BULK_END&gt;=13)))&gt;0,IFERROR(SUMPRODUCT(((BULK_ENABLED="Y")*((BULK_TIER="ALL")+(BULK_TIER=$F185))*((BULK_SKU="ALL")+(BULK_SKU=$G185))*(BULK_START&lt;=13)*(BULK_END&gt;=13))*IFERROR(BULK_VALUE,0))/MAX(1,SUMPRODUCT(((BULK_ENABLED="Y")*((BULK_TIER="ALL")+(BULK_TIER=$F185))*((BULK_SKU="ALL")+(BULK_SKU=$G185))*(BULK_START&lt;=13)*(BULK_END&gt;=13)))),0),ROUND((INDEX(VELOCITY_TABLE,MATCH($F185,TIER_LIST,0),1))*(IF((13-$I185+1)&lt;=0,0,IF((13-$I185+1)=1,RAMP_W1,IF((13-$I185+1)=2,RAMP_W2,IF((13-$I185+1)=3,RAMP_W3,RAMP_W4PLUS)))))*(INDEX(ACTIVE_MULT_TABLE,1,1))*(1+SUMPRODUCT(SIGN(((ACT_DOOR_SCOPE="ALL")+(ACT_DOOR_SCOPE="TIER_"&amp;$F185)+(ACT_DOOR_SCOPE=$B185)))*SIGN(((ACT_SKU_SCOPE="ALL")+(ACT_SKU_SCOPE=$G185)))*(ACT_START&lt;=13)*(ACT_END&gt;=13)*IFERROR(ACT_UPLIFT-1,0)))*(1+SUMPRODUCT(SIGN(((ACT_DOOR_SCOPE="ALL")+(ACT_DOOR_SCOPE="TIER_"&amp;$F185)+(ACT_DOOR_SCOPE=$B185)))*SIGN(((ACT_SKU_SCOPE="ALL")+(ACT_SKU_SCOPE=$G185)))*(13&gt;ACT_END)*(ACT_END&gt;0)*IFERROR(ACT_POSTLIFT,0))),0)))</f>
        <v/>
      </c>
    </row>
    <row r="186">
      <c r="A186" t="inlineStr">
        <is>
          <t>R0182</t>
        </is>
      </c>
      <c r="B186">
        <f>Doors!$A$65</f>
        <v/>
      </c>
      <c r="C186">
        <f>Doors!$C$65</f>
        <v/>
      </c>
      <c r="D186">
        <f>Doors!$B$65</f>
        <v/>
      </c>
      <c r="E186">
        <f>Doors!$E$65</f>
        <v/>
      </c>
      <c r="F186">
        <f>Doors!$F$65</f>
        <v/>
      </c>
      <c r="G186" t="inlineStr">
        <is>
          <t>Pineapple Passion Fruit</t>
        </is>
      </c>
      <c r="H186">
        <f>Doors!$H$65</f>
        <v/>
      </c>
      <c r="I186">
        <f>Doors!$J$65</f>
        <v/>
      </c>
      <c r="J186" s="10">
        <f>IF(OR($H186&lt;&gt;"Y",1&lt;$I186),0,IF(SUMPRODUCT(((BULK_ENABLED="Y")*((BULK_TIER="ALL")+(BULK_TIER=$F186))*((BULK_SKU="ALL")+(BULK_SKU=$G186))*(BULK_START&lt;=1)*(BULK_END&gt;=1)))&gt;0,IFERROR(SUMPRODUCT(((BULK_ENABLED="Y")*((BULK_TIER="ALL")+(BULK_TIER=$F186))*((BULK_SKU="ALL")+(BULK_SKU=$G186))*(BULK_START&lt;=1)*(BULK_END&gt;=1))*IFERROR(BULK_VALUE,0))/MAX(1,SUMPRODUCT(((BULK_ENABLED="Y")*((BULK_TIER="ALL")+(BULK_TIER=$F186))*((BULK_SKU="ALL")+(BULK_SKU=$G186))*(BULK_START&lt;=1)*(BULK_END&gt;=1)))),0),ROUND((INDEX(VELOCITY_TABLE,MATCH($F186,TIER_LIST,0),2))*(IF((1-$I186+1)&lt;=0,0,IF((1-$I186+1)=1,RAMP_W1,IF((1-$I186+1)=2,RAMP_W2,IF((1-$I186+1)=3,RAMP_W3,RAMP_W4PLUS)))))*(INDEX(ACTIVE_MULT_TABLE,2,1))*(1+SUMPRODUCT(SIGN(((ACT_DOOR_SCOPE="ALL")+(ACT_DOOR_SCOPE="TIER_"&amp;$F186)+(ACT_DOOR_SCOPE=$B186)))*SIGN(((ACT_SKU_SCOPE="ALL")+(ACT_SKU_SCOPE=$G186)))*(ACT_START&lt;=1)*(ACT_END&gt;=1)*IFERROR(ACT_UPLIFT-1,0)))*(1+SUMPRODUCT(SIGN(((ACT_DOOR_SCOPE="ALL")+(ACT_DOOR_SCOPE="TIER_"&amp;$F186)+(ACT_DOOR_SCOPE=$B186)))*SIGN(((ACT_SKU_SCOPE="ALL")+(ACT_SKU_SCOPE=$G186)))*(1&gt;ACT_END)*(ACT_END&gt;0)*IFERROR(ACT_POSTLIFT,0))),0)))</f>
        <v/>
      </c>
      <c r="K186" s="10">
        <f>IF(OR($H186&lt;&gt;"Y",2&lt;$I186),0,IF(SUMPRODUCT(((BULK_ENABLED="Y")*((BULK_TIER="ALL")+(BULK_TIER=$F186))*((BULK_SKU="ALL")+(BULK_SKU=$G186))*(BULK_START&lt;=2)*(BULK_END&gt;=2)))&gt;0,IFERROR(SUMPRODUCT(((BULK_ENABLED="Y")*((BULK_TIER="ALL")+(BULK_TIER=$F186))*((BULK_SKU="ALL")+(BULK_SKU=$G186))*(BULK_START&lt;=2)*(BULK_END&gt;=2))*IFERROR(BULK_VALUE,0))/MAX(1,SUMPRODUCT(((BULK_ENABLED="Y")*((BULK_TIER="ALL")+(BULK_TIER=$F186))*((BULK_SKU="ALL")+(BULK_SKU=$G186))*(BULK_START&lt;=2)*(BULK_END&gt;=2)))),0),ROUND((INDEX(VELOCITY_TABLE,MATCH($F186,TIER_LIST,0),2))*(IF((2-$I186+1)&lt;=0,0,IF((2-$I186+1)=1,RAMP_W1,IF((2-$I186+1)=2,RAMP_W2,IF((2-$I186+1)=3,RAMP_W3,RAMP_W4PLUS)))))*(INDEX(ACTIVE_MULT_TABLE,2,1))*(1+SUMPRODUCT(SIGN(((ACT_DOOR_SCOPE="ALL")+(ACT_DOOR_SCOPE="TIER_"&amp;$F186)+(ACT_DOOR_SCOPE=$B186)))*SIGN(((ACT_SKU_SCOPE="ALL")+(ACT_SKU_SCOPE=$G186)))*(ACT_START&lt;=2)*(ACT_END&gt;=2)*IFERROR(ACT_UPLIFT-1,0)))*(1+SUMPRODUCT(SIGN(((ACT_DOOR_SCOPE="ALL")+(ACT_DOOR_SCOPE="TIER_"&amp;$F186)+(ACT_DOOR_SCOPE=$B186)))*SIGN(((ACT_SKU_SCOPE="ALL")+(ACT_SKU_SCOPE=$G186)))*(2&gt;ACT_END)*(ACT_END&gt;0)*IFERROR(ACT_POSTLIFT,0))),0)))</f>
        <v/>
      </c>
      <c r="L186" s="10">
        <f>IF(OR($H186&lt;&gt;"Y",3&lt;$I186),0,IF(SUMPRODUCT(((BULK_ENABLED="Y")*((BULK_TIER="ALL")+(BULK_TIER=$F186))*((BULK_SKU="ALL")+(BULK_SKU=$G186))*(BULK_START&lt;=3)*(BULK_END&gt;=3)))&gt;0,IFERROR(SUMPRODUCT(((BULK_ENABLED="Y")*((BULK_TIER="ALL")+(BULK_TIER=$F186))*((BULK_SKU="ALL")+(BULK_SKU=$G186))*(BULK_START&lt;=3)*(BULK_END&gt;=3))*IFERROR(BULK_VALUE,0))/MAX(1,SUMPRODUCT(((BULK_ENABLED="Y")*((BULK_TIER="ALL")+(BULK_TIER=$F186))*((BULK_SKU="ALL")+(BULK_SKU=$G186))*(BULK_START&lt;=3)*(BULK_END&gt;=3)))),0),ROUND((INDEX(VELOCITY_TABLE,MATCH($F186,TIER_LIST,0),2))*(IF((3-$I186+1)&lt;=0,0,IF((3-$I186+1)=1,RAMP_W1,IF((3-$I186+1)=2,RAMP_W2,IF((3-$I186+1)=3,RAMP_W3,RAMP_W4PLUS)))))*(INDEX(ACTIVE_MULT_TABLE,2,1))*(1+SUMPRODUCT(SIGN(((ACT_DOOR_SCOPE="ALL")+(ACT_DOOR_SCOPE="TIER_"&amp;$F186)+(ACT_DOOR_SCOPE=$B186)))*SIGN(((ACT_SKU_SCOPE="ALL")+(ACT_SKU_SCOPE=$G186)))*(ACT_START&lt;=3)*(ACT_END&gt;=3)*IFERROR(ACT_UPLIFT-1,0)))*(1+SUMPRODUCT(SIGN(((ACT_DOOR_SCOPE="ALL")+(ACT_DOOR_SCOPE="TIER_"&amp;$F186)+(ACT_DOOR_SCOPE=$B186)))*SIGN(((ACT_SKU_SCOPE="ALL")+(ACT_SKU_SCOPE=$G186)))*(3&gt;ACT_END)*(ACT_END&gt;0)*IFERROR(ACT_POSTLIFT,0))),0)))</f>
        <v/>
      </c>
      <c r="M186" s="10">
        <f>IF(OR($H186&lt;&gt;"Y",4&lt;$I186),0,IF(SUMPRODUCT(((BULK_ENABLED="Y")*((BULK_TIER="ALL")+(BULK_TIER=$F186))*((BULK_SKU="ALL")+(BULK_SKU=$G186))*(BULK_START&lt;=4)*(BULK_END&gt;=4)))&gt;0,IFERROR(SUMPRODUCT(((BULK_ENABLED="Y")*((BULK_TIER="ALL")+(BULK_TIER=$F186))*((BULK_SKU="ALL")+(BULK_SKU=$G186))*(BULK_START&lt;=4)*(BULK_END&gt;=4))*IFERROR(BULK_VALUE,0))/MAX(1,SUMPRODUCT(((BULK_ENABLED="Y")*((BULK_TIER="ALL")+(BULK_TIER=$F186))*((BULK_SKU="ALL")+(BULK_SKU=$G186))*(BULK_START&lt;=4)*(BULK_END&gt;=4)))),0),ROUND((INDEX(VELOCITY_TABLE,MATCH($F186,TIER_LIST,0),2))*(IF((4-$I186+1)&lt;=0,0,IF((4-$I186+1)=1,RAMP_W1,IF((4-$I186+1)=2,RAMP_W2,IF((4-$I186+1)=3,RAMP_W3,RAMP_W4PLUS)))))*(INDEX(ACTIVE_MULT_TABLE,2,1))*(1+SUMPRODUCT(SIGN(((ACT_DOOR_SCOPE="ALL")+(ACT_DOOR_SCOPE="TIER_"&amp;$F186)+(ACT_DOOR_SCOPE=$B186)))*SIGN(((ACT_SKU_SCOPE="ALL")+(ACT_SKU_SCOPE=$G186)))*(ACT_START&lt;=4)*(ACT_END&gt;=4)*IFERROR(ACT_UPLIFT-1,0)))*(1+SUMPRODUCT(SIGN(((ACT_DOOR_SCOPE="ALL")+(ACT_DOOR_SCOPE="TIER_"&amp;$F186)+(ACT_DOOR_SCOPE=$B186)))*SIGN(((ACT_SKU_SCOPE="ALL")+(ACT_SKU_SCOPE=$G186)))*(4&gt;ACT_END)*(ACT_END&gt;0)*IFERROR(ACT_POSTLIFT,0))),0)))</f>
        <v/>
      </c>
      <c r="N186" s="10">
        <f>IF(OR($H186&lt;&gt;"Y",5&lt;$I186),0,IF(SUMPRODUCT(((BULK_ENABLED="Y")*((BULK_TIER="ALL")+(BULK_TIER=$F186))*((BULK_SKU="ALL")+(BULK_SKU=$G186))*(BULK_START&lt;=5)*(BULK_END&gt;=5)))&gt;0,IFERROR(SUMPRODUCT(((BULK_ENABLED="Y")*((BULK_TIER="ALL")+(BULK_TIER=$F186))*((BULK_SKU="ALL")+(BULK_SKU=$G186))*(BULK_START&lt;=5)*(BULK_END&gt;=5))*IFERROR(BULK_VALUE,0))/MAX(1,SUMPRODUCT(((BULK_ENABLED="Y")*((BULK_TIER="ALL")+(BULK_TIER=$F186))*((BULK_SKU="ALL")+(BULK_SKU=$G186))*(BULK_START&lt;=5)*(BULK_END&gt;=5)))),0),ROUND((INDEX(VELOCITY_TABLE,MATCH($F186,TIER_LIST,0),2))*(IF((5-$I186+1)&lt;=0,0,IF((5-$I186+1)=1,RAMP_W1,IF((5-$I186+1)=2,RAMP_W2,IF((5-$I186+1)=3,RAMP_W3,RAMP_W4PLUS)))))*(INDEX(ACTIVE_MULT_TABLE,2,1))*(1+SUMPRODUCT(SIGN(((ACT_DOOR_SCOPE="ALL")+(ACT_DOOR_SCOPE="TIER_"&amp;$F186)+(ACT_DOOR_SCOPE=$B186)))*SIGN(((ACT_SKU_SCOPE="ALL")+(ACT_SKU_SCOPE=$G186)))*(ACT_START&lt;=5)*(ACT_END&gt;=5)*IFERROR(ACT_UPLIFT-1,0)))*(1+SUMPRODUCT(SIGN(((ACT_DOOR_SCOPE="ALL")+(ACT_DOOR_SCOPE="TIER_"&amp;$F186)+(ACT_DOOR_SCOPE=$B186)))*SIGN(((ACT_SKU_SCOPE="ALL")+(ACT_SKU_SCOPE=$G186)))*(5&gt;ACT_END)*(ACT_END&gt;0)*IFERROR(ACT_POSTLIFT,0))),0)))</f>
        <v/>
      </c>
      <c r="O186" s="10">
        <f>IF(OR($H186&lt;&gt;"Y",6&lt;$I186),0,IF(SUMPRODUCT(((BULK_ENABLED="Y")*((BULK_TIER="ALL")+(BULK_TIER=$F186))*((BULK_SKU="ALL")+(BULK_SKU=$G186))*(BULK_START&lt;=6)*(BULK_END&gt;=6)))&gt;0,IFERROR(SUMPRODUCT(((BULK_ENABLED="Y")*((BULK_TIER="ALL")+(BULK_TIER=$F186))*((BULK_SKU="ALL")+(BULK_SKU=$G186))*(BULK_START&lt;=6)*(BULK_END&gt;=6))*IFERROR(BULK_VALUE,0))/MAX(1,SUMPRODUCT(((BULK_ENABLED="Y")*((BULK_TIER="ALL")+(BULK_TIER=$F186))*((BULK_SKU="ALL")+(BULK_SKU=$G186))*(BULK_START&lt;=6)*(BULK_END&gt;=6)))),0),ROUND((INDEX(VELOCITY_TABLE,MATCH($F186,TIER_LIST,0),2))*(IF((6-$I186+1)&lt;=0,0,IF((6-$I186+1)=1,RAMP_W1,IF((6-$I186+1)=2,RAMP_W2,IF((6-$I186+1)=3,RAMP_W3,RAMP_W4PLUS)))))*(INDEX(ACTIVE_MULT_TABLE,2,1))*(1+SUMPRODUCT(SIGN(((ACT_DOOR_SCOPE="ALL")+(ACT_DOOR_SCOPE="TIER_"&amp;$F186)+(ACT_DOOR_SCOPE=$B186)))*SIGN(((ACT_SKU_SCOPE="ALL")+(ACT_SKU_SCOPE=$G186)))*(ACT_START&lt;=6)*(ACT_END&gt;=6)*IFERROR(ACT_UPLIFT-1,0)))*(1+SUMPRODUCT(SIGN(((ACT_DOOR_SCOPE="ALL")+(ACT_DOOR_SCOPE="TIER_"&amp;$F186)+(ACT_DOOR_SCOPE=$B186)))*SIGN(((ACT_SKU_SCOPE="ALL")+(ACT_SKU_SCOPE=$G186)))*(6&gt;ACT_END)*(ACT_END&gt;0)*IFERROR(ACT_POSTLIFT,0))),0)))</f>
        <v/>
      </c>
      <c r="P186" s="10">
        <f>IF(OR($H186&lt;&gt;"Y",7&lt;$I186),0,IF(SUMPRODUCT(((BULK_ENABLED="Y")*((BULK_TIER="ALL")+(BULK_TIER=$F186))*((BULK_SKU="ALL")+(BULK_SKU=$G186))*(BULK_START&lt;=7)*(BULK_END&gt;=7)))&gt;0,IFERROR(SUMPRODUCT(((BULK_ENABLED="Y")*((BULK_TIER="ALL")+(BULK_TIER=$F186))*((BULK_SKU="ALL")+(BULK_SKU=$G186))*(BULK_START&lt;=7)*(BULK_END&gt;=7))*IFERROR(BULK_VALUE,0))/MAX(1,SUMPRODUCT(((BULK_ENABLED="Y")*((BULK_TIER="ALL")+(BULK_TIER=$F186))*((BULK_SKU="ALL")+(BULK_SKU=$G186))*(BULK_START&lt;=7)*(BULK_END&gt;=7)))),0),ROUND((INDEX(VELOCITY_TABLE,MATCH($F186,TIER_LIST,0),2))*(IF((7-$I186+1)&lt;=0,0,IF((7-$I186+1)=1,RAMP_W1,IF((7-$I186+1)=2,RAMP_W2,IF((7-$I186+1)=3,RAMP_W3,RAMP_W4PLUS)))))*(INDEX(ACTIVE_MULT_TABLE,2,1))*(1+SUMPRODUCT(SIGN(((ACT_DOOR_SCOPE="ALL")+(ACT_DOOR_SCOPE="TIER_"&amp;$F186)+(ACT_DOOR_SCOPE=$B186)))*SIGN(((ACT_SKU_SCOPE="ALL")+(ACT_SKU_SCOPE=$G186)))*(ACT_START&lt;=7)*(ACT_END&gt;=7)*IFERROR(ACT_UPLIFT-1,0)))*(1+SUMPRODUCT(SIGN(((ACT_DOOR_SCOPE="ALL")+(ACT_DOOR_SCOPE="TIER_"&amp;$F186)+(ACT_DOOR_SCOPE=$B186)))*SIGN(((ACT_SKU_SCOPE="ALL")+(ACT_SKU_SCOPE=$G186)))*(7&gt;ACT_END)*(ACT_END&gt;0)*IFERROR(ACT_POSTLIFT,0))),0)))</f>
        <v/>
      </c>
      <c r="Q186" s="10">
        <f>IF(OR($H186&lt;&gt;"Y",8&lt;$I186),0,IF(SUMPRODUCT(((BULK_ENABLED="Y")*((BULK_TIER="ALL")+(BULK_TIER=$F186))*((BULK_SKU="ALL")+(BULK_SKU=$G186))*(BULK_START&lt;=8)*(BULK_END&gt;=8)))&gt;0,IFERROR(SUMPRODUCT(((BULK_ENABLED="Y")*((BULK_TIER="ALL")+(BULK_TIER=$F186))*((BULK_SKU="ALL")+(BULK_SKU=$G186))*(BULK_START&lt;=8)*(BULK_END&gt;=8))*IFERROR(BULK_VALUE,0))/MAX(1,SUMPRODUCT(((BULK_ENABLED="Y")*((BULK_TIER="ALL")+(BULK_TIER=$F186))*((BULK_SKU="ALL")+(BULK_SKU=$G186))*(BULK_START&lt;=8)*(BULK_END&gt;=8)))),0),ROUND((INDEX(VELOCITY_TABLE,MATCH($F186,TIER_LIST,0),2))*(IF((8-$I186+1)&lt;=0,0,IF((8-$I186+1)=1,RAMP_W1,IF((8-$I186+1)=2,RAMP_W2,IF((8-$I186+1)=3,RAMP_W3,RAMP_W4PLUS)))))*(INDEX(ACTIVE_MULT_TABLE,2,1))*(1+SUMPRODUCT(SIGN(((ACT_DOOR_SCOPE="ALL")+(ACT_DOOR_SCOPE="TIER_"&amp;$F186)+(ACT_DOOR_SCOPE=$B186)))*SIGN(((ACT_SKU_SCOPE="ALL")+(ACT_SKU_SCOPE=$G186)))*(ACT_START&lt;=8)*(ACT_END&gt;=8)*IFERROR(ACT_UPLIFT-1,0)))*(1+SUMPRODUCT(SIGN(((ACT_DOOR_SCOPE="ALL")+(ACT_DOOR_SCOPE="TIER_"&amp;$F186)+(ACT_DOOR_SCOPE=$B186)))*SIGN(((ACT_SKU_SCOPE="ALL")+(ACT_SKU_SCOPE=$G186)))*(8&gt;ACT_END)*(ACT_END&gt;0)*IFERROR(ACT_POSTLIFT,0))),0)))</f>
        <v/>
      </c>
      <c r="R186" s="10">
        <f>IF(OR($H186&lt;&gt;"Y",9&lt;$I186),0,IF(SUMPRODUCT(((BULK_ENABLED="Y")*((BULK_TIER="ALL")+(BULK_TIER=$F186))*((BULK_SKU="ALL")+(BULK_SKU=$G186))*(BULK_START&lt;=9)*(BULK_END&gt;=9)))&gt;0,IFERROR(SUMPRODUCT(((BULK_ENABLED="Y")*((BULK_TIER="ALL")+(BULK_TIER=$F186))*((BULK_SKU="ALL")+(BULK_SKU=$G186))*(BULK_START&lt;=9)*(BULK_END&gt;=9))*IFERROR(BULK_VALUE,0))/MAX(1,SUMPRODUCT(((BULK_ENABLED="Y")*((BULK_TIER="ALL")+(BULK_TIER=$F186))*((BULK_SKU="ALL")+(BULK_SKU=$G186))*(BULK_START&lt;=9)*(BULK_END&gt;=9)))),0),ROUND((INDEX(VELOCITY_TABLE,MATCH($F186,TIER_LIST,0),2))*(IF((9-$I186+1)&lt;=0,0,IF((9-$I186+1)=1,RAMP_W1,IF((9-$I186+1)=2,RAMP_W2,IF((9-$I186+1)=3,RAMP_W3,RAMP_W4PLUS)))))*(INDEX(ACTIVE_MULT_TABLE,2,1))*(1+SUMPRODUCT(SIGN(((ACT_DOOR_SCOPE="ALL")+(ACT_DOOR_SCOPE="TIER_"&amp;$F186)+(ACT_DOOR_SCOPE=$B186)))*SIGN(((ACT_SKU_SCOPE="ALL")+(ACT_SKU_SCOPE=$G186)))*(ACT_START&lt;=9)*(ACT_END&gt;=9)*IFERROR(ACT_UPLIFT-1,0)))*(1+SUMPRODUCT(SIGN(((ACT_DOOR_SCOPE="ALL")+(ACT_DOOR_SCOPE="TIER_"&amp;$F186)+(ACT_DOOR_SCOPE=$B186)))*SIGN(((ACT_SKU_SCOPE="ALL")+(ACT_SKU_SCOPE=$G186)))*(9&gt;ACT_END)*(ACT_END&gt;0)*IFERROR(ACT_POSTLIFT,0))),0)))</f>
        <v/>
      </c>
      <c r="S186" s="10">
        <f>IF(OR($H186&lt;&gt;"Y",10&lt;$I186),0,IF(SUMPRODUCT(((BULK_ENABLED="Y")*((BULK_TIER="ALL")+(BULK_TIER=$F186))*((BULK_SKU="ALL")+(BULK_SKU=$G186))*(BULK_START&lt;=10)*(BULK_END&gt;=10)))&gt;0,IFERROR(SUMPRODUCT(((BULK_ENABLED="Y")*((BULK_TIER="ALL")+(BULK_TIER=$F186))*((BULK_SKU="ALL")+(BULK_SKU=$G186))*(BULK_START&lt;=10)*(BULK_END&gt;=10))*IFERROR(BULK_VALUE,0))/MAX(1,SUMPRODUCT(((BULK_ENABLED="Y")*((BULK_TIER="ALL")+(BULK_TIER=$F186))*((BULK_SKU="ALL")+(BULK_SKU=$G186))*(BULK_START&lt;=10)*(BULK_END&gt;=10)))),0),ROUND((INDEX(VELOCITY_TABLE,MATCH($F186,TIER_LIST,0),2))*(IF((10-$I186+1)&lt;=0,0,IF((10-$I186+1)=1,RAMP_W1,IF((10-$I186+1)=2,RAMP_W2,IF((10-$I186+1)=3,RAMP_W3,RAMP_W4PLUS)))))*(INDEX(ACTIVE_MULT_TABLE,2,1))*(1+SUMPRODUCT(SIGN(((ACT_DOOR_SCOPE="ALL")+(ACT_DOOR_SCOPE="TIER_"&amp;$F186)+(ACT_DOOR_SCOPE=$B186)))*SIGN(((ACT_SKU_SCOPE="ALL")+(ACT_SKU_SCOPE=$G186)))*(ACT_START&lt;=10)*(ACT_END&gt;=10)*IFERROR(ACT_UPLIFT-1,0)))*(1+SUMPRODUCT(SIGN(((ACT_DOOR_SCOPE="ALL")+(ACT_DOOR_SCOPE="TIER_"&amp;$F186)+(ACT_DOOR_SCOPE=$B186)))*SIGN(((ACT_SKU_SCOPE="ALL")+(ACT_SKU_SCOPE=$G186)))*(10&gt;ACT_END)*(ACT_END&gt;0)*IFERROR(ACT_POSTLIFT,0))),0)))</f>
        <v/>
      </c>
      <c r="T186" s="10">
        <f>IF(OR($H186&lt;&gt;"Y",11&lt;$I186),0,IF(SUMPRODUCT(((BULK_ENABLED="Y")*((BULK_TIER="ALL")+(BULK_TIER=$F186))*((BULK_SKU="ALL")+(BULK_SKU=$G186))*(BULK_START&lt;=11)*(BULK_END&gt;=11)))&gt;0,IFERROR(SUMPRODUCT(((BULK_ENABLED="Y")*((BULK_TIER="ALL")+(BULK_TIER=$F186))*((BULK_SKU="ALL")+(BULK_SKU=$G186))*(BULK_START&lt;=11)*(BULK_END&gt;=11))*IFERROR(BULK_VALUE,0))/MAX(1,SUMPRODUCT(((BULK_ENABLED="Y")*((BULK_TIER="ALL")+(BULK_TIER=$F186))*((BULK_SKU="ALL")+(BULK_SKU=$G186))*(BULK_START&lt;=11)*(BULK_END&gt;=11)))),0),ROUND((INDEX(VELOCITY_TABLE,MATCH($F186,TIER_LIST,0),2))*(IF((11-$I186+1)&lt;=0,0,IF((11-$I186+1)=1,RAMP_W1,IF((11-$I186+1)=2,RAMP_W2,IF((11-$I186+1)=3,RAMP_W3,RAMP_W4PLUS)))))*(INDEX(ACTIVE_MULT_TABLE,2,1))*(1+SUMPRODUCT(SIGN(((ACT_DOOR_SCOPE="ALL")+(ACT_DOOR_SCOPE="TIER_"&amp;$F186)+(ACT_DOOR_SCOPE=$B186)))*SIGN(((ACT_SKU_SCOPE="ALL")+(ACT_SKU_SCOPE=$G186)))*(ACT_START&lt;=11)*(ACT_END&gt;=11)*IFERROR(ACT_UPLIFT-1,0)))*(1+SUMPRODUCT(SIGN(((ACT_DOOR_SCOPE="ALL")+(ACT_DOOR_SCOPE="TIER_"&amp;$F186)+(ACT_DOOR_SCOPE=$B186)))*SIGN(((ACT_SKU_SCOPE="ALL")+(ACT_SKU_SCOPE=$G186)))*(11&gt;ACT_END)*(ACT_END&gt;0)*IFERROR(ACT_POSTLIFT,0))),0)))</f>
        <v/>
      </c>
      <c r="U186" s="10">
        <f>IF(OR($H186&lt;&gt;"Y",12&lt;$I186),0,IF(SUMPRODUCT(((BULK_ENABLED="Y")*((BULK_TIER="ALL")+(BULK_TIER=$F186))*((BULK_SKU="ALL")+(BULK_SKU=$G186))*(BULK_START&lt;=12)*(BULK_END&gt;=12)))&gt;0,IFERROR(SUMPRODUCT(((BULK_ENABLED="Y")*((BULK_TIER="ALL")+(BULK_TIER=$F186))*((BULK_SKU="ALL")+(BULK_SKU=$G186))*(BULK_START&lt;=12)*(BULK_END&gt;=12))*IFERROR(BULK_VALUE,0))/MAX(1,SUMPRODUCT(((BULK_ENABLED="Y")*((BULK_TIER="ALL")+(BULK_TIER=$F186))*((BULK_SKU="ALL")+(BULK_SKU=$G186))*(BULK_START&lt;=12)*(BULK_END&gt;=12)))),0),ROUND((INDEX(VELOCITY_TABLE,MATCH($F186,TIER_LIST,0),2))*(IF((12-$I186+1)&lt;=0,0,IF((12-$I186+1)=1,RAMP_W1,IF((12-$I186+1)=2,RAMP_W2,IF((12-$I186+1)=3,RAMP_W3,RAMP_W4PLUS)))))*(INDEX(ACTIVE_MULT_TABLE,2,1))*(1+SUMPRODUCT(SIGN(((ACT_DOOR_SCOPE="ALL")+(ACT_DOOR_SCOPE="TIER_"&amp;$F186)+(ACT_DOOR_SCOPE=$B186)))*SIGN(((ACT_SKU_SCOPE="ALL")+(ACT_SKU_SCOPE=$G186)))*(ACT_START&lt;=12)*(ACT_END&gt;=12)*IFERROR(ACT_UPLIFT-1,0)))*(1+SUMPRODUCT(SIGN(((ACT_DOOR_SCOPE="ALL")+(ACT_DOOR_SCOPE="TIER_"&amp;$F186)+(ACT_DOOR_SCOPE=$B186)))*SIGN(((ACT_SKU_SCOPE="ALL")+(ACT_SKU_SCOPE=$G186)))*(12&gt;ACT_END)*(ACT_END&gt;0)*IFERROR(ACT_POSTLIFT,0))),0)))</f>
        <v/>
      </c>
      <c r="V186" s="10">
        <f>IF(OR($H186&lt;&gt;"Y",13&lt;$I186),0,IF(SUMPRODUCT(((BULK_ENABLED="Y")*((BULK_TIER="ALL")+(BULK_TIER=$F186))*((BULK_SKU="ALL")+(BULK_SKU=$G186))*(BULK_START&lt;=13)*(BULK_END&gt;=13)))&gt;0,IFERROR(SUMPRODUCT(((BULK_ENABLED="Y")*((BULK_TIER="ALL")+(BULK_TIER=$F186))*((BULK_SKU="ALL")+(BULK_SKU=$G186))*(BULK_START&lt;=13)*(BULK_END&gt;=13))*IFERROR(BULK_VALUE,0))/MAX(1,SUMPRODUCT(((BULK_ENABLED="Y")*((BULK_TIER="ALL")+(BULK_TIER=$F186))*((BULK_SKU="ALL")+(BULK_SKU=$G186))*(BULK_START&lt;=13)*(BULK_END&gt;=13)))),0),ROUND((INDEX(VELOCITY_TABLE,MATCH($F186,TIER_LIST,0),2))*(IF((13-$I186+1)&lt;=0,0,IF((13-$I186+1)=1,RAMP_W1,IF((13-$I186+1)=2,RAMP_W2,IF((13-$I186+1)=3,RAMP_W3,RAMP_W4PLUS)))))*(INDEX(ACTIVE_MULT_TABLE,2,1))*(1+SUMPRODUCT(SIGN(((ACT_DOOR_SCOPE="ALL")+(ACT_DOOR_SCOPE="TIER_"&amp;$F186)+(ACT_DOOR_SCOPE=$B186)))*SIGN(((ACT_SKU_SCOPE="ALL")+(ACT_SKU_SCOPE=$G186)))*(ACT_START&lt;=13)*(ACT_END&gt;=13)*IFERROR(ACT_UPLIFT-1,0)))*(1+SUMPRODUCT(SIGN(((ACT_DOOR_SCOPE="ALL")+(ACT_DOOR_SCOPE="TIER_"&amp;$F186)+(ACT_DOOR_SCOPE=$B186)))*SIGN(((ACT_SKU_SCOPE="ALL")+(ACT_SKU_SCOPE=$G186)))*(13&gt;ACT_END)*(ACT_END&gt;0)*IFERROR(ACT_POSTLIFT,0))),0)))</f>
        <v/>
      </c>
    </row>
    <row r="187">
      <c r="A187" t="inlineStr">
        <is>
          <t>R0183</t>
        </is>
      </c>
      <c r="B187">
        <f>Doors!$A$65</f>
        <v/>
      </c>
      <c r="C187">
        <f>Doors!$C$65</f>
        <v/>
      </c>
      <c r="D187">
        <f>Doors!$B$65</f>
        <v/>
      </c>
      <c r="E187">
        <f>Doors!$E$65</f>
        <v/>
      </c>
      <c r="F187">
        <f>Doors!$F$65</f>
        <v/>
      </c>
      <c r="G187" t="inlineStr">
        <is>
          <t>Raspberry</t>
        </is>
      </c>
      <c r="H187">
        <f>Doors!$I$65</f>
        <v/>
      </c>
      <c r="I187">
        <f>Doors!$J$65</f>
        <v/>
      </c>
      <c r="J187" s="10">
        <f>IF(OR($H187&lt;&gt;"Y",1&lt;$I187),0,IF(SUMPRODUCT(((BULK_ENABLED="Y")*((BULK_TIER="ALL")+(BULK_TIER=$F187))*((BULK_SKU="ALL")+(BULK_SKU=$G187))*(BULK_START&lt;=1)*(BULK_END&gt;=1)))&gt;0,IFERROR(SUMPRODUCT(((BULK_ENABLED="Y")*((BULK_TIER="ALL")+(BULK_TIER=$F187))*((BULK_SKU="ALL")+(BULK_SKU=$G187))*(BULK_START&lt;=1)*(BULK_END&gt;=1))*IFERROR(BULK_VALUE,0))/MAX(1,SUMPRODUCT(((BULK_ENABLED="Y")*((BULK_TIER="ALL")+(BULK_TIER=$F187))*((BULK_SKU="ALL")+(BULK_SKU=$G187))*(BULK_START&lt;=1)*(BULK_END&gt;=1)))),0),ROUND((INDEX(VELOCITY_TABLE,MATCH($F187,TIER_LIST,0),3))*(IF((1-$I187+1)&lt;=0,0,IF((1-$I187+1)=1,RAMP_W1,IF((1-$I187+1)=2,RAMP_W2,IF((1-$I187+1)=3,RAMP_W3,RAMP_W4PLUS)))))*(INDEX(ACTIVE_MULT_TABLE,3,1))*(1+SUMPRODUCT(SIGN(((ACT_DOOR_SCOPE="ALL")+(ACT_DOOR_SCOPE="TIER_"&amp;$F187)+(ACT_DOOR_SCOPE=$B187)))*SIGN(((ACT_SKU_SCOPE="ALL")+(ACT_SKU_SCOPE=$G187)))*(ACT_START&lt;=1)*(ACT_END&gt;=1)*IFERROR(ACT_UPLIFT-1,0)))*(1+SUMPRODUCT(SIGN(((ACT_DOOR_SCOPE="ALL")+(ACT_DOOR_SCOPE="TIER_"&amp;$F187)+(ACT_DOOR_SCOPE=$B187)))*SIGN(((ACT_SKU_SCOPE="ALL")+(ACT_SKU_SCOPE=$G187)))*(1&gt;ACT_END)*(ACT_END&gt;0)*IFERROR(ACT_POSTLIFT,0))),0)))</f>
        <v/>
      </c>
      <c r="K187" s="10">
        <f>IF(OR($H187&lt;&gt;"Y",2&lt;$I187),0,IF(SUMPRODUCT(((BULK_ENABLED="Y")*((BULK_TIER="ALL")+(BULK_TIER=$F187))*((BULK_SKU="ALL")+(BULK_SKU=$G187))*(BULK_START&lt;=2)*(BULK_END&gt;=2)))&gt;0,IFERROR(SUMPRODUCT(((BULK_ENABLED="Y")*((BULK_TIER="ALL")+(BULK_TIER=$F187))*((BULK_SKU="ALL")+(BULK_SKU=$G187))*(BULK_START&lt;=2)*(BULK_END&gt;=2))*IFERROR(BULK_VALUE,0))/MAX(1,SUMPRODUCT(((BULK_ENABLED="Y")*((BULK_TIER="ALL")+(BULK_TIER=$F187))*((BULK_SKU="ALL")+(BULK_SKU=$G187))*(BULK_START&lt;=2)*(BULK_END&gt;=2)))),0),ROUND((INDEX(VELOCITY_TABLE,MATCH($F187,TIER_LIST,0),3))*(IF((2-$I187+1)&lt;=0,0,IF((2-$I187+1)=1,RAMP_W1,IF((2-$I187+1)=2,RAMP_W2,IF((2-$I187+1)=3,RAMP_W3,RAMP_W4PLUS)))))*(INDEX(ACTIVE_MULT_TABLE,3,1))*(1+SUMPRODUCT(SIGN(((ACT_DOOR_SCOPE="ALL")+(ACT_DOOR_SCOPE="TIER_"&amp;$F187)+(ACT_DOOR_SCOPE=$B187)))*SIGN(((ACT_SKU_SCOPE="ALL")+(ACT_SKU_SCOPE=$G187)))*(ACT_START&lt;=2)*(ACT_END&gt;=2)*IFERROR(ACT_UPLIFT-1,0)))*(1+SUMPRODUCT(SIGN(((ACT_DOOR_SCOPE="ALL")+(ACT_DOOR_SCOPE="TIER_"&amp;$F187)+(ACT_DOOR_SCOPE=$B187)))*SIGN(((ACT_SKU_SCOPE="ALL")+(ACT_SKU_SCOPE=$G187)))*(2&gt;ACT_END)*(ACT_END&gt;0)*IFERROR(ACT_POSTLIFT,0))),0)))</f>
        <v/>
      </c>
      <c r="L187" s="10">
        <f>IF(OR($H187&lt;&gt;"Y",3&lt;$I187),0,IF(SUMPRODUCT(((BULK_ENABLED="Y")*((BULK_TIER="ALL")+(BULK_TIER=$F187))*((BULK_SKU="ALL")+(BULK_SKU=$G187))*(BULK_START&lt;=3)*(BULK_END&gt;=3)))&gt;0,IFERROR(SUMPRODUCT(((BULK_ENABLED="Y")*((BULK_TIER="ALL")+(BULK_TIER=$F187))*((BULK_SKU="ALL")+(BULK_SKU=$G187))*(BULK_START&lt;=3)*(BULK_END&gt;=3))*IFERROR(BULK_VALUE,0))/MAX(1,SUMPRODUCT(((BULK_ENABLED="Y")*((BULK_TIER="ALL")+(BULK_TIER=$F187))*((BULK_SKU="ALL")+(BULK_SKU=$G187))*(BULK_START&lt;=3)*(BULK_END&gt;=3)))),0),ROUND((INDEX(VELOCITY_TABLE,MATCH($F187,TIER_LIST,0),3))*(IF((3-$I187+1)&lt;=0,0,IF((3-$I187+1)=1,RAMP_W1,IF((3-$I187+1)=2,RAMP_W2,IF((3-$I187+1)=3,RAMP_W3,RAMP_W4PLUS)))))*(INDEX(ACTIVE_MULT_TABLE,3,1))*(1+SUMPRODUCT(SIGN(((ACT_DOOR_SCOPE="ALL")+(ACT_DOOR_SCOPE="TIER_"&amp;$F187)+(ACT_DOOR_SCOPE=$B187)))*SIGN(((ACT_SKU_SCOPE="ALL")+(ACT_SKU_SCOPE=$G187)))*(ACT_START&lt;=3)*(ACT_END&gt;=3)*IFERROR(ACT_UPLIFT-1,0)))*(1+SUMPRODUCT(SIGN(((ACT_DOOR_SCOPE="ALL")+(ACT_DOOR_SCOPE="TIER_"&amp;$F187)+(ACT_DOOR_SCOPE=$B187)))*SIGN(((ACT_SKU_SCOPE="ALL")+(ACT_SKU_SCOPE=$G187)))*(3&gt;ACT_END)*(ACT_END&gt;0)*IFERROR(ACT_POSTLIFT,0))),0)))</f>
        <v/>
      </c>
      <c r="M187" s="10">
        <f>IF(OR($H187&lt;&gt;"Y",4&lt;$I187),0,IF(SUMPRODUCT(((BULK_ENABLED="Y")*((BULK_TIER="ALL")+(BULK_TIER=$F187))*((BULK_SKU="ALL")+(BULK_SKU=$G187))*(BULK_START&lt;=4)*(BULK_END&gt;=4)))&gt;0,IFERROR(SUMPRODUCT(((BULK_ENABLED="Y")*((BULK_TIER="ALL")+(BULK_TIER=$F187))*((BULK_SKU="ALL")+(BULK_SKU=$G187))*(BULK_START&lt;=4)*(BULK_END&gt;=4))*IFERROR(BULK_VALUE,0))/MAX(1,SUMPRODUCT(((BULK_ENABLED="Y")*((BULK_TIER="ALL")+(BULK_TIER=$F187))*((BULK_SKU="ALL")+(BULK_SKU=$G187))*(BULK_START&lt;=4)*(BULK_END&gt;=4)))),0),ROUND((INDEX(VELOCITY_TABLE,MATCH($F187,TIER_LIST,0),3))*(IF((4-$I187+1)&lt;=0,0,IF((4-$I187+1)=1,RAMP_W1,IF((4-$I187+1)=2,RAMP_W2,IF((4-$I187+1)=3,RAMP_W3,RAMP_W4PLUS)))))*(INDEX(ACTIVE_MULT_TABLE,3,1))*(1+SUMPRODUCT(SIGN(((ACT_DOOR_SCOPE="ALL")+(ACT_DOOR_SCOPE="TIER_"&amp;$F187)+(ACT_DOOR_SCOPE=$B187)))*SIGN(((ACT_SKU_SCOPE="ALL")+(ACT_SKU_SCOPE=$G187)))*(ACT_START&lt;=4)*(ACT_END&gt;=4)*IFERROR(ACT_UPLIFT-1,0)))*(1+SUMPRODUCT(SIGN(((ACT_DOOR_SCOPE="ALL")+(ACT_DOOR_SCOPE="TIER_"&amp;$F187)+(ACT_DOOR_SCOPE=$B187)))*SIGN(((ACT_SKU_SCOPE="ALL")+(ACT_SKU_SCOPE=$G187)))*(4&gt;ACT_END)*(ACT_END&gt;0)*IFERROR(ACT_POSTLIFT,0))),0)))</f>
        <v/>
      </c>
      <c r="N187" s="10">
        <f>IF(OR($H187&lt;&gt;"Y",5&lt;$I187),0,IF(SUMPRODUCT(((BULK_ENABLED="Y")*((BULK_TIER="ALL")+(BULK_TIER=$F187))*((BULK_SKU="ALL")+(BULK_SKU=$G187))*(BULK_START&lt;=5)*(BULK_END&gt;=5)))&gt;0,IFERROR(SUMPRODUCT(((BULK_ENABLED="Y")*((BULK_TIER="ALL")+(BULK_TIER=$F187))*((BULK_SKU="ALL")+(BULK_SKU=$G187))*(BULK_START&lt;=5)*(BULK_END&gt;=5))*IFERROR(BULK_VALUE,0))/MAX(1,SUMPRODUCT(((BULK_ENABLED="Y")*((BULK_TIER="ALL")+(BULK_TIER=$F187))*((BULK_SKU="ALL")+(BULK_SKU=$G187))*(BULK_START&lt;=5)*(BULK_END&gt;=5)))),0),ROUND((INDEX(VELOCITY_TABLE,MATCH($F187,TIER_LIST,0),3))*(IF((5-$I187+1)&lt;=0,0,IF((5-$I187+1)=1,RAMP_W1,IF((5-$I187+1)=2,RAMP_W2,IF((5-$I187+1)=3,RAMP_W3,RAMP_W4PLUS)))))*(INDEX(ACTIVE_MULT_TABLE,3,1))*(1+SUMPRODUCT(SIGN(((ACT_DOOR_SCOPE="ALL")+(ACT_DOOR_SCOPE="TIER_"&amp;$F187)+(ACT_DOOR_SCOPE=$B187)))*SIGN(((ACT_SKU_SCOPE="ALL")+(ACT_SKU_SCOPE=$G187)))*(ACT_START&lt;=5)*(ACT_END&gt;=5)*IFERROR(ACT_UPLIFT-1,0)))*(1+SUMPRODUCT(SIGN(((ACT_DOOR_SCOPE="ALL")+(ACT_DOOR_SCOPE="TIER_"&amp;$F187)+(ACT_DOOR_SCOPE=$B187)))*SIGN(((ACT_SKU_SCOPE="ALL")+(ACT_SKU_SCOPE=$G187)))*(5&gt;ACT_END)*(ACT_END&gt;0)*IFERROR(ACT_POSTLIFT,0))),0)))</f>
        <v/>
      </c>
      <c r="O187" s="10">
        <f>IF(OR($H187&lt;&gt;"Y",6&lt;$I187),0,IF(SUMPRODUCT(((BULK_ENABLED="Y")*((BULK_TIER="ALL")+(BULK_TIER=$F187))*((BULK_SKU="ALL")+(BULK_SKU=$G187))*(BULK_START&lt;=6)*(BULK_END&gt;=6)))&gt;0,IFERROR(SUMPRODUCT(((BULK_ENABLED="Y")*((BULK_TIER="ALL")+(BULK_TIER=$F187))*((BULK_SKU="ALL")+(BULK_SKU=$G187))*(BULK_START&lt;=6)*(BULK_END&gt;=6))*IFERROR(BULK_VALUE,0))/MAX(1,SUMPRODUCT(((BULK_ENABLED="Y")*((BULK_TIER="ALL")+(BULK_TIER=$F187))*((BULK_SKU="ALL")+(BULK_SKU=$G187))*(BULK_START&lt;=6)*(BULK_END&gt;=6)))),0),ROUND((INDEX(VELOCITY_TABLE,MATCH($F187,TIER_LIST,0),3))*(IF((6-$I187+1)&lt;=0,0,IF((6-$I187+1)=1,RAMP_W1,IF((6-$I187+1)=2,RAMP_W2,IF((6-$I187+1)=3,RAMP_W3,RAMP_W4PLUS)))))*(INDEX(ACTIVE_MULT_TABLE,3,1))*(1+SUMPRODUCT(SIGN(((ACT_DOOR_SCOPE="ALL")+(ACT_DOOR_SCOPE="TIER_"&amp;$F187)+(ACT_DOOR_SCOPE=$B187)))*SIGN(((ACT_SKU_SCOPE="ALL")+(ACT_SKU_SCOPE=$G187)))*(ACT_START&lt;=6)*(ACT_END&gt;=6)*IFERROR(ACT_UPLIFT-1,0)))*(1+SUMPRODUCT(SIGN(((ACT_DOOR_SCOPE="ALL")+(ACT_DOOR_SCOPE="TIER_"&amp;$F187)+(ACT_DOOR_SCOPE=$B187)))*SIGN(((ACT_SKU_SCOPE="ALL")+(ACT_SKU_SCOPE=$G187)))*(6&gt;ACT_END)*(ACT_END&gt;0)*IFERROR(ACT_POSTLIFT,0))),0)))</f>
        <v/>
      </c>
      <c r="P187" s="10">
        <f>IF(OR($H187&lt;&gt;"Y",7&lt;$I187),0,IF(SUMPRODUCT(((BULK_ENABLED="Y")*((BULK_TIER="ALL")+(BULK_TIER=$F187))*((BULK_SKU="ALL")+(BULK_SKU=$G187))*(BULK_START&lt;=7)*(BULK_END&gt;=7)))&gt;0,IFERROR(SUMPRODUCT(((BULK_ENABLED="Y")*((BULK_TIER="ALL")+(BULK_TIER=$F187))*((BULK_SKU="ALL")+(BULK_SKU=$G187))*(BULK_START&lt;=7)*(BULK_END&gt;=7))*IFERROR(BULK_VALUE,0))/MAX(1,SUMPRODUCT(((BULK_ENABLED="Y")*((BULK_TIER="ALL")+(BULK_TIER=$F187))*((BULK_SKU="ALL")+(BULK_SKU=$G187))*(BULK_START&lt;=7)*(BULK_END&gt;=7)))),0),ROUND((INDEX(VELOCITY_TABLE,MATCH($F187,TIER_LIST,0),3))*(IF((7-$I187+1)&lt;=0,0,IF((7-$I187+1)=1,RAMP_W1,IF((7-$I187+1)=2,RAMP_W2,IF((7-$I187+1)=3,RAMP_W3,RAMP_W4PLUS)))))*(INDEX(ACTIVE_MULT_TABLE,3,1))*(1+SUMPRODUCT(SIGN(((ACT_DOOR_SCOPE="ALL")+(ACT_DOOR_SCOPE="TIER_"&amp;$F187)+(ACT_DOOR_SCOPE=$B187)))*SIGN(((ACT_SKU_SCOPE="ALL")+(ACT_SKU_SCOPE=$G187)))*(ACT_START&lt;=7)*(ACT_END&gt;=7)*IFERROR(ACT_UPLIFT-1,0)))*(1+SUMPRODUCT(SIGN(((ACT_DOOR_SCOPE="ALL")+(ACT_DOOR_SCOPE="TIER_"&amp;$F187)+(ACT_DOOR_SCOPE=$B187)))*SIGN(((ACT_SKU_SCOPE="ALL")+(ACT_SKU_SCOPE=$G187)))*(7&gt;ACT_END)*(ACT_END&gt;0)*IFERROR(ACT_POSTLIFT,0))),0)))</f>
        <v/>
      </c>
      <c r="Q187" s="10">
        <f>IF(OR($H187&lt;&gt;"Y",8&lt;$I187),0,IF(SUMPRODUCT(((BULK_ENABLED="Y")*((BULK_TIER="ALL")+(BULK_TIER=$F187))*((BULK_SKU="ALL")+(BULK_SKU=$G187))*(BULK_START&lt;=8)*(BULK_END&gt;=8)))&gt;0,IFERROR(SUMPRODUCT(((BULK_ENABLED="Y")*((BULK_TIER="ALL")+(BULK_TIER=$F187))*((BULK_SKU="ALL")+(BULK_SKU=$G187))*(BULK_START&lt;=8)*(BULK_END&gt;=8))*IFERROR(BULK_VALUE,0))/MAX(1,SUMPRODUCT(((BULK_ENABLED="Y")*((BULK_TIER="ALL")+(BULK_TIER=$F187))*((BULK_SKU="ALL")+(BULK_SKU=$G187))*(BULK_START&lt;=8)*(BULK_END&gt;=8)))),0),ROUND((INDEX(VELOCITY_TABLE,MATCH($F187,TIER_LIST,0),3))*(IF((8-$I187+1)&lt;=0,0,IF((8-$I187+1)=1,RAMP_W1,IF((8-$I187+1)=2,RAMP_W2,IF((8-$I187+1)=3,RAMP_W3,RAMP_W4PLUS)))))*(INDEX(ACTIVE_MULT_TABLE,3,1))*(1+SUMPRODUCT(SIGN(((ACT_DOOR_SCOPE="ALL")+(ACT_DOOR_SCOPE="TIER_"&amp;$F187)+(ACT_DOOR_SCOPE=$B187)))*SIGN(((ACT_SKU_SCOPE="ALL")+(ACT_SKU_SCOPE=$G187)))*(ACT_START&lt;=8)*(ACT_END&gt;=8)*IFERROR(ACT_UPLIFT-1,0)))*(1+SUMPRODUCT(SIGN(((ACT_DOOR_SCOPE="ALL")+(ACT_DOOR_SCOPE="TIER_"&amp;$F187)+(ACT_DOOR_SCOPE=$B187)))*SIGN(((ACT_SKU_SCOPE="ALL")+(ACT_SKU_SCOPE=$G187)))*(8&gt;ACT_END)*(ACT_END&gt;0)*IFERROR(ACT_POSTLIFT,0))),0)))</f>
        <v/>
      </c>
      <c r="R187" s="10">
        <f>IF(OR($H187&lt;&gt;"Y",9&lt;$I187),0,IF(SUMPRODUCT(((BULK_ENABLED="Y")*((BULK_TIER="ALL")+(BULK_TIER=$F187))*((BULK_SKU="ALL")+(BULK_SKU=$G187))*(BULK_START&lt;=9)*(BULK_END&gt;=9)))&gt;0,IFERROR(SUMPRODUCT(((BULK_ENABLED="Y")*((BULK_TIER="ALL")+(BULK_TIER=$F187))*((BULK_SKU="ALL")+(BULK_SKU=$G187))*(BULK_START&lt;=9)*(BULK_END&gt;=9))*IFERROR(BULK_VALUE,0))/MAX(1,SUMPRODUCT(((BULK_ENABLED="Y")*((BULK_TIER="ALL")+(BULK_TIER=$F187))*((BULK_SKU="ALL")+(BULK_SKU=$G187))*(BULK_START&lt;=9)*(BULK_END&gt;=9)))),0),ROUND((INDEX(VELOCITY_TABLE,MATCH($F187,TIER_LIST,0),3))*(IF((9-$I187+1)&lt;=0,0,IF((9-$I187+1)=1,RAMP_W1,IF((9-$I187+1)=2,RAMP_W2,IF((9-$I187+1)=3,RAMP_W3,RAMP_W4PLUS)))))*(INDEX(ACTIVE_MULT_TABLE,3,1))*(1+SUMPRODUCT(SIGN(((ACT_DOOR_SCOPE="ALL")+(ACT_DOOR_SCOPE="TIER_"&amp;$F187)+(ACT_DOOR_SCOPE=$B187)))*SIGN(((ACT_SKU_SCOPE="ALL")+(ACT_SKU_SCOPE=$G187)))*(ACT_START&lt;=9)*(ACT_END&gt;=9)*IFERROR(ACT_UPLIFT-1,0)))*(1+SUMPRODUCT(SIGN(((ACT_DOOR_SCOPE="ALL")+(ACT_DOOR_SCOPE="TIER_"&amp;$F187)+(ACT_DOOR_SCOPE=$B187)))*SIGN(((ACT_SKU_SCOPE="ALL")+(ACT_SKU_SCOPE=$G187)))*(9&gt;ACT_END)*(ACT_END&gt;0)*IFERROR(ACT_POSTLIFT,0))),0)))</f>
        <v/>
      </c>
      <c r="S187" s="10">
        <f>IF(OR($H187&lt;&gt;"Y",10&lt;$I187),0,IF(SUMPRODUCT(((BULK_ENABLED="Y")*((BULK_TIER="ALL")+(BULK_TIER=$F187))*((BULK_SKU="ALL")+(BULK_SKU=$G187))*(BULK_START&lt;=10)*(BULK_END&gt;=10)))&gt;0,IFERROR(SUMPRODUCT(((BULK_ENABLED="Y")*((BULK_TIER="ALL")+(BULK_TIER=$F187))*((BULK_SKU="ALL")+(BULK_SKU=$G187))*(BULK_START&lt;=10)*(BULK_END&gt;=10))*IFERROR(BULK_VALUE,0))/MAX(1,SUMPRODUCT(((BULK_ENABLED="Y")*((BULK_TIER="ALL")+(BULK_TIER=$F187))*((BULK_SKU="ALL")+(BULK_SKU=$G187))*(BULK_START&lt;=10)*(BULK_END&gt;=10)))),0),ROUND((INDEX(VELOCITY_TABLE,MATCH($F187,TIER_LIST,0),3))*(IF((10-$I187+1)&lt;=0,0,IF((10-$I187+1)=1,RAMP_W1,IF((10-$I187+1)=2,RAMP_W2,IF((10-$I187+1)=3,RAMP_W3,RAMP_W4PLUS)))))*(INDEX(ACTIVE_MULT_TABLE,3,1))*(1+SUMPRODUCT(SIGN(((ACT_DOOR_SCOPE="ALL")+(ACT_DOOR_SCOPE="TIER_"&amp;$F187)+(ACT_DOOR_SCOPE=$B187)))*SIGN(((ACT_SKU_SCOPE="ALL")+(ACT_SKU_SCOPE=$G187)))*(ACT_START&lt;=10)*(ACT_END&gt;=10)*IFERROR(ACT_UPLIFT-1,0)))*(1+SUMPRODUCT(SIGN(((ACT_DOOR_SCOPE="ALL")+(ACT_DOOR_SCOPE="TIER_"&amp;$F187)+(ACT_DOOR_SCOPE=$B187)))*SIGN(((ACT_SKU_SCOPE="ALL")+(ACT_SKU_SCOPE=$G187)))*(10&gt;ACT_END)*(ACT_END&gt;0)*IFERROR(ACT_POSTLIFT,0))),0)))</f>
        <v/>
      </c>
      <c r="T187" s="10">
        <f>IF(OR($H187&lt;&gt;"Y",11&lt;$I187),0,IF(SUMPRODUCT(((BULK_ENABLED="Y")*((BULK_TIER="ALL")+(BULK_TIER=$F187))*((BULK_SKU="ALL")+(BULK_SKU=$G187))*(BULK_START&lt;=11)*(BULK_END&gt;=11)))&gt;0,IFERROR(SUMPRODUCT(((BULK_ENABLED="Y")*((BULK_TIER="ALL")+(BULK_TIER=$F187))*((BULK_SKU="ALL")+(BULK_SKU=$G187))*(BULK_START&lt;=11)*(BULK_END&gt;=11))*IFERROR(BULK_VALUE,0))/MAX(1,SUMPRODUCT(((BULK_ENABLED="Y")*((BULK_TIER="ALL")+(BULK_TIER=$F187))*((BULK_SKU="ALL")+(BULK_SKU=$G187))*(BULK_START&lt;=11)*(BULK_END&gt;=11)))),0),ROUND((INDEX(VELOCITY_TABLE,MATCH($F187,TIER_LIST,0),3))*(IF((11-$I187+1)&lt;=0,0,IF((11-$I187+1)=1,RAMP_W1,IF((11-$I187+1)=2,RAMP_W2,IF((11-$I187+1)=3,RAMP_W3,RAMP_W4PLUS)))))*(INDEX(ACTIVE_MULT_TABLE,3,1))*(1+SUMPRODUCT(SIGN(((ACT_DOOR_SCOPE="ALL")+(ACT_DOOR_SCOPE="TIER_"&amp;$F187)+(ACT_DOOR_SCOPE=$B187)))*SIGN(((ACT_SKU_SCOPE="ALL")+(ACT_SKU_SCOPE=$G187)))*(ACT_START&lt;=11)*(ACT_END&gt;=11)*IFERROR(ACT_UPLIFT-1,0)))*(1+SUMPRODUCT(SIGN(((ACT_DOOR_SCOPE="ALL")+(ACT_DOOR_SCOPE="TIER_"&amp;$F187)+(ACT_DOOR_SCOPE=$B187)))*SIGN(((ACT_SKU_SCOPE="ALL")+(ACT_SKU_SCOPE=$G187)))*(11&gt;ACT_END)*(ACT_END&gt;0)*IFERROR(ACT_POSTLIFT,0))),0)))</f>
        <v/>
      </c>
      <c r="U187" s="10">
        <f>IF(OR($H187&lt;&gt;"Y",12&lt;$I187),0,IF(SUMPRODUCT(((BULK_ENABLED="Y")*((BULK_TIER="ALL")+(BULK_TIER=$F187))*((BULK_SKU="ALL")+(BULK_SKU=$G187))*(BULK_START&lt;=12)*(BULK_END&gt;=12)))&gt;0,IFERROR(SUMPRODUCT(((BULK_ENABLED="Y")*((BULK_TIER="ALL")+(BULK_TIER=$F187))*((BULK_SKU="ALL")+(BULK_SKU=$G187))*(BULK_START&lt;=12)*(BULK_END&gt;=12))*IFERROR(BULK_VALUE,0))/MAX(1,SUMPRODUCT(((BULK_ENABLED="Y")*((BULK_TIER="ALL")+(BULK_TIER=$F187))*((BULK_SKU="ALL")+(BULK_SKU=$G187))*(BULK_START&lt;=12)*(BULK_END&gt;=12)))),0),ROUND((INDEX(VELOCITY_TABLE,MATCH($F187,TIER_LIST,0),3))*(IF((12-$I187+1)&lt;=0,0,IF((12-$I187+1)=1,RAMP_W1,IF((12-$I187+1)=2,RAMP_W2,IF((12-$I187+1)=3,RAMP_W3,RAMP_W4PLUS)))))*(INDEX(ACTIVE_MULT_TABLE,3,1))*(1+SUMPRODUCT(SIGN(((ACT_DOOR_SCOPE="ALL")+(ACT_DOOR_SCOPE="TIER_"&amp;$F187)+(ACT_DOOR_SCOPE=$B187)))*SIGN(((ACT_SKU_SCOPE="ALL")+(ACT_SKU_SCOPE=$G187)))*(ACT_START&lt;=12)*(ACT_END&gt;=12)*IFERROR(ACT_UPLIFT-1,0)))*(1+SUMPRODUCT(SIGN(((ACT_DOOR_SCOPE="ALL")+(ACT_DOOR_SCOPE="TIER_"&amp;$F187)+(ACT_DOOR_SCOPE=$B187)))*SIGN(((ACT_SKU_SCOPE="ALL")+(ACT_SKU_SCOPE=$G187)))*(12&gt;ACT_END)*(ACT_END&gt;0)*IFERROR(ACT_POSTLIFT,0))),0)))</f>
        <v/>
      </c>
      <c r="V187" s="10">
        <f>IF(OR($H187&lt;&gt;"Y",13&lt;$I187),0,IF(SUMPRODUCT(((BULK_ENABLED="Y")*((BULK_TIER="ALL")+(BULK_TIER=$F187))*((BULK_SKU="ALL")+(BULK_SKU=$G187))*(BULK_START&lt;=13)*(BULK_END&gt;=13)))&gt;0,IFERROR(SUMPRODUCT(((BULK_ENABLED="Y")*((BULK_TIER="ALL")+(BULK_TIER=$F187))*((BULK_SKU="ALL")+(BULK_SKU=$G187))*(BULK_START&lt;=13)*(BULK_END&gt;=13))*IFERROR(BULK_VALUE,0))/MAX(1,SUMPRODUCT(((BULK_ENABLED="Y")*((BULK_TIER="ALL")+(BULK_TIER=$F187))*((BULK_SKU="ALL")+(BULK_SKU=$G187))*(BULK_START&lt;=13)*(BULK_END&gt;=13)))),0),ROUND((INDEX(VELOCITY_TABLE,MATCH($F187,TIER_LIST,0),3))*(IF((13-$I187+1)&lt;=0,0,IF((13-$I187+1)=1,RAMP_W1,IF((13-$I187+1)=2,RAMP_W2,IF((13-$I187+1)=3,RAMP_W3,RAMP_W4PLUS)))))*(INDEX(ACTIVE_MULT_TABLE,3,1))*(1+SUMPRODUCT(SIGN(((ACT_DOOR_SCOPE="ALL")+(ACT_DOOR_SCOPE="TIER_"&amp;$F187)+(ACT_DOOR_SCOPE=$B187)))*SIGN(((ACT_SKU_SCOPE="ALL")+(ACT_SKU_SCOPE=$G187)))*(ACT_START&lt;=13)*(ACT_END&gt;=13)*IFERROR(ACT_UPLIFT-1,0)))*(1+SUMPRODUCT(SIGN(((ACT_DOOR_SCOPE="ALL")+(ACT_DOOR_SCOPE="TIER_"&amp;$F187)+(ACT_DOOR_SCOPE=$B187)))*SIGN(((ACT_SKU_SCOPE="ALL")+(ACT_SKU_SCOPE=$G187)))*(13&gt;ACT_END)*(ACT_END&gt;0)*IFERROR(ACT_POSTLIFT,0))),0)))</f>
        <v/>
      </c>
    </row>
    <row r="188">
      <c r="A188" t="inlineStr">
        <is>
          <t>R0184</t>
        </is>
      </c>
      <c r="B188">
        <f>Doors!$A$66</f>
        <v/>
      </c>
      <c r="C188">
        <f>Doors!$C$66</f>
        <v/>
      </c>
      <c r="D188">
        <f>Doors!$B$66</f>
        <v/>
      </c>
      <c r="E188">
        <f>Doors!$E$66</f>
        <v/>
      </c>
      <c r="F188">
        <f>Doors!$F$66</f>
        <v/>
      </c>
      <c r="G188" t="inlineStr">
        <is>
          <t>Lime Lemon</t>
        </is>
      </c>
      <c r="H188">
        <f>Doors!$G$66</f>
        <v/>
      </c>
      <c r="I188">
        <f>Doors!$J$66</f>
        <v/>
      </c>
      <c r="J188" s="10">
        <f>IF(OR($H188&lt;&gt;"Y",1&lt;$I188),0,IF(SUMPRODUCT(((BULK_ENABLED="Y")*((BULK_TIER="ALL")+(BULK_TIER=$F188))*((BULK_SKU="ALL")+(BULK_SKU=$G188))*(BULK_START&lt;=1)*(BULK_END&gt;=1)))&gt;0,IFERROR(SUMPRODUCT(((BULK_ENABLED="Y")*((BULK_TIER="ALL")+(BULK_TIER=$F188))*((BULK_SKU="ALL")+(BULK_SKU=$G188))*(BULK_START&lt;=1)*(BULK_END&gt;=1))*IFERROR(BULK_VALUE,0))/MAX(1,SUMPRODUCT(((BULK_ENABLED="Y")*((BULK_TIER="ALL")+(BULK_TIER=$F188))*((BULK_SKU="ALL")+(BULK_SKU=$G188))*(BULK_START&lt;=1)*(BULK_END&gt;=1)))),0),ROUND((INDEX(VELOCITY_TABLE,MATCH($F188,TIER_LIST,0),1))*(IF((1-$I188+1)&lt;=0,0,IF((1-$I188+1)=1,RAMP_W1,IF((1-$I188+1)=2,RAMP_W2,IF((1-$I188+1)=3,RAMP_W3,RAMP_W4PLUS)))))*(INDEX(ACTIVE_MULT_TABLE,1,1))*(1+SUMPRODUCT(SIGN(((ACT_DOOR_SCOPE="ALL")+(ACT_DOOR_SCOPE="TIER_"&amp;$F188)+(ACT_DOOR_SCOPE=$B188)))*SIGN(((ACT_SKU_SCOPE="ALL")+(ACT_SKU_SCOPE=$G188)))*(ACT_START&lt;=1)*(ACT_END&gt;=1)*IFERROR(ACT_UPLIFT-1,0)))*(1+SUMPRODUCT(SIGN(((ACT_DOOR_SCOPE="ALL")+(ACT_DOOR_SCOPE="TIER_"&amp;$F188)+(ACT_DOOR_SCOPE=$B188)))*SIGN(((ACT_SKU_SCOPE="ALL")+(ACT_SKU_SCOPE=$G188)))*(1&gt;ACT_END)*(ACT_END&gt;0)*IFERROR(ACT_POSTLIFT,0))),0)))</f>
        <v/>
      </c>
      <c r="K188" s="10">
        <f>IF(OR($H188&lt;&gt;"Y",2&lt;$I188),0,IF(SUMPRODUCT(((BULK_ENABLED="Y")*((BULK_TIER="ALL")+(BULK_TIER=$F188))*((BULK_SKU="ALL")+(BULK_SKU=$G188))*(BULK_START&lt;=2)*(BULK_END&gt;=2)))&gt;0,IFERROR(SUMPRODUCT(((BULK_ENABLED="Y")*((BULK_TIER="ALL")+(BULK_TIER=$F188))*((BULK_SKU="ALL")+(BULK_SKU=$G188))*(BULK_START&lt;=2)*(BULK_END&gt;=2))*IFERROR(BULK_VALUE,0))/MAX(1,SUMPRODUCT(((BULK_ENABLED="Y")*((BULK_TIER="ALL")+(BULK_TIER=$F188))*((BULK_SKU="ALL")+(BULK_SKU=$G188))*(BULK_START&lt;=2)*(BULK_END&gt;=2)))),0),ROUND((INDEX(VELOCITY_TABLE,MATCH($F188,TIER_LIST,0),1))*(IF((2-$I188+1)&lt;=0,0,IF((2-$I188+1)=1,RAMP_W1,IF((2-$I188+1)=2,RAMP_W2,IF((2-$I188+1)=3,RAMP_W3,RAMP_W4PLUS)))))*(INDEX(ACTIVE_MULT_TABLE,1,1))*(1+SUMPRODUCT(SIGN(((ACT_DOOR_SCOPE="ALL")+(ACT_DOOR_SCOPE="TIER_"&amp;$F188)+(ACT_DOOR_SCOPE=$B188)))*SIGN(((ACT_SKU_SCOPE="ALL")+(ACT_SKU_SCOPE=$G188)))*(ACT_START&lt;=2)*(ACT_END&gt;=2)*IFERROR(ACT_UPLIFT-1,0)))*(1+SUMPRODUCT(SIGN(((ACT_DOOR_SCOPE="ALL")+(ACT_DOOR_SCOPE="TIER_"&amp;$F188)+(ACT_DOOR_SCOPE=$B188)))*SIGN(((ACT_SKU_SCOPE="ALL")+(ACT_SKU_SCOPE=$G188)))*(2&gt;ACT_END)*(ACT_END&gt;0)*IFERROR(ACT_POSTLIFT,0))),0)))</f>
        <v/>
      </c>
      <c r="L188" s="10">
        <f>IF(OR($H188&lt;&gt;"Y",3&lt;$I188),0,IF(SUMPRODUCT(((BULK_ENABLED="Y")*((BULK_TIER="ALL")+(BULK_TIER=$F188))*((BULK_SKU="ALL")+(BULK_SKU=$G188))*(BULK_START&lt;=3)*(BULK_END&gt;=3)))&gt;0,IFERROR(SUMPRODUCT(((BULK_ENABLED="Y")*((BULK_TIER="ALL")+(BULK_TIER=$F188))*((BULK_SKU="ALL")+(BULK_SKU=$G188))*(BULK_START&lt;=3)*(BULK_END&gt;=3))*IFERROR(BULK_VALUE,0))/MAX(1,SUMPRODUCT(((BULK_ENABLED="Y")*((BULK_TIER="ALL")+(BULK_TIER=$F188))*((BULK_SKU="ALL")+(BULK_SKU=$G188))*(BULK_START&lt;=3)*(BULK_END&gt;=3)))),0),ROUND((INDEX(VELOCITY_TABLE,MATCH($F188,TIER_LIST,0),1))*(IF((3-$I188+1)&lt;=0,0,IF((3-$I188+1)=1,RAMP_W1,IF((3-$I188+1)=2,RAMP_W2,IF((3-$I188+1)=3,RAMP_W3,RAMP_W4PLUS)))))*(INDEX(ACTIVE_MULT_TABLE,1,1))*(1+SUMPRODUCT(SIGN(((ACT_DOOR_SCOPE="ALL")+(ACT_DOOR_SCOPE="TIER_"&amp;$F188)+(ACT_DOOR_SCOPE=$B188)))*SIGN(((ACT_SKU_SCOPE="ALL")+(ACT_SKU_SCOPE=$G188)))*(ACT_START&lt;=3)*(ACT_END&gt;=3)*IFERROR(ACT_UPLIFT-1,0)))*(1+SUMPRODUCT(SIGN(((ACT_DOOR_SCOPE="ALL")+(ACT_DOOR_SCOPE="TIER_"&amp;$F188)+(ACT_DOOR_SCOPE=$B188)))*SIGN(((ACT_SKU_SCOPE="ALL")+(ACT_SKU_SCOPE=$G188)))*(3&gt;ACT_END)*(ACT_END&gt;0)*IFERROR(ACT_POSTLIFT,0))),0)))</f>
        <v/>
      </c>
      <c r="M188" s="10">
        <f>IF(OR($H188&lt;&gt;"Y",4&lt;$I188),0,IF(SUMPRODUCT(((BULK_ENABLED="Y")*((BULK_TIER="ALL")+(BULK_TIER=$F188))*((BULK_SKU="ALL")+(BULK_SKU=$G188))*(BULK_START&lt;=4)*(BULK_END&gt;=4)))&gt;0,IFERROR(SUMPRODUCT(((BULK_ENABLED="Y")*((BULK_TIER="ALL")+(BULK_TIER=$F188))*((BULK_SKU="ALL")+(BULK_SKU=$G188))*(BULK_START&lt;=4)*(BULK_END&gt;=4))*IFERROR(BULK_VALUE,0))/MAX(1,SUMPRODUCT(((BULK_ENABLED="Y")*((BULK_TIER="ALL")+(BULK_TIER=$F188))*((BULK_SKU="ALL")+(BULK_SKU=$G188))*(BULK_START&lt;=4)*(BULK_END&gt;=4)))),0),ROUND((INDEX(VELOCITY_TABLE,MATCH($F188,TIER_LIST,0),1))*(IF((4-$I188+1)&lt;=0,0,IF((4-$I188+1)=1,RAMP_W1,IF((4-$I188+1)=2,RAMP_W2,IF((4-$I188+1)=3,RAMP_W3,RAMP_W4PLUS)))))*(INDEX(ACTIVE_MULT_TABLE,1,1))*(1+SUMPRODUCT(SIGN(((ACT_DOOR_SCOPE="ALL")+(ACT_DOOR_SCOPE="TIER_"&amp;$F188)+(ACT_DOOR_SCOPE=$B188)))*SIGN(((ACT_SKU_SCOPE="ALL")+(ACT_SKU_SCOPE=$G188)))*(ACT_START&lt;=4)*(ACT_END&gt;=4)*IFERROR(ACT_UPLIFT-1,0)))*(1+SUMPRODUCT(SIGN(((ACT_DOOR_SCOPE="ALL")+(ACT_DOOR_SCOPE="TIER_"&amp;$F188)+(ACT_DOOR_SCOPE=$B188)))*SIGN(((ACT_SKU_SCOPE="ALL")+(ACT_SKU_SCOPE=$G188)))*(4&gt;ACT_END)*(ACT_END&gt;0)*IFERROR(ACT_POSTLIFT,0))),0)))</f>
        <v/>
      </c>
      <c r="N188" s="10">
        <f>IF(OR($H188&lt;&gt;"Y",5&lt;$I188),0,IF(SUMPRODUCT(((BULK_ENABLED="Y")*((BULK_TIER="ALL")+(BULK_TIER=$F188))*((BULK_SKU="ALL")+(BULK_SKU=$G188))*(BULK_START&lt;=5)*(BULK_END&gt;=5)))&gt;0,IFERROR(SUMPRODUCT(((BULK_ENABLED="Y")*((BULK_TIER="ALL")+(BULK_TIER=$F188))*((BULK_SKU="ALL")+(BULK_SKU=$G188))*(BULK_START&lt;=5)*(BULK_END&gt;=5))*IFERROR(BULK_VALUE,0))/MAX(1,SUMPRODUCT(((BULK_ENABLED="Y")*((BULK_TIER="ALL")+(BULK_TIER=$F188))*((BULK_SKU="ALL")+(BULK_SKU=$G188))*(BULK_START&lt;=5)*(BULK_END&gt;=5)))),0),ROUND((INDEX(VELOCITY_TABLE,MATCH($F188,TIER_LIST,0),1))*(IF((5-$I188+1)&lt;=0,0,IF((5-$I188+1)=1,RAMP_W1,IF((5-$I188+1)=2,RAMP_W2,IF((5-$I188+1)=3,RAMP_W3,RAMP_W4PLUS)))))*(INDEX(ACTIVE_MULT_TABLE,1,1))*(1+SUMPRODUCT(SIGN(((ACT_DOOR_SCOPE="ALL")+(ACT_DOOR_SCOPE="TIER_"&amp;$F188)+(ACT_DOOR_SCOPE=$B188)))*SIGN(((ACT_SKU_SCOPE="ALL")+(ACT_SKU_SCOPE=$G188)))*(ACT_START&lt;=5)*(ACT_END&gt;=5)*IFERROR(ACT_UPLIFT-1,0)))*(1+SUMPRODUCT(SIGN(((ACT_DOOR_SCOPE="ALL")+(ACT_DOOR_SCOPE="TIER_"&amp;$F188)+(ACT_DOOR_SCOPE=$B188)))*SIGN(((ACT_SKU_SCOPE="ALL")+(ACT_SKU_SCOPE=$G188)))*(5&gt;ACT_END)*(ACT_END&gt;0)*IFERROR(ACT_POSTLIFT,0))),0)))</f>
        <v/>
      </c>
      <c r="O188" s="10">
        <f>IF(OR($H188&lt;&gt;"Y",6&lt;$I188),0,IF(SUMPRODUCT(((BULK_ENABLED="Y")*((BULK_TIER="ALL")+(BULK_TIER=$F188))*((BULK_SKU="ALL")+(BULK_SKU=$G188))*(BULK_START&lt;=6)*(BULK_END&gt;=6)))&gt;0,IFERROR(SUMPRODUCT(((BULK_ENABLED="Y")*((BULK_TIER="ALL")+(BULK_TIER=$F188))*((BULK_SKU="ALL")+(BULK_SKU=$G188))*(BULK_START&lt;=6)*(BULK_END&gt;=6))*IFERROR(BULK_VALUE,0))/MAX(1,SUMPRODUCT(((BULK_ENABLED="Y")*((BULK_TIER="ALL")+(BULK_TIER=$F188))*((BULK_SKU="ALL")+(BULK_SKU=$G188))*(BULK_START&lt;=6)*(BULK_END&gt;=6)))),0),ROUND((INDEX(VELOCITY_TABLE,MATCH($F188,TIER_LIST,0),1))*(IF((6-$I188+1)&lt;=0,0,IF((6-$I188+1)=1,RAMP_W1,IF((6-$I188+1)=2,RAMP_W2,IF((6-$I188+1)=3,RAMP_W3,RAMP_W4PLUS)))))*(INDEX(ACTIVE_MULT_TABLE,1,1))*(1+SUMPRODUCT(SIGN(((ACT_DOOR_SCOPE="ALL")+(ACT_DOOR_SCOPE="TIER_"&amp;$F188)+(ACT_DOOR_SCOPE=$B188)))*SIGN(((ACT_SKU_SCOPE="ALL")+(ACT_SKU_SCOPE=$G188)))*(ACT_START&lt;=6)*(ACT_END&gt;=6)*IFERROR(ACT_UPLIFT-1,0)))*(1+SUMPRODUCT(SIGN(((ACT_DOOR_SCOPE="ALL")+(ACT_DOOR_SCOPE="TIER_"&amp;$F188)+(ACT_DOOR_SCOPE=$B188)))*SIGN(((ACT_SKU_SCOPE="ALL")+(ACT_SKU_SCOPE=$G188)))*(6&gt;ACT_END)*(ACT_END&gt;0)*IFERROR(ACT_POSTLIFT,0))),0)))</f>
        <v/>
      </c>
      <c r="P188" s="10">
        <f>IF(OR($H188&lt;&gt;"Y",7&lt;$I188),0,IF(SUMPRODUCT(((BULK_ENABLED="Y")*((BULK_TIER="ALL")+(BULK_TIER=$F188))*((BULK_SKU="ALL")+(BULK_SKU=$G188))*(BULK_START&lt;=7)*(BULK_END&gt;=7)))&gt;0,IFERROR(SUMPRODUCT(((BULK_ENABLED="Y")*((BULK_TIER="ALL")+(BULK_TIER=$F188))*((BULK_SKU="ALL")+(BULK_SKU=$G188))*(BULK_START&lt;=7)*(BULK_END&gt;=7))*IFERROR(BULK_VALUE,0))/MAX(1,SUMPRODUCT(((BULK_ENABLED="Y")*((BULK_TIER="ALL")+(BULK_TIER=$F188))*((BULK_SKU="ALL")+(BULK_SKU=$G188))*(BULK_START&lt;=7)*(BULK_END&gt;=7)))),0),ROUND((INDEX(VELOCITY_TABLE,MATCH($F188,TIER_LIST,0),1))*(IF((7-$I188+1)&lt;=0,0,IF((7-$I188+1)=1,RAMP_W1,IF((7-$I188+1)=2,RAMP_W2,IF((7-$I188+1)=3,RAMP_W3,RAMP_W4PLUS)))))*(INDEX(ACTIVE_MULT_TABLE,1,1))*(1+SUMPRODUCT(SIGN(((ACT_DOOR_SCOPE="ALL")+(ACT_DOOR_SCOPE="TIER_"&amp;$F188)+(ACT_DOOR_SCOPE=$B188)))*SIGN(((ACT_SKU_SCOPE="ALL")+(ACT_SKU_SCOPE=$G188)))*(ACT_START&lt;=7)*(ACT_END&gt;=7)*IFERROR(ACT_UPLIFT-1,0)))*(1+SUMPRODUCT(SIGN(((ACT_DOOR_SCOPE="ALL")+(ACT_DOOR_SCOPE="TIER_"&amp;$F188)+(ACT_DOOR_SCOPE=$B188)))*SIGN(((ACT_SKU_SCOPE="ALL")+(ACT_SKU_SCOPE=$G188)))*(7&gt;ACT_END)*(ACT_END&gt;0)*IFERROR(ACT_POSTLIFT,0))),0)))</f>
        <v/>
      </c>
      <c r="Q188" s="10">
        <f>IF(OR($H188&lt;&gt;"Y",8&lt;$I188),0,IF(SUMPRODUCT(((BULK_ENABLED="Y")*((BULK_TIER="ALL")+(BULK_TIER=$F188))*((BULK_SKU="ALL")+(BULK_SKU=$G188))*(BULK_START&lt;=8)*(BULK_END&gt;=8)))&gt;0,IFERROR(SUMPRODUCT(((BULK_ENABLED="Y")*((BULK_TIER="ALL")+(BULK_TIER=$F188))*((BULK_SKU="ALL")+(BULK_SKU=$G188))*(BULK_START&lt;=8)*(BULK_END&gt;=8))*IFERROR(BULK_VALUE,0))/MAX(1,SUMPRODUCT(((BULK_ENABLED="Y")*((BULK_TIER="ALL")+(BULK_TIER=$F188))*((BULK_SKU="ALL")+(BULK_SKU=$G188))*(BULK_START&lt;=8)*(BULK_END&gt;=8)))),0),ROUND((INDEX(VELOCITY_TABLE,MATCH($F188,TIER_LIST,0),1))*(IF((8-$I188+1)&lt;=0,0,IF((8-$I188+1)=1,RAMP_W1,IF((8-$I188+1)=2,RAMP_W2,IF((8-$I188+1)=3,RAMP_W3,RAMP_W4PLUS)))))*(INDEX(ACTIVE_MULT_TABLE,1,1))*(1+SUMPRODUCT(SIGN(((ACT_DOOR_SCOPE="ALL")+(ACT_DOOR_SCOPE="TIER_"&amp;$F188)+(ACT_DOOR_SCOPE=$B188)))*SIGN(((ACT_SKU_SCOPE="ALL")+(ACT_SKU_SCOPE=$G188)))*(ACT_START&lt;=8)*(ACT_END&gt;=8)*IFERROR(ACT_UPLIFT-1,0)))*(1+SUMPRODUCT(SIGN(((ACT_DOOR_SCOPE="ALL")+(ACT_DOOR_SCOPE="TIER_"&amp;$F188)+(ACT_DOOR_SCOPE=$B188)))*SIGN(((ACT_SKU_SCOPE="ALL")+(ACT_SKU_SCOPE=$G188)))*(8&gt;ACT_END)*(ACT_END&gt;0)*IFERROR(ACT_POSTLIFT,0))),0)))</f>
        <v/>
      </c>
      <c r="R188" s="10">
        <f>IF(OR($H188&lt;&gt;"Y",9&lt;$I188),0,IF(SUMPRODUCT(((BULK_ENABLED="Y")*((BULK_TIER="ALL")+(BULK_TIER=$F188))*((BULK_SKU="ALL")+(BULK_SKU=$G188))*(BULK_START&lt;=9)*(BULK_END&gt;=9)))&gt;0,IFERROR(SUMPRODUCT(((BULK_ENABLED="Y")*((BULK_TIER="ALL")+(BULK_TIER=$F188))*((BULK_SKU="ALL")+(BULK_SKU=$G188))*(BULK_START&lt;=9)*(BULK_END&gt;=9))*IFERROR(BULK_VALUE,0))/MAX(1,SUMPRODUCT(((BULK_ENABLED="Y")*((BULK_TIER="ALL")+(BULK_TIER=$F188))*((BULK_SKU="ALL")+(BULK_SKU=$G188))*(BULK_START&lt;=9)*(BULK_END&gt;=9)))),0),ROUND((INDEX(VELOCITY_TABLE,MATCH($F188,TIER_LIST,0),1))*(IF((9-$I188+1)&lt;=0,0,IF((9-$I188+1)=1,RAMP_W1,IF((9-$I188+1)=2,RAMP_W2,IF((9-$I188+1)=3,RAMP_W3,RAMP_W4PLUS)))))*(INDEX(ACTIVE_MULT_TABLE,1,1))*(1+SUMPRODUCT(SIGN(((ACT_DOOR_SCOPE="ALL")+(ACT_DOOR_SCOPE="TIER_"&amp;$F188)+(ACT_DOOR_SCOPE=$B188)))*SIGN(((ACT_SKU_SCOPE="ALL")+(ACT_SKU_SCOPE=$G188)))*(ACT_START&lt;=9)*(ACT_END&gt;=9)*IFERROR(ACT_UPLIFT-1,0)))*(1+SUMPRODUCT(SIGN(((ACT_DOOR_SCOPE="ALL")+(ACT_DOOR_SCOPE="TIER_"&amp;$F188)+(ACT_DOOR_SCOPE=$B188)))*SIGN(((ACT_SKU_SCOPE="ALL")+(ACT_SKU_SCOPE=$G188)))*(9&gt;ACT_END)*(ACT_END&gt;0)*IFERROR(ACT_POSTLIFT,0))),0)))</f>
        <v/>
      </c>
      <c r="S188" s="10">
        <f>IF(OR($H188&lt;&gt;"Y",10&lt;$I188),0,IF(SUMPRODUCT(((BULK_ENABLED="Y")*((BULK_TIER="ALL")+(BULK_TIER=$F188))*((BULK_SKU="ALL")+(BULK_SKU=$G188))*(BULK_START&lt;=10)*(BULK_END&gt;=10)))&gt;0,IFERROR(SUMPRODUCT(((BULK_ENABLED="Y")*((BULK_TIER="ALL")+(BULK_TIER=$F188))*((BULK_SKU="ALL")+(BULK_SKU=$G188))*(BULK_START&lt;=10)*(BULK_END&gt;=10))*IFERROR(BULK_VALUE,0))/MAX(1,SUMPRODUCT(((BULK_ENABLED="Y")*((BULK_TIER="ALL")+(BULK_TIER=$F188))*((BULK_SKU="ALL")+(BULK_SKU=$G188))*(BULK_START&lt;=10)*(BULK_END&gt;=10)))),0),ROUND((INDEX(VELOCITY_TABLE,MATCH($F188,TIER_LIST,0),1))*(IF((10-$I188+1)&lt;=0,0,IF((10-$I188+1)=1,RAMP_W1,IF((10-$I188+1)=2,RAMP_W2,IF((10-$I188+1)=3,RAMP_W3,RAMP_W4PLUS)))))*(INDEX(ACTIVE_MULT_TABLE,1,1))*(1+SUMPRODUCT(SIGN(((ACT_DOOR_SCOPE="ALL")+(ACT_DOOR_SCOPE="TIER_"&amp;$F188)+(ACT_DOOR_SCOPE=$B188)))*SIGN(((ACT_SKU_SCOPE="ALL")+(ACT_SKU_SCOPE=$G188)))*(ACT_START&lt;=10)*(ACT_END&gt;=10)*IFERROR(ACT_UPLIFT-1,0)))*(1+SUMPRODUCT(SIGN(((ACT_DOOR_SCOPE="ALL")+(ACT_DOOR_SCOPE="TIER_"&amp;$F188)+(ACT_DOOR_SCOPE=$B188)))*SIGN(((ACT_SKU_SCOPE="ALL")+(ACT_SKU_SCOPE=$G188)))*(10&gt;ACT_END)*(ACT_END&gt;0)*IFERROR(ACT_POSTLIFT,0))),0)))</f>
        <v/>
      </c>
      <c r="T188" s="10">
        <f>IF(OR($H188&lt;&gt;"Y",11&lt;$I188),0,IF(SUMPRODUCT(((BULK_ENABLED="Y")*((BULK_TIER="ALL")+(BULK_TIER=$F188))*((BULK_SKU="ALL")+(BULK_SKU=$G188))*(BULK_START&lt;=11)*(BULK_END&gt;=11)))&gt;0,IFERROR(SUMPRODUCT(((BULK_ENABLED="Y")*((BULK_TIER="ALL")+(BULK_TIER=$F188))*((BULK_SKU="ALL")+(BULK_SKU=$G188))*(BULK_START&lt;=11)*(BULK_END&gt;=11))*IFERROR(BULK_VALUE,0))/MAX(1,SUMPRODUCT(((BULK_ENABLED="Y")*((BULK_TIER="ALL")+(BULK_TIER=$F188))*((BULK_SKU="ALL")+(BULK_SKU=$G188))*(BULK_START&lt;=11)*(BULK_END&gt;=11)))),0),ROUND((INDEX(VELOCITY_TABLE,MATCH($F188,TIER_LIST,0),1))*(IF((11-$I188+1)&lt;=0,0,IF((11-$I188+1)=1,RAMP_W1,IF((11-$I188+1)=2,RAMP_W2,IF((11-$I188+1)=3,RAMP_W3,RAMP_W4PLUS)))))*(INDEX(ACTIVE_MULT_TABLE,1,1))*(1+SUMPRODUCT(SIGN(((ACT_DOOR_SCOPE="ALL")+(ACT_DOOR_SCOPE="TIER_"&amp;$F188)+(ACT_DOOR_SCOPE=$B188)))*SIGN(((ACT_SKU_SCOPE="ALL")+(ACT_SKU_SCOPE=$G188)))*(ACT_START&lt;=11)*(ACT_END&gt;=11)*IFERROR(ACT_UPLIFT-1,0)))*(1+SUMPRODUCT(SIGN(((ACT_DOOR_SCOPE="ALL")+(ACT_DOOR_SCOPE="TIER_"&amp;$F188)+(ACT_DOOR_SCOPE=$B188)))*SIGN(((ACT_SKU_SCOPE="ALL")+(ACT_SKU_SCOPE=$G188)))*(11&gt;ACT_END)*(ACT_END&gt;0)*IFERROR(ACT_POSTLIFT,0))),0)))</f>
        <v/>
      </c>
      <c r="U188" s="10">
        <f>IF(OR($H188&lt;&gt;"Y",12&lt;$I188),0,IF(SUMPRODUCT(((BULK_ENABLED="Y")*((BULK_TIER="ALL")+(BULK_TIER=$F188))*((BULK_SKU="ALL")+(BULK_SKU=$G188))*(BULK_START&lt;=12)*(BULK_END&gt;=12)))&gt;0,IFERROR(SUMPRODUCT(((BULK_ENABLED="Y")*((BULK_TIER="ALL")+(BULK_TIER=$F188))*((BULK_SKU="ALL")+(BULK_SKU=$G188))*(BULK_START&lt;=12)*(BULK_END&gt;=12))*IFERROR(BULK_VALUE,0))/MAX(1,SUMPRODUCT(((BULK_ENABLED="Y")*((BULK_TIER="ALL")+(BULK_TIER=$F188))*((BULK_SKU="ALL")+(BULK_SKU=$G188))*(BULK_START&lt;=12)*(BULK_END&gt;=12)))),0),ROUND((INDEX(VELOCITY_TABLE,MATCH($F188,TIER_LIST,0),1))*(IF((12-$I188+1)&lt;=0,0,IF((12-$I188+1)=1,RAMP_W1,IF((12-$I188+1)=2,RAMP_W2,IF((12-$I188+1)=3,RAMP_W3,RAMP_W4PLUS)))))*(INDEX(ACTIVE_MULT_TABLE,1,1))*(1+SUMPRODUCT(SIGN(((ACT_DOOR_SCOPE="ALL")+(ACT_DOOR_SCOPE="TIER_"&amp;$F188)+(ACT_DOOR_SCOPE=$B188)))*SIGN(((ACT_SKU_SCOPE="ALL")+(ACT_SKU_SCOPE=$G188)))*(ACT_START&lt;=12)*(ACT_END&gt;=12)*IFERROR(ACT_UPLIFT-1,0)))*(1+SUMPRODUCT(SIGN(((ACT_DOOR_SCOPE="ALL")+(ACT_DOOR_SCOPE="TIER_"&amp;$F188)+(ACT_DOOR_SCOPE=$B188)))*SIGN(((ACT_SKU_SCOPE="ALL")+(ACT_SKU_SCOPE=$G188)))*(12&gt;ACT_END)*(ACT_END&gt;0)*IFERROR(ACT_POSTLIFT,0))),0)))</f>
        <v/>
      </c>
      <c r="V188" s="10">
        <f>IF(OR($H188&lt;&gt;"Y",13&lt;$I188),0,IF(SUMPRODUCT(((BULK_ENABLED="Y")*((BULK_TIER="ALL")+(BULK_TIER=$F188))*((BULK_SKU="ALL")+(BULK_SKU=$G188))*(BULK_START&lt;=13)*(BULK_END&gt;=13)))&gt;0,IFERROR(SUMPRODUCT(((BULK_ENABLED="Y")*((BULK_TIER="ALL")+(BULK_TIER=$F188))*((BULK_SKU="ALL")+(BULK_SKU=$G188))*(BULK_START&lt;=13)*(BULK_END&gt;=13))*IFERROR(BULK_VALUE,0))/MAX(1,SUMPRODUCT(((BULK_ENABLED="Y")*((BULK_TIER="ALL")+(BULK_TIER=$F188))*((BULK_SKU="ALL")+(BULK_SKU=$G188))*(BULK_START&lt;=13)*(BULK_END&gt;=13)))),0),ROUND((INDEX(VELOCITY_TABLE,MATCH($F188,TIER_LIST,0),1))*(IF((13-$I188+1)&lt;=0,0,IF((13-$I188+1)=1,RAMP_W1,IF((13-$I188+1)=2,RAMP_W2,IF((13-$I188+1)=3,RAMP_W3,RAMP_W4PLUS)))))*(INDEX(ACTIVE_MULT_TABLE,1,1))*(1+SUMPRODUCT(SIGN(((ACT_DOOR_SCOPE="ALL")+(ACT_DOOR_SCOPE="TIER_"&amp;$F188)+(ACT_DOOR_SCOPE=$B188)))*SIGN(((ACT_SKU_SCOPE="ALL")+(ACT_SKU_SCOPE=$G188)))*(ACT_START&lt;=13)*(ACT_END&gt;=13)*IFERROR(ACT_UPLIFT-1,0)))*(1+SUMPRODUCT(SIGN(((ACT_DOOR_SCOPE="ALL")+(ACT_DOOR_SCOPE="TIER_"&amp;$F188)+(ACT_DOOR_SCOPE=$B188)))*SIGN(((ACT_SKU_SCOPE="ALL")+(ACT_SKU_SCOPE=$G188)))*(13&gt;ACT_END)*(ACT_END&gt;0)*IFERROR(ACT_POSTLIFT,0))),0)))</f>
        <v/>
      </c>
    </row>
    <row r="189">
      <c r="A189" t="inlineStr">
        <is>
          <t>R0185</t>
        </is>
      </c>
      <c r="B189">
        <f>Doors!$A$66</f>
        <v/>
      </c>
      <c r="C189">
        <f>Doors!$C$66</f>
        <v/>
      </c>
      <c r="D189">
        <f>Doors!$B$66</f>
        <v/>
      </c>
      <c r="E189">
        <f>Doors!$E$66</f>
        <v/>
      </c>
      <c r="F189">
        <f>Doors!$F$66</f>
        <v/>
      </c>
      <c r="G189" t="inlineStr">
        <is>
          <t>Pineapple Passion Fruit</t>
        </is>
      </c>
      <c r="H189">
        <f>Doors!$H$66</f>
        <v/>
      </c>
      <c r="I189">
        <f>Doors!$J$66</f>
        <v/>
      </c>
      <c r="J189" s="10">
        <f>IF(OR($H189&lt;&gt;"Y",1&lt;$I189),0,IF(SUMPRODUCT(((BULK_ENABLED="Y")*((BULK_TIER="ALL")+(BULK_TIER=$F189))*((BULK_SKU="ALL")+(BULK_SKU=$G189))*(BULK_START&lt;=1)*(BULK_END&gt;=1)))&gt;0,IFERROR(SUMPRODUCT(((BULK_ENABLED="Y")*((BULK_TIER="ALL")+(BULK_TIER=$F189))*((BULK_SKU="ALL")+(BULK_SKU=$G189))*(BULK_START&lt;=1)*(BULK_END&gt;=1))*IFERROR(BULK_VALUE,0))/MAX(1,SUMPRODUCT(((BULK_ENABLED="Y")*((BULK_TIER="ALL")+(BULK_TIER=$F189))*((BULK_SKU="ALL")+(BULK_SKU=$G189))*(BULK_START&lt;=1)*(BULK_END&gt;=1)))),0),ROUND((INDEX(VELOCITY_TABLE,MATCH($F189,TIER_LIST,0),2))*(IF((1-$I189+1)&lt;=0,0,IF((1-$I189+1)=1,RAMP_W1,IF((1-$I189+1)=2,RAMP_W2,IF((1-$I189+1)=3,RAMP_W3,RAMP_W4PLUS)))))*(INDEX(ACTIVE_MULT_TABLE,2,1))*(1+SUMPRODUCT(SIGN(((ACT_DOOR_SCOPE="ALL")+(ACT_DOOR_SCOPE="TIER_"&amp;$F189)+(ACT_DOOR_SCOPE=$B189)))*SIGN(((ACT_SKU_SCOPE="ALL")+(ACT_SKU_SCOPE=$G189)))*(ACT_START&lt;=1)*(ACT_END&gt;=1)*IFERROR(ACT_UPLIFT-1,0)))*(1+SUMPRODUCT(SIGN(((ACT_DOOR_SCOPE="ALL")+(ACT_DOOR_SCOPE="TIER_"&amp;$F189)+(ACT_DOOR_SCOPE=$B189)))*SIGN(((ACT_SKU_SCOPE="ALL")+(ACT_SKU_SCOPE=$G189)))*(1&gt;ACT_END)*(ACT_END&gt;0)*IFERROR(ACT_POSTLIFT,0))),0)))</f>
        <v/>
      </c>
      <c r="K189" s="10">
        <f>IF(OR($H189&lt;&gt;"Y",2&lt;$I189),0,IF(SUMPRODUCT(((BULK_ENABLED="Y")*((BULK_TIER="ALL")+(BULK_TIER=$F189))*((BULK_SKU="ALL")+(BULK_SKU=$G189))*(BULK_START&lt;=2)*(BULK_END&gt;=2)))&gt;0,IFERROR(SUMPRODUCT(((BULK_ENABLED="Y")*((BULK_TIER="ALL")+(BULK_TIER=$F189))*((BULK_SKU="ALL")+(BULK_SKU=$G189))*(BULK_START&lt;=2)*(BULK_END&gt;=2))*IFERROR(BULK_VALUE,0))/MAX(1,SUMPRODUCT(((BULK_ENABLED="Y")*((BULK_TIER="ALL")+(BULK_TIER=$F189))*((BULK_SKU="ALL")+(BULK_SKU=$G189))*(BULK_START&lt;=2)*(BULK_END&gt;=2)))),0),ROUND((INDEX(VELOCITY_TABLE,MATCH($F189,TIER_LIST,0),2))*(IF((2-$I189+1)&lt;=0,0,IF((2-$I189+1)=1,RAMP_W1,IF((2-$I189+1)=2,RAMP_W2,IF((2-$I189+1)=3,RAMP_W3,RAMP_W4PLUS)))))*(INDEX(ACTIVE_MULT_TABLE,2,1))*(1+SUMPRODUCT(SIGN(((ACT_DOOR_SCOPE="ALL")+(ACT_DOOR_SCOPE="TIER_"&amp;$F189)+(ACT_DOOR_SCOPE=$B189)))*SIGN(((ACT_SKU_SCOPE="ALL")+(ACT_SKU_SCOPE=$G189)))*(ACT_START&lt;=2)*(ACT_END&gt;=2)*IFERROR(ACT_UPLIFT-1,0)))*(1+SUMPRODUCT(SIGN(((ACT_DOOR_SCOPE="ALL")+(ACT_DOOR_SCOPE="TIER_"&amp;$F189)+(ACT_DOOR_SCOPE=$B189)))*SIGN(((ACT_SKU_SCOPE="ALL")+(ACT_SKU_SCOPE=$G189)))*(2&gt;ACT_END)*(ACT_END&gt;0)*IFERROR(ACT_POSTLIFT,0))),0)))</f>
        <v/>
      </c>
      <c r="L189" s="10">
        <f>IF(OR($H189&lt;&gt;"Y",3&lt;$I189),0,IF(SUMPRODUCT(((BULK_ENABLED="Y")*((BULK_TIER="ALL")+(BULK_TIER=$F189))*((BULK_SKU="ALL")+(BULK_SKU=$G189))*(BULK_START&lt;=3)*(BULK_END&gt;=3)))&gt;0,IFERROR(SUMPRODUCT(((BULK_ENABLED="Y")*((BULK_TIER="ALL")+(BULK_TIER=$F189))*((BULK_SKU="ALL")+(BULK_SKU=$G189))*(BULK_START&lt;=3)*(BULK_END&gt;=3))*IFERROR(BULK_VALUE,0))/MAX(1,SUMPRODUCT(((BULK_ENABLED="Y")*((BULK_TIER="ALL")+(BULK_TIER=$F189))*((BULK_SKU="ALL")+(BULK_SKU=$G189))*(BULK_START&lt;=3)*(BULK_END&gt;=3)))),0),ROUND((INDEX(VELOCITY_TABLE,MATCH($F189,TIER_LIST,0),2))*(IF((3-$I189+1)&lt;=0,0,IF((3-$I189+1)=1,RAMP_W1,IF((3-$I189+1)=2,RAMP_W2,IF((3-$I189+1)=3,RAMP_W3,RAMP_W4PLUS)))))*(INDEX(ACTIVE_MULT_TABLE,2,1))*(1+SUMPRODUCT(SIGN(((ACT_DOOR_SCOPE="ALL")+(ACT_DOOR_SCOPE="TIER_"&amp;$F189)+(ACT_DOOR_SCOPE=$B189)))*SIGN(((ACT_SKU_SCOPE="ALL")+(ACT_SKU_SCOPE=$G189)))*(ACT_START&lt;=3)*(ACT_END&gt;=3)*IFERROR(ACT_UPLIFT-1,0)))*(1+SUMPRODUCT(SIGN(((ACT_DOOR_SCOPE="ALL")+(ACT_DOOR_SCOPE="TIER_"&amp;$F189)+(ACT_DOOR_SCOPE=$B189)))*SIGN(((ACT_SKU_SCOPE="ALL")+(ACT_SKU_SCOPE=$G189)))*(3&gt;ACT_END)*(ACT_END&gt;0)*IFERROR(ACT_POSTLIFT,0))),0)))</f>
        <v/>
      </c>
      <c r="M189" s="10">
        <f>IF(OR($H189&lt;&gt;"Y",4&lt;$I189),0,IF(SUMPRODUCT(((BULK_ENABLED="Y")*((BULK_TIER="ALL")+(BULK_TIER=$F189))*((BULK_SKU="ALL")+(BULK_SKU=$G189))*(BULK_START&lt;=4)*(BULK_END&gt;=4)))&gt;0,IFERROR(SUMPRODUCT(((BULK_ENABLED="Y")*((BULK_TIER="ALL")+(BULK_TIER=$F189))*((BULK_SKU="ALL")+(BULK_SKU=$G189))*(BULK_START&lt;=4)*(BULK_END&gt;=4))*IFERROR(BULK_VALUE,0))/MAX(1,SUMPRODUCT(((BULK_ENABLED="Y")*((BULK_TIER="ALL")+(BULK_TIER=$F189))*((BULK_SKU="ALL")+(BULK_SKU=$G189))*(BULK_START&lt;=4)*(BULK_END&gt;=4)))),0),ROUND((INDEX(VELOCITY_TABLE,MATCH($F189,TIER_LIST,0),2))*(IF((4-$I189+1)&lt;=0,0,IF((4-$I189+1)=1,RAMP_W1,IF((4-$I189+1)=2,RAMP_W2,IF((4-$I189+1)=3,RAMP_W3,RAMP_W4PLUS)))))*(INDEX(ACTIVE_MULT_TABLE,2,1))*(1+SUMPRODUCT(SIGN(((ACT_DOOR_SCOPE="ALL")+(ACT_DOOR_SCOPE="TIER_"&amp;$F189)+(ACT_DOOR_SCOPE=$B189)))*SIGN(((ACT_SKU_SCOPE="ALL")+(ACT_SKU_SCOPE=$G189)))*(ACT_START&lt;=4)*(ACT_END&gt;=4)*IFERROR(ACT_UPLIFT-1,0)))*(1+SUMPRODUCT(SIGN(((ACT_DOOR_SCOPE="ALL")+(ACT_DOOR_SCOPE="TIER_"&amp;$F189)+(ACT_DOOR_SCOPE=$B189)))*SIGN(((ACT_SKU_SCOPE="ALL")+(ACT_SKU_SCOPE=$G189)))*(4&gt;ACT_END)*(ACT_END&gt;0)*IFERROR(ACT_POSTLIFT,0))),0)))</f>
        <v/>
      </c>
      <c r="N189" s="10">
        <f>IF(OR($H189&lt;&gt;"Y",5&lt;$I189),0,IF(SUMPRODUCT(((BULK_ENABLED="Y")*((BULK_TIER="ALL")+(BULK_TIER=$F189))*((BULK_SKU="ALL")+(BULK_SKU=$G189))*(BULK_START&lt;=5)*(BULK_END&gt;=5)))&gt;0,IFERROR(SUMPRODUCT(((BULK_ENABLED="Y")*((BULK_TIER="ALL")+(BULK_TIER=$F189))*((BULK_SKU="ALL")+(BULK_SKU=$G189))*(BULK_START&lt;=5)*(BULK_END&gt;=5))*IFERROR(BULK_VALUE,0))/MAX(1,SUMPRODUCT(((BULK_ENABLED="Y")*((BULK_TIER="ALL")+(BULK_TIER=$F189))*((BULK_SKU="ALL")+(BULK_SKU=$G189))*(BULK_START&lt;=5)*(BULK_END&gt;=5)))),0),ROUND((INDEX(VELOCITY_TABLE,MATCH($F189,TIER_LIST,0),2))*(IF((5-$I189+1)&lt;=0,0,IF((5-$I189+1)=1,RAMP_W1,IF((5-$I189+1)=2,RAMP_W2,IF((5-$I189+1)=3,RAMP_W3,RAMP_W4PLUS)))))*(INDEX(ACTIVE_MULT_TABLE,2,1))*(1+SUMPRODUCT(SIGN(((ACT_DOOR_SCOPE="ALL")+(ACT_DOOR_SCOPE="TIER_"&amp;$F189)+(ACT_DOOR_SCOPE=$B189)))*SIGN(((ACT_SKU_SCOPE="ALL")+(ACT_SKU_SCOPE=$G189)))*(ACT_START&lt;=5)*(ACT_END&gt;=5)*IFERROR(ACT_UPLIFT-1,0)))*(1+SUMPRODUCT(SIGN(((ACT_DOOR_SCOPE="ALL")+(ACT_DOOR_SCOPE="TIER_"&amp;$F189)+(ACT_DOOR_SCOPE=$B189)))*SIGN(((ACT_SKU_SCOPE="ALL")+(ACT_SKU_SCOPE=$G189)))*(5&gt;ACT_END)*(ACT_END&gt;0)*IFERROR(ACT_POSTLIFT,0))),0)))</f>
        <v/>
      </c>
      <c r="O189" s="10">
        <f>IF(OR($H189&lt;&gt;"Y",6&lt;$I189),0,IF(SUMPRODUCT(((BULK_ENABLED="Y")*((BULK_TIER="ALL")+(BULK_TIER=$F189))*((BULK_SKU="ALL")+(BULK_SKU=$G189))*(BULK_START&lt;=6)*(BULK_END&gt;=6)))&gt;0,IFERROR(SUMPRODUCT(((BULK_ENABLED="Y")*((BULK_TIER="ALL")+(BULK_TIER=$F189))*((BULK_SKU="ALL")+(BULK_SKU=$G189))*(BULK_START&lt;=6)*(BULK_END&gt;=6))*IFERROR(BULK_VALUE,0))/MAX(1,SUMPRODUCT(((BULK_ENABLED="Y")*((BULK_TIER="ALL")+(BULK_TIER=$F189))*((BULK_SKU="ALL")+(BULK_SKU=$G189))*(BULK_START&lt;=6)*(BULK_END&gt;=6)))),0),ROUND((INDEX(VELOCITY_TABLE,MATCH($F189,TIER_LIST,0),2))*(IF((6-$I189+1)&lt;=0,0,IF((6-$I189+1)=1,RAMP_W1,IF((6-$I189+1)=2,RAMP_W2,IF((6-$I189+1)=3,RAMP_W3,RAMP_W4PLUS)))))*(INDEX(ACTIVE_MULT_TABLE,2,1))*(1+SUMPRODUCT(SIGN(((ACT_DOOR_SCOPE="ALL")+(ACT_DOOR_SCOPE="TIER_"&amp;$F189)+(ACT_DOOR_SCOPE=$B189)))*SIGN(((ACT_SKU_SCOPE="ALL")+(ACT_SKU_SCOPE=$G189)))*(ACT_START&lt;=6)*(ACT_END&gt;=6)*IFERROR(ACT_UPLIFT-1,0)))*(1+SUMPRODUCT(SIGN(((ACT_DOOR_SCOPE="ALL")+(ACT_DOOR_SCOPE="TIER_"&amp;$F189)+(ACT_DOOR_SCOPE=$B189)))*SIGN(((ACT_SKU_SCOPE="ALL")+(ACT_SKU_SCOPE=$G189)))*(6&gt;ACT_END)*(ACT_END&gt;0)*IFERROR(ACT_POSTLIFT,0))),0)))</f>
        <v/>
      </c>
      <c r="P189" s="10">
        <f>IF(OR($H189&lt;&gt;"Y",7&lt;$I189),0,IF(SUMPRODUCT(((BULK_ENABLED="Y")*((BULK_TIER="ALL")+(BULK_TIER=$F189))*((BULK_SKU="ALL")+(BULK_SKU=$G189))*(BULK_START&lt;=7)*(BULK_END&gt;=7)))&gt;0,IFERROR(SUMPRODUCT(((BULK_ENABLED="Y")*((BULK_TIER="ALL")+(BULK_TIER=$F189))*((BULK_SKU="ALL")+(BULK_SKU=$G189))*(BULK_START&lt;=7)*(BULK_END&gt;=7))*IFERROR(BULK_VALUE,0))/MAX(1,SUMPRODUCT(((BULK_ENABLED="Y")*((BULK_TIER="ALL")+(BULK_TIER=$F189))*((BULK_SKU="ALL")+(BULK_SKU=$G189))*(BULK_START&lt;=7)*(BULK_END&gt;=7)))),0),ROUND((INDEX(VELOCITY_TABLE,MATCH($F189,TIER_LIST,0),2))*(IF((7-$I189+1)&lt;=0,0,IF((7-$I189+1)=1,RAMP_W1,IF((7-$I189+1)=2,RAMP_W2,IF((7-$I189+1)=3,RAMP_W3,RAMP_W4PLUS)))))*(INDEX(ACTIVE_MULT_TABLE,2,1))*(1+SUMPRODUCT(SIGN(((ACT_DOOR_SCOPE="ALL")+(ACT_DOOR_SCOPE="TIER_"&amp;$F189)+(ACT_DOOR_SCOPE=$B189)))*SIGN(((ACT_SKU_SCOPE="ALL")+(ACT_SKU_SCOPE=$G189)))*(ACT_START&lt;=7)*(ACT_END&gt;=7)*IFERROR(ACT_UPLIFT-1,0)))*(1+SUMPRODUCT(SIGN(((ACT_DOOR_SCOPE="ALL")+(ACT_DOOR_SCOPE="TIER_"&amp;$F189)+(ACT_DOOR_SCOPE=$B189)))*SIGN(((ACT_SKU_SCOPE="ALL")+(ACT_SKU_SCOPE=$G189)))*(7&gt;ACT_END)*(ACT_END&gt;0)*IFERROR(ACT_POSTLIFT,0))),0)))</f>
        <v/>
      </c>
      <c r="Q189" s="10">
        <f>IF(OR($H189&lt;&gt;"Y",8&lt;$I189),0,IF(SUMPRODUCT(((BULK_ENABLED="Y")*((BULK_TIER="ALL")+(BULK_TIER=$F189))*((BULK_SKU="ALL")+(BULK_SKU=$G189))*(BULK_START&lt;=8)*(BULK_END&gt;=8)))&gt;0,IFERROR(SUMPRODUCT(((BULK_ENABLED="Y")*((BULK_TIER="ALL")+(BULK_TIER=$F189))*((BULK_SKU="ALL")+(BULK_SKU=$G189))*(BULK_START&lt;=8)*(BULK_END&gt;=8))*IFERROR(BULK_VALUE,0))/MAX(1,SUMPRODUCT(((BULK_ENABLED="Y")*((BULK_TIER="ALL")+(BULK_TIER=$F189))*((BULK_SKU="ALL")+(BULK_SKU=$G189))*(BULK_START&lt;=8)*(BULK_END&gt;=8)))),0),ROUND((INDEX(VELOCITY_TABLE,MATCH($F189,TIER_LIST,0),2))*(IF((8-$I189+1)&lt;=0,0,IF((8-$I189+1)=1,RAMP_W1,IF((8-$I189+1)=2,RAMP_W2,IF((8-$I189+1)=3,RAMP_W3,RAMP_W4PLUS)))))*(INDEX(ACTIVE_MULT_TABLE,2,1))*(1+SUMPRODUCT(SIGN(((ACT_DOOR_SCOPE="ALL")+(ACT_DOOR_SCOPE="TIER_"&amp;$F189)+(ACT_DOOR_SCOPE=$B189)))*SIGN(((ACT_SKU_SCOPE="ALL")+(ACT_SKU_SCOPE=$G189)))*(ACT_START&lt;=8)*(ACT_END&gt;=8)*IFERROR(ACT_UPLIFT-1,0)))*(1+SUMPRODUCT(SIGN(((ACT_DOOR_SCOPE="ALL")+(ACT_DOOR_SCOPE="TIER_"&amp;$F189)+(ACT_DOOR_SCOPE=$B189)))*SIGN(((ACT_SKU_SCOPE="ALL")+(ACT_SKU_SCOPE=$G189)))*(8&gt;ACT_END)*(ACT_END&gt;0)*IFERROR(ACT_POSTLIFT,0))),0)))</f>
        <v/>
      </c>
      <c r="R189" s="10">
        <f>IF(OR($H189&lt;&gt;"Y",9&lt;$I189),0,IF(SUMPRODUCT(((BULK_ENABLED="Y")*((BULK_TIER="ALL")+(BULK_TIER=$F189))*((BULK_SKU="ALL")+(BULK_SKU=$G189))*(BULK_START&lt;=9)*(BULK_END&gt;=9)))&gt;0,IFERROR(SUMPRODUCT(((BULK_ENABLED="Y")*((BULK_TIER="ALL")+(BULK_TIER=$F189))*((BULK_SKU="ALL")+(BULK_SKU=$G189))*(BULK_START&lt;=9)*(BULK_END&gt;=9))*IFERROR(BULK_VALUE,0))/MAX(1,SUMPRODUCT(((BULK_ENABLED="Y")*((BULK_TIER="ALL")+(BULK_TIER=$F189))*((BULK_SKU="ALL")+(BULK_SKU=$G189))*(BULK_START&lt;=9)*(BULK_END&gt;=9)))),0),ROUND((INDEX(VELOCITY_TABLE,MATCH($F189,TIER_LIST,0),2))*(IF((9-$I189+1)&lt;=0,0,IF((9-$I189+1)=1,RAMP_W1,IF((9-$I189+1)=2,RAMP_W2,IF((9-$I189+1)=3,RAMP_W3,RAMP_W4PLUS)))))*(INDEX(ACTIVE_MULT_TABLE,2,1))*(1+SUMPRODUCT(SIGN(((ACT_DOOR_SCOPE="ALL")+(ACT_DOOR_SCOPE="TIER_"&amp;$F189)+(ACT_DOOR_SCOPE=$B189)))*SIGN(((ACT_SKU_SCOPE="ALL")+(ACT_SKU_SCOPE=$G189)))*(ACT_START&lt;=9)*(ACT_END&gt;=9)*IFERROR(ACT_UPLIFT-1,0)))*(1+SUMPRODUCT(SIGN(((ACT_DOOR_SCOPE="ALL")+(ACT_DOOR_SCOPE="TIER_"&amp;$F189)+(ACT_DOOR_SCOPE=$B189)))*SIGN(((ACT_SKU_SCOPE="ALL")+(ACT_SKU_SCOPE=$G189)))*(9&gt;ACT_END)*(ACT_END&gt;0)*IFERROR(ACT_POSTLIFT,0))),0)))</f>
        <v/>
      </c>
      <c r="S189" s="10">
        <f>IF(OR($H189&lt;&gt;"Y",10&lt;$I189),0,IF(SUMPRODUCT(((BULK_ENABLED="Y")*((BULK_TIER="ALL")+(BULK_TIER=$F189))*((BULK_SKU="ALL")+(BULK_SKU=$G189))*(BULK_START&lt;=10)*(BULK_END&gt;=10)))&gt;0,IFERROR(SUMPRODUCT(((BULK_ENABLED="Y")*((BULK_TIER="ALL")+(BULK_TIER=$F189))*((BULK_SKU="ALL")+(BULK_SKU=$G189))*(BULK_START&lt;=10)*(BULK_END&gt;=10))*IFERROR(BULK_VALUE,0))/MAX(1,SUMPRODUCT(((BULK_ENABLED="Y")*((BULK_TIER="ALL")+(BULK_TIER=$F189))*((BULK_SKU="ALL")+(BULK_SKU=$G189))*(BULK_START&lt;=10)*(BULK_END&gt;=10)))),0),ROUND((INDEX(VELOCITY_TABLE,MATCH($F189,TIER_LIST,0),2))*(IF((10-$I189+1)&lt;=0,0,IF((10-$I189+1)=1,RAMP_W1,IF((10-$I189+1)=2,RAMP_W2,IF((10-$I189+1)=3,RAMP_W3,RAMP_W4PLUS)))))*(INDEX(ACTIVE_MULT_TABLE,2,1))*(1+SUMPRODUCT(SIGN(((ACT_DOOR_SCOPE="ALL")+(ACT_DOOR_SCOPE="TIER_"&amp;$F189)+(ACT_DOOR_SCOPE=$B189)))*SIGN(((ACT_SKU_SCOPE="ALL")+(ACT_SKU_SCOPE=$G189)))*(ACT_START&lt;=10)*(ACT_END&gt;=10)*IFERROR(ACT_UPLIFT-1,0)))*(1+SUMPRODUCT(SIGN(((ACT_DOOR_SCOPE="ALL")+(ACT_DOOR_SCOPE="TIER_"&amp;$F189)+(ACT_DOOR_SCOPE=$B189)))*SIGN(((ACT_SKU_SCOPE="ALL")+(ACT_SKU_SCOPE=$G189)))*(10&gt;ACT_END)*(ACT_END&gt;0)*IFERROR(ACT_POSTLIFT,0))),0)))</f>
        <v/>
      </c>
      <c r="T189" s="10">
        <f>IF(OR($H189&lt;&gt;"Y",11&lt;$I189),0,IF(SUMPRODUCT(((BULK_ENABLED="Y")*((BULK_TIER="ALL")+(BULK_TIER=$F189))*((BULK_SKU="ALL")+(BULK_SKU=$G189))*(BULK_START&lt;=11)*(BULK_END&gt;=11)))&gt;0,IFERROR(SUMPRODUCT(((BULK_ENABLED="Y")*((BULK_TIER="ALL")+(BULK_TIER=$F189))*((BULK_SKU="ALL")+(BULK_SKU=$G189))*(BULK_START&lt;=11)*(BULK_END&gt;=11))*IFERROR(BULK_VALUE,0))/MAX(1,SUMPRODUCT(((BULK_ENABLED="Y")*((BULK_TIER="ALL")+(BULK_TIER=$F189))*((BULK_SKU="ALL")+(BULK_SKU=$G189))*(BULK_START&lt;=11)*(BULK_END&gt;=11)))),0),ROUND((INDEX(VELOCITY_TABLE,MATCH($F189,TIER_LIST,0),2))*(IF((11-$I189+1)&lt;=0,0,IF((11-$I189+1)=1,RAMP_W1,IF((11-$I189+1)=2,RAMP_W2,IF((11-$I189+1)=3,RAMP_W3,RAMP_W4PLUS)))))*(INDEX(ACTIVE_MULT_TABLE,2,1))*(1+SUMPRODUCT(SIGN(((ACT_DOOR_SCOPE="ALL")+(ACT_DOOR_SCOPE="TIER_"&amp;$F189)+(ACT_DOOR_SCOPE=$B189)))*SIGN(((ACT_SKU_SCOPE="ALL")+(ACT_SKU_SCOPE=$G189)))*(ACT_START&lt;=11)*(ACT_END&gt;=11)*IFERROR(ACT_UPLIFT-1,0)))*(1+SUMPRODUCT(SIGN(((ACT_DOOR_SCOPE="ALL")+(ACT_DOOR_SCOPE="TIER_"&amp;$F189)+(ACT_DOOR_SCOPE=$B189)))*SIGN(((ACT_SKU_SCOPE="ALL")+(ACT_SKU_SCOPE=$G189)))*(11&gt;ACT_END)*(ACT_END&gt;0)*IFERROR(ACT_POSTLIFT,0))),0)))</f>
        <v/>
      </c>
      <c r="U189" s="10">
        <f>IF(OR($H189&lt;&gt;"Y",12&lt;$I189),0,IF(SUMPRODUCT(((BULK_ENABLED="Y")*((BULK_TIER="ALL")+(BULK_TIER=$F189))*((BULK_SKU="ALL")+(BULK_SKU=$G189))*(BULK_START&lt;=12)*(BULK_END&gt;=12)))&gt;0,IFERROR(SUMPRODUCT(((BULK_ENABLED="Y")*((BULK_TIER="ALL")+(BULK_TIER=$F189))*((BULK_SKU="ALL")+(BULK_SKU=$G189))*(BULK_START&lt;=12)*(BULK_END&gt;=12))*IFERROR(BULK_VALUE,0))/MAX(1,SUMPRODUCT(((BULK_ENABLED="Y")*((BULK_TIER="ALL")+(BULK_TIER=$F189))*((BULK_SKU="ALL")+(BULK_SKU=$G189))*(BULK_START&lt;=12)*(BULK_END&gt;=12)))),0),ROUND((INDEX(VELOCITY_TABLE,MATCH($F189,TIER_LIST,0),2))*(IF((12-$I189+1)&lt;=0,0,IF((12-$I189+1)=1,RAMP_W1,IF((12-$I189+1)=2,RAMP_W2,IF((12-$I189+1)=3,RAMP_W3,RAMP_W4PLUS)))))*(INDEX(ACTIVE_MULT_TABLE,2,1))*(1+SUMPRODUCT(SIGN(((ACT_DOOR_SCOPE="ALL")+(ACT_DOOR_SCOPE="TIER_"&amp;$F189)+(ACT_DOOR_SCOPE=$B189)))*SIGN(((ACT_SKU_SCOPE="ALL")+(ACT_SKU_SCOPE=$G189)))*(ACT_START&lt;=12)*(ACT_END&gt;=12)*IFERROR(ACT_UPLIFT-1,0)))*(1+SUMPRODUCT(SIGN(((ACT_DOOR_SCOPE="ALL")+(ACT_DOOR_SCOPE="TIER_"&amp;$F189)+(ACT_DOOR_SCOPE=$B189)))*SIGN(((ACT_SKU_SCOPE="ALL")+(ACT_SKU_SCOPE=$G189)))*(12&gt;ACT_END)*(ACT_END&gt;0)*IFERROR(ACT_POSTLIFT,0))),0)))</f>
        <v/>
      </c>
      <c r="V189" s="10">
        <f>IF(OR($H189&lt;&gt;"Y",13&lt;$I189),0,IF(SUMPRODUCT(((BULK_ENABLED="Y")*((BULK_TIER="ALL")+(BULK_TIER=$F189))*((BULK_SKU="ALL")+(BULK_SKU=$G189))*(BULK_START&lt;=13)*(BULK_END&gt;=13)))&gt;0,IFERROR(SUMPRODUCT(((BULK_ENABLED="Y")*((BULK_TIER="ALL")+(BULK_TIER=$F189))*((BULK_SKU="ALL")+(BULK_SKU=$G189))*(BULK_START&lt;=13)*(BULK_END&gt;=13))*IFERROR(BULK_VALUE,0))/MAX(1,SUMPRODUCT(((BULK_ENABLED="Y")*((BULK_TIER="ALL")+(BULK_TIER=$F189))*((BULK_SKU="ALL")+(BULK_SKU=$G189))*(BULK_START&lt;=13)*(BULK_END&gt;=13)))),0),ROUND((INDEX(VELOCITY_TABLE,MATCH($F189,TIER_LIST,0),2))*(IF((13-$I189+1)&lt;=0,0,IF((13-$I189+1)=1,RAMP_W1,IF((13-$I189+1)=2,RAMP_W2,IF((13-$I189+1)=3,RAMP_W3,RAMP_W4PLUS)))))*(INDEX(ACTIVE_MULT_TABLE,2,1))*(1+SUMPRODUCT(SIGN(((ACT_DOOR_SCOPE="ALL")+(ACT_DOOR_SCOPE="TIER_"&amp;$F189)+(ACT_DOOR_SCOPE=$B189)))*SIGN(((ACT_SKU_SCOPE="ALL")+(ACT_SKU_SCOPE=$G189)))*(ACT_START&lt;=13)*(ACT_END&gt;=13)*IFERROR(ACT_UPLIFT-1,0)))*(1+SUMPRODUCT(SIGN(((ACT_DOOR_SCOPE="ALL")+(ACT_DOOR_SCOPE="TIER_"&amp;$F189)+(ACT_DOOR_SCOPE=$B189)))*SIGN(((ACT_SKU_SCOPE="ALL")+(ACT_SKU_SCOPE=$G189)))*(13&gt;ACT_END)*(ACT_END&gt;0)*IFERROR(ACT_POSTLIFT,0))),0)))</f>
        <v/>
      </c>
    </row>
    <row r="190">
      <c r="A190" t="inlineStr">
        <is>
          <t>R0186</t>
        </is>
      </c>
      <c r="B190">
        <f>Doors!$A$66</f>
        <v/>
      </c>
      <c r="C190">
        <f>Doors!$C$66</f>
        <v/>
      </c>
      <c r="D190">
        <f>Doors!$B$66</f>
        <v/>
      </c>
      <c r="E190">
        <f>Doors!$E$66</f>
        <v/>
      </c>
      <c r="F190">
        <f>Doors!$F$66</f>
        <v/>
      </c>
      <c r="G190" t="inlineStr">
        <is>
          <t>Raspberry</t>
        </is>
      </c>
      <c r="H190">
        <f>Doors!$I$66</f>
        <v/>
      </c>
      <c r="I190">
        <f>Doors!$J$66</f>
        <v/>
      </c>
      <c r="J190" s="10">
        <f>IF(OR($H190&lt;&gt;"Y",1&lt;$I190),0,IF(SUMPRODUCT(((BULK_ENABLED="Y")*((BULK_TIER="ALL")+(BULK_TIER=$F190))*((BULK_SKU="ALL")+(BULK_SKU=$G190))*(BULK_START&lt;=1)*(BULK_END&gt;=1)))&gt;0,IFERROR(SUMPRODUCT(((BULK_ENABLED="Y")*((BULK_TIER="ALL")+(BULK_TIER=$F190))*((BULK_SKU="ALL")+(BULK_SKU=$G190))*(BULK_START&lt;=1)*(BULK_END&gt;=1))*IFERROR(BULK_VALUE,0))/MAX(1,SUMPRODUCT(((BULK_ENABLED="Y")*((BULK_TIER="ALL")+(BULK_TIER=$F190))*((BULK_SKU="ALL")+(BULK_SKU=$G190))*(BULK_START&lt;=1)*(BULK_END&gt;=1)))),0),ROUND((INDEX(VELOCITY_TABLE,MATCH($F190,TIER_LIST,0),3))*(IF((1-$I190+1)&lt;=0,0,IF((1-$I190+1)=1,RAMP_W1,IF((1-$I190+1)=2,RAMP_W2,IF((1-$I190+1)=3,RAMP_W3,RAMP_W4PLUS)))))*(INDEX(ACTIVE_MULT_TABLE,3,1))*(1+SUMPRODUCT(SIGN(((ACT_DOOR_SCOPE="ALL")+(ACT_DOOR_SCOPE="TIER_"&amp;$F190)+(ACT_DOOR_SCOPE=$B190)))*SIGN(((ACT_SKU_SCOPE="ALL")+(ACT_SKU_SCOPE=$G190)))*(ACT_START&lt;=1)*(ACT_END&gt;=1)*IFERROR(ACT_UPLIFT-1,0)))*(1+SUMPRODUCT(SIGN(((ACT_DOOR_SCOPE="ALL")+(ACT_DOOR_SCOPE="TIER_"&amp;$F190)+(ACT_DOOR_SCOPE=$B190)))*SIGN(((ACT_SKU_SCOPE="ALL")+(ACT_SKU_SCOPE=$G190)))*(1&gt;ACT_END)*(ACT_END&gt;0)*IFERROR(ACT_POSTLIFT,0))),0)))</f>
        <v/>
      </c>
      <c r="K190" s="10">
        <f>IF(OR($H190&lt;&gt;"Y",2&lt;$I190),0,IF(SUMPRODUCT(((BULK_ENABLED="Y")*((BULK_TIER="ALL")+(BULK_TIER=$F190))*((BULK_SKU="ALL")+(BULK_SKU=$G190))*(BULK_START&lt;=2)*(BULK_END&gt;=2)))&gt;0,IFERROR(SUMPRODUCT(((BULK_ENABLED="Y")*((BULK_TIER="ALL")+(BULK_TIER=$F190))*((BULK_SKU="ALL")+(BULK_SKU=$G190))*(BULK_START&lt;=2)*(BULK_END&gt;=2))*IFERROR(BULK_VALUE,0))/MAX(1,SUMPRODUCT(((BULK_ENABLED="Y")*((BULK_TIER="ALL")+(BULK_TIER=$F190))*((BULK_SKU="ALL")+(BULK_SKU=$G190))*(BULK_START&lt;=2)*(BULK_END&gt;=2)))),0),ROUND((INDEX(VELOCITY_TABLE,MATCH($F190,TIER_LIST,0),3))*(IF((2-$I190+1)&lt;=0,0,IF((2-$I190+1)=1,RAMP_W1,IF((2-$I190+1)=2,RAMP_W2,IF((2-$I190+1)=3,RAMP_W3,RAMP_W4PLUS)))))*(INDEX(ACTIVE_MULT_TABLE,3,1))*(1+SUMPRODUCT(SIGN(((ACT_DOOR_SCOPE="ALL")+(ACT_DOOR_SCOPE="TIER_"&amp;$F190)+(ACT_DOOR_SCOPE=$B190)))*SIGN(((ACT_SKU_SCOPE="ALL")+(ACT_SKU_SCOPE=$G190)))*(ACT_START&lt;=2)*(ACT_END&gt;=2)*IFERROR(ACT_UPLIFT-1,0)))*(1+SUMPRODUCT(SIGN(((ACT_DOOR_SCOPE="ALL")+(ACT_DOOR_SCOPE="TIER_"&amp;$F190)+(ACT_DOOR_SCOPE=$B190)))*SIGN(((ACT_SKU_SCOPE="ALL")+(ACT_SKU_SCOPE=$G190)))*(2&gt;ACT_END)*(ACT_END&gt;0)*IFERROR(ACT_POSTLIFT,0))),0)))</f>
        <v/>
      </c>
      <c r="L190" s="10">
        <f>IF(OR($H190&lt;&gt;"Y",3&lt;$I190),0,IF(SUMPRODUCT(((BULK_ENABLED="Y")*((BULK_TIER="ALL")+(BULK_TIER=$F190))*((BULK_SKU="ALL")+(BULK_SKU=$G190))*(BULK_START&lt;=3)*(BULK_END&gt;=3)))&gt;0,IFERROR(SUMPRODUCT(((BULK_ENABLED="Y")*((BULK_TIER="ALL")+(BULK_TIER=$F190))*((BULK_SKU="ALL")+(BULK_SKU=$G190))*(BULK_START&lt;=3)*(BULK_END&gt;=3))*IFERROR(BULK_VALUE,0))/MAX(1,SUMPRODUCT(((BULK_ENABLED="Y")*((BULK_TIER="ALL")+(BULK_TIER=$F190))*((BULK_SKU="ALL")+(BULK_SKU=$G190))*(BULK_START&lt;=3)*(BULK_END&gt;=3)))),0),ROUND((INDEX(VELOCITY_TABLE,MATCH($F190,TIER_LIST,0),3))*(IF((3-$I190+1)&lt;=0,0,IF((3-$I190+1)=1,RAMP_W1,IF((3-$I190+1)=2,RAMP_W2,IF((3-$I190+1)=3,RAMP_W3,RAMP_W4PLUS)))))*(INDEX(ACTIVE_MULT_TABLE,3,1))*(1+SUMPRODUCT(SIGN(((ACT_DOOR_SCOPE="ALL")+(ACT_DOOR_SCOPE="TIER_"&amp;$F190)+(ACT_DOOR_SCOPE=$B190)))*SIGN(((ACT_SKU_SCOPE="ALL")+(ACT_SKU_SCOPE=$G190)))*(ACT_START&lt;=3)*(ACT_END&gt;=3)*IFERROR(ACT_UPLIFT-1,0)))*(1+SUMPRODUCT(SIGN(((ACT_DOOR_SCOPE="ALL")+(ACT_DOOR_SCOPE="TIER_"&amp;$F190)+(ACT_DOOR_SCOPE=$B190)))*SIGN(((ACT_SKU_SCOPE="ALL")+(ACT_SKU_SCOPE=$G190)))*(3&gt;ACT_END)*(ACT_END&gt;0)*IFERROR(ACT_POSTLIFT,0))),0)))</f>
        <v/>
      </c>
      <c r="M190" s="10">
        <f>IF(OR($H190&lt;&gt;"Y",4&lt;$I190),0,IF(SUMPRODUCT(((BULK_ENABLED="Y")*((BULK_TIER="ALL")+(BULK_TIER=$F190))*((BULK_SKU="ALL")+(BULK_SKU=$G190))*(BULK_START&lt;=4)*(BULK_END&gt;=4)))&gt;0,IFERROR(SUMPRODUCT(((BULK_ENABLED="Y")*((BULK_TIER="ALL")+(BULK_TIER=$F190))*((BULK_SKU="ALL")+(BULK_SKU=$G190))*(BULK_START&lt;=4)*(BULK_END&gt;=4))*IFERROR(BULK_VALUE,0))/MAX(1,SUMPRODUCT(((BULK_ENABLED="Y")*((BULK_TIER="ALL")+(BULK_TIER=$F190))*((BULK_SKU="ALL")+(BULK_SKU=$G190))*(BULK_START&lt;=4)*(BULK_END&gt;=4)))),0),ROUND((INDEX(VELOCITY_TABLE,MATCH($F190,TIER_LIST,0),3))*(IF((4-$I190+1)&lt;=0,0,IF((4-$I190+1)=1,RAMP_W1,IF((4-$I190+1)=2,RAMP_W2,IF((4-$I190+1)=3,RAMP_W3,RAMP_W4PLUS)))))*(INDEX(ACTIVE_MULT_TABLE,3,1))*(1+SUMPRODUCT(SIGN(((ACT_DOOR_SCOPE="ALL")+(ACT_DOOR_SCOPE="TIER_"&amp;$F190)+(ACT_DOOR_SCOPE=$B190)))*SIGN(((ACT_SKU_SCOPE="ALL")+(ACT_SKU_SCOPE=$G190)))*(ACT_START&lt;=4)*(ACT_END&gt;=4)*IFERROR(ACT_UPLIFT-1,0)))*(1+SUMPRODUCT(SIGN(((ACT_DOOR_SCOPE="ALL")+(ACT_DOOR_SCOPE="TIER_"&amp;$F190)+(ACT_DOOR_SCOPE=$B190)))*SIGN(((ACT_SKU_SCOPE="ALL")+(ACT_SKU_SCOPE=$G190)))*(4&gt;ACT_END)*(ACT_END&gt;0)*IFERROR(ACT_POSTLIFT,0))),0)))</f>
        <v/>
      </c>
      <c r="N190" s="10">
        <f>IF(OR($H190&lt;&gt;"Y",5&lt;$I190),0,IF(SUMPRODUCT(((BULK_ENABLED="Y")*((BULK_TIER="ALL")+(BULK_TIER=$F190))*((BULK_SKU="ALL")+(BULK_SKU=$G190))*(BULK_START&lt;=5)*(BULK_END&gt;=5)))&gt;0,IFERROR(SUMPRODUCT(((BULK_ENABLED="Y")*((BULK_TIER="ALL")+(BULK_TIER=$F190))*((BULK_SKU="ALL")+(BULK_SKU=$G190))*(BULK_START&lt;=5)*(BULK_END&gt;=5))*IFERROR(BULK_VALUE,0))/MAX(1,SUMPRODUCT(((BULK_ENABLED="Y")*((BULK_TIER="ALL")+(BULK_TIER=$F190))*((BULK_SKU="ALL")+(BULK_SKU=$G190))*(BULK_START&lt;=5)*(BULK_END&gt;=5)))),0),ROUND((INDEX(VELOCITY_TABLE,MATCH($F190,TIER_LIST,0),3))*(IF((5-$I190+1)&lt;=0,0,IF((5-$I190+1)=1,RAMP_W1,IF((5-$I190+1)=2,RAMP_W2,IF((5-$I190+1)=3,RAMP_W3,RAMP_W4PLUS)))))*(INDEX(ACTIVE_MULT_TABLE,3,1))*(1+SUMPRODUCT(SIGN(((ACT_DOOR_SCOPE="ALL")+(ACT_DOOR_SCOPE="TIER_"&amp;$F190)+(ACT_DOOR_SCOPE=$B190)))*SIGN(((ACT_SKU_SCOPE="ALL")+(ACT_SKU_SCOPE=$G190)))*(ACT_START&lt;=5)*(ACT_END&gt;=5)*IFERROR(ACT_UPLIFT-1,0)))*(1+SUMPRODUCT(SIGN(((ACT_DOOR_SCOPE="ALL")+(ACT_DOOR_SCOPE="TIER_"&amp;$F190)+(ACT_DOOR_SCOPE=$B190)))*SIGN(((ACT_SKU_SCOPE="ALL")+(ACT_SKU_SCOPE=$G190)))*(5&gt;ACT_END)*(ACT_END&gt;0)*IFERROR(ACT_POSTLIFT,0))),0)))</f>
        <v/>
      </c>
      <c r="O190" s="10">
        <f>IF(OR($H190&lt;&gt;"Y",6&lt;$I190),0,IF(SUMPRODUCT(((BULK_ENABLED="Y")*((BULK_TIER="ALL")+(BULK_TIER=$F190))*((BULK_SKU="ALL")+(BULK_SKU=$G190))*(BULK_START&lt;=6)*(BULK_END&gt;=6)))&gt;0,IFERROR(SUMPRODUCT(((BULK_ENABLED="Y")*((BULK_TIER="ALL")+(BULK_TIER=$F190))*((BULK_SKU="ALL")+(BULK_SKU=$G190))*(BULK_START&lt;=6)*(BULK_END&gt;=6))*IFERROR(BULK_VALUE,0))/MAX(1,SUMPRODUCT(((BULK_ENABLED="Y")*((BULK_TIER="ALL")+(BULK_TIER=$F190))*((BULK_SKU="ALL")+(BULK_SKU=$G190))*(BULK_START&lt;=6)*(BULK_END&gt;=6)))),0),ROUND((INDEX(VELOCITY_TABLE,MATCH($F190,TIER_LIST,0),3))*(IF((6-$I190+1)&lt;=0,0,IF((6-$I190+1)=1,RAMP_W1,IF((6-$I190+1)=2,RAMP_W2,IF((6-$I190+1)=3,RAMP_W3,RAMP_W4PLUS)))))*(INDEX(ACTIVE_MULT_TABLE,3,1))*(1+SUMPRODUCT(SIGN(((ACT_DOOR_SCOPE="ALL")+(ACT_DOOR_SCOPE="TIER_"&amp;$F190)+(ACT_DOOR_SCOPE=$B190)))*SIGN(((ACT_SKU_SCOPE="ALL")+(ACT_SKU_SCOPE=$G190)))*(ACT_START&lt;=6)*(ACT_END&gt;=6)*IFERROR(ACT_UPLIFT-1,0)))*(1+SUMPRODUCT(SIGN(((ACT_DOOR_SCOPE="ALL")+(ACT_DOOR_SCOPE="TIER_"&amp;$F190)+(ACT_DOOR_SCOPE=$B190)))*SIGN(((ACT_SKU_SCOPE="ALL")+(ACT_SKU_SCOPE=$G190)))*(6&gt;ACT_END)*(ACT_END&gt;0)*IFERROR(ACT_POSTLIFT,0))),0)))</f>
        <v/>
      </c>
      <c r="P190" s="10">
        <f>IF(OR($H190&lt;&gt;"Y",7&lt;$I190),0,IF(SUMPRODUCT(((BULK_ENABLED="Y")*((BULK_TIER="ALL")+(BULK_TIER=$F190))*((BULK_SKU="ALL")+(BULK_SKU=$G190))*(BULK_START&lt;=7)*(BULK_END&gt;=7)))&gt;0,IFERROR(SUMPRODUCT(((BULK_ENABLED="Y")*((BULK_TIER="ALL")+(BULK_TIER=$F190))*((BULK_SKU="ALL")+(BULK_SKU=$G190))*(BULK_START&lt;=7)*(BULK_END&gt;=7))*IFERROR(BULK_VALUE,0))/MAX(1,SUMPRODUCT(((BULK_ENABLED="Y")*((BULK_TIER="ALL")+(BULK_TIER=$F190))*((BULK_SKU="ALL")+(BULK_SKU=$G190))*(BULK_START&lt;=7)*(BULK_END&gt;=7)))),0),ROUND((INDEX(VELOCITY_TABLE,MATCH($F190,TIER_LIST,0),3))*(IF((7-$I190+1)&lt;=0,0,IF((7-$I190+1)=1,RAMP_W1,IF((7-$I190+1)=2,RAMP_W2,IF((7-$I190+1)=3,RAMP_W3,RAMP_W4PLUS)))))*(INDEX(ACTIVE_MULT_TABLE,3,1))*(1+SUMPRODUCT(SIGN(((ACT_DOOR_SCOPE="ALL")+(ACT_DOOR_SCOPE="TIER_"&amp;$F190)+(ACT_DOOR_SCOPE=$B190)))*SIGN(((ACT_SKU_SCOPE="ALL")+(ACT_SKU_SCOPE=$G190)))*(ACT_START&lt;=7)*(ACT_END&gt;=7)*IFERROR(ACT_UPLIFT-1,0)))*(1+SUMPRODUCT(SIGN(((ACT_DOOR_SCOPE="ALL")+(ACT_DOOR_SCOPE="TIER_"&amp;$F190)+(ACT_DOOR_SCOPE=$B190)))*SIGN(((ACT_SKU_SCOPE="ALL")+(ACT_SKU_SCOPE=$G190)))*(7&gt;ACT_END)*(ACT_END&gt;0)*IFERROR(ACT_POSTLIFT,0))),0)))</f>
        <v/>
      </c>
      <c r="Q190" s="10">
        <f>IF(OR($H190&lt;&gt;"Y",8&lt;$I190),0,IF(SUMPRODUCT(((BULK_ENABLED="Y")*((BULK_TIER="ALL")+(BULK_TIER=$F190))*((BULK_SKU="ALL")+(BULK_SKU=$G190))*(BULK_START&lt;=8)*(BULK_END&gt;=8)))&gt;0,IFERROR(SUMPRODUCT(((BULK_ENABLED="Y")*((BULK_TIER="ALL")+(BULK_TIER=$F190))*((BULK_SKU="ALL")+(BULK_SKU=$G190))*(BULK_START&lt;=8)*(BULK_END&gt;=8))*IFERROR(BULK_VALUE,0))/MAX(1,SUMPRODUCT(((BULK_ENABLED="Y")*((BULK_TIER="ALL")+(BULK_TIER=$F190))*((BULK_SKU="ALL")+(BULK_SKU=$G190))*(BULK_START&lt;=8)*(BULK_END&gt;=8)))),0),ROUND((INDEX(VELOCITY_TABLE,MATCH($F190,TIER_LIST,0),3))*(IF((8-$I190+1)&lt;=0,0,IF((8-$I190+1)=1,RAMP_W1,IF((8-$I190+1)=2,RAMP_W2,IF((8-$I190+1)=3,RAMP_W3,RAMP_W4PLUS)))))*(INDEX(ACTIVE_MULT_TABLE,3,1))*(1+SUMPRODUCT(SIGN(((ACT_DOOR_SCOPE="ALL")+(ACT_DOOR_SCOPE="TIER_"&amp;$F190)+(ACT_DOOR_SCOPE=$B190)))*SIGN(((ACT_SKU_SCOPE="ALL")+(ACT_SKU_SCOPE=$G190)))*(ACT_START&lt;=8)*(ACT_END&gt;=8)*IFERROR(ACT_UPLIFT-1,0)))*(1+SUMPRODUCT(SIGN(((ACT_DOOR_SCOPE="ALL")+(ACT_DOOR_SCOPE="TIER_"&amp;$F190)+(ACT_DOOR_SCOPE=$B190)))*SIGN(((ACT_SKU_SCOPE="ALL")+(ACT_SKU_SCOPE=$G190)))*(8&gt;ACT_END)*(ACT_END&gt;0)*IFERROR(ACT_POSTLIFT,0))),0)))</f>
        <v/>
      </c>
      <c r="R190" s="10">
        <f>IF(OR($H190&lt;&gt;"Y",9&lt;$I190),0,IF(SUMPRODUCT(((BULK_ENABLED="Y")*((BULK_TIER="ALL")+(BULK_TIER=$F190))*((BULK_SKU="ALL")+(BULK_SKU=$G190))*(BULK_START&lt;=9)*(BULK_END&gt;=9)))&gt;0,IFERROR(SUMPRODUCT(((BULK_ENABLED="Y")*((BULK_TIER="ALL")+(BULK_TIER=$F190))*((BULK_SKU="ALL")+(BULK_SKU=$G190))*(BULK_START&lt;=9)*(BULK_END&gt;=9))*IFERROR(BULK_VALUE,0))/MAX(1,SUMPRODUCT(((BULK_ENABLED="Y")*((BULK_TIER="ALL")+(BULK_TIER=$F190))*((BULK_SKU="ALL")+(BULK_SKU=$G190))*(BULK_START&lt;=9)*(BULK_END&gt;=9)))),0),ROUND((INDEX(VELOCITY_TABLE,MATCH($F190,TIER_LIST,0),3))*(IF((9-$I190+1)&lt;=0,0,IF((9-$I190+1)=1,RAMP_W1,IF((9-$I190+1)=2,RAMP_W2,IF((9-$I190+1)=3,RAMP_W3,RAMP_W4PLUS)))))*(INDEX(ACTIVE_MULT_TABLE,3,1))*(1+SUMPRODUCT(SIGN(((ACT_DOOR_SCOPE="ALL")+(ACT_DOOR_SCOPE="TIER_"&amp;$F190)+(ACT_DOOR_SCOPE=$B190)))*SIGN(((ACT_SKU_SCOPE="ALL")+(ACT_SKU_SCOPE=$G190)))*(ACT_START&lt;=9)*(ACT_END&gt;=9)*IFERROR(ACT_UPLIFT-1,0)))*(1+SUMPRODUCT(SIGN(((ACT_DOOR_SCOPE="ALL")+(ACT_DOOR_SCOPE="TIER_"&amp;$F190)+(ACT_DOOR_SCOPE=$B190)))*SIGN(((ACT_SKU_SCOPE="ALL")+(ACT_SKU_SCOPE=$G190)))*(9&gt;ACT_END)*(ACT_END&gt;0)*IFERROR(ACT_POSTLIFT,0))),0)))</f>
        <v/>
      </c>
      <c r="S190" s="10">
        <f>IF(OR($H190&lt;&gt;"Y",10&lt;$I190),0,IF(SUMPRODUCT(((BULK_ENABLED="Y")*((BULK_TIER="ALL")+(BULK_TIER=$F190))*((BULK_SKU="ALL")+(BULK_SKU=$G190))*(BULK_START&lt;=10)*(BULK_END&gt;=10)))&gt;0,IFERROR(SUMPRODUCT(((BULK_ENABLED="Y")*((BULK_TIER="ALL")+(BULK_TIER=$F190))*((BULK_SKU="ALL")+(BULK_SKU=$G190))*(BULK_START&lt;=10)*(BULK_END&gt;=10))*IFERROR(BULK_VALUE,0))/MAX(1,SUMPRODUCT(((BULK_ENABLED="Y")*((BULK_TIER="ALL")+(BULK_TIER=$F190))*((BULK_SKU="ALL")+(BULK_SKU=$G190))*(BULK_START&lt;=10)*(BULK_END&gt;=10)))),0),ROUND((INDEX(VELOCITY_TABLE,MATCH($F190,TIER_LIST,0),3))*(IF((10-$I190+1)&lt;=0,0,IF((10-$I190+1)=1,RAMP_W1,IF((10-$I190+1)=2,RAMP_W2,IF((10-$I190+1)=3,RAMP_W3,RAMP_W4PLUS)))))*(INDEX(ACTIVE_MULT_TABLE,3,1))*(1+SUMPRODUCT(SIGN(((ACT_DOOR_SCOPE="ALL")+(ACT_DOOR_SCOPE="TIER_"&amp;$F190)+(ACT_DOOR_SCOPE=$B190)))*SIGN(((ACT_SKU_SCOPE="ALL")+(ACT_SKU_SCOPE=$G190)))*(ACT_START&lt;=10)*(ACT_END&gt;=10)*IFERROR(ACT_UPLIFT-1,0)))*(1+SUMPRODUCT(SIGN(((ACT_DOOR_SCOPE="ALL")+(ACT_DOOR_SCOPE="TIER_"&amp;$F190)+(ACT_DOOR_SCOPE=$B190)))*SIGN(((ACT_SKU_SCOPE="ALL")+(ACT_SKU_SCOPE=$G190)))*(10&gt;ACT_END)*(ACT_END&gt;0)*IFERROR(ACT_POSTLIFT,0))),0)))</f>
        <v/>
      </c>
      <c r="T190" s="10">
        <f>IF(OR($H190&lt;&gt;"Y",11&lt;$I190),0,IF(SUMPRODUCT(((BULK_ENABLED="Y")*((BULK_TIER="ALL")+(BULK_TIER=$F190))*((BULK_SKU="ALL")+(BULK_SKU=$G190))*(BULK_START&lt;=11)*(BULK_END&gt;=11)))&gt;0,IFERROR(SUMPRODUCT(((BULK_ENABLED="Y")*((BULK_TIER="ALL")+(BULK_TIER=$F190))*((BULK_SKU="ALL")+(BULK_SKU=$G190))*(BULK_START&lt;=11)*(BULK_END&gt;=11))*IFERROR(BULK_VALUE,0))/MAX(1,SUMPRODUCT(((BULK_ENABLED="Y")*((BULK_TIER="ALL")+(BULK_TIER=$F190))*((BULK_SKU="ALL")+(BULK_SKU=$G190))*(BULK_START&lt;=11)*(BULK_END&gt;=11)))),0),ROUND((INDEX(VELOCITY_TABLE,MATCH($F190,TIER_LIST,0),3))*(IF((11-$I190+1)&lt;=0,0,IF((11-$I190+1)=1,RAMP_W1,IF((11-$I190+1)=2,RAMP_W2,IF((11-$I190+1)=3,RAMP_W3,RAMP_W4PLUS)))))*(INDEX(ACTIVE_MULT_TABLE,3,1))*(1+SUMPRODUCT(SIGN(((ACT_DOOR_SCOPE="ALL")+(ACT_DOOR_SCOPE="TIER_"&amp;$F190)+(ACT_DOOR_SCOPE=$B190)))*SIGN(((ACT_SKU_SCOPE="ALL")+(ACT_SKU_SCOPE=$G190)))*(ACT_START&lt;=11)*(ACT_END&gt;=11)*IFERROR(ACT_UPLIFT-1,0)))*(1+SUMPRODUCT(SIGN(((ACT_DOOR_SCOPE="ALL")+(ACT_DOOR_SCOPE="TIER_"&amp;$F190)+(ACT_DOOR_SCOPE=$B190)))*SIGN(((ACT_SKU_SCOPE="ALL")+(ACT_SKU_SCOPE=$G190)))*(11&gt;ACT_END)*(ACT_END&gt;0)*IFERROR(ACT_POSTLIFT,0))),0)))</f>
        <v/>
      </c>
      <c r="U190" s="10">
        <f>IF(OR($H190&lt;&gt;"Y",12&lt;$I190),0,IF(SUMPRODUCT(((BULK_ENABLED="Y")*((BULK_TIER="ALL")+(BULK_TIER=$F190))*((BULK_SKU="ALL")+(BULK_SKU=$G190))*(BULK_START&lt;=12)*(BULK_END&gt;=12)))&gt;0,IFERROR(SUMPRODUCT(((BULK_ENABLED="Y")*((BULK_TIER="ALL")+(BULK_TIER=$F190))*((BULK_SKU="ALL")+(BULK_SKU=$G190))*(BULK_START&lt;=12)*(BULK_END&gt;=12))*IFERROR(BULK_VALUE,0))/MAX(1,SUMPRODUCT(((BULK_ENABLED="Y")*((BULK_TIER="ALL")+(BULK_TIER=$F190))*((BULK_SKU="ALL")+(BULK_SKU=$G190))*(BULK_START&lt;=12)*(BULK_END&gt;=12)))),0),ROUND((INDEX(VELOCITY_TABLE,MATCH($F190,TIER_LIST,0),3))*(IF((12-$I190+1)&lt;=0,0,IF((12-$I190+1)=1,RAMP_W1,IF((12-$I190+1)=2,RAMP_W2,IF((12-$I190+1)=3,RAMP_W3,RAMP_W4PLUS)))))*(INDEX(ACTIVE_MULT_TABLE,3,1))*(1+SUMPRODUCT(SIGN(((ACT_DOOR_SCOPE="ALL")+(ACT_DOOR_SCOPE="TIER_"&amp;$F190)+(ACT_DOOR_SCOPE=$B190)))*SIGN(((ACT_SKU_SCOPE="ALL")+(ACT_SKU_SCOPE=$G190)))*(ACT_START&lt;=12)*(ACT_END&gt;=12)*IFERROR(ACT_UPLIFT-1,0)))*(1+SUMPRODUCT(SIGN(((ACT_DOOR_SCOPE="ALL")+(ACT_DOOR_SCOPE="TIER_"&amp;$F190)+(ACT_DOOR_SCOPE=$B190)))*SIGN(((ACT_SKU_SCOPE="ALL")+(ACT_SKU_SCOPE=$G190)))*(12&gt;ACT_END)*(ACT_END&gt;0)*IFERROR(ACT_POSTLIFT,0))),0)))</f>
        <v/>
      </c>
      <c r="V190" s="10">
        <f>IF(OR($H190&lt;&gt;"Y",13&lt;$I190),0,IF(SUMPRODUCT(((BULK_ENABLED="Y")*((BULK_TIER="ALL")+(BULK_TIER=$F190))*((BULK_SKU="ALL")+(BULK_SKU=$G190))*(BULK_START&lt;=13)*(BULK_END&gt;=13)))&gt;0,IFERROR(SUMPRODUCT(((BULK_ENABLED="Y")*((BULK_TIER="ALL")+(BULK_TIER=$F190))*((BULK_SKU="ALL")+(BULK_SKU=$G190))*(BULK_START&lt;=13)*(BULK_END&gt;=13))*IFERROR(BULK_VALUE,0))/MAX(1,SUMPRODUCT(((BULK_ENABLED="Y")*((BULK_TIER="ALL")+(BULK_TIER=$F190))*((BULK_SKU="ALL")+(BULK_SKU=$G190))*(BULK_START&lt;=13)*(BULK_END&gt;=13)))),0),ROUND((INDEX(VELOCITY_TABLE,MATCH($F190,TIER_LIST,0),3))*(IF((13-$I190+1)&lt;=0,0,IF((13-$I190+1)=1,RAMP_W1,IF((13-$I190+1)=2,RAMP_W2,IF((13-$I190+1)=3,RAMP_W3,RAMP_W4PLUS)))))*(INDEX(ACTIVE_MULT_TABLE,3,1))*(1+SUMPRODUCT(SIGN(((ACT_DOOR_SCOPE="ALL")+(ACT_DOOR_SCOPE="TIER_"&amp;$F190)+(ACT_DOOR_SCOPE=$B190)))*SIGN(((ACT_SKU_SCOPE="ALL")+(ACT_SKU_SCOPE=$G190)))*(ACT_START&lt;=13)*(ACT_END&gt;=13)*IFERROR(ACT_UPLIFT-1,0)))*(1+SUMPRODUCT(SIGN(((ACT_DOOR_SCOPE="ALL")+(ACT_DOOR_SCOPE="TIER_"&amp;$F190)+(ACT_DOOR_SCOPE=$B190)))*SIGN(((ACT_SKU_SCOPE="ALL")+(ACT_SKU_SCOPE=$G190)))*(13&gt;ACT_END)*(ACT_END&gt;0)*IFERROR(ACT_POSTLIFT,0))),0)))</f>
        <v/>
      </c>
    </row>
    <row r="191">
      <c r="A191" t="inlineStr">
        <is>
          <t>R0187</t>
        </is>
      </c>
      <c r="B191">
        <f>Doors!$A$67</f>
        <v/>
      </c>
      <c r="C191">
        <f>Doors!$C$67</f>
        <v/>
      </c>
      <c r="D191">
        <f>Doors!$B$67</f>
        <v/>
      </c>
      <c r="E191">
        <f>Doors!$E$67</f>
        <v/>
      </c>
      <c r="F191">
        <f>Doors!$F$67</f>
        <v/>
      </c>
      <c r="G191" t="inlineStr">
        <is>
          <t>Lime Lemon</t>
        </is>
      </c>
      <c r="H191">
        <f>Doors!$G$67</f>
        <v/>
      </c>
      <c r="I191">
        <f>Doors!$J$67</f>
        <v/>
      </c>
      <c r="J191" s="10">
        <f>IF(OR($H191&lt;&gt;"Y",1&lt;$I191),0,IF(SUMPRODUCT(((BULK_ENABLED="Y")*((BULK_TIER="ALL")+(BULK_TIER=$F191))*((BULK_SKU="ALL")+(BULK_SKU=$G191))*(BULK_START&lt;=1)*(BULK_END&gt;=1)))&gt;0,IFERROR(SUMPRODUCT(((BULK_ENABLED="Y")*((BULK_TIER="ALL")+(BULK_TIER=$F191))*((BULK_SKU="ALL")+(BULK_SKU=$G191))*(BULK_START&lt;=1)*(BULK_END&gt;=1))*IFERROR(BULK_VALUE,0))/MAX(1,SUMPRODUCT(((BULK_ENABLED="Y")*((BULK_TIER="ALL")+(BULK_TIER=$F191))*((BULK_SKU="ALL")+(BULK_SKU=$G191))*(BULK_START&lt;=1)*(BULK_END&gt;=1)))),0),ROUND((INDEX(VELOCITY_TABLE,MATCH($F191,TIER_LIST,0),1))*(IF((1-$I191+1)&lt;=0,0,IF((1-$I191+1)=1,RAMP_W1,IF((1-$I191+1)=2,RAMP_W2,IF((1-$I191+1)=3,RAMP_W3,RAMP_W4PLUS)))))*(INDEX(ACTIVE_MULT_TABLE,1,1))*(1+SUMPRODUCT(SIGN(((ACT_DOOR_SCOPE="ALL")+(ACT_DOOR_SCOPE="TIER_"&amp;$F191)+(ACT_DOOR_SCOPE=$B191)))*SIGN(((ACT_SKU_SCOPE="ALL")+(ACT_SKU_SCOPE=$G191)))*(ACT_START&lt;=1)*(ACT_END&gt;=1)*IFERROR(ACT_UPLIFT-1,0)))*(1+SUMPRODUCT(SIGN(((ACT_DOOR_SCOPE="ALL")+(ACT_DOOR_SCOPE="TIER_"&amp;$F191)+(ACT_DOOR_SCOPE=$B191)))*SIGN(((ACT_SKU_SCOPE="ALL")+(ACT_SKU_SCOPE=$G191)))*(1&gt;ACT_END)*(ACT_END&gt;0)*IFERROR(ACT_POSTLIFT,0))),0)))</f>
        <v/>
      </c>
      <c r="K191" s="10">
        <f>IF(OR($H191&lt;&gt;"Y",2&lt;$I191),0,IF(SUMPRODUCT(((BULK_ENABLED="Y")*((BULK_TIER="ALL")+(BULK_TIER=$F191))*((BULK_SKU="ALL")+(BULK_SKU=$G191))*(BULK_START&lt;=2)*(BULK_END&gt;=2)))&gt;0,IFERROR(SUMPRODUCT(((BULK_ENABLED="Y")*((BULK_TIER="ALL")+(BULK_TIER=$F191))*((BULK_SKU="ALL")+(BULK_SKU=$G191))*(BULK_START&lt;=2)*(BULK_END&gt;=2))*IFERROR(BULK_VALUE,0))/MAX(1,SUMPRODUCT(((BULK_ENABLED="Y")*((BULK_TIER="ALL")+(BULK_TIER=$F191))*((BULK_SKU="ALL")+(BULK_SKU=$G191))*(BULK_START&lt;=2)*(BULK_END&gt;=2)))),0),ROUND((INDEX(VELOCITY_TABLE,MATCH($F191,TIER_LIST,0),1))*(IF((2-$I191+1)&lt;=0,0,IF((2-$I191+1)=1,RAMP_W1,IF((2-$I191+1)=2,RAMP_W2,IF((2-$I191+1)=3,RAMP_W3,RAMP_W4PLUS)))))*(INDEX(ACTIVE_MULT_TABLE,1,1))*(1+SUMPRODUCT(SIGN(((ACT_DOOR_SCOPE="ALL")+(ACT_DOOR_SCOPE="TIER_"&amp;$F191)+(ACT_DOOR_SCOPE=$B191)))*SIGN(((ACT_SKU_SCOPE="ALL")+(ACT_SKU_SCOPE=$G191)))*(ACT_START&lt;=2)*(ACT_END&gt;=2)*IFERROR(ACT_UPLIFT-1,0)))*(1+SUMPRODUCT(SIGN(((ACT_DOOR_SCOPE="ALL")+(ACT_DOOR_SCOPE="TIER_"&amp;$F191)+(ACT_DOOR_SCOPE=$B191)))*SIGN(((ACT_SKU_SCOPE="ALL")+(ACT_SKU_SCOPE=$G191)))*(2&gt;ACT_END)*(ACT_END&gt;0)*IFERROR(ACT_POSTLIFT,0))),0)))</f>
        <v/>
      </c>
      <c r="L191" s="10">
        <f>IF(OR($H191&lt;&gt;"Y",3&lt;$I191),0,IF(SUMPRODUCT(((BULK_ENABLED="Y")*((BULK_TIER="ALL")+(BULK_TIER=$F191))*((BULK_SKU="ALL")+(BULK_SKU=$G191))*(BULK_START&lt;=3)*(BULK_END&gt;=3)))&gt;0,IFERROR(SUMPRODUCT(((BULK_ENABLED="Y")*((BULK_TIER="ALL")+(BULK_TIER=$F191))*((BULK_SKU="ALL")+(BULK_SKU=$G191))*(BULK_START&lt;=3)*(BULK_END&gt;=3))*IFERROR(BULK_VALUE,0))/MAX(1,SUMPRODUCT(((BULK_ENABLED="Y")*((BULK_TIER="ALL")+(BULK_TIER=$F191))*((BULK_SKU="ALL")+(BULK_SKU=$G191))*(BULK_START&lt;=3)*(BULK_END&gt;=3)))),0),ROUND((INDEX(VELOCITY_TABLE,MATCH($F191,TIER_LIST,0),1))*(IF((3-$I191+1)&lt;=0,0,IF((3-$I191+1)=1,RAMP_W1,IF((3-$I191+1)=2,RAMP_W2,IF((3-$I191+1)=3,RAMP_W3,RAMP_W4PLUS)))))*(INDEX(ACTIVE_MULT_TABLE,1,1))*(1+SUMPRODUCT(SIGN(((ACT_DOOR_SCOPE="ALL")+(ACT_DOOR_SCOPE="TIER_"&amp;$F191)+(ACT_DOOR_SCOPE=$B191)))*SIGN(((ACT_SKU_SCOPE="ALL")+(ACT_SKU_SCOPE=$G191)))*(ACT_START&lt;=3)*(ACT_END&gt;=3)*IFERROR(ACT_UPLIFT-1,0)))*(1+SUMPRODUCT(SIGN(((ACT_DOOR_SCOPE="ALL")+(ACT_DOOR_SCOPE="TIER_"&amp;$F191)+(ACT_DOOR_SCOPE=$B191)))*SIGN(((ACT_SKU_SCOPE="ALL")+(ACT_SKU_SCOPE=$G191)))*(3&gt;ACT_END)*(ACT_END&gt;0)*IFERROR(ACT_POSTLIFT,0))),0)))</f>
        <v/>
      </c>
      <c r="M191" s="10">
        <f>IF(OR($H191&lt;&gt;"Y",4&lt;$I191),0,IF(SUMPRODUCT(((BULK_ENABLED="Y")*((BULK_TIER="ALL")+(BULK_TIER=$F191))*((BULK_SKU="ALL")+(BULK_SKU=$G191))*(BULK_START&lt;=4)*(BULK_END&gt;=4)))&gt;0,IFERROR(SUMPRODUCT(((BULK_ENABLED="Y")*((BULK_TIER="ALL")+(BULK_TIER=$F191))*((BULK_SKU="ALL")+(BULK_SKU=$G191))*(BULK_START&lt;=4)*(BULK_END&gt;=4))*IFERROR(BULK_VALUE,0))/MAX(1,SUMPRODUCT(((BULK_ENABLED="Y")*((BULK_TIER="ALL")+(BULK_TIER=$F191))*((BULK_SKU="ALL")+(BULK_SKU=$G191))*(BULK_START&lt;=4)*(BULK_END&gt;=4)))),0),ROUND((INDEX(VELOCITY_TABLE,MATCH($F191,TIER_LIST,0),1))*(IF((4-$I191+1)&lt;=0,0,IF((4-$I191+1)=1,RAMP_W1,IF((4-$I191+1)=2,RAMP_W2,IF((4-$I191+1)=3,RAMP_W3,RAMP_W4PLUS)))))*(INDEX(ACTIVE_MULT_TABLE,1,1))*(1+SUMPRODUCT(SIGN(((ACT_DOOR_SCOPE="ALL")+(ACT_DOOR_SCOPE="TIER_"&amp;$F191)+(ACT_DOOR_SCOPE=$B191)))*SIGN(((ACT_SKU_SCOPE="ALL")+(ACT_SKU_SCOPE=$G191)))*(ACT_START&lt;=4)*(ACT_END&gt;=4)*IFERROR(ACT_UPLIFT-1,0)))*(1+SUMPRODUCT(SIGN(((ACT_DOOR_SCOPE="ALL")+(ACT_DOOR_SCOPE="TIER_"&amp;$F191)+(ACT_DOOR_SCOPE=$B191)))*SIGN(((ACT_SKU_SCOPE="ALL")+(ACT_SKU_SCOPE=$G191)))*(4&gt;ACT_END)*(ACT_END&gt;0)*IFERROR(ACT_POSTLIFT,0))),0)))</f>
        <v/>
      </c>
      <c r="N191" s="10">
        <f>IF(OR($H191&lt;&gt;"Y",5&lt;$I191),0,IF(SUMPRODUCT(((BULK_ENABLED="Y")*((BULK_TIER="ALL")+(BULK_TIER=$F191))*((BULK_SKU="ALL")+(BULK_SKU=$G191))*(BULK_START&lt;=5)*(BULK_END&gt;=5)))&gt;0,IFERROR(SUMPRODUCT(((BULK_ENABLED="Y")*((BULK_TIER="ALL")+(BULK_TIER=$F191))*((BULK_SKU="ALL")+(BULK_SKU=$G191))*(BULK_START&lt;=5)*(BULK_END&gt;=5))*IFERROR(BULK_VALUE,0))/MAX(1,SUMPRODUCT(((BULK_ENABLED="Y")*((BULK_TIER="ALL")+(BULK_TIER=$F191))*((BULK_SKU="ALL")+(BULK_SKU=$G191))*(BULK_START&lt;=5)*(BULK_END&gt;=5)))),0),ROUND((INDEX(VELOCITY_TABLE,MATCH($F191,TIER_LIST,0),1))*(IF((5-$I191+1)&lt;=0,0,IF((5-$I191+1)=1,RAMP_W1,IF((5-$I191+1)=2,RAMP_W2,IF((5-$I191+1)=3,RAMP_W3,RAMP_W4PLUS)))))*(INDEX(ACTIVE_MULT_TABLE,1,1))*(1+SUMPRODUCT(SIGN(((ACT_DOOR_SCOPE="ALL")+(ACT_DOOR_SCOPE="TIER_"&amp;$F191)+(ACT_DOOR_SCOPE=$B191)))*SIGN(((ACT_SKU_SCOPE="ALL")+(ACT_SKU_SCOPE=$G191)))*(ACT_START&lt;=5)*(ACT_END&gt;=5)*IFERROR(ACT_UPLIFT-1,0)))*(1+SUMPRODUCT(SIGN(((ACT_DOOR_SCOPE="ALL")+(ACT_DOOR_SCOPE="TIER_"&amp;$F191)+(ACT_DOOR_SCOPE=$B191)))*SIGN(((ACT_SKU_SCOPE="ALL")+(ACT_SKU_SCOPE=$G191)))*(5&gt;ACT_END)*(ACT_END&gt;0)*IFERROR(ACT_POSTLIFT,0))),0)))</f>
        <v/>
      </c>
      <c r="O191" s="10">
        <f>IF(OR($H191&lt;&gt;"Y",6&lt;$I191),0,IF(SUMPRODUCT(((BULK_ENABLED="Y")*((BULK_TIER="ALL")+(BULK_TIER=$F191))*((BULK_SKU="ALL")+(BULK_SKU=$G191))*(BULK_START&lt;=6)*(BULK_END&gt;=6)))&gt;0,IFERROR(SUMPRODUCT(((BULK_ENABLED="Y")*((BULK_TIER="ALL")+(BULK_TIER=$F191))*((BULK_SKU="ALL")+(BULK_SKU=$G191))*(BULK_START&lt;=6)*(BULK_END&gt;=6))*IFERROR(BULK_VALUE,0))/MAX(1,SUMPRODUCT(((BULK_ENABLED="Y")*((BULK_TIER="ALL")+(BULK_TIER=$F191))*((BULK_SKU="ALL")+(BULK_SKU=$G191))*(BULK_START&lt;=6)*(BULK_END&gt;=6)))),0),ROUND((INDEX(VELOCITY_TABLE,MATCH($F191,TIER_LIST,0),1))*(IF((6-$I191+1)&lt;=0,0,IF((6-$I191+1)=1,RAMP_W1,IF((6-$I191+1)=2,RAMP_W2,IF((6-$I191+1)=3,RAMP_W3,RAMP_W4PLUS)))))*(INDEX(ACTIVE_MULT_TABLE,1,1))*(1+SUMPRODUCT(SIGN(((ACT_DOOR_SCOPE="ALL")+(ACT_DOOR_SCOPE="TIER_"&amp;$F191)+(ACT_DOOR_SCOPE=$B191)))*SIGN(((ACT_SKU_SCOPE="ALL")+(ACT_SKU_SCOPE=$G191)))*(ACT_START&lt;=6)*(ACT_END&gt;=6)*IFERROR(ACT_UPLIFT-1,0)))*(1+SUMPRODUCT(SIGN(((ACT_DOOR_SCOPE="ALL")+(ACT_DOOR_SCOPE="TIER_"&amp;$F191)+(ACT_DOOR_SCOPE=$B191)))*SIGN(((ACT_SKU_SCOPE="ALL")+(ACT_SKU_SCOPE=$G191)))*(6&gt;ACT_END)*(ACT_END&gt;0)*IFERROR(ACT_POSTLIFT,0))),0)))</f>
        <v/>
      </c>
      <c r="P191" s="10">
        <f>IF(OR($H191&lt;&gt;"Y",7&lt;$I191),0,IF(SUMPRODUCT(((BULK_ENABLED="Y")*((BULK_TIER="ALL")+(BULK_TIER=$F191))*((BULK_SKU="ALL")+(BULK_SKU=$G191))*(BULK_START&lt;=7)*(BULK_END&gt;=7)))&gt;0,IFERROR(SUMPRODUCT(((BULK_ENABLED="Y")*((BULK_TIER="ALL")+(BULK_TIER=$F191))*((BULK_SKU="ALL")+(BULK_SKU=$G191))*(BULK_START&lt;=7)*(BULK_END&gt;=7))*IFERROR(BULK_VALUE,0))/MAX(1,SUMPRODUCT(((BULK_ENABLED="Y")*((BULK_TIER="ALL")+(BULK_TIER=$F191))*((BULK_SKU="ALL")+(BULK_SKU=$G191))*(BULK_START&lt;=7)*(BULK_END&gt;=7)))),0),ROUND((INDEX(VELOCITY_TABLE,MATCH($F191,TIER_LIST,0),1))*(IF((7-$I191+1)&lt;=0,0,IF((7-$I191+1)=1,RAMP_W1,IF((7-$I191+1)=2,RAMP_W2,IF((7-$I191+1)=3,RAMP_W3,RAMP_W4PLUS)))))*(INDEX(ACTIVE_MULT_TABLE,1,1))*(1+SUMPRODUCT(SIGN(((ACT_DOOR_SCOPE="ALL")+(ACT_DOOR_SCOPE="TIER_"&amp;$F191)+(ACT_DOOR_SCOPE=$B191)))*SIGN(((ACT_SKU_SCOPE="ALL")+(ACT_SKU_SCOPE=$G191)))*(ACT_START&lt;=7)*(ACT_END&gt;=7)*IFERROR(ACT_UPLIFT-1,0)))*(1+SUMPRODUCT(SIGN(((ACT_DOOR_SCOPE="ALL")+(ACT_DOOR_SCOPE="TIER_"&amp;$F191)+(ACT_DOOR_SCOPE=$B191)))*SIGN(((ACT_SKU_SCOPE="ALL")+(ACT_SKU_SCOPE=$G191)))*(7&gt;ACT_END)*(ACT_END&gt;0)*IFERROR(ACT_POSTLIFT,0))),0)))</f>
        <v/>
      </c>
      <c r="Q191" s="10">
        <f>IF(OR($H191&lt;&gt;"Y",8&lt;$I191),0,IF(SUMPRODUCT(((BULK_ENABLED="Y")*((BULK_TIER="ALL")+(BULK_TIER=$F191))*((BULK_SKU="ALL")+(BULK_SKU=$G191))*(BULK_START&lt;=8)*(BULK_END&gt;=8)))&gt;0,IFERROR(SUMPRODUCT(((BULK_ENABLED="Y")*((BULK_TIER="ALL")+(BULK_TIER=$F191))*((BULK_SKU="ALL")+(BULK_SKU=$G191))*(BULK_START&lt;=8)*(BULK_END&gt;=8))*IFERROR(BULK_VALUE,0))/MAX(1,SUMPRODUCT(((BULK_ENABLED="Y")*((BULK_TIER="ALL")+(BULK_TIER=$F191))*((BULK_SKU="ALL")+(BULK_SKU=$G191))*(BULK_START&lt;=8)*(BULK_END&gt;=8)))),0),ROUND((INDEX(VELOCITY_TABLE,MATCH($F191,TIER_LIST,0),1))*(IF((8-$I191+1)&lt;=0,0,IF((8-$I191+1)=1,RAMP_W1,IF((8-$I191+1)=2,RAMP_W2,IF((8-$I191+1)=3,RAMP_W3,RAMP_W4PLUS)))))*(INDEX(ACTIVE_MULT_TABLE,1,1))*(1+SUMPRODUCT(SIGN(((ACT_DOOR_SCOPE="ALL")+(ACT_DOOR_SCOPE="TIER_"&amp;$F191)+(ACT_DOOR_SCOPE=$B191)))*SIGN(((ACT_SKU_SCOPE="ALL")+(ACT_SKU_SCOPE=$G191)))*(ACT_START&lt;=8)*(ACT_END&gt;=8)*IFERROR(ACT_UPLIFT-1,0)))*(1+SUMPRODUCT(SIGN(((ACT_DOOR_SCOPE="ALL")+(ACT_DOOR_SCOPE="TIER_"&amp;$F191)+(ACT_DOOR_SCOPE=$B191)))*SIGN(((ACT_SKU_SCOPE="ALL")+(ACT_SKU_SCOPE=$G191)))*(8&gt;ACT_END)*(ACT_END&gt;0)*IFERROR(ACT_POSTLIFT,0))),0)))</f>
        <v/>
      </c>
      <c r="R191" s="10">
        <f>IF(OR($H191&lt;&gt;"Y",9&lt;$I191),0,IF(SUMPRODUCT(((BULK_ENABLED="Y")*((BULK_TIER="ALL")+(BULK_TIER=$F191))*((BULK_SKU="ALL")+(BULK_SKU=$G191))*(BULK_START&lt;=9)*(BULK_END&gt;=9)))&gt;0,IFERROR(SUMPRODUCT(((BULK_ENABLED="Y")*((BULK_TIER="ALL")+(BULK_TIER=$F191))*((BULK_SKU="ALL")+(BULK_SKU=$G191))*(BULK_START&lt;=9)*(BULK_END&gt;=9))*IFERROR(BULK_VALUE,0))/MAX(1,SUMPRODUCT(((BULK_ENABLED="Y")*((BULK_TIER="ALL")+(BULK_TIER=$F191))*((BULK_SKU="ALL")+(BULK_SKU=$G191))*(BULK_START&lt;=9)*(BULK_END&gt;=9)))),0),ROUND((INDEX(VELOCITY_TABLE,MATCH($F191,TIER_LIST,0),1))*(IF((9-$I191+1)&lt;=0,0,IF((9-$I191+1)=1,RAMP_W1,IF((9-$I191+1)=2,RAMP_W2,IF((9-$I191+1)=3,RAMP_W3,RAMP_W4PLUS)))))*(INDEX(ACTIVE_MULT_TABLE,1,1))*(1+SUMPRODUCT(SIGN(((ACT_DOOR_SCOPE="ALL")+(ACT_DOOR_SCOPE="TIER_"&amp;$F191)+(ACT_DOOR_SCOPE=$B191)))*SIGN(((ACT_SKU_SCOPE="ALL")+(ACT_SKU_SCOPE=$G191)))*(ACT_START&lt;=9)*(ACT_END&gt;=9)*IFERROR(ACT_UPLIFT-1,0)))*(1+SUMPRODUCT(SIGN(((ACT_DOOR_SCOPE="ALL")+(ACT_DOOR_SCOPE="TIER_"&amp;$F191)+(ACT_DOOR_SCOPE=$B191)))*SIGN(((ACT_SKU_SCOPE="ALL")+(ACT_SKU_SCOPE=$G191)))*(9&gt;ACT_END)*(ACT_END&gt;0)*IFERROR(ACT_POSTLIFT,0))),0)))</f>
        <v/>
      </c>
      <c r="S191" s="10">
        <f>IF(OR($H191&lt;&gt;"Y",10&lt;$I191),0,IF(SUMPRODUCT(((BULK_ENABLED="Y")*((BULK_TIER="ALL")+(BULK_TIER=$F191))*((BULK_SKU="ALL")+(BULK_SKU=$G191))*(BULK_START&lt;=10)*(BULK_END&gt;=10)))&gt;0,IFERROR(SUMPRODUCT(((BULK_ENABLED="Y")*((BULK_TIER="ALL")+(BULK_TIER=$F191))*((BULK_SKU="ALL")+(BULK_SKU=$G191))*(BULK_START&lt;=10)*(BULK_END&gt;=10))*IFERROR(BULK_VALUE,0))/MAX(1,SUMPRODUCT(((BULK_ENABLED="Y")*((BULK_TIER="ALL")+(BULK_TIER=$F191))*((BULK_SKU="ALL")+(BULK_SKU=$G191))*(BULK_START&lt;=10)*(BULK_END&gt;=10)))),0),ROUND((INDEX(VELOCITY_TABLE,MATCH($F191,TIER_LIST,0),1))*(IF((10-$I191+1)&lt;=0,0,IF((10-$I191+1)=1,RAMP_W1,IF((10-$I191+1)=2,RAMP_W2,IF((10-$I191+1)=3,RAMP_W3,RAMP_W4PLUS)))))*(INDEX(ACTIVE_MULT_TABLE,1,1))*(1+SUMPRODUCT(SIGN(((ACT_DOOR_SCOPE="ALL")+(ACT_DOOR_SCOPE="TIER_"&amp;$F191)+(ACT_DOOR_SCOPE=$B191)))*SIGN(((ACT_SKU_SCOPE="ALL")+(ACT_SKU_SCOPE=$G191)))*(ACT_START&lt;=10)*(ACT_END&gt;=10)*IFERROR(ACT_UPLIFT-1,0)))*(1+SUMPRODUCT(SIGN(((ACT_DOOR_SCOPE="ALL")+(ACT_DOOR_SCOPE="TIER_"&amp;$F191)+(ACT_DOOR_SCOPE=$B191)))*SIGN(((ACT_SKU_SCOPE="ALL")+(ACT_SKU_SCOPE=$G191)))*(10&gt;ACT_END)*(ACT_END&gt;0)*IFERROR(ACT_POSTLIFT,0))),0)))</f>
        <v/>
      </c>
      <c r="T191" s="10">
        <f>IF(OR($H191&lt;&gt;"Y",11&lt;$I191),0,IF(SUMPRODUCT(((BULK_ENABLED="Y")*((BULK_TIER="ALL")+(BULK_TIER=$F191))*((BULK_SKU="ALL")+(BULK_SKU=$G191))*(BULK_START&lt;=11)*(BULK_END&gt;=11)))&gt;0,IFERROR(SUMPRODUCT(((BULK_ENABLED="Y")*((BULK_TIER="ALL")+(BULK_TIER=$F191))*((BULK_SKU="ALL")+(BULK_SKU=$G191))*(BULK_START&lt;=11)*(BULK_END&gt;=11))*IFERROR(BULK_VALUE,0))/MAX(1,SUMPRODUCT(((BULK_ENABLED="Y")*((BULK_TIER="ALL")+(BULK_TIER=$F191))*((BULK_SKU="ALL")+(BULK_SKU=$G191))*(BULK_START&lt;=11)*(BULK_END&gt;=11)))),0),ROUND((INDEX(VELOCITY_TABLE,MATCH($F191,TIER_LIST,0),1))*(IF((11-$I191+1)&lt;=0,0,IF((11-$I191+1)=1,RAMP_W1,IF((11-$I191+1)=2,RAMP_W2,IF((11-$I191+1)=3,RAMP_W3,RAMP_W4PLUS)))))*(INDEX(ACTIVE_MULT_TABLE,1,1))*(1+SUMPRODUCT(SIGN(((ACT_DOOR_SCOPE="ALL")+(ACT_DOOR_SCOPE="TIER_"&amp;$F191)+(ACT_DOOR_SCOPE=$B191)))*SIGN(((ACT_SKU_SCOPE="ALL")+(ACT_SKU_SCOPE=$G191)))*(ACT_START&lt;=11)*(ACT_END&gt;=11)*IFERROR(ACT_UPLIFT-1,0)))*(1+SUMPRODUCT(SIGN(((ACT_DOOR_SCOPE="ALL")+(ACT_DOOR_SCOPE="TIER_"&amp;$F191)+(ACT_DOOR_SCOPE=$B191)))*SIGN(((ACT_SKU_SCOPE="ALL")+(ACT_SKU_SCOPE=$G191)))*(11&gt;ACT_END)*(ACT_END&gt;0)*IFERROR(ACT_POSTLIFT,0))),0)))</f>
        <v/>
      </c>
      <c r="U191" s="10">
        <f>IF(OR($H191&lt;&gt;"Y",12&lt;$I191),0,IF(SUMPRODUCT(((BULK_ENABLED="Y")*((BULK_TIER="ALL")+(BULK_TIER=$F191))*((BULK_SKU="ALL")+(BULK_SKU=$G191))*(BULK_START&lt;=12)*(BULK_END&gt;=12)))&gt;0,IFERROR(SUMPRODUCT(((BULK_ENABLED="Y")*((BULK_TIER="ALL")+(BULK_TIER=$F191))*((BULK_SKU="ALL")+(BULK_SKU=$G191))*(BULK_START&lt;=12)*(BULK_END&gt;=12))*IFERROR(BULK_VALUE,0))/MAX(1,SUMPRODUCT(((BULK_ENABLED="Y")*((BULK_TIER="ALL")+(BULK_TIER=$F191))*((BULK_SKU="ALL")+(BULK_SKU=$G191))*(BULK_START&lt;=12)*(BULK_END&gt;=12)))),0),ROUND((INDEX(VELOCITY_TABLE,MATCH($F191,TIER_LIST,0),1))*(IF((12-$I191+1)&lt;=0,0,IF((12-$I191+1)=1,RAMP_W1,IF((12-$I191+1)=2,RAMP_W2,IF((12-$I191+1)=3,RAMP_W3,RAMP_W4PLUS)))))*(INDEX(ACTIVE_MULT_TABLE,1,1))*(1+SUMPRODUCT(SIGN(((ACT_DOOR_SCOPE="ALL")+(ACT_DOOR_SCOPE="TIER_"&amp;$F191)+(ACT_DOOR_SCOPE=$B191)))*SIGN(((ACT_SKU_SCOPE="ALL")+(ACT_SKU_SCOPE=$G191)))*(ACT_START&lt;=12)*(ACT_END&gt;=12)*IFERROR(ACT_UPLIFT-1,0)))*(1+SUMPRODUCT(SIGN(((ACT_DOOR_SCOPE="ALL")+(ACT_DOOR_SCOPE="TIER_"&amp;$F191)+(ACT_DOOR_SCOPE=$B191)))*SIGN(((ACT_SKU_SCOPE="ALL")+(ACT_SKU_SCOPE=$G191)))*(12&gt;ACT_END)*(ACT_END&gt;0)*IFERROR(ACT_POSTLIFT,0))),0)))</f>
        <v/>
      </c>
      <c r="V191" s="10">
        <f>IF(OR($H191&lt;&gt;"Y",13&lt;$I191),0,IF(SUMPRODUCT(((BULK_ENABLED="Y")*((BULK_TIER="ALL")+(BULK_TIER=$F191))*((BULK_SKU="ALL")+(BULK_SKU=$G191))*(BULK_START&lt;=13)*(BULK_END&gt;=13)))&gt;0,IFERROR(SUMPRODUCT(((BULK_ENABLED="Y")*((BULK_TIER="ALL")+(BULK_TIER=$F191))*((BULK_SKU="ALL")+(BULK_SKU=$G191))*(BULK_START&lt;=13)*(BULK_END&gt;=13))*IFERROR(BULK_VALUE,0))/MAX(1,SUMPRODUCT(((BULK_ENABLED="Y")*((BULK_TIER="ALL")+(BULK_TIER=$F191))*((BULK_SKU="ALL")+(BULK_SKU=$G191))*(BULK_START&lt;=13)*(BULK_END&gt;=13)))),0),ROUND((INDEX(VELOCITY_TABLE,MATCH($F191,TIER_LIST,0),1))*(IF((13-$I191+1)&lt;=0,0,IF((13-$I191+1)=1,RAMP_W1,IF((13-$I191+1)=2,RAMP_W2,IF((13-$I191+1)=3,RAMP_W3,RAMP_W4PLUS)))))*(INDEX(ACTIVE_MULT_TABLE,1,1))*(1+SUMPRODUCT(SIGN(((ACT_DOOR_SCOPE="ALL")+(ACT_DOOR_SCOPE="TIER_"&amp;$F191)+(ACT_DOOR_SCOPE=$B191)))*SIGN(((ACT_SKU_SCOPE="ALL")+(ACT_SKU_SCOPE=$G191)))*(ACT_START&lt;=13)*(ACT_END&gt;=13)*IFERROR(ACT_UPLIFT-1,0)))*(1+SUMPRODUCT(SIGN(((ACT_DOOR_SCOPE="ALL")+(ACT_DOOR_SCOPE="TIER_"&amp;$F191)+(ACT_DOOR_SCOPE=$B191)))*SIGN(((ACT_SKU_SCOPE="ALL")+(ACT_SKU_SCOPE=$G191)))*(13&gt;ACT_END)*(ACT_END&gt;0)*IFERROR(ACT_POSTLIFT,0))),0)))</f>
        <v/>
      </c>
    </row>
    <row r="192">
      <c r="A192" t="inlineStr">
        <is>
          <t>R0188</t>
        </is>
      </c>
      <c r="B192">
        <f>Doors!$A$67</f>
        <v/>
      </c>
      <c r="C192">
        <f>Doors!$C$67</f>
        <v/>
      </c>
      <c r="D192">
        <f>Doors!$B$67</f>
        <v/>
      </c>
      <c r="E192">
        <f>Doors!$E$67</f>
        <v/>
      </c>
      <c r="F192">
        <f>Doors!$F$67</f>
        <v/>
      </c>
      <c r="G192" t="inlineStr">
        <is>
          <t>Pineapple Passion Fruit</t>
        </is>
      </c>
      <c r="H192">
        <f>Doors!$H$67</f>
        <v/>
      </c>
      <c r="I192">
        <f>Doors!$J$67</f>
        <v/>
      </c>
      <c r="J192" s="10">
        <f>IF(OR($H192&lt;&gt;"Y",1&lt;$I192),0,IF(SUMPRODUCT(((BULK_ENABLED="Y")*((BULK_TIER="ALL")+(BULK_TIER=$F192))*((BULK_SKU="ALL")+(BULK_SKU=$G192))*(BULK_START&lt;=1)*(BULK_END&gt;=1)))&gt;0,IFERROR(SUMPRODUCT(((BULK_ENABLED="Y")*((BULK_TIER="ALL")+(BULK_TIER=$F192))*((BULK_SKU="ALL")+(BULK_SKU=$G192))*(BULK_START&lt;=1)*(BULK_END&gt;=1))*IFERROR(BULK_VALUE,0))/MAX(1,SUMPRODUCT(((BULK_ENABLED="Y")*((BULK_TIER="ALL")+(BULK_TIER=$F192))*((BULK_SKU="ALL")+(BULK_SKU=$G192))*(BULK_START&lt;=1)*(BULK_END&gt;=1)))),0),ROUND((INDEX(VELOCITY_TABLE,MATCH($F192,TIER_LIST,0),2))*(IF((1-$I192+1)&lt;=0,0,IF((1-$I192+1)=1,RAMP_W1,IF((1-$I192+1)=2,RAMP_W2,IF((1-$I192+1)=3,RAMP_W3,RAMP_W4PLUS)))))*(INDEX(ACTIVE_MULT_TABLE,2,1))*(1+SUMPRODUCT(SIGN(((ACT_DOOR_SCOPE="ALL")+(ACT_DOOR_SCOPE="TIER_"&amp;$F192)+(ACT_DOOR_SCOPE=$B192)))*SIGN(((ACT_SKU_SCOPE="ALL")+(ACT_SKU_SCOPE=$G192)))*(ACT_START&lt;=1)*(ACT_END&gt;=1)*IFERROR(ACT_UPLIFT-1,0)))*(1+SUMPRODUCT(SIGN(((ACT_DOOR_SCOPE="ALL")+(ACT_DOOR_SCOPE="TIER_"&amp;$F192)+(ACT_DOOR_SCOPE=$B192)))*SIGN(((ACT_SKU_SCOPE="ALL")+(ACT_SKU_SCOPE=$G192)))*(1&gt;ACT_END)*(ACT_END&gt;0)*IFERROR(ACT_POSTLIFT,0))),0)))</f>
        <v/>
      </c>
      <c r="K192" s="10">
        <f>IF(OR($H192&lt;&gt;"Y",2&lt;$I192),0,IF(SUMPRODUCT(((BULK_ENABLED="Y")*((BULK_TIER="ALL")+(BULK_TIER=$F192))*((BULK_SKU="ALL")+(BULK_SKU=$G192))*(BULK_START&lt;=2)*(BULK_END&gt;=2)))&gt;0,IFERROR(SUMPRODUCT(((BULK_ENABLED="Y")*((BULK_TIER="ALL")+(BULK_TIER=$F192))*((BULK_SKU="ALL")+(BULK_SKU=$G192))*(BULK_START&lt;=2)*(BULK_END&gt;=2))*IFERROR(BULK_VALUE,0))/MAX(1,SUMPRODUCT(((BULK_ENABLED="Y")*((BULK_TIER="ALL")+(BULK_TIER=$F192))*((BULK_SKU="ALL")+(BULK_SKU=$G192))*(BULK_START&lt;=2)*(BULK_END&gt;=2)))),0),ROUND((INDEX(VELOCITY_TABLE,MATCH($F192,TIER_LIST,0),2))*(IF((2-$I192+1)&lt;=0,0,IF((2-$I192+1)=1,RAMP_W1,IF((2-$I192+1)=2,RAMP_W2,IF((2-$I192+1)=3,RAMP_W3,RAMP_W4PLUS)))))*(INDEX(ACTIVE_MULT_TABLE,2,1))*(1+SUMPRODUCT(SIGN(((ACT_DOOR_SCOPE="ALL")+(ACT_DOOR_SCOPE="TIER_"&amp;$F192)+(ACT_DOOR_SCOPE=$B192)))*SIGN(((ACT_SKU_SCOPE="ALL")+(ACT_SKU_SCOPE=$G192)))*(ACT_START&lt;=2)*(ACT_END&gt;=2)*IFERROR(ACT_UPLIFT-1,0)))*(1+SUMPRODUCT(SIGN(((ACT_DOOR_SCOPE="ALL")+(ACT_DOOR_SCOPE="TIER_"&amp;$F192)+(ACT_DOOR_SCOPE=$B192)))*SIGN(((ACT_SKU_SCOPE="ALL")+(ACT_SKU_SCOPE=$G192)))*(2&gt;ACT_END)*(ACT_END&gt;0)*IFERROR(ACT_POSTLIFT,0))),0)))</f>
        <v/>
      </c>
      <c r="L192" s="10">
        <f>IF(OR($H192&lt;&gt;"Y",3&lt;$I192),0,IF(SUMPRODUCT(((BULK_ENABLED="Y")*((BULK_TIER="ALL")+(BULK_TIER=$F192))*((BULK_SKU="ALL")+(BULK_SKU=$G192))*(BULK_START&lt;=3)*(BULK_END&gt;=3)))&gt;0,IFERROR(SUMPRODUCT(((BULK_ENABLED="Y")*((BULK_TIER="ALL")+(BULK_TIER=$F192))*((BULK_SKU="ALL")+(BULK_SKU=$G192))*(BULK_START&lt;=3)*(BULK_END&gt;=3))*IFERROR(BULK_VALUE,0))/MAX(1,SUMPRODUCT(((BULK_ENABLED="Y")*((BULK_TIER="ALL")+(BULK_TIER=$F192))*((BULK_SKU="ALL")+(BULK_SKU=$G192))*(BULK_START&lt;=3)*(BULK_END&gt;=3)))),0),ROUND((INDEX(VELOCITY_TABLE,MATCH($F192,TIER_LIST,0),2))*(IF((3-$I192+1)&lt;=0,0,IF((3-$I192+1)=1,RAMP_W1,IF((3-$I192+1)=2,RAMP_W2,IF((3-$I192+1)=3,RAMP_W3,RAMP_W4PLUS)))))*(INDEX(ACTIVE_MULT_TABLE,2,1))*(1+SUMPRODUCT(SIGN(((ACT_DOOR_SCOPE="ALL")+(ACT_DOOR_SCOPE="TIER_"&amp;$F192)+(ACT_DOOR_SCOPE=$B192)))*SIGN(((ACT_SKU_SCOPE="ALL")+(ACT_SKU_SCOPE=$G192)))*(ACT_START&lt;=3)*(ACT_END&gt;=3)*IFERROR(ACT_UPLIFT-1,0)))*(1+SUMPRODUCT(SIGN(((ACT_DOOR_SCOPE="ALL")+(ACT_DOOR_SCOPE="TIER_"&amp;$F192)+(ACT_DOOR_SCOPE=$B192)))*SIGN(((ACT_SKU_SCOPE="ALL")+(ACT_SKU_SCOPE=$G192)))*(3&gt;ACT_END)*(ACT_END&gt;0)*IFERROR(ACT_POSTLIFT,0))),0)))</f>
        <v/>
      </c>
      <c r="M192" s="10">
        <f>IF(OR($H192&lt;&gt;"Y",4&lt;$I192),0,IF(SUMPRODUCT(((BULK_ENABLED="Y")*((BULK_TIER="ALL")+(BULK_TIER=$F192))*((BULK_SKU="ALL")+(BULK_SKU=$G192))*(BULK_START&lt;=4)*(BULK_END&gt;=4)))&gt;0,IFERROR(SUMPRODUCT(((BULK_ENABLED="Y")*((BULK_TIER="ALL")+(BULK_TIER=$F192))*((BULK_SKU="ALL")+(BULK_SKU=$G192))*(BULK_START&lt;=4)*(BULK_END&gt;=4))*IFERROR(BULK_VALUE,0))/MAX(1,SUMPRODUCT(((BULK_ENABLED="Y")*((BULK_TIER="ALL")+(BULK_TIER=$F192))*((BULK_SKU="ALL")+(BULK_SKU=$G192))*(BULK_START&lt;=4)*(BULK_END&gt;=4)))),0),ROUND((INDEX(VELOCITY_TABLE,MATCH($F192,TIER_LIST,0),2))*(IF((4-$I192+1)&lt;=0,0,IF((4-$I192+1)=1,RAMP_W1,IF((4-$I192+1)=2,RAMP_W2,IF((4-$I192+1)=3,RAMP_W3,RAMP_W4PLUS)))))*(INDEX(ACTIVE_MULT_TABLE,2,1))*(1+SUMPRODUCT(SIGN(((ACT_DOOR_SCOPE="ALL")+(ACT_DOOR_SCOPE="TIER_"&amp;$F192)+(ACT_DOOR_SCOPE=$B192)))*SIGN(((ACT_SKU_SCOPE="ALL")+(ACT_SKU_SCOPE=$G192)))*(ACT_START&lt;=4)*(ACT_END&gt;=4)*IFERROR(ACT_UPLIFT-1,0)))*(1+SUMPRODUCT(SIGN(((ACT_DOOR_SCOPE="ALL")+(ACT_DOOR_SCOPE="TIER_"&amp;$F192)+(ACT_DOOR_SCOPE=$B192)))*SIGN(((ACT_SKU_SCOPE="ALL")+(ACT_SKU_SCOPE=$G192)))*(4&gt;ACT_END)*(ACT_END&gt;0)*IFERROR(ACT_POSTLIFT,0))),0)))</f>
        <v/>
      </c>
      <c r="N192" s="10">
        <f>IF(OR($H192&lt;&gt;"Y",5&lt;$I192),0,IF(SUMPRODUCT(((BULK_ENABLED="Y")*((BULK_TIER="ALL")+(BULK_TIER=$F192))*((BULK_SKU="ALL")+(BULK_SKU=$G192))*(BULK_START&lt;=5)*(BULK_END&gt;=5)))&gt;0,IFERROR(SUMPRODUCT(((BULK_ENABLED="Y")*((BULK_TIER="ALL")+(BULK_TIER=$F192))*((BULK_SKU="ALL")+(BULK_SKU=$G192))*(BULK_START&lt;=5)*(BULK_END&gt;=5))*IFERROR(BULK_VALUE,0))/MAX(1,SUMPRODUCT(((BULK_ENABLED="Y")*((BULK_TIER="ALL")+(BULK_TIER=$F192))*((BULK_SKU="ALL")+(BULK_SKU=$G192))*(BULK_START&lt;=5)*(BULK_END&gt;=5)))),0),ROUND((INDEX(VELOCITY_TABLE,MATCH($F192,TIER_LIST,0),2))*(IF((5-$I192+1)&lt;=0,0,IF((5-$I192+1)=1,RAMP_W1,IF((5-$I192+1)=2,RAMP_W2,IF((5-$I192+1)=3,RAMP_W3,RAMP_W4PLUS)))))*(INDEX(ACTIVE_MULT_TABLE,2,1))*(1+SUMPRODUCT(SIGN(((ACT_DOOR_SCOPE="ALL")+(ACT_DOOR_SCOPE="TIER_"&amp;$F192)+(ACT_DOOR_SCOPE=$B192)))*SIGN(((ACT_SKU_SCOPE="ALL")+(ACT_SKU_SCOPE=$G192)))*(ACT_START&lt;=5)*(ACT_END&gt;=5)*IFERROR(ACT_UPLIFT-1,0)))*(1+SUMPRODUCT(SIGN(((ACT_DOOR_SCOPE="ALL")+(ACT_DOOR_SCOPE="TIER_"&amp;$F192)+(ACT_DOOR_SCOPE=$B192)))*SIGN(((ACT_SKU_SCOPE="ALL")+(ACT_SKU_SCOPE=$G192)))*(5&gt;ACT_END)*(ACT_END&gt;0)*IFERROR(ACT_POSTLIFT,0))),0)))</f>
        <v/>
      </c>
      <c r="O192" s="10">
        <f>IF(OR($H192&lt;&gt;"Y",6&lt;$I192),0,IF(SUMPRODUCT(((BULK_ENABLED="Y")*((BULK_TIER="ALL")+(BULK_TIER=$F192))*((BULK_SKU="ALL")+(BULK_SKU=$G192))*(BULK_START&lt;=6)*(BULK_END&gt;=6)))&gt;0,IFERROR(SUMPRODUCT(((BULK_ENABLED="Y")*((BULK_TIER="ALL")+(BULK_TIER=$F192))*((BULK_SKU="ALL")+(BULK_SKU=$G192))*(BULK_START&lt;=6)*(BULK_END&gt;=6))*IFERROR(BULK_VALUE,0))/MAX(1,SUMPRODUCT(((BULK_ENABLED="Y")*((BULK_TIER="ALL")+(BULK_TIER=$F192))*((BULK_SKU="ALL")+(BULK_SKU=$G192))*(BULK_START&lt;=6)*(BULK_END&gt;=6)))),0),ROUND((INDEX(VELOCITY_TABLE,MATCH($F192,TIER_LIST,0),2))*(IF((6-$I192+1)&lt;=0,0,IF((6-$I192+1)=1,RAMP_W1,IF((6-$I192+1)=2,RAMP_W2,IF((6-$I192+1)=3,RAMP_W3,RAMP_W4PLUS)))))*(INDEX(ACTIVE_MULT_TABLE,2,1))*(1+SUMPRODUCT(SIGN(((ACT_DOOR_SCOPE="ALL")+(ACT_DOOR_SCOPE="TIER_"&amp;$F192)+(ACT_DOOR_SCOPE=$B192)))*SIGN(((ACT_SKU_SCOPE="ALL")+(ACT_SKU_SCOPE=$G192)))*(ACT_START&lt;=6)*(ACT_END&gt;=6)*IFERROR(ACT_UPLIFT-1,0)))*(1+SUMPRODUCT(SIGN(((ACT_DOOR_SCOPE="ALL")+(ACT_DOOR_SCOPE="TIER_"&amp;$F192)+(ACT_DOOR_SCOPE=$B192)))*SIGN(((ACT_SKU_SCOPE="ALL")+(ACT_SKU_SCOPE=$G192)))*(6&gt;ACT_END)*(ACT_END&gt;0)*IFERROR(ACT_POSTLIFT,0))),0)))</f>
        <v/>
      </c>
      <c r="P192" s="10">
        <f>IF(OR($H192&lt;&gt;"Y",7&lt;$I192),0,IF(SUMPRODUCT(((BULK_ENABLED="Y")*((BULK_TIER="ALL")+(BULK_TIER=$F192))*((BULK_SKU="ALL")+(BULK_SKU=$G192))*(BULK_START&lt;=7)*(BULK_END&gt;=7)))&gt;0,IFERROR(SUMPRODUCT(((BULK_ENABLED="Y")*((BULK_TIER="ALL")+(BULK_TIER=$F192))*((BULK_SKU="ALL")+(BULK_SKU=$G192))*(BULK_START&lt;=7)*(BULK_END&gt;=7))*IFERROR(BULK_VALUE,0))/MAX(1,SUMPRODUCT(((BULK_ENABLED="Y")*((BULK_TIER="ALL")+(BULK_TIER=$F192))*((BULK_SKU="ALL")+(BULK_SKU=$G192))*(BULK_START&lt;=7)*(BULK_END&gt;=7)))),0),ROUND((INDEX(VELOCITY_TABLE,MATCH($F192,TIER_LIST,0),2))*(IF((7-$I192+1)&lt;=0,0,IF((7-$I192+1)=1,RAMP_W1,IF((7-$I192+1)=2,RAMP_W2,IF((7-$I192+1)=3,RAMP_W3,RAMP_W4PLUS)))))*(INDEX(ACTIVE_MULT_TABLE,2,1))*(1+SUMPRODUCT(SIGN(((ACT_DOOR_SCOPE="ALL")+(ACT_DOOR_SCOPE="TIER_"&amp;$F192)+(ACT_DOOR_SCOPE=$B192)))*SIGN(((ACT_SKU_SCOPE="ALL")+(ACT_SKU_SCOPE=$G192)))*(ACT_START&lt;=7)*(ACT_END&gt;=7)*IFERROR(ACT_UPLIFT-1,0)))*(1+SUMPRODUCT(SIGN(((ACT_DOOR_SCOPE="ALL")+(ACT_DOOR_SCOPE="TIER_"&amp;$F192)+(ACT_DOOR_SCOPE=$B192)))*SIGN(((ACT_SKU_SCOPE="ALL")+(ACT_SKU_SCOPE=$G192)))*(7&gt;ACT_END)*(ACT_END&gt;0)*IFERROR(ACT_POSTLIFT,0))),0)))</f>
        <v/>
      </c>
      <c r="Q192" s="10">
        <f>IF(OR($H192&lt;&gt;"Y",8&lt;$I192),0,IF(SUMPRODUCT(((BULK_ENABLED="Y")*((BULK_TIER="ALL")+(BULK_TIER=$F192))*((BULK_SKU="ALL")+(BULK_SKU=$G192))*(BULK_START&lt;=8)*(BULK_END&gt;=8)))&gt;0,IFERROR(SUMPRODUCT(((BULK_ENABLED="Y")*((BULK_TIER="ALL")+(BULK_TIER=$F192))*((BULK_SKU="ALL")+(BULK_SKU=$G192))*(BULK_START&lt;=8)*(BULK_END&gt;=8))*IFERROR(BULK_VALUE,0))/MAX(1,SUMPRODUCT(((BULK_ENABLED="Y")*((BULK_TIER="ALL")+(BULK_TIER=$F192))*((BULK_SKU="ALL")+(BULK_SKU=$G192))*(BULK_START&lt;=8)*(BULK_END&gt;=8)))),0),ROUND((INDEX(VELOCITY_TABLE,MATCH($F192,TIER_LIST,0),2))*(IF((8-$I192+1)&lt;=0,0,IF((8-$I192+1)=1,RAMP_W1,IF((8-$I192+1)=2,RAMP_W2,IF((8-$I192+1)=3,RAMP_W3,RAMP_W4PLUS)))))*(INDEX(ACTIVE_MULT_TABLE,2,1))*(1+SUMPRODUCT(SIGN(((ACT_DOOR_SCOPE="ALL")+(ACT_DOOR_SCOPE="TIER_"&amp;$F192)+(ACT_DOOR_SCOPE=$B192)))*SIGN(((ACT_SKU_SCOPE="ALL")+(ACT_SKU_SCOPE=$G192)))*(ACT_START&lt;=8)*(ACT_END&gt;=8)*IFERROR(ACT_UPLIFT-1,0)))*(1+SUMPRODUCT(SIGN(((ACT_DOOR_SCOPE="ALL")+(ACT_DOOR_SCOPE="TIER_"&amp;$F192)+(ACT_DOOR_SCOPE=$B192)))*SIGN(((ACT_SKU_SCOPE="ALL")+(ACT_SKU_SCOPE=$G192)))*(8&gt;ACT_END)*(ACT_END&gt;0)*IFERROR(ACT_POSTLIFT,0))),0)))</f>
        <v/>
      </c>
      <c r="R192" s="10">
        <f>IF(OR($H192&lt;&gt;"Y",9&lt;$I192),0,IF(SUMPRODUCT(((BULK_ENABLED="Y")*((BULK_TIER="ALL")+(BULK_TIER=$F192))*((BULK_SKU="ALL")+(BULK_SKU=$G192))*(BULK_START&lt;=9)*(BULK_END&gt;=9)))&gt;0,IFERROR(SUMPRODUCT(((BULK_ENABLED="Y")*((BULK_TIER="ALL")+(BULK_TIER=$F192))*((BULK_SKU="ALL")+(BULK_SKU=$G192))*(BULK_START&lt;=9)*(BULK_END&gt;=9))*IFERROR(BULK_VALUE,0))/MAX(1,SUMPRODUCT(((BULK_ENABLED="Y")*((BULK_TIER="ALL")+(BULK_TIER=$F192))*((BULK_SKU="ALL")+(BULK_SKU=$G192))*(BULK_START&lt;=9)*(BULK_END&gt;=9)))),0),ROUND((INDEX(VELOCITY_TABLE,MATCH($F192,TIER_LIST,0),2))*(IF((9-$I192+1)&lt;=0,0,IF((9-$I192+1)=1,RAMP_W1,IF((9-$I192+1)=2,RAMP_W2,IF((9-$I192+1)=3,RAMP_W3,RAMP_W4PLUS)))))*(INDEX(ACTIVE_MULT_TABLE,2,1))*(1+SUMPRODUCT(SIGN(((ACT_DOOR_SCOPE="ALL")+(ACT_DOOR_SCOPE="TIER_"&amp;$F192)+(ACT_DOOR_SCOPE=$B192)))*SIGN(((ACT_SKU_SCOPE="ALL")+(ACT_SKU_SCOPE=$G192)))*(ACT_START&lt;=9)*(ACT_END&gt;=9)*IFERROR(ACT_UPLIFT-1,0)))*(1+SUMPRODUCT(SIGN(((ACT_DOOR_SCOPE="ALL")+(ACT_DOOR_SCOPE="TIER_"&amp;$F192)+(ACT_DOOR_SCOPE=$B192)))*SIGN(((ACT_SKU_SCOPE="ALL")+(ACT_SKU_SCOPE=$G192)))*(9&gt;ACT_END)*(ACT_END&gt;0)*IFERROR(ACT_POSTLIFT,0))),0)))</f>
        <v/>
      </c>
      <c r="S192" s="10">
        <f>IF(OR($H192&lt;&gt;"Y",10&lt;$I192),0,IF(SUMPRODUCT(((BULK_ENABLED="Y")*((BULK_TIER="ALL")+(BULK_TIER=$F192))*((BULK_SKU="ALL")+(BULK_SKU=$G192))*(BULK_START&lt;=10)*(BULK_END&gt;=10)))&gt;0,IFERROR(SUMPRODUCT(((BULK_ENABLED="Y")*((BULK_TIER="ALL")+(BULK_TIER=$F192))*((BULK_SKU="ALL")+(BULK_SKU=$G192))*(BULK_START&lt;=10)*(BULK_END&gt;=10))*IFERROR(BULK_VALUE,0))/MAX(1,SUMPRODUCT(((BULK_ENABLED="Y")*((BULK_TIER="ALL")+(BULK_TIER=$F192))*((BULK_SKU="ALL")+(BULK_SKU=$G192))*(BULK_START&lt;=10)*(BULK_END&gt;=10)))),0),ROUND((INDEX(VELOCITY_TABLE,MATCH($F192,TIER_LIST,0),2))*(IF((10-$I192+1)&lt;=0,0,IF((10-$I192+1)=1,RAMP_W1,IF((10-$I192+1)=2,RAMP_W2,IF((10-$I192+1)=3,RAMP_W3,RAMP_W4PLUS)))))*(INDEX(ACTIVE_MULT_TABLE,2,1))*(1+SUMPRODUCT(SIGN(((ACT_DOOR_SCOPE="ALL")+(ACT_DOOR_SCOPE="TIER_"&amp;$F192)+(ACT_DOOR_SCOPE=$B192)))*SIGN(((ACT_SKU_SCOPE="ALL")+(ACT_SKU_SCOPE=$G192)))*(ACT_START&lt;=10)*(ACT_END&gt;=10)*IFERROR(ACT_UPLIFT-1,0)))*(1+SUMPRODUCT(SIGN(((ACT_DOOR_SCOPE="ALL")+(ACT_DOOR_SCOPE="TIER_"&amp;$F192)+(ACT_DOOR_SCOPE=$B192)))*SIGN(((ACT_SKU_SCOPE="ALL")+(ACT_SKU_SCOPE=$G192)))*(10&gt;ACT_END)*(ACT_END&gt;0)*IFERROR(ACT_POSTLIFT,0))),0)))</f>
        <v/>
      </c>
      <c r="T192" s="10">
        <f>IF(OR($H192&lt;&gt;"Y",11&lt;$I192),0,IF(SUMPRODUCT(((BULK_ENABLED="Y")*((BULK_TIER="ALL")+(BULK_TIER=$F192))*((BULK_SKU="ALL")+(BULK_SKU=$G192))*(BULK_START&lt;=11)*(BULK_END&gt;=11)))&gt;0,IFERROR(SUMPRODUCT(((BULK_ENABLED="Y")*((BULK_TIER="ALL")+(BULK_TIER=$F192))*((BULK_SKU="ALL")+(BULK_SKU=$G192))*(BULK_START&lt;=11)*(BULK_END&gt;=11))*IFERROR(BULK_VALUE,0))/MAX(1,SUMPRODUCT(((BULK_ENABLED="Y")*((BULK_TIER="ALL")+(BULK_TIER=$F192))*((BULK_SKU="ALL")+(BULK_SKU=$G192))*(BULK_START&lt;=11)*(BULK_END&gt;=11)))),0),ROUND((INDEX(VELOCITY_TABLE,MATCH($F192,TIER_LIST,0),2))*(IF((11-$I192+1)&lt;=0,0,IF((11-$I192+1)=1,RAMP_W1,IF((11-$I192+1)=2,RAMP_W2,IF((11-$I192+1)=3,RAMP_W3,RAMP_W4PLUS)))))*(INDEX(ACTIVE_MULT_TABLE,2,1))*(1+SUMPRODUCT(SIGN(((ACT_DOOR_SCOPE="ALL")+(ACT_DOOR_SCOPE="TIER_"&amp;$F192)+(ACT_DOOR_SCOPE=$B192)))*SIGN(((ACT_SKU_SCOPE="ALL")+(ACT_SKU_SCOPE=$G192)))*(ACT_START&lt;=11)*(ACT_END&gt;=11)*IFERROR(ACT_UPLIFT-1,0)))*(1+SUMPRODUCT(SIGN(((ACT_DOOR_SCOPE="ALL")+(ACT_DOOR_SCOPE="TIER_"&amp;$F192)+(ACT_DOOR_SCOPE=$B192)))*SIGN(((ACT_SKU_SCOPE="ALL")+(ACT_SKU_SCOPE=$G192)))*(11&gt;ACT_END)*(ACT_END&gt;0)*IFERROR(ACT_POSTLIFT,0))),0)))</f>
        <v/>
      </c>
      <c r="U192" s="10">
        <f>IF(OR($H192&lt;&gt;"Y",12&lt;$I192),0,IF(SUMPRODUCT(((BULK_ENABLED="Y")*((BULK_TIER="ALL")+(BULK_TIER=$F192))*((BULK_SKU="ALL")+(BULK_SKU=$G192))*(BULK_START&lt;=12)*(BULK_END&gt;=12)))&gt;0,IFERROR(SUMPRODUCT(((BULK_ENABLED="Y")*((BULK_TIER="ALL")+(BULK_TIER=$F192))*((BULK_SKU="ALL")+(BULK_SKU=$G192))*(BULK_START&lt;=12)*(BULK_END&gt;=12))*IFERROR(BULK_VALUE,0))/MAX(1,SUMPRODUCT(((BULK_ENABLED="Y")*((BULK_TIER="ALL")+(BULK_TIER=$F192))*((BULK_SKU="ALL")+(BULK_SKU=$G192))*(BULK_START&lt;=12)*(BULK_END&gt;=12)))),0),ROUND((INDEX(VELOCITY_TABLE,MATCH($F192,TIER_LIST,0),2))*(IF((12-$I192+1)&lt;=0,0,IF((12-$I192+1)=1,RAMP_W1,IF((12-$I192+1)=2,RAMP_W2,IF((12-$I192+1)=3,RAMP_W3,RAMP_W4PLUS)))))*(INDEX(ACTIVE_MULT_TABLE,2,1))*(1+SUMPRODUCT(SIGN(((ACT_DOOR_SCOPE="ALL")+(ACT_DOOR_SCOPE="TIER_"&amp;$F192)+(ACT_DOOR_SCOPE=$B192)))*SIGN(((ACT_SKU_SCOPE="ALL")+(ACT_SKU_SCOPE=$G192)))*(ACT_START&lt;=12)*(ACT_END&gt;=12)*IFERROR(ACT_UPLIFT-1,0)))*(1+SUMPRODUCT(SIGN(((ACT_DOOR_SCOPE="ALL")+(ACT_DOOR_SCOPE="TIER_"&amp;$F192)+(ACT_DOOR_SCOPE=$B192)))*SIGN(((ACT_SKU_SCOPE="ALL")+(ACT_SKU_SCOPE=$G192)))*(12&gt;ACT_END)*(ACT_END&gt;0)*IFERROR(ACT_POSTLIFT,0))),0)))</f>
        <v/>
      </c>
      <c r="V192" s="10">
        <f>IF(OR($H192&lt;&gt;"Y",13&lt;$I192),0,IF(SUMPRODUCT(((BULK_ENABLED="Y")*((BULK_TIER="ALL")+(BULK_TIER=$F192))*((BULK_SKU="ALL")+(BULK_SKU=$G192))*(BULK_START&lt;=13)*(BULK_END&gt;=13)))&gt;0,IFERROR(SUMPRODUCT(((BULK_ENABLED="Y")*((BULK_TIER="ALL")+(BULK_TIER=$F192))*((BULK_SKU="ALL")+(BULK_SKU=$G192))*(BULK_START&lt;=13)*(BULK_END&gt;=13))*IFERROR(BULK_VALUE,0))/MAX(1,SUMPRODUCT(((BULK_ENABLED="Y")*((BULK_TIER="ALL")+(BULK_TIER=$F192))*((BULK_SKU="ALL")+(BULK_SKU=$G192))*(BULK_START&lt;=13)*(BULK_END&gt;=13)))),0),ROUND((INDEX(VELOCITY_TABLE,MATCH($F192,TIER_LIST,0),2))*(IF((13-$I192+1)&lt;=0,0,IF((13-$I192+1)=1,RAMP_W1,IF((13-$I192+1)=2,RAMP_W2,IF((13-$I192+1)=3,RAMP_W3,RAMP_W4PLUS)))))*(INDEX(ACTIVE_MULT_TABLE,2,1))*(1+SUMPRODUCT(SIGN(((ACT_DOOR_SCOPE="ALL")+(ACT_DOOR_SCOPE="TIER_"&amp;$F192)+(ACT_DOOR_SCOPE=$B192)))*SIGN(((ACT_SKU_SCOPE="ALL")+(ACT_SKU_SCOPE=$G192)))*(ACT_START&lt;=13)*(ACT_END&gt;=13)*IFERROR(ACT_UPLIFT-1,0)))*(1+SUMPRODUCT(SIGN(((ACT_DOOR_SCOPE="ALL")+(ACT_DOOR_SCOPE="TIER_"&amp;$F192)+(ACT_DOOR_SCOPE=$B192)))*SIGN(((ACT_SKU_SCOPE="ALL")+(ACT_SKU_SCOPE=$G192)))*(13&gt;ACT_END)*(ACT_END&gt;0)*IFERROR(ACT_POSTLIFT,0))),0)))</f>
        <v/>
      </c>
    </row>
    <row r="193">
      <c r="A193" t="inlineStr">
        <is>
          <t>R0189</t>
        </is>
      </c>
      <c r="B193">
        <f>Doors!$A$67</f>
        <v/>
      </c>
      <c r="C193">
        <f>Doors!$C$67</f>
        <v/>
      </c>
      <c r="D193">
        <f>Doors!$B$67</f>
        <v/>
      </c>
      <c r="E193">
        <f>Doors!$E$67</f>
        <v/>
      </c>
      <c r="F193">
        <f>Doors!$F$67</f>
        <v/>
      </c>
      <c r="G193" t="inlineStr">
        <is>
          <t>Raspberry</t>
        </is>
      </c>
      <c r="H193">
        <f>Doors!$I$67</f>
        <v/>
      </c>
      <c r="I193">
        <f>Doors!$J$67</f>
        <v/>
      </c>
      <c r="J193" s="10">
        <f>IF(OR($H193&lt;&gt;"Y",1&lt;$I193),0,IF(SUMPRODUCT(((BULK_ENABLED="Y")*((BULK_TIER="ALL")+(BULK_TIER=$F193))*((BULK_SKU="ALL")+(BULK_SKU=$G193))*(BULK_START&lt;=1)*(BULK_END&gt;=1)))&gt;0,IFERROR(SUMPRODUCT(((BULK_ENABLED="Y")*((BULK_TIER="ALL")+(BULK_TIER=$F193))*((BULK_SKU="ALL")+(BULK_SKU=$G193))*(BULK_START&lt;=1)*(BULK_END&gt;=1))*IFERROR(BULK_VALUE,0))/MAX(1,SUMPRODUCT(((BULK_ENABLED="Y")*((BULK_TIER="ALL")+(BULK_TIER=$F193))*((BULK_SKU="ALL")+(BULK_SKU=$G193))*(BULK_START&lt;=1)*(BULK_END&gt;=1)))),0),ROUND((INDEX(VELOCITY_TABLE,MATCH($F193,TIER_LIST,0),3))*(IF((1-$I193+1)&lt;=0,0,IF((1-$I193+1)=1,RAMP_W1,IF((1-$I193+1)=2,RAMP_W2,IF((1-$I193+1)=3,RAMP_W3,RAMP_W4PLUS)))))*(INDEX(ACTIVE_MULT_TABLE,3,1))*(1+SUMPRODUCT(SIGN(((ACT_DOOR_SCOPE="ALL")+(ACT_DOOR_SCOPE="TIER_"&amp;$F193)+(ACT_DOOR_SCOPE=$B193)))*SIGN(((ACT_SKU_SCOPE="ALL")+(ACT_SKU_SCOPE=$G193)))*(ACT_START&lt;=1)*(ACT_END&gt;=1)*IFERROR(ACT_UPLIFT-1,0)))*(1+SUMPRODUCT(SIGN(((ACT_DOOR_SCOPE="ALL")+(ACT_DOOR_SCOPE="TIER_"&amp;$F193)+(ACT_DOOR_SCOPE=$B193)))*SIGN(((ACT_SKU_SCOPE="ALL")+(ACT_SKU_SCOPE=$G193)))*(1&gt;ACT_END)*(ACT_END&gt;0)*IFERROR(ACT_POSTLIFT,0))),0)))</f>
        <v/>
      </c>
      <c r="K193" s="10">
        <f>IF(OR($H193&lt;&gt;"Y",2&lt;$I193),0,IF(SUMPRODUCT(((BULK_ENABLED="Y")*((BULK_TIER="ALL")+(BULK_TIER=$F193))*((BULK_SKU="ALL")+(BULK_SKU=$G193))*(BULK_START&lt;=2)*(BULK_END&gt;=2)))&gt;0,IFERROR(SUMPRODUCT(((BULK_ENABLED="Y")*((BULK_TIER="ALL")+(BULK_TIER=$F193))*((BULK_SKU="ALL")+(BULK_SKU=$G193))*(BULK_START&lt;=2)*(BULK_END&gt;=2))*IFERROR(BULK_VALUE,0))/MAX(1,SUMPRODUCT(((BULK_ENABLED="Y")*((BULK_TIER="ALL")+(BULK_TIER=$F193))*((BULK_SKU="ALL")+(BULK_SKU=$G193))*(BULK_START&lt;=2)*(BULK_END&gt;=2)))),0),ROUND((INDEX(VELOCITY_TABLE,MATCH($F193,TIER_LIST,0),3))*(IF((2-$I193+1)&lt;=0,0,IF((2-$I193+1)=1,RAMP_W1,IF((2-$I193+1)=2,RAMP_W2,IF((2-$I193+1)=3,RAMP_W3,RAMP_W4PLUS)))))*(INDEX(ACTIVE_MULT_TABLE,3,1))*(1+SUMPRODUCT(SIGN(((ACT_DOOR_SCOPE="ALL")+(ACT_DOOR_SCOPE="TIER_"&amp;$F193)+(ACT_DOOR_SCOPE=$B193)))*SIGN(((ACT_SKU_SCOPE="ALL")+(ACT_SKU_SCOPE=$G193)))*(ACT_START&lt;=2)*(ACT_END&gt;=2)*IFERROR(ACT_UPLIFT-1,0)))*(1+SUMPRODUCT(SIGN(((ACT_DOOR_SCOPE="ALL")+(ACT_DOOR_SCOPE="TIER_"&amp;$F193)+(ACT_DOOR_SCOPE=$B193)))*SIGN(((ACT_SKU_SCOPE="ALL")+(ACT_SKU_SCOPE=$G193)))*(2&gt;ACT_END)*(ACT_END&gt;0)*IFERROR(ACT_POSTLIFT,0))),0)))</f>
        <v/>
      </c>
      <c r="L193" s="10">
        <f>IF(OR($H193&lt;&gt;"Y",3&lt;$I193),0,IF(SUMPRODUCT(((BULK_ENABLED="Y")*((BULK_TIER="ALL")+(BULK_TIER=$F193))*((BULK_SKU="ALL")+(BULK_SKU=$G193))*(BULK_START&lt;=3)*(BULK_END&gt;=3)))&gt;0,IFERROR(SUMPRODUCT(((BULK_ENABLED="Y")*((BULK_TIER="ALL")+(BULK_TIER=$F193))*((BULK_SKU="ALL")+(BULK_SKU=$G193))*(BULK_START&lt;=3)*(BULK_END&gt;=3))*IFERROR(BULK_VALUE,0))/MAX(1,SUMPRODUCT(((BULK_ENABLED="Y")*((BULK_TIER="ALL")+(BULK_TIER=$F193))*((BULK_SKU="ALL")+(BULK_SKU=$G193))*(BULK_START&lt;=3)*(BULK_END&gt;=3)))),0),ROUND((INDEX(VELOCITY_TABLE,MATCH($F193,TIER_LIST,0),3))*(IF((3-$I193+1)&lt;=0,0,IF((3-$I193+1)=1,RAMP_W1,IF((3-$I193+1)=2,RAMP_W2,IF((3-$I193+1)=3,RAMP_W3,RAMP_W4PLUS)))))*(INDEX(ACTIVE_MULT_TABLE,3,1))*(1+SUMPRODUCT(SIGN(((ACT_DOOR_SCOPE="ALL")+(ACT_DOOR_SCOPE="TIER_"&amp;$F193)+(ACT_DOOR_SCOPE=$B193)))*SIGN(((ACT_SKU_SCOPE="ALL")+(ACT_SKU_SCOPE=$G193)))*(ACT_START&lt;=3)*(ACT_END&gt;=3)*IFERROR(ACT_UPLIFT-1,0)))*(1+SUMPRODUCT(SIGN(((ACT_DOOR_SCOPE="ALL")+(ACT_DOOR_SCOPE="TIER_"&amp;$F193)+(ACT_DOOR_SCOPE=$B193)))*SIGN(((ACT_SKU_SCOPE="ALL")+(ACT_SKU_SCOPE=$G193)))*(3&gt;ACT_END)*(ACT_END&gt;0)*IFERROR(ACT_POSTLIFT,0))),0)))</f>
        <v/>
      </c>
      <c r="M193" s="10">
        <f>IF(OR($H193&lt;&gt;"Y",4&lt;$I193),0,IF(SUMPRODUCT(((BULK_ENABLED="Y")*((BULK_TIER="ALL")+(BULK_TIER=$F193))*((BULK_SKU="ALL")+(BULK_SKU=$G193))*(BULK_START&lt;=4)*(BULK_END&gt;=4)))&gt;0,IFERROR(SUMPRODUCT(((BULK_ENABLED="Y")*((BULK_TIER="ALL")+(BULK_TIER=$F193))*((BULK_SKU="ALL")+(BULK_SKU=$G193))*(BULK_START&lt;=4)*(BULK_END&gt;=4))*IFERROR(BULK_VALUE,0))/MAX(1,SUMPRODUCT(((BULK_ENABLED="Y")*((BULK_TIER="ALL")+(BULK_TIER=$F193))*((BULK_SKU="ALL")+(BULK_SKU=$G193))*(BULK_START&lt;=4)*(BULK_END&gt;=4)))),0),ROUND((INDEX(VELOCITY_TABLE,MATCH($F193,TIER_LIST,0),3))*(IF((4-$I193+1)&lt;=0,0,IF((4-$I193+1)=1,RAMP_W1,IF((4-$I193+1)=2,RAMP_W2,IF((4-$I193+1)=3,RAMP_W3,RAMP_W4PLUS)))))*(INDEX(ACTIVE_MULT_TABLE,3,1))*(1+SUMPRODUCT(SIGN(((ACT_DOOR_SCOPE="ALL")+(ACT_DOOR_SCOPE="TIER_"&amp;$F193)+(ACT_DOOR_SCOPE=$B193)))*SIGN(((ACT_SKU_SCOPE="ALL")+(ACT_SKU_SCOPE=$G193)))*(ACT_START&lt;=4)*(ACT_END&gt;=4)*IFERROR(ACT_UPLIFT-1,0)))*(1+SUMPRODUCT(SIGN(((ACT_DOOR_SCOPE="ALL")+(ACT_DOOR_SCOPE="TIER_"&amp;$F193)+(ACT_DOOR_SCOPE=$B193)))*SIGN(((ACT_SKU_SCOPE="ALL")+(ACT_SKU_SCOPE=$G193)))*(4&gt;ACT_END)*(ACT_END&gt;0)*IFERROR(ACT_POSTLIFT,0))),0)))</f>
        <v/>
      </c>
      <c r="N193" s="10">
        <f>IF(OR($H193&lt;&gt;"Y",5&lt;$I193),0,IF(SUMPRODUCT(((BULK_ENABLED="Y")*((BULK_TIER="ALL")+(BULK_TIER=$F193))*((BULK_SKU="ALL")+(BULK_SKU=$G193))*(BULK_START&lt;=5)*(BULK_END&gt;=5)))&gt;0,IFERROR(SUMPRODUCT(((BULK_ENABLED="Y")*((BULK_TIER="ALL")+(BULK_TIER=$F193))*((BULK_SKU="ALL")+(BULK_SKU=$G193))*(BULK_START&lt;=5)*(BULK_END&gt;=5))*IFERROR(BULK_VALUE,0))/MAX(1,SUMPRODUCT(((BULK_ENABLED="Y")*((BULK_TIER="ALL")+(BULK_TIER=$F193))*((BULK_SKU="ALL")+(BULK_SKU=$G193))*(BULK_START&lt;=5)*(BULK_END&gt;=5)))),0),ROUND((INDEX(VELOCITY_TABLE,MATCH($F193,TIER_LIST,0),3))*(IF((5-$I193+1)&lt;=0,0,IF((5-$I193+1)=1,RAMP_W1,IF((5-$I193+1)=2,RAMP_W2,IF((5-$I193+1)=3,RAMP_W3,RAMP_W4PLUS)))))*(INDEX(ACTIVE_MULT_TABLE,3,1))*(1+SUMPRODUCT(SIGN(((ACT_DOOR_SCOPE="ALL")+(ACT_DOOR_SCOPE="TIER_"&amp;$F193)+(ACT_DOOR_SCOPE=$B193)))*SIGN(((ACT_SKU_SCOPE="ALL")+(ACT_SKU_SCOPE=$G193)))*(ACT_START&lt;=5)*(ACT_END&gt;=5)*IFERROR(ACT_UPLIFT-1,0)))*(1+SUMPRODUCT(SIGN(((ACT_DOOR_SCOPE="ALL")+(ACT_DOOR_SCOPE="TIER_"&amp;$F193)+(ACT_DOOR_SCOPE=$B193)))*SIGN(((ACT_SKU_SCOPE="ALL")+(ACT_SKU_SCOPE=$G193)))*(5&gt;ACT_END)*(ACT_END&gt;0)*IFERROR(ACT_POSTLIFT,0))),0)))</f>
        <v/>
      </c>
      <c r="O193" s="10">
        <f>IF(OR($H193&lt;&gt;"Y",6&lt;$I193),0,IF(SUMPRODUCT(((BULK_ENABLED="Y")*((BULK_TIER="ALL")+(BULK_TIER=$F193))*((BULK_SKU="ALL")+(BULK_SKU=$G193))*(BULK_START&lt;=6)*(BULK_END&gt;=6)))&gt;0,IFERROR(SUMPRODUCT(((BULK_ENABLED="Y")*((BULK_TIER="ALL")+(BULK_TIER=$F193))*((BULK_SKU="ALL")+(BULK_SKU=$G193))*(BULK_START&lt;=6)*(BULK_END&gt;=6))*IFERROR(BULK_VALUE,0))/MAX(1,SUMPRODUCT(((BULK_ENABLED="Y")*((BULK_TIER="ALL")+(BULK_TIER=$F193))*((BULK_SKU="ALL")+(BULK_SKU=$G193))*(BULK_START&lt;=6)*(BULK_END&gt;=6)))),0),ROUND((INDEX(VELOCITY_TABLE,MATCH($F193,TIER_LIST,0),3))*(IF((6-$I193+1)&lt;=0,0,IF((6-$I193+1)=1,RAMP_W1,IF((6-$I193+1)=2,RAMP_W2,IF((6-$I193+1)=3,RAMP_W3,RAMP_W4PLUS)))))*(INDEX(ACTIVE_MULT_TABLE,3,1))*(1+SUMPRODUCT(SIGN(((ACT_DOOR_SCOPE="ALL")+(ACT_DOOR_SCOPE="TIER_"&amp;$F193)+(ACT_DOOR_SCOPE=$B193)))*SIGN(((ACT_SKU_SCOPE="ALL")+(ACT_SKU_SCOPE=$G193)))*(ACT_START&lt;=6)*(ACT_END&gt;=6)*IFERROR(ACT_UPLIFT-1,0)))*(1+SUMPRODUCT(SIGN(((ACT_DOOR_SCOPE="ALL")+(ACT_DOOR_SCOPE="TIER_"&amp;$F193)+(ACT_DOOR_SCOPE=$B193)))*SIGN(((ACT_SKU_SCOPE="ALL")+(ACT_SKU_SCOPE=$G193)))*(6&gt;ACT_END)*(ACT_END&gt;0)*IFERROR(ACT_POSTLIFT,0))),0)))</f>
        <v/>
      </c>
      <c r="P193" s="10">
        <f>IF(OR($H193&lt;&gt;"Y",7&lt;$I193),0,IF(SUMPRODUCT(((BULK_ENABLED="Y")*((BULK_TIER="ALL")+(BULK_TIER=$F193))*((BULK_SKU="ALL")+(BULK_SKU=$G193))*(BULK_START&lt;=7)*(BULK_END&gt;=7)))&gt;0,IFERROR(SUMPRODUCT(((BULK_ENABLED="Y")*((BULK_TIER="ALL")+(BULK_TIER=$F193))*((BULK_SKU="ALL")+(BULK_SKU=$G193))*(BULK_START&lt;=7)*(BULK_END&gt;=7))*IFERROR(BULK_VALUE,0))/MAX(1,SUMPRODUCT(((BULK_ENABLED="Y")*((BULK_TIER="ALL")+(BULK_TIER=$F193))*((BULK_SKU="ALL")+(BULK_SKU=$G193))*(BULK_START&lt;=7)*(BULK_END&gt;=7)))),0),ROUND((INDEX(VELOCITY_TABLE,MATCH($F193,TIER_LIST,0),3))*(IF((7-$I193+1)&lt;=0,0,IF((7-$I193+1)=1,RAMP_W1,IF((7-$I193+1)=2,RAMP_W2,IF((7-$I193+1)=3,RAMP_W3,RAMP_W4PLUS)))))*(INDEX(ACTIVE_MULT_TABLE,3,1))*(1+SUMPRODUCT(SIGN(((ACT_DOOR_SCOPE="ALL")+(ACT_DOOR_SCOPE="TIER_"&amp;$F193)+(ACT_DOOR_SCOPE=$B193)))*SIGN(((ACT_SKU_SCOPE="ALL")+(ACT_SKU_SCOPE=$G193)))*(ACT_START&lt;=7)*(ACT_END&gt;=7)*IFERROR(ACT_UPLIFT-1,0)))*(1+SUMPRODUCT(SIGN(((ACT_DOOR_SCOPE="ALL")+(ACT_DOOR_SCOPE="TIER_"&amp;$F193)+(ACT_DOOR_SCOPE=$B193)))*SIGN(((ACT_SKU_SCOPE="ALL")+(ACT_SKU_SCOPE=$G193)))*(7&gt;ACT_END)*(ACT_END&gt;0)*IFERROR(ACT_POSTLIFT,0))),0)))</f>
        <v/>
      </c>
      <c r="Q193" s="10">
        <f>IF(OR($H193&lt;&gt;"Y",8&lt;$I193),0,IF(SUMPRODUCT(((BULK_ENABLED="Y")*((BULK_TIER="ALL")+(BULK_TIER=$F193))*((BULK_SKU="ALL")+(BULK_SKU=$G193))*(BULK_START&lt;=8)*(BULK_END&gt;=8)))&gt;0,IFERROR(SUMPRODUCT(((BULK_ENABLED="Y")*((BULK_TIER="ALL")+(BULK_TIER=$F193))*((BULK_SKU="ALL")+(BULK_SKU=$G193))*(BULK_START&lt;=8)*(BULK_END&gt;=8))*IFERROR(BULK_VALUE,0))/MAX(1,SUMPRODUCT(((BULK_ENABLED="Y")*((BULK_TIER="ALL")+(BULK_TIER=$F193))*((BULK_SKU="ALL")+(BULK_SKU=$G193))*(BULK_START&lt;=8)*(BULK_END&gt;=8)))),0),ROUND((INDEX(VELOCITY_TABLE,MATCH($F193,TIER_LIST,0),3))*(IF((8-$I193+1)&lt;=0,0,IF((8-$I193+1)=1,RAMP_W1,IF((8-$I193+1)=2,RAMP_W2,IF((8-$I193+1)=3,RAMP_W3,RAMP_W4PLUS)))))*(INDEX(ACTIVE_MULT_TABLE,3,1))*(1+SUMPRODUCT(SIGN(((ACT_DOOR_SCOPE="ALL")+(ACT_DOOR_SCOPE="TIER_"&amp;$F193)+(ACT_DOOR_SCOPE=$B193)))*SIGN(((ACT_SKU_SCOPE="ALL")+(ACT_SKU_SCOPE=$G193)))*(ACT_START&lt;=8)*(ACT_END&gt;=8)*IFERROR(ACT_UPLIFT-1,0)))*(1+SUMPRODUCT(SIGN(((ACT_DOOR_SCOPE="ALL")+(ACT_DOOR_SCOPE="TIER_"&amp;$F193)+(ACT_DOOR_SCOPE=$B193)))*SIGN(((ACT_SKU_SCOPE="ALL")+(ACT_SKU_SCOPE=$G193)))*(8&gt;ACT_END)*(ACT_END&gt;0)*IFERROR(ACT_POSTLIFT,0))),0)))</f>
        <v/>
      </c>
      <c r="R193" s="10">
        <f>IF(OR($H193&lt;&gt;"Y",9&lt;$I193),0,IF(SUMPRODUCT(((BULK_ENABLED="Y")*((BULK_TIER="ALL")+(BULK_TIER=$F193))*((BULK_SKU="ALL")+(BULK_SKU=$G193))*(BULK_START&lt;=9)*(BULK_END&gt;=9)))&gt;0,IFERROR(SUMPRODUCT(((BULK_ENABLED="Y")*((BULK_TIER="ALL")+(BULK_TIER=$F193))*((BULK_SKU="ALL")+(BULK_SKU=$G193))*(BULK_START&lt;=9)*(BULK_END&gt;=9))*IFERROR(BULK_VALUE,0))/MAX(1,SUMPRODUCT(((BULK_ENABLED="Y")*((BULK_TIER="ALL")+(BULK_TIER=$F193))*((BULK_SKU="ALL")+(BULK_SKU=$G193))*(BULK_START&lt;=9)*(BULK_END&gt;=9)))),0),ROUND((INDEX(VELOCITY_TABLE,MATCH($F193,TIER_LIST,0),3))*(IF((9-$I193+1)&lt;=0,0,IF((9-$I193+1)=1,RAMP_W1,IF((9-$I193+1)=2,RAMP_W2,IF((9-$I193+1)=3,RAMP_W3,RAMP_W4PLUS)))))*(INDEX(ACTIVE_MULT_TABLE,3,1))*(1+SUMPRODUCT(SIGN(((ACT_DOOR_SCOPE="ALL")+(ACT_DOOR_SCOPE="TIER_"&amp;$F193)+(ACT_DOOR_SCOPE=$B193)))*SIGN(((ACT_SKU_SCOPE="ALL")+(ACT_SKU_SCOPE=$G193)))*(ACT_START&lt;=9)*(ACT_END&gt;=9)*IFERROR(ACT_UPLIFT-1,0)))*(1+SUMPRODUCT(SIGN(((ACT_DOOR_SCOPE="ALL")+(ACT_DOOR_SCOPE="TIER_"&amp;$F193)+(ACT_DOOR_SCOPE=$B193)))*SIGN(((ACT_SKU_SCOPE="ALL")+(ACT_SKU_SCOPE=$G193)))*(9&gt;ACT_END)*(ACT_END&gt;0)*IFERROR(ACT_POSTLIFT,0))),0)))</f>
        <v/>
      </c>
      <c r="S193" s="10">
        <f>IF(OR($H193&lt;&gt;"Y",10&lt;$I193),0,IF(SUMPRODUCT(((BULK_ENABLED="Y")*((BULK_TIER="ALL")+(BULK_TIER=$F193))*((BULK_SKU="ALL")+(BULK_SKU=$G193))*(BULK_START&lt;=10)*(BULK_END&gt;=10)))&gt;0,IFERROR(SUMPRODUCT(((BULK_ENABLED="Y")*((BULK_TIER="ALL")+(BULK_TIER=$F193))*((BULK_SKU="ALL")+(BULK_SKU=$G193))*(BULK_START&lt;=10)*(BULK_END&gt;=10))*IFERROR(BULK_VALUE,0))/MAX(1,SUMPRODUCT(((BULK_ENABLED="Y")*((BULK_TIER="ALL")+(BULK_TIER=$F193))*((BULK_SKU="ALL")+(BULK_SKU=$G193))*(BULK_START&lt;=10)*(BULK_END&gt;=10)))),0),ROUND((INDEX(VELOCITY_TABLE,MATCH($F193,TIER_LIST,0),3))*(IF((10-$I193+1)&lt;=0,0,IF((10-$I193+1)=1,RAMP_W1,IF((10-$I193+1)=2,RAMP_W2,IF((10-$I193+1)=3,RAMP_W3,RAMP_W4PLUS)))))*(INDEX(ACTIVE_MULT_TABLE,3,1))*(1+SUMPRODUCT(SIGN(((ACT_DOOR_SCOPE="ALL")+(ACT_DOOR_SCOPE="TIER_"&amp;$F193)+(ACT_DOOR_SCOPE=$B193)))*SIGN(((ACT_SKU_SCOPE="ALL")+(ACT_SKU_SCOPE=$G193)))*(ACT_START&lt;=10)*(ACT_END&gt;=10)*IFERROR(ACT_UPLIFT-1,0)))*(1+SUMPRODUCT(SIGN(((ACT_DOOR_SCOPE="ALL")+(ACT_DOOR_SCOPE="TIER_"&amp;$F193)+(ACT_DOOR_SCOPE=$B193)))*SIGN(((ACT_SKU_SCOPE="ALL")+(ACT_SKU_SCOPE=$G193)))*(10&gt;ACT_END)*(ACT_END&gt;0)*IFERROR(ACT_POSTLIFT,0))),0)))</f>
        <v/>
      </c>
      <c r="T193" s="10">
        <f>IF(OR($H193&lt;&gt;"Y",11&lt;$I193),0,IF(SUMPRODUCT(((BULK_ENABLED="Y")*((BULK_TIER="ALL")+(BULK_TIER=$F193))*((BULK_SKU="ALL")+(BULK_SKU=$G193))*(BULK_START&lt;=11)*(BULK_END&gt;=11)))&gt;0,IFERROR(SUMPRODUCT(((BULK_ENABLED="Y")*((BULK_TIER="ALL")+(BULK_TIER=$F193))*((BULK_SKU="ALL")+(BULK_SKU=$G193))*(BULK_START&lt;=11)*(BULK_END&gt;=11))*IFERROR(BULK_VALUE,0))/MAX(1,SUMPRODUCT(((BULK_ENABLED="Y")*((BULK_TIER="ALL")+(BULK_TIER=$F193))*((BULK_SKU="ALL")+(BULK_SKU=$G193))*(BULK_START&lt;=11)*(BULK_END&gt;=11)))),0),ROUND((INDEX(VELOCITY_TABLE,MATCH($F193,TIER_LIST,0),3))*(IF((11-$I193+1)&lt;=0,0,IF((11-$I193+1)=1,RAMP_W1,IF((11-$I193+1)=2,RAMP_W2,IF((11-$I193+1)=3,RAMP_W3,RAMP_W4PLUS)))))*(INDEX(ACTIVE_MULT_TABLE,3,1))*(1+SUMPRODUCT(SIGN(((ACT_DOOR_SCOPE="ALL")+(ACT_DOOR_SCOPE="TIER_"&amp;$F193)+(ACT_DOOR_SCOPE=$B193)))*SIGN(((ACT_SKU_SCOPE="ALL")+(ACT_SKU_SCOPE=$G193)))*(ACT_START&lt;=11)*(ACT_END&gt;=11)*IFERROR(ACT_UPLIFT-1,0)))*(1+SUMPRODUCT(SIGN(((ACT_DOOR_SCOPE="ALL")+(ACT_DOOR_SCOPE="TIER_"&amp;$F193)+(ACT_DOOR_SCOPE=$B193)))*SIGN(((ACT_SKU_SCOPE="ALL")+(ACT_SKU_SCOPE=$G193)))*(11&gt;ACT_END)*(ACT_END&gt;0)*IFERROR(ACT_POSTLIFT,0))),0)))</f>
        <v/>
      </c>
      <c r="U193" s="10">
        <f>IF(OR($H193&lt;&gt;"Y",12&lt;$I193),0,IF(SUMPRODUCT(((BULK_ENABLED="Y")*((BULK_TIER="ALL")+(BULK_TIER=$F193))*((BULK_SKU="ALL")+(BULK_SKU=$G193))*(BULK_START&lt;=12)*(BULK_END&gt;=12)))&gt;0,IFERROR(SUMPRODUCT(((BULK_ENABLED="Y")*((BULK_TIER="ALL")+(BULK_TIER=$F193))*((BULK_SKU="ALL")+(BULK_SKU=$G193))*(BULK_START&lt;=12)*(BULK_END&gt;=12))*IFERROR(BULK_VALUE,0))/MAX(1,SUMPRODUCT(((BULK_ENABLED="Y")*((BULK_TIER="ALL")+(BULK_TIER=$F193))*((BULK_SKU="ALL")+(BULK_SKU=$G193))*(BULK_START&lt;=12)*(BULK_END&gt;=12)))),0),ROUND((INDEX(VELOCITY_TABLE,MATCH($F193,TIER_LIST,0),3))*(IF((12-$I193+1)&lt;=0,0,IF((12-$I193+1)=1,RAMP_W1,IF((12-$I193+1)=2,RAMP_W2,IF((12-$I193+1)=3,RAMP_W3,RAMP_W4PLUS)))))*(INDEX(ACTIVE_MULT_TABLE,3,1))*(1+SUMPRODUCT(SIGN(((ACT_DOOR_SCOPE="ALL")+(ACT_DOOR_SCOPE="TIER_"&amp;$F193)+(ACT_DOOR_SCOPE=$B193)))*SIGN(((ACT_SKU_SCOPE="ALL")+(ACT_SKU_SCOPE=$G193)))*(ACT_START&lt;=12)*(ACT_END&gt;=12)*IFERROR(ACT_UPLIFT-1,0)))*(1+SUMPRODUCT(SIGN(((ACT_DOOR_SCOPE="ALL")+(ACT_DOOR_SCOPE="TIER_"&amp;$F193)+(ACT_DOOR_SCOPE=$B193)))*SIGN(((ACT_SKU_SCOPE="ALL")+(ACT_SKU_SCOPE=$G193)))*(12&gt;ACT_END)*(ACT_END&gt;0)*IFERROR(ACT_POSTLIFT,0))),0)))</f>
        <v/>
      </c>
      <c r="V193" s="10">
        <f>IF(OR($H193&lt;&gt;"Y",13&lt;$I193),0,IF(SUMPRODUCT(((BULK_ENABLED="Y")*((BULK_TIER="ALL")+(BULK_TIER=$F193))*((BULK_SKU="ALL")+(BULK_SKU=$G193))*(BULK_START&lt;=13)*(BULK_END&gt;=13)))&gt;0,IFERROR(SUMPRODUCT(((BULK_ENABLED="Y")*((BULK_TIER="ALL")+(BULK_TIER=$F193))*((BULK_SKU="ALL")+(BULK_SKU=$G193))*(BULK_START&lt;=13)*(BULK_END&gt;=13))*IFERROR(BULK_VALUE,0))/MAX(1,SUMPRODUCT(((BULK_ENABLED="Y")*((BULK_TIER="ALL")+(BULK_TIER=$F193))*((BULK_SKU="ALL")+(BULK_SKU=$G193))*(BULK_START&lt;=13)*(BULK_END&gt;=13)))),0),ROUND((INDEX(VELOCITY_TABLE,MATCH($F193,TIER_LIST,0),3))*(IF((13-$I193+1)&lt;=0,0,IF((13-$I193+1)=1,RAMP_W1,IF((13-$I193+1)=2,RAMP_W2,IF((13-$I193+1)=3,RAMP_W3,RAMP_W4PLUS)))))*(INDEX(ACTIVE_MULT_TABLE,3,1))*(1+SUMPRODUCT(SIGN(((ACT_DOOR_SCOPE="ALL")+(ACT_DOOR_SCOPE="TIER_"&amp;$F193)+(ACT_DOOR_SCOPE=$B193)))*SIGN(((ACT_SKU_SCOPE="ALL")+(ACT_SKU_SCOPE=$G193)))*(ACT_START&lt;=13)*(ACT_END&gt;=13)*IFERROR(ACT_UPLIFT-1,0)))*(1+SUMPRODUCT(SIGN(((ACT_DOOR_SCOPE="ALL")+(ACT_DOOR_SCOPE="TIER_"&amp;$F193)+(ACT_DOOR_SCOPE=$B193)))*SIGN(((ACT_SKU_SCOPE="ALL")+(ACT_SKU_SCOPE=$G193)))*(13&gt;ACT_END)*(ACT_END&gt;0)*IFERROR(ACT_POSTLIFT,0))),0)))</f>
        <v/>
      </c>
    </row>
    <row r="194">
      <c r="A194" t="inlineStr">
        <is>
          <t>R0190</t>
        </is>
      </c>
      <c r="B194">
        <f>Doors!$A$68</f>
        <v/>
      </c>
      <c r="C194">
        <f>Doors!$C$68</f>
        <v/>
      </c>
      <c r="D194">
        <f>Doors!$B$68</f>
        <v/>
      </c>
      <c r="E194">
        <f>Doors!$E$68</f>
        <v/>
      </c>
      <c r="F194">
        <f>Doors!$F$68</f>
        <v/>
      </c>
      <c r="G194" t="inlineStr">
        <is>
          <t>Lime Lemon</t>
        </is>
      </c>
      <c r="H194">
        <f>Doors!$G$68</f>
        <v/>
      </c>
      <c r="I194">
        <f>Doors!$J$68</f>
        <v/>
      </c>
      <c r="J194" s="10">
        <f>IF(OR($H194&lt;&gt;"Y",1&lt;$I194),0,IF(SUMPRODUCT(((BULK_ENABLED="Y")*((BULK_TIER="ALL")+(BULK_TIER=$F194))*((BULK_SKU="ALL")+(BULK_SKU=$G194))*(BULK_START&lt;=1)*(BULK_END&gt;=1)))&gt;0,IFERROR(SUMPRODUCT(((BULK_ENABLED="Y")*((BULK_TIER="ALL")+(BULK_TIER=$F194))*((BULK_SKU="ALL")+(BULK_SKU=$G194))*(BULK_START&lt;=1)*(BULK_END&gt;=1))*IFERROR(BULK_VALUE,0))/MAX(1,SUMPRODUCT(((BULK_ENABLED="Y")*((BULK_TIER="ALL")+(BULK_TIER=$F194))*((BULK_SKU="ALL")+(BULK_SKU=$G194))*(BULK_START&lt;=1)*(BULK_END&gt;=1)))),0),ROUND((INDEX(VELOCITY_TABLE,MATCH($F194,TIER_LIST,0),1))*(IF((1-$I194+1)&lt;=0,0,IF((1-$I194+1)=1,RAMP_W1,IF((1-$I194+1)=2,RAMP_W2,IF((1-$I194+1)=3,RAMP_W3,RAMP_W4PLUS)))))*(INDEX(ACTIVE_MULT_TABLE,1,1))*(1+SUMPRODUCT(SIGN(((ACT_DOOR_SCOPE="ALL")+(ACT_DOOR_SCOPE="TIER_"&amp;$F194)+(ACT_DOOR_SCOPE=$B194)))*SIGN(((ACT_SKU_SCOPE="ALL")+(ACT_SKU_SCOPE=$G194)))*(ACT_START&lt;=1)*(ACT_END&gt;=1)*IFERROR(ACT_UPLIFT-1,0)))*(1+SUMPRODUCT(SIGN(((ACT_DOOR_SCOPE="ALL")+(ACT_DOOR_SCOPE="TIER_"&amp;$F194)+(ACT_DOOR_SCOPE=$B194)))*SIGN(((ACT_SKU_SCOPE="ALL")+(ACT_SKU_SCOPE=$G194)))*(1&gt;ACT_END)*(ACT_END&gt;0)*IFERROR(ACT_POSTLIFT,0))),0)))</f>
        <v/>
      </c>
      <c r="K194" s="10">
        <f>IF(OR($H194&lt;&gt;"Y",2&lt;$I194),0,IF(SUMPRODUCT(((BULK_ENABLED="Y")*((BULK_TIER="ALL")+(BULK_TIER=$F194))*((BULK_SKU="ALL")+(BULK_SKU=$G194))*(BULK_START&lt;=2)*(BULK_END&gt;=2)))&gt;0,IFERROR(SUMPRODUCT(((BULK_ENABLED="Y")*((BULK_TIER="ALL")+(BULK_TIER=$F194))*((BULK_SKU="ALL")+(BULK_SKU=$G194))*(BULK_START&lt;=2)*(BULK_END&gt;=2))*IFERROR(BULK_VALUE,0))/MAX(1,SUMPRODUCT(((BULK_ENABLED="Y")*((BULK_TIER="ALL")+(BULK_TIER=$F194))*((BULK_SKU="ALL")+(BULK_SKU=$G194))*(BULK_START&lt;=2)*(BULK_END&gt;=2)))),0),ROUND((INDEX(VELOCITY_TABLE,MATCH($F194,TIER_LIST,0),1))*(IF((2-$I194+1)&lt;=0,0,IF((2-$I194+1)=1,RAMP_W1,IF((2-$I194+1)=2,RAMP_W2,IF((2-$I194+1)=3,RAMP_W3,RAMP_W4PLUS)))))*(INDEX(ACTIVE_MULT_TABLE,1,1))*(1+SUMPRODUCT(SIGN(((ACT_DOOR_SCOPE="ALL")+(ACT_DOOR_SCOPE="TIER_"&amp;$F194)+(ACT_DOOR_SCOPE=$B194)))*SIGN(((ACT_SKU_SCOPE="ALL")+(ACT_SKU_SCOPE=$G194)))*(ACT_START&lt;=2)*(ACT_END&gt;=2)*IFERROR(ACT_UPLIFT-1,0)))*(1+SUMPRODUCT(SIGN(((ACT_DOOR_SCOPE="ALL")+(ACT_DOOR_SCOPE="TIER_"&amp;$F194)+(ACT_DOOR_SCOPE=$B194)))*SIGN(((ACT_SKU_SCOPE="ALL")+(ACT_SKU_SCOPE=$G194)))*(2&gt;ACT_END)*(ACT_END&gt;0)*IFERROR(ACT_POSTLIFT,0))),0)))</f>
        <v/>
      </c>
      <c r="L194" s="10">
        <f>IF(OR($H194&lt;&gt;"Y",3&lt;$I194),0,IF(SUMPRODUCT(((BULK_ENABLED="Y")*((BULK_TIER="ALL")+(BULK_TIER=$F194))*((BULK_SKU="ALL")+(BULK_SKU=$G194))*(BULK_START&lt;=3)*(BULK_END&gt;=3)))&gt;0,IFERROR(SUMPRODUCT(((BULK_ENABLED="Y")*((BULK_TIER="ALL")+(BULK_TIER=$F194))*((BULK_SKU="ALL")+(BULK_SKU=$G194))*(BULK_START&lt;=3)*(BULK_END&gt;=3))*IFERROR(BULK_VALUE,0))/MAX(1,SUMPRODUCT(((BULK_ENABLED="Y")*((BULK_TIER="ALL")+(BULK_TIER=$F194))*((BULK_SKU="ALL")+(BULK_SKU=$G194))*(BULK_START&lt;=3)*(BULK_END&gt;=3)))),0),ROUND((INDEX(VELOCITY_TABLE,MATCH($F194,TIER_LIST,0),1))*(IF((3-$I194+1)&lt;=0,0,IF((3-$I194+1)=1,RAMP_W1,IF((3-$I194+1)=2,RAMP_W2,IF((3-$I194+1)=3,RAMP_W3,RAMP_W4PLUS)))))*(INDEX(ACTIVE_MULT_TABLE,1,1))*(1+SUMPRODUCT(SIGN(((ACT_DOOR_SCOPE="ALL")+(ACT_DOOR_SCOPE="TIER_"&amp;$F194)+(ACT_DOOR_SCOPE=$B194)))*SIGN(((ACT_SKU_SCOPE="ALL")+(ACT_SKU_SCOPE=$G194)))*(ACT_START&lt;=3)*(ACT_END&gt;=3)*IFERROR(ACT_UPLIFT-1,0)))*(1+SUMPRODUCT(SIGN(((ACT_DOOR_SCOPE="ALL")+(ACT_DOOR_SCOPE="TIER_"&amp;$F194)+(ACT_DOOR_SCOPE=$B194)))*SIGN(((ACT_SKU_SCOPE="ALL")+(ACT_SKU_SCOPE=$G194)))*(3&gt;ACT_END)*(ACT_END&gt;0)*IFERROR(ACT_POSTLIFT,0))),0)))</f>
        <v/>
      </c>
      <c r="M194" s="10">
        <f>IF(OR($H194&lt;&gt;"Y",4&lt;$I194),0,IF(SUMPRODUCT(((BULK_ENABLED="Y")*((BULK_TIER="ALL")+(BULK_TIER=$F194))*((BULK_SKU="ALL")+(BULK_SKU=$G194))*(BULK_START&lt;=4)*(BULK_END&gt;=4)))&gt;0,IFERROR(SUMPRODUCT(((BULK_ENABLED="Y")*((BULK_TIER="ALL")+(BULK_TIER=$F194))*((BULK_SKU="ALL")+(BULK_SKU=$G194))*(BULK_START&lt;=4)*(BULK_END&gt;=4))*IFERROR(BULK_VALUE,0))/MAX(1,SUMPRODUCT(((BULK_ENABLED="Y")*((BULK_TIER="ALL")+(BULK_TIER=$F194))*((BULK_SKU="ALL")+(BULK_SKU=$G194))*(BULK_START&lt;=4)*(BULK_END&gt;=4)))),0),ROUND((INDEX(VELOCITY_TABLE,MATCH($F194,TIER_LIST,0),1))*(IF((4-$I194+1)&lt;=0,0,IF((4-$I194+1)=1,RAMP_W1,IF((4-$I194+1)=2,RAMP_W2,IF((4-$I194+1)=3,RAMP_W3,RAMP_W4PLUS)))))*(INDEX(ACTIVE_MULT_TABLE,1,1))*(1+SUMPRODUCT(SIGN(((ACT_DOOR_SCOPE="ALL")+(ACT_DOOR_SCOPE="TIER_"&amp;$F194)+(ACT_DOOR_SCOPE=$B194)))*SIGN(((ACT_SKU_SCOPE="ALL")+(ACT_SKU_SCOPE=$G194)))*(ACT_START&lt;=4)*(ACT_END&gt;=4)*IFERROR(ACT_UPLIFT-1,0)))*(1+SUMPRODUCT(SIGN(((ACT_DOOR_SCOPE="ALL")+(ACT_DOOR_SCOPE="TIER_"&amp;$F194)+(ACT_DOOR_SCOPE=$B194)))*SIGN(((ACT_SKU_SCOPE="ALL")+(ACT_SKU_SCOPE=$G194)))*(4&gt;ACT_END)*(ACT_END&gt;0)*IFERROR(ACT_POSTLIFT,0))),0)))</f>
        <v/>
      </c>
      <c r="N194" s="10">
        <f>IF(OR($H194&lt;&gt;"Y",5&lt;$I194),0,IF(SUMPRODUCT(((BULK_ENABLED="Y")*((BULK_TIER="ALL")+(BULK_TIER=$F194))*((BULK_SKU="ALL")+(BULK_SKU=$G194))*(BULK_START&lt;=5)*(BULK_END&gt;=5)))&gt;0,IFERROR(SUMPRODUCT(((BULK_ENABLED="Y")*((BULK_TIER="ALL")+(BULK_TIER=$F194))*((BULK_SKU="ALL")+(BULK_SKU=$G194))*(BULK_START&lt;=5)*(BULK_END&gt;=5))*IFERROR(BULK_VALUE,0))/MAX(1,SUMPRODUCT(((BULK_ENABLED="Y")*((BULK_TIER="ALL")+(BULK_TIER=$F194))*((BULK_SKU="ALL")+(BULK_SKU=$G194))*(BULK_START&lt;=5)*(BULK_END&gt;=5)))),0),ROUND((INDEX(VELOCITY_TABLE,MATCH($F194,TIER_LIST,0),1))*(IF((5-$I194+1)&lt;=0,0,IF((5-$I194+1)=1,RAMP_W1,IF((5-$I194+1)=2,RAMP_W2,IF((5-$I194+1)=3,RAMP_W3,RAMP_W4PLUS)))))*(INDEX(ACTIVE_MULT_TABLE,1,1))*(1+SUMPRODUCT(SIGN(((ACT_DOOR_SCOPE="ALL")+(ACT_DOOR_SCOPE="TIER_"&amp;$F194)+(ACT_DOOR_SCOPE=$B194)))*SIGN(((ACT_SKU_SCOPE="ALL")+(ACT_SKU_SCOPE=$G194)))*(ACT_START&lt;=5)*(ACT_END&gt;=5)*IFERROR(ACT_UPLIFT-1,0)))*(1+SUMPRODUCT(SIGN(((ACT_DOOR_SCOPE="ALL")+(ACT_DOOR_SCOPE="TIER_"&amp;$F194)+(ACT_DOOR_SCOPE=$B194)))*SIGN(((ACT_SKU_SCOPE="ALL")+(ACT_SKU_SCOPE=$G194)))*(5&gt;ACT_END)*(ACT_END&gt;0)*IFERROR(ACT_POSTLIFT,0))),0)))</f>
        <v/>
      </c>
      <c r="O194" s="10">
        <f>IF(OR($H194&lt;&gt;"Y",6&lt;$I194),0,IF(SUMPRODUCT(((BULK_ENABLED="Y")*((BULK_TIER="ALL")+(BULK_TIER=$F194))*((BULK_SKU="ALL")+(BULK_SKU=$G194))*(BULK_START&lt;=6)*(BULK_END&gt;=6)))&gt;0,IFERROR(SUMPRODUCT(((BULK_ENABLED="Y")*((BULK_TIER="ALL")+(BULK_TIER=$F194))*((BULK_SKU="ALL")+(BULK_SKU=$G194))*(BULK_START&lt;=6)*(BULK_END&gt;=6))*IFERROR(BULK_VALUE,0))/MAX(1,SUMPRODUCT(((BULK_ENABLED="Y")*((BULK_TIER="ALL")+(BULK_TIER=$F194))*((BULK_SKU="ALL")+(BULK_SKU=$G194))*(BULK_START&lt;=6)*(BULK_END&gt;=6)))),0),ROUND((INDEX(VELOCITY_TABLE,MATCH($F194,TIER_LIST,0),1))*(IF((6-$I194+1)&lt;=0,0,IF((6-$I194+1)=1,RAMP_W1,IF((6-$I194+1)=2,RAMP_W2,IF((6-$I194+1)=3,RAMP_W3,RAMP_W4PLUS)))))*(INDEX(ACTIVE_MULT_TABLE,1,1))*(1+SUMPRODUCT(SIGN(((ACT_DOOR_SCOPE="ALL")+(ACT_DOOR_SCOPE="TIER_"&amp;$F194)+(ACT_DOOR_SCOPE=$B194)))*SIGN(((ACT_SKU_SCOPE="ALL")+(ACT_SKU_SCOPE=$G194)))*(ACT_START&lt;=6)*(ACT_END&gt;=6)*IFERROR(ACT_UPLIFT-1,0)))*(1+SUMPRODUCT(SIGN(((ACT_DOOR_SCOPE="ALL")+(ACT_DOOR_SCOPE="TIER_"&amp;$F194)+(ACT_DOOR_SCOPE=$B194)))*SIGN(((ACT_SKU_SCOPE="ALL")+(ACT_SKU_SCOPE=$G194)))*(6&gt;ACT_END)*(ACT_END&gt;0)*IFERROR(ACT_POSTLIFT,0))),0)))</f>
        <v/>
      </c>
      <c r="P194" s="10">
        <f>IF(OR($H194&lt;&gt;"Y",7&lt;$I194),0,IF(SUMPRODUCT(((BULK_ENABLED="Y")*((BULK_TIER="ALL")+(BULK_TIER=$F194))*((BULK_SKU="ALL")+(BULK_SKU=$G194))*(BULK_START&lt;=7)*(BULK_END&gt;=7)))&gt;0,IFERROR(SUMPRODUCT(((BULK_ENABLED="Y")*((BULK_TIER="ALL")+(BULK_TIER=$F194))*((BULK_SKU="ALL")+(BULK_SKU=$G194))*(BULK_START&lt;=7)*(BULK_END&gt;=7))*IFERROR(BULK_VALUE,0))/MAX(1,SUMPRODUCT(((BULK_ENABLED="Y")*((BULK_TIER="ALL")+(BULK_TIER=$F194))*((BULK_SKU="ALL")+(BULK_SKU=$G194))*(BULK_START&lt;=7)*(BULK_END&gt;=7)))),0),ROUND((INDEX(VELOCITY_TABLE,MATCH($F194,TIER_LIST,0),1))*(IF((7-$I194+1)&lt;=0,0,IF((7-$I194+1)=1,RAMP_W1,IF((7-$I194+1)=2,RAMP_W2,IF((7-$I194+1)=3,RAMP_W3,RAMP_W4PLUS)))))*(INDEX(ACTIVE_MULT_TABLE,1,1))*(1+SUMPRODUCT(SIGN(((ACT_DOOR_SCOPE="ALL")+(ACT_DOOR_SCOPE="TIER_"&amp;$F194)+(ACT_DOOR_SCOPE=$B194)))*SIGN(((ACT_SKU_SCOPE="ALL")+(ACT_SKU_SCOPE=$G194)))*(ACT_START&lt;=7)*(ACT_END&gt;=7)*IFERROR(ACT_UPLIFT-1,0)))*(1+SUMPRODUCT(SIGN(((ACT_DOOR_SCOPE="ALL")+(ACT_DOOR_SCOPE="TIER_"&amp;$F194)+(ACT_DOOR_SCOPE=$B194)))*SIGN(((ACT_SKU_SCOPE="ALL")+(ACT_SKU_SCOPE=$G194)))*(7&gt;ACT_END)*(ACT_END&gt;0)*IFERROR(ACT_POSTLIFT,0))),0)))</f>
        <v/>
      </c>
      <c r="Q194" s="10">
        <f>IF(OR($H194&lt;&gt;"Y",8&lt;$I194),0,IF(SUMPRODUCT(((BULK_ENABLED="Y")*((BULK_TIER="ALL")+(BULK_TIER=$F194))*((BULK_SKU="ALL")+(BULK_SKU=$G194))*(BULK_START&lt;=8)*(BULK_END&gt;=8)))&gt;0,IFERROR(SUMPRODUCT(((BULK_ENABLED="Y")*((BULK_TIER="ALL")+(BULK_TIER=$F194))*((BULK_SKU="ALL")+(BULK_SKU=$G194))*(BULK_START&lt;=8)*(BULK_END&gt;=8))*IFERROR(BULK_VALUE,0))/MAX(1,SUMPRODUCT(((BULK_ENABLED="Y")*((BULK_TIER="ALL")+(BULK_TIER=$F194))*((BULK_SKU="ALL")+(BULK_SKU=$G194))*(BULK_START&lt;=8)*(BULK_END&gt;=8)))),0),ROUND((INDEX(VELOCITY_TABLE,MATCH($F194,TIER_LIST,0),1))*(IF((8-$I194+1)&lt;=0,0,IF((8-$I194+1)=1,RAMP_W1,IF((8-$I194+1)=2,RAMP_W2,IF((8-$I194+1)=3,RAMP_W3,RAMP_W4PLUS)))))*(INDEX(ACTIVE_MULT_TABLE,1,1))*(1+SUMPRODUCT(SIGN(((ACT_DOOR_SCOPE="ALL")+(ACT_DOOR_SCOPE="TIER_"&amp;$F194)+(ACT_DOOR_SCOPE=$B194)))*SIGN(((ACT_SKU_SCOPE="ALL")+(ACT_SKU_SCOPE=$G194)))*(ACT_START&lt;=8)*(ACT_END&gt;=8)*IFERROR(ACT_UPLIFT-1,0)))*(1+SUMPRODUCT(SIGN(((ACT_DOOR_SCOPE="ALL")+(ACT_DOOR_SCOPE="TIER_"&amp;$F194)+(ACT_DOOR_SCOPE=$B194)))*SIGN(((ACT_SKU_SCOPE="ALL")+(ACT_SKU_SCOPE=$G194)))*(8&gt;ACT_END)*(ACT_END&gt;0)*IFERROR(ACT_POSTLIFT,0))),0)))</f>
        <v/>
      </c>
      <c r="R194" s="10">
        <f>IF(OR($H194&lt;&gt;"Y",9&lt;$I194),0,IF(SUMPRODUCT(((BULK_ENABLED="Y")*((BULK_TIER="ALL")+(BULK_TIER=$F194))*((BULK_SKU="ALL")+(BULK_SKU=$G194))*(BULK_START&lt;=9)*(BULK_END&gt;=9)))&gt;0,IFERROR(SUMPRODUCT(((BULK_ENABLED="Y")*((BULK_TIER="ALL")+(BULK_TIER=$F194))*((BULK_SKU="ALL")+(BULK_SKU=$G194))*(BULK_START&lt;=9)*(BULK_END&gt;=9))*IFERROR(BULK_VALUE,0))/MAX(1,SUMPRODUCT(((BULK_ENABLED="Y")*((BULK_TIER="ALL")+(BULK_TIER=$F194))*((BULK_SKU="ALL")+(BULK_SKU=$G194))*(BULK_START&lt;=9)*(BULK_END&gt;=9)))),0),ROUND((INDEX(VELOCITY_TABLE,MATCH($F194,TIER_LIST,0),1))*(IF((9-$I194+1)&lt;=0,0,IF((9-$I194+1)=1,RAMP_W1,IF((9-$I194+1)=2,RAMP_W2,IF((9-$I194+1)=3,RAMP_W3,RAMP_W4PLUS)))))*(INDEX(ACTIVE_MULT_TABLE,1,1))*(1+SUMPRODUCT(SIGN(((ACT_DOOR_SCOPE="ALL")+(ACT_DOOR_SCOPE="TIER_"&amp;$F194)+(ACT_DOOR_SCOPE=$B194)))*SIGN(((ACT_SKU_SCOPE="ALL")+(ACT_SKU_SCOPE=$G194)))*(ACT_START&lt;=9)*(ACT_END&gt;=9)*IFERROR(ACT_UPLIFT-1,0)))*(1+SUMPRODUCT(SIGN(((ACT_DOOR_SCOPE="ALL")+(ACT_DOOR_SCOPE="TIER_"&amp;$F194)+(ACT_DOOR_SCOPE=$B194)))*SIGN(((ACT_SKU_SCOPE="ALL")+(ACT_SKU_SCOPE=$G194)))*(9&gt;ACT_END)*(ACT_END&gt;0)*IFERROR(ACT_POSTLIFT,0))),0)))</f>
        <v/>
      </c>
      <c r="S194" s="10">
        <f>IF(OR($H194&lt;&gt;"Y",10&lt;$I194),0,IF(SUMPRODUCT(((BULK_ENABLED="Y")*((BULK_TIER="ALL")+(BULK_TIER=$F194))*((BULK_SKU="ALL")+(BULK_SKU=$G194))*(BULK_START&lt;=10)*(BULK_END&gt;=10)))&gt;0,IFERROR(SUMPRODUCT(((BULK_ENABLED="Y")*((BULK_TIER="ALL")+(BULK_TIER=$F194))*((BULK_SKU="ALL")+(BULK_SKU=$G194))*(BULK_START&lt;=10)*(BULK_END&gt;=10))*IFERROR(BULK_VALUE,0))/MAX(1,SUMPRODUCT(((BULK_ENABLED="Y")*((BULK_TIER="ALL")+(BULK_TIER=$F194))*((BULK_SKU="ALL")+(BULK_SKU=$G194))*(BULK_START&lt;=10)*(BULK_END&gt;=10)))),0),ROUND((INDEX(VELOCITY_TABLE,MATCH($F194,TIER_LIST,0),1))*(IF((10-$I194+1)&lt;=0,0,IF((10-$I194+1)=1,RAMP_W1,IF((10-$I194+1)=2,RAMP_W2,IF((10-$I194+1)=3,RAMP_W3,RAMP_W4PLUS)))))*(INDEX(ACTIVE_MULT_TABLE,1,1))*(1+SUMPRODUCT(SIGN(((ACT_DOOR_SCOPE="ALL")+(ACT_DOOR_SCOPE="TIER_"&amp;$F194)+(ACT_DOOR_SCOPE=$B194)))*SIGN(((ACT_SKU_SCOPE="ALL")+(ACT_SKU_SCOPE=$G194)))*(ACT_START&lt;=10)*(ACT_END&gt;=10)*IFERROR(ACT_UPLIFT-1,0)))*(1+SUMPRODUCT(SIGN(((ACT_DOOR_SCOPE="ALL")+(ACT_DOOR_SCOPE="TIER_"&amp;$F194)+(ACT_DOOR_SCOPE=$B194)))*SIGN(((ACT_SKU_SCOPE="ALL")+(ACT_SKU_SCOPE=$G194)))*(10&gt;ACT_END)*(ACT_END&gt;0)*IFERROR(ACT_POSTLIFT,0))),0)))</f>
        <v/>
      </c>
      <c r="T194" s="10">
        <f>IF(OR($H194&lt;&gt;"Y",11&lt;$I194),0,IF(SUMPRODUCT(((BULK_ENABLED="Y")*((BULK_TIER="ALL")+(BULK_TIER=$F194))*((BULK_SKU="ALL")+(BULK_SKU=$G194))*(BULK_START&lt;=11)*(BULK_END&gt;=11)))&gt;0,IFERROR(SUMPRODUCT(((BULK_ENABLED="Y")*((BULK_TIER="ALL")+(BULK_TIER=$F194))*((BULK_SKU="ALL")+(BULK_SKU=$G194))*(BULK_START&lt;=11)*(BULK_END&gt;=11))*IFERROR(BULK_VALUE,0))/MAX(1,SUMPRODUCT(((BULK_ENABLED="Y")*((BULK_TIER="ALL")+(BULK_TIER=$F194))*((BULK_SKU="ALL")+(BULK_SKU=$G194))*(BULK_START&lt;=11)*(BULK_END&gt;=11)))),0),ROUND((INDEX(VELOCITY_TABLE,MATCH($F194,TIER_LIST,0),1))*(IF((11-$I194+1)&lt;=0,0,IF((11-$I194+1)=1,RAMP_W1,IF((11-$I194+1)=2,RAMP_W2,IF((11-$I194+1)=3,RAMP_W3,RAMP_W4PLUS)))))*(INDEX(ACTIVE_MULT_TABLE,1,1))*(1+SUMPRODUCT(SIGN(((ACT_DOOR_SCOPE="ALL")+(ACT_DOOR_SCOPE="TIER_"&amp;$F194)+(ACT_DOOR_SCOPE=$B194)))*SIGN(((ACT_SKU_SCOPE="ALL")+(ACT_SKU_SCOPE=$G194)))*(ACT_START&lt;=11)*(ACT_END&gt;=11)*IFERROR(ACT_UPLIFT-1,0)))*(1+SUMPRODUCT(SIGN(((ACT_DOOR_SCOPE="ALL")+(ACT_DOOR_SCOPE="TIER_"&amp;$F194)+(ACT_DOOR_SCOPE=$B194)))*SIGN(((ACT_SKU_SCOPE="ALL")+(ACT_SKU_SCOPE=$G194)))*(11&gt;ACT_END)*(ACT_END&gt;0)*IFERROR(ACT_POSTLIFT,0))),0)))</f>
        <v/>
      </c>
      <c r="U194" s="10">
        <f>IF(OR($H194&lt;&gt;"Y",12&lt;$I194),0,IF(SUMPRODUCT(((BULK_ENABLED="Y")*((BULK_TIER="ALL")+(BULK_TIER=$F194))*((BULK_SKU="ALL")+(BULK_SKU=$G194))*(BULK_START&lt;=12)*(BULK_END&gt;=12)))&gt;0,IFERROR(SUMPRODUCT(((BULK_ENABLED="Y")*((BULK_TIER="ALL")+(BULK_TIER=$F194))*((BULK_SKU="ALL")+(BULK_SKU=$G194))*(BULK_START&lt;=12)*(BULK_END&gt;=12))*IFERROR(BULK_VALUE,0))/MAX(1,SUMPRODUCT(((BULK_ENABLED="Y")*((BULK_TIER="ALL")+(BULK_TIER=$F194))*((BULK_SKU="ALL")+(BULK_SKU=$G194))*(BULK_START&lt;=12)*(BULK_END&gt;=12)))),0),ROUND((INDEX(VELOCITY_TABLE,MATCH($F194,TIER_LIST,0),1))*(IF((12-$I194+1)&lt;=0,0,IF((12-$I194+1)=1,RAMP_W1,IF((12-$I194+1)=2,RAMP_W2,IF((12-$I194+1)=3,RAMP_W3,RAMP_W4PLUS)))))*(INDEX(ACTIVE_MULT_TABLE,1,1))*(1+SUMPRODUCT(SIGN(((ACT_DOOR_SCOPE="ALL")+(ACT_DOOR_SCOPE="TIER_"&amp;$F194)+(ACT_DOOR_SCOPE=$B194)))*SIGN(((ACT_SKU_SCOPE="ALL")+(ACT_SKU_SCOPE=$G194)))*(ACT_START&lt;=12)*(ACT_END&gt;=12)*IFERROR(ACT_UPLIFT-1,0)))*(1+SUMPRODUCT(SIGN(((ACT_DOOR_SCOPE="ALL")+(ACT_DOOR_SCOPE="TIER_"&amp;$F194)+(ACT_DOOR_SCOPE=$B194)))*SIGN(((ACT_SKU_SCOPE="ALL")+(ACT_SKU_SCOPE=$G194)))*(12&gt;ACT_END)*(ACT_END&gt;0)*IFERROR(ACT_POSTLIFT,0))),0)))</f>
        <v/>
      </c>
      <c r="V194" s="10">
        <f>IF(OR($H194&lt;&gt;"Y",13&lt;$I194),0,IF(SUMPRODUCT(((BULK_ENABLED="Y")*((BULK_TIER="ALL")+(BULK_TIER=$F194))*((BULK_SKU="ALL")+(BULK_SKU=$G194))*(BULK_START&lt;=13)*(BULK_END&gt;=13)))&gt;0,IFERROR(SUMPRODUCT(((BULK_ENABLED="Y")*((BULK_TIER="ALL")+(BULK_TIER=$F194))*((BULK_SKU="ALL")+(BULK_SKU=$G194))*(BULK_START&lt;=13)*(BULK_END&gt;=13))*IFERROR(BULK_VALUE,0))/MAX(1,SUMPRODUCT(((BULK_ENABLED="Y")*((BULK_TIER="ALL")+(BULK_TIER=$F194))*((BULK_SKU="ALL")+(BULK_SKU=$G194))*(BULK_START&lt;=13)*(BULK_END&gt;=13)))),0),ROUND((INDEX(VELOCITY_TABLE,MATCH($F194,TIER_LIST,0),1))*(IF((13-$I194+1)&lt;=0,0,IF((13-$I194+1)=1,RAMP_W1,IF((13-$I194+1)=2,RAMP_W2,IF((13-$I194+1)=3,RAMP_W3,RAMP_W4PLUS)))))*(INDEX(ACTIVE_MULT_TABLE,1,1))*(1+SUMPRODUCT(SIGN(((ACT_DOOR_SCOPE="ALL")+(ACT_DOOR_SCOPE="TIER_"&amp;$F194)+(ACT_DOOR_SCOPE=$B194)))*SIGN(((ACT_SKU_SCOPE="ALL")+(ACT_SKU_SCOPE=$G194)))*(ACT_START&lt;=13)*(ACT_END&gt;=13)*IFERROR(ACT_UPLIFT-1,0)))*(1+SUMPRODUCT(SIGN(((ACT_DOOR_SCOPE="ALL")+(ACT_DOOR_SCOPE="TIER_"&amp;$F194)+(ACT_DOOR_SCOPE=$B194)))*SIGN(((ACT_SKU_SCOPE="ALL")+(ACT_SKU_SCOPE=$G194)))*(13&gt;ACT_END)*(ACT_END&gt;0)*IFERROR(ACT_POSTLIFT,0))),0)))</f>
        <v/>
      </c>
    </row>
    <row r="195">
      <c r="A195" t="inlineStr">
        <is>
          <t>R0191</t>
        </is>
      </c>
      <c r="B195">
        <f>Doors!$A$68</f>
        <v/>
      </c>
      <c r="C195">
        <f>Doors!$C$68</f>
        <v/>
      </c>
      <c r="D195">
        <f>Doors!$B$68</f>
        <v/>
      </c>
      <c r="E195">
        <f>Doors!$E$68</f>
        <v/>
      </c>
      <c r="F195">
        <f>Doors!$F$68</f>
        <v/>
      </c>
      <c r="G195" t="inlineStr">
        <is>
          <t>Pineapple Passion Fruit</t>
        </is>
      </c>
      <c r="H195">
        <f>Doors!$H$68</f>
        <v/>
      </c>
      <c r="I195">
        <f>Doors!$J$68</f>
        <v/>
      </c>
      <c r="J195" s="10">
        <f>IF(OR($H195&lt;&gt;"Y",1&lt;$I195),0,IF(SUMPRODUCT(((BULK_ENABLED="Y")*((BULK_TIER="ALL")+(BULK_TIER=$F195))*((BULK_SKU="ALL")+(BULK_SKU=$G195))*(BULK_START&lt;=1)*(BULK_END&gt;=1)))&gt;0,IFERROR(SUMPRODUCT(((BULK_ENABLED="Y")*((BULK_TIER="ALL")+(BULK_TIER=$F195))*((BULK_SKU="ALL")+(BULK_SKU=$G195))*(BULK_START&lt;=1)*(BULK_END&gt;=1))*IFERROR(BULK_VALUE,0))/MAX(1,SUMPRODUCT(((BULK_ENABLED="Y")*((BULK_TIER="ALL")+(BULK_TIER=$F195))*((BULK_SKU="ALL")+(BULK_SKU=$G195))*(BULK_START&lt;=1)*(BULK_END&gt;=1)))),0),ROUND((INDEX(VELOCITY_TABLE,MATCH($F195,TIER_LIST,0),2))*(IF((1-$I195+1)&lt;=0,0,IF((1-$I195+1)=1,RAMP_W1,IF((1-$I195+1)=2,RAMP_W2,IF((1-$I195+1)=3,RAMP_W3,RAMP_W4PLUS)))))*(INDEX(ACTIVE_MULT_TABLE,2,1))*(1+SUMPRODUCT(SIGN(((ACT_DOOR_SCOPE="ALL")+(ACT_DOOR_SCOPE="TIER_"&amp;$F195)+(ACT_DOOR_SCOPE=$B195)))*SIGN(((ACT_SKU_SCOPE="ALL")+(ACT_SKU_SCOPE=$G195)))*(ACT_START&lt;=1)*(ACT_END&gt;=1)*IFERROR(ACT_UPLIFT-1,0)))*(1+SUMPRODUCT(SIGN(((ACT_DOOR_SCOPE="ALL")+(ACT_DOOR_SCOPE="TIER_"&amp;$F195)+(ACT_DOOR_SCOPE=$B195)))*SIGN(((ACT_SKU_SCOPE="ALL")+(ACT_SKU_SCOPE=$G195)))*(1&gt;ACT_END)*(ACT_END&gt;0)*IFERROR(ACT_POSTLIFT,0))),0)))</f>
        <v/>
      </c>
      <c r="K195" s="10">
        <f>IF(OR($H195&lt;&gt;"Y",2&lt;$I195),0,IF(SUMPRODUCT(((BULK_ENABLED="Y")*((BULK_TIER="ALL")+(BULK_TIER=$F195))*((BULK_SKU="ALL")+(BULK_SKU=$G195))*(BULK_START&lt;=2)*(BULK_END&gt;=2)))&gt;0,IFERROR(SUMPRODUCT(((BULK_ENABLED="Y")*((BULK_TIER="ALL")+(BULK_TIER=$F195))*((BULK_SKU="ALL")+(BULK_SKU=$G195))*(BULK_START&lt;=2)*(BULK_END&gt;=2))*IFERROR(BULK_VALUE,0))/MAX(1,SUMPRODUCT(((BULK_ENABLED="Y")*((BULK_TIER="ALL")+(BULK_TIER=$F195))*((BULK_SKU="ALL")+(BULK_SKU=$G195))*(BULK_START&lt;=2)*(BULK_END&gt;=2)))),0),ROUND((INDEX(VELOCITY_TABLE,MATCH($F195,TIER_LIST,0),2))*(IF((2-$I195+1)&lt;=0,0,IF((2-$I195+1)=1,RAMP_W1,IF((2-$I195+1)=2,RAMP_W2,IF((2-$I195+1)=3,RAMP_W3,RAMP_W4PLUS)))))*(INDEX(ACTIVE_MULT_TABLE,2,1))*(1+SUMPRODUCT(SIGN(((ACT_DOOR_SCOPE="ALL")+(ACT_DOOR_SCOPE="TIER_"&amp;$F195)+(ACT_DOOR_SCOPE=$B195)))*SIGN(((ACT_SKU_SCOPE="ALL")+(ACT_SKU_SCOPE=$G195)))*(ACT_START&lt;=2)*(ACT_END&gt;=2)*IFERROR(ACT_UPLIFT-1,0)))*(1+SUMPRODUCT(SIGN(((ACT_DOOR_SCOPE="ALL")+(ACT_DOOR_SCOPE="TIER_"&amp;$F195)+(ACT_DOOR_SCOPE=$B195)))*SIGN(((ACT_SKU_SCOPE="ALL")+(ACT_SKU_SCOPE=$G195)))*(2&gt;ACT_END)*(ACT_END&gt;0)*IFERROR(ACT_POSTLIFT,0))),0)))</f>
        <v/>
      </c>
      <c r="L195" s="10">
        <f>IF(OR($H195&lt;&gt;"Y",3&lt;$I195),0,IF(SUMPRODUCT(((BULK_ENABLED="Y")*((BULK_TIER="ALL")+(BULK_TIER=$F195))*((BULK_SKU="ALL")+(BULK_SKU=$G195))*(BULK_START&lt;=3)*(BULK_END&gt;=3)))&gt;0,IFERROR(SUMPRODUCT(((BULK_ENABLED="Y")*((BULK_TIER="ALL")+(BULK_TIER=$F195))*((BULK_SKU="ALL")+(BULK_SKU=$G195))*(BULK_START&lt;=3)*(BULK_END&gt;=3))*IFERROR(BULK_VALUE,0))/MAX(1,SUMPRODUCT(((BULK_ENABLED="Y")*((BULK_TIER="ALL")+(BULK_TIER=$F195))*((BULK_SKU="ALL")+(BULK_SKU=$G195))*(BULK_START&lt;=3)*(BULK_END&gt;=3)))),0),ROUND((INDEX(VELOCITY_TABLE,MATCH($F195,TIER_LIST,0),2))*(IF((3-$I195+1)&lt;=0,0,IF((3-$I195+1)=1,RAMP_W1,IF((3-$I195+1)=2,RAMP_W2,IF((3-$I195+1)=3,RAMP_W3,RAMP_W4PLUS)))))*(INDEX(ACTIVE_MULT_TABLE,2,1))*(1+SUMPRODUCT(SIGN(((ACT_DOOR_SCOPE="ALL")+(ACT_DOOR_SCOPE="TIER_"&amp;$F195)+(ACT_DOOR_SCOPE=$B195)))*SIGN(((ACT_SKU_SCOPE="ALL")+(ACT_SKU_SCOPE=$G195)))*(ACT_START&lt;=3)*(ACT_END&gt;=3)*IFERROR(ACT_UPLIFT-1,0)))*(1+SUMPRODUCT(SIGN(((ACT_DOOR_SCOPE="ALL")+(ACT_DOOR_SCOPE="TIER_"&amp;$F195)+(ACT_DOOR_SCOPE=$B195)))*SIGN(((ACT_SKU_SCOPE="ALL")+(ACT_SKU_SCOPE=$G195)))*(3&gt;ACT_END)*(ACT_END&gt;0)*IFERROR(ACT_POSTLIFT,0))),0)))</f>
        <v/>
      </c>
      <c r="M195" s="10">
        <f>IF(OR($H195&lt;&gt;"Y",4&lt;$I195),0,IF(SUMPRODUCT(((BULK_ENABLED="Y")*((BULK_TIER="ALL")+(BULK_TIER=$F195))*((BULK_SKU="ALL")+(BULK_SKU=$G195))*(BULK_START&lt;=4)*(BULK_END&gt;=4)))&gt;0,IFERROR(SUMPRODUCT(((BULK_ENABLED="Y")*((BULK_TIER="ALL")+(BULK_TIER=$F195))*((BULK_SKU="ALL")+(BULK_SKU=$G195))*(BULK_START&lt;=4)*(BULK_END&gt;=4))*IFERROR(BULK_VALUE,0))/MAX(1,SUMPRODUCT(((BULK_ENABLED="Y")*((BULK_TIER="ALL")+(BULK_TIER=$F195))*((BULK_SKU="ALL")+(BULK_SKU=$G195))*(BULK_START&lt;=4)*(BULK_END&gt;=4)))),0),ROUND((INDEX(VELOCITY_TABLE,MATCH($F195,TIER_LIST,0),2))*(IF((4-$I195+1)&lt;=0,0,IF((4-$I195+1)=1,RAMP_W1,IF((4-$I195+1)=2,RAMP_W2,IF((4-$I195+1)=3,RAMP_W3,RAMP_W4PLUS)))))*(INDEX(ACTIVE_MULT_TABLE,2,1))*(1+SUMPRODUCT(SIGN(((ACT_DOOR_SCOPE="ALL")+(ACT_DOOR_SCOPE="TIER_"&amp;$F195)+(ACT_DOOR_SCOPE=$B195)))*SIGN(((ACT_SKU_SCOPE="ALL")+(ACT_SKU_SCOPE=$G195)))*(ACT_START&lt;=4)*(ACT_END&gt;=4)*IFERROR(ACT_UPLIFT-1,0)))*(1+SUMPRODUCT(SIGN(((ACT_DOOR_SCOPE="ALL")+(ACT_DOOR_SCOPE="TIER_"&amp;$F195)+(ACT_DOOR_SCOPE=$B195)))*SIGN(((ACT_SKU_SCOPE="ALL")+(ACT_SKU_SCOPE=$G195)))*(4&gt;ACT_END)*(ACT_END&gt;0)*IFERROR(ACT_POSTLIFT,0))),0)))</f>
        <v/>
      </c>
      <c r="N195" s="10">
        <f>IF(OR($H195&lt;&gt;"Y",5&lt;$I195),0,IF(SUMPRODUCT(((BULK_ENABLED="Y")*((BULK_TIER="ALL")+(BULK_TIER=$F195))*((BULK_SKU="ALL")+(BULK_SKU=$G195))*(BULK_START&lt;=5)*(BULK_END&gt;=5)))&gt;0,IFERROR(SUMPRODUCT(((BULK_ENABLED="Y")*((BULK_TIER="ALL")+(BULK_TIER=$F195))*((BULK_SKU="ALL")+(BULK_SKU=$G195))*(BULK_START&lt;=5)*(BULK_END&gt;=5))*IFERROR(BULK_VALUE,0))/MAX(1,SUMPRODUCT(((BULK_ENABLED="Y")*((BULK_TIER="ALL")+(BULK_TIER=$F195))*((BULK_SKU="ALL")+(BULK_SKU=$G195))*(BULK_START&lt;=5)*(BULK_END&gt;=5)))),0),ROUND((INDEX(VELOCITY_TABLE,MATCH($F195,TIER_LIST,0),2))*(IF((5-$I195+1)&lt;=0,0,IF((5-$I195+1)=1,RAMP_W1,IF((5-$I195+1)=2,RAMP_W2,IF((5-$I195+1)=3,RAMP_W3,RAMP_W4PLUS)))))*(INDEX(ACTIVE_MULT_TABLE,2,1))*(1+SUMPRODUCT(SIGN(((ACT_DOOR_SCOPE="ALL")+(ACT_DOOR_SCOPE="TIER_"&amp;$F195)+(ACT_DOOR_SCOPE=$B195)))*SIGN(((ACT_SKU_SCOPE="ALL")+(ACT_SKU_SCOPE=$G195)))*(ACT_START&lt;=5)*(ACT_END&gt;=5)*IFERROR(ACT_UPLIFT-1,0)))*(1+SUMPRODUCT(SIGN(((ACT_DOOR_SCOPE="ALL")+(ACT_DOOR_SCOPE="TIER_"&amp;$F195)+(ACT_DOOR_SCOPE=$B195)))*SIGN(((ACT_SKU_SCOPE="ALL")+(ACT_SKU_SCOPE=$G195)))*(5&gt;ACT_END)*(ACT_END&gt;0)*IFERROR(ACT_POSTLIFT,0))),0)))</f>
        <v/>
      </c>
      <c r="O195" s="10">
        <f>IF(OR($H195&lt;&gt;"Y",6&lt;$I195),0,IF(SUMPRODUCT(((BULK_ENABLED="Y")*((BULK_TIER="ALL")+(BULK_TIER=$F195))*((BULK_SKU="ALL")+(BULK_SKU=$G195))*(BULK_START&lt;=6)*(BULK_END&gt;=6)))&gt;0,IFERROR(SUMPRODUCT(((BULK_ENABLED="Y")*((BULK_TIER="ALL")+(BULK_TIER=$F195))*((BULK_SKU="ALL")+(BULK_SKU=$G195))*(BULK_START&lt;=6)*(BULK_END&gt;=6))*IFERROR(BULK_VALUE,0))/MAX(1,SUMPRODUCT(((BULK_ENABLED="Y")*((BULK_TIER="ALL")+(BULK_TIER=$F195))*((BULK_SKU="ALL")+(BULK_SKU=$G195))*(BULK_START&lt;=6)*(BULK_END&gt;=6)))),0),ROUND((INDEX(VELOCITY_TABLE,MATCH($F195,TIER_LIST,0),2))*(IF((6-$I195+1)&lt;=0,0,IF((6-$I195+1)=1,RAMP_W1,IF((6-$I195+1)=2,RAMP_W2,IF((6-$I195+1)=3,RAMP_W3,RAMP_W4PLUS)))))*(INDEX(ACTIVE_MULT_TABLE,2,1))*(1+SUMPRODUCT(SIGN(((ACT_DOOR_SCOPE="ALL")+(ACT_DOOR_SCOPE="TIER_"&amp;$F195)+(ACT_DOOR_SCOPE=$B195)))*SIGN(((ACT_SKU_SCOPE="ALL")+(ACT_SKU_SCOPE=$G195)))*(ACT_START&lt;=6)*(ACT_END&gt;=6)*IFERROR(ACT_UPLIFT-1,0)))*(1+SUMPRODUCT(SIGN(((ACT_DOOR_SCOPE="ALL")+(ACT_DOOR_SCOPE="TIER_"&amp;$F195)+(ACT_DOOR_SCOPE=$B195)))*SIGN(((ACT_SKU_SCOPE="ALL")+(ACT_SKU_SCOPE=$G195)))*(6&gt;ACT_END)*(ACT_END&gt;0)*IFERROR(ACT_POSTLIFT,0))),0)))</f>
        <v/>
      </c>
      <c r="P195" s="10">
        <f>IF(OR($H195&lt;&gt;"Y",7&lt;$I195),0,IF(SUMPRODUCT(((BULK_ENABLED="Y")*((BULK_TIER="ALL")+(BULK_TIER=$F195))*((BULK_SKU="ALL")+(BULK_SKU=$G195))*(BULK_START&lt;=7)*(BULK_END&gt;=7)))&gt;0,IFERROR(SUMPRODUCT(((BULK_ENABLED="Y")*((BULK_TIER="ALL")+(BULK_TIER=$F195))*((BULK_SKU="ALL")+(BULK_SKU=$G195))*(BULK_START&lt;=7)*(BULK_END&gt;=7))*IFERROR(BULK_VALUE,0))/MAX(1,SUMPRODUCT(((BULK_ENABLED="Y")*((BULK_TIER="ALL")+(BULK_TIER=$F195))*((BULK_SKU="ALL")+(BULK_SKU=$G195))*(BULK_START&lt;=7)*(BULK_END&gt;=7)))),0),ROUND((INDEX(VELOCITY_TABLE,MATCH($F195,TIER_LIST,0),2))*(IF((7-$I195+1)&lt;=0,0,IF((7-$I195+1)=1,RAMP_W1,IF((7-$I195+1)=2,RAMP_W2,IF((7-$I195+1)=3,RAMP_W3,RAMP_W4PLUS)))))*(INDEX(ACTIVE_MULT_TABLE,2,1))*(1+SUMPRODUCT(SIGN(((ACT_DOOR_SCOPE="ALL")+(ACT_DOOR_SCOPE="TIER_"&amp;$F195)+(ACT_DOOR_SCOPE=$B195)))*SIGN(((ACT_SKU_SCOPE="ALL")+(ACT_SKU_SCOPE=$G195)))*(ACT_START&lt;=7)*(ACT_END&gt;=7)*IFERROR(ACT_UPLIFT-1,0)))*(1+SUMPRODUCT(SIGN(((ACT_DOOR_SCOPE="ALL")+(ACT_DOOR_SCOPE="TIER_"&amp;$F195)+(ACT_DOOR_SCOPE=$B195)))*SIGN(((ACT_SKU_SCOPE="ALL")+(ACT_SKU_SCOPE=$G195)))*(7&gt;ACT_END)*(ACT_END&gt;0)*IFERROR(ACT_POSTLIFT,0))),0)))</f>
        <v/>
      </c>
      <c r="Q195" s="10">
        <f>IF(OR($H195&lt;&gt;"Y",8&lt;$I195),0,IF(SUMPRODUCT(((BULK_ENABLED="Y")*((BULK_TIER="ALL")+(BULK_TIER=$F195))*((BULK_SKU="ALL")+(BULK_SKU=$G195))*(BULK_START&lt;=8)*(BULK_END&gt;=8)))&gt;0,IFERROR(SUMPRODUCT(((BULK_ENABLED="Y")*((BULK_TIER="ALL")+(BULK_TIER=$F195))*((BULK_SKU="ALL")+(BULK_SKU=$G195))*(BULK_START&lt;=8)*(BULK_END&gt;=8))*IFERROR(BULK_VALUE,0))/MAX(1,SUMPRODUCT(((BULK_ENABLED="Y")*((BULK_TIER="ALL")+(BULK_TIER=$F195))*((BULK_SKU="ALL")+(BULK_SKU=$G195))*(BULK_START&lt;=8)*(BULK_END&gt;=8)))),0),ROUND((INDEX(VELOCITY_TABLE,MATCH($F195,TIER_LIST,0),2))*(IF((8-$I195+1)&lt;=0,0,IF((8-$I195+1)=1,RAMP_W1,IF((8-$I195+1)=2,RAMP_W2,IF((8-$I195+1)=3,RAMP_W3,RAMP_W4PLUS)))))*(INDEX(ACTIVE_MULT_TABLE,2,1))*(1+SUMPRODUCT(SIGN(((ACT_DOOR_SCOPE="ALL")+(ACT_DOOR_SCOPE="TIER_"&amp;$F195)+(ACT_DOOR_SCOPE=$B195)))*SIGN(((ACT_SKU_SCOPE="ALL")+(ACT_SKU_SCOPE=$G195)))*(ACT_START&lt;=8)*(ACT_END&gt;=8)*IFERROR(ACT_UPLIFT-1,0)))*(1+SUMPRODUCT(SIGN(((ACT_DOOR_SCOPE="ALL")+(ACT_DOOR_SCOPE="TIER_"&amp;$F195)+(ACT_DOOR_SCOPE=$B195)))*SIGN(((ACT_SKU_SCOPE="ALL")+(ACT_SKU_SCOPE=$G195)))*(8&gt;ACT_END)*(ACT_END&gt;0)*IFERROR(ACT_POSTLIFT,0))),0)))</f>
        <v/>
      </c>
      <c r="R195" s="10">
        <f>IF(OR($H195&lt;&gt;"Y",9&lt;$I195),0,IF(SUMPRODUCT(((BULK_ENABLED="Y")*((BULK_TIER="ALL")+(BULK_TIER=$F195))*((BULK_SKU="ALL")+(BULK_SKU=$G195))*(BULK_START&lt;=9)*(BULK_END&gt;=9)))&gt;0,IFERROR(SUMPRODUCT(((BULK_ENABLED="Y")*((BULK_TIER="ALL")+(BULK_TIER=$F195))*((BULK_SKU="ALL")+(BULK_SKU=$G195))*(BULK_START&lt;=9)*(BULK_END&gt;=9))*IFERROR(BULK_VALUE,0))/MAX(1,SUMPRODUCT(((BULK_ENABLED="Y")*((BULK_TIER="ALL")+(BULK_TIER=$F195))*((BULK_SKU="ALL")+(BULK_SKU=$G195))*(BULK_START&lt;=9)*(BULK_END&gt;=9)))),0),ROUND((INDEX(VELOCITY_TABLE,MATCH($F195,TIER_LIST,0),2))*(IF((9-$I195+1)&lt;=0,0,IF((9-$I195+1)=1,RAMP_W1,IF((9-$I195+1)=2,RAMP_W2,IF((9-$I195+1)=3,RAMP_W3,RAMP_W4PLUS)))))*(INDEX(ACTIVE_MULT_TABLE,2,1))*(1+SUMPRODUCT(SIGN(((ACT_DOOR_SCOPE="ALL")+(ACT_DOOR_SCOPE="TIER_"&amp;$F195)+(ACT_DOOR_SCOPE=$B195)))*SIGN(((ACT_SKU_SCOPE="ALL")+(ACT_SKU_SCOPE=$G195)))*(ACT_START&lt;=9)*(ACT_END&gt;=9)*IFERROR(ACT_UPLIFT-1,0)))*(1+SUMPRODUCT(SIGN(((ACT_DOOR_SCOPE="ALL")+(ACT_DOOR_SCOPE="TIER_"&amp;$F195)+(ACT_DOOR_SCOPE=$B195)))*SIGN(((ACT_SKU_SCOPE="ALL")+(ACT_SKU_SCOPE=$G195)))*(9&gt;ACT_END)*(ACT_END&gt;0)*IFERROR(ACT_POSTLIFT,0))),0)))</f>
        <v/>
      </c>
      <c r="S195" s="10">
        <f>IF(OR($H195&lt;&gt;"Y",10&lt;$I195),0,IF(SUMPRODUCT(((BULK_ENABLED="Y")*((BULK_TIER="ALL")+(BULK_TIER=$F195))*((BULK_SKU="ALL")+(BULK_SKU=$G195))*(BULK_START&lt;=10)*(BULK_END&gt;=10)))&gt;0,IFERROR(SUMPRODUCT(((BULK_ENABLED="Y")*((BULK_TIER="ALL")+(BULK_TIER=$F195))*((BULK_SKU="ALL")+(BULK_SKU=$G195))*(BULK_START&lt;=10)*(BULK_END&gt;=10))*IFERROR(BULK_VALUE,0))/MAX(1,SUMPRODUCT(((BULK_ENABLED="Y")*((BULK_TIER="ALL")+(BULK_TIER=$F195))*((BULK_SKU="ALL")+(BULK_SKU=$G195))*(BULK_START&lt;=10)*(BULK_END&gt;=10)))),0),ROUND((INDEX(VELOCITY_TABLE,MATCH($F195,TIER_LIST,0),2))*(IF((10-$I195+1)&lt;=0,0,IF((10-$I195+1)=1,RAMP_W1,IF((10-$I195+1)=2,RAMP_W2,IF((10-$I195+1)=3,RAMP_W3,RAMP_W4PLUS)))))*(INDEX(ACTIVE_MULT_TABLE,2,1))*(1+SUMPRODUCT(SIGN(((ACT_DOOR_SCOPE="ALL")+(ACT_DOOR_SCOPE="TIER_"&amp;$F195)+(ACT_DOOR_SCOPE=$B195)))*SIGN(((ACT_SKU_SCOPE="ALL")+(ACT_SKU_SCOPE=$G195)))*(ACT_START&lt;=10)*(ACT_END&gt;=10)*IFERROR(ACT_UPLIFT-1,0)))*(1+SUMPRODUCT(SIGN(((ACT_DOOR_SCOPE="ALL")+(ACT_DOOR_SCOPE="TIER_"&amp;$F195)+(ACT_DOOR_SCOPE=$B195)))*SIGN(((ACT_SKU_SCOPE="ALL")+(ACT_SKU_SCOPE=$G195)))*(10&gt;ACT_END)*(ACT_END&gt;0)*IFERROR(ACT_POSTLIFT,0))),0)))</f>
        <v/>
      </c>
      <c r="T195" s="10">
        <f>IF(OR($H195&lt;&gt;"Y",11&lt;$I195),0,IF(SUMPRODUCT(((BULK_ENABLED="Y")*((BULK_TIER="ALL")+(BULK_TIER=$F195))*((BULK_SKU="ALL")+(BULK_SKU=$G195))*(BULK_START&lt;=11)*(BULK_END&gt;=11)))&gt;0,IFERROR(SUMPRODUCT(((BULK_ENABLED="Y")*((BULK_TIER="ALL")+(BULK_TIER=$F195))*((BULK_SKU="ALL")+(BULK_SKU=$G195))*(BULK_START&lt;=11)*(BULK_END&gt;=11))*IFERROR(BULK_VALUE,0))/MAX(1,SUMPRODUCT(((BULK_ENABLED="Y")*((BULK_TIER="ALL")+(BULK_TIER=$F195))*((BULK_SKU="ALL")+(BULK_SKU=$G195))*(BULK_START&lt;=11)*(BULK_END&gt;=11)))),0),ROUND((INDEX(VELOCITY_TABLE,MATCH($F195,TIER_LIST,0),2))*(IF((11-$I195+1)&lt;=0,0,IF((11-$I195+1)=1,RAMP_W1,IF((11-$I195+1)=2,RAMP_W2,IF((11-$I195+1)=3,RAMP_W3,RAMP_W4PLUS)))))*(INDEX(ACTIVE_MULT_TABLE,2,1))*(1+SUMPRODUCT(SIGN(((ACT_DOOR_SCOPE="ALL")+(ACT_DOOR_SCOPE="TIER_"&amp;$F195)+(ACT_DOOR_SCOPE=$B195)))*SIGN(((ACT_SKU_SCOPE="ALL")+(ACT_SKU_SCOPE=$G195)))*(ACT_START&lt;=11)*(ACT_END&gt;=11)*IFERROR(ACT_UPLIFT-1,0)))*(1+SUMPRODUCT(SIGN(((ACT_DOOR_SCOPE="ALL")+(ACT_DOOR_SCOPE="TIER_"&amp;$F195)+(ACT_DOOR_SCOPE=$B195)))*SIGN(((ACT_SKU_SCOPE="ALL")+(ACT_SKU_SCOPE=$G195)))*(11&gt;ACT_END)*(ACT_END&gt;0)*IFERROR(ACT_POSTLIFT,0))),0)))</f>
        <v/>
      </c>
      <c r="U195" s="10">
        <f>IF(OR($H195&lt;&gt;"Y",12&lt;$I195),0,IF(SUMPRODUCT(((BULK_ENABLED="Y")*((BULK_TIER="ALL")+(BULK_TIER=$F195))*((BULK_SKU="ALL")+(BULK_SKU=$G195))*(BULK_START&lt;=12)*(BULK_END&gt;=12)))&gt;0,IFERROR(SUMPRODUCT(((BULK_ENABLED="Y")*((BULK_TIER="ALL")+(BULK_TIER=$F195))*((BULK_SKU="ALL")+(BULK_SKU=$G195))*(BULK_START&lt;=12)*(BULK_END&gt;=12))*IFERROR(BULK_VALUE,0))/MAX(1,SUMPRODUCT(((BULK_ENABLED="Y")*((BULK_TIER="ALL")+(BULK_TIER=$F195))*((BULK_SKU="ALL")+(BULK_SKU=$G195))*(BULK_START&lt;=12)*(BULK_END&gt;=12)))),0),ROUND((INDEX(VELOCITY_TABLE,MATCH($F195,TIER_LIST,0),2))*(IF((12-$I195+1)&lt;=0,0,IF((12-$I195+1)=1,RAMP_W1,IF((12-$I195+1)=2,RAMP_W2,IF((12-$I195+1)=3,RAMP_W3,RAMP_W4PLUS)))))*(INDEX(ACTIVE_MULT_TABLE,2,1))*(1+SUMPRODUCT(SIGN(((ACT_DOOR_SCOPE="ALL")+(ACT_DOOR_SCOPE="TIER_"&amp;$F195)+(ACT_DOOR_SCOPE=$B195)))*SIGN(((ACT_SKU_SCOPE="ALL")+(ACT_SKU_SCOPE=$G195)))*(ACT_START&lt;=12)*(ACT_END&gt;=12)*IFERROR(ACT_UPLIFT-1,0)))*(1+SUMPRODUCT(SIGN(((ACT_DOOR_SCOPE="ALL")+(ACT_DOOR_SCOPE="TIER_"&amp;$F195)+(ACT_DOOR_SCOPE=$B195)))*SIGN(((ACT_SKU_SCOPE="ALL")+(ACT_SKU_SCOPE=$G195)))*(12&gt;ACT_END)*(ACT_END&gt;0)*IFERROR(ACT_POSTLIFT,0))),0)))</f>
        <v/>
      </c>
      <c r="V195" s="10">
        <f>IF(OR($H195&lt;&gt;"Y",13&lt;$I195),0,IF(SUMPRODUCT(((BULK_ENABLED="Y")*((BULK_TIER="ALL")+(BULK_TIER=$F195))*((BULK_SKU="ALL")+(BULK_SKU=$G195))*(BULK_START&lt;=13)*(BULK_END&gt;=13)))&gt;0,IFERROR(SUMPRODUCT(((BULK_ENABLED="Y")*((BULK_TIER="ALL")+(BULK_TIER=$F195))*((BULK_SKU="ALL")+(BULK_SKU=$G195))*(BULK_START&lt;=13)*(BULK_END&gt;=13))*IFERROR(BULK_VALUE,0))/MAX(1,SUMPRODUCT(((BULK_ENABLED="Y")*((BULK_TIER="ALL")+(BULK_TIER=$F195))*((BULK_SKU="ALL")+(BULK_SKU=$G195))*(BULK_START&lt;=13)*(BULK_END&gt;=13)))),0),ROUND((INDEX(VELOCITY_TABLE,MATCH($F195,TIER_LIST,0),2))*(IF((13-$I195+1)&lt;=0,0,IF((13-$I195+1)=1,RAMP_W1,IF((13-$I195+1)=2,RAMP_W2,IF((13-$I195+1)=3,RAMP_W3,RAMP_W4PLUS)))))*(INDEX(ACTIVE_MULT_TABLE,2,1))*(1+SUMPRODUCT(SIGN(((ACT_DOOR_SCOPE="ALL")+(ACT_DOOR_SCOPE="TIER_"&amp;$F195)+(ACT_DOOR_SCOPE=$B195)))*SIGN(((ACT_SKU_SCOPE="ALL")+(ACT_SKU_SCOPE=$G195)))*(ACT_START&lt;=13)*(ACT_END&gt;=13)*IFERROR(ACT_UPLIFT-1,0)))*(1+SUMPRODUCT(SIGN(((ACT_DOOR_SCOPE="ALL")+(ACT_DOOR_SCOPE="TIER_"&amp;$F195)+(ACT_DOOR_SCOPE=$B195)))*SIGN(((ACT_SKU_SCOPE="ALL")+(ACT_SKU_SCOPE=$G195)))*(13&gt;ACT_END)*(ACT_END&gt;0)*IFERROR(ACT_POSTLIFT,0))),0)))</f>
        <v/>
      </c>
    </row>
    <row r="196">
      <c r="A196" t="inlineStr">
        <is>
          <t>R0192</t>
        </is>
      </c>
      <c r="B196">
        <f>Doors!$A$68</f>
        <v/>
      </c>
      <c r="C196">
        <f>Doors!$C$68</f>
        <v/>
      </c>
      <c r="D196">
        <f>Doors!$B$68</f>
        <v/>
      </c>
      <c r="E196">
        <f>Doors!$E$68</f>
        <v/>
      </c>
      <c r="F196">
        <f>Doors!$F$68</f>
        <v/>
      </c>
      <c r="G196" t="inlineStr">
        <is>
          <t>Raspberry</t>
        </is>
      </c>
      <c r="H196">
        <f>Doors!$I$68</f>
        <v/>
      </c>
      <c r="I196">
        <f>Doors!$J$68</f>
        <v/>
      </c>
      <c r="J196" s="10">
        <f>IF(OR($H196&lt;&gt;"Y",1&lt;$I196),0,IF(SUMPRODUCT(((BULK_ENABLED="Y")*((BULK_TIER="ALL")+(BULK_TIER=$F196))*((BULK_SKU="ALL")+(BULK_SKU=$G196))*(BULK_START&lt;=1)*(BULK_END&gt;=1)))&gt;0,IFERROR(SUMPRODUCT(((BULK_ENABLED="Y")*((BULK_TIER="ALL")+(BULK_TIER=$F196))*((BULK_SKU="ALL")+(BULK_SKU=$G196))*(BULK_START&lt;=1)*(BULK_END&gt;=1))*IFERROR(BULK_VALUE,0))/MAX(1,SUMPRODUCT(((BULK_ENABLED="Y")*((BULK_TIER="ALL")+(BULK_TIER=$F196))*((BULK_SKU="ALL")+(BULK_SKU=$G196))*(BULK_START&lt;=1)*(BULK_END&gt;=1)))),0),ROUND((INDEX(VELOCITY_TABLE,MATCH($F196,TIER_LIST,0),3))*(IF((1-$I196+1)&lt;=0,0,IF((1-$I196+1)=1,RAMP_W1,IF((1-$I196+1)=2,RAMP_W2,IF((1-$I196+1)=3,RAMP_W3,RAMP_W4PLUS)))))*(INDEX(ACTIVE_MULT_TABLE,3,1))*(1+SUMPRODUCT(SIGN(((ACT_DOOR_SCOPE="ALL")+(ACT_DOOR_SCOPE="TIER_"&amp;$F196)+(ACT_DOOR_SCOPE=$B196)))*SIGN(((ACT_SKU_SCOPE="ALL")+(ACT_SKU_SCOPE=$G196)))*(ACT_START&lt;=1)*(ACT_END&gt;=1)*IFERROR(ACT_UPLIFT-1,0)))*(1+SUMPRODUCT(SIGN(((ACT_DOOR_SCOPE="ALL")+(ACT_DOOR_SCOPE="TIER_"&amp;$F196)+(ACT_DOOR_SCOPE=$B196)))*SIGN(((ACT_SKU_SCOPE="ALL")+(ACT_SKU_SCOPE=$G196)))*(1&gt;ACT_END)*(ACT_END&gt;0)*IFERROR(ACT_POSTLIFT,0))),0)))</f>
        <v/>
      </c>
      <c r="K196" s="10">
        <f>IF(OR($H196&lt;&gt;"Y",2&lt;$I196),0,IF(SUMPRODUCT(((BULK_ENABLED="Y")*((BULK_TIER="ALL")+(BULK_TIER=$F196))*((BULK_SKU="ALL")+(BULK_SKU=$G196))*(BULK_START&lt;=2)*(BULK_END&gt;=2)))&gt;0,IFERROR(SUMPRODUCT(((BULK_ENABLED="Y")*((BULK_TIER="ALL")+(BULK_TIER=$F196))*((BULK_SKU="ALL")+(BULK_SKU=$G196))*(BULK_START&lt;=2)*(BULK_END&gt;=2))*IFERROR(BULK_VALUE,0))/MAX(1,SUMPRODUCT(((BULK_ENABLED="Y")*((BULK_TIER="ALL")+(BULK_TIER=$F196))*((BULK_SKU="ALL")+(BULK_SKU=$G196))*(BULK_START&lt;=2)*(BULK_END&gt;=2)))),0),ROUND((INDEX(VELOCITY_TABLE,MATCH($F196,TIER_LIST,0),3))*(IF((2-$I196+1)&lt;=0,0,IF((2-$I196+1)=1,RAMP_W1,IF((2-$I196+1)=2,RAMP_W2,IF((2-$I196+1)=3,RAMP_W3,RAMP_W4PLUS)))))*(INDEX(ACTIVE_MULT_TABLE,3,1))*(1+SUMPRODUCT(SIGN(((ACT_DOOR_SCOPE="ALL")+(ACT_DOOR_SCOPE="TIER_"&amp;$F196)+(ACT_DOOR_SCOPE=$B196)))*SIGN(((ACT_SKU_SCOPE="ALL")+(ACT_SKU_SCOPE=$G196)))*(ACT_START&lt;=2)*(ACT_END&gt;=2)*IFERROR(ACT_UPLIFT-1,0)))*(1+SUMPRODUCT(SIGN(((ACT_DOOR_SCOPE="ALL")+(ACT_DOOR_SCOPE="TIER_"&amp;$F196)+(ACT_DOOR_SCOPE=$B196)))*SIGN(((ACT_SKU_SCOPE="ALL")+(ACT_SKU_SCOPE=$G196)))*(2&gt;ACT_END)*(ACT_END&gt;0)*IFERROR(ACT_POSTLIFT,0))),0)))</f>
        <v/>
      </c>
      <c r="L196" s="10">
        <f>IF(OR($H196&lt;&gt;"Y",3&lt;$I196),0,IF(SUMPRODUCT(((BULK_ENABLED="Y")*((BULK_TIER="ALL")+(BULK_TIER=$F196))*((BULK_SKU="ALL")+(BULK_SKU=$G196))*(BULK_START&lt;=3)*(BULK_END&gt;=3)))&gt;0,IFERROR(SUMPRODUCT(((BULK_ENABLED="Y")*((BULK_TIER="ALL")+(BULK_TIER=$F196))*((BULK_SKU="ALL")+(BULK_SKU=$G196))*(BULK_START&lt;=3)*(BULK_END&gt;=3))*IFERROR(BULK_VALUE,0))/MAX(1,SUMPRODUCT(((BULK_ENABLED="Y")*((BULK_TIER="ALL")+(BULK_TIER=$F196))*((BULK_SKU="ALL")+(BULK_SKU=$G196))*(BULK_START&lt;=3)*(BULK_END&gt;=3)))),0),ROUND((INDEX(VELOCITY_TABLE,MATCH($F196,TIER_LIST,0),3))*(IF((3-$I196+1)&lt;=0,0,IF((3-$I196+1)=1,RAMP_W1,IF((3-$I196+1)=2,RAMP_W2,IF((3-$I196+1)=3,RAMP_W3,RAMP_W4PLUS)))))*(INDEX(ACTIVE_MULT_TABLE,3,1))*(1+SUMPRODUCT(SIGN(((ACT_DOOR_SCOPE="ALL")+(ACT_DOOR_SCOPE="TIER_"&amp;$F196)+(ACT_DOOR_SCOPE=$B196)))*SIGN(((ACT_SKU_SCOPE="ALL")+(ACT_SKU_SCOPE=$G196)))*(ACT_START&lt;=3)*(ACT_END&gt;=3)*IFERROR(ACT_UPLIFT-1,0)))*(1+SUMPRODUCT(SIGN(((ACT_DOOR_SCOPE="ALL")+(ACT_DOOR_SCOPE="TIER_"&amp;$F196)+(ACT_DOOR_SCOPE=$B196)))*SIGN(((ACT_SKU_SCOPE="ALL")+(ACT_SKU_SCOPE=$G196)))*(3&gt;ACT_END)*(ACT_END&gt;0)*IFERROR(ACT_POSTLIFT,0))),0)))</f>
        <v/>
      </c>
      <c r="M196" s="10">
        <f>IF(OR($H196&lt;&gt;"Y",4&lt;$I196),0,IF(SUMPRODUCT(((BULK_ENABLED="Y")*((BULK_TIER="ALL")+(BULK_TIER=$F196))*((BULK_SKU="ALL")+(BULK_SKU=$G196))*(BULK_START&lt;=4)*(BULK_END&gt;=4)))&gt;0,IFERROR(SUMPRODUCT(((BULK_ENABLED="Y")*((BULK_TIER="ALL")+(BULK_TIER=$F196))*((BULK_SKU="ALL")+(BULK_SKU=$G196))*(BULK_START&lt;=4)*(BULK_END&gt;=4))*IFERROR(BULK_VALUE,0))/MAX(1,SUMPRODUCT(((BULK_ENABLED="Y")*((BULK_TIER="ALL")+(BULK_TIER=$F196))*((BULK_SKU="ALL")+(BULK_SKU=$G196))*(BULK_START&lt;=4)*(BULK_END&gt;=4)))),0),ROUND((INDEX(VELOCITY_TABLE,MATCH($F196,TIER_LIST,0),3))*(IF((4-$I196+1)&lt;=0,0,IF((4-$I196+1)=1,RAMP_W1,IF((4-$I196+1)=2,RAMP_W2,IF((4-$I196+1)=3,RAMP_W3,RAMP_W4PLUS)))))*(INDEX(ACTIVE_MULT_TABLE,3,1))*(1+SUMPRODUCT(SIGN(((ACT_DOOR_SCOPE="ALL")+(ACT_DOOR_SCOPE="TIER_"&amp;$F196)+(ACT_DOOR_SCOPE=$B196)))*SIGN(((ACT_SKU_SCOPE="ALL")+(ACT_SKU_SCOPE=$G196)))*(ACT_START&lt;=4)*(ACT_END&gt;=4)*IFERROR(ACT_UPLIFT-1,0)))*(1+SUMPRODUCT(SIGN(((ACT_DOOR_SCOPE="ALL")+(ACT_DOOR_SCOPE="TIER_"&amp;$F196)+(ACT_DOOR_SCOPE=$B196)))*SIGN(((ACT_SKU_SCOPE="ALL")+(ACT_SKU_SCOPE=$G196)))*(4&gt;ACT_END)*(ACT_END&gt;0)*IFERROR(ACT_POSTLIFT,0))),0)))</f>
        <v/>
      </c>
      <c r="N196" s="10">
        <f>IF(OR($H196&lt;&gt;"Y",5&lt;$I196),0,IF(SUMPRODUCT(((BULK_ENABLED="Y")*((BULK_TIER="ALL")+(BULK_TIER=$F196))*((BULK_SKU="ALL")+(BULK_SKU=$G196))*(BULK_START&lt;=5)*(BULK_END&gt;=5)))&gt;0,IFERROR(SUMPRODUCT(((BULK_ENABLED="Y")*((BULK_TIER="ALL")+(BULK_TIER=$F196))*((BULK_SKU="ALL")+(BULK_SKU=$G196))*(BULK_START&lt;=5)*(BULK_END&gt;=5))*IFERROR(BULK_VALUE,0))/MAX(1,SUMPRODUCT(((BULK_ENABLED="Y")*((BULK_TIER="ALL")+(BULK_TIER=$F196))*((BULK_SKU="ALL")+(BULK_SKU=$G196))*(BULK_START&lt;=5)*(BULK_END&gt;=5)))),0),ROUND((INDEX(VELOCITY_TABLE,MATCH($F196,TIER_LIST,0),3))*(IF((5-$I196+1)&lt;=0,0,IF((5-$I196+1)=1,RAMP_W1,IF((5-$I196+1)=2,RAMP_W2,IF((5-$I196+1)=3,RAMP_W3,RAMP_W4PLUS)))))*(INDEX(ACTIVE_MULT_TABLE,3,1))*(1+SUMPRODUCT(SIGN(((ACT_DOOR_SCOPE="ALL")+(ACT_DOOR_SCOPE="TIER_"&amp;$F196)+(ACT_DOOR_SCOPE=$B196)))*SIGN(((ACT_SKU_SCOPE="ALL")+(ACT_SKU_SCOPE=$G196)))*(ACT_START&lt;=5)*(ACT_END&gt;=5)*IFERROR(ACT_UPLIFT-1,0)))*(1+SUMPRODUCT(SIGN(((ACT_DOOR_SCOPE="ALL")+(ACT_DOOR_SCOPE="TIER_"&amp;$F196)+(ACT_DOOR_SCOPE=$B196)))*SIGN(((ACT_SKU_SCOPE="ALL")+(ACT_SKU_SCOPE=$G196)))*(5&gt;ACT_END)*(ACT_END&gt;0)*IFERROR(ACT_POSTLIFT,0))),0)))</f>
        <v/>
      </c>
      <c r="O196" s="10">
        <f>IF(OR($H196&lt;&gt;"Y",6&lt;$I196),0,IF(SUMPRODUCT(((BULK_ENABLED="Y")*((BULK_TIER="ALL")+(BULK_TIER=$F196))*((BULK_SKU="ALL")+(BULK_SKU=$G196))*(BULK_START&lt;=6)*(BULK_END&gt;=6)))&gt;0,IFERROR(SUMPRODUCT(((BULK_ENABLED="Y")*((BULK_TIER="ALL")+(BULK_TIER=$F196))*((BULK_SKU="ALL")+(BULK_SKU=$G196))*(BULK_START&lt;=6)*(BULK_END&gt;=6))*IFERROR(BULK_VALUE,0))/MAX(1,SUMPRODUCT(((BULK_ENABLED="Y")*((BULK_TIER="ALL")+(BULK_TIER=$F196))*((BULK_SKU="ALL")+(BULK_SKU=$G196))*(BULK_START&lt;=6)*(BULK_END&gt;=6)))),0),ROUND((INDEX(VELOCITY_TABLE,MATCH($F196,TIER_LIST,0),3))*(IF((6-$I196+1)&lt;=0,0,IF((6-$I196+1)=1,RAMP_W1,IF((6-$I196+1)=2,RAMP_W2,IF((6-$I196+1)=3,RAMP_W3,RAMP_W4PLUS)))))*(INDEX(ACTIVE_MULT_TABLE,3,1))*(1+SUMPRODUCT(SIGN(((ACT_DOOR_SCOPE="ALL")+(ACT_DOOR_SCOPE="TIER_"&amp;$F196)+(ACT_DOOR_SCOPE=$B196)))*SIGN(((ACT_SKU_SCOPE="ALL")+(ACT_SKU_SCOPE=$G196)))*(ACT_START&lt;=6)*(ACT_END&gt;=6)*IFERROR(ACT_UPLIFT-1,0)))*(1+SUMPRODUCT(SIGN(((ACT_DOOR_SCOPE="ALL")+(ACT_DOOR_SCOPE="TIER_"&amp;$F196)+(ACT_DOOR_SCOPE=$B196)))*SIGN(((ACT_SKU_SCOPE="ALL")+(ACT_SKU_SCOPE=$G196)))*(6&gt;ACT_END)*(ACT_END&gt;0)*IFERROR(ACT_POSTLIFT,0))),0)))</f>
        <v/>
      </c>
      <c r="P196" s="10">
        <f>IF(OR($H196&lt;&gt;"Y",7&lt;$I196),0,IF(SUMPRODUCT(((BULK_ENABLED="Y")*((BULK_TIER="ALL")+(BULK_TIER=$F196))*((BULK_SKU="ALL")+(BULK_SKU=$G196))*(BULK_START&lt;=7)*(BULK_END&gt;=7)))&gt;0,IFERROR(SUMPRODUCT(((BULK_ENABLED="Y")*((BULK_TIER="ALL")+(BULK_TIER=$F196))*((BULK_SKU="ALL")+(BULK_SKU=$G196))*(BULK_START&lt;=7)*(BULK_END&gt;=7))*IFERROR(BULK_VALUE,0))/MAX(1,SUMPRODUCT(((BULK_ENABLED="Y")*((BULK_TIER="ALL")+(BULK_TIER=$F196))*((BULK_SKU="ALL")+(BULK_SKU=$G196))*(BULK_START&lt;=7)*(BULK_END&gt;=7)))),0),ROUND((INDEX(VELOCITY_TABLE,MATCH($F196,TIER_LIST,0),3))*(IF((7-$I196+1)&lt;=0,0,IF((7-$I196+1)=1,RAMP_W1,IF((7-$I196+1)=2,RAMP_W2,IF((7-$I196+1)=3,RAMP_W3,RAMP_W4PLUS)))))*(INDEX(ACTIVE_MULT_TABLE,3,1))*(1+SUMPRODUCT(SIGN(((ACT_DOOR_SCOPE="ALL")+(ACT_DOOR_SCOPE="TIER_"&amp;$F196)+(ACT_DOOR_SCOPE=$B196)))*SIGN(((ACT_SKU_SCOPE="ALL")+(ACT_SKU_SCOPE=$G196)))*(ACT_START&lt;=7)*(ACT_END&gt;=7)*IFERROR(ACT_UPLIFT-1,0)))*(1+SUMPRODUCT(SIGN(((ACT_DOOR_SCOPE="ALL")+(ACT_DOOR_SCOPE="TIER_"&amp;$F196)+(ACT_DOOR_SCOPE=$B196)))*SIGN(((ACT_SKU_SCOPE="ALL")+(ACT_SKU_SCOPE=$G196)))*(7&gt;ACT_END)*(ACT_END&gt;0)*IFERROR(ACT_POSTLIFT,0))),0)))</f>
        <v/>
      </c>
      <c r="Q196" s="10">
        <f>IF(OR($H196&lt;&gt;"Y",8&lt;$I196),0,IF(SUMPRODUCT(((BULK_ENABLED="Y")*((BULK_TIER="ALL")+(BULK_TIER=$F196))*((BULK_SKU="ALL")+(BULK_SKU=$G196))*(BULK_START&lt;=8)*(BULK_END&gt;=8)))&gt;0,IFERROR(SUMPRODUCT(((BULK_ENABLED="Y")*((BULK_TIER="ALL")+(BULK_TIER=$F196))*((BULK_SKU="ALL")+(BULK_SKU=$G196))*(BULK_START&lt;=8)*(BULK_END&gt;=8))*IFERROR(BULK_VALUE,0))/MAX(1,SUMPRODUCT(((BULK_ENABLED="Y")*((BULK_TIER="ALL")+(BULK_TIER=$F196))*((BULK_SKU="ALL")+(BULK_SKU=$G196))*(BULK_START&lt;=8)*(BULK_END&gt;=8)))),0),ROUND((INDEX(VELOCITY_TABLE,MATCH($F196,TIER_LIST,0),3))*(IF((8-$I196+1)&lt;=0,0,IF((8-$I196+1)=1,RAMP_W1,IF((8-$I196+1)=2,RAMP_W2,IF((8-$I196+1)=3,RAMP_W3,RAMP_W4PLUS)))))*(INDEX(ACTIVE_MULT_TABLE,3,1))*(1+SUMPRODUCT(SIGN(((ACT_DOOR_SCOPE="ALL")+(ACT_DOOR_SCOPE="TIER_"&amp;$F196)+(ACT_DOOR_SCOPE=$B196)))*SIGN(((ACT_SKU_SCOPE="ALL")+(ACT_SKU_SCOPE=$G196)))*(ACT_START&lt;=8)*(ACT_END&gt;=8)*IFERROR(ACT_UPLIFT-1,0)))*(1+SUMPRODUCT(SIGN(((ACT_DOOR_SCOPE="ALL")+(ACT_DOOR_SCOPE="TIER_"&amp;$F196)+(ACT_DOOR_SCOPE=$B196)))*SIGN(((ACT_SKU_SCOPE="ALL")+(ACT_SKU_SCOPE=$G196)))*(8&gt;ACT_END)*(ACT_END&gt;0)*IFERROR(ACT_POSTLIFT,0))),0)))</f>
        <v/>
      </c>
      <c r="R196" s="10">
        <f>IF(OR($H196&lt;&gt;"Y",9&lt;$I196),0,IF(SUMPRODUCT(((BULK_ENABLED="Y")*((BULK_TIER="ALL")+(BULK_TIER=$F196))*((BULK_SKU="ALL")+(BULK_SKU=$G196))*(BULK_START&lt;=9)*(BULK_END&gt;=9)))&gt;0,IFERROR(SUMPRODUCT(((BULK_ENABLED="Y")*((BULK_TIER="ALL")+(BULK_TIER=$F196))*((BULK_SKU="ALL")+(BULK_SKU=$G196))*(BULK_START&lt;=9)*(BULK_END&gt;=9))*IFERROR(BULK_VALUE,0))/MAX(1,SUMPRODUCT(((BULK_ENABLED="Y")*((BULK_TIER="ALL")+(BULK_TIER=$F196))*((BULK_SKU="ALL")+(BULK_SKU=$G196))*(BULK_START&lt;=9)*(BULK_END&gt;=9)))),0),ROUND((INDEX(VELOCITY_TABLE,MATCH($F196,TIER_LIST,0),3))*(IF((9-$I196+1)&lt;=0,0,IF((9-$I196+1)=1,RAMP_W1,IF((9-$I196+1)=2,RAMP_W2,IF((9-$I196+1)=3,RAMP_W3,RAMP_W4PLUS)))))*(INDEX(ACTIVE_MULT_TABLE,3,1))*(1+SUMPRODUCT(SIGN(((ACT_DOOR_SCOPE="ALL")+(ACT_DOOR_SCOPE="TIER_"&amp;$F196)+(ACT_DOOR_SCOPE=$B196)))*SIGN(((ACT_SKU_SCOPE="ALL")+(ACT_SKU_SCOPE=$G196)))*(ACT_START&lt;=9)*(ACT_END&gt;=9)*IFERROR(ACT_UPLIFT-1,0)))*(1+SUMPRODUCT(SIGN(((ACT_DOOR_SCOPE="ALL")+(ACT_DOOR_SCOPE="TIER_"&amp;$F196)+(ACT_DOOR_SCOPE=$B196)))*SIGN(((ACT_SKU_SCOPE="ALL")+(ACT_SKU_SCOPE=$G196)))*(9&gt;ACT_END)*(ACT_END&gt;0)*IFERROR(ACT_POSTLIFT,0))),0)))</f>
        <v/>
      </c>
      <c r="S196" s="10">
        <f>IF(OR($H196&lt;&gt;"Y",10&lt;$I196),0,IF(SUMPRODUCT(((BULK_ENABLED="Y")*((BULK_TIER="ALL")+(BULK_TIER=$F196))*((BULK_SKU="ALL")+(BULK_SKU=$G196))*(BULK_START&lt;=10)*(BULK_END&gt;=10)))&gt;0,IFERROR(SUMPRODUCT(((BULK_ENABLED="Y")*((BULK_TIER="ALL")+(BULK_TIER=$F196))*((BULK_SKU="ALL")+(BULK_SKU=$G196))*(BULK_START&lt;=10)*(BULK_END&gt;=10))*IFERROR(BULK_VALUE,0))/MAX(1,SUMPRODUCT(((BULK_ENABLED="Y")*((BULK_TIER="ALL")+(BULK_TIER=$F196))*((BULK_SKU="ALL")+(BULK_SKU=$G196))*(BULK_START&lt;=10)*(BULK_END&gt;=10)))),0),ROUND((INDEX(VELOCITY_TABLE,MATCH($F196,TIER_LIST,0),3))*(IF((10-$I196+1)&lt;=0,0,IF((10-$I196+1)=1,RAMP_W1,IF((10-$I196+1)=2,RAMP_W2,IF((10-$I196+1)=3,RAMP_W3,RAMP_W4PLUS)))))*(INDEX(ACTIVE_MULT_TABLE,3,1))*(1+SUMPRODUCT(SIGN(((ACT_DOOR_SCOPE="ALL")+(ACT_DOOR_SCOPE="TIER_"&amp;$F196)+(ACT_DOOR_SCOPE=$B196)))*SIGN(((ACT_SKU_SCOPE="ALL")+(ACT_SKU_SCOPE=$G196)))*(ACT_START&lt;=10)*(ACT_END&gt;=10)*IFERROR(ACT_UPLIFT-1,0)))*(1+SUMPRODUCT(SIGN(((ACT_DOOR_SCOPE="ALL")+(ACT_DOOR_SCOPE="TIER_"&amp;$F196)+(ACT_DOOR_SCOPE=$B196)))*SIGN(((ACT_SKU_SCOPE="ALL")+(ACT_SKU_SCOPE=$G196)))*(10&gt;ACT_END)*(ACT_END&gt;0)*IFERROR(ACT_POSTLIFT,0))),0)))</f>
        <v/>
      </c>
      <c r="T196" s="10">
        <f>IF(OR($H196&lt;&gt;"Y",11&lt;$I196),0,IF(SUMPRODUCT(((BULK_ENABLED="Y")*((BULK_TIER="ALL")+(BULK_TIER=$F196))*((BULK_SKU="ALL")+(BULK_SKU=$G196))*(BULK_START&lt;=11)*(BULK_END&gt;=11)))&gt;0,IFERROR(SUMPRODUCT(((BULK_ENABLED="Y")*((BULK_TIER="ALL")+(BULK_TIER=$F196))*((BULK_SKU="ALL")+(BULK_SKU=$G196))*(BULK_START&lt;=11)*(BULK_END&gt;=11))*IFERROR(BULK_VALUE,0))/MAX(1,SUMPRODUCT(((BULK_ENABLED="Y")*((BULK_TIER="ALL")+(BULK_TIER=$F196))*((BULK_SKU="ALL")+(BULK_SKU=$G196))*(BULK_START&lt;=11)*(BULK_END&gt;=11)))),0),ROUND((INDEX(VELOCITY_TABLE,MATCH($F196,TIER_LIST,0),3))*(IF((11-$I196+1)&lt;=0,0,IF((11-$I196+1)=1,RAMP_W1,IF((11-$I196+1)=2,RAMP_W2,IF((11-$I196+1)=3,RAMP_W3,RAMP_W4PLUS)))))*(INDEX(ACTIVE_MULT_TABLE,3,1))*(1+SUMPRODUCT(SIGN(((ACT_DOOR_SCOPE="ALL")+(ACT_DOOR_SCOPE="TIER_"&amp;$F196)+(ACT_DOOR_SCOPE=$B196)))*SIGN(((ACT_SKU_SCOPE="ALL")+(ACT_SKU_SCOPE=$G196)))*(ACT_START&lt;=11)*(ACT_END&gt;=11)*IFERROR(ACT_UPLIFT-1,0)))*(1+SUMPRODUCT(SIGN(((ACT_DOOR_SCOPE="ALL")+(ACT_DOOR_SCOPE="TIER_"&amp;$F196)+(ACT_DOOR_SCOPE=$B196)))*SIGN(((ACT_SKU_SCOPE="ALL")+(ACT_SKU_SCOPE=$G196)))*(11&gt;ACT_END)*(ACT_END&gt;0)*IFERROR(ACT_POSTLIFT,0))),0)))</f>
        <v/>
      </c>
      <c r="U196" s="10">
        <f>IF(OR($H196&lt;&gt;"Y",12&lt;$I196),0,IF(SUMPRODUCT(((BULK_ENABLED="Y")*((BULK_TIER="ALL")+(BULK_TIER=$F196))*((BULK_SKU="ALL")+(BULK_SKU=$G196))*(BULK_START&lt;=12)*(BULK_END&gt;=12)))&gt;0,IFERROR(SUMPRODUCT(((BULK_ENABLED="Y")*((BULK_TIER="ALL")+(BULK_TIER=$F196))*((BULK_SKU="ALL")+(BULK_SKU=$G196))*(BULK_START&lt;=12)*(BULK_END&gt;=12))*IFERROR(BULK_VALUE,0))/MAX(1,SUMPRODUCT(((BULK_ENABLED="Y")*((BULK_TIER="ALL")+(BULK_TIER=$F196))*((BULK_SKU="ALL")+(BULK_SKU=$G196))*(BULK_START&lt;=12)*(BULK_END&gt;=12)))),0),ROUND((INDEX(VELOCITY_TABLE,MATCH($F196,TIER_LIST,0),3))*(IF((12-$I196+1)&lt;=0,0,IF((12-$I196+1)=1,RAMP_W1,IF((12-$I196+1)=2,RAMP_W2,IF((12-$I196+1)=3,RAMP_W3,RAMP_W4PLUS)))))*(INDEX(ACTIVE_MULT_TABLE,3,1))*(1+SUMPRODUCT(SIGN(((ACT_DOOR_SCOPE="ALL")+(ACT_DOOR_SCOPE="TIER_"&amp;$F196)+(ACT_DOOR_SCOPE=$B196)))*SIGN(((ACT_SKU_SCOPE="ALL")+(ACT_SKU_SCOPE=$G196)))*(ACT_START&lt;=12)*(ACT_END&gt;=12)*IFERROR(ACT_UPLIFT-1,0)))*(1+SUMPRODUCT(SIGN(((ACT_DOOR_SCOPE="ALL")+(ACT_DOOR_SCOPE="TIER_"&amp;$F196)+(ACT_DOOR_SCOPE=$B196)))*SIGN(((ACT_SKU_SCOPE="ALL")+(ACT_SKU_SCOPE=$G196)))*(12&gt;ACT_END)*(ACT_END&gt;0)*IFERROR(ACT_POSTLIFT,0))),0)))</f>
        <v/>
      </c>
      <c r="V196" s="10">
        <f>IF(OR($H196&lt;&gt;"Y",13&lt;$I196),0,IF(SUMPRODUCT(((BULK_ENABLED="Y")*((BULK_TIER="ALL")+(BULK_TIER=$F196))*((BULK_SKU="ALL")+(BULK_SKU=$G196))*(BULK_START&lt;=13)*(BULK_END&gt;=13)))&gt;0,IFERROR(SUMPRODUCT(((BULK_ENABLED="Y")*((BULK_TIER="ALL")+(BULK_TIER=$F196))*((BULK_SKU="ALL")+(BULK_SKU=$G196))*(BULK_START&lt;=13)*(BULK_END&gt;=13))*IFERROR(BULK_VALUE,0))/MAX(1,SUMPRODUCT(((BULK_ENABLED="Y")*((BULK_TIER="ALL")+(BULK_TIER=$F196))*((BULK_SKU="ALL")+(BULK_SKU=$G196))*(BULK_START&lt;=13)*(BULK_END&gt;=13)))),0),ROUND((INDEX(VELOCITY_TABLE,MATCH($F196,TIER_LIST,0),3))*(IF((13-$I196+1)&lt;=0,0,IF((13-$I196+1)=1,RAMP_W1,IF((13-$I196+1)=2,RAMP_W2,IF((13-$I196+1)=3,RAMP_W3,RAMP_W4PLUS)))))*(INDEX(ACTIVE_MULT_TABLE,3,1))*(1+SUMPRODUCT(SIGN(((ACT_DOOR_SCOPE="ALL")+(ACT_DOOR_SCOPE="TIER_"&amp;$F196)+(ACT_DOOR_SCOPE=$B196)))*SIGN(((ACT_SKU_SCOPE="ALL")+(ACT_SKU_SCOPE=$G196)))*(ACT_START&lt;=13)*(ACT_END&gt;=13)*IFERROR(ACT_UPLIFT-1,0)))*(1+SUMPRODUCT(SIGN(((ACT_DOOR_SCOPE="ALL")+(ACT_DOOR_SCOPE="TIER_"&amp;$F196)+(ACT_DOOR_SCOPE=$B196)))*SIGN(((ACT_SKU_SCOPE="ALL")+(ACT_SKU_SCOPE=$G196)))*(13&gt;ACT_END)*(ACT_END&gt;0)*IFERROR(ACT_POSTLIFT,0))),0)))</f>
        <v/>
      </c>
    </row>
    <row r="197">
      <c r="A197" t="inlineStr">
        <is>
          <t>R0193</t>
        </is>
      </c>
      <c r="B197">
        <f>Doors!$A$69</f>
        <v/>
      </c>
      <c r="C197">
        <f>Doors!$C$69</f>
        <v/>
      </c>
      <c r="D197">
        <f>Doors!$B$69</f>
        <v/>
      </c>
      <c r="E197">
        <f>Doors!$E$69</f>
        <v/>
      </c>
      <c r="F197">
        <f>Doors!$F$69</f>
        <v/>
      </c>
      <c r="G197" t="inlineStr">
        <is>
          <t>Lime Lemon</t>
        </is>
      </c>
      <c r="H197">
        <f>Doors!$G$69</f>
        <v/>
      </c>
      <c r="I197">
        <f>Doors!$J$69</f>
        <v/>
      </c>
      <c r="J197" s="10">
        <f>IF(OR($H197&lt;&gt;"Y",1&lt;$I197),0,IF(SUMPRODUCT(((BULK_ENABLED="Y")*((BULK_TIER="ALL")+(BULK_TIER=$F197))*((BULK_SKU="ALL")+(BULK_SKU=$G197))*(BULK_START&lt;=1)*(BULK_END&gt;=1)))&gt;0,IFERROR(SUMPRODUCT(((BULK_ENABLED="Y")*((BULK_TIER="ALL")+(BULK_TIER=$F197))*((BULK_SKU="ALL")+(BULK_SKU=$G197))*(BULK_START&lt;=1)*(BULK_END&gt;=1))*IFERROR(BULK_VALUE,0))/MAX(1,SUMPRODUCT(((BULK_ENABLED="Y")*((BULK_TIER="ALL")+(BULK_TIER=$F197))*((BULK_SKU="ALL")+(BULK_SKU=$G197))*(BULK_START&lt;=1)*(BULK_END&gt;=1)))),0),ROUND((INDEX(VELOCITY_TABLE,MATCH($F197,TIER_LIST,0),1))*(IF((1-$I197+1)&lt;=0,0,IF((1-$I197+1)=1,RAMP_W1,IF((1-$I197+1)=2,RAMP_W2,IF((1-$I197+1)=3,RAMP_W3,RAMP_W4PLUS)))))*(INDEX(ACTIVE_MULT_TABLE,1,1))*(1+SUMPRODUCT(SIGN(((ACT_DOOR_SCOPE="ALL")+(ACT_DOOR_SCOPE="TIER_"&amp;$F197)+(ACT_DOOR_SCOPE=$B197)))*SIGN(((ACT_SKU_SCOPE="ALL")+(ACT_SKU_SCOPE=$G197)))*(ACT_START&lt;=1)*(ACT_END&gt;=1)*IFERROR(ACT_UPLIFT-1,0)))*(1+SUMPRODUCT(SIGN(((ACT_DOOR_SCOPE="ALL")+(ACT_DOOR_SCOPE="TIER_"&amp;$F197)+(ACT_DOOR_SCOPE=$B197)))*SIGN(((ACT_SKU_SCOPE="ALL")+(ACT_SKU_SCOPE=$G197)))*(1&gt;ACT_END)*(ACT_END&gt;0)*IFERROR(ACT_POSTLIFT,0))),0)))</f>
        <v/>
      </c>
      <c r="K197" s="10">
        <f>IF(OR($H197&lt;&gt;"Y",2&lt;$I197),0,IF(SUMPRODUCT(((BULK_ENABLED="Y")*((BULK_TIER="ALL")+(BULK_TIER=$F197))*((BULK_SKU="ALL")+(BULK_SKU=$G197))*(BULK_START&lt;=2)*(BULK_END&gt;=2)))&gt;0,IFERROR(SUMPRODUCT(((BULK_ENABLED="Y")*((BULK_TIER="ALL")+(BULK_TIER=$F197))*((BULK_SKU="ALL")+(BULK_SKU=$G197))*(BULK_START&lt;=2)*(BULK_END&gt;=2))*IFERROR(BULK_VALUE,0))/MAX(1,SUMPRODUCT(((BULK_ENABLED="Y")*((BULK_TIER="ALL")+(BULK_TIER=$F197))*((BULK_SKU="ALL")+(BULK_SKU=$G197))*(BULK_START&lt;=2)*(BULK_END&gt;=2)))),0),ROUND((INDEX(VELOCITY_TABLE,MATCH($F197,TIER_LIST,0),1))*(IF((2-$I197+1)&lt;=0,0,IF((2-$I197+1)=1,RAMP_W1,IF((2-$I197+1)=2,RAMP_W2,IF((2-$I197+1)=3,RAMP_W3,RAMP_W4PLUS)))))*(INDEX(ACTIVE_MULT_TABLE,1,1))*(1+SUMPRODUCT(SIGN(((ACT_DOOR_SCOPE="ALL")+(ACT_DOOR_SCOPE="TIER_"&amp;$F197)+(ACT_DOOR_SCOPE=$B197)))*SIGN(((ACT_SKU_SCOPE="ALL")+(ACT_SKU_SCOPE=$G197)))*(ACT_START&lt;=2)*(ACT_END&gt;=2)*IFERROR(ACT_UPLIFT-1,0)))*(1+SUMPRODUCT(SIGN(((ACT_DOOR_SCOPE="ALL")+(ACT_DOOR_SCOPE="TIER_"&amp;$F197)+(ACT_DOOR_SCOPE=$B197)))*SIGN(((ACT_SKU_SCOPE="ALL")+(ACT_SKU_SCOPE=$G197)))*(2&gt;ACT_END)*(ACT_END&gt;0)*IFERROR(ACT_POSTLIFT,0))),0)))</f>
        <v/>
      </c>
      <c r="L197" s="10">
        <f>IF(OR($H197&lt;&gt;"Y",3&lt;$I197),0,IF(SUMPRODUCT(((BULK_ENABLED="Y")*((BULK_TIER="ALL")+(BULK_TIER=$F197))*((BULK_SKU="ALL")+(BULK_SKU=$G197))*(BULK_START&lt;=3)*(BULK_END&gt;=3)))&gt;0,IFERROR(SUMPRODUCT(((BULK_ENABLED="Y")*((BULK_TIER="ALL")+(BULK_TIER=$F197))*((BULK_SKU="ALL")+(BULK_SKU=$G197))*(BULK_START&lt;=3)*(BULK_END&gt;=3))*IFERROR(BULK_VALUE,0))/MAX(1,SUMPRODUCT(((BULK_ENABLED="Y")*((BULK_TIER="ALL")+(BULK_TIER=$F197))*((BULK_SKU="ALL")+(BULK_SKU=$G197))*(BULK_START&lt;=3)*(BULK_END&gt;=3)))),0),ROUND((INDEX(VELOCITY_TABLE,MATCH($F197,TIER_LIST,0),1))*(IF((3-$I197+1)&lt;=0,0,IF((3-$I197+1)=1,RAMP_W1,IF((3-$I197+1)=2,RAMP_W2,IF((3-$I197+1)=3,RAMP_W3,RAMP_W4PLUS)))))*(INDEX(ACTIVE_MULT_TABLE,1,1))*(1+SUMPRODUCT(SIGN(((ACT_DOOR_SCOPE="ALL")+(ACT_DOOR_SCOPE="TIER_"&amp;$F197)+(ACT_DOOR_SCOPE=$B197)))*SIGN(((ACT_SKU_SCOPE="ALL")+(ACT_SKU_SCOPE=$G197)))*(ACT_START&lt;=3)*(ACT_END&gt;=3)*IFERROR(ACT_UPLIFT-1,0)))*(1+SUMPRODUCT(SIGN(((ACT_DOOR_SCOPE="ALL")+(ACT_DOOR_SCOPE="TIER_"&amp;$F197)+(ACT_DOOR_SCOPE=$B197)))*SIGN(((ACT_SKU_SCOPE="ALL")+(ACT_SKU_SCOPE=$G197)))*(3&gt;ACT_END)*(ACT_END&gt;0)*IFERROR(ACT_POSTLIFT,0))),0)))</f>
        <v/>
      </c>
      <c r="M197" s="10">
        <f>IF(OR($H197&lt;&gt;"Y",4&lt;$I197),0,IF(SUMPRODUCT(((BULK_ENABLED="Y")*((BULK_TIER="ALL")+(BULK_TIER=$F197))*((BULK_SKU="ALL")+(BULK_SKU=$G197))*(BULK_START&lt;=4)*(BULK_END&gt;=4)))&gt;0,IFERROR(SUMPRODUCT(((BULK_ENABLED="Y")*((BULK_TIER="ALL")+(BULK_TIER=$F197))*((BULK_SKU="ALL")+(BULK_SKU=$G197))*(BULK_START&lt;=4)*(BULK_END&gt;=4))*IFERROR(BULK_VALUE,0))/MAX(1,SUMPRODUCT(((BULK_ENABLED="Y")*((BULK_TIER="ALL")+(BULK_TIER=$F197))*((BULK_SKU="ALL")+(BULK_SKU=$G197))*(BULK_START&lt;=4)*(BULK_END&gt;=4)))),0),ROUND((INDEX(VELOCITY_TABLE,MATCH($F197,TIER_LIST,0),1))*(IF((4-$I197+1)&lt;=0,0,IF((4-$I197+1)=1,RAMP_W1,IF((4-$I197+1)=2,RAMP_W2,IF((4-$I197+1)=3,RAMP_W3,RAMP_W4PLUS)))))*(INDEX(ACTIVE_MULT_TABLE,1,1))*(1+SUMPRODUCT(SIGN(((ACT_DOOR_SCOPE="ALL")+(ACT_DOOR_SCOPE="TIER_"&amp;$F197)+(ACT_DOOR_SCOPE=$B197)))*SIGN(((ACT_SKU_SCOPE="ALL")+(ACT_SKU_SCOPE=$G197)))*(ACT_START&lt;=4)*(ACT_END&gt;=4)*IFERROR(ACT_UPLIFT-1,0)))*(1+SUMPRODUCT(SIGN(((ACT_DOOR_SCOPE="ALL")+(ACT_DOOR_SCOPE="TIER_"&amp;$F197)+(ACT_DOOR_SCOPE=$B197)))*SIGN(((ACT_SKU_SCOPE="ALL")+(ACT_SKU_SCOPE=$G197)))*(4&gt;ACT_END)*(ACT_END&gt;0)*IFERROR(ACT_POSTLIFT,0))),0)))</f>
        <v/>
      </c>
      <c r="N197" s="10">
        <f>IF(OR($H197&lt;&gt;"Y",5&lt;$I197),0,IF(SUMPRODUCT(((BULK_ENABLED="Y")*((BULK_TIER="ALL")+(BULK_TIER=$F197))*((BULK_SKU="ALL")+(BULK_SKU=$G197))*(BULK_START&lt;=5)*(BULK_END&gt;=5)))&gt;0,IFERROR(SUMPRODUCT(((BULK_ENABLED="Y")*((BULK_TIER="ALL")+(BULK_TIER=$F197))*((BULK_SKU="ALL")+(BULK_SKU=$G197))*(BULK_START&lt;=5)*(BULK_END&gt;=5))*IFERROR(BULK_VALUE,0))/MAX(1,SUMPRODUCT(((BULK_ENABLED="Y")*((BULK_TIER="ALL")+(BULK_TIER=$F197))*((BULK_SKU="ALL")+(BULK_SKU=$G197))*(BULK_START&lt;=5)*(BULK_END&gt;=5)))),0),ROUND((INDEX(VELOCITY_TABLE,MATCH($F197,TIER_LIST,0),1))*(IF((5-$I197+1)&lt;=0,0,IF((5-$I197+1)=1,RAMP_W1,IF((5-$I197+1)=2,RAMP_W2,IF((5-$I197+1)=3,RAMP_W3,RAMP_W4PLUS)))))*(INDEX(ACTIVE_MULT_TABLE,1,1))*(1+SUMPRODUCT(SIGN(((ACT_DOOR_SCOPE="ALL")+(ACT_DOOR_SCOPE="TIER_"&amp;$F197)+(ACT_DOOR_SCOPE=$B197)))*SIGN(((ACT_SKU_SCOPE="ALL")+(ACT_SKU_SCOPE=$G197)))*(ACT_START&lt;=5)*(ACT_END&gt;=5)*IFERROR(ACT_UPLIFT-1,0)))*(1+SUMPRODUCT(SIGN(((ACT_DOOR_SCOPE="ALL")+(ACT_DOOR_SCOPE="TIER_"&amp;$F197)+(ACT_DOOR_SCOPE=$B197)))*SIGN(((ACT_SKU_SCOPE="ALL")+(ACT_SKU_SCOPE=$G197)))*(5&gt;ACT_END)*(ACT_END&gt;0)*IFERROR(ACT_POSTLIFT,0))),0)))</f>
        <v/>
      </c>
      <c r="O197" s="10">
        <f>IF(OR($H197&lt;&gt;"Y",6&lt;$I197),0,IF(SUMPRODUCT(((BULK_ENABLED="Y")*((BULK_TIER="ALL")+(BULK_TIER=$F197))*((BULK_SKU="ALL")+(BULK_SKU=$G197))*(BULK_START&lt;=6)*(BULK_END&gt;=6)))&gt;0,IFERROR(SUMPRODUCT(((BULK_ENABLED="Y")*((BULK_TIER="ALL")+(BULK_TIER=$F197))*((BULK_SKU="ALL")+(BULK_SKU=$G197))*(BULK_START&lt;=6)*(BULK_END&gt;=6))*IFERROR(BULK_VALUE,0))/MAX(1,SUMPRODUCT(((BULK_ENABLED="Y")*((BULK_TIER="ALL")+(BULK_TIER=$F197))*((BULK_SKU="ALL")+(BULK_SKU=$G197))*(BULK_START&lt;=6)*(BULK_END&gt;=6)))),0),ROUND((INDEX(VELOCITY_TABLE,MATCH($F197,TIER_LIST,0),1))*(IF((6-$I197+1)&lt;=0,0,IF((6-$I197+1)=1,RAMP_W1,IF((6-$I197+1)=2,RAMP_W2,IF((6-$I197+1)=3,RAMP_W3,RAMP_W4PLUS)))))*(INDEX(ACTIVE_MULT_TABLE,1,1))*(1+SUMPRODUCT(SIGN(((ACT_DOOR_SCOPE="ALL")+(ACT_DOOR_SCOPE="TIER_"&amp;$F197)+(ACT_DOOR_SCOPE=$B197)))*SIGN(((ACT_SKU_SCOPE="ALL")+(ACT_SKU_SCOPE=$G197)))*(ACT_START&lt;=6)*(ACT_END&gt;=6)*IFERROR(ACT_UPLIFT-1,0)))*(1+SUMPRODUCT(SIGN(((ACT_DOOR_SCOPE="ALL")+(ACT_DOOR_SCOPE="TIER_"&amp;$F197)+(ACT_DOOR_SCOPE=$B197)))*SIGN(((ACT_SKU_SCOPE="ALL")+(ACT_SKU_SCOPE=$G197)))*(6&gt;ACT_END)*(ACT_END&gt;0)*IFERROR(ACT_POSTLIFT,0))),0)))</f>
        <v/>
      </c>
      <c r="P197" s="10">
        <f>IF(OR($H197&lt;&gt;"Y",7&lt;$I197),0,IF(SUMPRODUCT(((BULK_ENABLED="Y")*((BULK_TIER="ALL")+(BULK_TIER=$F197))*((BULK_SKU="ALL")+(BULK_SKU=$G197))*(BULK_START&lt;=7)*(BULK_END&gt;=7)))&gt;0,IFERROR(SUMPRODUCT(((BULK_ENABLED="Y")*((BULK_TIER="ALL")+(BULK_TIER=$F197))*((BULK_SKU="ALL")+(BULK_SKU=$G197))*(BULK_START&lt;=7)*(BULK_END&gt;=7))*IFERROR(BULK_VALUE,0))/MAX(1,SUMPRODUCT(((BULK_ENABLED="Y")*((BULK_TIER="ALL")+(BULK_TIER=$F197))*((BULK_SKU="ALL")+(BULK_SKU=$G197))*(BULK_START&lt;=7)*(BULK_END&gt;=7)))),0),ROUND((INDEX(VELOCITY_TABLE,MATCH($F197,TIER_LIST,0),1))*(IF((7-$I197+1)&lt;=0,0,IF((7-$I197+1)=1,RAMP_W1,IF((7-$I197+1)=2,RAMP_W2,IF((7-$I197+1)=3,RAMP_W3,RAMP_W4PLUS)))))*(INDEX(ACTIVE_MULT_TABLE,1,1))*(1+SUMPRODUCT(SIGN(((ACT_DOOR_SCOPE="ALL")+(ACT_DOOR_SCOPE="TIER_"&amp;$F197)+(ACT_DOOR_SCOPE=$B197)))*SIGN(((ACT_SKU_SCOPE="ALL")+(ACT_SKU_SCOPE=$G197)))*(ACT_START&lt;=7)*(ACT_END&gt;=7)*IFERROR(ACT_UPLIFT-1,0)))*(1+SUMPRODUCT(SIGN(((ACT_DOOR_SCOPE="ALL")+(ACT_DOOR_SCOPE="TIER_"&amp;$F197)+(ACT_DOOR_SCOPE=$B197)))*SIGN(((ACT_SKU_SCOPE="ALL")+(ACT_SKU_SCOPE=$G197)))*(7&gt;ACT_END)*(ACT_END&gt;0)*IFERROR(ACT_POSTLIFT,0))),0)))</f>
        <v/>
      </c>
      <c r="Q197" s="10">
        <f>IF(OR($H197&lt;&gt;"Y",8&lt;$I197),0,IF(SUMPRODUCT(((BULK_ENABLED="Y")*((BULK_TIER="ALL")+(BULK_TIER=$F197))*((BULK_SKU="ALL")+(BULK_SKU=$G197))*(BULK_START&lt;=8)*(BULK_END&gt;=8)))&gt;0,IFERROR(SUMPRODUCT(((BULK_ENABLED="Y")*((BULK_TIER="ALL")+(BULK_TIER=$F197))*((BULK_SKU="ALL")+(BULK_SKU=$G197))*(BULK_START&lt;=8)*(BULK_END&gt;=8))*IFERROR(BULK_VALUE,0))/MAX(1,SUMPRODUCT(((BULK_ENABLED="Y")*((BULK_TIER="ALL")+(BULK_TIER=$F197))*((BULK_SKU="ALL")+(BULK_SKU=$G197))*(BULK_START&lt;=8)*(BULK_END&gt;=8)))),0),ROUND((INDEX(VELOCITY_TABLE,MATCH($F197,TIER_LIST,0),1))*(IF((8-$I197+1)&lt;=0,0,IF((8-$I197+1)=1,RAMP_W1,IF((8-$I197+1)=2,RAMP_W2,IF((8-$I197+1)=3,RAMP_W3,RAMP_W4PLUS)))))*(INDEX(ACTIVE_MULT_TABLE,1,1))*(1+SUMPRODUCT(SIGN(((ACT_DOOR_SCOPE="ALL")+(ACT_DOOR_SCOPE="TIER_"&amp;$F197)+(ACT_DOOR_SCOPE=$B197)))*SIGN(((ACT_SKU_SCOPE="ALL")+(ACT_SKU_SCOPE=$G197)))*(ACT_START&lt;=8)*(ACT_END&gt;=8)*IFERROR(ACT_UPLIFT-1,0)))*(1+SUMPRODUCT(SIGN(((ACT_DOOR_SCOPE="ALL")+(ACT_DOOR_SCOPE="TIER_"&amp;$F197)+(ACT_DOOR_SCOPE=$B197)))*SIGN(((ACT_SKU_SCOPE="ALL")+(ACT_SKU_SCOPE=$G197)))*(8&gt;ACT_END)*(ACT_END&gt;0)*IFERROR(ACT_POSTLIFT,0))),0)))</f>
        <v/>
      </c>
      <c r="R197" s="10">
        <f>IF(OR($H197&lt;&gt;"Y",9&lt;$I197),0,IF(SUMPRODUCT(((BULK_ENABLED="Y")*((BULK_TIER="ALL")+(BULK_TIER=$F197))*((BULK_SKU="ALL")+(BULK_SKU=$G197))*(BULK_START&lt;=9)*(BULK_END&gt;=9)))&gt;0,IFERROR(SUMPRODUCT(((BULK_ENABLED="Y")*((BULK_TIER="ALL")+(BULK_TIER=$F197))*((BULK_SKU="ALL")+(BULK_SKU=$G197))*(BULK_START&lt;=9)*(BULK_END&gt;=9))*IFERROR(BULK_VALUE,0))/MAX(1,SUMPRODUCT(((BULK_ENABLED="Y")*((BULK_TIER="ALL")+(BULK_TIER=$F197))*((BULK_SKU="ALL")+(BULK_SKU=$G197))*(BULK_START&lt;=9)*(BULK_END&gt;=9)))),0),ROUND((INDEX(VELOCITY_TABLE,MATCH($F197,TIER_LIST,0),1))*(IF((9-$I197+1)&lt;=0,0,IF((9-$I197+1)=1,RAMP_W1,IF((9-$I197+1)=2,RAMP_W2,IF((9-$I197+1)=3,RAMP_W3,RAMP_W4PLUS)))))*(INDEX(ACTIVE_MULT_TABLE,1,1))*(1+SUMPRODUCT(SIGN(((ACT_DOOR_SCOPE="ALL")+(ACT_DOOR_SCOPE="TIER_"&amp;$F197)+(ACT_DOOR_SCOPE=$B197)))*SIGN(((ACT_SKU_SCOPE="ALL")+(ACT_SKU_SCOPE=$G197)))*(ACT_START&lt;=9)*(ACT_END&gt;=9)*IFERROR(ACT_UPLIFT-1,0)))*(1+SUMPRODUCT(SIGN(((ACT_DOOR_SCOPE="ALL")+(ACT_DOOR_SCOPE="TIER_"&amp;$F197)+(ACT_DOOR_SCOPE=$B197)))*SIGN(((ACT_SKU_SCOPE="ALL")+(ACT_SKU_SCOPE=$G197)))*(9&gt;ACT_END)*(ACT_END&gt;0)*IFERROR(ACT_POSTLIFT,0))),0)))</f>
        <v/>
      </c>
      <c r="S197" s="10">
        <f>IF(OR($H197&lt;&gt;"Y",10&lt;$I197),0,IF(SUMPRODUCT(((BULK_ENABLED="Y")*((BULK_TIER="ALL")+(BULK_TIER=$F197))*((BULK_SKU="ALL")+(BULK_SKU=$G197))*(BULK_START&lt;=10)*(BULK_END&gt;=10)))&gt;0,IFERROR(SUMPRODUCT(((BULK_ENABLED="Y")*((BULK_TIER="ALL")+(BULK_TIER=$F197))*((BULK_SKU="ALL")+(BULK_SKU=$G197))*(BULK_START&lt;=10)*(BULK_END&gt;=10))*IFERROR(BULK_VALUE,0))/MAX(1,SUMPRODUCT(((BULK_ENABLED="Y")*((BULK_TIER="ALL")+(BULK_TIER=$F197))*((BULK_SKU="ALL")+(BULK_SKU=$G197))*(BULK_START&lt;=10)*(BULK_END&gt;=10)))),0),ROUND((INDEX(VELOCITY_TABLE,MATCH($F197,TIER_LIST,0),1))*(IF((10-$I197+1)&lt;=0,0,IF((10-$I197+1)=1,RAMP_W1,IF((10-$I197+1)=2,RAMP_W2,IF((10-$I197+1)=3,RAMP_W3,RAMP_W4PLUS)))))*(INDEX(ACTIVE_MULT_TABLE,1,1))*(1+SUMPRODUCT(SIGN(((ACT_DOOR_SCOPE="ALL")+(ACT_DOOR_SCOPE="TIER_"&amp;$F197)+(ACT_DOOR_SCOPE=$B197)))*SIGN(((ACT_SKU_SCOPE="ALL")+(ACT_SKU_SCOPE=$G197)))*(ACT_START&lt;=10)*(ACT_END&gt;=10)*IFERROR(ACT_UPLIFT-1,0)))*(1+SUMPRODUCT(SIGN(((ACT_DOOR_SCOPE="ALL")+(ACT_DOOR_SCOPE="TIER_"&amp;$F197)+(ACT_DOOR_SCOPE=$B197)))*SIGN(((ACT_SKU_SCOPE="ALL")+(ACT_SKU_SCOPE=$G197)))*(10&gt;ACT_END)*(ACT_END&gt;0)*IFERROR(ACT_POSTLIFT,0))),0)))</f>
        <v/>
      </c>
      <c r="T197" s="10">
        <f>IF(OR($H197&lt;&gt;"Y",11&lt;$I197),0,IF(SUMPRODUCT(((BULK_ENABLED="Y")*((BULK_TIER="ALL")+(BULK_TIER=$F197))*((BULK_SKU="ALL")+(BULK_SKU=$G197))*(BULK_START&lt;=11)*(BULK_END&gt;=11)))&gt;0,IFERROR(SUMPRODUCT(((BULK_ENABLED="Y")*((BULK_TIER="ALL")+(BULK_TIER=$F197))*((BULK_SKU="ALL")+(BULK_SKU=$G197))*(BULK_START&lt;=11)*(BULK_END&gt;=11))*IFERROR(BULK_VALUE,0))/MAX(1,SUMPRODUCT(((BULK_ENABLED="Y")*((BULK_TIER="ALL")+(BULK_TIER=$F197))*((BULK_SKU="ALL")+(BULK_SKU=$G197))*(BULK_START&lt;=11)*(BULK_END&gt;=11)))),0),ROUND((INDEX(VELOCITY_TABLE,MATCH($F197,TIER_LIST,0),1))*(IF((11-$I197+1)&lt;=0,0,IF((11-$I197+1)=1,RAMP_W1,IF((11-$I197+1)=2,RAMP_W2,IF((11-$I197+1)=3,RAMP_W3,RAMP_W4PLUS)))))*(INDEX(ACTIVE_MULT_TABLE,1,1))*(1+SUMPRODUCT(SIGN(((ACT_DOOR_SCOPE="ALL")+(ACT_DOOR_SCOPE="TIER_"&amp;$F197)+(ACT_DOOR_SCOPE=$B197)))*SIGN(((ACT_SKU_SCOPE="ALL")+(ACT_SKU_SCOPE=$G197)))*(ACT_START&lt;=11)*(ACT_END&gt;=11)*IFERROR(ACT_UPLIFT-1,0)))*(1+SUMPRODUCT(SIGN(((ACT_DOOR_SCOPE="ALL")+(ACT_DOOR_SCOPE="TIER_"&amp;$F197)+(ACT_DOOR_SCOPE=$B197)))*SIGN(((ACT_SKU_SCOPE="ALL")+(ACT_SKU_SCOPE=$G197)))*(11&gt;ACT_END)*(ACT_END&gt;0)*IFERROR(ACT_POSTLIFT,0))),0)))</f>
        <v/>
      </c>
      <c r="U197" s="10">
        <f>IF(OR($H197&lt;&gt;"Y",12&lt;$I197),0,IF(SUMPRODUCT(((BULK_ENABLED="Y")*((BULK_TIER="ALL")+(BULK_TIER=$F197))*((BULK_SKU="ALL")+(BULK_SKU=$G197))*(BULK_START&lt;=12)*(BULK_END&gt;=12)))&gt;0,IFERROR(SUMPRODUCT(((BULK_ENABLED="Y")*((BULK_TIER="ALL")+(BULK_TIER=$F197))*((BULK_SKU="ALL")+(BULK_SKU=$G197))*(BULK_START&lt;=12)*(BULK_END&gt;=12))*IFERROR(BULK_VALUE,0))/MAX(1,SUMPRODUCT(((BULK_ENABLED="Y")*((BULK_TIER="ALL")+(BULK_TIER=$F197))*((BULK_SKU="ALL")+(BULK_SKU=$G197))*(BULK_START&lt;=12)*(BULK_END&gt;=12)))),0),ROUND((INDEX(VELOCITY_TABLE,MATCH($F197,TIER_LIST,0),1))*(IF((12-$I197+1)&lt;=0,0,IF((12-$I197+1)=1,RAMP_W1,IF((12-$I197+1)=2,RAMP_W2,IF((12-$I197+1)=3,RAMP_W3,RAMP_W4PLUS)))))*(INDEX(ACTIVE_MULT_TABLE,1,1))*(1+SUMPRODUCT(SIGN(((ACT_DOOR_SCOPE="ALL")+(ACT_DOOR_SCOPE="TIER_"&amp;$F197)+(ACT_DOOR_SCOPE=$B197)))*SIGN(((ACT_SKU_SCOPE="ALL")+(ACT_SKU_SCOPE=$G197)))*(ACT_START&lt;=12)*(ACT_END&gt;=12)*IFERROR(ACT_UPLIFT-1,0)))*(1+SUMPRODUCT(SIGN(((ACT_DOOR_SCOPE="ALL")+(ACT_DOOR_SCOPE="TIER_"&amp;$F197)+(ACT_DOOR_SCOPE=$B197)))*SIGN(((ACT_SKU_SCOPE="ALL")+(ACT_SKU_SCOPE=$G197)))*(12&gt;ACT_END)*(ACT_END&gt;0)*IFERROR(ACT_POSTLIFT,0))),0)))</f>
        <v/>
      </c>
      <c r="V197" s="10">
        <f>IF(OR($H197&lt;&gt;"Y",13&lt;$I197),0,IF(SUMPRODUCT(((BULK_ENABLED="Y")*((BULK_TIER="ALL")+(BULK_TIER=$F197))*((BULK_SKU="ALL")+(BULK_SKU=$G197))*(BULK_START&lt;=13)*(BULK_END&gt;=13)))&gt;0,IFERROR(SUMPRODUCT(((BULK_ENABLED="Y")*((BULK_TIER="ALL")+(BULK_TIER=$F197))*((BULK_SKU="ALL")+(BULK_SKU=$G197))*(BULK_START&lt;=13)*(BULK_END&gt;=13))*IFERROR(BULK_VALUE,0))/MAX(1,SUMPRODUCT(((BULK_ENABLED="Y")*((BULK_TIER="ALL")+(BULK_TIER=$F197))*((BULK_SKU="ALL")+(BULK_SKU=$G197))*(BULK_START&lt;=13)*(BULK_END&gt;=13)))),0),ROUND((INDEX(VELOCITY_TABLE,MATCH($F197,TIER_LIST,0),1))*(IF((13-$I197+1)&lt;=0,0,IF((13-$I197+1)=1,RAMP_W1,IF((13-$I197+1)=2,RAMP_W2,IF((13-$I197+1)=3,RAMP_W3,RAMP_W4PLUS)))))*(INDEX(ACTIVE_MULT_TABLE,1,1))*(1+SUMPRODUCT(SIGN(((ACT_DOOR_SCOPE="ALL")+(ACT_DOOR_SCOPE="TIER_"&amp;$F197)+(ACT_DOOR_SCOPE=$B197)))*SIGN(((ACT_SKU_SCOPE="ALL")+(ACT_SKU_SCOPE=$G197)))*(ACT_START&lt;=13)*(ACT_END&gt;=13)*IFERROR(ACT_UPLIFT-1,0)))*(1+SUMPRODUCT(SIGN(((ACT_DOOR_SCOPE="ALL")+(ACT_DOOR_SCOPE="TIER_"&amp;$F197)+(ACT_DOOR_SCOPE=$B197)))*SIGN(((ACT_SKU_SCOPE="ALL")+(ACT_SKU_SCOPE=$G197)))*(13&gt;ACT_END)*(ACT_END&gt;0)*IFERROR(ACT_POSTLIFT,0))),0)))</f>
        <v/>
      </c>
    </row>
    <row r="198">
      <c r="A198" t="inlineStr">
        <is>
          <t>R0194</t>
        </is>
      </c>
      <c r="B198">
        <f>Doors!$A$69</f>
        <v/>
      </c>
      <c r="C198">
        <f>Doors!$C$69</f>
        <v/>
      </c>
      <c r="D198">
        <f>Doors!$B$69</f>
        <v/>
      </c>
      <c r="E198">
        <f>Doors!$E$69</f>
        <v/>
      </c>
      <c r="F198">
        <f>Doors!$F$69</f>
        <v/>
      </c>
      <c r="G198" t="inlineStr">
        <is>
          <t>Pineapple Passion Fruit</t>
        </is>
      </c>
      <c r="H198">
        <f>Doors!$H$69</f>
        <v/>
      </c>
      <c r="I198">
        <f>Doors!$J$69</f>
        <v/>
      </c>
      <c r="J198" s="10">
        <f>IF(OR($H198&lt;&gt;"Y",1&lt;$I198),0,IF(SUMPRODUCT(((BULK_ENABLED="Y")*((BULK_TIER="ALL")+(BULK_TIER=$F198))*((BULK_SKU="ALL")+(BULK_SKU=$G198))*(BULK_START&lt;=1)*(BULK_END&gt;=1)))&gt;0,IFERROR(SUMPRODUCT(((BULK_ENABLED="Y")*((BULK_TIER="ALL")+(BULK_TIER=$F198))*((BULK_SKU="ALL")+(BULK_SKU=$G198))*(BULK_START&lt;=1)*(BULK_END&gt;=1))*IFERROR(BULK_VALUE,0))/MAX(1,SUMPRODUCT(((BULK_ENABLED="Y")*((BULK_TIER="ALL")+(BULK_TIER=$F198))*((BULK_SKU="ALL")+(BULK_SKU=$G198))*(BULK_START&lt;=1)*(BULK_END&gt;=1)))),0),ROUND((INDEX(VELOCITY_TABLE,MATCH($F198,TIER_LIST,0),2))*(IF((1-$I198+1)&lt;=0,0,IF((1-$I198+1)=1,RAMP_W1,IF((1-$I198+1)=2,RAMP_W2,IF((1-$I198+1)=3,RAMP_W3,RAMP_W4PLUS)))))*(INDEX(ACTIVE_MULT_TABLE,2,1))*(1+SUMPRODUCT(SIGN(((ACT_DOOR_SCOPE="ALL")+(ACT_DOOR_SCOPE="TIER_"&amp;$F198)+(ACT_DOOR_SCOPE=$B198)))*SIGN(((ACT_SKU_SCOPE="ALL")+(ACT_SKU_SCOPE=$G198)))*(ACT_START&lt;=1)*(ACT_END&gt;=1)*IFERROR(ACT_UPLIFT-1,0)))*(1+SUMPRODUCT(SIGN(((ACT_DOOR_SCOPE="ALL")+(ACT_DOOR_SCOPE="TIER_"&amp;$F198)+(ACT_DOOR_SCOPE=$B198)))*SIGN(((ACT_SKU_SCOPE="ALL")+(ACT_SKU_SCOPE=$G198)))*(1&gt;ACT_END)*(ACT_END&gt;0)*IFERROR(ACT_POSTLIFT,0))),0)))</f>
        <v/>
      </c>
      <c r="K198" s="10">
        <f>IF(OR($H198&lt;&gt;"Y",2&lt;$I198),0,IF(SUMPRODUCT(((BULK_ENABLED="Y")*((BULK_TIER="ALL")+(BULK_TIER=$F198))*((BULK_SKU="ALL")+(BULK_SKU=$G198))*(BULK_START&lt;=2)*(BULK_END&gt;=2)))&gt;0,IFERROR(SUMPRODUCT(((BULK_ENABLED="Y")*((BULK_TIER="ALL")+(BULK_TIER=$F198))*((BULK_SKU="ALL")+(BULK_SKU=$G198))*(BULK_START&lt;=2)*(BULK_END&gt;=2))*IFERROR(BULK_VALUE,0))/MAX(1,SUMPRODUCT(((BULK_ENABLED="Y")*((BULK_TIER="ALL")+(BULK_TIER=$F198))*((BULK_SKU="ALL")+(BULK_SKU=$G198))*(BULK_START&lt;=2)*(BULK_END&gt;=2)))),0),ROUND((INDEX(VELOCITY_TABLE,MATCH($F198,TIER_LIST,0),2))*(IF((2-$I198+1)&lt;=0,0,IF((2-$I198+1)=1,RAMP_W1,IF((2-$I198+1)=2,RAMP_W2,IF((2-$I198+1)=3,RAMP_W3,RAMP_W4PLUS)))))*(INDEX(ACTIVE_MULT_TABLE,2,1))*(1+SUMPRODUCT(SIGN(((ACT_DOOR_SCOPE="ALL")+(ACT_DOOR_SCOPE="TIER_"&amp;$F198)+(ACT_DOOR_SCOPE=$B198)))*SIGN(((ACT_SKU_SCOPE="ALL")+(ACT_SKU_SCOPE=$G198)))*(ACT_START&lt;=2)*(ACT_END&gt;=2)*IFERROR(ACT_UPLIFT-1,0)))*(1+SUMPRODUCT(SIGN(((ACT_DOOR_SCOPE="ALL")+(ACT_DOOR_SCOPE="TIER_"&amp;$F198)+(ACT_DOOR_SCOPE=$B198)))*SIGN(((ACT_SKU_SCOPE="ALL")+(ACT_SKU_SCOPE=$G198)))*(2&gt;ACT_END)*(ACT_END&gt;0)*IFERROR(ACT_POSTLIFT,0))),0)))</f>
        <v/>
      </c>
      <c r="L198" s="10">
        <f>IF(OR($H198&lt;&gt;"Y",3&lt;$I198),0,IF(SUMPRODUCT(((BULK_ENABLED="Y")*((BULK_TIER="ALL")+(BULK_TIER=$F198))*((BULK_SKU="ALL")+(BULK_SKU=$G198))*(BULK_START&lt;=3)*(BULK_END&gt;=3)))&gt;0,IFERROR(SUMPRODUCT(((BULK_ENABLED="Y")*((BULK_TIER="ALL")+(BULK_TIER=$F198))*((BULK_SKU="ALL")+(BULK_SKU=$G198))*(BULK_START&lt;=3)*(BULK_END&gt;=3))*IFERROR(BULK_VALUE,0))/MAX(1,SUMPRODUCT(((BULK_ENABLED="Y")*((BULK_TIER="ALL")+(BULK_TIER=$F198))*((BULK_SKU="ALL")+(BULK_SKU=$G198))*(BULK_START&lt;=3)*(BULK_END&gt;=3)))),0),ROUND((INDEX(VELOCITY_TABLE,MATCH($F198,TIER_LIST,0),2))*(IF((3-$I198+1)&lt;=0,0,IF((3-$I198+1)=1,RAMP_W1,IF((3-$I198+1)=2,RAMP_W2,IF((3-$I198+1)=3,RAMP_W3,RAMP_W4PLUS)))))*(INDEX(ACTIVE_MULT_TABLE,2,1))*(1+SUMPRODUCT(SIGN(((ACT_DOOR_SCOPE="ALL")+(ACT_DOOR_SCOPE="TIER_"&amp;$F198)+(ACT_DOOR_SCOPE=$B198)))*SIGN(((ACT_SKU_SCOPE="ALL")+(ACT_SKU_SCOPE=$G198)))*(ACT_START&lt;=3)*(ACT_END&gt;=3)*IFERROR(ACT_UPLIFT-1,0)))*(1+SUMPRODUCT(SIGN(((ACT_DOOR_SCOPE="ALL")+(ACT_DOOR_SCOPE="TIER_"&amp;$F198)+(ACT_DOOR_SCOPE=$B198)))*SIGN(((ACT_SKU_SCOPE="ALL")+(ACT_SKU_SCOPE=$G198)))*(3&gt;ACT_END)*(ACT_END&gt;0)*IFERROR(ACT_POSTLIFT,0))),0)))</f>
        <v/>
      </c>
      <c r="M198" s="10">
        <f>IF(OR($H198&lt;&gt;"Y",4&lt;$I198),0,IF(SUMPRODUCT(((BULK_ENABLED="Y")*((BULK_TIER="ALL")+(BULK_TIER=$F198))*((BULK_SKU="ALL")+(BULK_SKU=$G198))*(BULK_START&lt;=4)*(BULK_END&gt;=4)))&gt;0,IFERROR(SUMPRODUCT(((BULK_ENABLED="Y")*((BULK_TIER="ALL")+(BULK_TIER=$F198))*((BULK_SKU="ALL")+(BULK_SKU=$G198))*(BULK_START&lt;=4)*(BULK_END&gt;=4))*IFERROR(BULK_VALUE,0))/MAX(1,SUMPRODUCT(((BULK_ENABLED="Y")*((BULK_TIER="ALL")+(BULK_TIER=$F198))*((BULK_SKU="ALL")+(BULK_SKU=$G198))*(BULK_START&lt;=4)*(BULK_END&gt;=4)))),0),ROUND((INDEX(VELOCITY_TABLE,MATCH($F198,TIER_LIST,0),2))*(IF((4-$I198+1)&lt;=0,0,IF((4-$I198+1)=1,RAMP_W1,IF((4-$I198+1)=2,RAMP_W2,IF((4-$I198+1)=3,RAMP_W3,RAMP_W4PLUS)))))*(INDEX(ACTIVE_MULT_TABLE,2,1))*(1+SUMPRODUCT(SIGN(((ACT_DOOR_SCOPE="ALL")+(ACT_DOOR_SCOPE="TIER_"&amp;$F198)+(ACT_DOOR_SCOPE=$B198)))*SIGN(((ACT_SKU_SCOPE="ALL")+(ACT_SKU_SCOPE=$G198)))*(ACT_START&lt;=4)*(ACT_END&gt;=4)*IFERROR(ACT_UPLIFT-1,0)))*(1+SUMPRODUCT(SIGN(((ACT_DOOR_SCOPE="ALL")+(ACT_DOOR_SCOPE="TIER_"&amp;$F198)+(ACT_DOOR_SCOPE=$B198)))*SIGN(((ACT_SKU_SCOPE="ALL")+(ACT_SKU_SCOPE=$G198)))*(4&gt;ACT_END)*(ACT_END&gt;0)*IFERROR(ACT_POSTLIFT,0))),0)))</f>
        <v/>
      </c>
      <c r="N198" s="10">
        <f>IF(OR($H198&lt;&gt;"Y",5&lt;$I198),0,IF(SUMPRODUCT(((BULK_ENABLED="Y")*((BULK_TIER="ALL")+(BULK_TIER=$F198))*((BULK_SKU="ALL")+(BULK_SKU=$G198))*(BULK_START&lt;=5)*(BULK_END&gt;=5)))&gt;0,IFERROR(SUMPRODUCT(((BULK_ENABLED="Y")*((BULK_TIER="ALL")+(BULK_TIER=$F198))*((BULK_SKU="ALL")+(BULK_SKU=$G198))*(BULK_START&lt;=5)*(BULK_END&gt;=5))*IFERROR(BULK_VALUE,0))/MAX(1,SUMPRODUCT(((BULK_ENABLED="Y")*((BULK_TIER="ALL")+(BULK_TIER=$F198))*((BULK_SKU="ALL")+(BULK_SKU=$G198))*(BULK_START&lt;=5)*(BULK_END&gt;=5)))),0),ROUND((INDEX(VELOCITY_TABLE,MATCH($F198,TIER_LIST,0),2))*(IF((5-$I198+1)&lt;=0,0,IF((5-$I198+1)=1,RAMP_W1,IF((5-$I198+1)=2,RAMP_W2,IF((5-$I198+1)=3,RAMP_W3,RAMP_W4PLUS)))))*(INDEX(ACTIVE_MULT_TABLE,2,1))*(1+SUMPRODUCT(SIGN(((ACT_DOOR_SCOPE="ALL")+(ACT_DOOR_SCOPE="TIER_"&amp;$F198)+(ACT_DOOR_SCOPE=$B198)))*SIGN(((ACT_SKU_SCOPE="ALL")+(ACT_SKU_SCOPE=$G198)))*(ACT_START&lt;=5)*(ACT_END&gt;=5)*IFERROR(ACT_UPLIFT-1,0)))*(1+SUMPRODUCT(SIGN(((ACT_DOOR_SCOPE="ALL")+(ACT_DOOR_SCOPE="TIER_"&amp;$F198)+(ACT_DOOR_SCOPE=$B198)))*SIGN(((ACT_SKU_SCOPE="ALL")+(ACT_SKU_SCOPE=$G198)))*(5&gt;ACT_END)*(ACT_END&gt;0)*IFERROR(ACT_POSTLIFT,0))),0)))</f>
        <v/>
      </c>
      <c r="O198" s="10">
        <f>IF(OR($H198&lt;&gt;"Y",6&lt;$I198),0,IF(SUMPRODUCT(((BULK_ENABLED="Y")*((BULK_TIER="ALL")+(BULK_TIER=$F198))*((BULK_SKU="ALL")+(BULK_SKU=$G198))*(BULK_START&lt;=6)*(BULK_END&gt;=6)))&gt;0,IFERROR(SUMPRODUCT(((BULK_ENABLED="Y")*((BULK_TIER="ALL")+(BULK_TIER=$F198))*((BULK_SKU="ALL")+(BULK_SKU=$G198))*(BULK_START&lt;=6)*(BULK_END&gt;=6))*IFERROR(BULK_VALUE,0))/MAX(1,SUMPRODUCT(((BULK_ENABLED="Y")*((BULK_TIER="ALL")+(BULK_TIER=$F198))*((BULK_SKU="ALL")+(BULK_SKU=$G198))*(BULK_START&lt;=6)*(BULK_END&gt;=6)))),0),ROUND((INDEX(VELOCITY_TABLE,MATCH($F198,TIER_LIST,0),2))*(IF((6-$I198+1)&lt;=0,0,IF((6-$I198+1)=1,RAMP_W1,IF((6-$I198+1)=2,RAMP_W2,IF((6-$I198+1)=3,RAMP_W3,RAMP_W4PLUS)))))*(INDEX(ACTIVE_MULT_TABLE,2,1))*(1+SUMPRODUCT(SIGN(((ACT_DOOR_SCOPE="ALL")+(ACT_DOOR_SCOPE="TIER_"&amp;$F198)+(ACT_DOOR_SCOPE=$B198)))*SIGN(((ACT_SKU_SCOPE="ALL")+(ACT_SKU_SCOPE=$G198)))*(ACT_START&lt;=6)*(ACT_END&gt;=6)*IFERROR(ACT_UPLIFT-1,0)))*(1+SUMPRODUCT(SIGN(((ACT_DOOR_SCOPE="ALL")+(ACT_DOOR_SCOPE="TIER_"&amp;$F198)+(ACT_DOOR_SCOPE=$B198)))*SIGN(((ACT_SKU_SCOPE="ALL")+(ACT_SKU_SCOPE=$G198)))*(6&gt;ACT_END)*(ACT_END&gt;0)*IFERROR(ACT_POSTLIFT,0))),0)))</f>
        <v/>
      </c>
      <c r="P198" s="10">
        <f>IF(OR($H198&lt;&gt;"Y",7&lt;$I198),0,IF(SUMPRODUCT(((BULK_ENABLED="Y")*((BULK_TIER="ALL")+(BULK_TIER=$F198))*((BULK_SKU="ALL")+(BULK_SKU=$G198))*(BULK_START&lt;=7)*(BULK_END&gt;=7)))&gt;0,IFERROR(SUMPRODUCT(((BULK_ENABLED="Y")*((BULK_TIER="ALL")+(BULK_TIER=$F198))*((BULK_SKU="ALL")+(BULK_SKU=$G198))*(BULK_START&lt;=7)*(BULK_END&gt;=7))*IFERROR(BULK_VALUE,0))/MAX(1,SUMPRODUCT(((BULK_ENABLED="Y")*((BULK_TIER="ALL")+(BULK_TIER=$F198))*((BULK_SKU="ALL")+(BULK_SKU=$G198))*(BULK_START&lt;=7)*(BULK_END&gt;=7)))),0),ROUND((INDEX(VELOCITY_TABLE,MATCH($F198,TIER_LIST,0),2))*(IF((7-$I198+1)&lt;=0,0,IF((7-$I198+1)=1,RAMP_W1,IF((7-$I198+1)=2,RAMP_W2,IF((7-$I198+1)=3,RAMP_W3,RAMP_W4PLUS)))))*(INDEX(ACTIVE_MULT_TABLE,2,1))*(1+SUMPRODUCT(SIGN(((ACT_DOOR_SCOPE="ALL")+(ACT_DOOR_SCOPE="TIER_"&amp;$F198)+(ACT_DOOR_SCOPE=$B198)))*SIGN(((ACT_SKU_SCOPE="ALL")+(ACT_SKU_SCOPE=$G198)))*(ACT_START&lt;=7)*(ACT_END&gt;=7)*IFERROR(ACT_UPLIFT-1,0)))*(1+SUMPRODUCT(SIGN(((ACT_DOOR_SCOPE="ALL")+(ACT_DOOR_SCOPE="TIER_"&amp;$F198)+(ACT_DOOR_SCOPE=$B198)))*SIGN(((ACT_SKU_SCOPE="ALL")+(ACT_SKU_SCOPE=$G198)))*(7&gt;ACT_END)*(ACT_END&gt;0)*IFERROR(ACT_POSTLIFT,0))),0)))</f>
        <v/>
      </c>
      <c r="Q198" s="10">
        <f>IF(OR($H198&lt;&gt;"Y",8&lt;$I198),0,IF(SUMPRODUCT(((BULK_ENABLED="Y")*((BULK_TIER="ALL")+(BULK_TIER=$F198))*((BULK_SKU="ALL")+(BULK_SKU=$G198))*(BULK_START&lt;=8)*(BULK_END&gt;=8)))&gt;0,IFERROR(SUMPRODUCT(((BULK_ENABLED="Y")*((BULK_TIER="ALL")+(BULK_TIER=$F198))*((BULK_SKU="ALL")+(BULK_SKU=$G198))*(BULK_START&lt;=8)*(BULK_END&gt;=8))*IFERROR(BULK_VALUE,0))/MAX(1,SUMPRODUCT(((BULK_ENABLED="Y")*((BULK_TIER="ALL")+(BULK_TIER=$F198))*((BULK_SKU="ALL")+(BULK_SKU=$G198))*(BULK_START&lt;=8)*(BULK_END&gt;=8)))),0),ROUND((INDEX(VELOCITY_TABLE,MATCH($F198,TIER_LIST,0),2))*(IF((8-$I198+1)&lt;=0,0,IF((8-$I198+1)=1,RAMP_W1,IF((8-$I198+1)=2,RAMP_W2,IF((8-$I198+1)=3,RAMP_W3,RAMP_W4PLUS)))))*(INDEX(ACTIVE_MULT_TABLE,2,1))*(1+SUMPRODUCT(SIGN(((ACT_DOOR_SCOPE="ALL")+(ACT_DOOR_SCOPE="TIER_"&amp;$F198)+(ACT_DOOR_SCOPE=$B198)))*SIGN(((ACT_SKU_SCOPE="ALL")+(ACT_SKU_SCOPE=$G198)))*(ACT_START&lt;=8)*(ACT_END&gt;=8)*IFERROR(ACT_UPLIFT-1,0)))*(1+SUMPRODUCT(SIGN(((ACT_DOOR_SCOPE="ALL")+(ACT_DOOR_SCOPE="TIER_"&amp;$F198)+(ACT_DOOR_SCOPE=$B198)))*SIGN(((ACT_SKU_SCOPE="ALL")+(ACT_SKU_SCOPE=$G198)))*(8&gt;ACT_END)*(ACT_END&gt;0)*IFERROR(ACT_POSTLIFT,0))),0)))</f>
        <v/>
      </c>
      <c r="R198" s="10">
        <f>IF(OR($H198&lt;&gt;"Y",9&lt;$I198),0,IF(SUMPRODUCT(((BULK_ENABLED="Y")*((BULK_TIER="ALL")+(BULK_TIER=$F198))*((BULK_SKU="ALL")+(BULK_SKU=$G198))*(BULK_START&lt;=9)*(BULK_END&gt;=9)))&gt;0,IFERROR(SUMPRODUCT(((BULK_ENABLED="Y")*((BULK_TIER="ALL")+(BULK_TIER=$F198))*((BULK_SKU="ALL")+(BULK_SKU=$G198))*(BULK_START&lt;=9)*(BULK_END&gt;=9))*IFERROR(BULK_VALUE,0))/MAX(1,SUMPRODUCT(((BULK_ENABLED="Y")*((BULK_TIER="ALL")+(BULK_TIER=$F198))*((BULK_SKU="ALL")+(BULK_SKU=$G198))*(BULK_START&lt;=9)*(BULK_END&gt;=9)))),0),ROUND((INDEX(VELOCITY_TABLE,MATCH($F198,TIER_LIST,0),2))*(IF((9-$I198+1)&lt;=0,0,IF((9-$I198+1)=1,RAMP_W1,IF((9-$I198+1)=2,RAMP_W2,IF((9-$I198+1)=3,RAMP_W3,RAMP_W4PLUS)))))*(INDEX(ACTIVE_MULT_TABLE,2,1))*(1+SUMPRODUCT(SIGN(((ACT_DOOR_SCOPE="ALL")+(ACT_DOOR_SCOPE="TIER_"&amp;$F198)+(ACT_DOOR_SCOPE=$B198)))*SIGN(((ACT_SKU_SCOPE="ALL")+(ACT_SKU_SCOPE=$G198)))*(ACT_START&lt;=9)*(ACT_END&gt;=9)*IFERROR(ACT_UPLIFT-1,0)))*(1+SUMPRODUCT(SIGN(((ACT_DOOR_SCOPE="ALL")+(ACT_DOOR_SCOPE="TIER_"&amp;$F198)+(ACT_DOOR_SCOPE=$B198)))*SIGN(((ACT_SKU_SCOPE="ALL")+(ACT_SKU_SCOPE=$G198)))*(9&gt;ACT_END)*(ACT_END&gt;0)*IFERROR(ACT_POSTLIFT,0))),0)))</f>
        <v/>
      </c>
      <c r="S198" s="10">
        <f>IF(OR($H198&lt;&gt;"Y",10&lt;$I198),0,IF(SUMPRODUCT(((BULK_ENABLED="Y")*((BULK_TIER="ALL")+(BULK_TIER=$F198))*((BULK_SKU="ALL")+(BULK_SKU=$G198))*(BULK_START&lt;=10)*(BULK_END&gt;=10)))&gt;0,IFERROR(SUMPRODUCT(((BULK_ENABLED="Y")*((BULK_TIER="ALL")+(BULK_TIER=$F198))*((BULK_SKU="ALL")+(BULK_SKU=$G198))*(BULK_START&lt;=10)*(BULK_END&gt;=10))*IFERROR(BULK_VALUE,0))/MAX(1,SUMPRODUCT(((BULK_ENABLED="Y")*((BULK_TIER="ALL")+(BULK_TIER=$F198))*((BULK_SKU="ALL")+(BULK_SKU=$G198))*(BULK_START&lt;=10)*(BULK_END&gt;=10)))),0),ROUND((INDEX(VELOCITY_TABLE,MATCH($F198,TIER_LIST,0),2))*(IF((10-$I198+1)&lt;=0,0,IF((10-$I198+1)=1,RAMP_W1,IF((10-$I198+1)=2,RAMP_W2,IF((10-$I198+1)=3,RAMP_W3,RAMP_W4PLUS)))))*(INDEX(ACTIVE_MULT_TABLE,2,1))*(1+SUMPRODUCT(SIGN(((ACT_DOOR_SCOPE="ALL")+(ACT_DOOR_SCOPE="TIER_"&amp;$F198)+(ACT_DOOR_SCOPE=$B198)))*SIGN(((ACT_SKU_SCOPE="ALL")+(ACT_SKU_SCOPE=$G198)))*(ACT_START&lt;=10)*(ACT_END&gt;=10)*IFERROR(ACT_UPLIFT-1,0)))*(1+SUMPRODUCT(SIGN(((ACT_DOOR_SCOPE="ALL")+(ACT_DOOR_SCOPE="TIER_"&amp;$F198)+(ACT_DOOR_SCOPE=$B198)))*SIGN(((ACT_SKU_SCOPE="ALL")+(ACT_SKU_SCOPE=$G198)))*(10&gt;ACT_END)*(ACT_END&gt;0)*IFERROR(ACT_POSTLIFT,0))),0)))</f>
        <v/>
      </c>
      <c r="T198" s="10">
        <f>IF(OR($H198&lt;&gt;"Y",11&lt;$I198),0,IF(SUMPRODUCT(((BULK_ENABLED="Y")*((BULK_TIER="ALL")+(BULK_TIER=$F198))*((BULK_SKU="ALL")+(BULK_SKU=$G198))*(BULK_START&lt;=11)*(BULK_END&gt;=11)))&gt;0,IFERROR(SUMPRODUCT(((BULK_ENABLED="Y")*((BULK_TIER="ALL")+(BULK_TIER=$F198))*((BULK_SKU="ALL")+(BULK_SKU=$G198))*(BULK_START&lt;=11)*(BULK_END&gt;=11))*IFERROR(BULK_VALUE,0))/MAX(1,SUMPRODUCT(((BULK_ENABLED="Y")*((BULK_TIER="ALL")+(BULK_TIER=$F198))*((BULK_SKU="ALL")+(BULK_SKU=$G198))*(BULK_START&lt;=11)*(BULK_END&gt;=11)))),0),ROUND((INDEX(VELOCITY_TABLE,MATCH($F198,TIER_LIST,0),2))*(IF((11-$I198+1)&lt;=0,0,IF((11-$I198+1)=1,RAMP_W1,IF((11-$I198+1)=2,RAMP_W2,IF((11-$I198+1)=3,RAMP_W3,RAMP_W4PLUS)))))*(INDEX(ACTIVE_MULT_TABLE,2,1))*(1+SUMPRODUCT(SIGN(((ACT_DOOR_SCOPE="ALL")+(ACT_DOOR_SCOPE="TIER_"&amp;$F198)+(ACT_DOOR_SCOPE=$B198)))*SIGN(((ACT_SKU_SCOPE="ALL")+(ACT_SKU_SCOPE=$G198)))*(ACT_START&lt;=11)*(ACT_END&gt;=11)*IFERROR(ACT_UPLIFT-1,0)))*(1+SUMPRODUCT(SIGN(((ACT_DOOR_SCOPE="ALL")+(ACT_DOOR_SCOPE="TIER_"&amp;$F198)+(ACT_DOOR_SCOPE=$B198)))*SIGN(((ACT_SKU_SCOPE="ALL")+(ACT_SKU_SCOPE=$G198)))*(11&gt;ACT_END)*(ACT_END&gt;0)*IFERROR(ACT_POSTLIFT,0))),0)))</f>
        <v/>
      </c>
      <c r="U198" s="10">
        <f>IF(OR($H198&lt;&gt;"Y",12&lt;$I198),0,IF(SUMPRODUCT(((BULK_ENABLED="Y")*((BULK_TIER="ALL")+(BULK_TIER=$F198))*((BULK_SKU="ALL")+(BULK_SKU=$G198))*(BULK_START&lt;=12)*(BULK_END&gt;=12)))&gt;0,IFERROR(SUMPRODUCT(((BULK_ENABLED="Y")*((BULK_TIER="ALL")+(BULK_TIER=$F198))*((BULK_SKU="ALL")+(BULK_SKU=$G198))*(BULK_START&lt;=12)*(BULK_END&gt;=12))*IFERROR(BULK_VALUE,0))/MAX(1,SUMPRODUCT(((BULK_ENABLED="Y")*((BULK_TIER="ALL")+(BULK_TIER=$F198))*((BULK_SKU="ALL")+(BULK_SKU=$G198))*(BULK_START&lt;=12)*(BULK_END&gt;=12)))),0),ROUND((INDEX(VELOCITY_TABLE,MATCH($F198,TIER_LIST,0),2))*(IF((12-$I198+1)&lt;=0,0,IF((12-$I198+1)=1,RAMP_W1,IF((12-$I198+1)=2,RAMP_W2,IF((12-$I198+1)=3,RAMP_W3,RAMP_W4PLUS)))))*(INDEX(ACTIVE_MULT_TABLE,2,1))*(1+SUMPRODUCT(SIGN(((ACT_DOOR_SCOPE="ALL")+(ACT_DOOR_SCOPE="TIER_"&amp;$F198)+(ACT_DOOR_SCOPE=$B198)))*SIGN(((ACT_SKU_SCOPE="ALL")+(ACT_SKU_SCOPE=$G198)))*(ACT_START&lt;=12)*(ACT_END&gt;=12)*IFERROR(ACT_UPLIFT-1,0)))*(1+SUMPRODUCT(SIGN(((ACT_DOOR_SCOPE="ALL")+(ACT_DOOR_SCOPE="TIER_"&amp;$F198)+(ACT_DOOR_SCOPE=$B198)))*SIGN(((ACT_SKU_SCOPE="ALL")+(ACT_SKU_SCOPE=$G198)))*(12&gt;ACT_END)*(ACT_END&gt;0)*IFERROR(ACT_POSTLIFT,0))),0)))</f>
        <v/>
      </c>
      <c r="V198" s="10">
        <f>IF(OR($H198&lt;&gt;"Y",13&lt;$I198),0,IF(SUMPRODUCT(((BULK_ENABLED="Y")*((BULK_TIER="ALL")+(BULK_TIER=$F198))*((BULK_SKU="ALL")+(BULK_SKU=$G198))*(BULK_START&lt;=13)*(BULK_END&gt;=13)))&gt;0,IFERROR(SUMPRODUCT(((BULK_ENABLED="Y")*((BULK_TIER="ALL")+(BULK_TIER=$F198))*((BULK_SKU="ALL")+(BULK_SKU=$G198))*(BULK_START&lt;=13)*(BULK_END&gt;=13))*IFERROR(BULK_VALUE,0))/MAX(1,SUMPRODUCT(((BULK_ENABLED="Y")*((BULK_TIER="ALL")+(BULK_TIER=$F198))*((BULK_SKU="ALL")+(BULK_SKU=$G198))*(BULK_START&lt;=13)*(BULK_END&gt;=13)))),0),ROUND((INDEX(VELOCITY_TABLE,MATCH($F198,TIER_LIST,0),2))*(IF((13-$I198+1)&lt;=0,0,IF((13-$I198+1)=1,RAMP_W1,IF((13-$I198+1)=2,RAMP_W2,IF((13-$I198+1)=3,RAMP_W3,RAMP_W4PLUS)))))*(INDEX(ACTIVE_MULT_TABLE,2,1))*(1+SUMPRODUCT(SIGN(((ACT_DOOR_SCOPE="ALL")+(ACT_DOOR_SCOPE="TIER_"&amp;$F198)+(ACT_DOOR_SCOPE=$B198)))*SIGN(((ACT_SKU_SCOPE="ALL")+(ACT_SKU_SCOPE=$G198)))*(ACT_START&lt;=13)*(ACT_END&gt;=13)*IFERROR(ACT_UPLIFT-1,0)))*(1+SUMPRODUCT(SIGN(((ACT_DOOR_SCOPE="ALL")+(ACT_DOOR_SCOPE="TIER_"&amp;$F198)+(ACT_DOOR_SCOPE=$B198)))*SIGN(((ACT_SKU_SCOPE="ALL")+(ACT_SKU_SCOPE=$G198)))*(13&gt;ACT_END)*(ACT_END&gt;0)*IFERROR(ACT_POSTLIFT,0))),0)))</f>
        <v/>
      </c>
    </row>
    <row r="199">
      <c r="A199" t="inlineStr">
        <is>
          <t>R0195</t>
        </is>
      </c>
      <c r="B199">
        <f>Doors!$A$69</f>
        <v/>
      </c>
      <c r="C199">
        <f>Doors!$C$69</f>
        <v/>
      </c>
      <c r="D199">
        <f>Doors!$B$69</f>
        <v/>
      </c>
      <c r="E199">
        <f>Doors!$E$69</f>
        <v/>
      </c>
      <c r="F199">
        <f>Doors!$F$69</f>
        <v/>
      </c>
      <c r="G199" t="inlineStr">
        <is>
          <t>Raspberry</t>
        </is>
      </c>
      <c r="H199">
        <f>Doors!$I$69</f>
        <v/>
      </c>
      <c r="I199">
        <f>Doors!$J$69</f>
        <v/>
      </c>
      <c r="J199" s="10">
        <f>IF(OR($H199&lt;&gt;"Y",1&lt;$I199),0,IF(SUMPRODUCT(((BULK_ENABLED="Y")*((BULK_TIER="ALL")+(BULK_TIER=$F199))*((BULK_SKU="ALL")+(BULK_SKU=$G199))*(BULK_START&lt;=1)*(BULK_END&gt;=1)))&gt;0,IFERROR(SUMPRODUCT(((BULK_ENABLED="Y")*((BULK_TIER="ALL")+(BULK_TIER=$F199))*((BULK_SKU="ALL")+(BULK_SKU=$G199))*(BULK_START&lt;=1)*(BULK_END&gt;=1))*IFERROR(BULK_VALUE,0))/MAX(1,SUMPRODUCT(((BULK_ENABLED="Y")*((BULK_TIER="ALL")+(BULK_TIER=$F199))*((BULK_SKU="ALL")+(BULK_SKU=$G199))*(BULK_START&lt;=1)*(BULK_END&gt;=1)))),0),ROUND((INDEX(VELOCITY_TABLE,MATCH($F199,TIER_LIST,0),3))*(IF((1-$I199+1)&lt;=0,0,IF((1-$I199+1)=1,RAMP_W1,IF((1-$I199+1)=2,RAMP_W2,IF((1-$I199+1)=3,RAMP_W3,RAMP_W4PLUS)))))*(INDEX(ACTIVE_MULT_TABLE,3,1))*(1+SUMPRODUCT(SIGN(((ACT_DOOR_SCOPE="ALL")+(ACT_DOOR_SCOPE="TIER_"&amp;$F199)+(ACT_DOOR_SCOPE=$B199)))*SIGN(((ACT_SKU_SCOPE="ALL")+(ACT_SKU_SCOPE=$G199)))*(ACT_START&lt;=1)*(ACT_END&gt;=1)*IFERROR(ACT_UPLIFT-1,0)))*(1+SUMPRODUCT(SIGN(((ACT_DOOR_SCOPE="ALL")+(ACT_DOOR_SCOPE="TIER_"&amp;$F199)+(ACT_DOOR_SCOPE=$B199)))*SIGN(((ACT_SKU_SCOPE="ALL")+(ACT_SKU_SCOPE=$G199)))*(1&gt;ACT_END)*(ACT_END&gt;0)*IFERROR(ACT_POSTLIFT,0))),0)))</f>
        <v/>
      </c>
      <c r="K199" s="10">
        <f>IF(OR($H199&lt;&gt;"Y",2&lt;$I199),0,IF(SUMPRODUCT(((BULK_ENABLED="Y")*((BULK_TIER="ALL")+(BULK_TIER=$F199))*((BULK_SKU="ALL")+(BULK_SKU=$G199))*(BULK_START&lt;=2)*(BULK_END&gt;=2)))&gt;0,IFERROR(SUMPRODUCT(((BULK_ENABLED="Y")*((BULK_TIER="ALL")+(BULK_TIER=$F199))*((BULK_SKU="ALL")+(BULK_SKU=$G199))*(BULK_START&lt;=2)*(BULK_END&gt;=2))*IFERROR(BULK_VALUE,0))/MAX(1,SUMPRODUCT(((BULK_ENABLED="Y")*((BULK_TIER="ALL")+(BULK_TIER=$F199))*((BULK_SKU="ALL")+(BULK_SKU=$G199))*(BULK_START&lt;=2)*(BULK_END&gt;=2)))),0),ROUND((INDEX(VELOCITY_TABLE,MATCH($F199,TIER_LIST,0),3))*(IF((2-$I199+1)&lt;=0,0,IF((2-$I199+1)=1,RAMP_W1,IF((2-$I199+1)=2,RAMP_W2,IF((2-$I199+1)=3,RAMP_W3,RAMP_W4PLUS)))))*(INDEX(ACTIVE_MULT_TABLE,3,1))*(1+SUMPRODUCT(SIGN(((ACT_DOOR_SCOPE="ALL")+(ACT_DOOR_SCOPE="TIER_"&amp;$F199)+(ACT_DOOR_SCOPE=$B199)))*SIGN(((ACT_SKU_SCOPE="ALL")+(ACT_SKU_SCOPE=$G199)))*(ACT_START&lt;=2)*(ACT_END&gt;=2)*IFERROR(ACT_UPLIFT-1,0)))*(1+SUMPRODUCT(SIGN(((ACT_DOOR_SCOPE="ALL")+(ACT_DOOR_SCOPE="TIER_"&amp;$F199)+(ACT_DOOR_SCOPE=$B199)))*SIGN(((ACT_SKU_SCOPE="ALL")+(ACT_SKU_SCOPE=$G199)))*(2&gt;ACT_END)*(ACT_END&gt;0)*IFERROR(ACT_POSTLIFT,0))),0)))</f>
        <v/>
      </c>
      <c r="L199" s="10">
        <f>IF(OR($H199&lt;&gt;"Y",3&lt;$I199),0,IF(SUMPRODUCT(((BULK_ENABLED="Y")*((BULK_TIER="ALL")+(BULK_TIER=$F199))*((BULK_SKU="ALL")+(BULK_SKU=$G199))*(BULK_START&lt;=3)*(BULK_END&gt;=3)))&gt;0,IFERROR(SUMPRODUCT(((BULK_ENABLED="Y")*((BULK_TIER="ALL")+(BULK_TIER=$F199))*((BULK_SKU="ALL")+(BULK_SKU=$G199))*(BULK_START&lt;=3)*(BULK_END&gt;=3))*IFERROR(BULK_VALUE,0))/MAX(1,SUMPRODUCT(((BULK_ENABLED="Y")*((BULK_TIER="ALL")+(BULK_TIER=$F199))*((BULK_SKU="ALL")+(BULK_SKU=$G199))*(BULK_START&lt;=3)*(BULK_END&gt;=3)))),0),ROUND((INDEX(VELOCITY_TABLE,MATCH($F199,TIER_LIST,0),3))*(IF((3-$I199+1)&lt;=0,0,IF((3-$I199+1)=1,RAMP_W1,IF((3-$I199+1)=2,RAMP_W2,IF((3-$I199+1)=3,RAMP_W3,RAMP_W4PLUS)))))*(INDEX(ACTIVE_MULT_TABLE,3,1))*(1+SUMPRODUCT(SIGN(((ACT_DOOR_SCOPE="ALL")+(ACT_DOOR_SCOPE="TIER_"&amp;$F199)+(ACT_DOOR_SCOPE=$B199)))*SIGN(((ACT_SKU_SCOPE="ALL")+(ACT_SKU_SCOPE=$G199)))*(ACT_START&lt;=3)*(ACT_END&gt;=3)*IFERROR(ACT_UPLIFT-1,0)))*(1+SUMPRODUCT(SIGN(((ACT_DOOR_SCOPE="ALL")+(ACT_DOOR_SCOPE="TIER_"&amp;$F199)+(ACT_DOOR_SCOPE=$B199)))*SIGN(((ACT_SKU_SCOPE="ALL")+(ACT_SKU_SCOPE=$G199)))*(3&gt;ACT_END)*(ACT_END&gt;0)*IFERROR(ACT_POSTLIFT,0))),0)))</f>
        <v/>
      </c>
      <c r="M199" s="10">
        <f>IF(OR($H199&lt;&gt;"Y",4&lt;$I199),0,IF(SUMPRODUCT(((BULK_ENABLED="Y")*((BULK_TIER="ALL")+(BULK_TIER=$F199))*((BULK_SKU="ALL")+(BULK_SKU=$G199))*(BULK_START&lt;=4)*(BULK_END&gt;=4)))&gt;0,IFERROR(SUMPRODUCT(((BULK_ENABLED="Y")*((BULK_TIER="ALL")+(BULK_TIER=$F199))*((BULK_SKU="ALL")+(BULK_SKU=$G199))*(BULK_START&lt;=4)*(BULK_END&gt;=4))*IFERROR(BULK_VALUE,0))/MAX(1,SUMPRODUCT(((BULK_ENABLED="Y")*((BULK_TIER="ALL")+(BULK_TIER=$F199))*((BULK_SKU="ALL")+(BULK_SKU=$G199))*(BULK_START&lt;=4)*(BULK_END&gt;=4)))),0),ROUND((INDEX(VELOCITY_TABLE,MATCH($F199,TIER_LIST,0),3))*(IF((4-$I199+1)&lt;=0,0,IF((4-$I199+1)=1,RAMP_W1,IF((4-$I199+1)=2,RAMP_W2,IF((4-$I199+1)=3,RAMP_W3,RAMP_W4PLUS)))))*(INDEX(ACTIVE_MULT_TABLE,3,1))*(1+SUMPRODUCT(SIGN(((ACT_DOOR_SCOPE="ALL")+(ACT_DOOR_SCOPE="TIER_"&amp;$F199)+(ACT_DOOR_SCOPE=$B199)))*SIGN(((ACT_SKU_SCOPE="ALL")+(ACT_SKU_SCOPE=$G199)))*(ACT_START&lt;=4)*(ACT_END&gt;=4)*IFERROR(ACT_UPLIFT-1,0)))*(1+SUMPRODUCT(SIGN(((ACT_DOOR_SCOPE="ALL")+(ACT_DOOR_SCOPE="TIER_"&amp;$F199)+(ACT_DOOR_SCOPE=$B199)))*SIGN(((ACT_SKU_SCOPE="ALL")+(ACT_SKU_SCOPE=$G199)))*(4&gt;ACT_END)*(ACT_END&gt;0)*IFERROR(ACT_POSTLIFT,0))),0)))</f>
        <v/>
      </c>
      <c r="N199" s="10">
        <f>IF(OR($H199&lt;&gt;"Y",5&lt;$I199),0,IF(SUMPRODUCT(((BULK_ENABLED="Y")*((BULK_TIER="ALL")+(BULK_TIER=$F199))*((BULK_SKU="ALL")+(BULK_SKU=$G199))*(BULK_START&lt;=5)*(BULK_END&gt;=5)))&gt;0,IFERROR(SUMPRODUCT(((BULK_ENABLED="Y")*((BULK_TIER="ALL")+(BULK_TIER=$F199))*((BULK_SKU="ALL")+(BULK_SKU=$G199))*(BULK_START&lt;=5)*(BULK_END&gt;=5))*IFERROR(BULK_VALUE,0))/MAX(1,SUMPRODUCT(((BULK_ENABLED="Y")*((BULK_TIER="ALL")+(BULK_TIER=$F199))*((BULK_SKU="ALL")+(BULK_SKU=$G199))*(BULK_START&lt;=5)*(BULK_END&gt;=5)))),0),ROUND((INDEX(VELOCITY_TABLE,MATCH($F199,TIER_LIST,0),3))*(IF((5-$I199+1)&lt;=0,0,IF((5-$I199+1)=1,RAMP_W1,IF((5-$I199+1)=2,RAMP_W2,IF((5-$I199+1)=3,RAMP_W3,RAMP_W4PLUS)))))*(INDEX(ACTIVE_MULT_TABLE,3,1))*(1+SUMPRODUCT(SIGN(((ACT_DOOR_SCOPE="ALL")+(ACT_DOOR_SCOPE="TIER_"&amp;$F199)+(ACT_DOOR_SCOPE=$B199)))*SIGN(((ACT_SKU_SCOPE="ALL")+(ACT_SKU_SCOPE=$G199)))*(ACT_START&lt;=5)*(ACT_END&gt;=5)*IFERROR(ACT_UPLIFT-1,0)))*(1+SUMPRODUCT(SIGN(((ACT_DOOR_SCOPE="ALL")+(ACT_DOOR_SCOPE="TIER_"&amp;$F199)+(ACT_DOOR_SCOPE=$B199)))*SIGN(((ACT_SKU_SCOPE="ALL")+(ACT_SKU_SCOPE=$G199)))*(5&gt;ACT_END)*(ACT_END&gt;0)*IFERROR(ACT_POSTLIFT,0))),0)))</f>
        <v/>
      </c>
      <c r="O199" s="10">
        <f>IF(OR($H199&lt;&gt;"Y",6&lt;$I199),0,IF(SUMPRODUCT(((BULK_ENABLED="Y")*((BULK_TIER="ALL")+(BULK_TIER=$F199))*((BULK_SKU="ALL")+(BULK_SKU=$G199))*(BULK_START&lt;=6)*(BULK_END&gt;=6)))&gt;0,IFERROR(SUMPRODUCT(((BULK_ENABLED="Y")*((BULK_TIER="ALL")+(BULK_TIER=$F199))*((BULK_SKU="ALL")+(BULK_SKU=$G199))*(BULK_START&lt;=6)*(BULK_END&gt;=6))*IFERROR(BULK_VALUE,0))/MAX(1,SUMPRODUCT(((BULK_ENABLED="Y")*((BULK_TIER="ALL")+(BULK_TIER=$F199))*((BULK_SKU="ALL")+(BULK_SKU=$G199))*(BULK_START&lt;=6)*(BULK_END&gt;=6)))),0),ROUND((INDEX(VELOCITY_TABLE,MATCH($F199,TIER_LIST,0),3))*(IF((6-$I199+1)&lt;=0,0,IF((6-$I199+1)=1,RAMP_W1,IF((6-$I199+1)=2,RAMP_W2,IF((6-$I199+1)=3,RAMP_W3,RAMP_W4PLUS)))))*(INDEX(ACTIVE_MULT_TABLE,3,1))*(1+SUMPRODUCT(SIGN(((ACT_DOOR_SCOPE="ALL")+(ACT_DOOR_SCOPE="TIER_"&amp;$F199)+(ACT_DOOR_SCOPE=$B199)))*SIGN(((ACT_SKU_SCOPE="ALL")+(ACT_SKU_SCOPE=$G199)))*(ACT_START&lt;=6)*(ACT_END&gt;=6)*IFERROR(ACT_UPLIFT-1,0)))*(1+SUMPRODUCT(SIGN(((ACT_DOOR_SCOPE="ALL")+(ACT_DOOR_SCOPE="TIER_"&amp;$F199)+(ACT_DOOR_SCOPE=$B199)))*SIGN(((ACT_SKU_SCOPE="ALL")+(ACT_SKU_SCOPE=$G199)))*(6&gt;ACT_END)*(ACT_END&gt;0)*IFERROR(ACT_POSTLIFT,0))),0)))</f>
        <v/>
      </c>
      <c r="P199" s="10">
        <f>IF(OR($H199&lt;&gt;"Y",7&lt;$I199),0,IF(SUMPRODUCT(((BULK_ENABLED="Y")*((BULK_TIER="ALL")+(BULK_TIER=$F199))*((BULK_SKU="ALL")+(BULK_SKU=$G199))*(BULK_START&lt;=7)*(BULK_END&gt;=7)))&gt;0,IFERROR(SUMPRODUCT(((BULK_ENABLED="Y")*((BULK_TIER="ALL")+(BULK_TIER=$F199))*((BULK_SKU="ALL")+(BULK_SKU=$G199))*(BULK_START&lt;=7)*(BULK_END&gt;=7))*IFERROR(BULK_VALUE,0))/MAX(1,SUMPRODUCT(((BULK_ENABLED="Y")*((BULK_TIER="ALL")+(BULK_TIER=$F199))*((BULK_SKU="ALL")+(BULK_SKU=$G199))*(BULK_START&lt;=7)*(BULK_END&gt;=7)))),0),ROUND((INDEX(VELOCITY_TABLE,MATCH($F199,TIER_LIST,0),3))*(IF((7-$I199+1)&lt;=0,0,IF((7-$I199+1)=1,RAMP_W1,IF((7-$I199+1)=2,RAMP_W2,IF((7-$I199+1)=3,RAMP_W3,RAMP_W4PLUS)))))*(INDEX(ACTIVE_MULT_TABLE,3,1))*(1+SUMPRODUCT(SIGN(((ACT_DOOR_SCOPE="ALL")+(ACT_DOOR_SCOPE="TIER_"&amp;$F199)+(ACT_DOOR_SCOPE=$B199)))*SIGN(((ACT_SKU_SCOPE="ALL")+(ACT_SKU_SCOPE=$G199)))*(ACT_START&lt;=7)*(ACT_END&gt;=7)*IFERROR(ACT_UPLIFT-1,0)))*(1+SUMPRODUCT(SIGN(((ACT_DOOR_SCOPE="ALL")+(ACT_DOOR_SCOPE="TIER_"&amp;$F199)+(ACT_DOOR_SCOPE=$B199)))*SIGN(((ACT_SKU_SCOPE="ALL")+(ACT_SKU_SCOPE=$G199)))*(7&gt;ACT_END)*(ACT_END&gt;0)*IFERROR(ACT_POSTLIFT,0))),0)))</f>
        <v/>
      </c>
      <c r="Q199" s="10">
        <f>IF(OR($H199&lt;&gt;"Y",8&lt;$I199),0,IF(SUMPRODUCT(((BULK_ENABLED="Y")*((BULK_TIER="ALL")+(BULK_TIER=$F199))*((BULK_SKU="ALL")+(BULK_SKU=$G199))*(BULK_START&lt;=8)*(BULK_END&gt;=8)))&gt;0,IFERROR(SUMPRODUCT(((BULK_ENABLED="Y")*((BULK_TIER="ALL")+(BULK_TIER=$F199))*((BULK_SKU="ALL")+(BULK_SKU=$G199))*(BULK_START&lt;=8)*(BULK_END&gt;=8))*IFERROR(BULK_VALUE,0))/MAX(1,SUMPRODUCT(((BULK_ENABLED="Y")*((BULK_TIER="ALL")+(BULK_TIER=$F199))*((BULK_SKU="ALL")+(BULK_SKU=$G199))*(BULK_START&lt;=8)*(BULK_END&gt;=8)))),0),ROUND((INDEX(VELOCITY_TABLE,MATCH($F199,TIER_LIST,0),3))*(IF((8-$I199+1)&lt;=0,0,IF((8-$I199+1)=1,RAMP_W1,IF((8-$I199+1)=2,RAMP_W2,IF((8-$I199+1)=3,RAMP_W3,RAMP_W4PLUS)))))*(INDEX(ACTIVE_MULT_TABLE,3,1))*(1+SUMPRODUCT(SIGN(((ACT_DOOR_SCOPE="ALL")+(ACT_DOOR_SCOPE="TIER_"&amp;$F199)+(ACT_DOOR_SCOPE=$B199)))*SIGN(((ACT_SKU_SCOPE="ALL")+(ACT_SKU_SCOPE=$G199)))*(ACT_START&lt;=8)*(ACT_END&gt;=8)*IFERROR(ACT_UPLIFT-1,0)))*(1+SUMPRODUCT(SIGN(((ACT_DOOR_SCOPE="ALL")+(ACT_DOOR_SCOPE="TIER_"&amp;$F199)+(ACT_DOOR_SCOPE=$B199)))*SIGN(((ACT_SKU_SCOPE="ALL")+(ACT_SKU_SCOPE=$G199)))*(8&gt;ACT_END)*(ACT_END&gt;0)*IFERROR(ACT_POSTLIFT,0))),0)))</f>
        <v/>
      </c>
      <c r="R199" s="10">
        <f>IF(OR($H199&lt;&gt;"Y",9&lt;$I199),0,IF(SUMPRODUCT(((BULK_ENABLED="Y")*((BULK_TIER="ALL")+(BULK_TIER=$F199))*((BULK_SKU="ALL")+(BULK_SKU=$G199))*(BULK_START&lt;=9)*(BULK_END&gt;=9)))&gt;0,IFERROR(SUMPRODUCT(((BULK_ENABLED="Y")*((BULK_TIER="ALL")+(BULK_TIER=$F199))*((BULK_SKU="ALL")+(BULK_SKU=$G199))*(BULK_START&lt;=9)*(BULK_END&gt;=9))*IFERROR(BULK_VALUE,0))/MAX(1,SUMPRODUCT(((BULK_ENABLED="Y")*((BULK_TIER="ALL")+(BULK_TIER=$F199))*((BULK_SKU="ALL")+(BULK_SKU=$G199))*(BULK_START&lt;=9)*(BULK_END&gt;=9)))),0),ROUND((INDEX(VELOCITY_TABLE,MATCH($F199,TIER_LIST,0),3))*(IF((9-$I199+1)&lt;=0,0,IF((9-$I199+1)=1,RAMP_W1,IF((9-$I199+1)=2,RAMP_W2,IF((9-$I199+1)=3,RAMP_W3,RAMP_W4PLUS)))))*(INDEX(ACTIVE_MULT_TABLE,3,1))*(1+SUMPRODUCT(SIGN(((ACT_DOOR_SCOPE="ALL")+(ACT_DOOR_SCOPE="TIER_"&amp;$F199)+(ACT_DOOR_SCOPE=$B199)))*SIGN(((ACT_SKU_SCOPE="ALL")+(ACT_SKU_SCOPE=$G199)))*(ACT_START&lt;=9)*(ACT_END&gt;=9)*IFERROR(ACT_UPLIFT-1,0)))*(1+SUMPRODUCT(SIGN(((ACT_DOOR_SCOPE="ALL")+(ACT_DOOR_SCOPE="TIER_"&amp;$F199)+(ACT_DOOR_SCOPE=$B199)))*SIGN(((ACT_SKU_SCOPE="ALL")+(ACT_SKU_SCOPE=$G199)))*(9&gt;ACT_END)*(ACT_END&gt;0)*IFERROR(ACT_POSTLIFT,0))),0)))</f>
        <v/>
      </c>
      <c r="S199" s="10">
        <f>IF(OR($H199&lt;&gt;"Y",10&lt;$I199),0,IF(SUMPRODUCT(((BULK_ENABLED="Y")*((BULK_TIER="ALL")+(BULK_TIER=$F199))*((BULK_SKU="ALL")+(BULK_SKU=$G199))*(BULK_START&lt;=10)*(BULK_END&gt;=10)))&gt;0,IFERROR(SUMPRODUCT(((BULK_ENABLED="Y")*((BULK_TIER="ALL")+(BULK_TIER=$F199))*((BULK_SKU="ALL")+(BULK_SKU=$G199))*(BULK_START&lt;=10)*(BULK_END&gt;=10))*IFERROR(BULK_VALUE,0))/MAX(1,SUMPRODUCT(((BULK_ENABLED="Y")*((BULK_TIER="ALL")+(BULK_TIER=$F199))*((BULK_SKU="ALL")+(BULK_SKU=$G199))*(BULK_START&lt;=10)*(BULK_END&gt;=10)))),0),ROUND((INDEX(VELOCITY_TABLE,MATCH($F199,TIER_LIST,0),3))*(IF((10-$I199+1)&lt;=0,0,IF((10-$I199+1)=1,RAMP_W1,IF((10-$I199+1)=2,RAMP_W2,IF((10-$I199+1)=3,RAMP_W3,RAMP_W4PLUS)))))*(INDEX(ACTIVE_MULT_TABLE,3,1))*(1+SUMPRODUCT(SIGN(((ACT_DOOR_SCOPE="ALL")+(ACT_DOOR_SCOPE="TIER_"&amp;$F199)+(ACT_DOOR_SCOPE=$B199)))*SIGN(((ACT_SKU_SCOPE="ALL")+(ACT_SKU_SCOPE=$G199)))*(ACT_START&lt;=10)*(ACT_END&gt;=10)*IFERROR(ACT_UPLIFT-1,0)))*(1+SUMPRODUCT(SIGN(((ACT_DOOR_SCOPE="ALL")+(ACT_DOOR_SCOPE="TIER_"&amp;$F199)+(ACT_DOOR_SCOPE=$B199)))*SIGN(((ACT_SKU_SCOPE="ALL")+(ACT_SKU_SCOPE=$G199)))*(10&gt;ACT_END)*(ACT_END&gt;0)*IFERROR(ACT_POSTLIFT,0))),0)))</f>
        <v/>
      </c>
      <c r="T199" s="10">
        <f>IF(OR($H199&lt;&gt;"Y",11&lt;$I199),0,IF(SUMPRODUCT(((BULK_ENABLED="Y")*((BULK_TIER="ALL")+(BULK_TIER=$F199))*((BULK_SKU="ALL")+(BULK_SKU=$G199))*(BULK_START&lt;=11)*(BULK_END&gt;=11)))&gt;0,IFERROR(SUMPRODUCT(((BULK_ENABLED="Y")*((BULK_TIER="ALL")+(BULK_TIER=$F199))*((BULK_SKU="ALL")+(BULK_SKU=$G199))*(BULK_START&lt;=11)*(BULK_END&gt;=11))*IFERROR(BULK_VALUE,0))/MAX(1,SUMPRODUCT(((BULK_ENABLED="Y")*((BULK_TIER="ALL")+(BULK_TIER=$F199))*((BULK_SKU="ALL")+(BULK_SKU=$G199))*(BULK_START&lt;=11)*(BULK_END&gt;=11)))),0),ROUND((INDEX(VELOCITY_TABLE,MATCH($F199,TIER_LIST,0),3))*(IF((11-$I199+1)&lt;=0,0,IF((11-$I199+1)=1,RAMP_W1,IF((11-$I199+1)=2,RAMP_W2,IF((11-$I199+1)=3,RAMP_W3,RAMP_W4PLUS)))))*(INDEX(ACTIVE_MULT_TABLE,3,1))*(1+SUMPRODUCT(SIGN(((ACT_DOOR_SCOPE="ALL")+(ACT_DOOR_SCOPE="TIER_"&amp;$F199)+(ACT_DOOR_SCOPE=$B199)))*SIGN(((ACT_SKU_SCOPE="ALL")+(ACT_SKU_SCOPE=$G199)))*(ACT_START&lt;=11)*(ACT_END&gt;=11)*IFERROR(ACT_UPLIFT-1,0)))*(1+SUMPRODUCT(SIGN(((ACT_DOOR_SCOPE="ALL")+(ACT_DOOR_SCOPE="TIER_"&amp;$F199)+(ACT_DOOR_SCOPE=$B199)))*SIGN(((ACT_SKU_SCOPE="ALL")+(ACT_SKU_SCOPE=$G199)))*(11&gt;ACT_END)*(ACT_END&gt;0)*IFERROR(ACT_POSTLIFT,0))),0)))</f>
        <v/>
      </c>
      <c r="U199" s="10">
        <f>IF(OR($H199&lt;&gt;"Y",12&lt;$I199),0,IF(SUMPRODUCT(((BULK_ENABLED="Y")*((BULK_TIER="ALL")+(BULK_TIER=$F199))*((BULK_SKU="ALL")+(BULK_SKU=$G199))*(BULK_START&lt;=12)*(BULK_END&gt;=12)))&gt;0,IFERROR(SUMPRODUCT(((BULK_ENABLED="Y")*((BULK_TIER="ALL")+(BULK_TIER=$F199))*((BULK_SKU="ALL")+(BULK_SKU=$G199))*(BULK_START&lt;=12)*(BULK_END&gt;=12))*IFERROR(BULK_VALUE,0))/MAX(1,SUMPRODUCT(((BULK_ENABLED="Y")*((BULK_TIER="ALL")+(BULK_TIER=$F199))*((BULK_SKU="ALL")+(BULK_SKU=$G199))*(BULK_START&lt;=12)*(BULK_END&gt;=12)))),0),ROUND((INDEX(VELOCITY_TABLE,MATCH($F199,TIER_LIST,0),3))*(IF((12-$I199+1)&lt;=0,0,IF((12-$I199+1)=1,RAMP_W1,IF((12-$I199+1)=2,RAMP_W2,IF((12-$I199+1)=3,RAMP_W3,RAMP_W4PLUS)))))*(INDEX(ACTIVE_MULT_TABLE,3,1))*(1+SUMPRODUCT(SIGN(((ACT_DOOR_SCOPE="ALL")+(ACT_DOOR_SCOPE="TIER_"&amp;$F199)+(ACT_DOOR_SCOPE=$B199)))*SIGN(((ACT_SKU_SCOPE="ALL")+(ACT_SKU_SCOPE=$G199)))*(ACT_START&lt;=12)*(ACT_END&gt;=12)*IFERROR(ACT_UPLIFT-1,0)))*(1+SUMPRODUCT(SIGN(((ACT_DOOR_SCOPE="ALL")+(ACT_DOOR_SCOPE="TIER_"&amp;$F199)+(ACT_DOOR_SCOPE=$B199)))*SIGN(((ACT_SKU_SCOPE="ALL")+(ACT_SKU_SCOPE=$G199)))*(12&gt;ACT_END)*(ACT_END&gt;0)*IFERROR(ACT_POSTLIFT,0))),0)))</f>
        <v/>
      </c>
      <c r="V199" s="10">
        <f>IF(OR($H199&lt;&gt;"Y",13&lt;$I199),0,IF(SUMPRODUCT(((BULK_ENABLED="Y")*((BULK_TIER="ALL")+(BULK_TIER=$F199))*((BULK_SKU="ALL")+(BULK_SKU=$G199))*(BULK_START&lt;=13)*(BULK_END&gt;=13)))&gt;0,IFERROR(SUMPRODUCT(((BULK_ENABLED="Y")*((BULK_TIER="ALL")+(BULK_TIER=$F199))*((BULK_SKU="ALL")+(BULK_SKU=$G199))*(BULK_START&lt;=13)*(BULK_END&gt;=13))*IFERROR(BULK_VALUE,0))/MAX(1,SUMPRODUCT(((BULK_ENABLED="Y")*((BULK_TIER="ALL")+(BULK_TIER=$F199))*((BULK_SKU="ALL")+(BULK_SKU=$G199))*(BULK_START&lt;=13)*(BULK_END&gt;=13)))),0),ROUND((INDEX(VELOCITY_TABLE,MATCH($F199,TIER_LIST,0),3))*(IF((13-$I199+1)&lt;=0,0,IF((13-$I199+1)=1,RAMP_W1,IF((13-$I199+1)=2,RAMP_W2,IF((13-$I199+1)=3,RAMP_W3,RAMP_W4PLUS)))))*(INDEX(ACTIVE_MULT_TABLE,3,1))*(1+SUMPRODUCT(SIGN(((ACT_DOOR_SCOPE="ALL")+(ACT_DOOR_SCOPE="TIER_"&amp;$F199)+(ACT_DOOR_SCOPE=$B199)))*SIGN(((ACT_SKU_SCOPE="ALL")+(ACT_SKU_SCOPE=$G199)))*(ACT_START&lt;=13)*(ACT_END&gt;=13)*IFERROR(ACT_UPLIFT-1,0)))*(1+SUMPRODUCT(SIGN(((ACT_DOOR_SCOPE="ALL")+(ACT_DOOR_SCOPE="TIER_"&amp;$F199)+(ACT_DOOR_SCOPE=$B199)))*SIGN(((ACT_SKU_SCOPE="ALL")+(ACT_SKU_SCOPE=$G199)))*(13&gt;ACT_END)*(ACT_END&gt;0)*IFERROR(ACT_POSTLIFT,0))),0)))</f>
        <v/>
      </c>
    </row>
    <row r="200">
      <c r="A200" t="inlineStr">
        <is>
          <t>R0196</t>
        </is>
      </c>
      <c r="B200">
        <f>Doors!$A$70</f>
        <v/>
      </c>
      <c r="C200">
        <f>Doors!$C$70</f>
        <v/>
      </c>
      <c r="D200">
        <f>Doors!$B$70</f>
        <v/>
      </c>
      <c r="E200">
        <f>Doors!$E$70</f>
        <v/>
      </c>
      <c r="F200">
        <f>Doors!$F$70</f>
        <v/>
      </c>
      <c r="G200" t="inlineStr">
        <is>
          <t>Lime Lemon</t>
        </is>
      </c>
      <c r="H200">
        <f>Doors!$G$70</f>
        <v/>
      </c>
      <c r="I200">
        <f>Doors!$J$70</f>
        <v/>
      </c>
      <c r="J200" s="10">
        <f>IF(OR($H200&lt;&gt;"Y",1&lt;$I200),0,IF(SUMPRODUCT(((BULK_ENABLED="Y")*((BULK_TIER="ALL")+(BULK_TIER=$F200))*((BULK_SKU="ALL")+(BULK_SKU=$G200))*(BULK_START&lt;=1)*(BULK_END&gt;=1)))&gt;0,IFERROR(SUMPRODUCT(((BULK_ENABLED="Y")*((BULK_TIER="ALL")+(BULK_TIER=$F200))*((BULK_SKU="ALL")+(BULK_SKU=$G200))*(BULK_START&lt;=1)*(BULK_END&gt;=1))*IFERROR(BULK_VALUE,0))/MAX(1,SUMPRODUCT(((BULK_ENABLED="Y")*((BULK_TIER="ALL")+(BULK_TIER=$F200))*((BULK_SKU="ALL")+(BULK_SKU=$G200))*(BULK_START&lt;=1)*(BULK_END&gt;=1)))),0),ROUND((INDEX(VELOCITY_TABLE,MATCH($F200,TIER_LIST,0),1))*(IF((1-$I200+1)&lt;=0,0,IF((1-$I200+1)=1,RAMP_W1,IF((1-$I200+1)=2,RAMP_W2,IF((1-$I200+1)=3,RAMP_W3,RAMP_W4PLUS)))))*(INDEX(ACTIVE_MULT_TABLE,1,1))*(1+SUMPRODUCT(SIGN(((ACT_DOOR_SCOPE="ALL")+(ACT_DOOR_SCOPE="TIER_"&amp;$F200)+(ACT_DOOR_SCOPE=$B200)))*SIGN(((ACT_SKU_SCOPE="ALL")+(ACT_SKU_SCOPE=$G200)))*(ACT_START&lt;=1)*(ACT_END&gt;=1)*IFERROR(ACT_UPLIFT-1,0)))*(1+SUMPRODUCT(SIGN(((ACT_DOOR_SCOPE="ALL")+(ACT_DOOR_SCOPE="TIER_"&amp;$F200)+(ACT_DOOR_SCOPE=$B200)))*SIGN(((ACT_SKU_SCOPE="ALL")+(ACT_SKU_SCOPE=$G200)))*(1&gt;ACT_END)*(ACT_END&gt;0)*IFERROR(ACT_POSTLIFT,0))),0)))</f>
        <v/>
      </c>
      <c r="K200" s="10">
        <f>IF(OR($H200&lt;&gt;"Y",2&lt;$I200),0,IF(SUMPRODUCT(((BULK_ENABLED="Y")*((BULK_TIER="ALL")+(BULK_TIER=$F200))*((BULK_SKU="ALL")+(BULK_SKU=$G200))*(BULK_START&lt;=2)*(BULK_END&gt;=2)))&gt;0,IFERROR(SUMPRODUCT(((BULK_ENABLED="Y")*((BULK_TIER="ALL")+(BULK_TIER=$F200))*((BULK_SKU="ALL")+(BULK_SKU=$G200))*(BULK_START&lt;=2)*(BULK_END&gt;=2))*IFERROR(BULK_VALUE,0))/MAX(1,SUMPRODUCT(((BULK_ENABLED="Y")*((BULK_TIER="ALL")+(BULK_TIER=$F200))*((BULK_SKU="ALL")+(BULK_SKU=$G200))*(BULK_START&lt;=2)*(BULK_END&gt;=2)))),0),ROUND((INDEX(VELOCITY_TABLE,MATCH($F200,TIER_LIST,0),1))*(IF((2-$I200+1)&lt;=0,0,IF((2-$I200+1)=1,RAMP_W1,IF((2-$I200+1)=2,RAMP_W2,IF((2-$I200+1)=3,RAMP_W3,RAMP_W4PLUS)))))*(INDEX(ACTIVE_MULT_TABLE,1,1))*(1+SUMPRODUCT(SIGN(((ACT_DOOR_SCOPE="ALL")+(ACT_DOOR_SCOPE="TIER_"&amp;$F200)+(ACT_DOOR_SCOPE=$B200)))*SIGN(((ACT_SKU_SCOPE="ALL")+(ACT_SKU_SCOPE=$G200)))*(ACT_START&lt;=2)*(ACT_END&gt;=2)*IFERROR(ACT_UPLIFT-1,0)))*(1+SUMPRODUCT(SIGN(((ACT_DOOR_SCOPE="ALL")+(ACT_DOOR_SCOPE="TIER_"&amp;$F200)+(ACT_DOOR_SCOPE=$B200)))*SIGN(((ACT_SKU_SCOPE="ALL")+(ACT_SKU_SCOPE=$G200)))*(2&gt;ACT_END)*(ACT_END&gt;0)*IFERROR(ACT_POSTLIFT,0))),0)))</f>
        <v/>
      </c>
      <c r="L200" s="10">
        <f>IF(OR($H200&lt;&gt;"Y",3&lt;$I200),0,IF(SUMPRODUCT(((BULK_ENABLED="Y")*((BULK_TIER="ALL")+(BULK_TIER=$F200))*((BULK_SKU="ALL")+(BULK_SKU=$G200))*(BULK_START&lt;=3)*(BULK_END&gt;=3)))&gt;0,IFERROR(SUMPRODUCT(((BULK_ENABLED="Y")*((BULK_TIER="ALL")+(BULK_TIER=$F200))*((BULK_SKU="ALL")+(BULK_SKU=$G200))*(BULK_START&lt;=3)*(BULK_END&gt;=3))*IFERROR(BULK_VALUE,0))/MAX(1,SUMPRODUCT(((BULK_ENABLED="Y")*((BULK_TIER="ALL")+(BULK_TIER=$F200))*((BULK_SKU="ALL")+(BULK_SKU=$G200))*(BULK_START&lt;=3)*(BULK_END&gt;=3)))),0),ROUND((INDEX(VELOCITY_TABLE,MATCH($F200,TIER_LIST,0),1))*(IF((3-$I200+1)&lt;=0,0,IF((3-$I200+1)=1,RAMP_W1,IF((3-$I200+1)=2,RAMP_W2,IF((3-$I200+1)=3,RAMP_W3,RAMP_W4PLUS)))))*(INDEX(ACTIVE_MULT_TABLE,1,1))*(1+SUMPRODUCT(SIGN(((ACT_DOOR_SCOPE="ALL")+(ACT_DOOR_SCOPE="TIER_"&amp;$F200)+(ACT_DOOR_SCOPE=$B200)))*SIGN(((ACT_SKU_SCOPE="ALL")+(ACT_SKU_SCOPE=$G200)))*(ACT_START&lt;=3)*(ACT_END&gt;=3)*IFERROR(ACT_UPLIFT-1,0)))*(1+SUMPRODUCT(SIGN(((ACT_DOOR_SCOPE="ALL")+(ACT_DOOR_SCOPE="TIER_"&amp;$F200)+(ACT_DOOR_SCOPE=$B200)))*SIGN(((ACT_SKU_SCOPE="ALL")+(ACT_SKU_SCOPE=$G200)))*(3&gt;ACT_END)*(ACT_END&gt;0)*IFERROR(ACT_POSTLIFT,0))),0)))</f>
        <v/>
      </c>
      <c r="M200" s="10">
        <f>IF(OR($H200&lt;&gt;"Y",4&lt;$I200),0,IF(SUMPRODUCT(((BULK_ENABLED="Y")*((BULK_TIER="ALL")+(BULK_TIER=$F200))*((BULK_SKU="ALL")+(BULK_SKU=$G200))*(BULK_START&lt;=4)*(BULK_END&gt;=4)))&gt;0,IFERROR(SUMPRODUCT(((BULK_ENABLED="Y")*((BULK_TIER="ALL")+(BULK_TIER=$F200))*((BULK_SKU="ALL")+(BULK_SKU=$G200))*(BULK_START&lt;=4)*(BULK_END&gt;=4))*IFERROR(BULK_VALUE,0))/MAX(1,SUMPRODUCT(((BULK_ENABLED="Y")*((BULK_TIER="ALL")+(BULK_TIER=$F200))*((BULK_SKU="ALL")+(BULK_SKU=$G200))*(BULK_START&lt;=4)*(BULK_END&gt;=4)))),0),ROUND((INDEX(VELOCITY_TABLE,MATCH($F200,TIER_LIST,0),1))*(IF((4-$I200+1)&lt;=0,0,IF((4-$I200+1)=1,RAMP_W1,IF((4-$I200+1)=2,RAMP_W2,IF((4-$I200+1)=3,RAMP_W3,RAMP_W4PLUS)))))*(INDEX(ACTIVE_MULT_TABLE,1,1))*(1+SUMPRODUCT(SIGN(((ACT_DOOR_SCOPE="ALL")+(ACT_DOOR_SCOPE="TIER_"&amp;$F200)+(ACT_DOOR_SCOPE=$B200)))*SIGN(((ACT_SKU_SCOPE="ALL")+(ACT_SKU_SCOPE=$G200)))*(ACT_START&lt;=4)*(ACT_END&gt;=4)*IFERROR(ACT_UPLIFT-1,0)))*(1+SUMPRODUCT(SIGN(((ACT_DOOR_SCOPE="ALL")+(ACT_DOOR_SCOPE="TIER_"&amp;$F200)+(ACT_DOOR_SCOPE=$B200)))*SIGN(((ACT_SKU_SCOPE="ALL")+(ACT_SKU_SCOPE=$G200)))*(4&gt;ACT_END)*(ACT_END&gt;0)*IFERROR(ACT_POSTLIFT,0))),0)))</f>
        <v/>
      </c>
      <c r="N200" s="10">
        <f>IF(OR($H200&lt;&gt;"Y",5&lt;$I200),0,IF(SUMPRODUCT(((BULK_ENABLED="Y")*((BULK_TIER="ALL")+(BULK_TIER=$F200))*((BULK_SKU="ALL")+(BULK_SKU=$G200))*(BULK_START&lt;=5)*(BULK_END&gt;=5)))&gt;0,IFERROR(SUMPRODUCT(((BULK_ENABLED="Y")*((BULK_TIER="ALL")+(BULK_TIER=$F200))*((BULK_SKU="ALL")+(BULK_SKU=$G200))*(BULK_START&lt;=5)*(BULK_END&gt;=5))*IFERROR(BULK_VALUE,0))/MAX(1,SUMPRODUCT(((BULK_ENABLED="Y")*((BULK_TIER="ALL")+(BULK_TIER=$F200))*((BULK_SKU="ALL")+(BULK_SKU=$G200))*(BULK_START&lt;=5)*(BULK_END&gt;=5)))),0),ROUND((INDEX(VELOCITY_TABLE,MATCH($F200,TIER_LIST,0),1))*(IF((5-$I200+1)&lt;=0,0,IF((5-$I200+1)=1,RAMP_W1,IF((5-$I200+1)=2,RAMP_W2,IF((5-$I200+1)=3,RAMP_W3,RAMP_W4PLUS)))))*(INDEX(ACTIVE_MULT_TABLE,1,1))*(1+SUMPRODUCT(SIGN(((ACT_DOOR_SCOPE="ALL")+(ACT_DOOR_SCOPE="TIER_"&amp;$F200)+(ACT_DOOR_SCOPE=$B200)))*SIGN(((ACT_SKU_SCOPE="ALL")+(ACT_SKU_SCOPE=$G200)))*(ACT_START&lt;=5)*(ACT_END&gt;=5)*IFERROR(ACT_UPLIFT-1,0)))*(1+SUMPRODUCT(SIGN(((ACT_DOOR_SCOPE="ALL")+(ACT_DOOR_SCOPE="TIER_"&amp;$F200)+(ACT_DOOR_SCOPE=$B200)))*SIGN(((ACT_SKU_SCOPE="ALL")+(ACT_SKU_SCOPE=$G200)))*(5&gt;ACT_END)*(ACT_END&gt;0)*IFERROR(ACT_POSTLIFT,0))),0)))</f>
        <v/>
      </c>
      <c r="O200" s="10">
        <f>IF(OR($H200&lt;&gt;"Y",6&lt;$I200),0,IF(SUMPRODUCT(((BULK_ENABLED="Y")*((BULK_TIER="ALL")+(BULK_TIER=$F200))*((BULK_SKU="ALL")+(BULK_SKU=$G200))*(BULK_START&lt;=6)*(BULK_END&gt;=6)))&gt;0,IFERROR(SUMPRODUCT(((BULK_ENABLED="Y")*((BULK_TIER="ALL")+(BULK_TIER=$F200))*((BULK_SKU="ALL")+(BULK_SKU=$G200))*(BULK_START&lt;=6)*(BULK_END&gt;=6))*IFERROR(BULK_VALUE,0))/MAX(1,SUMPRODUCT(((BULK_ENABLED="Y")*((BULK_TIER="ALL")+(BULK_TIER=$F200))*((BULK_SKU="ALL")+(BULK_SKU=$G200))*(BULK_START&lt;=6)*(BULK_END&gt;=6)))),0),ROUND((INDEX(VELOCITY_TABLE,MATCH($F200,TIER_LIST,0),1))*(IF((6-$I200+1)&lt;=0,0,IF((6-$I200+1)=1,RAMP_W1,IF((6-$I200+1)=2,RAMP_W2,IF((6-$I200+1)=3,RAMP_W3,RAMP_W4PLUS)))))*(INDEX(ACTIVE_MULT_TABLE,1,1))*(1+SUMPRODUCT(SIGN(((ACT_DOOR_SCOPE="ALL")+(ACT_DOOR_SCOPE="TIER_"&amp;$F200)+(ACT_DOOR_SCOPE=$B200)))*SIGN(((ACT_SKU_SCOPE="ALL")+(ACT_SKU_SCOPE=$G200)))*(ACT_START&lt;=6)*(ACT_END&gt;=6)*IFERROR(ACT_UPLIFT-1,0)))*(1+SUMPRODUCT(SIGN(((ACT_DOOR_SCOPE="ALL")+(ACT_DOOR_SCOPE="TIER_"&amp;$F200)+(ACT_DOOR_SCOPE=$B200)))*SIGN(((ACT_SKU_SCOPE="ALL")+(ACT_SKU_SCOPE=$G200)))*(6&gt;ACT_END)*(ACT_END&gt;0)*IFERROR(ACT_POSTLIFT,0))),0)))</f>
        <v/>
      </c>
      <c r="P200" s="10">
        <f>IF(OR($H200&lt;&gt;"Y",7&lt;$I200),0,IF(SUMPRODUCT(((BULK_ENABLED="Y")*((BULK_TIER="ALL")+(BULK_TIER=$F200))*((BULK_SKU="ALL")+(BULK_SKU=$G200))*(BULK_START&lt;=7)*(BULK_END&gt;=7)))&gt;0,IFERROR(SUMPRODUCT(((BULK_ENABLED="Y")*((BULK_TIER="ALL")+(BULK_TIER=$F200))*((BULK_SKU="ALL")+(BULK_SKU=$G200))*(BULK_START&lt;=7)*(BULK_END&gt;=7))*IFERROR(BULK_VALUE,0))/MAX(1,SUMPRODUCT(((BULK_ENABLED="Y")*((BULK_TIER="ALL")+(BULK_TIER=$F200))*((BULK_SKU="ALL")+(BULK_SKU=$G200))*(BULK_START&lt;=7)*(BULK_END&gt;=7)))),0),ROUND((INDEX(VELOCITY_TABLE,MATCH($F200,TIER_LIST,0),1))*(IF((7-$I200+1)&lt;=0,0,IF((7-$I200+1)=1,RAMP_W1,IF((7-$I200+1)=2,RAMP_W2,IF((7-$I200+1)=3,RAMP_W3,RAMP_W4PLUS)))))*(INDEX(ACTIVE_MULT_TABLE,1,1))*(1+SUMPRODUCT(SIGN(((ACT_DOOR_SCOPE="ALL")+(ACT_DOOR_SCOPE="TIER_"&amp;$F200)+(ACT_DOOR_SCOPE=$B200)))*SIGN(((ACT_SKU_SCOPE="ALL")+(ACT_SKU_SCOPE=$G200)))*(ACT_START&lt;=7)*(ACT_END&gt;=7)*IFERROR(ACT_UPLIFT-1,0)))*(1+SUMPRODUCT(SIGN(((ACT_DOOR_SCOPE="ALL")+(ACT_DOOR_SCOPE="TIER_"&amp;$F200)+(ACT_DOOR_SCOPE=$B200)))*SIGN(((ACT_SKU_SCOPE="ALL")+(ACT_SKU_SCOPE=$G200)))*(7&gt;ACT_END)*(ACT_END&gt;0)*IFERROR(ACT_POSTLIFT,0))),0)))</f>
        <v/>
      </c>
      <c r="Q200" s="10">
        <f>IF(OR($H200&lt;&gt;"Y",8&lt;$I200),0,IF(SUMPRODUCT(((BULK_ENABLED="Y")*((BULK_TIER="ALL")+(BULK_TIER=$F200))*((BULK_SKU="ALL")+(BULK_SKU=$G200))*(BULK_START&lt;=8)*(BULK_END&gt;=8)))&gt;0,IFERROR(SUMPRODUCT(((BULK_ENABLED="Y")*((BULK_TIER="ALL")+(BULK_TIER=$F200))*((BULK_SKU="ALL")+(BULK_SKU=$G200))*(BULK_START&lt;=8)*(BULK_END&gt;=8))*IFERROR(BULK_VALUE,0))/MAX(1,SUMPRODUCT(((BULK_ENABLED="Y")*((BULK_TIER="ALL")+(BULK_TIER=$F200))*((BULK_SKU="ALL")+(BULK_SKU=$G200))*(BULK_START&lt;=8)*(BULK_END&gt;=8)))),0),ROUND((INDEX(VELOCITY_TABLE,MATCH($F200,TIER_LIST,0),1))*(IF((8-$I200+1)&lt;=0,0,IF((8-$I200+1)=1,RAMP_W1,IF((8-$I200+1)=2,RAMP_W2,IF((8-$I200+1)=3,RAMP_W3,RAMP_W4PLUS)))))*(INDEX(ACTIVE_MULT_TABLE,1,1))*(1+SUMPRODUCT(SIGN(((ACT_DOOR_SCOPE="ALL")+(ACT_DOOR_SCOPE="TIER_"&amp;$F200)+(ACT_DOOR_SCOPE=$B200)))*SIGN(((ACT_SKU_SCOPE="ALL")+(ACT_SKU_SCOPE=$G200)))*(ACT_START&lt;=8)*(ACT_END&gt;=8)*IFERROR(ACT_UPLIFT-1,0)))*(1+SUMPRODUCT(SIGN(((ACT_DOOR_SCOPE="ALL")+(ACT_DOOR_SCOPE="TIER_"&amp;$F200)+(ACT_DOOR_SCOPE=$B200)))*SIGN(((ACT_SKU_SCOPE="ALL")+(ACT_SKU_SCOPE=$G200)))*(8&gt;ACT_END)*(ACT_END&gt;0)*IFERROR(ACT_POSTLIFT,0))),0)))</f>
        <v/>
      </c>
      <c r="R200" s="10">
        <f>IF(OR($H200&lt;&gt;"Y",9&lt;$I200),0,IF(SUMPRODUCT(((BULK_ENABLED="Y")*((BULK_TIER="ALL")+(BULK_TIER=$F200))*((BULK_SKU="ALL")+(BULK_SKU=$G200))*(BULK_START&lt;=9)*(BULK_END&gt;=9)))&gt;0,IFERROR(SUMPRODUCT(((BULK_ENABLED="Y")*((BULK_TIER="ALL")+(BULK_TIER=$F200))*((BULK_SKU="ALL")+(BULK_SKU=$G200))*(BULK_START&lt;=9)*(BULK_END&gt;=9))*IFERROR(BULK_VALUE,0))/MAX(1,SUMPRODUCT(((BULK_ENABLED="Y")*((BULK_TIER="ALL")+(BULK_TIER=$F200))*((BULK_SKU="ALL")+(BULK_SKU=$G200))*(BULK_START&lt;=9)*(BULK_END&gt;=9)))),0),ROUND((INDEX(VELOCITY_TABLE,MATCH($F200,TIER_LIST,0),1))*(IF((9-$I200+1)&lt;=0,0,IF((9-$I200+1)=1,RAMP_W1,IF((9-$I200+1)=2,RAMP_W2,IF((9-$I200+1)=3,RAMP_W3,RAMP_W4PLUS)))))*(INDEX(ACTIVE_MULT_TABLE,1,1))*(1+SUMPRODUCT(SIGN(((ACT_DOOR_SCOPE="ALL")+(ACT_DOOR_SCOPE="TIER_"&amp;$F200)+(ACT_DOOR_SCOPE=$B200)))*SIGN(((ACT_SKU_SCOPE="ALL")+(ACT_SKU_SCOPE=$G200)))*(ACT_START&lt;=9)*(ACT_END&gt;=9)*IFERROR(ACT_UPLIFT-1,0)))*(1+SUMPRODUCT(SIGN(((ACT_DOOR_SCOPE="ALL")+(ACT_DOOR_SCOPE="TIER_"&amp;$F200)+(ACT_DOOR_SCOPE=$B200)))*SIGN(((ACT_SKU_SCOPE="ALL")+(ACT_SKU_SCOPE=$G200)))*(9&gt;ACT_END)*(ACT_END&gt;0)*IFERROR(ACT_POSTLIFT,0))),0)))</f>
        <v/>
      </c>
      <c r="S200" s="10">
        <f>IF(OR($H200&lt;&gt;"Y",10&lt;$I200),0,IF(SUMPRODUCT(((BULK_ENABLED="Y")*((BULK_TIER="ALL")+(BULK_TIER=$F200))*((BULK_SKU="ALL")+(BULK_SKU=$G200))*(BULK_START&lt;=10)*(BULK_END&gt;=10)))&gt;0,IFERROR(SUMPRODUCT(((BULK_ENABLED="Y")*((BULK_TIER="ALL")+(BULK_TIER=$F200))*((BULK_SKU="ALL")+(BULK_SKU=$G200))*(BULK_START&lt;=10)*(BULK_END&gt;=10))*IFERROR(BULK_VALUE,0))/MAX(1,SUMPRODUCT(((BULK_ENABLED="Y")*((BULK_TIER="ALL")+(BULK_TIER=$F200))*((BULK_SKU="ALL")+(BULK_SKU=$G200))*(BULK_START&lt;=10)*(BULK_END&gt;=10)))),0),ROUND((INDEX(VELOCITY_TABLE,MATCH($F200,TIER_LIST,0),1))*(IF((10-$I200+1)&lt;=0,0,IF((10-$I200+1)=1,RAMP_W1,IF((10-$I200+1)=2,RAMP_W2,IF((10-$I200+1)=3,RAMP_W3,RAMP_W4PLUS)))))*(INDEX(ACTIVE_MULT_TABLE,1,1))*(1+SUMPRODUCT(SIGN(((ACT_DOOR_SCOPE="ALL")+(ACT_DOOR_SCOPE="TIER_"&amp;$F200)+(ACT_DOOR_SCOPE=$B200)))*SIGN(((ACT_SKU_SCOPE="ALL")+(ACT_SKU_SCOPE=$G200)))*(ACT_START&lt;=10)*(ACT_END&gt;=10)*IFERROR(ACT_UPLIFT-1,0)))*(1+SUMPRODUCT(SIGN(((ACT_DOOR_SCOPE="ALL")+(ACT_DOOR_SCOPE="TIER_"&amp;$F200)+(ACT_DOOR_SCOPE=$B200)))*SIGN(((ACT_SKU_SCOPE="ALL")+(ACT_SKU_SCOPE=$G200)))*(10&gt;ACT_END)*(ACT_END&gt;0)*IFERROR(ACT_POSTLIFT,0))),0)))</f>
        <v/>
      </c>
      <c r="T200" s="10">
        <f>IF(OR($H200&lt;&gt;"Y",11&lt;$I200),0,IF(SUMPRODUCT(((BULK_ENABLED="Y")*((BULK_TIER="ALL")+(BULK_TIER=$F200))*((BULK_SKU="ALL")+(BULK_SKU=$G200))*(BULK_START&lt;=11)*(BULK_END&gt;=11)))&gt;0,IFERROR(SUMPRODUCT(((BULK_ENABLED="Y")*((BULK_TIER="ALL")+(BULK_TIER=$F200))*((BULK_SKU="ALL")+(BULK_SKU=$G200))*(BULK_START&lt;=11)*(BULK_END&gt;=11))*IFERROR(BULK_VALUE,0))/MAX(1,SUMPRODUCT(((BULK_ENABLED="Y")*((BULK_TIER="ALL")+(BULK_TIER=$F200))*((BULK_SKU="ALL")+(BULK_SKU=$G200))*(BULK_START&lt;=11)*(BULK_END&gt;=11)))),0),ROUND((INDEX(VELOCITY_TABLE,MATCH($F200,TIER_LIST,0),1))*(IF((11-$I200+1)&lt;=0,0,IF((11-$I200+1)=1,RAMP_W1,IF((11-$I200+1)=2,RAMP_W2,IF((11-$I200+1)=3,RAMP_W3,RAMP_W4PLUS)))))*(INDEX(ACTIVE_MULT_TABLE,1,1))*(1+SUMPRODUCT(SIGN(((ACT_DOOR_SCOPE="ALL")+(ACT_DOOR_SCOPE="TIER_"&amp;$F200)+(ACT_DOOR_SCOPE=$B200)))*SIGN(((ACT_SKU_SCOPE="ALL")+(ACT_SKU_SCOPE=$G200)))*(ACT_START&lt;=11)*(ACT_END&gt;=11)*IFERROR(ACT_UPLIFT-1,0)))*(1+SUMPRODUCT(SIGN(((ACT_DOOR_SCOPE="ALL")+(ACT_DOOR_SCOPE="TIER_"&amp;$F200)+(ACT_DOOR_SCOPE=$B200)))*SIGN(((ACT_SKU_SCOPE="ALL")+(ACT_SKU_SCOPE=$G200)))*(11&gt;ACT_END)*(ACT_END&gt;0)*IFERROR(ACT_POSTLIFT,0))),0)))</f>
        <v/>
      </c>
      <c r="U200" s="10">
        <f>IF(OR($H200&lt;&gt;"Y",12&lt;$I200),0,IF(SUMPRODUCT(((BULK_ENABLED="Y")*((BULK_TIER="ALL")+(BULK_TIER=$F200))*((BULK_SKU="ALL")+(BULK_SKU=$G200))*(BULK_START&lt;=12)*(BULK_END&gt;=12)))&gt;0,IFERROR(SUMPRODUCT(((BULK_ENABLED="Y")*((BULK_TIER="ALL")+(BULK_TIER=$F200))*((BULK_SKU="ALL")+(BULK_SKU=$G200))*(BULK_START&lt;=12)*(BULK_END&gt;=12))*IFERROR(BULK_VALUE,0))/MAX(1,SUMPRODUCT(((BULK_ENABLED="Y")*((BULK_TIER="ALL")+(BULK_TIER=$F200))*((BULK_SKU="ALL")+(BULK_SKU=$G200))*(BULK_START&lt;=12)*(BULK_END&gt;=12)))),0),ROUND((INDEX(VELOCITY_TABLE,MATCH($F200,TIER_LIST,0),1))*(IF((12-$I200+1)&lt;=0,0,IF((12-$I200+1)=1,RAMP_W1,IF((12-$I200+1)=2,RAMP_W2,IF((12-$I200+1)=3,RAMP_W3,RAMP_W4PLUS)))))*(INDEX(ACTIVE_MULT_TABLE,1,1))*(1+SUMPRODUCT(SIGN(((ACT_DOOR_SCOPE="ALL")+(ACT_DOOR_SCOPE="TIER_"&amp;$F200)+(ACT_DOOR_SCOPE=$B200)))*SIGN(((ACT_SKU_SCOPE="ALL")+(ACT_SKU_SCOPE=$G200)))*(ACT_START&lt;=12)*(ACT_END&gt;=12)*IFERROR(ACT_UPLIFT-1,0)))*(1+SUMPRODUCT(SIGN(((ACT_DOOR_SCOPE="ALL")+(ACT_DOOR_SCOPE="TIER_"&amp;$F200)+(ACT_DOOR_SCOPE=$B200)))*SIGN(((ACT_SKU_SCOPE="ALL")+(ACT_SKU_SCOPE=$G200)))*(12&gt;ACT_END)*(ACT_END&gt;0)*IFERROR(ACT_POSTLIFT,0))),0)))</f>
        <v/>
      </c>
      <c r="V200" s="10">
        <f>IF(OR($H200&lt;&gt;"Y",13&lt;$I200),0,IF(SUMPRODUCT(((BULK_ENABLED="Y")*((BULK_TIER="ALL")+(BULK_TIER=$F200))*((BULK_SKU="ALL")+(BULK_SKU=$G200))*(BULK_START&lt;=13)*(BULK_END&gt;=13)))&gt;0,IFERROR(SUMPRODUCT(((BULK_ENABLED="Y")*((BULK_TIER="ALL")+(BULK_TIER=$F200))*((BULK_SKU="ALL")+(BULK_SKU=$G200))*(BULK_START&lt;=13)*(BULK_END&gt;=13))*IFERROR(BULK_VALUE,0))/MAX(1,SUMPRODUCT(((BULK_ENABLED="Y")*((BULK_TIER="ALL")+(BULK_TIER=$F200))*((BULK_SKU="ALL")+(BULK_SKU=$G200))*(BULK_START&lt;=13)*(BULK_END&gt;=13)))),0),ROUND((INDEX(VELOCITY_TABLE,MATCH($F200,TIER_LIST,0),1))*(IF((13-$I200+1)&lt;=0,0,IF((13-$I200+1)=1,RAMP_W1,IF((13-$I200+1)=2,RAMP_W2,IF((13-$I200+1)=3,RAMP_W3,RAMP_W4PLUS)))))*(INDEX(ACTIVE_MULT_TABLE,1,1))*(1+SUMPRODUCT(SIGN(((ACT_DOOR_SCOPE="ALL")+(ACT_DOOR_SCOPE="TIER_"&amp;$F200)+(ACT_DOOR_SCOPE=$B200)))*SIGN(((ACT_SKU_SCOPE="ALL")+(ACT_SKU_SCOPE=$G200)))*(ACT_START&lt;=13)*(ACT_END&gt;=13)*IFERROR(ACT_UPLIFT-1,0)))*(1+SUMPRODUCT(SIGN(((ACT_DOOR_SCOPE="ALL")+(ACT_DOOR_SCOPE="TIER_"&amp;$F200)+(ACT_DOOR_SCOPE=$B200)))*SIGN(((ACT_SKU_SCOPE="ALL")+(ACT_SKU_SCOPE=$G200)))*(13&gt;ACT_END)*(ACT_END&gt;0)*IFERROR(ACT_POSTLIFT,0))),0)))</f>
        <v/>
      </c>
    </row>
    <row r="201">
      <c r="A201" t="inlineStr">
        <is>
          <t>R0197</t>
        </is>
      </c>
      <c r="B201">
        <f>Doors!$A$70</f>
        <v/>
      </c>
      <c r="C201">
        <f>Doors!$C$70</f>
        <v/>
      </c>
      <c r="D201">
        <f>Doors!$B$70</f>
        <v/>
      </c>
      <c r="E201">
        <f>Doors!$E$70</f>
        <v/>
      </c>
      <c r="F201">
        <f>Doors!$F$70</f>
        <v/>
      </c>
      <c r="G201" t="inlineStr">
        <is>
          <t>Pineapple Passion Fruit</t>
        </is>
      </c>
      <c r="H201">
        <f>Doors!$H$70</f>
        <v/>
      </c>
      <c r="I201">
        <f>Doors!$J$70</f>
        <v/>
      </c>
      <c r="J201" s="10">
        <f>IF(OR($H201&lt;&gt;"Y",1&lt;$I201),0,IF(SUMPRODUCT(((BULK_ENABLED="Y")*((BULK_TIER="ALL")+(BULK_TIER=$F201))*((BULK_SKU="ALL")+(BULK_SKU=$G201))*(BULK_START&lt;=1)*(BULK_END&gt;=1)))&gt;0,IFERROR(SUMPRODUCT(((BULK_ENABLED="Y")*((BULK_TIER="ALL")+(BULK_TIER=$F201))*((BULK_SKU="ALL")+(BULK_SKU=$G201))*(BULK_START&lt;=1)*(BULK_END&gt;=1))*IFERROR(BULK_VALUE,0))/MAX(1,SUMPRODUCT(((BULK_ENABLED="Y")*((BULK_TIER="ALL")+(BULK_TIER=$F201))*((BULK_SKU="ALL")+(BULK_SKU=$G201))*(BULK_START&lt;=1)*(BULK_END&gt;=1)))),0),ROUND((INDEX(VELOCITY_TABLE,MATCH($F201,TIER_LIST,0),2))*(IF((1-$I201+1)&lt;=0,0,IF((1-$I201+1)=1,RAMP_W1,IF((1-$I201+1)=2,RAMP_W2,IF((1-$I201+1)=3,RAMP_W3,RAMP_W4PLUS)))))*(INDEX(ACTIVE_MULT_TABLE,2,1))*(1+SUMPRODUCT(SIGN(((ACT_DOOR_SCOPE="ALL")+(ACT_DOOR_SCOPE="TIER_"&amp;$F201)+(ACT_DOOR_SCOPE=$B201)))*SIGN(((ACT_SKU_SCOPE="ALL")+(ACT_SKU_SCOPE=$G201)))*(ACT_START&lt;=1)*(ACT_END&gt;=1)*IFERROR(ACT_UPLIFT-1,0)))*(1+SUMPRODUCT(SIGN(((ACT_DOOR_SCOPE="ALL")+(ACT_DOOR_SCOPE="TIER_"&amp;$F201)+(ACT_DOOR_SCOPE=$B201)))*SIGN(((ACT_SKU_SCOPE="ALL")+(ACT_SKU_SCOPE=$G201)))*(1&gt;ACT_END)*(ACT_END&gt;0)*IFERROR(ACT_POSTLIFT,0))),0)))</f>
        <v/>
      </c>
      <c r="K201" s="10">
        <f>IF(OR($H201&lt;&gt;"Y",2&lt;$I201),0,IF(SUMPRODUCT(((BULK_ENABLED="Y")*((BULK_TIER="ALL")+(BULK_TIER=$F201))*((BULK_SKU="ALL")+(BULK_SKU=$G201))*(BULK_START&lt;=2)*(BULK_END&gt;=2)))&gt;0,IFERROR(SUMPRODUCT(((BULK_ENABLED="Y")*((BULK_TIER="ALL")+(BULK_TIER=$F201))*((BULK_SKU="ALL")+(BULK_SKU=$G201))*(BULK_START&lt;=2)*(BULK_END&gt;=2))*IFERROR(BULK_VALUE,0))/MAX(1,SUMPRODUCT(((BULK_ENABLED="Y")*((BULK_TIER="ALL")+(BULK_TIER=$F201))*((BULK_SKU="ALL")+(BULK_SKU=$G201))*(BULK_START&lt;=2)*(BULK_END&gt;=2)))),0),ROUND((INDEX(VELOCITY_TABLE,MATCH($F201,TIER_LIST,0),2))*(IF((2-$I201+1)&lt;=0,0,IF((2-$I201+1)=1,RAMP_W1,IF((2-$I201+1)=2,RAMP_W2,IF((2-$I201+1)=3,RAMP_W3,RAMP_W4PLUS)))))*(INDEX(ACTIVE_MULT_TABLE,2,1))*(1+SUMPRODUCT(SIGN(((ACT_DOOR_SCOPE="ALL")+(ACT_DOOR_SCOPE="TIER_"&amp;$F201)+(ACT_DOOR_SCOPE=$B201)))*SIGN(((ACT_SKU_SCOPE="ALL")+(ACT_SKU_SCOPE=$G201)))*(ACT_START&lt;=2)*(ACT_END&gt;=2)*IFERROR(ACT_UPLIFT-1,0)))*(1+SUMPRODUCT(SIGN(((ACT_DOOR_SCOPE="ALL")+(ACT_DOOR_SCOPE="TIER_"&amp;$F201)+(ACT_DOOR_SCOPE=$B201)))*SIGN(((ACT_SKU_SCOPE="ALL")+(ACT_SKU_SCOPE=$G201)))*(2&gt;ACT_END)*(ACT_END&gt;0)*IFERROR(ACT_POSTLIFT,0))),0)))</f>
        <v/>
      </c>
      <c r="L201" s="10">
        <f>IF(OR($H201&lt;&gt;"Y",3&lt;$I201),0,IF(SUMPRODUCT(((BULK_ENABLED="Y")*((BULK_TIER="ALL")+(BULK_TIER=$F201))*((BULK_SKU="ALL")+(BULK_SKU=$G201))*(BULK_START&lt;=3)*(BULK_END&gt;=3)))&gt;0,IFERROR(SUMPRODUCT(((BULK_ENABLED="Y")*((BULK_TIER="ALL")+(BULK_TIER=$F201))*((BULK_SKU="ALL")+(BULK_SKU=$G201))*(BULK_START&lt;=3)*(BULK_END&gt;=3))*IFERROR(BULK_VALUE,0))/MAX(1,SUMPRODUCT(((BULK_ENABLED="Y")*((BULK_TIER="ALL")+(BULK_TIER=$F201))*((BULK_SKU="ALL")+(BULK_SKU=$G201))*(BULK_START&lt;=3)*(BULK_END&gt;=3)))),0),ROUND((INDEX(VELOCITY_TABLE,MATCH($F201,TIER_LIST,0),2))*(IF((3-$I201+1)&lt;=0,0,IF((3-$I201+1)=1,RAMP_W1,IF((3-$I201+1)=2,RAMP_W2,IF((3-$I201+1)=3,RAMP_W3,RAMP_W4PLUS)))))*(INDEX(ACTIVE_MULT_TABLE,2,1))*(1+SUMPRODUCT(SIGN(((ACT_DOOR_SCOPE="ALL")+(ACT_DOOR_SCOPE="TIER_"&amp;$F201)+(ACT_DOOR_SCOPE=$B201)))*SIGN(((ACT_SKU_SCOPE="ALL")+(ACT_SKU_SCOPE=$G201)))*(ACT_START&lt;=3)*(ACT_END&gt;=3)*IFERROR(ACT_UPLIFT-1,0)))*(1+SUMPRODUCT(SIGN(((ACT_DOOR_SCOPE="ALL")+(ACT_DOOR_SCOPE="TIER_"&amp;$F201)+(ACT_DOOR_SCOPE=$B201)))*SIGN(((ACT_SKU_SCOPE="ALL")+(ACT_SKU_SCOPE=$G201)))*(3&gt;ACT_END)*(ACT_END&gt;0)*IFERROR(ACT_POSTLIFT,0))),0)))</f>
        <v/>
      </c>
      <c r="M201" s="10">
        <f>IF(OR($H201&lt;&gt;"Y",4&lt;$I201),0,IF(SUMPRODUCT(((BULK_ENABLED="Y")*((BULK_TIER="ALL")+(BULK_TIER=$F201))*((BULK_SKU="ALL")+(BULK_SKU=$G201))*(BULK_START&lt;=4)*(BULK_END&gt;=4)))&gt;0,IFERROR(SUMPRODUCT(((BULK_ENABLED="Y")*((BULK_TIER="ALL")+(BULK_TIER=$F201))*((BULK_SKU="ALL")+(BULK_SKU=$G201))*(BULK_START&lt;=4)*(BULK_END&gt;=4))*IFERROR(BULK_VALUE,0))/MAX(1,SUMPRODUCT(((BULK_ENABLED="Y")*((BULK_TIER="ALL")+(BULK_TIER=$F201))*((BULK_SKU="ALL")+(BULK_SKU=$G201))*(BULK_START&lt;=4)*(BULK_END&gt;=4)))),0),ROUND((INDEX(VELOCITY_TABLE,MATCH($F201,TIER_LIST,0),2))*(IF((4-$I201+1)&lt;=0,0,IF((4-$I201+1)=1,RAMP_W1,IF((4-$I201+1)=2,RAMP_W2,IF((4-$I201+1)=3,RAMP_W3,RAMP_W4PLUS)))))*(INDEX(ACTIVE_MULT_TABLE,2,1))*(1+SUMPRODUCT(SIGN(((ACT_DOOR_SCOPE="ALL")+(ACT_DOOR_SCOPE="TIER_"&amp;$F201)+(ACT_DOOR_SCOPE=$B201)))*SIGN(((ACT_SKU_SCOPE="ALL")+(ACT_SKU_SCOPE=$G201)))*(ACT_START&lt;=4)*(ACT_END&gt;=4)*IFERROR(ACT_UPLIFT-1,0)))*(1+SUMPRODUCT(SIGN(((ACT_DOOR_SCOPE="ALL")+(ACT_DOOR_SCOPE="TIER_"&amp;$F201)+(ACT_DOOR_SCOPE=$B201)))*SIGN(((ACT_SKU_SCOPE="ALL")+(ACT_SKU_SCOPE=$G201)))*(4&gt;ACT_END)*(ACT_END&gt;0)*IFERROR(ACT_POSTLIFT,0))),0)))</f>
        <v/>
      </c>
      <c r="N201" s="10">
        <f>IF(OR($H201&lt;&gt;"Y",5&lt;$I201),0,IF(SUMPRODUCT(((BULK_ENABLED="Y")*((BULK_TIER="ALL")+(BULK_TIER=$F201))*((BULK_SKU="ALL")+(BULK_SKU=$G201))*(BULK_START&lt;=5)*(BULK_END&gt;=5)))&gt;0,IFERROR(SUMPRODUCT(((BULK_ENABLED="Y")*((BULK_TIER="ALL")+(BULK_TIER=$F201))*((BULK_SKU="ALL")+(BULK_SKU=$G201))*(BULK_START&lt;=5)*(BULK_END&gt;=5))*IFERROR(BULK_VALUE,0))/MAX(1,SUMPRODUCT(((BULK_ENABLED="Y")*((BULK_TIER="ALL")+(BULK_TIER=$F201))*((BULK_SKU="ALL")+(BULK_SKU=$G201))*(BULK_START&lt;=5)*(BULK_END&gt;=5)))),0),ROUND((INDEX(VELOCITY_TABLE,MATCH($F201,TIER_LIST,0),2))*(IF((5-$I201+1)&lt;=0,0,IF((5-$I201+1)=1,RAMP_W1,IF((5-$I201+1)=2,RAMP_W2,IF((5-$I201+1)=3,RAMP_W3,RAMP_W4PLUS)))))*(INDEX(ACTIVE_MULT_TABLE,2,1))*(1+SUMPRODUCT(SIGN(((ACT_DOOR_SCOPE="ALL")+(ACT_DOOR_SCOPE="TIER_"&amp;$F201)+(ACT_DOOR_SCOPE=$B201)))*SIGN(((ACT_SKU_SCOPE="ALL")+(ACT_SKU_SCOPE=$G201)))*(ACT_START&lt;=5)*(ACT_END&gt;=5)*IFERROR(ACT_UPLIFT-1,0)))*(1+SUMPRODUCT(SIGN(((ACT_DOOR_SCOPE="ALL")+(ACT_DOOR_SCOPE="TIER_"&amp;$F201)+(ACT_DOOR_SCOPE=$B201)))*SIGN(((ACT_SKU_SCOPE="ALL")+(ACT_SKU_SCOPE=$G201)))*(5&gt;ACT_END)*(ACT_END&gt;0)*IFERROR(ACT_POSTLIFT,0))),0)))</f>
        <v/>
      </c>
      <c r="O201" s="10">
        <f>IF(OR($H201&lt;&gt;"Y",6&lt;$I201),0,IF(SUMPRODUCT(((BULK_ENABLED="Y")*((BULK_TIER="ALL")+(BULK_TIER=$F201))*((BULK_SKU="ALL")+(BULK_SKU=$G201))*(BULK_START&lt;=6)*(BULK_END&gt;=6)))&gt;0,IFERROR(SUMPRODUCT(((BULK_ENABLED="Y")*((BULK_TIER="ALL")+(BULK_TIER=$F201))*((BULK_SKU="ALL")+(BULK_SKU=$G201))*(BULK_START&lt;=6)*(BULK_END&gt;=6))*IFERROR(BULK_VALUE,0))/MAX(1,SUMPRODUCT(((BULK_ENABLED="Y")*((BULK_TIER="ALL")+(BULK_TIER=$F201))*((BULK_SKU="ALL")+(BULK_SKU=$G201))*(BULK_START&lt;=6)*(BULK_END&gt;=6)))),0),ROUND((INDEX(VELOCITY_TABLE,MATCH($F201,TIER_LIST,0),2))*(IF((6-$I201+1)&lt;=0,0,IF((6-$I201+1)=1,RAMP_W1,IF((6-$I201+1)=2,RAMP_W2,IF((6-$I201+1)=3,RAMP_W3,RAMP_W4PLUS)))))*(INDEX(ACTIVE_MULT_TABLE,2,1))*(1+SUMPRODUCT(SIGN(((ACT_DOOR_SCOPE="ALL")+(ACT_DOOR_SCOPE="TIER_"&amp;$F201)+(ACT_DOOR_SCOPE=$B201)))*SIGN(((ACT_SKU_SCOPE="ALL")+(ACT_SKU_SCOPE=$G201)))*(ACT_START&lt;=6)*(ACT_END&gt;=6)*IFERROR(ACT_UPLIFT-1,0)))*(1+SUMPRODUCT(SIGN(((ACT_DOOR_SCOPE="ALL")+(ACT_DOOR_SCOPE="TIER_"&amp;$F201)+(ACT_DOOR_SCOPE=$B201)))*SIGN(((ACT_SKU_SCOPE="ALL")+(ACT_SKU_SCOPE=$G201)))*(6&gt;ACT_END)*(ACT_END&gt;0)*IFERROR(ACT_POSTLIFT,0))),0)))</f>
        <v/>
      </c>
      <c r="P201" s="10">
        <f>IF(OR($H201&lt;&gt;"Y",7&lt;$I201),0,IF(SUMPRODUCT(((BULK_ENABLED="Y")*((BULK_TIER="ALL")+(BULK_TIER=$F201))*((BULK_SKU="ALL")+(BULK_SKU=$G201))*(BULK_START&lt;=7)*(BULK_END&gt;=7)))&gt;0,IFERROR(SUMPRODUCT(((BULK_ENABLED="Y")*((BULK_TIER="ALL")+(BULK_TIER=$F201))*((BULK_SKU="ALL")+(BULK_SKU=$G201))*(BULK_START&lt;=7)*(BULK_END&gt;=7))*IFERROR(BULK_VALUE,0))/MAX(1,SUMPRODUCT(((BULK_ENABLED="Y")*((BULK_TIER="ALL")+(BULK_TIER=$F201))*((BULK_SKU="ALL")+(BULK_SKU=$G201))*(BULK_START&lt;=7)*(BULK_END&gt;=7)))),0),ROUND((INDEX(VELOCITY_TABLE,MATCH($F201,TIER_LIST,0),2))*(IF((7-$I201+1)&lt;=0,0,IF((7-$I201+1)=1,RAMP_W1,IF((7-$I201+1)=2,RAMP_W2,IF((7-$I201+1)=3,RAMP_W3,RAMP_W4PLUS)))))*(INDEX(ACTIVE_MULT_TABLE,2,1))*(1+SUMPRODUCT(SIGN(((ACT_DOOR_SCOPE="ALL")+(ACT_DOOR_SCOPE="TIER_"&amp;$F201)+(ACT_DOOR_SCOPE=$B201)))*SIGN(((ACT_SKU_SCOPE="ALL")+(ACT_SKU_SCOPE=$G201)))*(ACT_START&lt;=7)*(ACT_END&gt;=7)*IFERROR(ACT_UPLIFT-1,0)))*(1+SUMPRODUCT(SIGN(((ACT_DOOR_SCOPE="ALL")+(ACT_DOOR_SCOPE="TIER_"&amp;$F201)+(ACT_DOOR_SCOPE=$B201)))*SIGN(((ACT_SKU_SCOPE="ALL")+(ACT_SKU_SCOPE=$G201)))*(7&gt;ACT_END)*(ACT_END&gt;0)*IFERROR(ACT_POSTLIFT,0))),0)))</f>
        <v/>
      </c>
      <c r="Q201" s="10">
        <f>IF(OR($H201&lt;&gt;"Y",8&lt;$I201),0,IF(SUMPRODUCT(((BULK_ENABLED="Y")*((BULK_TIER="ALL")+(BULK_TIER=$F201))*((BULK_SKU="ALL")+(BULK_SKU=$G201))*(BULK_START&lt;=8)*(BULK_END&gt;=8)))&gt;0,IFERROR(SUMPRODUCT(((BULK_ENABLED="Y")*((BULK_TIER="ALL")+(BULK_TIER=$F201))*((BULK_SKU="ALL")+(BULK_SKU=$G201))*(BULK_START&lt;=8)*(BULK_END&gt;=8))*IFERROR(BULK_VALUE,0))/MAX(1,SUMPRODUCT(((BULK_ENABLED="Y")*((BULK_TIER="ALL")+(BULK_TIER=$F201))*((BULK_SKU="ALL")+(BULK_SKU=$G201))*(BULK_START&lt;=8)*(BULK_END&gt;=8)))),0),ROUND((INDEX(VELOCITY_TABLE,MATCH($F201,TIER_LIST,0),2))*(IF((8-$I201+1)&lt;=0,0,IF((8-$I201+1)=1,RAMP_W1,IF((8-$I201+1)=2,RAMP_W2,IF((8-$I201+1)=3,RAMP_W3,RAMP_W4PLUS)))))*(INDEX(ACTIVE_MULT_TABLE,2,1))*(1+SUMPRODUCT(SIGN(((ACT_DOOR_SCOPE="ALL")+(ACT_DOOR_SCOPE="TIER_"&amp;$F201)+(ACT_DOOR_SCOPE=$B201)))*SIGN(((ACT_SKU_SCOPE="ALL")+(ACT_SKU_SCOPE=$G201)))*(ACT_START&lt;=8)*(ACT_END&gt;=8)*IFERROR(ACT_UPLIFT-1,0)))*(1+SUMPRODUCT(SIGN(((ACT_DOOR_SCOPE="ALL")+(ACT_DOOR_SCOPE="TIER_"&amp;$F201)+(ACT_DOOR_SCOPE=$B201)))*SIGN(((ACT_SKU_SCOPE="ALL")+(ACT_SKU_SCOPE=$G201)))*(8&gt;ACT_END)*(ACT_END&gt;0)*IFERROR(ACT_POSTLIFT,0))),0)))</f>
        <v/>
      </c>
      <c r="R201" s="10">
        <f>IF(OR($H201&lt;&gt;"Y",9&lt;$I201),0,IF(SUMPRODUCT(((BULK_ENABLED="Y")*((BULK_TIER="ALL")+(BULK_TIER=$F201))*((BULK_SKU="ALL")+(BULK_SKU=$G201))*(BULK_START&lt;=9)*(BULK_END&gt;=9)))&gt;0,IFERROR(SUMPRODUCT(((BULK_ENABLED="Y")*((BULK_TIER="ALL")+(BULK_TIER=$F201))*((BULK_SKU="ALL")+(BULK_SKU=$G201))*(BULK_START&lt;=9)*(BULK_END&gt;=9))*IFERROR(BULK_VALUE,0))/MAX(1,SUMPRODUCT(((BULK_ENABLED="Y")*((BULK_TIER="ALL")+(BULK_TIER=$F201))*((BULK_SKU="ALL")+(BULK_SKU=$G201))*(BULK_START&lt;=9)*(BULK_END&gt;=9)))),0),ROUND((INDEX(VELOCITY_TABLE,MATCH($F201,TIER_LIST,0),2))*(IF((9-$I201+1)&lt;=0,0,IF((9-$I201+1)=1,RAMP_W1,IF((9-$I201+1)=2,RAMP_W2,IF((9-$I201+1)=3,RAMP_W3,RAMP_W4PLUS)))))*(INDEX(ACTIVE_MULT_TABLE,2,1))*(1+SUMPRODUCT(SIGN(((ACT_DOOR_SCOPE="ALL")+(ACT_DOOR_SCOPE="TIER_"&amp;$F201)+(ACT_DOOR_SCOPE=$B201)))*SIGN(((ACT_SKU_SCOPE="ALL")+(ACT_SKU_SCOPE=$G201)))*(ACT_START&lt;=9)*(ACT_END&gt;=9)*IFERROR(ACT_UPLIFT-1,0)))*(1+SUMPRODUCT(SIGN(((ACT_DOOR_SCOPE="ALL")+(ACT_DOOR_SCOPE="TIER_"&amp;$F201)+(ACT_DOOR_SCOPE=$B201)))*SIGN(((ACT_SKU_SCOPE="ALL")+(ACT_SKU_SCOPE=$G201)))*(9&gt;ACT_END)*(ACT_END&gt;0)*IFERROR(ACT_POSTLIFT,0))),0)))</f>
        <v/>
      </c>
      <c r="S201" s="10">
        <f>IF(OR($H201&lt;&gt;"Y",10&lt;$I201),0,IF(SUMPRODUCT(((BULK_ENABLED="Y")*((BULK_TIER="ALL")+(BULK_TIER=$F201))*((BULK_SKU="ALL")+(BULK_SKU=$G201))*(BULK_START&lt;=10)*(BULK_END&gt;=10)))&gt;0,IFERROR(SUMPRODUCT(((BULK_ENABLED="Y")*((BULK_TIER="ALL")+(BULK_TIER=$F201))*((BULK_SKU="ALL")+(BULK_SKU=$G201))*(BULK_START&lt;=10)*(BULK_END&gt;=10))*IFERROR(BULK_VALUE,0))/MAX(1,SUMPRODUCT(((BULK_ENABLED="Y")*((BULK_TIER="ALL")+(BULK_TIER=$F201))*((BULK_SKU="ALL")+(BULK_SKU=$G201))*(BULK_START&lt;=10)*(BULK_END&gt;=10)))),0),ROUND((INDEX(VELOCITY_TABLE,MATCH($F201,TIER_LIST,0),2))*(IF((10-$I201+1)&lt;=0,0,IF((10-$I201+1)=1,RAMP_W1,IF((10-$I201+1)=2,RAMP_W2,IF((10-$I201+1)=3,RAMP_W3,RAMP_W4PLUS)))))*(INDEX(ACTIVE_MULT_TABLE,2,1))*(1+SUMPRODUCT(SIGN(((ACT_DOOR_SCOPE="ALL")+(ACT_DOOR_SCOPE="TIER_"&amp;$F201)+(ACT_DOOR_SCOPE=$B201)))*SIGN(((ACT_SKU_SCOPE="ALL")+(ACT_SKU_SCOPE=$G201)))*(ACT_START&lt;=10)*(ACT_END&gt;=10)*IFERROR(ACT_UPLIFT-1,0)))*(1+SUMPRODUCT(SIGN(((ACT_DOOR_SCOPE="ALL")+(ACT_DOOR_SCOPE="TIER_"&amp;$F201)+(ACT_DOOR_SCOPE=$B201)))*SIGN(((ACT_SKU_SCOPE="ALL")+(ACT_SKU_SCOPE=$G201)))*(10&gt;ACT_END)*(ACT_END&gt;0)*IFERROR(ACT_POSTLIFT,0))),0)))</f>
        <v/>
      </c>
      <c r="T201" s="10">
        <f>IF(OR($H201&lt;&gt;"Y",11&lt;$I201),0,IF(SUMPRODUCT(((BULK_ENABLED="Y")*((BULK_TIER="ALL")+(BULK_TIER=$F201))*((BULK_SKU="ALL")+(BULK_SKU=$G201))*(BULK_START&lt;=11)*(BULK_END&gt;=11)))&gt;0,IFERROR(SUMPRODUCT(((BULK_ENABLED="Y")*((BULK_TIER="ALL")+(BULK_TIER=$F201))*((BULK_SKU="ALL")+(BULK_SKU=$G201))*(BULK_START&lt;=11)*(BULK_END&gt;=11))*IFERROR(BULK_VALUE,0))/MAX(1,SUMPRODUCT(((BULK_ENABLED="Y")*((BULK_TIER="ALL")+(BULK_TIER=$F201))*((BULK_SKU="ALL")+(BULK_SKU=$G201))*(BULK_START&lt;=11)*(BULK_END&gt;=11)))),0),ROUND((INDEX(VELOCITY_TABLE,MATCH($F201,TIER_LIST,0),2))*(IF((11-$I201+1)&lt;=0,0,IF((11-$I201+1)=1,RAMP_W1,IF((11-$I201+1)=2,RAMP_W2,IF((11-$I201+1)=3,RAMP_W3,RAMP_W4PLUS)))))*(INDEX(ACTIVE_MULT_TABLE,2,1))*(1+SUMPRODUCT(SIGN(((ACT_DOOR_SCOPE="ALL")+(ACT_DOOR_SCOPE="TIER_"&amp;$F201)+(ACT_DOOR_SCOPE=$B201)))*SIGN(((ACT_SKU_SCOPE="ALL")+(ACT_SKU_SCOPE=$G201)))*(ACT_START&lt;=11)*(ACT_END&gt;=11)*IFERROR(ACT_UPLIFT-1,0)))*(1+SUMPRODUCT(SIGN(((ACT_DOOR_SCOPE="ALL")+(ACT_DOOR_SCOPE="TIER_"&amp;$F201)+(ACT_DOOR_SCOPE=$B201)))*SIGN(((ACT_SKU_SCOPE="ALL")+(ACT_SKU_SCOPE=$G201)))*(11&gt;ACT_END)*(ACT_END&gt;0)*IFERROR(ACT_POSTLIFT,0))),0)))</f>
        <v/>
      </c>
      <c r="U201" s="10">
        <f>IF(OR($H201&lt;&gt;"Y",12&lt;$I201),0,IF(SUMPRODUCT(((BULK_ENABLED="Y")*((BULK_TIER="ALL")+(BULK_TIER=$F201))*((BULK_SKU="ALL")+(BULK_SKU=$G201))*(BULK_START&lt;=12)*(BULK_END&gt;=12)))&gt;0,IFERROR(SUMPRODUCT(((BULK_ENABLED="Y")*((BULK_TIER="ALL")+(BULK_TIER=$F201))*((BULK_SKU="ALL")+(BULK_SKU=$G201))*(BULK_START&lt;=12)*(BULK_END&gt;=12))*IFERROR(BULK_VALUE,0))/MAX(1,SUMPRODUCT(((BULK_ENABLED="Y")*((BULK_TIER="ALL")+(BULK_TIER=$F201))*((BULK_SKU="ALL")+(BULK_SKU=$G201))*(BULK_START&lt;=12)*(BULK_END&gt;=12)))),0),ROUND((INDEX(VELOCITY_TABLE,MATCH($F201,TIER_LIST,0),2))*(IF((12-$I201+1)&lt;=0,0,IF((12-$I201+1)=1,RAMP_W1,IF((12-$I201+1)=2,RAMP_W2,IF((12-$I201+1)=3,RAMP_W3,RAMP_W4PLUS)))))*(INDEX(ACTIVE_MULT_TABLE,2,1))*(1+SUMPRODUCT(SIGN(((ACT_DOOR_SCOPE="ALL")+(ACT_DOOR_SCOPE="TIER_"&amp;$F201)+(ACT_DOOR_SCOPE=$B201)))*SIGN(((ACT_SKU_SCOPE="ALL")+(ACT_SKU_SCOPE=$G201)))*(ACT_START&lt;=12)*(ACT_END&gt;=12)*IFERROR(ACT_UPLIFT-1,0)))*(1+SUMPRODUCT(SIGN(((ACT_DOOR_SCOPE="ALL")+(ACT_DOOR_SCOPE="TIER_"&amp;$F201)+(ACT_DOOR_SCOPE=$B201)))*SIGN(((ACT_SKU_SCOPE="ALL")+(ACT_SKU_SCOPE=$G201)))*(12&gt;ACT_END)*(ACT_END&gt;0)*IFERROR(ACT_POSTLIFT,0))),0)))</f>
        <v/>
      </c>
      <c r="V201" s="10">
        <f>IF(OR($H201&lt;&gt;"Y",13&lt;$I201),0,IF(SUMPRODUCT(((BULK_ENABLED="Y")*((BULK_TIER="ALL")+(BULK_TIER=$F201))*((BULK_SKU="ALL")+(BULK_SKU=$G201))*(BULK_START&lt;=13)*(BULK_END&gt;=13)))&gt;0,IFERROR(SUMPRODUCT(((BULK_ENABLED="Y")*((BULK_TIER="ALL")+(BULK_TIER=$F201))*((BULK_SKU="ALL")+(BULK_SKU=$G201))*(BULK_START&lt;=13)*(BULK_END&gt;=13))*IFERROR(BULK_VALUE,0))/MAX(1,SUMPRODUCT(((BULK_ENABLED="Y")*((BULK_TIER="ALL")+(BULK_TIER=$F201))*((BULK_SKU="ALL")+(BULK_SKU=$G201))*(BULK_START&lt;=13)*(BULK_END&gt;=13)))),0),ROUND((INDEX(VELOCITY_TABLE,MATCH($F201,TIER_LIST,0),2))*(IF((13-$I201+1)&lt;=0,0,IF((13-$I201+1)=1,RAMP_W1,IF((13-$I201+1)=2,RAMP_W2,IF((13-$I201+1)=3,RAMP_W3,RAMP_W4PLUS)))))*(INDEX(ACTIVE_MULT_TABLE,2,1))*(1+SUMPRODUCT(SIGN(((ACT_DOOR_SCOPE="ALL")+(ACT_DOOR_SCOPE="TIER_"&amp;$F201)+(ACT_DOOR_SCOPE=$B201)))*SIGN(((ACT_SKU_SCOPE="ALL")+(ACT_SKU_SCOPE=$G201)))*(ACT_START&lt;=13)*(ACT_END&gt;=13)*IFERROR(ACT_UPLIFT-1,0)))*(1+SUMPRODUCT(SIGN(((ACT_DOOR_SCOPE="ALL")+(ACT_DOOR_SCOPE="TIER_"&amp;$F201)+(ACT_DOOR_SCOPE=$B201)))*SIGN(((ACT_SKU_SCOPE="ALL")+(ACT_SKU_SCOPE=$G201)))*(13&gt;ACT_END)*(ACT_END&gt;0)*IFERROR(ACT_POSTLIFT,0))),0)))</f>
        <v/>
      </c>
    </row>
    <row r="202">
      <c r="A202" t="inlineStr">
        <is>
          <t>R0198</t>
        </is>
      </c>
      <c r="B202">
        <f>Doors!$A$70</f>
        <v/>
      </c>
      <c r="C202">
        <f>Doors!$C$70</f>
        <v/>
      </c>
      <c r="D202">
        <f>Doors!$B$70</f>
        <v/>
      </c>
      <c r="E202">
        <f>Doors!$E$70</f>
        <v/>
      </c>
      <c r="F202">
        <f>Doors!$F$70</f>
        <v/>
      </c>
      <c r="G202" t="inlineStr">
        <is>
          <t>Raspberry</t>
        </is>
      </c>
      <c r="H202">
        <f>Doors!$I$70</f>
        <v/>
      </c>
      <c r="I202">
        <f>Doors!$J$70</f>
        <v/>
      </c>
      <c r="J202" s="10">
        <f>IF(OR($H202&lt;&gt;"Y",1&lt;$I202),0,IF(SUMPRODUCT(((BULK_ENABLED="Y")*((BULK_TIER="ALL")+(BULK_TIER=$F202))*((BULK_SKU="ALL")+(BULK_SKU=$G202))*(BULK_START&lt;=1)*(BULK_END&gt;=1)))&gt;0,IFERROR(SUMPRODUCT(((BULK_ENABLED="Y")*((BULK_TIER="ALL")+(BULK_TIER=$F202))*((BULK_SKU="ALL")+(BULK_SKU=$G202))*(BULK_START&lt;=1)*(BULK_END&gt;=1))*IFERROR(BULK_VALUE,0))/MAX(1,SUMPRODUCT(((BULK_ENABLED="Y")*((BULK_TIER="ALL")+(BULK_TIER=$F202))*((BULK_SKU="ALL")+(BULK_SKU=$G202))*(BULK_START&lt;=1)*(BULK_END&gt;=1)))),0),ROUND((INDEX(VELOCITY_TABLE,MATCH($F202,TIER_LIST,0),3))*(IF((1-$I202+1)&lt;=0,0,IF((1-$I202+1)=1,RAMP_W1,IF((1-$I202+1)=2,RAMP_W2,IF((1-$I202+1)=3,RAMP_W3,RAMP_W4PLUS)))))*(INDEX(ACTIVE_MULT_TABLE,3,1))*(1+SUMPRODUCT(SIGN(((ACT_DOOR_SCOPE="ALL")+(ACT_DOOR_SCOPE="TIER_"&amp;$F202)+(ACT_DOOR_SCOPE=$B202)))*SIGN(((ACT_SKU_SCOPE="ALL")+(ACT_SKU_SCOPE=$G202)))*(ACT_START&lt;=1)*(ACT_END&gt;=1)*IFERROR(ACT_UPLIFT-1,0)))*(1+SUMPRODUCT(SIGN(((ACT_DOOR_SCOPE="ALL")+(ACT_DOOR_SCOPE="TIER_"&amp;$F202)+(ACT_DOOR_SCOPE=$B202)))*SIGN(((ACT_SKU_SCOPE="ALL")+(ACT_SKU_SCOPE=$G202)))*(1&gt;ACT_END)*(ACT_END&gt;0)*IFERROR(ACT_POSTLIFT,0))),0)))</f>
        <v/>
      </c>
      <c r="K202" s="10">
        <f>IF(OR($H202&lt;&gt;"Y",2&lt;$I202),0,IF(SUMPRODUCT(((BULK_ENABLED="Y")*((BULK_TIER="ALL")+(BULK_TIER=$F202))*((BULK_SKU="ALL")+(BULK_SKU=$G202))*(BULK_START&lt;=2)*(BULK_END&gt;=2)))&gt;0,IFERROR(SUMPRODUCT(((BULK_ENABLED="Y")*((BULK_TIER="ALL")+(BULK_TIER=$F202))*((BULK_SKU="ALL")+(BULK_SKU=$G202))*(BULK_START&lt;=2)*(BULK_END&gt;=2))*IFERROR(BULK_VALUE,0))/MAX(1,SUMPRODUCT(((BULK_ENABLED="Y")*((BULK_TIER="ALL")+(BULK_TIER=$F202))*((BULK_SKU="ALL")+(BULK_SKU=$G202))*(BULK_START&lt;=2)*(BULK_END&gt;=2)))),0),ROUND((INDEX(VELOCITY_TABLE,MATCH($F202,TIER_LIST,0),3))*(IF((2-$I202+1)&lt;=0,0,IF((2-$I202+1)=1,RAMP_W1,IF((2-$I202+1)=2,RAMP_W2,IF((2-$I202+1)=3,RAMP_W3,RAMP_W4PLUS)))))*(INDEX(ACTIVE_MULT_TABLE,3,1))*(1+SUMPRODUCT(SIGN(((ACT_DOOR_SCOPE="ALL")+(ACT_DOOR_SCOPE="TIER_"&amp;$F202)+(ACT_DOOR_SCOPE=$B202)))*SIGN(((ACT_SKU_SCOPE="ALL")+(ACT_SKU_SCOPE=$G202)))*(ACT_START&lt;=2)*(ACT_END&gt;=2)*IFERROR(ACT_UPLIFT-1,0)))*(1+SUMPRODUCT(SIGN(((ACT_DOOR_SCOPE="ALL")+(ACT_DOOR_SCOPE="TIER_"&amp;$F202)+(ACT_DOOR_SCOPE=$B202)))*SIGN(((ACT_SKU_SCOPE="ALL")+(ACT_SKU_SCOPE=$G202)))*(2&gt;ACT_END)*(ACT_END&gt;0)*IFERROR(ACT_POSTLIFT,0))),0)))</f>
        <v/>
      </c>
      <c r="L202" s="10">
        <f>IF(OR($H202&lt;&gt;"Y",3&lt;$I202),0,IF(SUMPRODUCT(((BULK_ENABLED="Y")*((BULK_TIER="ALL")+(BULK_TIER=$F202))*((BULK_SKU="ALL")+(BULK_SKU=$G202))*(BULK_START&lt;=3)*(BULK_END&gt;=3)))&gt;0,IFERROR(SUMPRODUCT(((BULK_ENABLED="Y")*((BULK_TIER="ALL")+(BULK_TIER=$F202))*((BULK_SKU="ALL")+(BULK_SKU=$G202))*(BULK_START&lt;=3)*(BULK_END&gt;=3))*IFERROR(BULK_VALUE,0))/MAX(1,SUMPRODUCT(((BULK_ENABLED="Y")*((BULK_TIER="ALL")+(BULK_TIER=$F202))*((BULK_SKU="ALL")+(BULK_SKU=$G202))*(BULK_START&lt;=3)*(BULK_END&gt;=3)))),0),ROUND((INDEX(VELOCITY_TABLE,MATCH($F202,TIER_LIST,0),3))*(IF((3-$I202+1)&lt;=0,0,IF((3-$I202+1)=1,RAMP_W1,IF((3-$I202+1)=2,RAMP_W2,IF((3-$I202+1)=3,RAMP_W3,RAMP_W4PLUS)))))*(INDEX(ACTIVE_MULT_TABLE,3,1))*(1+SUMPRODUCT(SIGN(((ACT_DOOR_SCOPE="ALL")+(ACT_DOOR_SCOPE="TIER_"&amp;$F202)+(ACT_DOOR_SCOPE=$B202)))*SIGN(((ACT_SKU_SCOPE="ALL")+(ACT_SKU_SCOPE=$G202)))*(ACT_START&lt;=3)*(ACT_END&gt;=3)*IFERROR(ACT_UPLIFT-1,0)))*(1+SUMPRODUCT(SIGN(((ACT_DOOR_SCOPE="ALL")+(ACT_DOOR_SCOPE="TIER_"&amp;$F202)+(ACT_DOOR_SCOPE=$B202)))*SIGN(((ACT_SKU_SCOPE="ALL")+(ACT_SKU_SCOPE=$G202)))*(3&gt;ACT_END)*(ACT_END&gt;0)*IFERROR(ACT_POSTLIFT,0))),0)))</f>
        <v/>
      </c>
      <c r="M202" s="10">
        <f>IF(OR($H202&lt;&gt;"Y",4&lt;$I202),0,IF(SUMPRODUCT(((BULK_ENABLED="Y")*((BULK_TIER="ALL")+(BULK_TIER=$F202))*((BULK_SKU="ALL")+(BULK_SKU=$G202))*(BULK_START&lt;=4)*(BULK_END&gt;=4)))&gt;0,IFERROR(SUMPRODUCT(((BULK_ENABLED="Y")*((BULK_TIER="ALL")+(BULK_TIER=$F202))*((BULK_SKU="ALL")+(BULK_SKU=$G202))*(BULK_START&lt;=4)*(BULK_END&gt;=4))*IFERROR(BULK_VALUE,0))/MAX(1,SUMPRODUCT(((BULK_ENABLED="Y")*((BULK_TIER="ALL")+(BULK_TIER=$F202))*((BULK_SKU="ALL")+(BULK_SKU=$G202))*(BULK_START&lt;=4)*(BULK_END&gt;=4)))),0),ROUND((INDEX(VELOCITY_TABLE,MATCH($F202,TIER_LIST,0),3))*(IF((4-$I202+1)&lt;=0,0,IF((4-$I202+1)=1,RAMP_W1,IF((4-$I202+1)=2,RAMP_W2,IF((4-$I202+1)=3,RAMP_W3,RAMP_W4PLUS)))))*(INDEX(ACTIVE_MULT_TABLE,3,1))*(1+SUMPRODUCT(SIGN(((ACT_DOOR_SCOPE="ALL")+(ACT_DOOR_SCOPE="TIER_"&amp;$F202)+(ACT_DOOR_SCOPE=$B202)))*SIGN(((ACT_SKU_SCOPE="ALL")+(ACT_SKU_SCOPE=$G202)))*(ACT_START&lt;=4)*(ACT_END&gt;=4)*IFERROR(ACT_UPLIFT-1,0)))*(1+SUMPRODUCT(SIGN(((ACT_DOOR_SCOPE="ALL")+(ACT_DOOR_SCOPE="TIER_"&amp;$F202)+(ACT_DOOR_SCOPE=$B202)))*SIGN(((ACT_SKU_SCOPE="ALL")+(ACT_SKU_SCOPE=$G202)))*(4&gt;ACT_END)*(ACT_END&gt;0)*IFERROR(ACT_POSTLIFT,0))),0)))</f>
        <v/>
      </c>
      <c r="N202" s="10">
        <f>IF(OR($H202&lt;&gt;"Y",5&lt;$I202),0,IF(SUMPRODUCT(((BULK_ENABLED="Y")*((BULK_TIER="ALL")+(BULK_TIER=$F202))*((BULK_SKU="ALL")+(BULK_SKU=$G202))*(BULK_START&lt;=5)*(BULK_END&gt;=5)))&gt;0,IFERROR(SUMPRODUCT(((BULK_ENABLED="Y")*((BULK_TIER="ALL")+(BULK_TIER=$F202))*((BULK_SKU="ALL")+(BULK_SKU=$G202))*(BULK_START&lt;=5)*(BULK_END&gt;=5))*IFERROR(BULK_VALUE,0))/MAX(1,SUMPRODUCT(((BULK_ENABLED="Y")*((BULK_TIER="ALL")+(BULK_TIER=$F202))*((BULK_SKU="ALL")+(BULK_SKU=$G202))*(BULK_START&lt;=5)*(BULK_END&gt;=5)))),0),ROUND((INDEX(VELOCITY_TABLE,MATCH($F202,TIER_LIST,0),3))*(IF((5-$I202+1)&lt;=0,0,IF((5-$I202+1)=1,RAMP_W1,IF((5-$I202+1)=2,RAMP_W2,IF((5-$I202+1)=3,RAMP_W3,RAMP_W4PLUS)))))*(INDEX(ACTIVE_MULT_TABLE,3,1))*(1+SUMPRODUCT(SIGN(((ACT_DOOR_SCOPE="ALL")+(ACT_DOOR_SCOPE="TIER_"&amp;$F202)+(ACT_DOOR_SCOPE=$B202)))*SIGN(((ACT_SKU_SCOPE="ALL")+(ACT_SKU_SCOPE=$G202)))*(ACT_START&lt;=5)*(ACT_END&gt;=5)*IFERROR(ACT_UPLIFT-1,0)))*(1+SUMPRODUCT(SIGN(((ACT_DOOR_SCOPE="ALL")+(ACT_DOOR_SCOPE="TIER_"&amp;$F202)+(ACT_DOOR_SCOPE=$B202)))*SIGN(((ACT_SKU_SCOPE="ALL")+(ACT_SKU_SCOPE=$G202)))*(5&gt;ACT_END)*(ACT_END&gt;0)*IFERROR(ACT_POSTLIFT,0))),0)))</f>
        <v/>
      </c>
      <c r="O202" s="10">
        <f>IF(OR($H202&lt;&gt;"Y",6&lt;$I202),0,IF(SUMPRODUCT(((BULK_ENABLED="Y")*((BULK_TIER="ALL")+(BULK_TIER=$F202))*((BULK_SKU="ALL")+(BULK_SKU=$G202))*(BULK_START&lt;=6)*(BULK_END&gt;=6)))&gt;0,IFERROR(SUMPRODUCT(((BULK_ENABLED="Y")*((BULK_TIER="ALL")+(BULK_TIER=$F202))*((BULK_SKU="ALL")+(BULK_SKU=$G202))*(BULK_START&lt;=6)*(BULK_END&gt;=6))*IFERROR(BULK_VALUE,0))/MAX(1,SUMPRODUCT(((BULK_ENABLED="Y")*((BULK_TIER="ALL")+(BULK_TIER=$F202))*((BULK_SKU="ALL")+(BULK_SKU=$G202))*(BULK_START&lt;=6)*(BULK_END&gt;=6)))),0),ROUND((INDEX(VELOCITY_TABLE,MATCH($F202,TIER_LIST,0),3))*(IF((6-$I202+1)&lt;=0,0,IF((6-$I202+1)=1,RAMP_W1,IF((6-$I202+1)=2,RAMP_W2,IF((6-$I202+1)=3,RAMP_W3,RAMP_W4PLUS)))))*(INDEX(ACTIVE_MULT_TABLE,3,1))*(1+SUMPRODUCT(SIGN(((ACT_DOOR_SCOPE="ALL")+(ACT_DOOR_SCOPE="TIER_"&amp;$F202)+(ACT_DOOR_SCOPE=$B202)))*SIGN(((ACT_SKU_SCOPE="ALL")+(ACT_SKU_SCOPE=$G202)))*(ACT_START&lt;=6)*(ACT_END&gt;=6)*IFERROR(ACT_UPLIFT-1,0)))*(1+SUMPRODUCT(SIGN(((ACT_DOOR_SCOPE="ALL")+(ACT_DOOR_SCOPE="TIER_"&amp;$F202)+(ACT_DOOR_SCOPE=$B202)))*SIGN(((ACT_SKU_SCOPE="ALL")+(ACT_SKU_SCOPE=$G202)))*(6&gt;ACT_END)*(ACT_END&gt;0)*IFERROR(ACT_POSTLIFT,0))),0)))</f>
        <v/>
      </c>
      <c r="P202" s="10">
        <f>IF(OR($H202&lt;&gt;"Y",7&lt;$I202),0,IF(SUMPRODUCT(((BULK_ENABLED="Y")*((BULK_TIER="ALL")+(BULK_TIER=$F202))*((BULK_SKU="ALL")+(BULK_SKU=$G202))*(BULK_START&lt;=7)*(BULK_END&gt;=7)))&gt;0,IFERROR(SUMPRODUCT(((BULK_ENABLED="Y")*((BULK_TIER="ALL")+(BULK_TIER=$F202))*((BULK_SKU="ALL")+(BULK_SKU=$G202))*(BULK_START&lt;=7)*(BULK_END&gt;=7))*IFERROR(BULK_VALUE,0))/MAX(1,SUMPRODUCT(((BULK_ENABLED="Y")*((BULK_TIER="ALL")+(BULK_TIER=$F202))*((BULK_SKU="ALL")+(BULK_SKU=$G202))*(BULK_START&lt;=7)*(BULK_END&gt;=7)))),0),ROUND((INDEX(VELOCITY_TABLE,MATCH($F202,TIER_LIST,0),3))*(IF((7-$I202+1)&lt;=0,0,IF((7-$I202+1)=1,RAMP_W1,IF((7-$I202+1)=2,RAMP_W2,IF((7-$I202+1)=3,RAMP_W3,RAMP_W4PLUS)))))*(INDEX(ACTIVE_MULT_TABLE,3,1))*(1+SUMPRODUCT(SIGN(((ACT_DOOR_SCOPE="ALL")+(ACT_DOOR_SCOPE="TIER_"&amp;$F202)+(ACT_DOOR_SCOPE=$B202)))*SIGN(((ACT_SKU_SCOPE="ALL")+(ACT_SKU_SCOPE=$G202)))*(ACT_START&lt;=7)*(ACT_END&gt;=7)*IFERROR(ACT_UPLIFT-1,0)))*(1+SUMPRODUCT(SIGN(((ACT_DOOR_SCOPE="ALL")+(ACT_DOOR_SCOPE="TIER_"&amp;$F202)+(ACT_DOOR_SCOPE=$B202)))*SIGN(((ACT_SKU_SCOPE="ALL")+(ACT_SKU_SCOPE=$G202)))*(7&gt;ACT_END)*(ACT_END&gt;0)*IFERROR(ACT_POSTLIFT,0))),0)))</f>
        <v/>
      </c>
      <c r="Q202" s="10">
        <f>IF(OR($H202&lt;&gt;"Y",8&lt;$I202),0,IF(SUMPRODUCT(((BULK_ENABLED="Y")*((BULK_TIER="ALL")+(BULK_TIER=$F202))*((BULK_SKU="ALL")+(BULK_SKU=$G202))*(BULK_START&lt;=8)*(BULK_END&gt;=8)))&gt;0,IFERROR(SUMPRODUCT(((BULK_ENABLED="Y")*((BULK_TIER="ALL")+(BULK_TIER=$F202))*((BULK_SKU="ALL")+(BULK_SKU=$G202))*(BULK_START&lt;=8)*(BULK_END&gt;=8))*IFERROR(BULK_VALUE,0))/MAX(1,SUMPRODUCT(((BULK_ENABLED="Y")*((BULK_TIER="ALL")+(BULK_TIER=$F202))*((BULK_SKU="ALL")+(BULK_SKU=$G202))*(BULK_START&lt;=8)*(BULK_END&gt;=8)))),0),ROUND((INDEX(VELOCITY_TABLE,MATCH($F202,TIER_LIST,0),3))*(IF((8-$I202+1)&lt;=0,0,IF((8-$I202+1)=1,RAMP_W1,IF((8-$I202+1)=2,RAMP_W2,IF((8-$I202+1)=3,RAMP_W3,RAMP_W4PLUS)))))*(INDEX(ACTIVE_MULT_TABLE,3,1))*(1+SUMPRODUCT(SIGN(((ACT_DOOR_SCOPE="ALL")+(ACT_DOOR_SCOPE="TIER_"&amp;$F202)+(ACT_DOOR_SCOPE=$B202)))*SIGN(((ACT_SKU_SCOPE="ALL")+(ACT_SKU_SCOPE=$G202)))*(ACT_START&lt;=8)*(ACT_END&gt;=8)*IFERROR(ACT_UPLIFT-1,0)))*(1+SUMPRODUCT(SIGN(((ACT_DOOR_SCOPE="ALL")+(ACT_DOOR_SCOPE="TIER_"&amp;$F202)+(ACT_DOOR_SCOPE=$B202)))*SIGN(((ACT_SKU_SCOPE="ALL")+(ACT_SKU_SCOPE=$G202)))*(8&gt;ACT_END)*(ACT_END&gt;0)*IFERROR(ACT_POSTLIFT,0))),0)))</f>
        <v/>
      </c>
      <c r="R202" s="10">
        <f>IF(OR($H202&lt;&gt;"Y",9&lt;$I202),0,IF(SUMPRODUCT(((BULK_ENABLED="Y")*((BULK_TIER="ALL")+(BULK_TIER=$F202))*((BULK_SKU="ALL")+(BULK_SKU=$G202))*(BULK_START&lt;=9)*(BULK_END&gt;=9)))&gt;0,IFERROR(SUMPRODUCT(((BULK_ENABLED="Y")*((BULK_TIER="ALL")+(BULK_TIER=$F202))*((BULK_SKU="ALL")+(BULK_SKU=$G202))*(BULK_START&lt;=9)*(BULK_END&gt;=9))*IFERROR(BULK_VALUE,0))/MAX(1,SUMPRODUCT(((BULK_ENABLED="Y")*((BULK_TIER="ALL")+(BULK_TIER=$F202))*((BULK_SKU="ALL")+(BULK_SKU=$G202))*(BULK_START&lt;=9)*(BULK_END&gt;=9)))),0),ROUND((INDEX(VELOCITY_TABLE,MATCH($F202,TIER_LIST,0),3))*(IF((9-$I202+1)&lt;=0,0,IF((9-$I202+1)=1,RAMP_W1,IF((9-$I202+1)=2,RAMP_W2,IF((9-$I202+1)=3,RAMP_W3,RAMP_W4PLUS)))))*(INDEX(ACTIVE_MULT_TABLE,3,1))*(1+SUMPRODUCT(SIGN(((ACT_DOOR_SCOPE="ALL")+(ACT_DOOR_SCOPE="TIER_"&amp;$F202)+(ACT_DOOR_SCOPE=$B202)))*SIGN(((ACT_SKU_SCOPE="ALL")+(ACT_SKU_SCOPE=$G202)))*(ACT_START&lt;=9)*(ACT_END&gt;=9)*IFERROR(ACT_UPLIFT-1,0)))*(1+SUMPRODUCT(SIGN(((ACT_DOOR_SCOPE="ALL")+(ACT_DOOR_SCOPE="TIER_"&amp;$F202)+(ACT_DOOR_SCOPE=$B202)))*SIGN(((ACT_SKU_SCOPE="ALL")+(ACT_SKU_SCOPE=$G202)))*(9&gt;ACT_END)*(ACT_END&gt;0)*IFERROR(ACT_POSTLIFT,0))),0)))</f>
        <v/>
      </c>
      <c r="S202" s="10">
        <f>IF(OR($H202&lt;&gt;"Y",10&lt;$I202),0,IF(SUMPRODUCT(((BULK_ENABLED="Y")*((BULK_TIER="ALL")+(BULK_TIER=$F202))*((BULK_SKU="ALL")+(BULK_SKU=$G202))*(BULK_START&lt;=10)*(BULK_END&gt;=10)))&gt;0,IFERROR(SUMPRODUCT(((BULK_ENABLED="Y")*((BULK_TIER="ALL")+(BULK_TIER=$F202))*((BULK_SKU="ALL")+(BULK_SKU=$G202))*(BULK_START&lt;=10)*(BULK_END&gt;=10))*IFERROR(BULK_VALUE,0))/MAX(1,SUMPRODUCT(((BULK_ENABLED="Y")*((BULK_TIER="ALL")+(BULK_TIER=$F202))*((BULK_SKU="ALL")+(BULK_SKU=$G202))*(BULK_START&lt;=10)*(BULK_END&gt;=10)))),0),ROUND((INDEX(VELOCITY_TABLE,MATCH($F202,TIER_LIST,0),3))*(IF((10-$I202+1)&lt;=0,0,IF((10-$I202+1)=1,RAMP_W1,IF((10-$I202+1)=2,RAMP_W2,IF((10-$I202+1)=3,RAMP_W3,RAMP_W4PLUS)))))*(INDEX(ACTIVE_MULT_TABLE,3,1))*(1+SUMPRODUCT(SIGN(((ACT_DOOR_SCOPE="ALL")+(ACT_DOOR_SCOPE="TIER_"&amp;$F202)+(ACT_DOOR_SCOPE=$B202)))*SIGN(((ACT_SKU_SCOPE="ALL")+(ACT_SKU_SCOPE=$G202)))*(ACT_START&lt;=10)*(ACT_END&gt;=10)*IFERROR(ACT_UPLIFT-1,0)))*(1+SUMPRODUCT(SIGN(((ACT_DOOR_SCOPE="ALL")+(ACT_DOOR_SCOPE="TIER_"&amp;$F202)+(ACT_DOOR_SCOPE=$B202)))*SIGN(((ACT_SKU_SCOPE="ALL")+(ACT_SKU_SCOPE=$G202)))*(10&gt;ACT_END)*(ACT_END&gt;0)*IFERROR(ACT_POSTLIFT,0))),0)))</f>
        <v/>
      </c>
      <c r="T202" s="10">
        <f>IF(OR($H202&lt;&gt;"Y",11&lt;$I202),0,IF(SUMPRODUCT(((BULK_ENABLED="Y")*((BULK_TIER="ALL")+(BULK_TIER=$F202))*((BULK_SKU="ALL")+(BULK_SKU=$G202))*(BULK_START&lt;=11)*(BULK_END&gt;=11)))&gt;0,IFERROR(SUMPRODUCT(((BULK_ENABLED="Y")*((BULK_TIER="ALL")+(BULK_TIER=$F202))*((BULK_SKU="ALL")+(BULK_SKU=$G202))*(BULK_START&lt;=11)*(BULK_END&gt;=11))*IFERROR(BULK_VALUE,0))/MAX(1,SUMPRODUCT(((BULK_ENABLED="Y")*((BULK_TIER="ALL")+(BULK_TIER=$F202))*((BULK_SKU="ALL")+(BULK_SKU=$G202))*(BULK_START&lt;=11)*(BULK_END&gt;=11)))),0),ROUND((INDEX(VELOCITY_TABLE,MATCH($F202,TIER_LIST,0),3))*(IF((11-$I202+1)&lt;=0,0,IF((11-$I202+1)=1,RAMP_W1,IF((11-$I202+1)=2,RAMP_W2,IF((11-$I202+1)=3,RAMP_W3,RAMP_W4PLUS)))))*(INDEX(ACTIVE_MULT_TABLE,3,1))*(1+SUMPRODUCT(SIGN(((ACT_DOOR_SCOPE="ALL")+(ACT_DOOR_SCOPE="TIER_"&amp;$F202)+(ACT_DOOR_SCOPE=$B202)))*SIGN(((ACT_SKU_SCOPE="ALL")+(ACT_SKU_SCOPE=$G202)))*(ACT_START&lt;=11)*(ACT_END&gt;=11)*IFERROR(ACT_UPLIFT-1,0)))*(1+SUMPRODUCT(SIGN(((ACT_DOOR_SCOPE="ALL")+(ACT_DOOR_SCOPE="TIER_"&amp;$F202)+(ACT_DOOR_SCOPE=$B202)))*SIGN(((ACT_SKU_SCOPE="ALL")+(ACT_SKU_SCOPE=$G202)))*(11&gt;ACT_END)*(ACT_END&gt;0)*IFERROR(ACT_POSTLIFT,0))),0)))</f>
        <v/>
      </c>
      <c r="U202" s="10">
        <f>IF(OR($H202&lt;&gt;"Y",12&lt;$I202),0,IF(SUMPRODUCT(((BULK_ENABLED="Y")*((BULK_TIER="ALL")+(BULK_TIER=$F202))*((BULK_SKU="ALL")+(BULK_SKU=$G202))*(BULK_START&lt;=12)*(BULK_END&gt;=12)))&gt;0,IFERROR(SUMPRODUCT(((BULK_ENABLED="Y")*((BULK_TIER="ALL")+(BULK_TIER=$F202))*((BULK_SKU="ALL")+(BULK_SKU=$G202))*(BULK_START&lt;=12)*(BULK_END&gt;=12))*IFERROR(BULK_VALUE,0))/MAX(1,SUMPRODUCT(((BULK_ENABLED="Y")*((BULK_TIER="ALL")+(BULK_TIER=$F202))*((BULK_SKU="ALL")+(BULK_SKU=$G202))*(BULK_START&lt;=12)*(BULK_END&gt;=12)))),0),ROUND((INDEX(VELOCITY_TABLE,MATCH($F202,TIER_LIST,0),3))*(IF((12-$I202+1)&lt;=0,0,IF((12-$I202+1)=1,RAMP_W1,IF((12-$I202+1)=2,RAMP_W2,IF((12-$I202+1)=3,RAMP_W3,RAMP_W4PLUS)))))*(INDEX(ACTIVE_MULT_TABLE,3,1))*(1+SUMPRODUCT(SIGN(((ACT_DOOR_SCOPE="ALL")+(ACT_DOOR_SCOPE="TIER_"&amp;$F202)+(ACT_DOOR_SCOPE=$B202)))*SIGN(((ACT_SKU_SCOPE="ALL")+(ACT_SKU_SCOPE=$G202)))*(ACT_START&lt;=12)*(ACT_END&gt;=12)*IFERROR(ACT_UPLIFT-1,0)))*(1+SUMPRODUCT(SIGN(((ACT_DOOR_SCOPE="ALL")+(ACT_DOOR_SCOPE="TIER_"&amp;$F202)+(ACT_DOOR_SCOPE=$B202)))*SIGN(((ACT_SKU_SCOPE="ALL")+(ACT_SKU_SCOPE=$G202)))*(12&gt;ACT_END)*(ACT_END&gt;0)*IFERROR(ACT_POSTLIFT,0))),0)))</f>
        <v/>
      </c>
      <c r="V202" s="10">
        <f>IF(OR($H202&lt;&gt;"Y",13&lt;$I202),0,IF(SUMPRODUCT(((BULK_ENABLED="Y")*((BULK_TIER="ALL")+(BULK_TIER=$F202))*((BULK_SKU="ALL")+(BULK_SKU=$G202))*(BULK_START&lt;=13)*(BULK_END&gt;=13)))&gt;0,IFERROR(SUMPRODUCT(((BULK_ENABLED="Y")*((BULK_TIER="ALL")+(BULK_TIER=$F202))*((BULK_SKU="ALL")+(BULK_SKU=$G202))*(BULK_START&lt;=13)*(BULK_END&gt;=13))*IFERROR(BULK_VALUE,0))/MAX(1,SUMPRODUCT(((BULK_ENABLED="Y")*((BULK_TIER="ALL")+(BULK_TIER=$F202))*((BULK_SKU="ALL")+(BULK_SKU=$G202))*(BULK_START&lt;=13)*(BULK_END&gt;=13)))),0),ROUND((INDEX(VELOCITY_TABLE,MATCH($F202,TIER_LIST,0),3))*(IF((13-$I202+1)&lt;=0,0,IF((13-$I202+1)=1,RAMP_W1,IF((13-$I202+1)=2,RAMP_W2,IF((13-$I202+1)=3,RAMP_W3,RAMP_W4PLUS)))))*(INDEX(ACTIVE_MULT_TABLE,3,1))*(1+SUMPRODUCT(SIGN(((ACT_DOOR_SCOPE="ALL")+(ACT_DOOR_SCOPE="TIER_"&amp;$F202)+(ACT_DOOR_SCOPE=$B202)))*SIGN(((ACT_SKU_SCOPE="ALL")+(ACT_SKU_SCOPE=$G202)))*(ACT_START&lt;=13)*(ACT_END&gt;=13)*IFERROR(ACT_UPLIFT-1,0)))*(1+SUMPRODUCT(SIGN(((ACT_DOOR_SCOPE="ALL")+(ACT_DOOR_SCOPE="TIER_"&amp;$F202)+(ACT_DOOR_SCOPE=$B202)))*SIGN(((ACT_SKU_SCOPE="ALL")+(ACT_SKU_SCOPE=$G202)))*(13&gt;ACT_END)*(ACT_END&gt;0)*IFERROR(ACT_POSTLIFT,0))),0)))</f>
        <v/>
      </c>
    </row>
    <row r="203">
      <c r="A203" t="inlineStr">
        <is>
          <t>R0199</t>
        </is>
      </c>
      <c r="B203">
        <f>Doors!$A$71</f>
        <v/>
      </c>
      <c r="C203">
        <f>Doors!$C$71</f>
        <v/>
      </c>
      <c r="D203">
        <f>Doors!$B$71</f>
        <v/>
      </c>
      <c r="E203">
        <f>Doors!$E$71</f>
        <v/>
      </c>
      <c r="F203">
        <f>Doors!$F$71</f>
        <v/>
      </c>
      <c r="G203" t="inlineStr">
        <is>
          <t>Lime Lemon</t>
        </is>
      </c>
      <c r="H203">
        <f>Doors!$G$71</f>
        <v/>
      </c>
      <c r="I203">
        <f>Doors!$J$71</f>
        <v/>
      </c>
      <c r="J203" s="10">
        <f>IF(OR($H203&lt;&gt;"Y",1&lt;$I203),0,IF(SUMPRODUCT(((BULK_ENABLED="Y")*((BULK_TIER="ALL")+(BULK_TIER=$F203))*((BULK_SKU="ALL")+(BULK_SKU=$G203))*(BULK_START&lt;=1)*(BULK_END&gt;=1)))&gt;0,IFERROR(SUMPRODUCT(((BULK_ENABLED="Y")*((BULK_TIER="ALL")+(BULK_TIER=$F203))*((BULK_SKU="ALL")+(BULK_SKU=$G203))*(BULK_START&lt;=1)*(BULK_END&gt;=1))*IFERROR(BULK_VALUE,0))/MAX(1,SUMPRODUCT(((BULK_ENABLED="Y")*((BULK_TIER="ALL")+(BULK_TIER=$F203))*((BULK_SKU="ALL")+(BULK_SKU=$G203))*(BULK_START&lt;=1)*(BULK_END&gt;=1)))),0),ROUND((INDEX(VELOCITY_TABLE,MATCH($F203,TIER_LIST,0),1))*(IF((1-$I203+1)&lt;=0,0,IF((1-$I203+1)=1,RAMP_W1,IF((1-$I203+1)=2,RAMP_W2,IF((1-$I203+1)=3,RAMP_W3,RAMP_W4PLUS)))))*(INDEX(ACTIVE_MULT_TABLE,1,1))*(1+SUMPRODUCT(SIGN(((ACT_DOOR_SCOPE="ALL")+(ACT_DOOR_SCOPE="TIER_"&amp;$F203)+(ACT_DOOR_SCOPE=$B203)))*SIGN(((ACT_SKU_SCOPE="ALL")+(ACT_SKU_SCOPE=$G203)))*(ACT_START&lt;=1)*(ACT_END&gt;=1)*IFERROR(ACT_UPLIFT-1,0)))*(1+SUMPRODUCT(SIGN(((ACT_DOOR_SCOPE="ALL")+(ACT_DOOR_SCOPE="TIER_"&amp;$F203)+(ACT_DOOR_SCOPE=$B203)))*SIGN(((ACT_SKU_SCOPE="ALL")+(ACT_SKU_SCOPE=$G203)))*(1&gt;ACT_END)*(ACT_END&gt;0)*IFERROR(ACT_POSTLIFT,0))),0)))</f>
        <v/>
      </c>
      <c r="K203" s="10">
        <f>IF(OR($H203&lt;&gt;"Y",2&lt;$I203),0,IF(SUMPRODUCT(((BULK_ENABLED="Y")*((BULK_TIER="ALL")+(BULK_TIER=$F203))*((BULK_SKU="ALL")+(BULK_SKU=$G203))*(BULK_START&lt;=2)*(BULK_END&gt;=2)))&gt;0,IFERROR(SUMPRODUCT(((BULK_ENABLED="Y")*((BULK_TIER="ALL")+(BULK_TIER=$F203))*((BULK_SKU="ALL")+(BULK_SKU=$G203))*(BULK_START&lt;=2)*(BULK_END&gt;=2))*IFERROR(BULK_VALUE,0))/MAX(1,SUMPRODUCT(((BULK_ENABLED="Y")*((BULK_TIER="ALL")+(BULK_TIER=$F203))*((BULK_SKU="ALL")+(BULK_SKU=$G203))*(BULK_START&lt;=2)*(BULK_END&gt;=2)))),0),ROUND((INDEX(VELOCITY_TABLE,MATCH($F203,TIER_LIST,0),1))*(IF((2-$I203+1)&lt;=0,0,IF((2-$I203+1)=1,RAMP_W1,IF((2-$I203+1)=2,RAMP_W2,IF((2-$I203+1)=3,RAMP_W3,RAMP_W4PLUS)))))*(INDEX(ACTIVE_MULT_TABLE,1,1))*(1+SUMPRODUCT(SIGN(((ACT_DOOR_SCOPE="ALL")+(ACT_DOOR_SCOPE="TIER_"&amp;$F203)+(ACT_DOOR_SCOPE=$B203)))*SIGN(((ACT_SKU_SCOPE="ALL")+(ACT_SKU_SCOPE=$G203)))*(ACT_START&lt;=2)*(ACT_END&gt;=2)*IFERROR(ACT_UPLIFT-1,0)))*(1+SUMPRODUCT(SIGN(((ACT_DOOR_SCOPE="ALL")+(ACT_DOOR_SCOPE="TIER_"&amp;$F203)+(ACT_DOOR_SCOPE=$B203)))*SIGN(((ACT_SKU_SCOPE="ALL")+(ACT_SKU_SCOPE=$G203)))*(2&gt;ACT_END)*(ACT_END&gt;0)*IFERROR(ACT_POSTLIFT,0))),0)))</f>
        <v/>
      </c>
      <c r="L203" s="10">
        <f>IF(OR($H203&lt;&gt;"Y",3&lt;$I203),0,IF(SUMPRODUCT(((BULK_ENABLED="Y")*((BULK_TIER="ALL")+(BULK_TIER=$F203))*((BULK_SKU="ALL")+(BULK_SKU=$G203))*(BULK_START&lt;=3)*(BULK_END&gt;=3)))&gt;0,IFERROR(SUMPRODUCT(((BULK_ENABLED="Y")*((BULK_TIER="ALL")+(BULK_TIER=$F203))*((BULK_SKU="ALL")+(BULK_SKU=$G203))*(BULK_START&lt;=3)*(BULK_END&gt;=3))*IFERROR(BULK_VALUE,0))/MAX(1,SUMPRODUCT(((BULK_ENABLED="Y")*((BULK_TIER="ALL")+(BULK_TIER=$F203))*((BULK_SKU="ALL")+(BULK_SKU=$G203))*(BULK_START&lt;=3)*(BULK_END&gt;=3)))),0),ROUND((INDEX(VELOCITY_TABLE,MATCH($F203,TIER_LIST,0),1))*(IF((3-$I203+1)&lt;=0,0,IF((3-$I203+1)=1,RAMP_W1,IF((3-$I203+1)=2,RAMP_W2,IF((3-$I203+1)=3,RAMP_W3,RAMP_W4PLUS)))))*(INDEX(ACTIVE_MULT_TABLE,1,1))*(1+SUMPRODUCT(SIGN(((ACT_DOOR_SCOPE="ALL")+(ACT_DOOR_SCOPE="TIER_"&amp;$F203)+(ACT_DOOR_SCOPE=$B203)))*SIGN(((ACT_SKU_SCOPE="ALL")+(ACT_SKU_SCOPE=$G203)))*(ACT_START&lt;=3)*(ACT_END&gt;=3)*IFERROR(ACT_UPLIFT-1,0)))*(1+SUMPRODUCT(SIGN(((ACT_DOOR_SCOPE="ALL")+(ACT_DOOR_SCOPE="TIER_"&amp;$F203)+(ACT_DOOR_SCOPE=$B203)))*SIGN(((ACT_SKU_SCOPE="ALL")+(ACT_SKU_SCOPE=$G203)))*(3&gt;ACT_END)*(ACT_END&gt;0)*IFERROR(ACT_POSTLIFT,0))),0)))</f>
        <v/>
      </c>
      <c r="M203" s="10">
        <f>IF(OR($H203&lt;&gt;"Y",4&lt;$I203),0,IF(SUMPRODUCT(((BULK_ENABLED="Y")*((BULK_TIER="ALL")+(BULK_TIER=$F203))*((BULK_SKU="ALL")+(BULK_SKU=$G203))*(BULK_START&lt;=4)*(BULK_END&gt;=4)))&gt;0,IFERROR(SUMPRODUCT(((BULK_ENABLED="Y")*((BULK_TIER="ALL")+(BULK_TIER=$F203))*((BULK_SKU="ALL")+(BULK_SKU=$G203))*(BULK_START&lt;=4)*(BULK_END&gt;=4))*IFERROR(BULK_VALUE,0))/MAX(1,SUMPRODUCT(((BULK_ENABLED="Y")*((BULK_TIER="ALL")+(BULK_TIER=$F203))*((BULK_SKU="ALL")+(BULK_SKU=$G203))*(BULK_START&lt;=4)*(BULK_END&gt;=4)))),0),ROUND((INDEX(VELOCITY_TABLE,MATCH($F203,TIER_LIST,0),1))*(IF((4-$I203+1)&lt;=0,0,IF((4-$I203+1)=1,RAMP_W1,IF((4-$I203+1)=2,RAMP_W2,IF((4-$I203+1)=3,RAMP_W3,RAMP_W4PLUS)))))*(INDEX(ACTIVE_MULT_TABLE,1,1))*(1+SUMPRODUCT(SIGN(((ACT_DOOR_SCOPE="ALL")+(ACT_DOOR_SCOPE="TIER_"&amp;$F203)+(ACT_DOOR_SCOPE=$B203)))*SIGN(((ACT_SKU_SCOPE="ALL")+(ACT_SKU_SCOPE=$G203)))*(ACT_START&lt;=4)*(ACT_END&gt;=4)*IFERROR(ACT_UPLIFT-1,0)))*(1+SUMPRODUCT(SIGN(((ACT_DOOR_SCOPE="ALL")+(ACT_DOOR_SCOPE="TIER_"&amp;$F203)+(ACT_DOOR_SCOPE=$B203)))*SIGN(((ACT_SKU_SCOPE="ALL")+(ACT_SKU_SCOPE=$G203)))*(4&gt;ACT_END)*(ACT_END&gt;0)*IFERROR(ACT_POSTLIFT,0))),0)))</f>
        <v/>
      </c>
      <c r="N203" s="10">
        <f>IF(OR($H203&lt;&gt;"Y",5&lt;$I203),0,IF(SUMPRODUCT(((BULK_ENABLED="Y")*((BULK_TIER="ALL")+(BULK_TIER=$F203))*((BULK_SKU="ALL")+(BULK_SKU=$G203))*(BULK_START&lt;=5)*(BULK_END&gt;=5)))&gt;0,IFERROR(SUMPRODUCT(((BULK_ENABLED="Y")*((BULK_TIER="ALL")+(BULK_TIER=$F203))*((BULK_SKU="ALL")+(BULK_SKU=$G203))*(BULK_START&lt;=5)*(BULK_END&gt;=5))*IFERROR(BULK_VALUE,0))/MAX(1,SUMPRODUCT(((BULK_ENABLED="Y")*((BULK_TIER="ALL")+(BULK_TIER=$F203))*((BULK_SKU="ALL")+(BULK_SKU=$G203))*(BULK_START&lt;=5)*(BULK_END&gt;=5)))),0),ROUND((INDEX(VELOCITY_TABLE,MATCH($F203,TIER_LIST,0),1))*(IF((5-$I203+1)&lt;=0,0,IF((5-$I203+1)=1,RAMP_W1,IF((5-$I203+1)=2,RAMP_W2,IF((5-$I203+1)=3,RAMP_W3,RAMP_W4PLUS)))))*(INDEX(ACTIVE_MULT_TABLE,1,1))*(1+SUMPRODUCT(SIGN(((ACT_DOOR_SCOPE="ALL")+(ACT_DOOR_SCOPE="TIER_"&amp;$F203)+(ACT_DOOR_SCOPE=$B203)))*SIGN(((ACT_SKU_SCOPE="ALL")+(ACT_SKU_SCOPE=$G203)))*(ACT_START&lt;=5)*(ACT_END&gt;=5)*IFERROR(ACT_UPLIFT-1,0)))*(1+SUMPRODUCT(SIGN(((ACT_DOOR_SCOPE="ALL")+(ACT_DOOR_SCOPE="TIER_"&amp;$F203)+(ACT_DOOR_SCOPE=$B203)))*SIGN(((ACT_SKU_SCOPE="ALL")+(ACT_SKU_SCOPE=$G203)))*(5&gt;ACT_END)*(ACT_END&gt;0)*IFERROR(ACT_POSTLIFT,0))),0)))</f>
        <v/>
      </c>
      <c r="O203" s="10">
        <f>IF(OR($H203&lt;&gt;"Y",6&lt;$I203),0,IF(SUMPRODUCT(((BULK_ENABLED="Y")*((BULK_TIER="ALL")+(BULK_TIER=$F203))*((BULK_SKU="ALL")+(BULK_SKU=$G203))*(BULK_START&lt;=6)*(BULK_END&gt;=6)))&gt;0,IFERROR(SUMPRODUCT(((BULK_ENABLED="Y")*((BULK_TIER="ALL")+(BULK_TIER=$F203))*((BULK_SKU="ALL")+(BULK_SKU=$G203))*(BULK_START&lt;=6)*(BULK_END&gt;=6))*IFERROR(BULK_VALUE,0))/MAX(1,SUMPRODUCT(((BULK_ENABLED="Y")*((BULK_TIER="ALL")+(BULK_TIER=$F203))*((BULK_SKU="ALL")+(BULK_SKU=$G203))*(BULK_START&lt;=6)*(BULK_END&gt;=6)))),0),ROUND((INDEX(VELOCITY_TABLE,MATCH($F203,TIER_LIST,0),1))*(IF((6-$I203+1)&lt;=0,0,IF((6-$I203+1)=1,RAMP_W1,IF((6-$I203+1)=2,RAMP_W2,IF((6-$I203+1)=3,RAMP_W3,RAMP_W4PLUS)))))*(INDEX(ACTIVE_MULT_TABLE,1,1))*(1+SUMPRODUCT(SIGN(((ACT_DOOR_SCOPE="ALL")+(ACT_DOOR_SCOPE="TIER_"&amp;$F203)+(ACT_DOOR_SCOPE=$B203)))*SIGN(((ACT_SKU_SCOPE="ALL")+(ACT_SKU_SCOPE=$G203)))*(ACT_START&lt;=6)*(ACT_END&gt;=6)*IFERROR(ACT_UPLIFT-1,0)))*(1+SUMPRODUCT(SIGN(((ACT_DOOR_SCOPE="ALL")+(ACT_DOOR_SCOPE="TIER_"&amp;$F203)+(ACT_DOOR_SCOPE=$B203)))*SIGN(((ACT_SKU_SCOPE="ALL")+(ACT_SKU_SCOPE=$G203)))*(6&gt;ACT_END)*(ACT_END&gt;0)*IFERROR(ACT_POSTLIFT,0))),0)))</f>
        <v/>
      </c>
      <c r="P203" s="10">
        <f>IF(OR($H203&lt;&gt;"Y",7&lt;$I203),0,IF(SUMPRODUCT(((BULK_ENABLED="Y")*((BULK_TIER="ALL")+(BULK_TIER=$F203))*((BULK_SKU="ALL")+(BULK_SKU=$G203))*(BULK_START&lt;=7)*(BULK_END&gt;=7)))&gt;0,IFERROR(SUMPRODUCT(((BULK_ENABLED="Y")*((BULK_TIER="ALL")+(BULK_TIER=$F203))*((BULK_SKU="ALL")+(BULK_SKU=$G203))*(BULK_START&lt;=7)*(BULK_END&gt;=7))*IFERROR(BULK_VALUE,0))/MAX(1,SUMPRODUCT(((BULK_ENABLED="Y")*((BULK_TIER="ALL")+(BULK_TIER=$F203))*((BULK_SKU="ALL")+(BULK_SKU=$G203))*(BULK_START&lt;=7)*(BULK_END&gt;=7)))),0),ROUND((INDEX(VELOCITY_TABLE,MATCH($F203,TIER_LIST,0),1))*(IF((7-$I203+1)&lt;=0,0,IF((7-$I203+1)=1,RAMP_W1,IF((7-$I203+1)=2,RAMP_W2,IF((7-$I203+1)=3,RAMP_W3,RAMP_W4PLUS)))))*(INDEX(ACTIVE_MULT_TABLE,1,1))*(1+SUMPRODUCT(SIGN(((ACT_DOOR_SCOPE="ALL")+(ACT_DOOR_SCOPE="TIER_"&amp;$F203)+(ACT_DOOR_SCOPE=$B203)))*SIGN(((ACT_SKU_SCOPE="ALL")+(ACT_SKU_SCOPE=$G203)))*(ACT_START&lt;=7)*(ACT_END&gt;=7)*IFERROR(ACT_UPLIFT-1,0)))*(1+SUMPRODUCT(SIGN(((ACT_DOOR_SCOPE="ALL")+(ACT_DOOR_SCOPE="TIER_"&amp;$F203)+(ACT_DOOR_SCOPE=$B203)))*SIGN(((ACT_SKU_SCOPE="ALL")+(ACT_SKU_SCOPE=$G203)))*(7&gt;ACT_END)*(ACT_END&gt;0)*IFERROR(ACT_POSTLIFT,0))),0)))</f>
        <v/>
      </c>
      <c r="Q203" s="10">
        <f>IF(OR($H203&lt;&gt;"Y",8&lt;$I203),0,IF(SUMPRODUCT(((BULK_ENABLED="Y")*((BULK_TIER="ALL")+(BULK_TIER=$F203))*((BULK_SKU="ALL")+(BULK_SKU=$G203))*(BULK_START&lt;=8)*(BULK_END&gt;=8)))&gt;0,IFERROR(SUMPRODUCT(((BULK_ENABLED="Y")*((BULK_TIER="ALL")+(BULK_TIER=$F203))*((BULK_SKU="ALL")+(BULK_SKU=$G203))*(BULK_START&lt;=8)*(BULK_END&gt;=8))*IFERROR(BULK_VALUE,0))/MAX(1,SUMPRODUCT(((BULK_ENABLED="Y")*((BULK_TIER="ALL")+(BULK_TIER=$F203))*((BULK_SKU="ALL")+(BULK_SKU=$G203))*(BULK_START&lt;=8)*(BULK_END&gt;=8)))),0),ROUND((INDEX(VELOCITY_TABLE,MATCH($F203,TIER_LIST,0),1))*(IF((8-$I203+1)&lt;=0,0,IF((8-$I203+1)=1,RAMP_W1,IF((8-$I203+1)=2,RAMP_W2,IF((8-$I203+1)=3,RAMP_W3,RAMP_W4PLUS)))))*(INDEX(ACTIVE_MULT_TABLE,1,1))*(1+SUMPRODUCT(SIGN(((ACT_DOOR_SCOPE="ALL")+(ACT_DOOR_SCOPE="TIER_"&amp;$F203)+(ACT_DOOR_SCOPE=$B203)))*SIGN(((ACT_SKU_SCOPE="ALL")+(ACT_SKU_SCOPE=$G203)))*(ACT_START&lt;=8)*(ACT_END&gt;=8)*IFERROR(ACT_UPLIFT-1,0)))*(1+SUMPRODUCT(SIGN(((ACT_DOOR_SCOPE="ALL")+(ACT_DOOR_SCOPE="TIER_"&amp;$F203)+(ACT_DOOR_SCOPE=$B203)))*SIGN(((ACT_SKU_SCOPE="ALL")+(ACT_SKU_SCOPE=$G203)))*(8&gt;ACT_END)*(ACT_END&gt;0)*IFERROR(ACT_POSTLIFT,0))),0)))</f>
        <v/>
      </c>
      <c r="R203" s="10">
        <f>IF(OR($H203&lt;&gt;"Y",9&lt;$I203),0,IF(SUMPRODUCT(((BULK_ENABLED="Y")*((BULK_TIER="ALL")+(BULK_TIER=$F203))*((BULK_SKU="ALL")+(BULK_SKU=$G203))*(BULK_START&lt;=9)*(BULK_END&gt;=9)))&gt;0,IFERROR(SUMPRODUCT(((BULK_ENABLED="Y")*((BULK_TIER="ALL")+(BULK_TIER=$F203))*((BULK_SKU="ALL")+(BULK_SKU=$G203))*(BULK_START&lt;=9)*(BULK_END&gt;=9))*IFERROR(BULK_VALUE,0))/MAX(1,SUMPRODUCT(((BULK_ENABLED="Y")*((BULK_TIER="ALL")+(BULK_TIER=$F203))*((BULK_SKU="ALL")+(BULK_SKU=$G203))*(BULK_START&lt;=9)*(BULK_END&gt;=9)))),0),ROUND((INDEX(VELOCITY_TABLE,MATCH($F203,TIER_LIST,0),1))*(IF((9-$I203+1)&lt;=0,0,IF((9-$I203+1)=1,RAMP_W1,IF((9-$I203+1)=2,RAMP_W2,IF((9-$I203+1)=3,RAMP_W3,RAMP_W4PLUS)))))*(INDEX(ACTIVE_MULT_TABLE,1,1))*(1+SUMPRODUCT(SIGN(((ACT_DOOR_SCOPE="ALL")+(ACT_DOOR_SCOPE="TIER_"&amp;$F203)+(ACT_DOOR_SCOPE=$B203)))*SIGN(((ACT_SKU_SCOPE="ALL")+(ACT_SKU_SCOPE=$G203)))*(ACT_START&lt;=9)*(ACT_END&gt;=9)*IFERROR(ACT_UPLIFT-1,0)))*(1+SUMPRODUCT(SIGN(((ACT_DOOR_SCOPE="ALL")+(ACT_DOOR_SCOPE="TIER_"&amp;$F203)+(ACT_DOOR_SCOPE=$B203)))*SIGN(((ACT_SKU_SCOPE="ALL")+(ACT_SKU_SCOPE=$G203)))*(9&gt;ACT_END)*(ACT_END&gt;0)*IFERROR(ACT_POSTLIFT,0))),0)))</f>
        <v/>
      </c>
      <c r="S203" s="10">
        <f>IF(OR($H203&lt;&gt;"Y",10&lt;$I203),0,IF(SUMPRODUCT(((BULK_ENABLED="Y")*((BULK_TIER="ALL")+(BULK_TIER=$F203))*((BULK_SKU="ALL")+(BULK_SKU=$G203))*(BULK_START&lt;=10)*(BULK_END&gt;=10)))&gt;0,IFERROR(SUMPRODUCT(((BULK_ENABLED="Y")*((BULK_TIER="ALL")+(BULK_TIER=$F203))*((BULK_SKU="ALL")+(BULK_SKU=$G203))*(BULK_START&lt;=10)*(BULK_END&gt;=10))*IFERROR(BULK_VALUE,0))/MAX(1,SUMPRODUCT(((BULK_ENABLED="Y")*((BULK_TIER="ALL")+(BULK_TIER=$F203))*((BULK_SKU="ALL")+(BULK_SKU=$G203))*(BULK_START&lt;=10)*(BULK_END&gt;=10)))),0),ROUND((INDEX(VELOCITY_TABLE,MATCH($F203,TIER_LIST,0),1))*(IF((10-$I203+1)&lt;=0,0,IF((10-$I203+1)=1,RAMP_W1,IF((10-$I203+1)=2,RAMP_W2,IF((10-$I203+1)=3,RAMP_W3,RAMP_W4PLUS)))))*(INDEX(ACTIVE_MULT_TABLE,1,1))*(1+SUMPRODUCT(SIGN(((ACT_DOOR_SCOPE="ALL")+(ACT_DOOR_SCOPE="TIER_"&amp;$F203)+(ACT_DOOR_SCOPE=$B203)))*SIGN(((ACT_SKU_SCOPE="ALL")+(ACT_SKU_SCOPE=$G203)))*(ACT_START&lt;=10)*(ACT_END&gt;=10)*IFERROR(ACT_UPLIFT-1,0)))*(1+SUMPRODUCT(SIGN(((ACT_DOOR_SCOPE="ALL")+(ACT_DOOR_SCOPE="TIER_"&amp;$F203)+(ACT_DOOR_SCOPE=$B203)))*SIGN(((ACT_SKU_SCOPE="ALL")+(ACT_SKU_SCOPE=$G203)))*(10&gt;ACT_END)*(ACT_END&gt;0)*IFERROR(ACT_POSTLIFT,0))),0)))</f>
        <v/>
      </c>
      <c r="T203" s="10">
        <f>IF(OR($H203&lt;&gt;"Y",11&lt;$I203),0,IF(SUMPRODUCT(((BULK_ENABLED="Y")*((BULK_TIER="ALL")+(BULK_TIER=$F203))*((BULK_SKU="ALL")+(BULK_SKU=$G203))*(BULK_START&lt;=11)*(BULK_END&gt;=11)))&gt;0,IFERROR(SUMPRODUCT(((BULK_ENABLED="Y")*((BULK_TIER="ALL")+(BULK_TIER=$F203))*((BULK_SKU="ALL")+(BULK_SKU=$G203))*(BULK_START&lt;=11)*(BULK_END&gt;=11))*IFERROR(BULK_VALUE,0))/MAX(1,SUMPRODUCT(((BULK_ENABLED="Y")*((BULK_TIER="ALL")+(BULK_TIER=$F203))*((BULK_SKU="ALL")+(BULK_SKU=$G203))*(BULK_START&lt;=11)*(BULK_END&gt;=11)))),0),ROUND((INDEX(VELOCITY_TABLE,MATCH($F203,TIER_LIST,0),1))*(IF((11-$I203+1)&lt;=0,0,IF((11-$I203+1)=1,RAMP_W1,IF((11-$I203+1)=2,RAMP_W2,IF((11-$I203+1)=3,RAMP_W3,RAMP_W4PLUS)))))*(INDEX(ACTIVE_MULT_TABLE,1,1))*(1+SUMPRODUCT(SIGN(((ACT_DOOR_SCOPE="ALL")+(ACT_DOOR_SCOPE="TIER_"&amp;$F203)+(ACT_DOOR_SCOPE=$B203)))*SIGN(((ACT_SKU_SCOPE="ALL")+(ACT_SKU_SCOPE=$G203)))*(ACT_START&lt;=11)*(ACT_END&gt;=11)*IFERROR(ACT_UPLIFT-1,0)))*(1+SUMPRODUCT(SIGN(((ACT_DOOR_SCOPE="ALL")+(ACT_DOOR_SCOPE="TIER_"&amp;$F203)+(ACT_DOOR_SCOPE=$B203)))*SIGN(((ACT_SKU_SCOPE="ALL")+(ACT_SKU_SCOPE=$G203)))*(11&gt;ACT_END)*(ACT_END&gt;0)*IFERROR(ACT_POSTLIFT,0))),0)))</f>
        <v/>
      </c>
      <c r="U203" s="10">
        <f>IF(OR($H203&lt;&gt;"Y",12&lt;$I203),0,IF(SUMPRODUCT(((BULK_ENABLED="Y")*((BULK_TIER="ALL")+(BULK_TIER=$F203))*((BULK_SKU="ALL")+(BULK_SKU=$G203))*(BULK_START&lt;=12)*(BULK_END&gt;=12)))&gt;0,IFERROR(SUMPRODUCT(((BULK_ENABLED="Y")*((BULK_TIER="ALL")+(BULK_TIER=$F203))*((BULK_SKU="ALL")+(BULK_SKU=$G203))*(BULK_START&lt;=12)*(BULK_END&gt;=12))*IFERROR(BULK_VALUE,0))/MAX(1,SUMPRODUCT(((BULK_ENABLED="Y")*((BULK_TIER="ALL")+(BULK_TIER=$F203))*((BULK_SKU="ALL")+(BULK_SKU=$G203))*(BULK_START&lt;=12)*(BULK_END&gt;=12)))),0),ROUND((INDEX(VELOCITY_TABLE,MATCH($F203,TIER_LIST,0),1))*(IF((12-$I203+1)&lt;=0,0,IF((12-$I203+1)=1,RAMP_W1,IF((12-$I203+1)=2,RAMP_W2,IF((12-$I203+1)=3,RAMP_W3,RAMP_W4PLUS)))))*(INDEX(ACTIVE_MULT_TABLE,1,1))*(1+SUMPRODUCT(SIGN(((ACT_DOOR_SCOPE="ALL")+(ACT_DOOR_SCOPE="TIER_"&amp;$F203)+(ACT_DOOR_SCOPE=$B203)))*SIGN(((ACT_SKU_SCOPE="ALL")+(ACT_SKU_SCOPE=$G203)))*(ACT_START&lt;=12)*(ACT_END&gt;=12)*IFERROR(ACT_UPLIFT-1,0)))*(1+SUMPRODUCT(SIGN(((ACT_DOOR_SCOPE="ALL")+(ACT_DOOR_SCOPE="TIER_"&amp;$F203)+(ACT_DOOR_SCOPE=$B203)))*SIGN(((ACT_SKU_SCOPE="ALL")+(ACT_SKU_SCOPE=$G203)))*(12&gt;ACT_END)*(ACT_END&gt;0)*IFERROR(ACT_POSTLIFT,0))),0)))</f>
        <v/>
      </c>
      <c r="V203" s="10">
        <f>IF(OR($H203&lt;&gt;"Y",13&lt;$I203),0,IF(SUMPRODUCT(((BULK_ENABLED="Y")*((BULK_TIER="ALL")+(BULK_TIER=$F203))*((BULK_SKU="ALL")+(BULK_SKU=$G203))*(BULK_START&lt;=13)*(BULK_END&gt;=13)))&gt;0,IFERROR(SUMPRODUCT(((BULK_ENABLED="Y")*((BULK_TIER="ALL")+(BULK_TIER=$F203))*((BULK_SKU="ALL")+(BULK_SKU=$G203))*(BULK_START&lt;=13)*(BULK_END&gt;=13))*IFERROR(BULK_VALUE,0))/MAX(1,SUMPRODUCT(((BULK_ENABLED="Y")*((BULK_TIER="ALL")+(BULK_TIER=$F203))*((BULK_SKU="ALL")+(BULK_SKU=$G203))*(BULK_START&lt;=13)*(BULK_END&gt;=13)))),0),ROUND((INDEX(VELOCITY_TABLE,MATCH($F203,TIER_LIST,0),1))*(IF((13-$I203+1)&lt;=0,0,IF((13-$I203+1)=1,RAMP_W1,IF((13-$I203+1)=2,RAMP_W2,IF((13-$I203+1)=3,RAMP_W3,RAMP_W4PLUS)))))*(INDEX(ACTIVE_MULT_TABLE,1,1))*(1+SUMPRODUCT(SIGN(((ACT_DOOR_SCOPE="ALL")+(ACT_DOOR_SCOPE="TIER_"&amp;$F203)+(ACT_DOOR_SCOPE=$B203)))*SIGN(((ACT_SKU_SCOPE="ALL")+(ACT_SKU_SCOPE=$G203)))*(ACT_START&lt;=13)*(ACT_END&gt;=13)*IFERROR(ACT_UPLIFT-1,0)))*(1+SUMPRODUCT(SIGN(((ACT_DOOR_SCOPE="ALL")+(ACT_DOOR_SCOPE="TIER_"&amp;$F203)+(ACT_DOOR_SCOPE=$B203)))*SIGN(((ACT_SKU_SCOPE="ALL")+(ACT_SKU_SCOPE=$G203)))*(13&gt;ACT_END)*(ACT_END&gt;0)*IFERROR(ACT_POSTLIFT,0))),0)))</f>
        <v/>
      </c>
    </row>
    <row r="204">
      <c r="A204" t="inlineStr">
        <is>
          <t>R0200</t>
        </is>
      </c>
      <c r="B204">
        <f>Doors!$A$71</f>
        <v/>
      </c>
      <c r="C204">
        <f>Doors!$C$71</f>
        <v/>
      </c>
      <c r="D204">
        <f>Doors!$B$71</f>
        <v/>
      </c>
      <c r="E204">
        <f>Doors!$E$71</f>
        <v/>
      </c>
      <c r="F204">
        <f>Doors!$F$71</f>
        <v/>
      </c>
      <c r="G204" t="inlineStr">
        <is>
          <t>Pineapple Passion Fruit</t>
        </is>
      </c>
      <c r="H204">
        <f>Doors!$H$71</f>
        <v/>
      </c>
      <c r="I204">
        <f>Doors!$J$71</f>
        <v/>
      </c>
      <c r="J204" s="10">
        <f>IF(OR($H204&lt;&gt;"Y",1&lt;$I204),0,IF(SUMPRODUCT(((BULK_ENABLED="Y")*((BULK_TIER="ALL")+(BULK_TIER=$F204))*((BULK_SKU="ALL")+(BULK_SKU=$G204))*(BULK_START&lt;=1)*(BULK_END&gt;=1)))&gt;0,IFERROR(SUMPRODUCT(((BULK_ENABLED="Y")*((BULK_TIER="ALL")+(BULK_TIER=$F204))*((BULK_SKU="ALL")+(BULK_SKU=$G204))*(BULK_START&lt;=1)*(BULK_END&gt;=1))*IFERROR(BULK_VALUE,0))/MAX(1,SUMPRODUCT(((BULK_ENABLED="Y")*((BULK_TIER="ALL")+(BULK_TIER=$F204))*((BULK_SKU="ALL")+(BULK_SKU=$G204))*(BULK_START&lt;=1)*(BULK_END&gt;=1)))),0),ROUND((INDEX(VELOCITY_TABLE,MATCH($F204,TIER_LIST,0),2))*(IF((1-$I204+1)&lt;=0,0,IF((1-$I204+1)=1,RAMP_W1,IF((1-$I204+1)=2,RAMP_W2,IF((1-$I204+1)=3,RAMP_W3,RAMP_W4PLUS)))))*(INDEX(ACTIVE_MULT_TABLE,2,1))*(1+SUMPRODUCT(SIGN(((ACT_DOOR_SCOPE="ALL")+(ACT_DOOR_SCOPE="TIER_"&amp;$F204)+(ACT_DOOR_SCOPE=$B204)))*SIGN(((ACT_SKU_SCOPE="ALL")+(ACT_SKU_SCOPE=$G204)))*(ACT_START&lt;=1)*(ACT_END&gt;=1)*IFERROR(ACT_UPLIFT-1,0)))*(1+SUMPRODUCT(SIGN(((ACT_DOOR_SCOPE="ALL")+(ACT_DOOR_SCOPE="TIER_"&amp;$F204)+(ACT_DOOR_SCOPE=$B204)))*SIGN(((ACT_SKU_SCOPE="ALL")+(ACT_SKU_SCOPE=$G204)))*(1&gt;ACT_END)*(ACT_END&gt;0)*IFERROR(ACT_POSTLIFT,0))),0)))</f>
        <v/>
      </c>
      <c r="K204" s="10">
        <f>IF(OR($H204&lt;&gt;"Y",2&lt;$I204),0,IF(SUMPRODUCT(((BULK_ENABLED="Y")*((BULK_TIER="ALL")+(BULK_TIER=$F204))*((BULK_SKU="ALL")+(BULK_SKU=$G204))*(BULK_START&lt;=2)*(BULK_END&gt;=2)))&gt;0,IFERROR(SUMPRODUCT(((BULK_ENABLED="Y")*((BULK_TIER="ALL")+(BULK_TIER=$F204))*((BULK_SKU="ALL")+(BULK_SKU=$G204))*(BULK_START&lt;=2)*(BULK_END&gt;=2))*IFERROR(BULK_VALUE,0))/MAX(1,SUMPRODUCT(((BULK_ENABLED="Y")*((BULK_TIER="ALL")+(BULK_TIER=$F204))*((BULK_SKU="ALL")+(BULK_SKU=$G204))*(BULK_START&lt;=2)*(BULK_END&gt;=2)))),0),ROUND((INDEX(VELOCITY_TABLE,MATCH($F204,TIER_LIST,0),2))*(IF((2-$I204+1)&lt;=0,0,IF((2-$I204+1)=1,RAMP_W1,IF((2-$I204+1)=2,RAMP_W2,IF((2-$I204+1)=3,RAMP_W3,RAMP_W4PLUS)))))*(INDEX(ACTIVE_MULT_TABLE,2,1))*(1+SUMPRODUCT(SIGN(((ACT_DOOR_SCOPE="ALL")+(ACT_DOOR_SCOPE="TIER_"&amp;$F204)+(ACT_DOOR_SCOPE=$B204)))*SIGN(((ACT_SKU_SCOPE="ALL")+(ACT_SKU_SCOPE=$G204)))*(ACT_START&lt;=2)*(ACT_END&gt;=2)*IFERROR(ACT_UPLIFT-1,0)))*(1+SUMPRODUCT(SIGN(((ACT_DOOR_SCOPE="ALL")+(ACT_DOOR_SCOPE="TIER_"&amp;$F204)+(ACT_DOOR_SCOPE=$B204)))*SIGN(((ACT_SKU_SCOPE="ALL")+(ACT_SKU_SCOPE=$G204)))*(2&gt;ACT_END)*(ACT_END&gt;0)*IFERROR(ACT_POSTLIFT,0))),0)))</f>
        <v/>
      </c>
      <c r="L204" s="10">
        <f>IF(OR($H204&lt;&gt;"Y",3&lt;$I204),0,IF(SUMPRODUCT(((BULK_ENABLED="Y")*((BULK_TIER="ALL")+(BULK_TIER=$F204))*((BULK_SKU="ALL")+(BULK_SKU=$G204))*(BULK_START&lt;=3)*(BULK_END&gt;=3)))&gt;0,IFERROR(SUMPRODUCT(((BULK_ENABLED="Y")*((BULK_TIER="ALL")+(BULK_TIER=$F204))*((BULK_SKU="ALL")+(BULK_SKU=$G204))*(BULK_START&lt;=3)*(BULK_END&gt;=3))*IFERROR(BULK_VALUE,0))/MAX(1,SUMPRODUCT(((BULK_ENABLED="Y")*((BULK_TIER="ALL")+(BULK_TIER=$F204))*((BULK_SKU="ALL")+(BULK_SKU=$G204))*(BULK_START&lt;=3)*(BULK_END&gt;=3)))),0),ROUND((INDEX(VELOCITY_TABLE,MATCH($F204,TIER_LIST,0),2))*(IF((3-$I204+1)&lt;=0,0,IF((3-$I204+1)=1,RAMP_W1,IF((3-$I204+1)=2,RAMP_W2,IF((3-$I204+1)=3,RAMP_W3,RAMP_W4PLUS)))))*(INDEX(ACTIVE_MULT_TABLE,2,1))*(1+SUMPRODUCT(SIGN(((ACT_DOOR_SCOPE="ALL")+(ACT_DOOR_SCOPE="TIER_"&amp;$F204)+(ACT_DOOR_SCOPE=$B204)))*SIGN(((ACT_SKU_SCOPE="ALL")+(ACT_SKU_SCOPE=$G204)))*(ACT_START&lt;=3)*(ACT_END&gt;=3)*IFERROR(ACT_UPLIFT-1,0)))*(1+SUMPRODUCT(SIGN(((ACT_DOOR_SCOPE="ALL")+(ACT_DOOR_SCOPE="TIER_"&amp;$F204)+(ACT_DOOR_SCOPE=$B204)))*SIGN(((ACT_SKU_SCOPE="ALL")+(ACT_SKU_SCOPE=$G204)))*(3&gt;ACT_END)*(ACT_END&gt;0)*IFERROR(ACT_POSTLIFT,0))),0)))</f>
        <v/>
      </c>
      <c r="M204" s="10">
        <f>IF(OR($H204&lt;&gt;"Y",4&lt;$I204),0,IF(SUMPRODUCT(((BULK_ENABLED="Y")*((BULK_TIER="ALL")+(BULK_TIER=$F204))*((BULK_SKU="ALL")+(BULK_SKU=$G204))*(BULK_START&lt;=4)*(BULK_END&gt;=4)))&gt;0,IFERROR(SUMPRODUCT(((BULK_ENABLED="Y")*((BULK_TIER="ALL")+(BULK_TIER=$F204))*((BULK_SKU="ALL")+(BULK_SKU=$G204))*(BULK_START&lt;=4)*(BULK_END&gt;=4))*IFERROR(BULK_VALUE,0))/MAX(1,SUMPRODUCT(((BULK_ENABLED="Y")*((BULK_TIER="ALL")+(BULK_TIER=$F204))*((BULK_SKU="ALL")+(BULK_SKU=$G204))*(BULK_START&lt;=4)*(BULK_END&gt;=4)))),0),ROUND((INDEX(VELOCITY_TABLE,MATCH($F204,TIER_LIST,0),2))*(IF((4-$I204+1)&lt;=0,0,IF((4-$I204+1)=1,RAMP_W1,IF((4-$I204+1)=2,RAMP_W2,IF((4-$I204+1)=3,RAMP_W3,RAMP_W4PLUS)))))*(INDEX(ACTIVE_MULT_TABLE,2,1))*(1+SUMPRODUCT(SIGN(((ACT_DOOR_SCOPE="ALL")+(ACT_DOOR_SCOPE="TIER_"&amp;$F204)+(ACT_DOOR_SCOPE=$B204)))*SIGN(((ACT_SKU_SCOPE="ALL")+(ACT_SKU_SCOPE=$G204)))*(ACT_START&lt;=4)*(ACT_END&gt;=4)*IFERROR(ACT_UPLIFT-1,0)))*(1+SUMPRODUCT(SIGN(((ACT_DOOR_SCOPE="ALL")+(ACT_DOOR_SCOPE="TIER_"&amp;$F204)+(ACT_DOOR_SCOPE=$B204)))*SIGN(((ACT_SKU_SCOPE="ALL")+(ACT_SKU_SCOPE=$G204)))*(4&gt;ACT_END)*(ACT_END&gt;0)*IFERROR(ACT_POSTLIFT,0))),0)))</f>
        <v/>
      </c>
      <c r="N204" s="10">
        <f>IF(OR($H204&lt;&gt;"Y",5&lt;$I204),0,IF(SUMPRODUCT(((BULK_ENABLED="Y")*((BULK_TIER="ALL")+(BULK_TIER=$F204))*((BULK_SKU="ALL")+(BULK_SKU=$G204))*(BULK_START&lt;=5)*(BULK_END&gt;=5)))&gt;0,IFERROR(SUMPRODUCT(((BULK_ENABLED="Y")*((BULK_TIER="ALL")+(BULK_TIER=$F204))*((BULK_SKU="ALL")+(BULK_SKU=$G204))*(BULK_START&lt;=5)*(BULK_END&gt;=5))*IFERROR(BULK_VALUE,0))/MAX(1,SUMPRODUCT(((BULK_ENABLED="Y")*((BULK_TIER="ALL")+(BULK_TIER=$F204))*((BULK_SKU="ALL")+(BULK_SKU=$G204))*(BULK_START&lt;=5)*(BULK_END&gt;=5)))),0),ROUND((INDEX(VELOCITY_TABLE,MATCH($F204,TIER_LIST,0),2))*(IF((5-$I204+1)&lt;=0,0,IF((5-$I204+1)=1,RAMP_W1,IF((5-$I204+1)=2,RAMP_W2,IF((5-$I204+1)=3,RAMP_W3,RAMP_W4PLUS)))))*(INDEX(ACTIVE_MULT_TABLE,2,1))*(1+SUMPRODUCT(SIGN(((ACT_DOOR_SCOPE="ALL")+(ACT_DOOR_SCOPE="TIER_"&amp;$F204)+(ACT_DOOR_SCOPE=$B204)))*SIGN(((ACT_SKU_SCOPE="ALL")+(ACT_SKU_SCOPE=$G204)))*(ACT_START&lt;=5)*(ACT_END&gt;=5)*IFERROR(ACT_UPLIFT-1,0)))*(1+SUMPRODUCT(SIGN(((ACT_DOOR_SCOPE="ALL")+(ACT_DOOR_SCOPE="TIER_"&amp;$F204)+(ACT_DOOR_SCOPE=$B204)))*SIGN(((ACT_SKU_SCOPE="ALL")+(ACT_SKU_SCOPE=$G204)))*(5&gt;ACT_END)*(ACT_END&gt;0)*IFERROR(ACT_POSTLIFT,0))),0)))</f>
        <v/>
      </c>
      <c r="O204" s="10">
        <f>IF(OR($H204&lt;&gt;"Y",6&lt;$I204),0,IF(SUMPRODUCT(((BULK_ENABLED="Y")*((BULK_TIER="ALL")+(BULK_TIER=$F204))*((BULK_SKU="ALL")+(BULK_SKU=$G204))*(BULK_START&lt;=6)*(BULK_END&gt;=6)))&gt;0,IFERROR(SUMPRODUCT(((BULK_ENABLED="Y")*((BULK_TIER="ALL")+(BULK_TIER=$F204))*((BULK_SKU="ALL")+(BULK_SKU=$G204))*(BULK_START&lt;=6)*(BULK_END&gt;=6))*IFERROR(BULK_VALUE,0))/MAX(1,SUMPRODUCT(((BULK_ENABLED="Y")*((BULK_TIER="ALL")+(BULK_TIER=$F204))*((BULK_SKU="ALL")+(BULK_SKU=$G204))*(BULK_START&lt;=6)*(BULK_END&gt;=6)))),0),ROUND((INDEX(VELOCITY_TABLE,MATCH($F204,TIER_LIST,0),2))*(IF((6-$I204+1)&lt;=0,0,IF((6-$I204+1)=1,RAMP_W1,IF((6-$I204+1)=2,RAMP_W2,IF((6-$I204+1)=3,RAMP_W3,RAMP_W4PLUS)))))*(INDEX(ACTIVE_MULT_TABLE,2,1))*(1+SUMPRODUCT(SIGN(((ACT_DOOR_SCOPE="ALL")+(ACT_DOOR_SCOPE="TIER_"&amp;$F204)+(ACT_DOOR_SCOPE=$B204)))*SIGN(((ACT_SKU_SCOPE="ALL")+(ACT_SKU_SCOPE=$G204)))*(ACT_START&lt;=6)*(ACT_END&gt;=6)*IFERROR(ACT_UPLIFT-1,0)))*(1+SUMPRODUCT(SIGN(((ACT_DOOR_SCOPE="ALL")+(ACT_DOOR_SCOPE="TIER_"&amp;$F204)+(ACT_DOOR_SCOPE=$B204)))*SIGN(((ACT_SKU_SCOPE="ALL")+(ACT_SKU_SCOPE=$G204)))*(6&gt;ACT_END)*(ACT_END&gt;0)*IFERROR(ACT_POSTLIFT,0))),0)))</f>
        <v/>
      </c>
      <c r="P204" s="10">
        <f>IF(OR($H204&lt;&gt;"Y",7&lt;$I204),0,IF(SUMPRODUCT(((BULK_ENABLED="Y")*((BULK_TIER="ALL")+(BULK_TIER=$F204))*((BULK_SKU="ALL")+(BULK_SKU=$G204))*(BULK_START&lt;=7)*(BULK_END&gt;=7)))&gt;0,IFERROR(SUMPRODUCT(((BULK_ENABLED="Y")*((BULK_TIER="ALL")+(BULK_TIER=$F204))*((BULK_SKU="ALL")+(BULK_SKU=$G204))*(BULK_START&lt;=7)*(BULK_END&gt;=7))*IFERROR(BULK_VALUE,0))/MAX(1,SUMPRODUCT(((BULK_ENABLED="Y")*((BULK_TIER="ALL")+(BULK_TIER=$F204))*((BULK_SKU="ALL")+(BULK_SKU=$G204))*(BULK_START&lt;=7)*(BULK_END&gt;=7)))),0),ROUND((INDEX(VELOCITY_TABLE,MATCH($F204,TIER_LIST,0),2))*(IF((7-$I204+1)&lt;=0,0,IF((7-$I204+1)=1,RAMP_W1,IF((7-$I204+1)=2,RAMP_W2,IF((7-$I204+1)=3,RAMP_W3,RAMP_W4PLUS)))))*(INDEX(ACTIVE_MULT_TABLE,2,1))*(1+SUMPRODUCT(SIGN(((ACT_DOOR_SCOPE="ALL")+(ACT_DOOR_SCOPE="TIER_"&amp;$F204)+(ACT_DOOR_SCOPE=$B204)))*SIGN(((ACT_SKU_SCOPE="ALL")+(ACT_SKU_SCOPE=$G204)))*(ACT_START&lt;=7)*(ACT_END&gt;=7)*IFERROR(ACT_UPLIFT-1,0)))*(1+SUMPRODUCT(SIGN(((ACT_DOOR_SCOPE="ALL")+(ACT_DOOR_SCOPE="TIER_"&amp;$F204)+(ACT_DOOR_SCOPE=$B204)))*SIGN(((ACT_SKU_SCOPE="ALL")+(ACT_SKU_SCOPE=$G204)))*(7&gt;ACT_END)*(ACT_END&gt;0)*IFERROR(ACT_POSTLIFT,0))),0)))</f>
        <v/>
      </c>
      <c r="Q204" s="10">
        <f>IF(OR($H204&lt;&gt;"Y",8&lt;$I204),0,IF(SUMPRODUCT(((BULK_ENABLED="Y")*((BULK_TIER="ALL")+(BULK_TIER=$F204))*((BULK_SKU="ALL")+(BULK_SKU=$G204))*(BULK_START&lt;=8)*(BULK_END&gt;=8)))&gt;0,IFERROR(SUMPRODUCT(((BULK_ENABLED="Y")*((BULK_TIER="ALL")+(BULK_TIER=$F204))*((BULK_SKU="ALL")+(BULK_SKU=$G204))*(BULK_START&lt;=8)*(BULK_END&gt;=8))*IFERROR(BULK_VALUE,0))/MAX(1,SUMPRODUCT(((BULK_ENABLED="Y")*((BULK_TIER="ALL")+(BULK_TIER=$F204))*((BULK_SKU="ALL")+(BULK_SKU=$G204))*(BULK_START&lt;=8)*(BULK_END&gt;=8)))),0),ROUND((INDEX(VELOCITY_TABLE,MATCH($F204,TIER_LIST,0),2))*(IF((8-$I204+1)&lt;=0,0,IF((8-$I204+1)=1,RAMP_W1,IF((8-$I204+1)=2,RAMP_W2,IF((8-$I204+1)=3,RAMP_W3,RAMP_W4PLUS)))))*(INDEX(ACTIVE_MULT_TABLE,2,1))*(1+SUMPRODUCT(SIGN(((ACT_DOOR_SCOPE="ALL")+(ACT_DOOR_SCOPE="TIER_"&amp;$F204)+(ACT_DOOR_SCOPE=$B204)))*SIGN(((ACT_SKU_SCOPE="ALL")+(ACT_SKU_SCOPE=$G204)))*(ACT_START&lt;=8)*(ACT_END&gt;=8)*IFERROR(ACT_UPLIFT-1,0)))*(1+SUMPRODUCT(SIGN(((ACT_DOOR_SCOPE="ALL")+(ACT_DOOR_SCOPE="TIER_"&amp;$F204)+(ACT_DOOR_SCOPE=$B204)))*SIGN(((ACT_SKU_SCOPE="ALL")+(ACT_SKU_SCOPE=$G204)))*(8&gt;ACT_END)*(ACT_END&gt;0)*IFERROR(ACT_POSTLIFT,0))),0)))</f>
        <v/>
      </c>
      <c r="R204" s="10">
        <f>IF(OR($H204&lt;&gt;"Y",9&lt;$I204),0,IF(SUMPRODUCT(((BULK_ENABLED="Y")*((BULK_TIER="ALL")+(BULK_TIER=$F204))*((BULK_SKU="ALL")+(BULK_SKU=$G204))*(BULK_START&lt;=9)*(BULK_END&gt;=9)))&gt;0,IFERROR(SUMPRODUCT(((BULK_ENABLED="Y")*((BULK_TIER="ALL")+(BULK_TIER=$F204))*((BULK_SKU="ALL")+(BULK_SKU=$G204))*(BULK_START&lt;=9)*(BULK_END&gt;=9))*IFERROR(BULK_VALUE,0))/MAX(1,SUMPRODUCT(((BULK_ENABLED="Y")*((BULK_TIER="ALL")+(BULK_TIER=$F204))*((BULK_SKU="ALL")+(BULK_SKU=$G204))*(BULK_START&lt;=9)*(BULK_END&gt;=9)))),0),ROUND((INDEX(VELOCITY_TABLE,MATCH($F204,TIER_LIST,0),2))*(IF((9-$I204+1)&lt;=0,0,IF((9-$I204+1)=1,RAMP_W1,IF((9-$I204+1)=2,RAMP_W2,IF((9-$I204+1)=3,RAMP_W3,RAMP_W4PLUS)))))*(INDEX(ACTIVE_MULT_TABLE,2,1))*(1+SUMPRODUCT(SIGN(((ACT_DOOR_SCOPE="ALL")+(ACT_DOOR_SCOPE="TIER_"&amp;$F204)+(ACT_DOOR_SCOPE=$B204)))*SIGN(((ACT_SKU_SCOPE="ALL")+(ACT_SKU_SCOPE=$G204)))*(ACT_START&lt;=9)*(ACT_END&gt;=9)*IFERROR(ACT_UPLIFT-1,0)))*(1+SUMPRODUCT(SIGN(((ACT_DOOR_SCOPE="ALL")+(ACT_DOOR_SCOPE="TIER_"&amp;$F204)+(ACT_DOOR_SCOPE=$B204)))*SIGN(((ACT_SKU_SCOPE="ALL")+(ACT_SKU_SCOPE=$G204)))*(9&gt;ACT_END)*(ACT_END&gt;0)*IFERROR(ACT_POSTLIFT,0))),0)))</f>
        <v/>
      </c>
      <c r="S204" s="10">
        <f>IF(OR($H204&lt;&gt;"Y",10&lt;$I204),0,IF(SUMPRODUCT(((BULK_ENABLED="Y")*((BULK_TIER="ALL")+(BULK_TIER=$F204))*((BULK_SKU="ALL")+(BULK_SKU=$G204))*(BULK_START&lt;=10)*(BULK_END&gt;=10)))&gt;0,IFERROR(SUMPRODUCT(((BULK_ENABLED="Y")*((BULK_TIER="ALL")+(BULK_TIER=$F204))*((BULK_SKU="ALL")+(BULK_SKU=$G204))*(BULK_START&lt;=10)*(BULK_END&gt;=10))*IFERROR(BULK_VALUE,0))/MAX(1,SUMPRODUCT(((BULK_ENABLED="Y")*((BULK_TIER="ALL")+(BULK_TIER=$F204))*((BULK_SKU="ALL")+(BULK_SKU=$G204))*(BULK_START&lt;=10)*(BULK_END&gt;=10)))),0),ROUND((INDEX(VELOCITY_TABLE,MATCH($F204,TIER_LIST,0),2))*(IF((10-$I204+1)&lt;=0,0,IF((10-$I204+1)=1,RAMP_W1,IF((10-$I204+1)=2,RAMP_W2,IF((10-$I204+1)=3,RAMP_W3,RAMP_W4PLUS)))))*(INDEX(ACTIVE_MULT_TABLE,2,1))*(1+SUMPRODUCT(SIGN(((ACT_DOOR_SCOPE="ALL")+(ACT_DOOR_SCOPE="TIER_"&amp;$F204)+(ACT_DOOR_SCOPE=$B204)))*SIGN(((ACT_SKU_SCOPE="ALL")+(ACT_SKU_SCOPE=$G204)))*(ACT_START&lt;=10)*(ACT_END&gt;=10)*IFERROR(ACT_UPLIFT-1,0)))*(1+SUMPRODUCT(SIGN(((ACT_DOOR_SCOPE="ALL")+(ACT_DOOR_SCOPE="TIER_"&amp;$F204)+(ACT_DOOR_SCOPE=$B204)))*SIGN(((ACT_SKU_SCOPE="ALL")+(ACT_SKU_SCOPE=$G204)))*(10&gt;ACT_END)*(ACT_END&gt;0)*IFERROR(ACT_POSTLIFT,0))),0)))</f>
        <v/>
      </c>
      <c r="T204" s="10">
        <f>IF(OR($H204&lt;&gt;"Y",11&lt;$I204),0,IF(SUMPRODUCT(((BULK_ENABLED="Y")*((BULK_TIER="ALL")+(BULK_TIER=$F204))*((BULK_SKU="ALL")+(BULK_SKU=$G204))*(BULK_START&lt;=11)*(BULK_END&gt;=11)))&gt;0,IFERROR(SUMPRODUCT(((BULK_ENABLED="Y")*((BULK_TIER="ALL")+(BULK_TIER=$F204))*((BULK_SKU="ALL")+(BULK_SKU=$G204))*(BULK_START&lt;=11)*(BULK_END&gt;=11))*IFERROR(BULK_VALUE,0))/MAX(1,SUMPRODUCT(((BULK_ENABLED="Y")*((BULK_TIER="ALL")+(BULK_TIER=$F204))*((BULK_SKU="ALL")+(BULK_SKU=$G204))*(BULK_START&lt;=11)*(BULK_END&gt;=11)))),0),ROUND((INDEX(VELOCITY_TABLE,MATCH($F204,TIER_LIST,0),2))*(IF((11-$I204+1)&lt;=0,0,IF((11-$I204+1)=1,RAMP_W1,IF((11-$I204+1)=2,RAMP_W2,IF((11-$I204+1)=3,RAMP_W3,RAMP_W4PLUS)))))*(INDEX(ACTIVE_MULT_TABLE,2,1))*(1+SUMPRODUCT(SIGN(((ACT_DOOR_SCOPE="ALL")+(ACT_DOOR_SCOPE="TIER_"&amp;$F204)+(ACT_DOOR_SCOPE=$B204)))*SIGN(((ACT_SKU_SCOPE="ALL")+(ACT_SKU_SCOPE=$G204)))*(ACT_START&lt;=11)*(ACT_END&gt;=11)*IFERROR(ACT_UPLIFT-1,0)))*(1+SUMPRODUCT(SIGN(((ACT_DOOR_SCOPE="ALL")+(ACT_DOOR_SCOPE="TIER_"&amp;$F204)+(ACT_DOOR_SCOPE=$B204)))*SIGN(((ACT_SKU_SCOPE="ALL")+(ACT_SKU_SCOPE=$G204)))*(11&gt;ACT_END)*(ACT_END&gt;0)*IFERROR(ACT_POSTLIFT,0))),0)))</f>
        <v/>
      </c>
      <c r="U204" s="10">
        <f>IF(OR($H204&lt;&gt;"Y",12&lt;$I204),0,IF(SUMPRODUCT(((BULK_ENABLED="Y")*((BULK_TIER="ALL")+(BULK_TIER=$F204))*((BULK_SKU="ALL")+(BULK_SKU=$G204))*(BULK_START&lt;=12)*(BULK_END&gt;=12)))&gt;0,IFERROR(SUMPRODUCT(((BULK_ENABLED="Y")*((BULK_TIER="ALL")+(BULK_TIER=$F204))*((BULK_SKU="ALL")+(BULK_SKU=$G204))*(BULK_START&lt;=12)*(BULK_END&gt;=12))*IFERROR(BULK_VALUE,0))/MAX(1,SUMPRODUCT(((BULK_ENABLED="Y")*((BULK_TIER="ALL")+(BULK_TIER=$F204))*((BULK_SKU="ALL")+(BULK_SKU=$G204))*(BULK_START&lt;=12)*(BULK_END&gt;=12)))),0),ROUND((INDEX(VELOCITY_TABLE,MATCH($F204,TIER_LIST,0),2))*(IF((12-$I204+1)&lt;=0,0,IF((12-$I204+1)=1,RAMP_W1,IF((12-$I204+1)=2,RAMP_W2,IF((12-$I204+1)=3,RAMP_W3,RAMP_W4PLUS)))))*(INDEX(ACTIVE_MULT_TABLE,2,1))*(1+SUMPRODUCT(SIGN(((ACT_DOOR_SCOPE="ALL")+(ACT_DOOR_SCOPE="TIER_"&amp;$F204)+(ACT_DOOR_SCOPE=$B204)))*SIGN(((ACT_SKU_SCOPE="ALL")+(ACT_SKU_SCOPE=$G204)))*(ACT_START&lt;=12)*(ACT_END&gt;=12)*IFERROR(ACT_UPLIFT-1,0)))*(1+SUMPRODUCT(SIGN(((ACT_DOOR_SCOPE="ALL")+(ACT_DOOR_SCOPE="TIER_"&amp;$F204)+(ACT_DOOR_SCOPE=$B204)))*SIGN(((ACT_SKU_SCOPE="ALL")+(ACT_SKU_SCOPE=$G204)))*(12&gt;ACT_END)*(ACT_END&gt;0)*IFERROR(ACT_POSTLIFT,0))),0)))</f>
        <v/>
      </c>
      <c r="V204" s="10">
        <f>IF(OR($H204&lt;&gt;"Y",13&lt;$I204),0,IF(SUMPRODUCT(((BULK_ENABLED="Y")*((BULK_TIER="ALL")+(BULK_TIER=$F204))*((BULK_SKU="ALL")+(BULK_SKU=$G204))*(BULK_START&lt;=13)*(BULK_END&gt;=13)))&gt;0,IFERROR(SUMPRODUCT(((BULK_ENABLED="Y")*((BULK_TIER="ALL")+(BULK_TIER=$F204))*((BULK_SKU="ALL")+(BULK_SKU=$G204))*(BULK_START&lt;=13)*(BULK_END&gt;=13))*IFERROR(BULK_VALUE,0))/MAX(1,SUMPRODUCT(((BULK_ENABLED="Y")*((BULK_TIER="ALL")+(BULK_TIER=$F204))*((BULK_SKU="ALL")+(BULK_SKU=$G204))*(BULK_START&lt;=13)*(BULK_END&gt;=13)))),0),ROUND((INDEX(VELOCITY_TABLE,MATCH($F204,TIER_LIST,0),2))*(IF((13-$I204+1)&lt;=0,0,IF((13-$I204+1)=1,RAMP_W1,IF((13-$I204+1)=2,RAMP_W2,IF((13-$I204+1)=3,RAMP_W3,RAMP_W4PLUS)))))*(INDEX(ACTIVE_MULT_TABLE,2,1))*(1+SUMPRODUCT(SIGN(((ACT_DOOR_SCOPE="ALL")+(ACT_DOOR_SCOPE="TIER_"&amp;$F204)+(ACT_DOOR_SCOPE=$B204)))*SIGN(((ACT_SKU_SCOPE="ALL")+(ACT_SKU_SCOPE=$G204)))*(ACT_START&lt;=13)*(ACT_END&gt;=13)*IFERROR(ACT_UPLIFT-1,0)))*(1+SUMPRODUCT(SIGN(((ACT_DOOR_SCOPE="ALL")+(ACT_DOOR_SCOPE="TIER_"&amp;$F204)+(ACT_DOOR_SCOPE=$B204)))*SIGN(((ACT_SKU_SCOPE="ALL")+(ACT_SKU_SCOPE=$G204)))*(13&gt;ACT_END)*(ACT_END&gt;0)*IFERROR(ACT_POSTLIFT,0))),0)))</f>
        <v/>
      </c>
    </row>
    <row r="205">
      <c r="A205" t="inlineStr">
        <is>
          <t>R0201</t>
        </is>
      </c>
      <c r="B205">
        <f>Doors!$A$71</f>
        <v/>
      </c>
      <c r="C205">
        <f>Doors!$C$71</f>
        <v/>
      </c>
      <c r="D205">
        <f>Doors!$B$71</f>
        <v/>
      </c>
      <c r="E205">
        <f>Doors!$E$71</f>
        <v/>
      </c>
      <c r="F205">
        <f>Doors!$F$71</f>
        <v/>
      </c>
      <c r="G205" t="inlineStr">
        <is>
          <t>Raspberry</t>
        </is>
      </c>
      <c r="H205">
        <f>Doors!$I$71</f>
        <v/>
      </c>
      <c r="I205">
        <f>Doors!$J$71</f>
        <v/>
      </c>
      <c r="J205" s="10">
        <f>IF(OR($H205&lt;&gt;"Y",1&lt;$I205),0,IF(SUMPRODUCT(((BULK_ENABLED="Y")*((BULK_TIER="ALL")+(BULK_TIER=$F205))*((BULK_SKU="ALL")+(BULK_SKU=$G205))*(BULK_START&lt;=1)*(BULK_END&gt;=1)))&gt;0,IFERROR(SUMPRODUCT(((BULK_ENABLED="Y")*((BULK_TIER="ALL")+(BULK_TIER=$F205))*((BULK_SKU="ALL")+(BULK_SKU=$G205))*(BULK_START&lt;=1)*(BULK_END&gt;=1))*IFERROR(BULK_VALUE,0))/MAX(1,SUMPRODUCT(((BULK_ENABLED="Y")*((BULK_TIER="ALL")+(BULK_TIER=$F205))*((BULK_SKU="ALL")+(BULK_SKU=$G205))*(BULK_START&lt;=1)*(BULK_END&gt;=1)))),0),ROUND((INDEX(VELOCITY_TABLE,MATCH($F205,TIER_LIST,0),3))*(IF((1-$I205+1)&lt;=0,0,IF((1-$I205+1)=1,RAMP_W1,IF((1-$I205+1)=2,RAMP_W2,IF((1-$I205+1)=3,RAMP_W3,RAMP_W4PLUS)))))*(INDEX(ACTIVE_MULT_TABLE,3,1))*(1+SUMPRODUCT(SIGN(((ACT_DOOR_SCOPE="ALL")+(ACT_DOOR_SCOPE="TIER_"&amp;$F205)+(ACT_DOOR_SCOPE=$B205)))*SIGN(((ACT_SKU_SCOPE="ALL")+(ACT_SKU_SCOPE=$G205)))*(ACT_START&lt;=1)*(ACT_END&gt;=1)*IFERROR(ACT_UPLIFT-1,0)))*(1+SUMPRODUCT(SIGN(((ACT_DOOR_SCOPE="ALL")+(ACT_DOOR_SCOPE="TIER_"&amp;$F205)+(ACT_DOOR_SCOPE=$B205)))*SIGN(((ACT_SKU_SCOPE="ALL")+(ACT_SKU_SCOPE=$G205)))*(1&gt;ACT_END)*(ACT_END&gt;0)*IFERROR(ACT_POSTLIFT,0))),0)))</f>
        <v/>
      </c>
      <c r="K205" s="10">
        <f>IF(OR($H205&lt;&gt;"Y",2&lt;$I205),0,IF(SUMPRODUCT(((BULK_ENABLED="Y")*((BULK_TIER="ALL")+(BULK_TIER=$F205))*((BULK_SKU="ALL")+(BULK_SKU=$G205))*(BULK_START&lt;=2)*(BULK_END&gt;=2)))&gt;0,IFERROR(SUMPRODUCT(((BULK_ENABLED="Y")*((BULK_TIER="ALL")+(BULK_TIER=$F205))*((BULK_SKU="ALL")+(BULK_SKU=$G205))*(BULK_START&lt;=2)*(BULK_END&gt;=2))*IFERROR(BULK_VALUE,0))/MAX(1,SUMPRODUCT(((BULK_ENABLED="Y")*((BULK_TIER="ALL")+(BULK_TIER=$F205))*((BULK_SKU="ALL")+(BULK_SKU=$G205))*(BULK_START&lt;=2)*(BULK_END&gt;=2)))),0),ROUND((INDEX(VELOCITY_TABLE,MATCH($F205,TIER_LIST,0),3))*(IF((2-$I205+1)&lt;=0,0,IF((2-$I205+1)=1,RAMP_W1,IF((2-$I205+1)=2,RAMP_W2,IF((2-$I205+1)=3,RAMP_W3,RAMP_W4PLUS)))))*(INDEX(ACTIVE_MULT_TABLE,3,1))*(1+SUMPRODUCT(SIGN(((ACT_DOOR_SCOPE="ALL")+(ACT_DOOR_SCOPE="TIER_"&amp;$F205)+(ACT_DOOR_SCOPE=$B205)))*SIGN(((ACT_SKU_SCOPE="ALL")+(ACT_SKU_SCOPE=$G205)))*(ACT_START&lt;=2)*(ACT_END&gt;=2)*IFERROR(ACT_UPLIFT-1,0)))*(1+SUMPRODUCT(SIGN(((ACT_DOOR_SCOPE="ALL")+(ACT_DOOR_SCOPE="TIER_"&amp;$F205)+(ACT_DOOR_SCOPE=$B205)))*SIGN(((ACT_SKU_SCOPE="ALL")+(ACT_SKU_SCOPE=$G205)))*(2&gt;ACT_END)*(ACT_END&gt;0)*IFERROR(ACT_POSTLIFT,0))),0)))</f>
        <v/>
      </c>
      <c r="L205" s="10">
        <f>IF(OR($H205&lt;&gt;"Y",3&lt;$I205),0,IF(SUMPRODUCT(((BULK_ENABLED="Y")*((BULK_TIER="ALL")+(BULK_TIER=$F205))*((BULK_SKU="ALL")+(BULK_SKU=$G205))*(BULK_START&lt;=3)*(BULK_END&gt;=3)))&gt;0,IFERROR(SUMPRODUCT(((BULK_ENABLED="Y")*((BULK_TIER="ALL")+(BULK_TIER=$F205))*((BULK_SKU="ALL")+(BULK_SKU=$G205))*(BULK_START&lt;=3)*(BULK_END&gt;=3))*IFERROR(BULK_VALUE,0))/MAX(1,SUMPRODUCT(((BULK_ENABLED="Y")*((BULK_TIER="ALL")+(BULK_TIER=$F205))*((BULK_SKU="ALL")+(BULK_SKU=$G205))*(BULK_START&lt;=3)*(BULK_END&gt;=3)))),0),ROUND((INDEX(VELOCITY_TABLE,MATCH($F205,TIER_LIST,0),3))*(IF((3-$I205+1)&lt;=0,0,IF((3-$I205+1)=1,RAMP_W1,IF((3-$I205+1)=2,RAMP_W2,IF((3-$I205+1)=3,RAMP_W3,RAMP_W4PLUS)))))*(INDEX(ACTIVE_MULT_TABLE,3,1))*(1+SUMPRODUCT(SIGN(((ACT_DOOR_SCOPE="ALL")+(ACT_DOOR_SCOPE="TIER_"&amp;$F205)+(ACT_DOOR_SCOPE=$B205)))*SIGN(((ACT_SKU_SCOPE="ALL")+(ACT_SKU_SCOPE=$G205)))*(ACT_START&lt;=3)*(ACT_END&gt;=3)*IFERROR(ACT_UPLIFT-1,0)))*(1+SUMPRODUCT(SIGN(((ACT_DOOR_SCOPE="ALL")+(ACT_DOOR_SCOPE="TIER_"&amp;$F205)+(ACT_DOOR_SCOPE=$B205)))*SIGN(((ACT_SKU_SCOPE="ALL")+(ACT_SKU_SCOPE=$G205)))*(3&gt;ACT_END)*(ACT_END&gt;0)*IFERROR(ACT_POSTLIFT,0))),0)))</f>
        <v/>
      </c>
      <c r="M205" s="10">
        <f>IF(OR($H205&lt;&gt;"Y",4&lt;$I205),0,IF(SUMPRODUCT(((BULK_ENABLED="Y")*((BULK_TIER="ALL")+(BULK_TIER=$F205))*((BULK_SKU="ALL")+(BULK_SKU=$G205))*(BULK_START&lt;=4)*(BULK_END&gt;=4)))&gt;0,IFERROR(SUMPRODUCT(((BULK_ENABLED="Y")*((BULK_TIER="ALL")+(BULK_TIER=$F205))*((BULK_SKU="ALL")+(BULK_SKU=$G205))*(BULK_START&lt;=4)*(BULK_END&gt;=4))*IFERROR(BULK_VALUE,0))/MAX(1,SUMPRODUCT(((BULK_ENABLED="Y")*((BULK_TIER="ALL")+(BULK_TIER=$F205))*((BULK_SKU="ALL")+(BULK_SKU=$G205))*(BULK_START&lt;=4)*(BULK_END&gt;=4)))),0),ROUND((INDEX(VELOCITY_TABLE,MATCH($F205,TIER_LIST,0),3))*(IF((4-$I205+1)&lt;=0,0,IF((4-$I205+1)=1,RAMP_W1,IF((4-$I205+1)=2,RAMP_W2,IF((4-$I205+1)=3,RAMP_W3,RAMP_W4PLUS)))))*(INDEX(ACTIVE_MULT_TABLE,3,1))*(1+SUMPRODUCT(SIGN(((ACT_DOOR_SCOPE="ALL")+(ACT_DOOR_SCOPE="TIER_"&amp;$F205)+(ACT_DOOR_SCOPE=$B205)))*SIGN(((ACT_SKU_SCOPE="ALL")+(ACT_SKU_SCOPE=$G205)))*(ACT_START&lt;=4)*(ACT_END&gt;=4)*IFERROR(ACT_UPLIFT-1,0)))*(1+SUMPRODUCT(SIGN(((ACT_DOOR_SCOPE="ALL")+(ACT_DOOR_SCOPE="TIER_"&amp;$F205)+(ACT_DOOR_SCOPE=$B205)))*SIGN(((ACT_SKU_SCOPE="ALL")+(ACT_SKU_SCOPE=$G205)))*(4&gt;ACT_END)*(ACT_END&gt;0)*IFERROR(ACT_POSTLIFT,0))),0)))</f>
        <v/>
      </c>
      <c r="N205" s="10">
        <f>IF(OR($H205&lt;&gt;"Y",5&lt;$I205),0,IF(SUMPRODUCT(((BULK_ENABLED="Y")*((BULK_TIER="ALL")+(BULK_TIER=$F205))*((BULK_SKU="ALL")+(BULK_SKU=$G205))*(BULK_START&lt;=5)*(BULK_END&gt;=5)))&gt;0,IFERROR(SUMPRODUCT(((BULK_ENABLED="Y")*((BULK_TIER="ALL")+(BULK_TIER=$F205))*((BULK_SKU="ALL")+(BULK_SKU=$G205))*(BULK_START&lt;=5)*(BULK_END&gt;=5))*IFERROR(BULK_VALUE,0))/MAX(1,SUMPRODUCT(((BULK_ENABLED="Y")*((BULK_TIER="ALL")+(BULK_TIER=$F205))*((BULK_SKU="ALL")+(BULK_SKU=$G205))*(BULK_START&lt;=5)*(BULK_END&gt;=5)))),0),ROUND((INDEX(VELOCITY_TABLE,MATCH($F205,TIER_LIST,0),3))*(IF((5-$I205+1)&lt;=0,0,IF((5-$I205+1)=1,RAMP_W1,IF((5-$I205+1)=2,RAMP_W2,IF((5-$I205+1)=3,RAMP_W3,RAMP_W4PLUS)))))*(INDEX(ACTIVE_MULT_TABLE,3,1))*(1+SUMPRODUCT(SIGN(((ACT_DOOR_SCOPE="ALL")+(ACT_DOOR_SCOPE="TIER_"&amp;$F205)+(ACT_DOOR_SCOPE=$B205)))*SIGN(((ACT_SKU_SCOPE="ALL")+(ACT_SKU_SCOPE=$G205)))*(ACT_START&lt;=5)*(ACT_END&gt;=5)*IFERROR(ACT_UPLIFT-1,0)))*(1+SUMPRODUCT(SIGN(((ACT_DOOR_SCOPE="ALL")+(ACT_DOOR_SCOPE="TIER_"&amp;$F205)+(ACT_DOOR_SCOPE=$B205)))*SIGN(((ACT_SKU_SCOPE="ALL")+(ACT_SKU_SCOPE=$G205)))*(5&gt;ACT_END)*(ACT_END&gt;0)*IFERROR(ACT_POSTLIFT,0))),0)))</f>
        <v/>
      </c>
      <c r="O205" s="10">
        <f>IF(OR($H205&lt;&gt;"Y",6&lt;$I205),0,IF(SUMPRODUCT(((BULK_ENABLED="Y")*((BULK_TIER="ALL")+(BULK_TIER=$F205))*((BULK_SKU="ALL")+(BULK_SKU=$G205))*(BULK_START&lt;=6)*(BULK_END&gt;=6)))&gt;0,IFERROR(SUMPRODUCT(((BULK_ENABLED="Y")*((BULK_TIER="ALL")+(BULK_TIER=$F205))*((BULK_SKU="ALL")+(BULK_SKU=$G205))*(BULK_START&lt;=6)*(BULK_END&gt;=6))*IFERROR(BULK_VALUE,0))/MAX(1,SUMPRODUCT(((BULK_ENABLED="Y")*((BULK_TIER="ALL")+(BULK_TIER=$F205))*((BULK_SKU="ALL")+(BULK_SKU=$G205))*(BULK_START&lt;=6)*(BULK_END&gt;=6)))),0),ROUND((INDEX(VELOCITY_TABLE,MATCH($F205,TIER_LIST,0),3))*(IF((6-$I205+1)&lt;=0,0,IF((6-$I205+1)=1,RAMP_W1,IF((6-$I205+1)=2,RAMP_W2,IF((6-$I205+1)=3,RAMP_W3,RAMP_W4PLUS)))))*(INDEX(ACTIVE_MULT_TABLE,3,1))*(1+SUMPRODUCT(SIGN(((ACT_DOOR_SCOPE="ALL")+(ACT_DOOR_SCOPE="TIER_"&amp;$F205)+(ACT_DOOR_SCOPE=$B205)))*SIGN(((ACT_SKU_SCOPE="ALL")+(ACT_SKU_SCOPE=$G205)))*(ACT_START&lt;=6)*(ACT_END&gt;=6)*IFERROR(ACT_UPLIFT-1,0)))*(1+SUMPRODUCT(SIGN(((ACT_DOOR_SCOPE="ALL")+(ACT_DOOR_SCOPE="TIER_"&amp;$F205)+(ACT_DOOR_SCOPE=$B205)))*SIGN(((ACT_SKU_SCOPE="ALL")+(ACT_SKU_SCOPE=$G205)))*(6&gt;ACT_END)*(ACT_END&gt;0)*IFERROR(ACT_POSTLIFT,0))),0)))</f>
        <v/>
      </c>
      <c r="P205" s="10">
        <f>IF(OR($H205&lt;&gt;"Y",7&lt;$I205),0,IF(SUMPRODUCT(((BULK_ENABLED="Y")*((BULK_TIER="ALL")+(BULK_TIER=$F205))*((BULK_SKU="ALL")+(BULK_SKU=$G205))*(BULK_START&lt;=7)*(BULK_END&gt;=7)))&gt;0,IFERROR(SUMPRODUCT(((BULK_ENABLED="Y")*((BULK_TIER="ALL")+(BULK_TIER=$F205))*((BULK_SKU="ALL")+(BULK_SKU=$G205))*(BULK_START&lt;=7)*(BULK_END&gt;=7))*IFERROR(BULK_VALUE,0))/MAX(1,SUMPRODUCT(((BULK_ENABLED="Y")*((BULK_TIER="ALL")+(BULK_TIER=$F205))*((BULK_SKU="ALL")+(BULK_SKU=$G205))*(BULK_START&lt;=7)*(BULK_END&gt;=7)))),0),ROUND((INDEX(VELOCITY_TABLE,MATCH($F205,TIER_LIST,0),3))*(IF((7-$I205+1)&lt;=0,0,IF((7-$I205+1)=1,RAMP_W1,IF((7-$I205+1)=2,RAMP_W2,IF((7-$I205+1)=3,RAMP_W3,RAMP_W4PLUS)))))*(INDEX(ACTIVE_MULT_TABLE,3,1))*(1+SUMPRODUCT(SIGN(((ACT_DOOR_SCOPE="ALL")+(ACT_DOOR_SCOPE="TIER_"&amp;$F205)+(ACT_DOOR_SCOPE=$B205)))*SIGN(((ACT_SKU_SCOPE="ALL")+(ACT_SKU_SCOPE=$G205)))*(ACT_START&lt;=7)*(ACT_END&gt;=7)*IFERROR(ACT_UPLIFT-1,0)))*(1+SUMPRODUCT(SIGN(((ACT_DOOR_SCOPE="ALL")+(ACT_DOOR_SCOPE="TIER_"&amp;$F205)+(ACT_DOOR_SCOPE=$B205)))*SIGN(((ACT_SKU_SCOPE="ALL")+(ACT_SKU_SCOPE=$G205)))*(7&gt;ACT_END)*(ACT_END&gt;0)*IFERROR(ACT_POSTLIFT,0))),0)))</f>
        <v/>
      </c>
      <c r="Q205" s="10">
        <f>IF(OR($H205&lt;&gt;"Y",8&lt;$I205),0,IF(SUMPRODUCT(((BULK_ENABLED="Y")*((BULK_TIER="ALL")+(BULK_TIER=$F205))*((BULK_SKU="ALL")+(BULK_SKU=$G205))*(BULK_START&lt;=8)*(BULK_END&gt;=8)))&gt;0,IFERROR(SUMPRODUCT(((BULK_ENABLED="Y")*((BULK_TIER="ALL")+(BULK_TIER=$F205))*((BULK_SKU="ALL")+(BULK_SKU=$G205))*(BULK_START&lt;=8)*(BULK_END&gt;=8))*IFERROR(BULK_VALUE,0))/MAX(1,SUMPRODUCT(((BULK_ENABLED="Y")*((BULK_TIER="ALL")+(BULK_TIER=$F205))*((BULK_SKU="ALL")+(BULK_SKU=$G205))*(BULK_START&lt;=8)*(BULK_END&gt;=8)))),0),ROUND((INDEX(VELOCITY_TABLE,MATCH($F205,TIER_LIST,0),3))*(IF((8-$I205+1)&lt;=0,0,IF((8-$I205+1)=1,RAMP_W1,IF((8-$I205+1)=2,RAMP_W2,IF((8-$I205+1)=3,RAMP_W3,RAMP_W4PLUS)))))*(INDEX(ACTIVE_MULT_TABLE,3,1))*(1+SUMPRODUCT(SIGN(((ACT_DOOR_SCOPE="ALL")+(ACT_DOOR_SCOPE="TIER_"&amp;$F205)+(ACT_DOOR_SCOPE=$B205)))*SIGN(((ACT_SKU_SCOPE="ALL")+(ACT_SKU_SCOPE=$G205)))*(ACT_START&lt;=8)*(ACT_END&gt;=8)*IFERROR(ACT_UPLIFT-1,0)))*(1+SUMPRODUCT(SIGN(((ACT_DOOR_SCOPE="ALL")+(ACT_DOOR_SCOPE="TIER_"&amp;$F205)+(ACT_DOOR_SCOPE=$B205)))*SIGN(((ACT_SKU_SCOPE="ALL")+(ACT_SKU_SCOPE=$G205)))*(8&gt;ACT_END)*(ACT_END&gt;0)*IFERROR(ACT_POSTLIFT,0))),0)))</f>
        <v/>
      </c>
      <c r="R205" s="10">
        <f>IF(OR($H205&lt;&gt;"Y",9&lt;$I205),0,IF(SUMPRODUCT(((BULK_ENABLED="Y")*((BULK_TIER="ALL")+(BULK_TIER=$F205))*((BULK_SKU="ALL")+(BULK_SKU=$G205))*(BULK_START&lt;=9)*(BULK_END&gt;=9)))&gt;0,IFERROR(SUMPRODUCT(((BULK_ENABLED="Y")*((BULK_TIER="ALL")+(BULK_TIER=$F205))*((BULK_SKU="ALL")+(BULK_SKU=$G205))*(BULK_START&lt;=9)*(BULK_END&gt;=9))*IFERROR(BULK_VALUE,0))/MAX(1,SUMPRODUCT(((BULK_ENABLED="Y")*((BULK_TIER="ALL")+(BULK_TIER=$F205))*((BULK_SKU="ALL")+(BULK_SKU=$G205))*(BULK_START&lt;=9)*(BULK_END&gt;=9)))),0),ROUND((INDEX(VELOCITY_TABLE,MATCH($F205,TIER_LIST,0),3))*(IF((9-$I205+1)&lt;=0,0,IF((9-$I205+1)=1,RAMP_W1,IF((9-$I205+1)=2,RAMP_W2,IF((9-$I205+1)=3,RAMP_W3,RAMP_W4PLUS)))))*(INDEX(ACTIVE_MULT_TABLE,3,1))*(1+SUMPRODUCT(SIGN(((ACT_DOOR_SCOPE="ALL")+(ACT_DOOR_SCOPE="TIER_"&amp;$F205)+(ACT_DOOR_SCOPE=$B205)))*SIGN(((ACT_SKU_SCOPE="ALL")+(ACT_SKU_SCOPE=$G205)))*(ACT_START&lt;=9)*(ACT_END&gt;=9)*IFERROR(ACT_UPLIFT-1,0)))*(1+SUMPRODUCT(SIGN(((ACT_DOOR_SCOPE="ALL")+(ACT_DOOR_SCOPE="TIER_"&amp;$F205)+(ACT_DOOR_SCOPE=$B205)))*SIGN(((ACT_SKU_SCOPE="ALL")+(ACT_SKU_SCOPE=$G205)))*(9&gt;ACT_END)*(ACT_END&gt;0)*IFERROR(ACT_POSTLIFT,0))),0)))</f>
        <v/>
      </c>
      <c r="S205" s="10">
        <f>IF(OR($H205&lt;&gt;"Y",10&lt;$I205),0,IF(SUMPRODUCT(((BULK_ENABLED="Y")*((BULK_TIER="ALL")+(BULK_TIER=$F205))*((BULK_SKU="ALL")+(BULK_SKU=$G205))*(BULK_START&lt;=10)*(BULK_END&gt;=10)))&gt;0,IFERROR(SUMPRODUCT(((BULK_ENABLED="Y")*((BULK_TIER="ALL")+(BULK_TIER=$F205))*((BULK_SKU="ALL")+(BULK_SKU=$G205))*(BULK_START&lt;=10)*(BULK_END&gt;=10))*IFERROR(BULK_VALUE,0))/MAX(1,SUMPRODUCT(((BULK_ENABLED="Y")*((BULK_TIER="ALL")+(BULK_TIER=$F205))*((BULK_SKU="ALL")+(BULK_SKU=$G205))*(BULK_START&lt;=10)*(BULK_END&gt;=10)))),0),ROUND((INDEX(VELOCITY_TABLE,MATCH($F205,TIER_LIST,0),3))*(IF((10-$I205+1)&lt;=0,0,IF((10-$I205+1)=1,RAMP_W1,IF((10-$I205+1)=2,RAMP_W2,IF((10-$I205+1)=3,RAMP_W3,RAMP_W4PLUS)))))*(INDEX(ACTIVE_MULT_TABLE,3,1))*(1+SUMPRODUCT(SIGN(((ACT_DOOR_SCOPE="ALL")+(ACT_DOOR_SCOPE="TIER_"&amp;$F205)+(ACT_DOOR_SCOPE=$B205)))*SIGN(((ACT_SKU_SCOPE="ALL")+(ACT_SKU_SCOPE=$G205)))*(ACT_START&lt;=10)*(ACT_END&gt;=10)*IFERROR(ACT_UPLIFT-1,0)))*(1+SUMPRODUCT(SIGN(((ACT_DOOR_SCOPE="ALL")+(ACT_DOOR_SCOPE="TIER_"&amp;$F205)+(ACT_DOOR_SCOPE=$B205)))*SIGN(((ACT_SKU_SCOPE="ALL")+(ACT_SKU_SCOPE=$G205)))*(10&gt;ACT_END)*(ACT_END&gt;0)*IFERROR(ACT_POSTLIFT,0))),0)))</f>
        <v/>
      </c>
      <c r="T205" s="10">
        <f>IF(OR($H205&lt;&gt;"Y",11&lt;$I205),0,IF(SUMPRODUCT(((BULK_ENABLED="Y")*((BULK_TIER="ALL")+(BULK_TIER=$F205))*((BULK_SKU="ALL")+(BULK_SKU=$G205))*(BULK_START&lt;=11)*(BULK_END&gt;=11)))&gt;0,IFERROR(SUMPRODUCT(((BULK_ENABLED="Y")*((BULK_TIER="ALL")+(BULK_TIER=$F205))*((BULK_SKU="ALL")+(BULK_SKU=$G205))*(BULK_START&lt;=11)*(BULK_END&gt;=11))*IFERROR(BULK_VALUE,0))/MAX(1,SUMPRODUCT(((BULK_ENABLED="Y")*((BULK_TIER="ALL")+(BULK_TIER=$F205))*((BULK_SKU="ALL")+(BULK_SKU=$G205))*(BULK_START&lt;=11)*(BULK_END&gt;=11)))),0),ROUND((INDEX(VELOCITY_TABLE,MATCH($F205,TIER_LIST,0),3))*(IF((11-$I205+1)&lt;=0,0,IF((11-$I205+1)=1,RAMP_W1,IF((11-$I205+1)=2,RAMP_W2,IF((11-$I205+1)=3,RAMP_W3,RAMP_W4PLUS)))))*(INDEX(ACTIVE_MULT_TABLE,3,1))*(1+SUMPRODUCT(SIGN(((ACT_DOOR_SCOPE="ALL")+(ACT_DOOR_SCOPE="TIER_"&amp;$F205)+(ACT_DOOR_SCOPE=$B205)))*SIGN(((ACT_SKU_SCOPE="ALL")+(ACT_SKU_SCOPE=$G205)))*(ACT_START&lt;=11)*(ACT_END&gt;=11)*IFERROR(ACT_UPLIFT-1,0)))*(1+SUMPRODUCT(SIGN(((ACT_DOOR_SCOPE="ALL")+(ACT_DOOR_SCOPE="TIER_"&amp;$F205)+(ACT_DOOR_SCOPE=$B205)))*SIGN(((ACT_SKU_SCOPE="ALL")+(ACT_SKU_SCOPE=$G205)))*(11&gt;ACT_END)*(ACT_END&gt;0)*IFERROR(ACT_POSTLIFT,0))),0)))</f>
        <v/>
      </c>
      <c r="U205" s="10">
        <f>IF(OR($H205&lt;&gt;"Y",12&lt;$I205),0,IF(SUMPRODUCT(((BULK_ENABLED="Y")*((BULK_TIER="ALL")+(BULK_TIER=$F205))*((BULK_SKU="ALL")+(BULK_SKU=$G205))*(BULK_START&lt;=12)*(BULK_END&gt;=12)))&gt;0,IFERROR(SUMPRODUCT(((BULK_ENABLED="Y")*((BULK_TIER="ALL")+(BULK_TIER=$F205))*((BULK_SKU="ALL")+(BULK_SKU=$G205))*(BULK_START&lt;=12)*(BULK_END&gt;=12))*IFERROR(BULK_VALUE,0))/MAX(1,SUMPRODUCT(((BULK_ENABLED="Y")*((BULK_TIER="ALL")+(BULK_TIER=$F205))*((BULK_SKU="ALL")+(BULK_SKU=$G205))*(BULK_START&lt;=12)*(BULK_END&gt;=12)))),0),ROUND((INDEX(VELOCITY_TABLE,MATCH($F205,TIER_LIST,0),3))*(IF((12-$I205+1)&lt;=0,0,IF((12-$I205+1)=1,RAMP_W1,IF((12-$I205+1)=2,RAMP_W2,IF((12-$I205+1)=3,RAMP_W3,RAMP_W4PLUS)))))*(INDEX(ACTIVE_MULT_TABLE,3,1))*(1+SUMPRODUCT(SIGN(((ACT_DOOR_SCOPE="ALL")+(ACT_DOOR_SCOPE="TIER_"&amp;$F205)+(ACT_DOOR_SCOPE=$B205)))*SIGN(((ACT_SKU_SCOPE="ALL")+(ACT_SKU_SCOPE=$G205)))*(ACT_START&lt;=12)*(ACT_END&gt;=12)*IFERROR(ACT_UPLIFT-1,0)))*(1+SUMPRODUCT(SIGN(((ACT_DOOR_SCOPE="ALL")+(ACT_DOOR_SCOPE="TIER_"&amp;$F205)+(ACT_DOOR_SCOPE=$B205)))*SIGN(((ACT_SKU_SCOPE="ALL")+(ACT_SKU_SCOPE=$G205)))*(12&gt;ACT_END)*(ACT_END&gt;0)*IFERROR(ACT_POSTLIFT,0))),0)))</f>
        <v/>
      </c>
      <c r="V205" s="10">
        <f>IF(OR($H205&lt;&gt;"Y",13&lt;$I205),0,IF(SUMPRODUCT(((BULK_ENABLED="Y")*((BULK_TIER="ALL")+(BULK_TIER=$F205))*((BULK_SKU="ALL")+(BULK_SKU=$G205))*(BULK_START&lt;=13)*(BULK_END&gt;=13)))&gt;0,IFERROR(SUMPRODUCT(((BULK_ENABLED="Y")*((BULK_TIER="ALL")+(BULK_TIER=$F205))*((BULK_SKU="ALL")+(BULK_SKU=$G205))*(BULK_START&lt;=13)*(BULK_END&gt;=13))*IFERROR(BULK_VALUE,0))/MAX(1,SUMPRODUCT(((BULK_ENABLED="Y")*((BULK_TIER="ALL")+(BULK_TIER=$F205))*((BULK_SKU="ALL")+(BULK_SKU=$G205))*(BULK_START&lt;=13)*(BULK_END&gt;=13)))),0),ROUND((INDEX(VELOCITY_TABLE,MATCH($F205,TIER_LIST,0),3))*(IF((13-$I205+1)&lt;=0,0,IF((13-$I205+1)=1,RAMP_W1,IF((13-$I205+1)=2,RAMP_W2,IF((13-$I205+1)=3,RAMP_W3,RAMP_W4PLUS)))))*(INDEX(ACTIVE_MULT_TABLE,3,1))*(1+SUMPRODUCT(SIGN(((ACT_DOOR_SCOPE="ALL")+(ACT_DOOR_SCOPE="TIER_"&amp;$F205)+(ACT_DOOR_SCOPE=$B205)))*SIGN(((ACT_SKU_SCOPE="ALL")+(ACT_SKU_SCOPE=$G205)))*(ACT_START&lt;=13)*(ACT_END&gt;=13)*IFERROR(ACT_UPLIFT-1,0)))*(1+SUMPRODUCT(SIGN(((ACT_DOOR_SCOPE="ALL")+(ACT_DOOR_SCOPE="TIER_"&amp;$F205)+(ACT_DOOR_SCOPE=$B205)))*SIGN(((ACT_SKU_SCOPE="ALL")+(ACT_SKU_SCOPE=$G205)))*(13&gt;ACT_END)*(ACT_END&gt;0)*IFERROR(ACT_POSTLIFT,0))),0)))</f>
        <v/>
      </c>
    </row>
    <row r="206">
      <c r="A206" t="inlineStr">
        <is>
          <t>R0202</t>
        </is>
      </c>
      <c r="B206">
        <f>Doors!$A$72</f>
        <v/>
      </c>
      <c r="C206">
        <f>Doors!$C$72</f>
        <v/>
      </c>
      <c r="D206">
        <f>Doors!$B$72</f>
        <v/>
      </c>
      <c r="E206">
        <f>Doors!$E$72</f>
        <v/>
      </c>
      <c r="F206">
        <f>Doors!$F$72</f>
        <v/>
      </c>
      <c r="G206" t="inlineStr">
        <is>
          <t>Lime Lemon</t>
        </is>
      </c>
      <c r="H206">
        <f>Doors!$G$72</f>
        <v/>
      </c>
      <c r="I206">
        <f>Doors!$J$72</f>
        <v/>
      </c>
      <c r="J206" s="10">
        <f>IF(OR($H206&lt;&gt;"Y",1&lt;$I206),0,IF(SUMPRODUCT(((BULK_ENABLED="Y")*((BULK_TIER="ALL")+(BULK_TIER=$F206))*((BULK_SKU="ALL")+(BULK_SKU=$G206))*(BULK_START&lt;=1)*(BULK_END&gt;=1)))&gt;0,IFERROR(SUMPRODUCT(((BULK_ENABLED="Y")*((BULK_TIER="ALL")+(BULK_TIER=$F206))*((BULK_SKU="ALL")+(BULK_SKU=$G206))*(BULK_START&lt;=1)*(BULK_END&gt;=1))*IFERROR(BULK_VALUE,0))/MAX(1,SUMPRODUCT(((BULK_ENABLED="Y")*((BULK_TIER="ALL")+(BULK_TIER=$F206))*((BULK_SKU="ALL")+(BULK_SKU=$G206))*(BULK_START&lt;=1)*(BULK_END&gt;=1)))),0),ROUND((INDEX(VELOCITY_TABLE,MATCH($F206,TIER_LIST,0),1))*(IF((1-$I206+1)&lt;=0,0,IF((1-$I206+1)=1,RAMP_W1,IF((1-$I206+1)=2,RAMP_W2,IF((1-$I206+1)=3,RAMP_W3,RAMP_W4PLUS)))))*(INDEX(ACTIVE_MULT_TABLE,1,1))*(1+SUMPRODUCT(SIGN(((ACT_DOOR_SCOPE="ALL")+(ACT_DOOR_SCOPE="TIER_"&amp;$F206)+(ACT_DOOR_SCOPE=$B206)))*SIGN(((ACT_SKU_SCOPE="ALL")+(ACT_SKU_SCOPE=$G206)))*(ACT_START&lt;=1)*(ACT_END&gt;=1)*IFERROR(ACT_UPLIFT-1,0)))*(1+SUMPRODUCT(SIGN(((ACT_DOOR_SCOPE="ALL")+(ACT_DOOR_SCOPE="TIER_"&amp;$F206)+(ACT_DOOR_SCOPE=$B206)))*SIGN(((ACT_SKU_SCOPE="ALL")+(ACT_SKU_SCOPE=$G206)))*(1&gt;ACT_END)*(ACT_END&gt;0)*IFERROR(ACT_POSTLIFT,0))),0)))</f>
        <v/>
      </c>
      <c r="K206" s="10">
        <f>IF(OR($H206&lt;&gt;"Y",2&lt;$I206),0,IF(SUMPRODUCT(((BULK_ENABLED="Y")*((BULK_TIER="ALL")+(BULK_TIER=$F206))*((BULK_SKU="ALL")+(BULK_SKU=$G206))*(BULK_START&lt;=2)*(BULK_END&gt;=2)))&gt;0,IFERROR(SUMPRODUCT(((BULK_ENABLED="Y")*((BULK_TIER="ALL")+(BULK_TIER=$F206))*((BULK_SKU="ALL")+(BULK_SKU=$G206))*(BULK_START&lt;=2)*(BULK_END&gt;=2))*IFERROR(BULK_VALUE,0))/MAX(1,SUMPRODUCT(((BULK_ENABLED="Y")*((BULK_TIER="ALL")+(BULK_TIER=$F206))*((BULK_SKU="ALL")+(BULK_SKU=$G206))*(BULK_START&lt;=2)*(BULK_END&gt;=2)))),0),ROUND((INDEX(VELOCITY_TABLE,MATCH($F206,TIER_LIST,0),1))*(IF((2-$I206+1)&lt;=0,0,IF((2-$I206+1)=1,RAMP_W1,IF((2-$I206+1)=2,RAMP_W2,IF((2-$I206+1)=3,RAMP_W3,RAMP_W4PLUS)))))*(INDEX(ACTIVE_MULT_TABLE,1,1))*(1+SUMPRODUCT(SIGN(((ACT_DOOR_SCOPE="ALL")+(ACT_DOOR_SCOPE="TIER_"&amp;$F206)+(ACT_DOOR_SCOPE=$B206)))*SIGN(((ACT_SKU_SCOPE="ALL")+(ACT_SKU_SCOPE=$G206)))*(ACT_START&lt;=2)*(ACT_END&gt;=2)*IFERROR(ACT_UPLIFT-1,0)))*(1+SUMPRODUCT(SIGN(((ACT_DOOR_SCOPE="ALL")+(ACT_DOOR_SCOPE="TIER_"&amp;$F206)+(ACT_DOOR_SCOPE=$B206)))*SIGN(((ACT_SKU_SCOPE="ALL")+(ACT_SKU_SCOPE=$G206)))*(2&gt;ACT_END)*(ACT_END&gt;0)*IFERROR(ACT_POSTLIFT,0))),0)))</f>
        <v/>
      </c>
      <c r="L206" s="10">
        <f>IF(OR($H206&lt;&gt;"Y",3&lt;$I206),0,IF(SUMPRODUCT(((BULK_ENABLED="Y")*((BULK_TIER="ALL")+(BULK_TIER=$F206))*((BULK_SKU="ALL")+(BULK_SKU=$G206))*(BULK_START&lt;=3)*(BULK_END&gt;=3)))&gt;0,IFERROR(SUMPRODUCT(((BULK_ENABLED="Y")*((BULK_TIER="ALL")+(BULK_TIER=$F206))*((BULK_SKU="ALL")+(BULK_SKU=$G206))*(BULK_START&lt;=3)*(BULK_END&gt;=3))*IFERROR(BULK_VALUE,0))/MAX(1,SUMPRODUCT(((BULK_ENABLED="Y")*((BULK_TIER="ALL")+(BULK_TIER=$F206))*((BULK_SKU="ALL")+(BULK_SKU=$G206))*(BULK_START&lt;=3)*(BULK_END&gt;=3)))),0),ROUND((INDEX(VELOCITY_TABLE,MATCH($F206,TIER_LIST,0),1))*(IF((3-$I206+1)&lt;=0,0,IF((3-$I206+1)=1,RAMP_W1,IF((3-$I206+1)=2,RAMP_W2,IF((3-$I206+1)=3,RAMP_W3,RAMP_W4PLUS)))))*(INDEX(ACTIVE_MULT_TABLE,1,1))*(1+SUMPRODUCT(SIGN(((ACT_DOOR_SCOPE="ALL")+(ACT_DOOR_SCOPE="TIER_"&amp;$F206)+(ACT_DOOR_SCOPE=$B206)))*SIGN(((ACT_SKU_SCOPE="ALL")+(ACT_SKU_SCOPE=$G206)))*(ACT_START&lt;=3)*(ACT_END&gt;=3)*IFERROR(ACT_UPLIFT-1,0)))*(1+SUMPRODUCT(SIGN(((ACT_DOOR_SCOPE="ALL")+(ACT_DOOR_SCOPE="TIER_"&amp;$F206)+(ACT_DOOR_SCOPE=$B206)))*SIGN(((ACT_SKU_SCOPE="ALL")+(ACT_SKU_SCOPE=$G206)))*(3&gt;ACT_END)*(ACT_END&gt;0)*IFERROR(ACT_POSTLIFT,0))),0)))</f>
        <v/>
      </c>
      <c r="M206" s="10">
        <f>IF(OR($H206&lt;&gt;"Y",4&lt;$I206),0,IF(SUMPRODUCT(((BULK_ENABLED="Y")*((BULK_TIER="ALL")+(BULK_TIER=$F206))*((BULK_SKU="ALL")+(BULK_SKU=$G206))*(BULK_START&lt;=4)*(BULK_END&gt;=4)))&gt;0,IFERROR(SUMPRODUCT(((BULK_ENABLED="Y")*((BULK_TIER="ALL")+(BULK_TIER=$F206))*((BULK_SKU="ALL")+(BULK_SKU=$G206))*(BULK_START&lt;=4)*(BULK_END&gt;=4))*IFERROR(BULK_VALUE,0))/MAX(1,SUMPRODUCT(((BULK_ENABLED="Y")*((BULK_TIER="ALL")+(BULK_TIER=$F206))*((BULK_SKU="ALL")+(BULK_SKU=$G206))*(BULK_START&lt;=4)*(BULK_END&gt;=4)))),0),ROUND((INDEX(VELOCITY_TABLE,MATCH($F206,TIER_LIST,0),1))*(IF((4-$I206+1)&lt;=0,0,IF((4-$I206+1)=1,RAMP_W1,IF((4-$I206+1)=2,RAMP_W2,IF((4-$I206+1)=3,RAMP_W3,RAMP_W4PLUS)))))*(INDEX(ACTIVE_MULT_TABLE,1,1))*(1+SUMPRODUCT(SIGN(((ACT_DOOR_SCOPE="ALL")+(ACT_DOOR_SCOPE="TIER_"&amp;$F206)+(ACT_DOOR_SCOPE=$B206)))*SIGN(((ACT_SKU_SCOPE="ALL")+(ACT_SKU_SCOPE=$G206)))*(ACT_START&lt;=4)*(ACT_END&gt;=4)*IFERROR(ACT_UPLIFT-1,0)))*(1+SUMPRODUCT(SIGN(((ACT_DOOR_SCOPE="ALL")+(ACT_DOOR_SCOPE="TIER_"&amp;$F206)+(ACT_DOOR_SCOPE=$B206)))*SIGN(((ACT_SKU_SCOPE="ALL")+(ACT_SKU_SCOPE=$G206)))*(4&gt;ACT_END)*(ACT_END&gt;0)*IFERROR(ACT_POSTLIFT,0))),0)))</f>
        <v/>
      </c>
      <c r="N206" s="10">
        <f>IF(OR($H206&lt;&gt;"Y",5&lt;$I206),0,IF(SUMPRODUCT(((BULK_ENABLED="Y")*((BULK_TIER="ALL")+(BULK_TIER=$F206))*((BULK_SKU="ALL")+(BULK_SKU=$G206))*(BULK_START&lt;=5)*(BULK_END&gt;=5)))&gt;0,IFERROR(SUMPRODUCT(((BULK_ENABLED="Y")*((BULK_TIER="ALL")+(BULK_TIER=$F206))*((BULK_SKU="ALL")+(BULK_SKU=$G206))*(BULK_START&lt;=5)*(BULK_END&gt;=5))*IFERROR(BULK_VALUE,0))/MAX(1,SUMPRODUCT(((BULK_ENABLED="Y")*((BULK_TIER="ALL")+(BULK_TIER=$F206))*((BULK_SKU="ALL")+(BULK_SKU=$G206))*(BULK_START&lt;=5)*(BULK_END&gt;=5)))),0),ROUND((INDEX(VELOCITY_TABLE,MATCH($F206,TIER_LIST,0),1))*(IF((5-$I206+1)&lt;=0,0,IF((5-$I206+1)=1,RAMP_W1,IF((5-$I206+1)=2,RAMP_W2,IF((5-$I206+1)=3,RAMP_W3,RAMP_W4PLUS)))))*(INDEX(ACTIVE_MULT_TABLE,1,1))*(1+SUMPRODUCT(SIGN(((ACT_DOOR_SCOPE="ALL")+(ACT_DOOR_SCOPE="TIER_"&amp;$F206)+(ACT_DOOR_SCOPE=$B206)))*SIGN(((ACT_SKU_SCOPE="ALL")+(ACT_SKU_SCOPE=$G206)))*(ACT_START&lt;=5)*(ACT_END&gt;=5)*IFERROR(ACT_UPLIFT-1,0)))*(1+SUMPRODUCT(SIGN(((ACT_DOOR_SCOPE="ALL")+(ACT_DOOR_SCOPE="TIER_"&amp;$F206)+(ACT_DOOR_SCOPE=$B206)))*SIGN(((ACT_SKU_SCOPE="ALL")+(ACT_SKU_SCOPE=$G206)))*(5&gt;ACT_END)*(ACT_END&gt;0)*IFERROR(ACT_POSTLIFT,0))),0)))</f>
        <v/>
      </c>
      <c r="O206" s="10">
        <f>IF(OR($H206&lt;&gt;"Y",6&lt;$I206),0,IF(SUMPRODUCT(((BULK_ENABLED="Y")*((BULK_TIER="ALL")+(BULK_TIER=$F206))*((BULK_SKU="ALL")+(BULK_SKU=$G206))*(BULK_START&lt;=6)*(BULK_END&gt;=6)))&gt;0,IFERROR(SUMPRODUCT(((BULK_ENABLED="Y")*((BULK_TIER="ALL")+(BULK_TIER=$F206))*((BULK_SKU="ALL")+(BULK_SKU=$G206))*(BULK_START&lt;=6)*(BULK_END&gt;=6))*IFERROR(BULK_VALUE,0))/MAX(1,SUMPRODUCT(((BULK_ENABLED="Y")*((BULK_TIER="ALL")+(BULK_TIER=$F206))*((BULK_SKU="ALL")+(BULK_SKU=$G206))*(BULK_START&lt;=6)*(BULK_END&gt;=6)))),0),ROUND((INDEX(VELOCITY_TABLE,MATCH($F206,TIER_LIST,0),1))*(IF((6-$I206+1)&lt;=0,0,IF((6-$I206+1)=1,RAMP_W1,IF((6-$I206+1)=2,RAMP_W2,IF((6-$I206+1)=3,RAMP_W3,RAMP_W4PLUS)))))*(INDEX(ACTIVE_MULT_TABLE,1,1))*(1+SUMPRODUCT(SIGN(((ACT_DOOR_SCOPE="ALL")+(ACT_DOOR_SCOPE="TIER_"&amp;$F206)+(ACT_DOOR_SCOPE=$B206)))*SIGN(((ACT_SKU_SCOPE="ALL")+(ACT_SKU_SCOPE=$G206)))*(ACT_START&lt;=6)*(ACT_END&gt;=6)*IFERROR(ACT_UPLIFT-1,0)))*(1+SUMPRODUCT(SIGN(((ACT_DOOR_SCOPE="ALL")+(ACT_DOOR_SCOPE="TIER_"&amp;$F206)+(ACT_DOOR_SCOPE=$B206)))*SIGN(((ACT_SKU_SCOPE="ALL")+(ACT_SKU_SCOPE=$G206)))*(6&gt;ACT_END)*(ACT_END&gt;0)*IFERROR(ACT_POSTLIFT,0))),0)))</f>
        <v/>
      </c>
      <c r="P206" s="10">
        <f>IF(OR($H206&lt;&gt;"Y",7&lt;$I206),0,IF(SUMPRODUCT(((BULK_ENABLED="Y")*((BULK_TIER="ALL")+(BULK_TIER=$F206))*((BULK_SKU="ALL")+(BULK_SKU=$G206))*(BULK_START&lt;=7)*(BULK_END&gt;=7)))&gt;0,IFERROR(SUMPRODUCT(((BULK_ENABLED="Y")*((BULK_TIER="ALL")+(BULK_TIER=$F206))*((BULK_SKU="ALL")+(BULK_SKU=$G206))*(BULK_START&lt;=7)*(BULK_END&gt;=7))*IFERROR(BULK_VALUE,0))/MAX(1,SUMPRODUCT(((BULK_ENABLED="Y")*((BULK_TIER="ALL")+(BULK_TIER=$F206))*((BULK_SKU="ALL")+(BULK_SKU=$G206))*(BULK_START&lt;=7)*(BULK_END&gt;=7)))),0),ROUND((INDEX(VELOCITY_TABLE,MATCH($F206,TIER_LIST,0),1))*(IF((7-$I206+1)&lt;=0,0,IF((7-$I206+1)=1,RAMP_W1,IF((7-$I206+1)=2,RAMP_W2,IF((7-$I206+1)=3,RAMP_W3,RAMP_W4PLUS)))))*(INDEX(ACTIVE_MULT_TABLE,1,1))*(1+SUMPRODUCT(SIGN(((ACT_DOOR_SCOPE="ALL")+(ACT_DOOR_SCOPE="TIER_"&amp;$F206)+(ACT_DOOR_SCOPE=$B206)))*SIGN(((ACT_SKU_SCOPE="ALL")+(ACT_SKU_SCOPE=$G206)))*(ACT_START&lt;=7)*(ACT_END&gt;=7)*IFERROR(ACT_UPLIFT-1,0)))*(1+SUMPRODUCT(SIGN(((ACT_DOOR_SCOPE="ALL")+(ACT_DOOR_SCOPE="TIER_"&amp;$F206)+(ACT_DOOR_SCOPE=$B206)))*SIGN(((ACT_SKU_SCOPE="ALL")+(ACT_SKU_SCOPE=$G206)))*(7&gt;ACT_END)*(ACT_END&gt;0)*IFERROR(ACT_POSTLIFT,0))),0)))</f>
        <v/>
      </c>
      <c r="Q206" s="10">
        <f>IF(OR($H206&lt;&gt;"Y",8&lt;$I206),0,IF(SUMPRODUCT(((BULK_ENABLED="Y")*((BULK_TIER="ALL")+(BULK_TIER=$F206))*((BULK_SKU="ALL")+(BULK_SKU=$G206))*(BULK_START&lt;=8)*(BULK_END&gt;=8)))&gt;0,IFERROR(SUMPRODUCT(((BULK_ENABLED="Y")*((BULK_TIER="ALL")+(BULK_TIER=$F206))*((BULK_SKU="ALL")+(BULK_SKU=$G206))*(BULK_START&lt;=8)*(BULK_END&gt;=8))*IFERROR(BULK_VALUE,0))/MAX(1,SUMPRODUCT(((BULK_ENABLED="Y")*((BULK_TIER="ALL")+(BULK_TIER=$F206))*((BULK_SKU="ALL")+(BULK_SKU=$G206))*(BULK_START&lt;=8)*(BULK_END&gt;=8)))),0),ROUND((INDEX(VELOCITY_TABLE,MATCH($F206,TIER_LIST,0),1))*(IF((8-$I206+1)&lt;=0,0,IF((8-$I206+1)=1,RAMP_W1,IF((8-$I206+1)=2,RAMP_W2,IF((8-$I206+1)=3,RAMP_W3,RAMP_W4PLUS)))))*(INDEX(ACTIVE_MULT_TABLE,1,1))*(1+SUMPRODUCT(SIGN(((ACT_DOOR_SCOPE="ALL")+(ACT_DOOR_SCOPE="TIER_"&amp;$F206)+(ACT_DOOR_SCOPE=$B206)))*SIGN(((ACT_SKU_SCOPE="ALL")+(ACT_SKU_SCOPE=$G206)))*(ACT_START&lt;=8)*(ACT_END&gt;=8)*IFERROR(ACT_UPLIFT-1,0)))*(1+SUMPRODUCT(SIGN(((ACT_DOOR_SCOPE="ALL")+(ACT_DOOR_SCOPE="TIER_"&amp;$F206)+(ACT_DOOR_SCOPE=$B206)))*SIGN(((ACT_SKU_SCOPE="ALL")+(ACT_SKU_SCOPE=$G206)))*(8&gt;ACT_END)*(ACT_END&gt;0)*IFERROR(ACT_POSTLIFT,0))),0)))</f>
        <v/>
      </c>
      <c r="R206" s="10">
        <f>IF(OR($H206&lt;&gt;"Y",9&lt;$I206),0,IF(SUMPRODUCT(((BULK_ENABLED="Y")*((BULK_TIER="ALL")+(BULK_TIER=$F206))*((BULK_SKU="ALL")+(BULK_SKU=$G206))*(BULK_START&lt;=9)*(BULK_END&gt;=9)))&gt;0,IFERROR(SUMPRODUCT(((BULK_ENABLED="Y")*((BULK_TIER="ALL")+(BULK_TIER=$F206))*((BULK_SKU="ALL")+(BULK_SKU=$G206))*(BULK_START&lt;=9)*(BULK_END&gt;=9))*IFERROR(BULK_VALUE,0))/MAX(1,SUMPRODUCT(((BULK_ENABLED="Y")*((BULK_TIER="ALL")+(BULK_TIER=$F206))*((BULK_SKU="ALL")+(BULK_SKU=$G206))*(BULK_START&lt;=9)*(BULK_END&gt;=9)))),0),ROUND((INDEX(VELOCITY_TABLE,MATCH($F206,TIER_LIST,0),1))*(IF((9-$I206+1)&lt;=0,0,IF((9-$I206+1)=1,RAMP_W1,IF((9-$I206+1)=2,RAMP_W2,IF((9-$I206+1)=3,RAMP_W3,RAMP_W4PLUS)))))*(INDEX(ACTIVE_MULT_TABLE,1,1))*(1+SUMPRODUCT(SIGN(((ACT_DOOR_SCOPE="ALL")+(ACT_DOOR_SCOPE="TIER_"&amp;$F206)+(ACT_DOOR_SCOPE=$B206)))*SIGN(((ACT_SKU_SCOPE="ALL")+(ACT_SKU_SCOPE=$G206)))*(ACT_START&lt;=9)*(ACT_END&gt;=9)*IFERROR(ACT_UPLIFT-1,0)))*(1+SUMPRODUCT(SIGN(((ACT_DOOR_SCOPE="ALL")+(ACT_DOOR_SCOPE="TIER_"&amp;$F206)+(ACT_DOOR_SCOPE=$B206)))*SIGN(((ACT_SKU_SCOPE="ALL")+(ACT_SKU_SCOPE=$G206)))*(9&gt;ACT_END)*(ACT_END&gt;0)*IFERROR(ACT_POSTLIFT,0))),0)))</f>
        <v/>
      </c>
      <c r="S206" s="10">
        <f>IF(OR($H206&lt;&gt;"Y",10&lt;$I206),0,IF(SUMPRODUCT(((BULK_ENABLED="Y")*((BULK_TIER="ALL")+(BULK_TIER=$F206))*((BULK_SKU="ALL")+(BULK_SKU=$G206))*(BULK_START&lt;=10)*(BULK_END&gt;=10)))&gt;0,IFERROR(SUMPRODUCT(((BULK_ENABLED="Y")*((BULK_TIER="ALL")+(BULK_TIER=$F206))*((BULK_SKU="ALL")+(BULK_SKU=$G206))*(BULK_START&lt;=10)*(BULK_END&gt;=10))*IFERROR(BULK_VALUE,0))/MAX(1,SUMPRODUCT(((BULK_ENABLED="Y")*((BULK_TIER="ALL")+(BULK_TIER=$F206))*((BULK_SKU="ALL")+(BULK_SKU=$G206))*(BULK_START&lt;=10)*(BULK_END&gt;=10)))),0),ROUND((INDEX(VELOCITY_TABLE,MATCH($F206,TIER_LIST,0),1))*(IF((10-$I206+1)&lt;=0,0,IF((10-$I206+1)=1,RAMP_W1,IF((10-$I206+1)=2,RAMP_W2,IF((10-$I206+1)=3,RAMP_W3,RAMP_W4PLUS)))))*(INDEX(ACTIVE_MULT_TABLE,1,1))*(1+SUMPRODUCT(SIGN(((ACT_DOOR_SCOPE="ALL")+(ACT_DOOR_SCOPE="TIER_"&amp;$F206)+(ACT_DOOR_SCOPE=$B206)))*SIGN(((ACT_SKU_SCOPE="ALL")+(ACT_SKU_SCOPE=$G206)))*(ACT_START&lt;=10)*(ACT_END&gt;=10)*IFERROR(ACT_UPLIFT-1,0)))*(1+SUMPRODUCT(SIGN(((ACT_DOOR_SCOPE="ALL")+(ACT_DOOR_SCOPE="TIER_"&amp;$F206)+(ACT_DOOR_SCOPE=$B206)))*SIGN(((ACT_SKU_SCOPE="ALL")+(ACT_SKU_SCOPE=$G206)))*(10&gt;ACT_END)*(ACT_END&gt;0)*IFERROR(ACT_POSTLIFT,0))),0)))</f>
        <v/>
      </c>
      <c r="T206" s="10">
        <f>IF(OR($H206&lt;&gt;"Y",11&lt;$I206),0,IF(SUMPRODUCT(((BULK_ENABLED="Y")*((BULK_TIER="ALL")+(BULK_TIER=$F206))*((BULK_SKU="ALL")+(BULK_SKU=$G206))*(BULK_START&lt;=11)*(BULK_END&gt;=11)))&gt;0,IFERROR(SUMPRODUCT(((BULK_ENABLED="Y")*((BULK_TIER="ALL")+(BULK_TIER=$F206))*((BULK_SKU="ALL")+(BULK_SKU=$G206))*(BULK_START&lt;=11)*(BULK_END&gt;=11))*IFERROR(BULK_VALUE,0))/MAX(1,SUMPRODUCT(((BULK_ENABLED="Y")*((BULK_TIER="ALL")+(BULK_TIER=$F206))*((BULK_SKU="ALL")+(BULK_SKU=$G206))*(BULK_START&lt;=11)*(BULK_END&gt;=11)))),0),ROUND((INDEX(VELOCITY_TABLE,MATCH($F206,TIER_LIST,0),1))*(IF((11-$I206+1)&lt;=0,0,IF((11-$I206+1)=1,RAMP_W1,IF((11-$I206+1)=2,RAMP_W2,IF((11-$I206+1)=3,RAMP_W3,RAMP_W4PLUS)))))*(INDEX(ACTIVE_MULT_TABLE,1,1))*(1+SUMPRODUCT(SIGN(((ACT_DOOR_SCOPE="ALL")+(ACT_DOOR_SCOPE="TIER_"&amp;$F206)+(ACT_DOOR_SCOPE=$B206)))*SIGN(((ACT_SKU_SCOPE="ALL")+(ACT_SKU_SCOPE=$G206)))*(ACT_START&lt;=11)*(ACT_END&gt;=11)*IFERROR(ACT_UPLIFT-1,0)))*(1+SUMPRODUCT(SIGN(((ACT_DOOR_SCOPE="ALL")+(ACT_DOOR_SCOPE="TIER_"&amp;$F206)+(ACT_DOOR_SCOPE=$B206)))*SIGN(((ACT_SKU_SCOPE="ALL")+(ACT_SKU_SCOPE=$G206)))*(11&gt;ACT_END)*(ACT_END&gt;0)*IFERROR(ACT_POSTLIFT,0))),0)))</f>
        <v/>
      </c>
      <c r="U206" s="10">
        <f>IF(OR($H206&lt;&gt;"Y",12&lt;$I206),0,IF(SUMPRODUCT(((BULK_ENABLED="Y")*((BULK_TIER="ALL")+(BULK_TIER=$F206))*((BULK_SKU="ALL")+(BULK_SKU=$G206))*(BULK_START&lt;=12)*(BULK_END&gt;=12)))&gt;0,IFERROR(SUMPRODUCT(((BULK_ENABLED="Y")*((BULK_TIER="ALL")+(BULK_TIER=$F206))*((BULK_SKU="ALL")+(BULK_SKU=$G206))*(BULK_START&lt;=12)*(BULK_END&gt;=12))*IFERROR(BULK_VALUE,0))/MAX(1,SUMPRODUCT(((BULK_ENABLED="Y")*((BULK_TIER="ALL")+(BULK_TIER=$F206))*((BULK_SKU="ALL")+(BULK_SKU=$G206))*(BULK_START&lt;=12)*(BULK_END&gt;=12)))),0),ROUND((INDEX(VELOCITY_TABLE,MATCH($F206,TIER_LIST,0),1))*(IF((12-$I206+1)&lt;=0,0,IF((12-$I206+1)=1,RAMP_W1,IF((12-$I206+1)=2,RAMP_W2,IF((12-$I206+1)=3,RAMP_W3,RAMP_W4PLUS)))))*(INDEX(ACTIVE_MULT_TABLE,1,1))*(1+SUMPRODUCT(SIGN(((ACT_DOOR_SCOPE="ALL")+(ACT_DOOR_SCOPE="TIER_"&amp;$F206)+(ACT_DOOR_SCOPE=$B206)))*SIGN(((ACT_SKU_SCOPE="ALL")+(ACT_SKU_SCOPE=$G206)))*(ACT_START&lt;=12)*(ACT_END&gt;=12)*IFERROR(ACT_UPLIFT-1,0)))*(1+SUMPRODUCT(SIGN(((ACT_DOOR_SCOPE="ALL")+(ACT_DOOR_SCOPE="TIER_"&amp;$F206)+(ACT_DOOR_SCOPE=$B206)))*SIGN(((ACT_SKU_SCOPE="ALL")+(ACT_SKU_SCOPE=$G206)))*(12&gt;ACT_END)*(ACT_END&gt;0)*IFERROR(ACT_POSTLIFT,0))),0)))</f>
        <v/>
      </c>
      <c r="V206" s="10">
        <f>IF(OR($H206&lt;&gt;"Y",13&lt;$I206),0,IF(SUMPRODUCT(((BULK_ENABLED="Y")*((BULK_TIER="ALL")+(BULK_TIER=$F206))*((BULK_SKU="ALL")+(BULK_SKU=$G206))*(BULK_START&lt;=13)*(BULK_END&gt;=13)))&gt;0,IFERROR(SUMPRODUCT(((BULK_ENABLED="Y")*((BULK_TIER="ALL")+(BULK_TIER=$F206))*((BULK_SKU="ALL")+(BULK_SKU=$G206))*(BULK_START&lt;=13)*(BULK_END&gt;=13))*IFERROR(BULK_VALUE,0))/MAX(1,SUMPRODUCT(((BULK_ENABLED="Y")*((BULK_TIER="ALL")+(BULK_TIER=$F206))*((BULK_SKU="ALL")+(BULK_SKU=$G206))*(BULK_START&lt;=13)*(BULK_END&gt;=13)))),0),ROUND((INDEX(VELOCITY_TABLE,MATCH($F206,TIER_LIST,0),1))*(IF((13-$I206+1)&lt;=0,0,IF((13-$I206+1)=1,RAMP_W1,IF((13-$I206+1)=2,RAMP_W2,IF((13-$I206+1)=3,RAMP_W3,RAMP_W4PLUS)))))*(INDEX(ACTIVE_MULT_TABLE,1,1))*(1+SUMPRODUCT(SIGN(((ACT_DOOR_SCOPE="ALL")+(ACT_DOOR_SCOPE="TIER_"&amp;$F206)+(ACT_DOOR_SCOPE=$B206)))*SIGN(((ACT_SKU_SCOPE="ALL")+(ACT_SKU_SCOPE=$G206)))*(ACT_START&lt;=13)*(ACT_END&gt;=13)*IFERROR(ACT_UPLIFT-1,0)))*(1+SUMPRODUCT(SIGN(((ACT_DOOR_SCOPE="ALL")+(ACT_DOOR_SCOPE="TIER_"&amp;$F206)+(ACT_DOOR_SCOPE=$B206)))*SIGN(((ACT_SKU_SCOPE="ALL")+(ACT_SKU_SCOPE=$G206)))*(13&gt;ACT_END)*(ACT_END&gt;0)*IFERROR(ACT_POSTLIFT,0))),0)))</f>
        <v/>
      </c>
    </row>
    <row r="207">
      <c r="A207" t="inlineStr">
        <is>
          <t>R0203</t>
        </is>
      </c>
      <c r="B207">
        <f>Doors!$A$72</f>
        <v/>
      </c>
      <c r="C207">
        <f>Doors!$C$72</f>
        <v/>
      </c>
      <c r="D207">
        <f>Doors!$B$72</f>
        <v/>
      </c>
      <c r="E207">
        <f>Doors!$E$72</f>
        <v/>
      </c>
      <c r="F207">
        <f>Doors!$F$72</f>
        <v/>
      </c>
      <c r="G207" t="inlineStr">
        <is>
          <t>Pineapple Passion Fruit</t>
        </is>
      </c>
      <c r="H207">
        <f>Doors!$H$72</f>
        <v/>
      </c>
      <c r="I207">
        <f>Doors!$J$72</f>
        <v/>
      </c>
      <c r="J207" s="10">
        <f>IF(OR($H207&lt;&gt;"Y",1&lt;$I207),0,IF(SUMPRODUCT(((BULK_ENABLED="Y")*((BULK_TIER="ALL")+(BULK_TIER=$F207))*((BULK_SKU="ALL")+(BULK_SKU=$G207))*(BULK_START&lt;=1)*(BULK_END&gt;=1)))&gt;0,IFERROR(SUMPRODUCT(((BULK_ENABLED="Y")*((BULK_TIER="ALL")+(BULK_TIER=$F207))*((BULK_SKU="ALL")+(BULK_SKU=$G207))*(BULK_START&lt;=1)*(BULK_END&gt;=1))*IFERROR(BULK_VALUE,0))/MAX(1,SUMPRODUCT(((BULK_ENABLED="Y")*((BULK_TIER="ALL")+(BULK_TIER=$F207))*((BULK_SKU="ALL")+(BULK_SKU=$G207))*(BULK_START&lt;=1)*(BULK_END&gt;=1)))),0),ROUND((INDEX(VELOCITY_TABLE,MATCH($F207,TIER_LIST,0),2))*(IF((1-$I207+1)&lt;=0,0,IF((1-$I207+1)=1,RAMP_W1,IF((1-$I207+1)=2,RAMP_W2,IF((1-$I207+1)=3,RAMP_W3,RAMP_W4PLUS)))))*(INDEX(ACTIVE_MULT_TABLE,2,1))*(1+SUMPRODUCT(SIGN(((ACT_DOOR_SCOPE="ALL")+(ACT_DOOR_SCOPE="TIER_"&amp;$F207)+(ACT_DOOR_SCOPE=$B207)))*SIGN(((ACT_SKU_SCOPE="ALL")+(ACT_SKU_SCOPE=$G207)))*(ACT_START&lt;=1)*(ACT_END&gt;=1)*IFERROR(ACT_UPLIFT-1,0)))*(1+SUMPRODUCT(SIGN(((ACT_DOOR_SCOPE="ALL")+(ACT_DOOR_SCOPE="TIER_"&amp;$F207)+(ACT_DOOR_SCOPE=$B207)))*SIGN(((ACT_SKU_SCOPE="ALL")+(ACT_SKU_SCOPE=$G207)))*(1&gt;ACT_END)*(ACT_END&gt;0)*IFERROR(ACT_POSTLIFT,0))),0)))</f>
        <v/>
      </c>
      <c r="K207" s="10">
        <f>IF(OR($H207&lt;&gt;"Y",2&lt;$I207),0,IF(SUMPRODUCT(((BULK_ENABLED="Y")*((BULK_TIER="ALL")+(BULK_TIER=$F207))*((BULK_SKU="ALL")+(BULK_SKU=$G207))*(BULK_START&lt;=2)*(BULK_END&gt;=2)))&gt;0,IFERROR(SUMPRODUCT(((BULK_ENABLED="Y")*((BULK_TIER="ALL")+(BULK_TIER=$F207))*((BULK_SKU="ALL")+(BULK_SKU=$G207))*(BULK_START&lt;=2)*(BULK_END&gt;=2))*IFERROR(BULK_VALUE,0))/MAX(1,SUMPRODUCT(((BULK_ENABLED="Y")*((BULK_TIER="ALL")+(BULK_TIER=$F207))*((BULK_SKU="ALL")+(BULK_SKU=$G207))*(BULK_START&lt;=2)*(BULK_END&gt;=2)))),0),ROUND((INDEX(VELOCITY_TABLE,MATCH($F207,TIER_LIST,0),2))*(IF((2-$I207+1)&lt;=0,0,IF((2-$I207+1)=1,RAMP_W1,IF((2-$I207+1)=2,RAMP_W2,IF((2-$I207+1)=3,RAMP_W3,RAMP_W4PLUS)))))*(INDEX(ACTIVE_MULT_TABLE,2,1))*(1+SUMPRODUCT(SIGN(((ACT_DOOR_SCOPE="ALL")+(ACT_DOOR_SCOPE="TIER_"&amp;$F207)+(ACT_DOOR_SCOPE=$B207)))*SIGN(((ACT_SKU_SCOPE="ALL")+(ACT_SKU_SCOPE=$G207)))*(ACT_START&lt;=2)*(ACT_END&gt;=2)*IFERROR(ACT_UPLIFT-1,0)))*(1+SUMPRODUCT(SIGN(((ACT_DOOR_SCOPE="ALL")+(ACT_DOOR_SCOPE="TIER_"&amp;$F207)+(ACT_DOOR_SCOPE=$B207)))*SIGN(((ACT_SKU_SCOPE="ALL")+(ACT_SKU_SCOPE=$G207)))*(2&gt;ACT_END)*(ACT_END&gt;0)*IFERROR(ACT_POSTLIFT,0))),0)))</f>
        <v/>
      </c>
      <c r="L207" s="10">
        <f>IF(OR($H207&lt;&gt;"Y",3&lt;$I207),0,IF(SUMPRODUCT(((BULK_ENABLED="Y")*((BULK_TIER="ALL")+(BULK_TIER=$F207))*((BULK_SKU="ALL")+(BULK_SKU=$G207))*(BULK_START&lt;=3)*(BULK_END&gt;=3)))&gt;0,IFERROR(SUMPRODUCT(((BULK_ENABLED="Y")*((BULK_TIER="ALL")+(BULK_TIER=$F207))*((BULK_SKU="ALL")+(BULK_SKU=$G207))*(BULK_START&lt;=3)*(BULK_END&gt;=3))*IFERROR(BULK_VALUE,0))/MAX(1,SUMPRODUCT(((BULK_ENABLED="Y")*((BULK_TIER="ALL")+(BULK_TIER=$F207))*((BULK_SKU="ALL")+(BULK_SKU=$G207))*(BULK_START&lt;=3)*(BULK_END&gt;=3)))),0),ROUND((INDEX(VELOCITY_TABLE,MATCH($F207,TIER_LIST,0),2))*(IF((3-$I207+1)&lt;=0,0,IF((3-$I207+1)=1,RAMP_W1,IF((3-$I207+1)=2,RAMP_W2,IF((3-$I207+1)=3,RAMP_W3,RAMP_W4PLUS)))))*(INDEX(ACTIVE_MULT_TABLE,2,1))*(1+SUMPRODUCT(SIGN(((ACT_DOOR_SCOPE="ALL")+(ACT_DOOR_SCOPE="TIER_"&amp;$F207)+(ACT_DOOR_SCOPE=$B207)))*SIGN(((ACT_SKU_SCOPE="ALL")+(ACT_SKU_SCOPE=$G207)))*(ACT_START&lt;=3)*(ACT_END&gt;=3)*IFERROR(ACT_UPLIFT-1,0)))*(1+SUMPRODUCT(SIGN(((ACT_DOOR_SCOPE="ALL")+(ACT_DOOR_SCOPE="TIER_"&amp;$F207)+(ACT_DOOR_SCOPE=$B207)))*SIGN(((ACT_SKU_SCOPE="ALL")+(ACT_SKU_SCOPE=$G207)))*(3&gt;ACT_END)*(ACT_END&gt;0)*IFERROR(ACT_POSTLIFT,0))),0)))</f>
        <v/>
      </c>
      <c r="M207" s="10">
        <f>IF(OR($H207&lt;&gt;"Y",4&lt;$I207),0,IF(SUMPRODUCT(((BULK_ENABLED="Y")*((BULK_TIER="ALL")+(BULK_TIER=$F207))*((BULK_SKU="ALL")+(BULK_SKU=$G207))*(BULK_START&lt;=4)*(BULK_END&gt;=4)))&gt;0,IFERROR(SUMPRODUCT(((BULK_ENABLED="Y")*((BULK_TIER="ALL")+(BULK_TIER=$F207))*((BULK_SKU="ALL")+(BULK_SKU=$G207))*(BULK_START&lt;=4)*(BULK_END&gt;=4))*IFERROR(BULK_VALUE,0))/MAX(1,SUMPRODUCT(((BULK_ENABLED="Y")*((BULK_TIER="ALL")+(BULK_TIER=$F207))*((BULK_SKU="ALL")+(BULK_SKU=$G207))*(BULK_START&lt;=4)*(BULK_END&gt;=4)))),0),ROUND((INDEX(VELOCITY_TABLE,MATCH($F207,TIER_LIST,0),2))*(IF((4-$I207+1)&lt;=0,0,IF((4-$I207+1)=1,RAMP_W1,IF((4-$I207+1)=2,RAMP_W2,IF((4-$I207+1)=3,RAMP_W3,RAMP_W4PLUS)))))*(INDEX(ACTIVE_MULT_TABLE,2,1))*(1+SUMPRODUCT(SIGN(((ACT_DOOR_SCOPE="ALL")+(ACT_DOOR_SCOPE="TIER_"&amp;$F207)+(ACT_DOOR_SCOPE=$B207)))*SIGN(((ACT_SKU_SCOPE="ALL")+(ACT_SKU_SCOPE=$G207)))*(ACT_START&lt;=4)*(ACT_END&gt;=4)*IFERROR(ACT_UPLIFT-1,0)))*(1+SUMPRODUCT(SIGN(((ACT_DOOR_SCOPE="ALL")+(ACT_DOOR_SCOPE="TIER_"&amp;$F207)+(ACT_DOOR_SCOPE=$B207)))*SIGN(((ACT_SKU_SCOPE="ALL")+(ACT_SKU_SCOPE=$G207)))*(4&gt;ACT_END)*(ACT_END&gt;0)*IFERROR(ACT_POSTLIFT,0))),0)))</f>
        <v/>
      </c>
      <c r="N207" s="10">
        <f>IF(OR($H207&lt;&gt;"Y",5&lt;$I207),0,IF(SUMPRODUCT(((BULK_ENABLED="Y")*((BULK_TIER="ALL")+(BULK_TIER=$F207))*((BULK_SKU="ALL")+(BULK_SKU=$G207))*(BULK_START&lt;=5)*(BULK_END&gt;=5)))&gt;0,IFERROR(SUMPRODUCT(((BULK_ENABLED="Y")*((BULK_TIER="ALL")+(BULK_TIER=$F207))*((BULK_SKU="ALL")+(BULK_SKU=$G207))*(BULK_START&lt;=5)*(BULK_END&gt;=5))*IFERROR(BULK_VALUE,0))/MAX(1,SUMPRODUCT(((BULK_ENABLED="Y")*((BULK_TIER="ALL")+(BULK_TIER=$F207))*((BULK_SKU="ALL")+(BULK_SKU=$G207))*(BULK_START&lt;=5)*(BULK_END&gt;=5)))),0),ROUND((INDEX(VELOCITY_TABLE,MATCH($F207,TIER_LIST,0),2))*(IF((5-$I207+1)&lt;=0,0,IF((5-$I207+1)=1,RAMP_W1,IF((5-$I207+1)=2,RAMP_W2,IF((5-$I207+1)=3,RAMP_W3,RAMP_W4PLUS)))))*(INDEX(ACTIVE_MULT_TABLE,2,1))*(1+SUMPRODUCT(SIGN(((ACT_DOOR_SCOPE="ALL")+(ACT_DOOR_SCOPE="TIER_"&amp;$F207)+(ACT_DOOR_SCOPE=$B207)))*SIGN(((ACT_SKU_SCOPE="ALL")+(ACT_SKU_SCOPE=$G207)))*(ACT_START&lt;=5)*(ACT_END&gt;=5)*IFERROR(ACT_UPLIFT-1,0)))*(1+SUMPRODUCT(SIGN(((ACT_DOOR_SCOPE="ALL")+(ACT_DOOR_SCOPE="TIER_"&amp;$F207)+(ACT_DOOR_SCOPE=$B207)))*SIGN(((ACT_SKU_SCOPE="ALL")+(ACT_SKU_SCOPE=$G207)))*(5&gt;ACT_END)*(ACT_END&gt;0)*IFERROR(ACT_POSTLIFT,0))),0)))</f>
        <v/>
      </c>
      <c r="O207" s="10">
        <f>IF(OR($H207&lt;&gt;"Y",6&lt;$I207),0,IF(SUMPRODUCT(((BULK_ENABLED="Y")*((BULK_TIER="ALL")+(BULK_TIER=$F207))*((BULK_SKU="ALL")+(BULK_SKU=$G207))*(BULK_START&lt;=6)*(BULK_END&gt;=6)))&gt;0,IFERROR(SUMPRODUCT(((BULK_ENABLED="Y")*((BULK_TIER="ALL")+(BULK_TIER=$F207))*((BULK_SKU="ALL")+(BULK_SKU=$G207))*(BULK_START&lt;=6)*(BULK_END&gt;=6))*IFERROR(BULK_VALUE,0))/MAX(1,SUMPRODUCT(((BULK_ENABLED="Y")*((BULK_TIER="ALL")+(BULK_TIER=$F207))*((BULK_SKU="ALL")+(BULK_SKU=$G207))*(BULK_START&lt;=6)*(BULK_END&gt;=6)))),0),ROUND((INDEX(VELOCITY_TABLE,MATCH($F207,TIER_LIST,0),2))*(IF((6-$I207+1)&lt;=0,0,IF((6-$I207+1)=1,RAMP_W1,IF((6-$I207+1)=2,RAMP_W2,IF((6-$I207+1)=3,RAMP_W3,RAMP_W4PLUS)))))*(INDEX(ACTIVE_MULT_TABLE,2,1))*(1+SUMPRODUCT(SIGN(((ACT_DOOR_SCOPE="ALL")+(ACT_DOOR_SCOPE="TIER_"&amp;$F207)+(ACT_DOOR_SCOPE=$B207)))*SIGN(((ACT_SKU_SCOPE="ALL")+(ACT_SKU_SCOPE=$G207)))*(ACT_START&lt;=6)*(ACT_END&gt;=6)*IFERROR(ACT_UPLIFT-1,0)))*(1+SUMPRODUCT(SIGN(((ACT_DOOR_SCOPE="ALL")+(ACT_DOOR_SCOPE="TIER_"&amp;$F207)+(ACT_DOOR_SCOPE=$B207)))*SIGN(((ACT_SKU_SCOPE="ALL")+(ACT_SKU_SCOPE=$G207)))*(6&gt;ACT_END)*(ACT_END&gt;0)*IFERROR(ACT_POSTLIFT,0))),0)))</f>
        <v/>
      </c>
      <c r="P207" s="10">
        <f>IF(OR($H207&lt;&gt;"Y",7&lt;$I207),0,IF(SUMPRODUCT(((BULK_ENABLED="Y")*((BULK_TIER="ALL")+(BULK_TIER=$F207))*((BULK_SKU="ALL")+(BULK_SKU=$G207))*(BULK_START&lt;=7)*(BULK_END&gt;=7)))&gt;0,IFERROR(SUMPRODUCT(((BULK_ENABLED="Y")*((BULK_TIER="ALL")+(BULK_TIER=$F207))*((BULK_SKU="ALL")+(BULK_SKU=$G207))*(BULK_START&lt;=7)*(BULK_END&gt;=7))*IFERROR(BULK_VALUE,0))/MAX(1,SUMPRODUCT(((BULK_ENABLED="Y")*((BULK_TIER="ALL")+(BULK_TIER=$F207))*((BULK_SKU="ALL")+(BULK_SKU=$G207))*(BULK_START&lt;=7)*(BULK_END&gt;=7)))),0),ROUND((INDEX(VELOCITY_TABLE,MATCH($F207,TIER_LIST,0),2))*(IF((7-$I207+1)&lt;=0,0,IF((7-$I207+1)=1,RAMP_W1,IF((7-$I207+1)=2,RAMP_W2,IF((7-$I207+1)=3,RAMP_W3,RAMP_W4PLUS)))))*(INDEX(ACTIVE_MULT_TABLE,2,1))*(1+SUMPRODUCT(SIGN(((ACT_DOOR_SCOPE="ALL")+(ACT_DOOR_SCOPE="TIER_"&amp;$F207)+(ACT_DOOR_SCOPE=$B207)))*SIGN(((ACT_SKU_SCOPE="ALL")+(ACT_SKU_SCOPE=$G207)))*(ACT_START&lt;=7)*(ACT_END&gt;=7)*IFERROR(ACT_UPLIFT-1,0)))*(1+SUMPRODUCT(SIGN(((ACT_DOOR_SCOPE="ALL")+(ACT_DOOR_SCOPE="TIER_"&amp;$F207)+(ACT_DOOR_SCOPE=$B207)))*SIGN(((ACT_SKU_SCOPE="ALL")+(ACT_SKU_SCOPE=$G207)))*(7&gt;ACT_END)*(ACT_END&gt;0)*IFERROR(ACT_POSTLIFT,0))),0)))</f>
        <v/>
      </c>
      <c r="Q207" s="10">
        <f>IF(OR($H207&lt;&gt;"Y",8&lt;$I207),0,IF(SUMPRODUCT(((BULK_ENABLED="Y")*((BULK_TIER="ALL")+(BULK_TIER=$F207))*((BULK_SKU="ALL")+(BULK_SKU=$G207))*(BULK_START&lt;=8)*(BULK_END&gt;=8)))&gt;0,IFERROR(SUMPRODUCT(((BULK_ENABLED="Y")*((BULK_TIER="ALL")+(BULK_TIER=$F207))*((BULK_SKU="ALL")+(BULK_SKU=$G207))*(BULK_START&lt;=8)*(BULK_END&gt;=8))*IFERROR(BULK_VALUE,0))/MAX(1,SUMPRODUCT(((BULK_ENABLED="Y")*((BULK_TIER="ALL")+(BULK_TIER=$F207))*((BULK_SKU="ALL")+(BULK_SKU=$G207))*(BULK_START&lt;=8)*(BULK_END&gt;=8)))),0),ROUND((INDEX(VELOCITY_TABLE,MATCH($F207,TIER_LIST,0),2))*(IF((8-$I207+1)&lt;=0,0,IF((8-$I207+1)=1,RAMP_W1,IF((8-$I207+1)=2,RAMP_W2,IF((8-$I207+1)=3,RAMP_W3,RAMP_W4PLUS)))))*(INDEX(ACTIVE_MULT_TABLE,2,1))*(1+SUMPRODUCT(SIGN(((ACT_DOOR_SCOPE="ALL")+(ACT_DOOR_SCOPE="TIER_"&amp;$F207)+(ACT_DOOR_SCOPE=$B207)))*SIGN(((ACT_SKU_SCOPE="ALL")+(ACT_SKU_SCOPE=$G207)))*(ACT_START&lt;=8)*(ACT_END&gt;=8)*IFERROR(ACT_UPLIFT-1,0)))*(1+SUMPRODUCT(SIGN(((ACT_DOOR_SCOPE="ALL")+(ACT_DOOR_SCOPE="TIER_"&amp;$F207)+(ACT_DOOR_SCOPE=$B207)))*SIGN(((ACT_SKU_SCOPE="ALL")+(ACT_SKU_SCOPE=$G207)))*(8&gt;ACT_END)*(ACT_END&gt;0)*IFERROR(ACT_POSTLIFT,0))),0)))</f>
        <v/>
      </c>
      <c r="R207" s="10">
        <f>IF(OR($H207&lt;&gt;"Y",9&lt;$I207),0,IF(SUMPRODUCT(((BULK_ENABLED="Y")*((BULK_TIER="ALL")+(BULK_TIER=$F207))*((BULK_SKU="ALL")+(BULK_SKU=$G207))*(BULK_START&lt;=9)*(BULK_END&gt;=9)))&gt;0,IFERROR(SUMPRODUCT(((BULK_ENABLED="Y")*((BULK_TIER="ALL")+(BULK_TIER=$F207))*((BULK_SKU="ALL")+(BULK_SKU=$G207))*(BULK_START&lt;=9)*(BULK_END&gt;=9))*IFERROR(BULK_VALUE,0))/MAX(1,SUMPRODUCT(((BULK_ENABLED="Y")*((BULK_TIER="ALL")+(BULK_TIER=$F207))*((BULK_SKU="ALL")+(BULK_SKU=$G207))*(BULK_START&lt;=9)*(BULK_END&gt;=9)))),0),ROUND((INDEX(VELOCITY_TABLE,MATCH($F207,TIER_LIST,0),2))*(IF((9-$I207+1)&lt;=0,0,IF((9-$I207+1)=1,RAMP_W1,IF((9-$I207+1)=2,RAMP_W2,IF((9-$I207+1)=3,RAMP_W3,RAMP_W4PLUS)))))*(INDEX(ACTIVE_MULT_TABLE,2,1))*(1+SUMPRODUCT(SIGN(((ACT_DOOR_SCOPE="ALL")+(ACT_DOOR_SCOPE="TIER_"&amp;$F207)+(ACT_DOOR_SCOPE=$B207)))*SIGN(((ACT_SKU_SCOPE="ALL")+(ACT_SKU_SCOPE=$G207)))*(ACT_START&lt;=9)*(ACT_END&gt;=9)*IFERROR(ACT_UPLIFT-1,0)))*(1+SUMPRODUCT(SIGN(((ACT_DOOR_SCOPE="ALL")+(ACT_DOOR_SCOPE="TIER_"&amp;$F207)+(ACT_DOOR_SCOPE=$B207)))*SIGN(((ACT_SKU_SCOPE="ALL")+(ACT_SKU_SCOPE=$G207)))*(9&gt;ACT_END)*(ACT_END&gt;0)*IFERROR(ACT_POSTLIFT,0))),0)))</f>
        <v/>
      </c>
      <c r="S207" s="10">
        <f>IF(OR($H207&lt;&gt;"Y",10&lt;$I207),0,IF(SUMPRODUCT(((BULK_ENABLED="Y")*((BULK_TIER="ALL")+(BULK_TIER=$F207))*((BULK_SKU="ALL")+(BULK_SKU=$G207))*(BULK_START&lt;=10)*(BULK_END&gt;=10)))&gt;0,IFERROR(SUMPRODUCT(((BULK_ENABLED="Y")*((BULK_TIER="ALL")+(BULK_TIER=$F207))*((BULK_SKU="ALL")+(BULK_SKU=$G207))*(BULK_START&lt;=10)*(BULK_END&gt;=10))*IFERROR(BULK_VALUE,0))/MAX(1,SUMPRODUCT(((BULK_ENABLED="Y")*((BULK_TIER="ALL")+(BULK_TIER=$F207))*((BULK_SKU="ALL")+(BULK_SKU=$G207))*(BULK_START&lt;=10)*(BULK_END&gt;=10)))),0),ROUND((INDEX(VELOCITY_TABLE,MATCH($F207,TIER_LIST,0),2))*(IF((10-$I207+1)&lt;=0,0,IF((10-$I207+1)=1,RAMP_W1,IF((10-$I207+1)=2,RAMP_W2,IF((10-$I207+1)=3,RAMP_W3,RAMP_W4PLUS)))))*(INDEX(ACTIVE_MULT_TABLE,2,1))*(1+SUMPRODUCT(SIGN(((ACT_DOOR_SCOPE="ALL")+(ACT_DOOR_SCOPE="TIER_"&amp;$F207)+(ACT_DOOR_SCOPE=$B207)))*SIGN(((ACT_SKU_SCOPE="ALL")+(ACT_SKU_SCOPE=$G207)))*(ACT_START&lt;=10)*(ACT_END&gt;=10)*IFERROR(ACT_UPLIFT-1,0)))*(1+SUMPRODUCT(SIGN(((ACT_DOOR_SCOPE="ALL")+(ACT_DOOR_SCOPE="TIER_"&amp;$F207)+(ACT_DOOR_SCOPE=$B207)))*SIGN(((ACT_SKU_SCOPE="ALL")+(ACT_SKU_SCOPE=$G207)))*(10&gt;ACT_END)*(ACT_END&gt;0)*IFERROR(ACT_POSTLIFT,0))),0)))</f>
        <v/>
      </c>
      <c r="T207" s="10">
        <f>IF(OR($H207&lt;&gt;"Y",11&lt;$I207),0,IF(SUMPRODUCT(((BULK_ENABLED="Y")*((BULK_TIER="ALL")+(BULK_TIER=$F207))*((BULK_SKU="ALL")+(BULK_SKU=$G207))*(BULK_START&lt;=11)*(BULK_END&gt;=11)))&gt;0,IFERROR(SUMPRODUCT(((BULK_ENABLED="Y")*((BULK_TIER="ALL")+(BULK_TIER=$F207))*((BULK_SKU="ALL")+(BULK_SKU=$G207))*(BULK_START&lt;=11)*(BULK_END&gt;=11))*IFERROR(BULK_VALUE,0))/MAX(1,SUMPRODUCT(((BULK_ENABLED="Y")*((BULK_TIER="ALL")+(BULK_TIER=$F207))*((BULK_SKU="ALL")+(BULK_SKU=$G207))*(BULK_START&lt;=11)*(BULK_END&gt;=11)))),0),ROUND((INDEX(VELOCITY_TABLE,MATCH($F207,TIER_LIST,0),2))*(IF((11-$I207+1)&lt;=0,0,IF((11-$I207+1)=1,RAMP_W1,IF((11-$I207+1)=2,RAMP_W2,IF((11-$I207+1)=3,RAMP_W3,RAMP_W4PLUS)))))*(INDEX(ACTIVE_MULT_TABLE,2,1))*(1+SUMPRODUCT(SIGN(((ACT_DOOR_SCOPE="ALL")+(ACT_DOOR_SCOPE="TIER_"&amp;$F207)+(ACT_DOOR_SCOPE=$B207)))*SIGN(((ACT_SKU_SCOPE="ALL")+(ACT_SKU_SCOPE=$G207)))*(ACT_START&lt;=11)*(ACT_END&gt;=11)*IFERROR(ACT_UPLIFT-1,0)))*(1+SUMPRODUCT(SIGN(((ACT_DOOR_SCOPE="ALL")+(ACT_DOOR_SCOPE="TIER_"&amp;$F207)+(ACT_DOOR_SCOPE=$B207)))*SIGN(((ACT_SKU_SCOPE="ALL")+(ACT_SKU_SCOPE=$G207)))*(11&gt;ACT_END)*(ACT_END&gt;0)*IFERROR(ACT_POSTLIFT,0))),0)))</f>
        <v/>
      </c>
      <c r="U207" s="10">
        <f>IF(OR($H207&lt;&gt;"Y",12&lt;$I207),0,IF(SUMPRODUCT(((BULK_ENABLED="Y")*((BULK_TIER="ALL")+(BULK_TIER=$F207))*((BULK_SKU="ALL")+(BULK_SKU=$G207))*(BULK_START&lt;=12)*(BULK_END&gt;=12)))&gt;0,IFERROR(SUMPRODUCT(((BULK_ENABLED="Y")*((BULK_TIER="ALL")+(BULK_TIER=$F207))*((BULK_SKU="ALL")+(BULK_SKU=$G207))*(BULK_START&lt;=12)*(BULK_END&gt;=12))*IFERROR(BULK_VALUE,0))/MAX(1,SUMPRODUCT(((BULK_ENABLED="Y")*((BULK_TIER="ALL")+(BULK_TIER=$F207))*((BULK_SKU="ALL")+(BULK_SKU=$G207))*(BULK_START&lt;=12)*(BULK_END&gt;=12)))),0),ROUND((INDEX(VELOCITY_TABLE,MATCH($F207,TIER_LIST,0),2))*(IF((12-$I207+1)&lt;=0,0,IF((12-$I207+1)=1,RAMP_W1,IF((12-$I207+1)=2,RAMP_W2,IF((12-$I207+1)=3,RAMP_W3,RAMP_W4PLUS)))))*(INDEX(ACTIVE_MULT_TABLE,2,1))*(1+SUMPRODUCT(SIGN(((ACT_DOOR_SCOPE="ALL")+(ACT_DOOR_SCOPE="TIER_"&amp;$F207)+(ACT_DOOR_SCOPE=$B207)))*SIGN(((ACT_SKU_SCOPE="ALL")+(ACT_SKU_SCOPE=$G207)))*(ACT_START&lt;=12)*(ACT_END&gt;=12)*IFERROR(ACT_UPLIFT-1,0)))*(1+SUMPRODUCT(SIGN(((ACT_DOOR_SCOPE="ALL")+(ACT_DOOR_SCOPE="TIER_"&amp;$F207)+(ACT_DOOR_SCOPE=$B207)))*SIGN(((ACT_SKU_SCOPE="ALL")+(ACT_SKU_SCOPE=$G207)))*(12&gt;ACT_END)*(ACT_END&gt;0)*IFERROR(ACT_POSTLIFT,0))),0)))</f>
        <v/>
      </c>
      <c r="V207" s="10">
        <f>IF(OR($H207&lt;&gt;"Y",13&lt;$I207),0,IF(SUMPRODUCT(((BULK_ENABLED="Y")*((BULK_TIER="ALL")+(BULK_TIER=$F207))*((BULK_SKU="ALL")+(BULK_SKU=$G207))*(BULK_START&lt;=13)*(BULK_END&gt;=13)))&gt;0,IFERROR(SUMPRODUCT(((BULK_ENABLED="Y")*((BULK_TIER="ALL")+(BULK_TIER=$F207))*((BULK_SKU="ALL")+(BULK_SKU=$G207))*(BULK_START&lt;=13)*(BULK_END&gt;=13))*IFERROR(BULK_VALUE,0))/MAX(1,SUMPRODUCT(((BULK_ENABLED="Y")*((BULK_TIER="ALL")+(BULK_TIER=$F207))*((BULK_SKU="ALL")+(BULK_SKU=$G207))*(BULK_START&lt;=13)*(BULK_END&gt;=13)))),0),ROUND((INDEX(VELOCITY_TABLE,MATCH($F207,TIER_LIST,0),2))*(IF((13-$I207+1)&lt;=0,0,IF((13-$I207+1)=1,RAMP_W1,IF((13-$I207+1)=2,RAMP_W2,IF((13-$I207+1)=3,RAMP_W3,RAMP_W4PLUS)))))*(INDEX(ACTIVE_MULT_TABLE,2,1))*(1+SUMPRODUCT(SIGN(((ACT_DOOR_SCOPE="ALL")+(ACT_DOOR_SCOPE="TIER_"&amp;$F207)+(ACT_DOOR_SCOPE=$B207)))*SIGN(((ACT_SKU_SCOPE="ALL")+(ACT_SKU_SCOPE=$G207)))*(ACT_START&lt;=13)*(ACT_END&gt;=13)*IFERROR(ACT_UPLIFT-1,0)))*(1+SUMPRODUCT(SIGN(((ACT_DOOR_SCOPE="ALL")+(ACT_DOOR_SCOPE="TIER_"&amp;$F207)+(ACT_DOOR_SCOPE=$B207)))*SIGN(((ACT_SKU_SCOPE="ALL")+(ACT_SKU_SCOPE=$G207)))*(13&gt;ACT_END)*(ACT_END&gt;0)*IFERROR(ACT_POSTLIFT,0))),0)))</f>
        <v/>
      </c>
    </row>
    <row r="208">
      <c r="A208" t="inlineStr">
        <is>
          <t>R0204</t>
        </is>
      </c>
      <c r="B208">
        <f>Doors!$A$72</f>
        <v/>
      </c>
      <c r="C208">
        <f>Doors!$C$72</f>
        <v/>
      </c>
      <c r="D208">
        <f>Doors!$B$72</f>
        <v/>
      </c>
      <c r="E208">
        <f>Doors!$E$72</f>
        <v/>
      </c>
      <c r="F208">
        <f>Doors!$F$72</f>
        <v/>
      </c>
      <c r="G208" t="inlineStr">
        <is>
          <t>Raspberry</t>
        </is>
      </c>
      <c r="H208">
        <f>Doors!$I$72</f>
        <v/>
      </c>
      <c r="I208">
        <f>Doors!$J$72</f>
        <v/>
      </c>
      <c r="J208" s="10">
        <f>IF(OR($H208&lt;&gt;"Y",1&lt;$I208),0,IF(SUMPRODUCT(((BULK_ENABLED="Y")*((BULK_TIER="ALL")+(BULK_TIER=$F208))*((BULK_SKU="ALL")+(BULK_SKU=$G208))*(BULK_START&lt;=1)*(BULK_END&gt;=1)))&gt;0,IFERROR(SUMPRODUCT(((BULK_ENABLED="Y")*((BULK_TIER="ALL")+(BULK_TIER=$F208))*((BULK_SKU="ALL")+(BULK_SKU=$G208))*(BULK_START&lt;=1)*(BULK_END&gt;=1))*IFERROR(BULK_VALUE,0))/MAX(1,SUMPRODUCT(((BULK_ENABLED="Y")*((BULK_TIER="ALL")+(BULK_TIER=$F208))*((BULK_SKU="ALL")+(BULK_SKU=$G208))*(BULK_START&lt;=1)*(BULK_END&gt;=1)))),0),ROUND((INDEX(VELOCITY_TABLE,MATCH($F208,TIER_LIST,0),3))*(IF((1-$I208+1)&lt;=0,0,IF((1-$I208+1)=1,RAMP_W1,IF((1-$I208+1)=2,RAMP_W2,IF((1-$I208+1)=3,RAMP_W3,RAMP_W4PLUS)))))*(INDEX(ACTIVE_MULT_TABLE,3,1))*(1+SUMPRODUCT(SIGN(((ACT_DOOR_SCOPE="ALL")+(ACT_DOOR_SCOPE="TIER_"&amp;$F208)+(ACT_DOOR_SCOPE=$B208)))*SIGN(((ACT_SKU_SCOPE="ALL")+(ACT_SKU_SCOPE=$G208)))*(ACT_START&lt;=1)*(ACT_END&gt;=1)*IFERROR(ACT_UPLIFT-1,0)))*(1+SUMPRODUCT(SIGN(((ACT_DOOR_SCOPE="ALL")+(ACT_DOOR_SCOPE="TIER_"&amp;$F208)+(ACT_DOOR_SCOPE=$B208)))*SIGN(((ACT_SKU_SCOPE="ALL")+(ACT_SKU_SCOPE=$G208)))*(1&gt;ACT_END)*(ACT_END&gt;0)*IFERROR(ACT_POSTLIFT,0))),0)))</f>
        <v/>
      </c>
      <c r="K208" s="10">
        <f>IF(OR($H208&lt;&gt;"Y",2&lt;$I208),0,IF(SUMPRODUCT(((BULK_ENABLED="Y")*((BULK_TIER="ALL")+(BULK_TIER=$F208))*((BULK_SKU="ALL")+(BULK_SKU=$G208))*(BULK_START&lt;=2)*(BULK_END&gt;=2)))&gt;0,IFERROR(SUMPRODUCT(((BULK_ENABLED="Y")*((BULK_TIER="ALL")+(BULK_TIER=$F208))*((BULK_SKU="ALL")+(BULK_SKU=$G208))*(BULK_START&lt;=2)*(BULK_END&gt;=2))*IFERROR(BULK_VALUE,0))/MAX(1,SUMPRODUCT(((BULK_ENABLED="Y")*((BULK_TIER="ALL")+(BULK_TIER=$F208))*((BULK_SKU="ALL")+(BULK_SKU=$G208))*(BULK_START&lt;=2)*(BULK_END&gt;=2)))),0),ROUND((INDEX(VELOCITY_TABLE,MATCH($F208,TIER_LIST,0),3))*(IF((2-$I208+1)&lt;=0,0,IF((2-$I208+1)=1,RAMP_W1,IF((2-$I208+1)=2,RAMP_W2,IF((2-$I208+1)=3,RAMP_W3,RAMP_W4PLUS)))))*(INDEX(ACTIVE_MULT_TABLE,3,1))*(1+SUMPRODUCT(SIGN(((ACT_DOOR_SCOPE="ALL")+(ACT_DOOR_SCOPE="TIER_"&amp;$F208)+(ACT_DOOR_SCOPE=$B208)))*SIGN(((ACT_SKU_SCOPE="ALL")+(ACT_SKU_SCOPE=$G208)))*(ACT_START&lt;=2)*(ACT_END&gt;=2)*IFERROR(ACT_UPLIFT-1,0)))*(1+SUMPRODUCT(SIGN(((ACT_DOOR_SCOPE="ALL")+(ACT_DOOR_SCOPE="TIER_"&amp;$F208)+(ACT_DOOR_SCOPE=$B208)))*SIGN(((ACT_SKU_SCOPE="ALL")+(ACT_SKU_SCOPE=$G208)))*(2&gt;ACT_END)*(ACT_END&gt;0)*IFERROR(ACT_POSTLIFT,0))),0)))</f>
        <v/>
      </c>
      <c r="L208" s="10">
        <f>IF(OR($H208&lt;&gt;"Y",3&lt;$I208),0,IF(SUMPRODUCT(((BULK_ENABLED="Y")*((BULK_TIER="ALL")+(BULK_TIER=$F208))*((BULK_SKU="ALL")+(BULK_SKU=$G208))*(BULK_START&lt;=3)*(BULK_END&gt;=3)))&gt;0,IFERROR(SUMPRODUCT(((BULK_ENABLED="Y")*((BULK_TIER="ALL")+(BULK_TIER=$F208))*((BULK_SKU="ALL")+(BULK_SKU=$G208))*(BULK_START&lt;=3)*(BULK_END&gt;=3))*IFERROR(BULK_VALUE,0))/MAX(1,SUMPRODUCT(((BULK_ENABLED="Y")*((BULK_TIER="ALL")+(BULK_TIER=$F208))*((BULK_SKU="ALL")+(BULK_SKU=$G208))*(BULK_START&lt;=3)*(BULK_END&gt;=3)))),0),ROUND((INDEX(VELOCITY_TABLE,MATCH($F208,TIER_LIST,0),3))*(IF((3-$I208+1)&lt;=0,0,IF((3-$I208+1)=1,RAMP_W1,IF((3-$I208+1)=2,RAMP_W2,IF((3-$I208+1)=3,RAMP_W3,RAMP_W4PLUS)))))*(INDEX(ACTIVE_MULT_TABLE,3,1))*(1+SUMPRODUCT(SIGN(((ACT_DOOR_SCOPE="ALL")+(ACT_DOOR_SCOPE="TIER_"&amp;$F208)+(ACT_DOOR_SCOPE=$B208)))*SIGN(((ACT_SKU_SCOPE="ALL")+(ACT_SKU_SCOPE=$G208)))*(ACT_START&lt;=3)*(ACT_END&gt;=3)*IFERROR(ACT_UPLIFT-1,0)))*(1+SUMPRODUCT(SIGN(((ACT_DOOR_SCOPE="ALL")+(ACT_DOOR_SCOPE="TIER_"&amp;$F208)+(ACT_DOOR_SCOPE=$B208)))*SIGN(((ACT_SKU_SCOPE="ALL")+(ACT_SKU_SCOPE=$G208)))*(3&gt;ACT_END)*(ACT_END&gt;0)*IFERROR(ACT_POSTLIFT,0))),0)))</f>
        <v/>
      </c>
      <c r="M208" s="10">
        <f>IF(OR($H208&lt;&gt;"Y",4&lt;$I208),0,IF(SUMPRODUCT(((BULK_ENABLED="Y")*((BULK_TIER="ALL")+(BULK_TIER=$F208))*((BULK_SKU="ALL")+(BULK_SKU=$G208))*(BULK_START&lt;=4)*(BULK_END&gt;=4)))&gt;0,IFERROR(SUMPRODUCT(((BULK_ENABLED="Y")*((BULK_TIER="ALL")+(BULK_TIER=$F208))*((BULK_SKU="ALL")+(BULK_SKU=$G208))*(BULK_START&lt;=4)*(BULK_END&gt;=4))*IFERROR(BULK_VALUE,0))/MAX(1,SUMPRODUCT(((BULK_ENABLED="Y")*((BULK_TIER="ALL")+(BULK_TIER=$F208))*((BULK_SKU="ALL")+(BULK_SKU=$G208))*(BULK_START&lt;=4)*(BULK_END&gt;=4)))),0),ROUND((INDEX(VELOCITY_TABLE,MATCH($F208,TIER_LIST,0),3))*(IF((4-$I208+1)&lt;=0,0,IF((4-$I208+1)=1,RAMP_W1,IF((4-$I208+1)=2,RAMP_W2,IF((4-$I208+1)=3,RAMP_W3,RAMP_W4PLUS)))))*(INDEX(ACTIVE_MULT_TABLE,3,1))*(1+SUMPRODUCT(SIGN(((ACT_DOOR_SCOPE="ALL")+(ACT_DOOR_SCOPE="TIER_"&amp;$F208)+(ACT_DOOR_SCOPE=$B208)))*SIGN(((ACT_SKU_SCOPE="ALL")+(ACT_SKU_SCOPE=$G208)))*(ACT_START&lt;=4)*(ACT_END&gt;=4)*IFERROR(ACT_UPLIFT-1,0)))*(1+SUMPRODUCT(SIGN(((ACT_DOOR_SCOPE="ALL")+(ACT_DOOR_SCOPE="TIER_"&amp;$F208)+(ACT_DOOR_SCOPE=$B208)))*SIGN(((ACT_SKU_SCOPE="ALL")+(ACT_SKU_SCOPE=$G208)))*(4&gt;ACT_END)*(ACT_END&gt;0)*IFERROR(ACT_POSTLIFT,0))),0)))</f>
        <v/>
      </c>
      <c r="N208" s="10">
        <f>IF(OR($H208&lt;&gt;"Y",5&lt;$I208),0,IF(SUMPRODUCT(((BULK_ENABLED="Y")*((BULK_TIER="ALL")+(BULK_TIER=$F208))*((BULK_SKU="ALL")+(BULK_SKU=$G208))*(BULK_START&lt;=5)*(BULK_END&gt;=5)))&gt;0,IFERROR(SUMPRODUCT(((BULK_ENABLED="Y")*((BULK_TIER="ALL")+(BULK_TIER=$F208))*((BULK_SKU="ALL")+(BULK_SKU=$G208))*(BULK_START&lt;=5)*(BULK_END&gt;=5))*IFERROR(BULK_VALUE,0))/MAX(1,SUMPRODUCT(((BULK_ENABLED="Y")*((BULK_TIER="ALL")+(BULK_TIER=$F208))*((BULK_SKU="ALL")+(BULK_SKU=$G208))*(BULK_START&lt;=5)*(BULK_END&gt;=5)))),0),ROUND((INDEX(VELOCITY_TABLE,MATCH($F208,TIER_LIST,0),3))*(IF((5-$I208+1)&lt;=0,0,IF((5-$I208+1)=1,RAMP_W1,IF((5-$I208+1)=2,RAMP_W2,IF((5-$I208+1)=3,RAMP_W3,RAMP_W4PLUS)))))*(INDEX(ACTIVE_MULT_TABLE,3,1))*(1+SUMPRODUCT(SIGN(((ACT_DOOR_SCOPE="ALL")+(ACT_DOOR_SCOPE="TIER_"&amp;$F208)+(ACT_DOOR_SCOPE=$B208)))*SIGN(((ACT_SKU_SCOPE="ALL")+(ACT_SKU_SCOPE=$G208)))*(ACT_START&lt;=5)*(ACT_END&gt;=5)*IFERROR(ACT_UPLIFT-1,0)))*(1+SUMPRODUCT(SIGN(((ACT_DOOR_SCOPE="ALL")+(ACT_DOOR_SCOPE="TIER_"&amp;$F208)+(ACT_DOOR_SCOPE=$B208)))*SIGN(((ACT_SKU_SCOPE="ALL")+(ACT_SKU_SCOPE=$G208)))*(5&gt;ACT_END)*(ACT_END&gt;0)*IFERROR(ACT_POSTLIFT,0))),0)))</f>
        <v/>
      </c>
      <c r="O208" s="10">
        <f>IF(OR($H208&lt;&gt;"Y",6&lt;$I208),0,IF(SUMPRODUCT(((BULK_ENABLED="Y")*((BULK_TIER="ALL")+(BULK_TIER=$F208))*((BULK_SKU="ALL")+(BULK_SKU=$G208))*(BULK_START&lt;=6)*(BULK_END&gt;=6)))&gt;0,IFERROR(SUMPRODUCT(((BULK_ENABLED="Y")*((BULK_TIER="ALL")+(BULK_TIER=$F208))*((BULK_SKU="ALL")+(BULK_SKU=$G208))*(BULK_START&lt;=6)*(BULK_END&gt;=6))*IFERROR(BULK_VALUE,0))/MAX(1,SUMPRODUCT(((BULK_ENABLED="Y")*((BULK_TIER="ALL")+(BULK_TIER=$F208))*((BULK_SKU="ALL")+(BULK_SKU=$G208))*(BULK_START&lt;=6)*(BULK_END&gt;=6)))),0),ROUND((INDEX(VELOCITY_TABLE,MATCH($F208,TIER_LIST,0),3))*(IF((6-$I208+1)&lt;=0,0,IF((6-$I208+1)=1,RAMP_W1,IF((6-$I208+1)=2,RAMP_W2,IF((6-$I208+1)=3,RAMP_W3,RAMP_W4PLUS)))))*(INDEX(ACTIVE_MULT_TABLE,3,1))*(1+SUMPRODUCT(SIGN(((ACT_DOOR_SCOPE="ALL")+(ACT_DOOR_SCOPE="TIER_"&amp;$F208)+(ACT_DOOR_SCOPE=$B208)))*SIGN(((ACT_SKU_SCOPE="ALL")+(ACT_SKU_SCOPE=$G208)))*(ACT_START&lt;=6)*(ACT_END&gt;=6)*IFERROR(ACT_UPLIFT-1,0)))*(1+SUMPRODUCT(SIGN(((ACT_DOOR_SCOPE="ALL")+(ACT_DOOR_SCOPE="TIER_"&amp;$F208)+(ACT_DOOR_SCOPE=$B208)))*SIGN(((ACT_SKU_SCOPE="ALL")+(ACT_SKU_SCOPE=$G208)))*(6&gt;ACT_END)*(ACT_END&gt;0)*IFERROR(ACT_POSTLIFT,0))),0)))</f>
        <v/>
      </c>
      <c r="P208" s="10">
        <f>IF(OR($H208&lt;&gt;"Y",7&lt;$I208),0,IF(SUMPRODUCT(((BULK_ENABLED="Y")*((BULK_TIER="ALL")+(BULK_TIER=$F208))*((BULK_SKU="ALL")+(BULK_SKU=$G208))*(BULK_START&lt;=7)*(BULK_END&gt;=7)))&gt;0,IFERROR(SUMPRODUCT(((BULK_ENABLED="Y")*((BULK_TIER="ALL")+(BULK_TIER=$F208))*((BULK_SKU="ALL")+(BULK_SKU=$G208))*(BULK_START&lt;=7)*(BULK_END&gt;=7))*IFERROR(BULK_VALUE,0))/MAX(1,SUMPRODUCT(((BULK_ENABLED="Y")*((BULK_TIER="ALL")+(BULK_TIER=$F208))*((BULK_SKU="ALL")+(BULK_SKU=$G208))*(BULK_START&lt;=7)*(BULK_END&gt;=7)))),0),ROUND((INDEX(VELOCITY_TABLE,MATCH($F208,TIER_LIST,0),3))*(IF((7-$I208+1)&lt;=0,0,IF((7-$I208+1)=1,RAMP_W1,IF((7-$I208+1)=2,RAMP_W2,IF((7-$I208+1)=3,RAMP_W3,RAMP_W4PLUS)))))*(INDEX(ACTIVE_MULT_TABLE,3,1))*(1+SUMPRODUCT(SIGN(((ACT_DOOR_SCOPE="ALL")+(ACT_DOOR_SCOPE="TIER_"&amp;$F208)+(ACT_DOOR_SCOPE=$B208)))*SIGN(((ACT_SKU_SCOPE="ALL")+(ACT_SKU_SCOPE=$G208)))*(ACT_START&lt;=7)*(ACT_END&gt;=7)*IFERROR(ACT_UPLIFT-1,0)))*(1+SUMPRODUCT(SIGN(((ACT_DOOR_SCOPE="ALL")+(ACT_DOOR_SCOPE="TIER_"&amp;$F208)+(ACT_DOOR_SCOPE=$B208)))*SIGN(((ACT_SKU_SCOPE="ALL")+(ACT_SKU_SCOPE=$G208)))*(7&gt;ACT_END)*(ACT_END&gt;0)*IFERROR(ACT_POSTLIFT,0))),0)))</f>
        <v/>
      </c>
      <c r="Q208" s="10">
        <f>IF(OR($H208&lt;&gt;"Y",8&lt;$I208),0,IF(SUMPRODUCT(((BULK_ENABLED="Y")*((BULK_TIER="ALL")+(BULK_TIER=$F208))*((BULK_SKU="ALL")+(BULK_SKU=$G208))*(BULK_START&lt;=8)*(BULK_END&gt;=8)))&gt;0,IFERROR(SUMPRODUCT(((BULK_ENABLED="Y")*((BULK_TIER="ALL")+(BULK_TIER=$F208))*((BULK_SKU="ALL")+(BULK_SKU=$G208))*(BULK_START&lt;=8)*(BULK_END&gt;=8))*IFERROR(BULK_VALUE,0))/MAX(1,SUMPRODUCT(((BULK_ENABLED="Y")*((BULK_TIER="ALL")+(BULK_TIER=$F208))*((BULK_SKU="ALL")+(BULK_SKU=$G208))*(BULK_START&lt;=8)*(BULK_END&gt;=8)))),0),ROUND((INDEX(VELOCITY_TABLE,MATCH($F208,TIER_LIST,0),3))*(IF((8-$I208+1)&lt;=0,0,IF((8-$I208+1)=1,RAMP_W1,IF((8-$I208+1)=2,RAMP_W2,IF((8-$I208+1)=3,RAMP_W3,RAMP_W4PLUS)))))*(INDEX(ACTIVE_MULT_TABLE,3,1))*(1+SUMPRODUCT(SIGN(((ACT_DOOR_SCOPE="ALL")+(ACT_DOOR_SCOPE="TIER_"&amp;$F208)+(ACT_DOOR_SCOPE=$B208)))*SIGN(((ACT_SKU_SCOPE="ALL")+(ACT_SKU_SCOPE=$G208)))*(ACT_START&lt;=8)*(ACT_END&gt;=8)*IFERROR(ACT_UPLIFT-1,0)))*(1+SUMPRODUCT(SIGN(((ACT_DOOR_SCOPE="ALL")+(ACT_DOOR_SCOPE="TIER_"&amp;$F208)+(ACT_DOOR_SCOPE=$B208)))*SIGN(((ACT_SKU_SCOPE="ALL")+(ACT_SKU_SCOPE=$G208)))*(8&gt;ACT_END)*(ACT_END&gt;0)*IFERROR(ACT_POSTLIFT,0))),0)))</f>
        <v/>
      </c>
      <c r="R208" s="10">
        <f>IF(OR($H208&lt;&gt;"Y",9&lt;$I208),0,IF(SUMPRODUCT(((BULK_ENABLED="Y")*((BULK_TIER="ALL")+(BULK_TIER=$F208))*((BULK_SKU="ALL")+(BULK_SKU=$G208))*(BULK_START&lt;=9)*(BULK_END&gt;=9)))&gt;0,IFERROR(SUMPRODUCT(((BULK_ENABLED="Y")*((BULK_TIER="ALL")+(BULK_TIER=$F208))*((BULK_SKU="ALL")+(BULK_SKU=$G208))*(BULK_START&lt;=9)*(BULK_END&gt;=9))*IFERROR(BULK_VALUE,0))/MAX(1,SUMPRODUCT(((BULK_ENABLED="Y")*((BULK_TIER="ALL")+(BULK_TIER=$F208))*((BULK_SKU="ALL")+(BULK_SKU=$G208))*(BULK_START&lt;=9)*(BULK_END&gt;=9)))),0),ROUND((INDEX(VELOCITY_TABLE,MATCH($F208,TIER_LIST,0),3))*(IF((9-$I208+1)&lt;=0,0,IF((9-$I208+1)=1,RAMP_W1,IF((9-$I208+1)=2,RAMP_W2,IF((9-$I208+1)=3,RAMP_W3,RAMP_W4PLUS)))))*(INDEX(ACTIVE_MULT_TABLE,3,1))*(1+SUMPRODUCT(SIGN(((ACT_DOOR_SCOPE="ALL")+(ACT_DOOR_SCOPE="TIER_"&amp;$F208)+(ACT_DOOR_SCOPE=$B208)))*SIGN(((ACT_SKU_SCOPE="ALL")+(ACT_SKU_SCOPE=$G208)))*(ACT_START&lt;=9)*(ACT_END&gt;=9)*IFERROR(ACT_UPLIFT-1,0)))*(1+SUMPRODUCT(SIGN(((ACT_DOOR_SCOPE="ALL")+(ACT_DOOR_SCOPE="TIER_"&amp;$F208)+(ACT_DOOR_SCOPE=$B208)))*SIGN(((ACT_SKU_SCOPE="ALL")+(ACT_SKU_SCOPE=$G208)))*(9&gt;ACT_END)*(ACT_END&gt;0)*IFERROR(ACT_POSTLIFT,0))),0)))</f>
        <v/>
      </c>
      <c r="S208" s="10">
        <f>IF(OR($H208&lt;&gt;"Y",10&lt;$I208),0,IF(SUMPRODUCT(((BULK_ENABLED="Y")*((BULK_TIER="ALL")+(BULK_TIER=$F208))*((BULK_SKU="ALL")+(BULK_SKU=$G208))*(BULK_START&lt;=10)*(BULK_END&gt;=10)))&gt;0,IFERROR(SUMPRODUCT(((BULK_ENABLED="Y")*((BULK_TIER="ALL")+(BULK_TIER=$F208))*((BULK_SKU="ALL")+(BULK_SKU=$G208))*(BULK_START&lt;=10)*(BULK_END&gt;=10))*IFERROR(BULK_VALUE,0))/MAX(1,SUMPRODUCT(((BULK_ENABLED="Y")*((BULK_TIER="ALL")+(BULK_TIER=$F208))*((BULK_SKU="ALL")+(BULK_SKU=$G208))*(BULK_START&lt;=10)*(BULK_END&gt;=10)))),0),ROUND((INDEX(VELOCITY_TABLE,MATCH($F208,TIER_LIST,0),3))*(IF((10-$I208+1)&lt;=0,0,IF((10-$I208+1)=1,RAMP_W1,IF((10-$I208+1)=2,RAMP_W2,IF((10-$I208+1)=3,RAMP_W3,RAMP_W4PLUS)))))*(INDEX(ACTIVE_MULT_TABLE,3,1))*(1+SUMPRODUCT(SIGN(((ACT_DOOR_SCOPE="ALL")+(ACT_DOOR_SCOPE="TIER_"&amp;$F208)+(ACT_DOOR_SCOPE=$B208)))*SIGN(((ACT_SKU_SCOPE="ALL")+(ACT_SKU_SCOPE=$G208)))*(ACT_START&lt;=10)*(ACT_END&gt;=10)*IFERROR(ACT_UPLIFT-1,0)))*(1+SUMPRODUCT(SIGN(((ACT_DOOR_SCOPE="ALL")+(ACT_DOOR_SCOPE="TIER_"&amp;$F208)+(ACT_DOOR_SCOPE=$B208)))*SIGN(((ACT_SKU_SCOPE="ALL")+(ACT_SKU_SCOPE=$G208)))*(10&gt;ACT_END)*(ACT_END&gt;0)*IFERROR(ACT_POSTLIFT,0))),0)))</f>
        <v/>
      </c>
      <c r="T208" s="10">
        <f>IF(OR($H208&lt;&gt;"Y",11&lt;$I208),0,IF(SUMPRODUCT(((BULK_ENABLED="Y")*((BULK_TIER="ALL")+(BULK_TIER=$F208))*((BULK_SKU="ALL")+(BULK_SKU=$G208))*(BULK_START&lt;=11)*(BULK_END&gt;=11)))&gt;0,IFERROR(SUMPRODUCT(((BULK_ENABLED="Y")*((BULK_TIER="ALL")+(BULK_TIER=$F208))*((BULK_SKU="ALL")+(BULK_SKU=$G208))*(BULK_START&lt;=11)*(BULK_END&gt;=11))*IFERROR(BULK_VALUE,0))/MAX(1,SUMPRODUCT(((BULK_ENABLED="Y")*((BULK_TIER="ALL")+(BULK_TIER=$F208))*((BULK_SKU="ALL")+(BULK_SKU=$G208))*(BULK_START&lt;=11)*(BULK_END&gt;=11)))),0),ROUND((INDEX(VELOCITY_TABLE,MATCH($F208,TIER_LIST,0),3))*(IF((11-$I208+1)&lt;=0,0,IF((11-$I208+1)=1,RAMP_W1,IF((11-$I208+1)=2,RAMP_W2,IF((11-$I208+1)=3,RAMP_W3,RAMP_W4PLUS)))))*(INDEX(ACTIVE_MULT_TABLE,3,1))*(1+SUMPRODUCT(SIGN(((ACT_DOOR_SCOPE="ALL")+(ACT_DOOR_SCOPE="TIER_"&amp;$F208)+(ACT_DOOR_SCOPE=$B208)))*SIGN(((ACT_SKU_SCOPE="ALL")+(ACT_SKU_SCOPE=$G208)))*(ACT_START&lt;=11)*(ACT_END&gt;=11)*IFERROR(ACT_UPLIFT-1,0)))*(1+SUMPRODUCT(SIGN(((ACT_DOOR_SCOPE="ALL")+(ACT_DOOR_SCOPE="TIER_"&amp;$F208)+(ACT_DOOR_SCOPE=$B208)))*SIGN(((ACT_SKU_SCOPE="ALL")+(ACT_SKU_SCOPE=$G208)))*(11&gt;ACT_END)*(ACT_END&gt;0)*IFERROR(ACT_POSTLIFT,0))),0)))</f>
        <v/>
      </c>
      <c r="U208" s="10">
        <f>IF(OR($H208&lt;&gt;"Y",12&lt;$I208),0,IF(SUMPRODUCT(((BULK_ENABLED="Y")*((BULK_TIER="ALL")+(BULK_TIER=$F208))*((BULK_SKU="ALL")+(BULK_SKU=$G208))*(BULK_START&lt;=12)*(BULK_END&gt;=12)))&gt;0,IFERROR(SUMPRODUCT(((BULK_ENABLED="Y")*((BULK_TIER="ALL")+(BULK_TIER=$F208))*((BULK_SKU="ALL")+(BULK_SKU=$G208))*(BULK_START&lt;=12)*(BULK_END&gt;=12))*IFERROR(BULK_VALUE,0))/MAX(1,SUMPRODUCT(((BULK_ENABLED="Y")*((BULK_TIER="ALL")+(BULK_TIER=$F208))*((BULK_SKU="ALL")+(BULK_SKU=$G208))*(BULK_START&lt;=12)*(BULK_END&gt;=12)))),0),ROUND((INDEX(VELOCITY_TABLE,MATCH($F208,TIER_LIST,0),3))*(IF((12-$I208+1)&lt;=0,0,IF((12-$I208+1)=1,RAMP_W1,IF((12-$I208+1)=2,RAMP_W2,IF((12-$I208+1)=3,RAMP_W3,RAMP_W4PLUS)))))*(INDEX(ACTIVE_MULT_TABLE,3,1))*(1+SUMPRODUCT(SIGN(((ACT_DOOR_SCOPE="ALL")+(ACT_DOOR_SCOPE="TIER_"&amp;$F208)+(ACT_DOOR_SCOPE=$B208)))*SIGN(((ACT_SKU_SCOPE="ALL")+(ACT_SKU_SCOPE=$G208)))*(ACT_START&lt;=12)*(ACT_END&gt;=12)*IFERROR(ACT_UPLIFT-1,0)))*(1+SUMPRODUCT(SIGN(((ACT_DOOR_SCOPE="ALL")+(ACT_DOOR_SCOPE="TIER_"&amp;$F208)+(ACT_DOOR_SCOPE=$B208)))*SIGN(((ACT_SKU_SCOPE="ALL")+(ACT_SKU_SCOPE=$G208)))*(12&gt;ACT_END)*(ACT_END&gt;0)*IFERROR(ACT_POSTLIFT,0))),0)))</f>
        <v/>
      </c>
      <c r="V208" s="10">
        <f>IF(OR($H208&lt;&gt;"Y",13&lt;$I208),0,IF(SUMPRODUCT(((BULK_ENABLED="Y")*((BULK_TIER="ALL")+(BULK_TIER=$F208))*((BULK_SKU="ALL")+(BULK_SKU=$G208))*(BULK_START&lt;=13)*(BULK_END&gt;=13)))&gt;0,IFERROR(SUMPRODUCT(((BULK_ENABLED="Y")*((BULK_TIER="ALL")+(BULK_TIER=$F208))*((BULK_SKU="ALL")+(BULK_SKU=$G208))*(BULK_START&lt;=13)*(BULK_END&gt;=13))*IFERROR(BULK_VALUE,0))/MAX(1,SUMPRODUCT(((BULK_ENABLED="Y")*((BULK_TIER="ALL")+(BULK_TIER=$F208))*((BULK_SKU="ALL")+(BULK_SKU=$G208))*(BULK_START&lt;=13)*(BULK_END&gt;=13)))),0),ROUND((INDEX(VELOCITY_TABLE,MATCH($F208,TIER_LIST,0),3))*(IF((13-$I208+1)&lt;=0,0,IF((13-$I208+1)=1,RAMP_W1,IF((13-$I208+1)=2,RAMP_W2,IF((13-$I208+1)=3,RAMP_W3,RAMP_W4PLUS)))))*(INDEX(ACTIVE_MULT_TABLE,3,1))*(1+SUMPRODUCT(SIGN(((ACT_DOOR_SCOPE="ALL")+(ACT_DOOR_SCOPE="TIER_"&amp;$F208)+(ACT_DOOR_SCOPE=$B208)))*SIGN(((ACT_SKU_SCOPE="ALL")+(ACT_SKU_SCOPE=$G208)))*(ACT_START&lt;=13)*(ACT_END&gt;=13)*IFERROR(ACT_UPLIFT-1,0)))*(1+SUMPRODUCT(SIGN(((ACT_DOOR_SCOPE="ALL")+(ACT_DOOR_SCOPE="TIER_"&amp;$F208)+(ACT_DOOR_SCOPE=$B208)))*SIGN(((ACT_SKU_SCOPE="ALL")+(ACT_SKU_SCOPE=$G208)))*(13&gt;ACT_END)*(ACT_END&gt;0)*IFERROR(ACT_POSTLIFT,0))),0)))</f>
        <v/>
      </c>
    </row>
    <row r="209">
      <c r="A209" t="inlineStr">
        <is>
          <t>R0205</t>
        </is>
      </c>
      <c r="B209">
        <f>Doors!$A$73</f>
        <v/>
      </c>
      <c r="C209">
        <f>Doors!$C$73</f>
        <v/>
      </c>
      <c r="D209">
        <f>Doors!$B$73</f>
        <v/>
      </c>
      <c r="E209">
        <f>Doors!$E$73</f>
        <v/>
      </c>
      <c r="F209">
        <f>Doors!$F$73</f>
        <v/>
      </c>
      <c r="G209" t="inlineStr">
        <is>
          <t>Lime Lemon</t>
        </is>
      </c>
      <c r="H209">
        <f>Doors!$G$73</f>
        <v/>
      </c>
      <c r="I209">
        <f>Doors!$J$73</f>
        <v/>
      </c>
      <c r="J209" s="10">
        <f>IF(OR($H209&lt;&gt;"Y",1&lt;$I209),0,IF(SUMPRODUCT(((BULK_ENABLED="Y")*((BULK_TIER="ALL")+(BULK_TIER=$F209))*((BULK_SKU="ALL")+(BULK_SKU=$G209))*(BULK_START&lt;=1)*(BULK_END&gt;=1)))&gt;0,IFERROR(SUMPRODUCT(((BULK_ENABLED="Y")*((BULK_TIER="ALL")+(BULK_TIER=$F209))*((BULK_SKU="ALL")+(BULK_SKU=$G209))*(BULK_START&lt;=1)*(BULK_END&gt;=1))*IFERROR(BULK_VALUE,0))/MAX(1,SUMPRODUCT(((BULK_ENABLED="Y")*((BULK_TIER="ALL")+(BULK_TIER=$F209))*((BULK_SKU="ALL")+(BULK_SKU=$G209))*(BULK_START&lt;=1)*(BULK_END&gt;=1)))),0),ROUND((INDEX(VELOCITY_TABLE,MATCH($F209,TIER_LIST,0),1))*(IF((1-$I209+1)&lt;=0,0,IF((1-$I209+1)=1,RAMP_W1,IF((1-$I209+1)=2,RAMP_W2,IF((1-$I209+1)=3,RAMP_W3,RAMP_W4PLUS)))))*(INDEX(ACTIVE_MULT_TABLE,1,1))*(1+SUMPRODUCT(SIGN(((ACT_DOOR_SCOPE="ALL")+(ACT_DOOR_SCOPE="TIER_"&amp;$F209)+(ACT_DOOR_SCOPE=$B209)))*SIGN(((ACT_SKU_SCOPE="ALL")+(ACT_SKU_SCOPE=$G209)))*(ACT_START&lt;=1)*(ACT_END&gt;=1)*IFERROR(ACT_UPLIFT-1,0)))*(1+SUMPRODUCT(SIGN(((ACT_DOOR_SCOPE="ALL")+(ACT_DOOR_SCOPE="TIER_"&amp;$F209)+(ACT_DOOR_SCOPE=$B209)))*SIGN(((ACT_SKU_SCOPE="ALL")+(ACT_SKU_SCOPE=$G209)))*(1&gt;ACT_END)*(ACT_END&gt;0)*IFERROR(ACT_POSTLIFT,0))),0)))</f>
        <v/>
      </c>
      <c r="K209" s="10">
        <f>IF(OR($H209&lt;&gt;"Y",2&lt;$I209),0,IF(SUMPRODUCT(((BULK_ENABLED="Y")*((BULK_TIER="ALL")+(BULK_TIER=$F209))*((BULK_SKU="ALL")+(BULK_SKU=$G209))*(BULK_START&lt;=2)*(BULK_END&gt;=2)))&gt;0,IFERROR(SUMPRODUCT(((BULK_ENABLED="Y")*((BULK_TIER="ALL")+(BULK_TIER=$F209))*((BULK_SKU="ALL")+(BULK_SKU=$G209))*(BULK_START&lt;=2)*(BULK_END&gt;=2))*IFERROR(BULK_VALUE,0))/MAX(1,SUMPRODUCT(((BULK_ENABLED="Y")*((BULK_TIER="ALL")+(BULK_TIER=$F209))*((BULK_SKU="ALL")+(BULK_SKU=$G209))*(BULK_START&lt;=2)*(BULK_END&gt;=2)))),0),ROUND((INDEX(VELOCITY_TABLE,MATCH($F209,TIER_LIST,0),1))*(IF((2-$I209+1)&lt;=0,0,IF((2-$I209+1)=1,RAMP_W1,IF((2-$I209+1)=2,RAMP_W2,IF((2-$I209+1)=3,RAMP_W3,RAMP_W4PLUS)))))*(INDEX(ACTIVE_MULT_TABLE,1,1))*(1+SUMPRODUCT(SIGN(((ACT_DOOR_SCOPE="ALL")+(ACT_DOOR_SCOPE="TIER_"&amp;$F209)+(ACT_DOOR_SCOPE=$B209)))*SIGN(((ACT_SKU_SCOPE="ALL")+(ACT_SKU_SCOPE=$G209)))*(ACT_START&lt;=2)*(ACT_END&gt;=2)*IFERROR(ACT_UPLIFT-1,0)))*(1+SUMPRODUCT(SIGN(((ACT_DOOR_SCOPE="ALL")+(ACT_DOOR_SCOPE="TIER_"&amp;$F209)+(ACT_DOOR_SCOPE=$B209)))*SIGN(((ACT_SKU_SCOPE="ALL")+(ACT_SKU_SCOPE=$G209)))*(2&gt;ACT_END)*(ACT_END&gt;0)*IFERROR(ACT_POSTLIFT,0))),0)))</f>
        <v/>
      </c>
      <c r="L209" s="10">
        <f>IF(OR($H209&lt;&gt;"Y",3&lt;$I209),0,IF(SUMPRODUCT(((BULK_ENABLED="Y")*((BULK_TIER="ALL")+(BULK_TIER=$F209))*((BULK_SKU="ALL")+(BULK_SKU=$G209))*(BULK_START&lt;=3)*(BULK_END&gt;=3)))&gt;0,IFERROR(SUMPRODUCT(((BULK_ENABLED="Y")*((BULK_TIER="ALL")+(BULK_TIER=$F209))*((BULK_SKU="ALL")+(BULK_SKU=$G209))*(BULK_START&lt;=3)*(BULK_END&gt;=3))*IFERROR(BULK_VALUE,0))/MAX(1,SUMPRODUCT(((BULK_ENABLED="Y")*((BULK_TIER="ALL")+(BULK_TIER=$F209))*((BULK_SKU="ALL")+(BULK_SKU=$G209))*(BULK_START&lt;=3)*(BULK_END&gt;=3)))),0),ROUND((INDEX(VELOCITY_TABLE,MATCH($F209,TIER_LIST,0),1))*(IF((3-$I209+1)&lt;=0,0,IF((3-$I209+1)=1,RAMP_W1,IF((3-$I209+1)=2,RAMP_W2,IF((3-$I209+1)=3,RAMP_W3,RAMP_W4PLUS)))))*(INDEX(ACTIVE_MULT_TABLE,1,1))*(1+SUMPRODUCT(SIGN(((ACT_DOOR_SCOPE="ALL")+(ACT_DOOR_SCOPE="TIER_"&amp;$F209)+(ACT_DOOR_SCOPE=$B209)))*SIGN(((ACT_SKU_SCOPE="ALL")+(ACT_SKU_SCOPE=$G209)))*(ACT_START&lt;=3)*(ACT_END&gt;=3)*IFERROR(ACT_UPLIFT-1,0)))*(1+SUMPRODUCT(SIGN(((ACT_DOOR_SCOPE="ALL")+(ACT_DOOR_SCOPE="TIER_"&amp;$F209)+(ACT_DOOR_SCOPE=$B209)))*SIGN(((ACT_SKU_SCOPE="ALL")+(ACT_SKU_SCOPE=$G209)))*(3&gt;ACT_END)*(ACT_END&gt;0)*IFERROR(ACT_POSTLIFT,0))),0)))</f>
        <v/>
      </c>
      <c r="M209" s="10">
        <f>IF(OR($H209&lt;&gt;"Y",4&lt;$I209),0,IF(SUMPRODUCT(((BULK_ENABLED="Y")*((BULK_TIER="ALL")+(BULK_TIER=$F209))*((BULK_SKU="ALL")+(BULK_SKU=$G209))*(BULK_START&lt;=4)*(BULK_END&gt;=4)))&gt;0,IFERROR(SUMPRODUCT(((BULK_ENABLED="Y")*((BULK_TIER="ALL")+(BULK_TIER=$F209))*((BULK_SKU="ALL")+(BULK_SKU=$G209))*(BULK_START&lt;=4)*(BULK_END&gt;=4))*IFERROR(BULK_VALUE,0))/MAX(1,SUMPRODUCT(((BULK_ENABLED="Y")*((BULK_TIER="ALL")+(BULK_TIER=$F209))*((BULK_SKU="ALL")+(BULK_SKU=$G209))*(BULK_START&lt;=4)*(BULK_END&gt;=4)))),0),ROUND((INDEX(VELOCITY_TABLE,MATCH($F209,TIER_LIST,0),1))*(IF((4-$I209+1)&lt;=0,0,IF((4-$I209+1)=1,RAMP_W1,IF((4-$I209+1)=2,RAMP_W2,IF((4-$I209+1)=3,RAMP_W3,RAMP_W4PLUS)))))*(INDEX(ACTIVE_MULT_TABLE,1,1))*(1+SUMPRODUCT(SIGN(((ACT_DOOR_SCOPE="ALL")+(ACT_DOOR_SCOPE="TIER_"&amp;$F209)+(ACT_DOOR_SCOPE=$B209)))*SIGN(((ACT_SKU_SCOPE="ALL")+(ACT_SKU_SCOPE=$G209)))*(ACT_START&lt;=4)*(ACT_END&gt;=4)*IFERROR(ACT_UPLIFT-1,0)))*(1+SUMPRODUCT(SIGN(((ACT_DOOR_SCOPE="ALL")+(ACT_DOOR_SCOPE="TIER_"&amp;$F209)+(ACT_DOOR_SCOPE=$B209)))*SIGN(((ACT_SKU_SCOPE="ALL")+(ACT_SKU_SCOPE=$G209)))*(4&gt;ACT_END)*(ACT_END&gt;0)*IFERROR(ACT_POSTLIFT,0))),0)))</f>
        <v/>
      </c>
      <c r="N209" s="10">
        <f>IF(OR($H209&lt;&gt;"Y",5&lt;$I209),0,IF(SUMPRODUCT(((BULK_ENABLED="Y")*((BULK_TIER="ALL")+(BULK_TIER=$F209))*((BULK_SKU="ALL")+(BULK_SKU=$G209))*(BULK_START&lt;=5)*(BULK_END&gt;=5)))&gt;0,IFERROR(SUMPRODUCT(((BULK_ENABLED="Y")*((BULK_TIER="ALL")+(BULK_TIER=$F209))*((BULK_SKU="ALL")+(BULK_SKU=$G209))*(BULK_START&lt;=5)*(BULK_END&gt;=5))*IFERROR(BULK_VALUE,0))/MAX(1,SUMPRODUCT(((BULK_ENABLED="Y")*((BULK_TIER="ALL")+(BULK_TIER=$F209))*((BULK_SKU="ALL")+(BULK_SKU=$G209))*(BULK_START&lt;=5)*(BULK_END&gt;=5)))),0),ROUND((INDEX(VELOCITY_TABLE,MATCH($F209,TIER_LIST,0),1))*(IF((5-$I209+1)&lt;=0,0,IF((5-$I209+1)=1,RAMP_W1,IF((5-$I209+1)=2,RAMP_W2,IF((5-$I209+1)=3,RAMP_W3,RAMP_W4PLUS)))))*(INDEX(ACTIVE_MULT_TABLE,1,1))*(1+SUMPRODUCT(SIGN(((ACT_DOOR_SCOPE="ALL")+(ACT_DOOR_SCOPE="TIER_"&amp;$F209)+(ACT_DOOR_SCOPE=$B209)))*SIGN(((ACT_SKU_SCOPE="ALL")+(ACT_SKU_SCOPE=$G209)))*(ACT_START&lt;=5)*(ACT_END&gt;=5)*IFERROR(ACT_UPLIFT-1,0)))*(1+SUMPRODUCT(SIGN(((ACT_DOOR_SCOPE="ALL")+(ACT_DOOR_SCOPE="TIER_"&amp;$F209)+(ACT_DOOR_SCOPE=$B209)))*SIGN(((ACT_SKU_SCOPE="ALL")+(ACT_SKU_SCOPE=$G209)))*(5&gt;ACT_END)*(ACT_END&gt;0)*IFERROR(ACT_POSTLIFT,0))),0)))</f>
        <v/>
      </c>
      <c r="O209" s="10">
        <f>IF(OR($H209&lt;&gt;"Y",6&lt;$I209),0,IF(SUMPRODUCT(((BULK_ENABLED="Y")*((BULK_TIER="ALL")+(BULK_TIER=$F209))*((BULK_SKU="ALL")+(BULK_SKU=$G209))*(BULK_START&lt;=6)*(BULK_END&gt;=6)))&gt;0,IFERROR(SUMPRODUCT(((BULK_ENABLED="Y")*((BULK_TIER="ALL")+(BULK_TIER=$F209))*((BULK_SKU="ALL")+(BULK_SKU=$G209))*(BULK_START&lt;=6)*(BULK_END&gt;=6))*IFERROR(BULK_VALUE,0))/MAX(1,SUMPRODUCT(((BULK_ENABLED="Y")*((BULK_TIER="ALL")+(BULK_TIER=$F209))*((BULK_SKU="ALL")+(BULK_SKU=$G209))*(BULK_START&lt;=6)*(BULK_END&gt;=6)))),0),ROUND((INDEX(VELOCITY_TABLE,MATCH($F209,TIER_LIST,0),1))*(IF((6-$I209+1)&lt;=0,0,IF((6-$I209+1)=1,RAMP_W1,IF((6-$I209+1)=2,RAMP_W2,IF((6-$I209+1)=3,RAMP_W3,RAMP_W4PLUS)))))*(INDEX(ACTIVE_MULT_TABLE,1,1))*(1+SUMPRODUCT(SIGN(((ACT_DOOR_SCOPE="ALL")+(ACT_DOOR_SCOPE="TIER_"&amp;$F209)+(ACT_DOOR_SCOPE=$B209)))*SIGN(((ACT_SKU_SCOPE="ALL")+(ACT_SKU_SCOPE=$G209)))*(ACT_START&lt;=6)*(ACT_END&gt;=6)*IFERROR(ACT_UPLIFT-1,0)))*(1+SUMPRODUCT(SIGN(((ACT_DOOR_SCOPE="ALL")+(ACT_DOOR_SCOPE="TIER_"&amp;$F209)+(ACT_DOOR_SCOPE=$B209)))*SIGN(((ACT_SKU_SCOPE="ALL")+(ACT_SKU_SCOPE=$G209)))*(6&gt;ACT_END)*(ACT_END&gt;0)*IFERROR(ACT_POSTLIFT,0))),0)))</f>
        <v/>
      </c>
      <c r="P209" s="10">
        <f>IF(OR($H209&lt;&gt;"Y",7&lt;$I209),0,IF(SUMPRODUCT(((BULK_ENABLED="Y")*((BULK_TIER="ALL")+(BULK_TIER=$F209))*((BULK_SKU="ALL")+(BULK_SKU=$G209))*(BULK_START&lt;=7)*(BULK_END&gt;=7)))&gt;0,IFERROR(SUMPRODUCT(((BULK_ENABLED="Y")*((BULK_TIER="ALL")+(BULK_TIER=$F209))*((BULK_SKU="ALL")+(BULK_SKU=$G209))*(BULK_START&lt;=7)*(BULK_END&gt;=7))*IFERROR(BULK_VALUE,0))/MAX(1,SUMPRODUCT(((BULK_ENABLED="Y")*((BULK_TIER="ALL")+(BULK_TIER=$F209))*((BULK_SKU="ALL")+(BULK_SKU=$G209))*(BULK_START&lt;=7)*(BULK_END&gt;=7)))),0),ROUND((INDEX(VELOCITY_TABLE,MATCH($F209,TIER_LIST,0),1))*(IF((7-$I209+1)&lt;=0,0,IF((7-$I209+1)=1,RAMP_W1,IF((7-$I209+1)=2,RAMP_W2,IF((7-$I209+1)=3,RAMP_W3,RAMP_W4PLUS)))))*(INDEX(ACTIVE_MULT_TABLE,1,1))*(1+SUMPRODUCT(SIGN(((ACT_DOOR_SCOPE="ALL")+(ACT_DOOR_SCOPE="TIER_"&amp;$F209)+(ACT_DOOR_SCOPE=$B209)))*SIGN(((ACT_SKU_SCOPE="ALL")+(ACT_SKU_SCOPE=$G209)))*(ACT_START&lt;=7)*(ACT_END&gt;=7)*IFERROR(ACT_UPLIFT-1,0)))*(1+SUMPRODUCT(SIGN(((ACT_DOOR_SCOPE="ALL")+(ACT_DOOR_SCOPE="TIER_"&amp;$F209)+(ACT_DOOR_SCOPE=$B209)))*SIGN(((ACT_SKU_SCOPE="ALL")+(ACT_SKU_SCOPE=$G209)))*(7&gt;ACT_END)*(ACT_END&gt;0)*IFERROR(ACT_POSTLIFT,0))),0)))</f>
        <v/>
      </c>
      <c r="Q209" s="10">
        <f>IF(OR($H209&lt;&gt;"Y",8&lt;$I209),0,IF(SUMPRODUCT(((BULK_ENABLED="Y")*((BULK_TIER="ALL")+(BULK_TIER=$F209))*((BULK_SKU="ALL")+(BULK_SKU=$G209))*(BULK_START&lt;=8)*(BULK_END&gt;=8)))&gt;0,IFERROR(SUMPRODUCT(((BULK_ENABLED="Y")*((BULK_TIER="ALL")+(BULK_TIER=$F209))*((BULK_SKU="ALL")+(BULK_SKU=$G209))*(BULK_START&lt;=8)*(BULK_END&gt;=8))*IFERROR(BULK_VALUE,0))/MAX(1,SUMPRODUCT(((BULK_ENABLED="Y")*((BULK_TIER="ALL")+(BULK_TIER=$F209))*((BULK_SKU="ALL")+(BULK_SKU=$G209))*(BULK_START&lt;=8)*(BULK_END&gt;=8)))),0),ROUND((INDEX(VELOCITY_TABLE,MATCH($F209,TIER_LIST,0),1))*(IF((8-$I209+1)&lt;=0,0,IF((8-$I209+1)=1,RAMP_W1,IF((8-$I209+1)=2,RAMP_W2,IF((8-$I209+1)=3,RAMP_W3,RAMP_W4PLUS)))))*(INDEX(ACTIVE_MULT_TABLE,1,1))*(1+SUMPRODUCT(SIGN(((ACT_DOOR_SCOPE="ALL")+(ACT_DOOR_SCOPE="TIER_"&amp;$F209)+(ACT_DOOR_SCOPE=$B209)))*SIGN(((ACT_SKU_SCOPE="ALL")+(ACT_SKU_SCOPE=$G209)))*(ACT_START&lt;=8)*(ACT_END&gt;=8)*IFERROR(ACT_UPLIFT-1,0)))*(1+SUMPRODUCT(SIGN(((ACT_DOOR_SCOPE="ALL")+(ACT_DOOR_SCOPE="TIER_"&amp;$F209)+(ACT_DOOR_SCOPE=$B209)))*SIGN(((ACT_SKU_SCOPE="ALL")+(ACT_SKU_SCOPE=$G209)))*(8&gt;ACT_END)*(ACT_END&gt;0)*IFERROR(ACT_POSTLIFT,0))),0)))</f>
        <v/>
      </c>
      <c r="R209" s="10">
        <f>IF(OR($H209&lt;&gt;"Y",9&lt;$I209),0,IF(SUMPRODUCT(((BULK_ENABLED="Y")*((BULK_TIER="ALL")+(BULK_TIER=$F209))*((BULK_SKU="ALL")+(BULK_SKU=$G209))*(BULK_START&lt;=9)*(BULK_END&gt;=9)))&gt;0,IFERROR(SUMPRODUCT(((BULK_ENABLED="Y")*((BULK_TIER="ALL")+(BULK_TIER=$F209))*((BULK_SKU="ALL")+(BULK_SKU=$G209))*(BULK_START&lt;=9)*(BULK_END&gt;=9))*IFERROR(BULK_VALUE,0))/MAX(1,SUMPRODUCT(((BULK_ENABLED="Y")*((BULK_TIER="ALL")+(BULK_TIER=$F209))*((BULK_SKU="ALL")+(BULK_SKU=$G209))*(BULK_START&lt;=9)*(BULK_END&gt;=9)))),0),ROUND((INDEX(VELOCITY_TABLE,MATCH($F209,TIER_LIST,0),1))*(IF((9-$I209+1)&lt;=0,0,IF((9-$I209+1)=1,RAMP_W1,IF((9-$I209+1)=2,RAMP_W2,IF((9-$I209+1)=3,RAMP_W3,RAMP_W4PLUS)))))*(INDEX(ACTIVE_MULT_TABLE,1,1))*(1+SUMPRODUCT(SIGN(((ACT_DOOR_SCOPE="ALL")+(ACT_DOOR_SCOPE="TIER_"&amp;$F209)+(ACT_DOOR_SCOPE=$B209)))*SIGN(((ACT_SKU_SCOPE="ALL")+(ACT_SKU_SCOPE=$G209)))*(ACT_START&lt;=9)*(ACT_END&gt;=9)*IFERROR(ACT_UPLIFT-1,0)))*(1+SUMPRODUCT(SIGN(((ACT_DOOR_SCOPE="ALL")+(ACT_DOOR_SCOPE="TIER_"&amp;$F209)+(ACT_DOOR_SCOPE=$B209)))*SIGN(((ACT_SKU_SCOPE="ALL")+(ACT_SKU_SCOPE=$G209)))*(9&gt;ACT_END)*(ACT_END&gt;0)*IFERROR(ACT_POSTLIFT,0))),0)))</f>
        <v/>
      </c>
      <c r="S209" s="10">
        <f>IF(OR($H209&lt;&gt;"Y",10&lt;$I209),0,IF(SUMPRODUCT(((BULK_ENABLED="Y")*((BULK_TIER="ALL")+(BULK_TIER=$F209))*((BULK_SKU="ALL")+(BULK_SKU=$G209))*(BULK_START&lt;=10)*(BULK_END&gt;=10)))&gt;0,IFERROR(SUMPRODUCT(((BULK_ENABLED="Y")*((BULK_TIER="ALL")+(BULK_TIER=$F209))*((BULK_SKU="ALL")+(BULK_SKU=$G209))*(BULK_START&lt;=10)*(BULK_END&gt;=10))*IFERROR(BULK_VALUE,0))/MAX(1,SUMPRODUCT(((BULK_ENABLED="Y")*((BULK_TIER="ALL")+(BULK_TIER=$F209))*((BULK_SKU="ALL")+(BULK_SKU=$G209))*(BULK_START&lt;=10)*(BULK_END&gt;=10)))),0),ROUND((INDEX(VELOCITY_TABLE,MATCH($F209,TIER_LIST,0),1))*(IF((10-$I209+1)&lt;=0,0,IF((10-$I209+1)=1,RAMP_W1,IF((10-$I209+1)=2,RAMP_W2,IF((10-$I209+1)=3,RAMP_W3,RAMP_W4PLUS)))))*(INDEX(ACTIVE_MULT_TABLE,1,1))*(1+SUMPRODUCT(SIGN(((ACT_DOOR_SCOPE="ALL")+(ACT_DOOR_SCOPE="TIER_"&amp;$F209)+(ACT_DOOR_SCOPE=$B209)))*SIGN(((ACT_SKU_SCOPE="ALL")+(ACT_SKU_SCOPE=$G209)))*(ACT_START&lt;=10)*(ACT_END&gt;=10)*IFERROR(ACT_UPLIFT-1,0)))*(1+SUMPRODUCT(SIGN(((ACT_DOOR_SCOPE="ALL")+(ACT_DOOR_SCOPE="TIER_"&amp;$F209)+(ACT_DOOR_SCOPE=$B209)))*SIGN(((ACT_SKU_SCOPE="ALL")+(ACT_SKU_SCOPE=$G209)))*(10&gt;ACT_END)*(ACT_END&gt;0)*IFERROR(ACT_POSTLIFT,0))),0)))</f>
        <v/>
      </c>
      <c r="T209" s="10">
        <f>IF(OR($H209&lt;&gt;"Y",11&lt;$I209),0,IF(SUMPRODUCT(((BULK_ENABLED="Y")*((BULK_TIER="ALL")+(BULK_TIER=$F209))*((BULK_SKU="ALL")+(BULK_SKU=$G209))*(BULK_START&lt;=11)*(BULK_END&gt;=11)))&gt;0,IFERROR(SUMPRODUCT(((BULK_ENABLED="Y")*((BULK_TIER="ALL")+(BULK_TIER=$F209))*((BULK_SKU="ALL")+(BULK_SKU=$G209))*(BULK_START&lt;=11)*(BULK_END&gt;=11))*IFERROR(BULK_VALUE,0))/MAX(1,SUMPRODUCT(((BULK_ENABLED="Y")*((BULK_TIER="ALL")+(BULK_TIER=$F209))*((BULK_SKU="ALL")+(BULK_SKU=$G209))*(BULK_START&lt;=11)*(BULK_END&gt;=11)))),0),ROUND((INDEX(VELOCITY_TABLE,MATCH($F209,TIER_LIST,0),1))*(IF((11-$I209+1)&lt;=0,0,IF((11-$I209+1)=1,RAMP_W1,IF((11-$I209+1)=2,RAMP_W2,IF((11-$I209+1)=3,RAMP_W3,RAMP_W4PLUS)))))*(INDEX(ACTIVE_MULT_TABLE,1,1))*(1+SUMPRODUCT(SIGN(((ACT_DOOR_SCOPE="ALL")+(ACT_DOOR_SCOPE="TIER_"&amp;$F209)+(ACT_DOOR_SCOPE=$B209)))*SIGN(((ACT_SKU_SCOPE="ALL")+(ACT_SKU_SCOPE=$G209)))*(ACT_START&lt;=11)*(ACT_END&gt;=11)*IFERROR(ACT_UPLIFT-1,0)))*(1+SUMPRODUCT(SIGN(((ACT_DOOR_SCOPE="ALL")+(ACT_DOOR_SCOPE="TIER_"&amp;$F209)+(ACT_DOOR_SCOPE=$B209)))*SIGN(((ACT_SKU_SCOPE="ALL")+(ACT_SKU_SCOPE=$G209)))*(11&gt;ACT_END)*(ACT_END&gt;0)*IFERROR(ACT_POSTLIFT,0))),0)))</f>
        <v/>
      </c>
      <c r="U209" s="10">
        <f>IF(OR($H209&lt;&gt;"Y",12&lt;$I209),0,IF(SUMPRODUCT(((BULK_ENABLED="Y")*((BULK_TIER="ALL")+(BULK_TIER=$F209))*((BULK_SKU="ALL")+(BULK_SKU=$G209))*(BULK_START&lt;=12)*(BULK_END&gt;=12)))&gt;0,IFERROR(SUMPRODUCT(((BULK_ENABLED="Y")*((BULK_TIER="ALL")+(BULK_TIER=$F209))*((BULK_SKU="ALL")+(BULK_SKU=$G209))*(BULK_START&lt;=12)*(BULK_END&gt;=12))*IFERROR(BULK_VALUE,0))/MAX(1,SUMPRODUCT(((BULK_ENABLED="Y")*((BULK_TIER="ALL")+(BULK_TIER=$F209))*((BULK_SKU="ALL")+(BULK_SKU=$G209))*(BULK_START&lt;=12)*(BULK_END&gt;=12)))),0),ROUND((INDEX(VELOCITY_TABLE,MATCH($F209,TIER_LIST,0),1))*(IF((12-$I209+1)&lt;=0,0,IF((12-$I209+1)=1,RAMP_W1,IF((12-$I209+1)=2,RAMP_W2,IF((12-$I209+1)=3,RAMP_W3,RAMP_W4PLUS)))))*(INDEX(ACTIVE_MULT_TABLE,1,1))*(1+SUMPRODUCT(SIGN(((ACT_DOOR_SCOPE="ALL")+(ACT_DOOR_SCOPE="TIER_"&amp;$F209)+(ACT_DOOR_SCOPE=$B209)))*SIGN(((ACT_SKU_SCOPE="ALL")+(ACT_SKU_SCOPE=$G209)))*(ACT_START&lt;=12)*(ACT_END&gt;=12)*IFERROR(ACT_UPLIFT-1,0)))*(1+SUMPRODUCT(SIGN(((ACT_DOOR_SCOPE="ALL")+(ACT_DOOR_SCOPE="TIER_"&amp;$F209)+(ACT_DOOR_SCOPE=$B209)))*SIGN(((ACT_SKU_SCOPE="ALL")+(ACT_SKU_SCOPE=$G209)))*(12&gt;ACT_END)*(ACT_END&gt;0)*IFERROR(ACT_POSTLIFT,0))),0)))</f>
        <v/>
      </c>
      <c r="V209" s="10">
        <f>IF(OR($H209&lt;&gt;"Y",13&lt;$I209),0,IF(SUMPRODUCT(((BULK_ENABLED="Y")*((BULK_TIER="ALL")+(BULK_TIER=$F209))*((BULK_SKU="ALL")+(BULK_SKU=$G209))*(BULK_START&lt;=13)*(BULK_END&gt;=13)))&gt;0,IFERROR(SUMPRODUCT(((BULK_ENABLED="Y")*((BULK_TIER="ALL")+(BULK_TIER=$F209))*((BULK_SKU="ALL")+(BULK_SKU=$G209))*(BULK_START&lt;=13)*(BULK_END&gt;=13))*IFERROR(BULK_VALUE,0))/MAX(1,SUMPRODUCT(((BULK_ENABLED="Y")*((BULK_TIER="ALL")+(BULK_TIER=$F209))*((BULK_SKU="ALL")+(BULK_SKU=$G209))*(BULK_START&lt;=13)*(BULK_END&gt;=13)))),0),ROUND((INDEX(VELOCITY_TABLE,MATCH($F209,TIER_LIST,0),1))*(IF((13-$I209+1)&lt;=0,0,IF((13-$I209+1)=1,RAMP_W1,IF((13-$I209+1)=2,RAMP_W2,IF((13-$I209+1)=3,RAMP_W3,RAMP_W4PLUS)))))*(INDEX(ACTIVE_MULT_TABLE,1,1))*(1+SUMPRODUCT(SIGN(((ACT_DOOR_SCOPE="ALL")+(ACT_DOOR_SCOPE="TIER_"&amp;$F209)+(ACT_DOOR_SCOPE=$B209)))*SIGN(((ACT_SKU_SCOPE="ALL")+(ACT_SKU_SCOPE=$G209)))*(ACT_START&lt;=13)*(ACT_END&gt;=13)*IFERROR(ACT_UPLIFT-1,0)))*(1+SUMPRODUCT(SIGN(((ACT_DOOR_SCOPE="ALL")+(ACT_DOOR_SCOPE="TIER_"&amp;$F209)+(ACT_DOOR_SCOPE=$B209)))*SIGN(((ACT_SKU_SCOPE="ALL")+(ACT_SKU_SCOPE=$G209)))*(13&gt;ACT_END)*(ACT_END&gt;0)*IFERROR(ACT_POSTLIFT,0))),0)))</f>
        <v/>
      </c>
    </row>
    <row r="210">
      <c r="A210" t="inlineStr">
        <is>
          <t>R0206</t>
        </is>
      </c>
      <c r="B210">
        <f>Doors!$A$73</f>
        <v/>
      </c>
      <c r="C210">
        <f>Doors!$C$73</f>
        <v/>
      </c>
      <c r="D210">
        <f>Doors!$B$73</f>
        <v/>
      </c>
      <c r="E210">
        <f>Doors!$E$73</f>
        <v/>
      </c>
      <c r="F210">
        <f>Doors!$F$73</f>
        <v/>
      </c>
      <c r="G210" t="inlineStr">
        <is>
          <t>Pineapple Passion Fruit</t>
        </is>
      </c>
      <c r="H210">
        <f>Doors!$H$73</f>
        <v/>
      </c>
      <c r="I210">
        <f>Doors!$J$73</f>
        <v/>
      </c>
      <c r="J210" s="10">
        <f>IF(OR($H210&lt;&gt;"Y",1&lt;$I210),0,IF(SUMPRODUCT(((BULK_ENABLED="Y")*((BULK_TIER="ALL")+(BULK_TIER=$F210))*((BULK_SKU="ALL")+(BULK_SKU=$G210))*(BULK_START&lt;=1)*(BULK_END&gt;=1)))&gt;0,IFERROR(SUMPRODUCT(((BULK_ENABLED="Y")*((BULK_TIER="ALL")+(BULK_TIER=$F210))*((BULK_SKU="ALL")+(BULK_SKU=$G210))*(BULK_START&lt;=1)*(BULK_END&gt;=1))*IFERROR(BULK_VALUE,0))/MAX(1,SUMPRODUCT(((BULK_ENABLED="Y")*((BULK_TIER="ALL")+(BULK_TIER=$F210))*((BULK_SKU="ALL")+(BULK_SKU=$G210))*(BULK_START&lt;=1)*(BULK_END&gt;=1)))),0),ROUND((INDEX(VELOCITY_TABLE,MATCH($F210,TIER_LIST,0),2))*(IF((1-$I210+1)&lt;=0,0,IF((1-$I210+1)=1,RAMP_W1,IF((1-$I210+1)=2,RAMP_W2,IF((1-$I210+1)=3,RAMP_W3,RAMP_W4PLUS)))))*(INDEX(ACTIVE_MULT_TABLE,2,1))*(1+SUMPRODUCT(SIGN(((ACT_DOOR_SCOPE="ALL")+(ACT_DOOR_SCOPE="TIER_"&amp;$F210)+(ACT_DOOR_SCOPE=$B210)))*SIGN(((ACT_SKU_SCOPE="ALL")+(ACT_SKU_SCOPE=$G210)))*(ACT_START&lt;=1)*(ACT_END&gt;=1)*IFERROR(ACT_UPLIFT-1,0)))*(1+SUMPRODUCT(SIGN(((ACT_DOOR_SCOPE="ALL")+(ACT_DOOR_SCOPE="TIER_"&amp;$F210)+(ACT_DOOR_SCOPE=$B210)))*SIGN(((ACT_SKU_SCOPE="ALL")+(ACT_SKU_SCOPE=$G210)))*(1&gt;ACT_END)*(ACT_END&gt;0)*IFERROR(ACT_POSTLIFT,0))),0)))</f>
        <v/>
      </c>
      <c r="K210" s="10">
        <f>IF(OR($H210&lt;&gt;"Y",2&lt;$I210),0,IF(SUMPRODUCT(((BULK_ENABLED="Y")*((BULK_TIER="ALL")+(BULK_TIER=$F210))*((BULK_SKU="ALL")+(BULK_SKU=$G210))*(BULK_START&lt;=2)*(BULK_END&gt;=2)))&gt;0,IFERROR(SUMPRODUCT(((BULK_ENABLED="Y")*((BULK_TIER="ALL")+(BULK_TIER=$F210))*((BULK_SKU="ALL")+(BULK_SKU=$G210))*(BULK_START&lt;=2)*(BULK_END&gt;=2))*IFERROR(BULK_VALUE,0))/MAX(1,SUMPRODUCT(((BULK_ENABLED="Y")*((BULK_TIER="ALL")+(BULK_TIER=$F210))*((BULK_SKU="ALL")+(BULK_SKU=$G210))*(BULK_START&lt;=2)*(BULK_END&gt;=2)))),0),ROUND((INDEX(VELOCITY_TABLE,MATCH($F210,TIER_LIST,0),2))*(IF((2-$I210+1)&lt;=0,0,IF((2-$I210+1)=1,RAMP_W1,IF((2-$I210+1)=2,RAMP_W2,IF((2-$I210+1)=3,RAMP_W3,RAMP_W4PLUS)))))*(INDEX(ACTIVE_MULT_TABLE,2,1))*(1+SUMPRODUCT(SIGN(((ACT_DOOR_SCOPE="ALL")+(ACT_DOOR_SCOPE="TIER_"&amp;$F210)+(ACT_DOOR_SCOPE=$B210)))*SIGN(((ACT_SKU_SCOPE="ALL")+(ACT_SKU_SCOPE=$G210)))*(ACT_START&lt;=2)*(ACT_END&gt;=2)*IFERROR(ACT_UPLIFT-1,0)))*(1+SUMPRODUCT(SIGN(((ACT_DOOR_SCOPE="ALL")+(ACT_DOOR_SCOPE="TIER_"&amp;$F210)+(ACT_DOOR_SCOPE=$B210)))*SIGN(((ACT_SKU_SCOPE="ALL")+(ACT_SKU_SCOPE=$G210)))*(2&gt;ACT_END)*(ACT_END&gt;0)*IFERROR(ACT_POSTLIFT,0))),0)))</f>
        <v/>
      </c>
      <c r="L210" s="10">
        <f>IF(OR($H210&lt;&gt;"Y",3&lt;$I210),0,IF(SUMPRODUCT(((BULK_ENABLED="Y")*((BULK_TIER="ALL")+(BULK_TIER=$F210))*((BULK_SKU="ALL")+(BULK_SKU=$G210))*(BULK_START&lt;=3)*(BULK_END&gt;=3)))&gt;0,IFERROR(SUMPRODUCT(((BULK_ENABLED="Y")*((BULK_TIER="ALL")+(BULK_TIER=$F210))*((BULK_SKU="ALL")+(BULK_SKU=$G210))*(BULK_START&lt;=3)*(BULK_END&gt;=3))*IFERROR(BULK_VALUE,0))/MAX(1,SUMPRODUCT(((BULK_ENABLED="Y")*((BULK_TIER="ALL")+(BULK_TIER=$F210))*((BULK_SKU="ALL")+(BULK_SKU=$G210))*(BULK_START&lt;=3)*(BULK_END&gt;=3)))),0),ROUND((INDEX(VELOCITY_TABLE,MATCH($F210,TIER_LIST,0),2))*(IF((3-$I210+1)&lt;=0,0,IF((3-$I210+1)=1,RAMP_W1,IF((3-$I210+1)=2,RAMP_W2,IF((3-$I210+1)=3,RAMP_W3,RAMP_W4PLUS)))))*(INDEX(ACTIVE_MULT_TABLE,2,1))*(1+SUMPRODUCT(SIGN(((ACT_DOOR_SCOPE="ALL")+(ACT_DOOR_SCOPE="TIER_"&amp;$F210)+(ACT_DOOR_SCOPE=$B210)))*SIGN(((ACT_SKU_SCOPE="ALL")+(ACT_SKU_SCOPE=$G210)))*(ACT_START&lt;=3)*(ACT_END&gt;=3)*IFERROR(ACT_UPLIFT-1,0)))*(1+SUMPRODUCT(SIGN(((ACT_DOOR_SCOPE="ALL")+(ACT_DOOR_SCOPE="TIER_"&amp;$F210)+(ACT_DOOR_SCOPE=$B210)))*SIGN(((ACT_SKU_SCOPE="ALL")+(ACT_SKU_SCOPE=$G210)))*(3&gt;ACT_END)*(ACT_END&gt;0)*IFERROR(ACT_POSTLIFT,0))),0)))</f>
        <v/>
      </c>
      <c r="M210" s="10">
        <f>IF(OR($H210&lt;&gt;"Y",4&lt;$I210),0,IF(SUMPRODUCT(((BULK_ENABLED="Y")*((BULK_TIER="ALL")+(BULK_TIER=$F210))*((BULK_SKU="ALL")+(BULK_SKU=$G210))*(BULK_START&lt;=4)*(BULK_END&gt;=4)))&gt;0,IFERROR(SUMPRODUCT(((BULK_ENABLED="Y")*((BULK_TIER="ALL")+(BULK_TIER=$F210))*((BULK_SKU="ALL")+(BULK_SKU=$G210))*(BULK_START&lt;=4)*(BULK_END&gt;=4))*IFERROR(BULK_VALUE,0))/MAX(1,SUMPRODUCT(((BULK_ENABLED="Y")*((BULK_TIER="ALL")+(BULK_TIER=$F210))*((BULK_SKU="ALL")+(BULK_SKU=$G210))*(BULK_START&lt;=4)*(BULK_END&gt;=4)))),0),ROUND((INDEX(VELOCITY_TABLE,MATCH($F210,TIER_LIST,0),2))*(IF((4-$I210+1)&lt;=0,0,IF((4-$I210+1)=1,RAMP_W1,IF((4-$I210+1)=2,RAMP_W2,IF((4-$I210+1)=3,RAMP_W3,RAMP_W4PLUS)))))*(INDEX(ACTIVE_MULT_TABLE,2,1))*(1+SUMPRODUCT(SIGN(((ACT_DOOR_SCOPE="ALL")+(ACT_DOOR_SCOPE="TIER_"&amp;$F210)+(ACT_DOOR_SCOPE=$B210)))*SIGN(((ACT_SKU_SCOPE="ALL")+(ACT_SKU_SCOPE=$G210)))*(ACT_START&lt;=4)*(ACT_END&gt;=4)*IFERROR(ACT_UPLIFT-1,0)))*(1+SUMPRODUCT(SIGN(((ACT_DOOR_SCOPE="ALL")+(ACT_DOOR_SCOPE="TIER_"&amp;$F210)+(ACT_DOOR_SCOPE=$B210)))*SIGN(((ACT_SKU_SCOPE="ALL")+(ACT_SKU_SCOPE=$G210)))*(4&gt;ACT_END)*(ACT_END&gt;0)*IFERROR(ACT_POSTLIFT,0))),0)))</f>
        <v/>
      </c>
      <c r="N210" s="10">
        <f>IF(OR($H210&lt;&gt;"Y",5&lt;$I210),0,IF(SUMPRODUCT(((BULK_ENABLED="Y")*((BULK_TIER="ALL")+(BULK_TIER=$F210))*((BULK_SKU="ALL")+(BULK_SKU=$G210))*(BULK_START&lt;=5)*(BULK_END&gt;=5)))&gt;0,IFERROR(SUMPRODUCT(((BULK_ENABLED="Y")*((BULK_TIER="ALL")+(BULK_TIER=$F210))*((BULK_SKU="ALL")+(BULK_SKU=$G210))*(BULK_START&lt;=5)*(BULK_END&gt;=5))*IFERROR(BULK_VALUE,0))/MAX(1,SUMPRODUCT(((BULK_ENABLED="Y")*((BULK_TIER="ALL")+(BULK_TIER=$F210))*((BULK_SKU="ALL")+(BULK_SKU=$G210))*(BULK_START&lt;=5)*(BULK_END&gt;=5)))),0),ROUND((INDEX(VELOCITY_TABLE,MATCH($F210,TIER_LIST,0),2))*(IF((5-$I210+1)&lt;=0,0,IF((5-$I210+1)=1,RAMP_W1,IF((5-$I210+1)=2,RAMP_W2,IF((5-$I210+1)=3,RAMP_W3,RAMP_W4PLUS)))))*(INDEX(ACTIVE_MULT_TABLE,2,1))*(1+SUMPRODUCT(SIGN(((ACT_DOOR_SCOPE="ALL")+(ACT_DOOR_SCOPE="TIER_"&amp;$F210)+(ACT_DOOR_SCOPE=$B210)))*SIGN(((ACT_SKU_SCOPE="ALL")+(ACT_SKU_SCOPE=$G210)))*(ACT_START&lt;=5)*(ACT_END&gt;=5)*IFERROR(ACT_UPLIFT-1,0)))*(1+SUMPRODUCT(SIGN(((ACT_DOOR_SCOPE="ALL")+(ACT_DOOR_SCOPE="TIER_"&amp;$F210)+(ACT_DOOR_SCOPE=$B210)))*SIGN(((ACT_SKU_SCOPE="ALL")+(ACT_SKU_SCOPE=$G210)))*(5&gt;ACT_END)*(ACT_END&gt;0)*IFERROR(ACT_POSTLIFT,0))),0)))</f>
        <v/>
      </c>
      <c r="O210" s="10">
        <f>IF(OR($H210&lt;&gt;"Y",6&lt;$I210),0,IF(SUMPRODUCT(((BULK_ENABLED="Y")*((BULK_TIER="ALL")+(BULK_TIER=$F210))*((BULK_SKU="ALL")+(BULK_SKU=$G210))*(BULK_START&lt;=6)*(BULK_END&gt;=6)))&gt;0,IFERROR(SUMPRODUCT(((BULK_ENABLED="Y")*((BULK_TIER="ALL")+(BULK_TIER=$F210))*((BULK_SKU="ALL")+(BULK_SKU=$G210))*(BULK_START&lt;=6)*(BULK_END&gt;=6))*IFERROR(BULK_VALUE,0))/MAX(1,SUMPRODUCT(((BULK_ENABLED="Y")*((BULK_TIER="ALL")+(BULK_TIER=$F210))*((BULK_SKU="ALL")+(BULK_SKU=$G210))*(BULK_START&lt;=6)*(BULK_END&gt;=6)))),0),ROUND((INDEX(VELOCITY_TABLE,MATCH($F210,TIER_LIST,0),2))*(IF((6-$I210+1)&lt;=0,0,IF((6-$I210+1)=1,RAMP_W1,IF((6-$I210+1)=2,RAMP_W2,IF((6-$I210+1)=3,RAMP_W3,RAMP_W4PLUS)))))*(INDEX(ACTIVE_MULT_TABLE,2,1))*(1+SUMPRODUCT(SIGN(((ACT_DOOR_SCOPE="ALL")+(ACT_DOOR_SCOPE="TIER_"&amp;$F210)+(ACT_DOOR_SCOPE=$B210)))*SIGN(((ACT_SKU_SCOPE="ALL")+(ACT_SKU_SCOPE=$G210)))*(ACT_START&lt;=6)*(ACT_END&gt;=6)*IFERROR(ACT_UPLIFT-1,0)))*(1+SUMPRODUCT(SIGN(((ACT_DOOR_SCOPE="ALL")+(ACT_DOOR_SCOPE="TIER_"&amp;$F210)+(ACT_DOOR_SCOPE=$B210)))*SIGN(((ACT_SKU_SCOPE="ALL")+(ACT_SKU_SCOPE=$G210)))*(6&gt;ACT_END)*(ACT_END&gt;0)*IFERROR(ACT_POSTLIFT,0))),0)))</f>
        <v/>
      </c>
      <c r="P210" s="10">
        <f>IF(OR($H210&lt;&gt;"Y",7&lt;$I210),0,IF(SUMPRODUCT(((BULK_ENABLED="Y")*((BULK_TIER="ALL")+(BULK_TIER=$F210))*((BULK_SKU="ALL")+(BULK_SKU=$G210))*(BULK_START&lt;=7)*(BULK_END&gt;=7)))&gt;0,IFERROR(SUMPRODUCT(((BULK_ENABLED="Y")*((BULK_TIER="ALL")+(BULK_TIER=$F210))*((BULK_SKU="ALL")+(BULK_SKU=$G210))*(BULK_START&lt;=7)*(BULK_END&gt;=7))*IFERROR(BULK_VALUE,0))/MAX(1,SUMPRODUCT(((BULK_ENABLED="Y")*((BULK_TIER="ALL")+(BULK_TIER=$F210))*((BULK_SKU="ALL")+(BULK_SKU=$G210))*(BULK_START&lt;=7)*(BULK_END&gt;=7)))),0),ROUND((INDEX(VELOCITY_TABLE,MATCH($F210,TIER_LIST,0),2))*(IF((7-$I210+1)&lt;=0,0,IF((7-$I210+1)=1,RAMP_W1,IF((7-$I210+1)=2,RAMP_W2,IF((7-$I210+1)=3,RAMP_W3,RAMP_W4PLUS)))))*(INDEX(ACTIVE_MULT_TABLE,2,1))*(1+SUMPRODUCT(SIGN(((ACT_DOOR_SCOPE="ALL")+(ACT_DOOR_SCOPE="TIER_"&amp;$F210)+(ACT_DOOR_SCOPE=$B210)))*SIGN(((ACT_SKU_SCOPE="ALL")+(ACT_SKU_SCOPE=$G210)))*(ACT_START&lt;=7)*(ACT_END&gt;=7)*IFERROR(ACT_UPLIFT-1,0)))*(1+SUMPRODUCT(SIGN(((ACT_DOOR_SCOPE="ALL")+(ACT_DOOR_SCOPE="TIER_"&amp;$F210)+(ACT_DOOR_SCOPE=$B210)))*SIGN(((ACT_SKU_SCOPE="ALL")+(ACT_SKU_SCOPE=$G210)))*(7&gt;ACT_END)*(ACT_END&gt;0)*IFERROR(ACT_POSTLIFT,0))),0)))</f>
        <v/>
      </c>
      <c r="Q210" s="10">
        <f>IF(OR($H210&lt;&gt;"Y",8&lt;$I210),0,IF(SUMPRODUCT(((BULK_ENABLED="Y")*((BULK_TIER="ALL")+(BULK_TIER=$F210))*((BULK_SKU="ALL")+(BULK_SKU=$G210))*(BULK_START&lt;=8)*(BULK_END&gt;=8)))&gt;0,IFERROR(SUMPRODUCT(((BULK_ENABLED="Y")*((BULK_TIER="ALL")+(BULK_TIER=$F210))*((BULK_SKU="ALL")+(BULK_SKU=$G210))*(BULK_START&lt;=8)*(BULK_END&gt;=8))*IFERROR(BULK_VALUE,0))/MAX(1,SUMPRODUCT(((BULK_ENABLED="Y")*((BULK_TIER="ALL")+(BULK_TIER=$F210))*((BULK_SKU="ALL")+(BULK_SKU=$G210))*(BULK_START&lt;=8)*(BULK_END&gt;=8)))),0),ROUND((INDEX(VELOCITY_TABLE,MATCH($F210,TIER_LIST,0),2))*(IF((8-$I210+1)&lt;=0,0,IF((8-$I210+1)=1,RAMP_W1,IF((8-$I210+1)=2,RAMP_W2,IF((8-$I210+1)=3,RAMP_W3,RAMP_W4PLUS)))))*(INDEX(ACTIVE_MULT_TABLE,2,1))*(1+SUMPRODUCT(SIGN(((ACT_DOOR_SCOPE="ALL")+(ACT_DOOR_SCOPE="TIER_"&amp;$F210)+(ACT_DOOR_SCOPE=$B210)))*SIGN(((ACT_SKU_SCOPE="ALL")+(ACT_SKU_SCOPE=$G210)))*(ACT_START&lt;=8)*(ACT_END&gt;=8)*IFERROR(ACT_UPLIFT-1,0)))*(1+SUMPRODUCT(SIGN(((ACT_DOOR_SCOPE="ALL")+(ACT_DOOR_SCOPE="TIER_"&amp;$F210)+(ACT_DOOR_SCOPE=$B210)))*SIGN(((ACT_SKU_SCOPE="ALL")+(ACT_SKU_SCOPE=$G210)))*(8&gt;ACT_END)*(ACT_END&gt;0)*IFERROR(ACT_POSTLIFT,0))),0)))</f>
        <v/>
      </c>
      <c r="R210" s="10">
        <f>IF(OR($H210&lt;&gt;"Y",9&lt;$I210),0,IF(SUMPRODUCT(((BULK_ENABLED="Y")*((BULK_TIER="ALL")+(BULK_TIER=$F210))*((BULK_SKU="ALL")+(BULK_SKU=$G210))*(BULK_START&lt;=9)*(BULK_END&gt;=9)))&gt;0,IFERROR(SUMPRODUCT(((BULK_ENABLED="Y")*((BULK_TIER="ALL")+(BULK_TIER=$F210))*((BULK_SKU="ALL")+(BULK_SKU=$G210))*(BULK_START&lt;=9)*(BULK_END&gt;=9))*IFERROR(BULK_VALUE,0))/MAX(1,SUMPRODUCT(((BULK_ENABLED="Y")*((BULK_TIER="ALL")+(BULK_TIER=$F210))*((BULK_SKU="ALL")+(BULK_SKU=$G210))*(BULK_START&lt;=9)*(BULK_END&gt;=9)))),0),ROUND((INDEX(VELOCITY_TABLE,MATCH($F210,TIER_LIST,0),2))*(IF((9-$I210+1)&lt;=0,0,IF((9-$I210+1)=1,RAMP_W1,IF((9-$I210+1)=2,RAMP_W2,IF((9-$I210+1)=3,RAMP_W3,RAMP_W4PLUS)))))*(INDEX(ACTIVE_MULT_TABLE,2,1))*(1+SUMPRODUCT(SIGN(((ACT_DOOR_SCOPE="ALL")+(ACT_DOOR_SCOPE="TIER_"&amp;$F210)+(ACT_DOOR_SCOPE=$B210)))*SIGN(((ACT_SKU_SCOPE="ALL")+(ACT_SKU_SCOPE=$G210)))*(ACT_START&lt;=9)*(ACT_END&gt;=9)*IFERROR(ACT_UPLIFT-1,0)))*(1+SUMPRODUCT(SIGN(((ACT_DOOR_SCOPE="ALL")+(ACT_DOOR_SCOPE="TIER_"&amp;$F210)+(ACT_DOOR_SCOPE=$B210)))*SIGN(((ACT_SKU_SCOPE="ALL")+(ACT_SKU_SCOPE=$G210)))*(9&gt;ACT_END)*(ACT_END&gt;0)*IFERROR(ACT_POSTLIFT,0))),0)))</f>
        <v/>
      </c>
      <c r="S210" s="10">
        <f>IF(OR($H210&lt;&gt;"Y",10&lt;$I210),0,IF(SUMPRODUCT(((BULK_ENABLED="Y")*((BULK_TIER="ALL")+(BULK_TIER=$F210))*((BULK_SKU="ALL")+(BULK_SKU=$G210))*(BULK_START&lt;=10)*(BULK_END&gt;=10)))&gt;0,IFERROR(SUMPRODUCT(((BULK_ENABLED="Y")*((BULK_TIER="ALL")+(BULK_TIER=$F210))*((BULK_SKU="ALL")+(BULK_SKU=$G210))*(BULK_START&lt;=10)*(BULK_END&gt;=10))*IFERROR(BULK_VALUE,0))/MAX(1,SUMPRODUCT(((BULK_ENABLED="Y")*((BULK_TIER="ALL")+(BULK_TIER=$F210))*((BULK_SKU="ALL")+(BULK_SKU=$G210))*(BULK_START&lt;=10)*(BULK_END&gt;=10)))),0),ROUND((INDEX(VELOCITY_TABLE,MATCH($F210,TIER_LIST,0),2))*(IF((10-$I210+1)&lt;=0,0,IF((10-$I210+1)=1,RAMP_W1,IF((10-$I210+1)=2,RAMP_W2,IF((10-$I210+1)=3,RAMP_W3,RAMP_W4PLUS)))))*(INDEX(ACTIVE_MULT_TABLE,2,1))*(1+SUMPRODUCT(SIGN(((ACT_DOOR_SCOPE="ALL")+(ACT_DOOR_SCOPE="TIER_"&amp;$F210)+(ACT_DOOR_SCOPE=$B210)))*SIGN(((ACT_SKU_SCOPE="ALL")+(ACT_SKU_SCOPE=$G210)))*(ACT_START&lt;=10)*(ACT_END&gt;=10)*IFERROR(ACT_UPLIFT-1,0)))*(1+SUMPRODUCT(SIGN(((ACT_DOOR_SCOPE="ALL")+(ACT_DOOR_SCOPE="TIER_"&amp;$F210)+(ACT_DOOR_SCOPE=$B210)))*SIGN(((ACT_SKU_SCOPE="ALL")+(ACT_SKU_SCOPE=$G210)))*(10&gt;ACT_END)*(ACT_END&gt;0)*IFERROR(ACT_POSTLIFT,0))),0)))</f>
        <v/>
      </c>
      <c r="T210" s="10">
        <f>IF(OR($H210&lt;&gt;"Y",11&lt;$I210),0,IF(SUMPRODUCT(((BULK_ENABLED="Y")*((BULK_TIER="ALL")+(BULK_TIER=$F210))*((BULK_SKU="ALL")+(BULK_SKU=$G210))*(BULK_START&lt;=11)*(BULK_END&gt;=11)))&gt;0,IFERROR(SUMPRODUCT(((BULK_ENABLED="Y")*((BULK_TIER="ALL")+(BULK_TIER=$F210))*((BULK_SKU="ALL")+(BULK_SKU=$G210))*(BULK_START&lt;=11)*(BULK_END&gt;=11))*IFERROR(BULK_VALUE,0))/MAX(1,SUMPRODUCT(((BULK_ENABLED="Y")*((BULK_TIER="ALL")+(BULK_TIER=$F210))*((BULK_SKU="ALL")+(BULK_SKU=$G210))*(BULK_START&lt;=11)*(BULK_END&gt;=11)))),0),ROUND((INDEX(VELOCITY_TABLE,MATCH($F210,TIER_LIST,0),2))*(IF((11-$I210+1)&lt;=0,0,IF((11-$I210+1)=1,RAMP_W1,IF((11-$I210+1)=2,RAMP_W2,IF((11-$I210+1)=3,RAMP_W3,RAMP_W4PLUS)))))*(INDEX(ACTIVE_MULT_TABLE,2,1))*(1+SUMPRODUCT(SIGN(((ACT_DOOR_SCOPE="ALL")+(ACT_DOOR_SCOPE="TIER_"&amp;$F210)+(ACT_DOOR_SCOPE=$B210)))*SIGN(((ACT_SKU_SCOPE="ALL")+(ACT_SKU_SCOPE=$G210)))*(ACT_START&lt;=11)*(ACT_END&gt;=11)*IFERROR(ACT_UPLIFT-1,0)))*(1+SUMPRODUCT(SIGN(((ACT_DOOR_SCOPE="ALL")+(ACT_DOOR_SCOPE="TIER_"&amp;$F210)+(ACT_DOOR_SCOPE=$B210)))*SIGN(((ACT_SKU_SCOPE="ALL")+(ACT_SKU_SCOPE=$G210)))*(11&gt;ACT_END)*(ACT_END&gt;0)*IFERROR(ACT_POSTLIFT,0))),0)))</f>
        <v/>
      </c>
      <c r="U210" s="10">
        <f>IF(OR($H210&lt;&gt;"Y",12&lt;$I210),0,IF(SUMPRODUCT(((BULK_ENABLED="Y")*((BULK_TIER="ALL")+(BULK_TIER=$F210))*((BULK_SKU="ALL")+(BULK_SKU=$G210))*(BULK_START&lt;=12)*(BULK_END&gt;=12)))&gt;0,IFERROR(SUMPRODUCT(((BULK_ENABLED="Y")*((BULK_TIER="ALL")+(BULK_TIER=$F210))*((BULK_SKU="ALL")+(BULK_SKU=$G210))*(BULK_START&lt;=12)*(BULK_END&gt;=12))*IFERROR(BULK_VALUE,0))/MAX(1,SUMPRODUCT(((BULK_ENABLED="Y")*((BULK_TIER="ALL")+(BULK_TIER=$F210))*((BULK_SKU="ALL")+(BULK_SKU=$G210))*(BULK_START&lt;=12)*(BULK_END&gt;=12)))),0),ROUND((INDEX(VELOCITY_TABLE,MATCH($F210,TIER_LIST,0),2))*(IF((12-$I210+1)&lt;=0,0,IF((12-$I210+1)=1,RAMP_W1,IF((12-$I210+1)=2,RAMP_W2,IF((12-$I210+1)=3,RAMP_W3,RAMP_W4PLUS)))))*(INDEX(ACTIVE_MULT_TABLE,2,1))*(1+SUMPRODUCT(SIGN(((ACT_DOOR_SCOPE="ALL")+(ACT_DOOR_SCOPE="TIER_"&amp;$F210)+(ACT_DOOR_SCOPE=$B210)))*SIGN(((ACT_SKU_SCOPE="ALL")+(ACT_SKU_SCOPE=$G210)))*(ACT_START&lt;=12)*(ACT_END&gt;=12)*IFERROR(ACT_UPLIFT-1,0)))*(1+SUMPRODUCT(SIGN(((ACT_DOOR_SCOPE="ALL")+(ACT_DOOR_SCOPE="TIER_"&amp;$F210)+(ACT_DOOR_SCOPE=$B210)))*SIGN(((ACT_SKU_SCOPE="ALL")+(ACT_SKU_SCOPE=$G210)))*(12&gt;ACT_END)*(ACT_END&gt;0)*IFERROR(ACT_POSTLIFT,0))),0)))</f>
        <v/>
      </c>
      <c r="V210" s="10">
        <f>IF(OR($H210&lt;&gt;"Y",13&lt;$I210),0,IF(SUMPRODUCT(((BULK_ENABLED="Y")*((BULK_TIER="ALL")+(BULK_TIER=$F210))*((BULK_SKU="ALL")+(BULK_SKU=$G210))*(BULK_START&lt;=13)*(BULK_END&gt;=13)))&gt;0,IFERROR(SUMPRODUCT(((BULK_ENABLED="Y")*((BULK_TIER="ALL")+(BULK_TIER=$F210))*((BULK_SKU="ALL")+(BULK_SKU=$G210))*(BULK_START&lt;=13)*(BULK_END&gt;=13))*IFERROR(BULK_VALUE,0))/MAX(1,SUMPRODUCT(((BULK_ENABLED="Y")*((BULK_TIER="ALL")+(BULK_TIER=$F210))*((BULK_SKU="ALL")+(BULK_SKU=$G210))*(BULK_START&lt;=13)*(BULK_END&gt;=13)))),0),ROUND((INDEX(VELOCITY_TABLE,MATCH($F210,TIER_LIST,0),2))*(IF((13-$I210+1)&lt;=0,0,IF((13-$I210+1)=1,RAMP_W1,IF((13-$I210+1)=2,RAMP_W2,IF((13-$I210+1)=3,RAMP_W3,RAMP_W4PLUS)))))*(INDEX(ACTIVE_MULT_TABLE,2,1))*(1+SUMPRODUCT(SIGN(((ACT_DOOR_SCOPE="ALL")+(ACT_DOOR_SCOPE="TIER_"&amp;$F210)+(ACT_DOOR_SCOPE=$B210)))*SIGN(((ACT_SKU_SCOPE="ALL")+(ACT_SKU_SCOPE=$G210)))*(ACT_START&lt;=13)*(ACT_END&gt;=13)*IFERROR(ACT_UPLIFT-1,0)))*(1+SUMPRODUCT(SIGN(((ACT_DOOR_SCOPE="ALL")+(ACT_DOOR_SCOPE="TIER_"&amp;$F210)+(ACT_DOOR_SCOPE=$B210)))*SIGN(((ACT_SKU_SCOPE="ALL")+(ACT_SKU_SCOPE=$G210)))*(13&gt;ACT_END)*(ACT_END&gt;0)*IFERROR(ACT_POSTLIFT,0))),0)))</f>
        <v/>
      </c>
    </row>
    <row r="211">
      <c r="A211" t="inlineStr">
        <is>
          <t>R0207</t>
        </is>
      </c>
      <c r="B211">
        <f>Doors!$A$73</f>
        <v/>
      </c>
      <c r="C211">
        <f>Doors!$C$73</f>
        <v/>
      </c>
      <c r="D211">
        <f>Doors!$B$73</f>
        <v/>
      </c>
      <c r="E211">
        <f>Doors!$E$73</f>
        <v/>
      </c>
      <c r="F211">
        <f>Doors!$F$73</f>
        <v/>
      </c>
      <c r="G211" t="inlineStr">
        <is>
          <t>Raspberry</t>
        </is>
      </c>
      <c r="H211">
        <f>Doors!$I$73</f>
        <v/>
      </c>
      <c r="I211">
        <f>Doors!$J$73</f>
        <v/>
      </c>
      <c r="J211" s="10">
        <f>IF(OR($H211&lt;&gt;"Y",1&lt;$I211),0,IF(SUMPRODUCT(((BULK_ENABLED="Y")*((BULK_TIER="ALL")+(BULK_TIER=$F211))*((BULK_SKU="ALL")+(BULK_SKU=$G211))*(BULK_START&lt;=1)*(BULK_END&gt;=1)))&gt;0,IFERROR(SUMPRODUCT(((BULK_ENABLED="Y")*((BULK_TIER="ALL")+(BULK_TIER=$F211))*((BULK_SKU="ALL")+(BULK_SKU=$G211))*(BULK_START&lt;=1)*(BULK_END&gt;=1))*IFERROR(BULK_VALUE,0))/MAX(1,SUMPRODUCT(((BULK_ENABLED="Y")*((BULK_TIER="ALL")+(BULK_TIER=$F211))*((BULK_SKU="ALL")+(BULK_SKU=$G211))*(BULK_START&lt;=1)*(BULK_END&gt;=1)))),0),ROUND((INDEX(VELOCITY_TABLE,MATCH($F211,TIER_LIST,0),3))*(IF((1-$I211+1)&lt;=0,0,IF((1-$I211+1)=1,RAMP_W1,IF((1-$I211+1)=2,RAMP_W2,IF((1-$I211+1)=3,RAMP_W3,RAMP_W4PLUS)))))*(INDEX(ACTIVE_MULT_TABLE,3,1))*(1+SUMPRODUCT(SIGN(((ACT_DOOR_SCOPE="ALL")+(ACT_DOOR_SCOPE="TIER_"&amp;$F211)+(ACT_DOOR_SCOPE=$B211)))*SIGN(((ACT_SKU_SCOPE="ALL")+(ACT_SKU_SCOPE=$G211)))*(ACT_START&lt;=1)*(ACT_END&gt;=1)*IFERROR(ACT_UPLIFT-1,0)))*(1+SUMPRODUCT(SIGN(((ACT_DOOR_SCOPE="ALL")+(ACT_DOOR_SCOPE="TIER_"&amp;$F211)+(ACT_DOOR_SCOPE=$B211)))*SIGN(((ACT_SKU_SCOPE="ALL")+(ACT_SKU_SCOPE=$G211)))*(1&gt;ACT_END)*(ACT_END&gt;0)*IFERROR(ACT_POSTLIFT,0))),0)))</f>
        <v/>
      </c>
      <c r="K211" s="10">
        <f>IF(OR($H211&lt;&gt;"Y",2&lt;$I211),0,IF(SUMPRODUCT(((BULK_ENABLED="Y")*((BULK_TIER="ALL")+(BULK_TIER=$F211))*((BULK_SKU="ALL")+(BULK_SKU=$G211))*(BULK_START&lt;=2)*(BULK_END&gt;=2)))&gt;0,IFERROR(SUMPRODUCT(((BULK_ENABLED="Y")*((BULK_TIER="ALL")+(BULK_TIER=$F211))*((BULK_SKU="ALL")+(BULK_SKU=$G211))*(BULK_START&lt;=2)*(BULK_END&gt;=2))*IFERROR(BULK_VALUE,0))/MAX(1,SUMPRODUCT(((BULK_ENABLED="Y")*((BULK_TIER="ALL")+(BULK_TIER=$F211))*((BULK_SKU="ALL")+(BULK_SKU=$G211))*(BULK_START&lt;=2)*(BULK_END&gt;=2)))),0),ROUND((INDEX(VELOCITY_TABLE,MATCH($F211,TIER_LIST,0),3))*(IF((2-$I211+1)&lt;=0,0,IF((2-$I211+1)=1,RAMP_W1,IF((2-$I211+1)=2,RAMP_W2,IF((2-$I211+1)=3,RAMP_W3,RAMP_W4PLUS)))))*(INDEX(ACTIVE_MULT_TABLE,3,1))*(1+SUMPRODUCT(SIGN(((ACT_DOOR_SCOPE="ALL")+(ACT_DOOR_SCOPE="TIER_"&amp;$F211)+(ACT_DOOR_SCOPE=$B211)))*SIGN(((ACT_SKU_SCOPE="ALL")+(ACT_SKU_SCOPE=$G211)))*(ACT_START&lt;=2)*(ACT_END&gt;=2)*IFERROR(ACT_UPLIFT-1,0)))*(1+SUMPRODUCT(SIGN(((ACT_DOOR_SCOPE="ALL")+(ACT_DOOR_SCOPE="TIER_"&amp;$F211)+(ACT_DOOR_SCOPE=$B211)))*SIGN(((ACT_SKU_SCOPE="ALL")+(ACT_SKU_SCOPE=$G211)))*(2&gt;ACT_END)*(ACT_END&gt;0)*IFERROR(ACT_POSTLIFT,0))),0)))</f>
        <v/>
      </c>
      <c r="L211" s="10">
        <f>IF(OR($H211&lt;&gt;"Y",3&lt;$I211),0,IF(SUMPRODUCT(((BULK_ENABLED="Y")*((BULK_TIER="ALL")+(BULK_TIER=$F211))*((BULK_SKU="ALL")+(BULK_SKU=$G211))*(BULK_START&lt;=3)*(BULK_END&gt;=3)))&gt;0,IFERROR(SUMPRODUCT(((BULK_ENABLED="Y")*((BULK_TIER="ALL")+(BULK_TIER=$F211))*((BULK_SKU="ALL")+(BULK_SKU=$G211))*(BULK_START&lt;=3)*(BULK_END&gt;=3))*IFERROR(BULK_VALUE,0))/MAX(1,SUMPRODUCT(((BULK_ENABLED="Y")*((BULK_TIER="ALL")+(BULK_TIER=$F211))*((BULK_SKU="ALL")+(BULK_SKU=$G211))*(BULK_START&lt;=3)*(BULK_END&gt;=3)))),0),ROUND((INDEX(VELOCITY_TABLE,MATCH($F211,TIER_LIST,0),3))*(IF((3-$I211+1)&lt;=0,0,IF((3-$I211+1)=1,RAMP_W1,IF((3-$I211+1)=2,RAMP_W2,IF((3-$I211+1)=3,RAMP_W3,RAMP_W4PLUS)))))*(INDEX(ACTIVE_MULT_TABLE,3,1))*(1+SUMPRODUCT(SIGN(((ACT_DOOR_SCOPE="ALL")+(ACT_DOOR_SCOPE="TIER_"&amp;$F211)+(ACT_DOOR_SCOPE=$B211)))*SIGN(((ACT_SKU_SCOPE="ALL")+(ACT_SKU_SCOPE=$G211)))*(ACT_START&lt;=3)*(ACT_END&gt;=3)*IFERROR(ACT_UPLIFT-1,0)))*(1+SUMPRODUCT(SIGN(((ACT_DOOR_SCOPE="ALL")+(ACT_DOOR_SCOPE="TIER_"&amp;$F211)+(ACT_DOOR_SCOPE=$B211)))*SIGN(((ACT_SKU_SCOPE="ALL")+(ACT_SKU_SCOPE=$G211)))*(3&gt;ACT_END)*(ACT_END&gt;0)*IFERROR(ACT_POSTLIFT,0))),0)))</f>
        <v/>
      </c>
      <c r="M211" s="10">
        <f>IF(OR($H211&lt;&gt;"Y",4&lt;$I211),0,IF(SUMPRODUCT(((BULK_ENABLED="Y")*((BULK_TIER="ALL")+(BULK_TIER=$F211))*((BULK_SKU="ALL")+(BULK_SKU=$G211))*(BULK_START&lt;=4)*(BULK_END&gt;=4)))&gt;0,IFERROR(SUMPRODUCT(((BULK_ENABLED="Y")*((BULK_TIER="ALL")+(BULK_TIER=$F211))*((BULK_SKU="ALL")+(BULK_SKU=$G211))*(BULK_START&lt;=4)*(BULK_END&gt;=4))*IFERROR(BULK_VALUE,0))/MAX(1,SUMPRODUCT(((BULK_ENABLED="Y")*((BULK_TIER="ALL")+(BULK_TIER=$F211))*((BULK_SKU="ALL")+(BULK_SKU=$G211))*(BULK_START&lt;=4)*(BULK_END&gt;=4)))),0),ROUND((INDEX(VELOCITY_TABLE,MATCH($F211,TIER_LIST,0),3))*(IF((4-$I211+1)&lt;=0,0,IF((4-$I211+1)=1,RAMP_W1,IF((4-$I211+1)=2,RAMP_W2,IF((4-$I211+1)=3,RAMP_W3,RAMP_W4PLUS)))))*(INDEX(ACTIVE_MULT_TABLE,3,1))*(1+SUMPRODUCT(SIGN(((ACT_DOOR_SCOPE="ALL")+(ACT_DOOR_SCOPE="TIER_"&amp;$F211)+(ACT_DOOR_SCOPE=$B211)))*SIGN(((ACT_SKU_SCOPE="ALL")+(ACT_SKU_SCOPE=$G211)))*(ACT_START&lt;=4)*(ACT_END&gt;=4)*IFERROR(ACT_UPLIFT-1,0)))*(1+SUMPRODUCT(SIGN(((ACT_DOOR_SCOPE="ALL")+(ACT_DOOR_SCOPE="TIER_"&amp;$F211)+(ACT_DOOR_SCOPE=$B211)))*SIGN(((ACT_SKU_SCOPE="ALL")+(ACT_SKU_SCOPE=$G211)))*(4&gt;ACT_END)*(ACT_END&gt;0)*IFERROR(ACT_POSTLIFT,0))),0)))</f>
        <v/>
      </c>
      <c r="N211" s="10">
        <f>IF(OR($H211&lt;&gt;"Y",5&lt;$I211),0,IF(SUMPRODUCT(((BULK_ENABLED="Y")*((BULK_TIER="ALL")+(BULK_TIER=$F211))*((BULK_SKU="ALL")+(BULK_SKU=$G211))*(BULK_START&lt;=5)*(BULK_END&gt;=5)))&gt;0,IFERROR(SUMPRODUCT(((BULK_ENABLED="Y")*((BULK_TIER="ALL")+(BULK_TIER=$F211))*((BULK_SKU="ALL")+(BULK_SKU=$G211))*(BULK_START&lt;=5)*(BULK_END&gt;=5))*IFERROR(BULK_VALUE,0))/MAX(1,SUMPRODUCT(((BULK_ENABLED="Y")*((BULK_TIER="ALL")+(BULK_TIER=$F211))*((BULK_SKU="ALL")+(BULK_SKU=$G211))*(BULK_START&lt;=5)*(BULK_END&gt;=5)))),0),ROUND((INDEX(VELOCITY_TABLE,MATCH($F211,TIER_LIST,0),3))*(IF((5-$I211+1)&lt;=0,0,IF((5-$I211+1)=1,RAMP_W1,IF((5-$I211+1)=2,RAMP_W2,IF((5-$I211+1)=3,RAMP_W3,RAMP_W4PLUS)))))*(INDEX(ACTIVE_MULT_TABLE,3,1))*(1+SUMPRODUCT(SIGN(((ACT_DOOR_SCOPE="ALL")+(ACT_DOOR_SCOPE="TIER_"&amp;$F211)+(ACT_DOOR_SCOPE=$B211)))*SIGN(((ACT_SKU_SCOPE="ALL")+(ACT_SKU_SCOPE=$G211)))*(ACT_START&lt;=5)*(ACT_END&gt;=5)*IFERROR(ACT_UPLIFT-1,0)))*(1+SUMPRODUCT(SIGN(((ACT_DOOR_SCOPE="ALL")+(ACT_DOOR_SCOPE="TIER_"&amp;$F211)+(ACT_DOOR_SCOPE=$B211)))*SIGN(((ACT_SKU_SCOPE="ALL")+(ACT_SKU_SCOPE=$G211)))*(5&gt;ACT_END)*(ACT_END&gt;0)*IFERROR(ACT_POSTLIFT,0))),0)))</f>
        <v/>
      </c>
      <c r="O211" s="10">
        <f>IF(OR($H211&lt;&gt;"Y",6&lt;$I211),0,IF(SUMPRODUCT(((BULK_ENABLED="Y")*((BULK_TIER="ALL")+(BULK_TIER=$F211))*((BULK_SKU="ALL")+(BULK_SKU=$G211))*(BULK_START&lt;=6)*(BULK_END&gt;=6)))&gt;0,IFERROR(SUMPRODUCT(((BULK_ENABLED="Y")*((BULK_TIER="ALL")+(BULK_TIER=$F211))*((BULK_SKU="ALL")+(BULK_SKU=$G211))*(BULK_START&lt;=6)*(BULK_END&gt;=6))*IFERROR(BULK_VALUE,0))/MAX(1,SUMPRODUCT(((BULK_ENABLED="Y")*((BULK_TIER="ALL")+(BULK_TIER=$F211))*((BULK_SKU="ALL")+(BULK_SKU=$G211))*(BULK_START&lt;=6)*(BULK_END&gt;=6)))),0),ROUND((INDEX(VELOCITY_TABLE,MATCH($F211,TIER_LIST,0),3))*(IF((6-$I211+1)&lt;=0,0,IF((6-$I211+1)=1,RAMP_W1,IF((6-$I211+1)=2,RAMP_W2,IF((6-$I211+1)=3,RAMP_W3,RAMP_W4PLUS)))))*(INDEX(ACTIVE_MULT_TABLE,3,1))*(1+SUMPRODUCT(SIGN(((ACT_DOOR_SCOPE="ALL")+(ACT_DOOR_SCOPE="TIER_"&amp;$F211)+(ACT_DOOR_SCOPE=$B211)))*SIGN(((ACT_SKU_SCOPE="ALL")+(ACT_SKU_SCOPE=$G211)))*(ACT_START&lt;=6)*(ACT_END&gt;=6)*IFERROR(ACT_UPLIFT-1,0)))*(1+SUMPRODUCT(SIGN(((ACT_DOOR_SCOPE="ALL")+(ACT_DOOR_SCOPE="TIER_"&amp;$F211)+(ACT_DOOR_SCOPE=$B211)))*SIGN(((ACT_SKU_SCOPE="ALL")+(ACT_SKU_SCOPE=$G211)))*(6&gt;ACT_END)*(ACT_END&gt;0)*IFERROR(ACT_POSTLIFT,0))),0)))</f>
        <v/>
      </c>
      <c r="P211" s="10">
        <f>IF(OR($H211&lt;&gt;"Y",7&lt;$I211),0,IF(SUMPRODUCT(((BULK_ENABLED="Y")*((BULK_TIER="ALL")+(BULK_TIER=$F211))*((BULK_SKU="ALL")+(BULK_SKU=$G211))*(BULK_START&lt;=7)*(BULK_END&gt;=7)))&gt;0,IFERROR(SUMPRODUCT(((BULK_ENABLED="Y")*((BULK_TIER="ALL")+(BULK_TIER=$F211))*((BULK_SKU="ALL")+(BULK_SKU=$G211))*(BULK_START&lt;=7)*(BULK_END&gt;=7))*IFERROR(BULK_VALUE,0))/MAX(1,SUMPRODUCT(((BULK_ENABLED="Y")*((BULK_TIER="ALL")+(BULK_TIER=$F211))*((BULK_SKU="ALL")+(BULK_SKU=$G211))*(BULK_START&lt;=7)*(BULK_END&gt;=7)))),0),ROUND((INDEX(VELOCITY_TABLE,MATCH($F211,TIER_LIST,0),3))*(IF((7-$I211+1)&lt;=0,0,IF((7-$I211+1)=1,RAMP_W1,IF((7-$I211+1)=2,RAMP_W2,IF((7-$I211+1)=3,RAMP_W3,RAMP_W4PLUS)))))*(INDEX(ACTIVE_MULT_TABLE,3,1))*(1+SUMPRODUCT(SIGN(((ACT_DOOR_SCOPE="ALL")+(ACT_DOOR_SCOPE="TIER_"&amp;$F211)+(ACT_DOOR_SCOPE=$B211)))*SIGN(((ACT_SKU_SCOPE="ALL")+(ACT_SKU_SCOPE=$G211)))*(ACT_START&lt;=7)*(ACT_END&gt;=7)*IFERROR(ACT_UPLIFT-1,0)))*(1+SUMPRODUCT(SIGN(((ACT_DOOR_SCOPE="ALL")+(ACT_DOOR_SCOPE="TIER_"&amp;$F211)+(ACT_DOOR_SCOPE=$B211)))*SIGN(((ACT_SKU_SCOPE="ALL")+(ACT_SKU_SCOPE=$G211)))*(7&gt;ACT_END)*(ACT_END&gt;0)*IFERROR(ACT_POSTLIFT,0))),0)))</f>
        <v/>
      </c>
      <c r="Q211" s="10">
        <f>IF(OR($H211&lt;&gt;"Y",8&lt;$I211),0,IF(SUMPRODUCT(((BULK_ENABLED="Y")*((BULK_TIER="ALL")+(BULK_TIER=$F211))*((BULK_SKU="ALL")+(BULK_SKU=$G211))*(BULK_START&lt;=8)*(BULK_END&gt;=8)))&gt;0,IFERROR(SUMPRODUCT(((BULK_ENABLED="Y")*((BULK_TIER="ALL")+(BULK_TIER=$F211))*((BULK_SKU="ALL")+(BULK_SKU=$G211))*(BULK_START&lt;=8)*(BULK_END&gt;=8))*IFERROR(BULK_VALUE,0))/MAX(1,SUMPRODUCT(((BULK_ENABLED="Y")*((BULK_TIER="ALL")+(BULK_TIER=$F211))*((BULK_SKU="ALL")+(BULK_SKU=$G211))*(BULK_START&lt;=8)*(BULK_END&gt;=8)))),0),ROUND((INDEX(VELOCITY_TABLE,MATCH($F211,TIER_LIST,0),3))*(IF((8-$I211+1)&lt;=0,0,IF((8-$I211+1)=1,RAMP_W1,IF((8-$I211+1)=2,RAMP_W2,IF((8-$I211+1)=3,RAMP_W3,RAMP_W4PLUS)))))*(INDEX(ACTIVE_MULT_TABLE,3,1))*(1+SUMPRODUCT(SIGN(((ACT_DOOR_SCOPE="ALL")+(ACT_DOOR_SCOPE="TIER_"&amp;$F211)+(ACT_DOOR_SCOPE=$B211)))*SIGN(((ACT_SKU_SCOPE="ALL")+(ACT_SKU_SCOPE=$G211)))*(ACT_START&lt;=8)*(ACT_END&gt;=8)*IFERROR(ACT_UPLIFT-1,0)))*(1+SUMPRODUCT(SIGN(((ACT_DOOR_SCOPE="ALL")+(ACT_DOOR_SCOPE="TIER_"&amp;$F211)+(ACT_DOOR_SCOPE=$B211)))*SIGN(((ACT_SKU_SCOPE="ALL")+(ACT_SKU_SCOPE=$G211)))*(8&gt;ACT_END)*(ACT_END&gt;0)*IFERROR(ACT_POSTLIFT,0))),0)))</f>
        <v/>
      </c>
      <c r="R211" s="10">
        <f>IF(OR($H211&lt;&gt;"Y",9&lt;$I211),0,IF(SUMPRODUCT(((BULK_ENABLED="Y")*((BULK_TIER="ALL")+(BULK_TIER=$F211))*((BULK_SKU="ALL")+(BULK_SKU=$G211))*(BULK_START&lt;=9)*(BULK_END&gt;=9)))&gt;0,IFERROR(SUMPRODUCT(((BULK_ENABLED="Y")*((BULK_TIER="ALL")+(BULK_TIER=$F211))*((BULK_SKU="ALL")+(BULK_SKU=$G211))*(BULK_START&lt;=9)*(BULK_END&gt;=9))*IFERROR(BULK_VALUE,0))/MAX(1,SUMPRODUCT(((BULK_ENABLED="Y")*((BULK_TIER="ALL")+(BULK_TIER=$F211))*((BULK_SKU="ALL")+(BULK_SKU=$G211))*(BULK_START&lt;=9)*(BULK_END&gt;=9)))),0),ROUND((INDEX(VELOCITY_TABLE,MATCH($F211,TIER_LIST,0),3))*(IF((9-$I211+1)&lt;=0,0,IF((9-$I211+1)=1,RAMP_W1,IF((9-$I211+1)=2,RAMP_W2,IF((9-$I211+1)=3,RAMP_W3,RAMP_W4PLUS)))))*(INDEX(ACTIVE_MULT_TABLE,3,1))*(1+SUMPRODUCT(SIGN(((ACT_DOOR_SCOPE="ALL")+(ACT_DOOR_SCOPE="TIER_"&amp;$F211)+(ACT_DOOR_SCOPE=$B211)))*SIGN(((ACT_SKU_SCOPE="ALL")+(ACT_SKU_SCOPE=$G211)))*(ACT_START&lt;=9)*(ACT_END&gt;=9)*IFERROR(ACT_UPLIFT-1,0)))*(1+SUMPRODUCT(SIGN(((ACT_DOOR_SCOPE="ALL")+(ACT_DOOR_SCOPE="TIER_"&amp;$F211)+(ACT_DOOR_SCOPE=$B211)))*SIGN(((ACT_SKU_SCOPE="ALL")+(ACT_SKU_SCOPE=$G211)))*(9&gt;ACT_END)*(ACT_END&gt;0)*IFERROR(ACT_POSTLIFT,0))),0)))</f>
        <v/>
      </c>
      <c r="S211" s="10">
        <f>IF(OR($H211&lt;&gt;"Y",10&lt;$I211),0,IF(SUMPRODUCT(((BULK_ENABLED="Y")*((BULK_TIER="ALL")+(BULK_TIER=$F211))*((BULK_SKU="ALL")+(BULK_SKU=$G211))*(BULK_START&lt;=10)*(BULK_END&gt;=10)))&gt;0,IFERROR(SUMPRODUCT(((BULK_ENABLED="Y")*((BULK_TIER="ALL")+(BULK_TIER=$F211))*((BULK_SKU="ALL")+(BULK_SKU=$G211))*(BULK_START&lt;=10)*(BULK_END&gt;=10))*IFERROR(BULK_VALUE,0))/MAX(1,SUMPRODUCT(((BULK_ENABLED="Y")*((BULK_TIER="ALL")+(BULK_TIER=$F211))*((BULK_SKU="ALL")+(BULK_SKU=$G211))*(BULK_START&lt;=10)*(BULK_END&gt;=10)))),0),ROUND((INDEX(VELOCITY_TABLE,MATCH($F211,TIER_LIST,0),3))*(IF((10-$I211+1)&lt;=0,0,IF((10-$I211+1)=1,RAMP_W1,IF((10-$I211+1)=2,RAMP_W2,IF((10-$I211+1)=3,RAMP_W3,RAMP_W4PLUS)))))*(INDEX(ACTIVE_MULT_TABLE,3,1))*(1+SUMPRODUCT(SIGN(((ACT_DOOR_SCOPE="ALL")+(ACT_DOOR_SCOPE="TIER_"&amp;$F211)+(ACT_DOOR_SCOPE=$B211)))*SIGN(((ACT_SKU_SCOPE="ALL")+(ACT_SKU_SCOPE=$G211)))*(ACT_START&lt;=10)*(ACT_END&gt;=10)*IFERROR(ACT_UPLIFT-1,0)))*(1+SUMPRODUCT(SIGN(((ACT_DOOR_SCOPE="ALL")+(ACT_DOOR_SCOPE="TIER_"&amp;$F211)+(ACT_DOOR_SCOPE=$B211)))*SIGN(((ACT_SKU_SCOPE="ALL")+(ACT_SKU_SCOPE=$G211)))*(10&gt;ACT_END)*(ACT_END&gt;0)*IFERROR(ACT_POSTLIFT,0))),0)))</f>
        <v/>
      </c>
      <c r="T211" s="10">
        <f>IF(OR($H211&lt;&gt;"Y",11&lt;$I211),0,IF(SUMPRODUCT(((BULK_ENABLED="Y")*((BULK_TIER="ALL")+(BULK_TIER=$F211))*((BULK_SKU="ALL")+(BULK_SKU=$G211))*(BULK_START&lt;=11)*(BULK_END&gt;=11)))&gt;0,IFERROR(SUMPRODUCT(((BULK_ENABLED="Y")*((BULK_TIER="ALL")+(BULK_TIER=$F211))*((BULK_SKU="ALL")+(BULK_SKU=$G211))*(BULK_START&lt;=11)*(BULK_END&gt;=11))*IFERROR(BULK_VALUE,0))/MAX(1,SUMPRODUCT(((BULK_ENABLED="Y")*((BULK_TIER="ALL")+(BULK_TIER=$F211))*((BULK_SKU="ALL")+(BULK_SKU=$G211))*(BULK_START&lt;=11)*(BULK_END&gt;=11)))),0),ROUND((INDEX(VELOCITY_TABLE,MATCH($F211,TIER_LIST,0),3))*(IF((11-$I211+1)&lt;=0,0,IF((11-$I211+1)=1,RAMP_W1,IF((11-$I211+1)=2,RAMP_W2,IF((11-$I211+1)=3,RAMP_W3,RAMP_W4PLUS)))))*(INDEX(ACTIVE_MULT_TABLE,3,1))*(1+SUMPRODUCT(SIGN(((ACT_DOOR_SCOPE="ALL")+(ACT_DOOR_SCOPE="TIER_"&amp;$F211)+(ACT_DOOR_SCOPE=$B211)))*SIGN(((ACT_SKU_SCOPE="ALL")+(ACT_SKU_SCOPE=$G211)))*(ACT_START&lt;=11)*(ACT_END&gt;=11)*IFERROR(ACT_UPLIFT-1,0)))*(1+SUMPRODUCT(SIGN(((ACT_DOOR_SCOPE="ALL")+(ACT_DOOR_SCOPE="TIER_"&amp;$F211)+(ACT_DOOR_SCOPE=$B211)))*SIGN(((ACT_SKU_SCOPE="ALL")+(ACT_SKU_SCOPE=$G211)))*(11&gt;ACT_END)*(ACT_END&gt;0)*IFERROR(ACT_POSTLIFT,0))),0)))</f>
        <v/>
      </c>
      <c r="U211" s="10">
        <f>IF(OR($H211&lt;&gt;"Y",12&lt;$I211),0,IF(SUMPRODUCT(((BULK_ENABLED="Y")*((BULK_TIER="ALL")+(BULK_TIER=$F211))*((BULK_SKU="ALL")+(BULK_SKU=$G211))*(BULK_START&lt;=12)*(BULK_END&gt;=12)))&gt;0,IFERROR(SUMPRODUCT(((BULK_ENABLED="Y")*((BULK_TIER="ALL")+(BULK_TIER=$F211))*((BULK_SKU="ALL")+(BULK_SKU=$G211))*(BULK_START&lt;=12)*(BULK_END&gt;=12))*IFERROR(BULK_VALUE,0))/MAX(1,SUMPRODUCT(((BULK_ENABLED="Y")*((BULK_TIER="ALL")+(BULK_TIER=$F211))*((BULK_SKU="ALL")+(BULK_SKU=$G211))*(BULK_START&lt;=12)*(BULK_END&gt;=12)))),0),ROUND((INDEX(VELOCITY_TABLE,MATCH($F211,TIER_LIST,0),3))*(IF((12-$I211+1)&lt;=0,0,IF((12-$I211+1)=1,RAMP_W1,IF((12-$I211+1)=2,RAMP_W2,IF((12-$I211+1)=3,RAMP_W3,RAMP_W4PLUS)))))*(INDEX(ACTIVE_MULT_TABLE,3,1))*(1+SUMPRODUCT(SIGN(((ACT_DOOR_SCOPE="ALL")+(ACT_DOOR_SCOPE="TIER_"&amp;$F211)+(ACT_DOOR_SCOPE=$B211)))*SIGN(((ACT_SKU_SCOPE="ALL")+(ACT_SKU_SCOPE=$G211)))*(ACT_START&lt;=12)*(ACT_END&gt;=12)*IFERROR(ACT_UPLIFT-1,0)))*(1+SUMPRODUCT(SIGN(((ACT_DOOR_SCOPE="ALL")+(ACT_DOOR_SCOPE="TIER_"&amp;$F211)+(ACT_DOOR_SCOPE=$B211)))*SIGN(((ACT_SKU_SCOPE="ALL")+(ACT_SKU_SCOPE=$G211)))*(12&gt;ACT_END)*(ACT_END&gt;0)*IFERROR(ACT_POSTLIFT,0))),0)))</f>
        <v/>
      </c>
      <c r="V211" s="10">
        <f>IF(OR($H211&lt;&gt;"Y",13&lt;$I211),0,IF(SUMPRODUCT(((BULK_ENABLED="Y")*((BULK_TIER="ALL")+(BULK_TIER=$F211))*((BULK_SKU="ALL")+(BULK_SKU=$G211))*(BULK_START&lt;=13)*(BULK_END&gt;=13)))&gt;0,IFERROR(SUMPRODUCT(((BULK_ENABLED="Y")*((BULK_TIER="ALL")+(BULK_TIER=$F211))*((BULK_SKU="ALL")+(BULK_SKU=$G211))*(BULK_START&lt;=13)*(BULK_END&gt;=13))*IFERROR(BULK_VALUE,0))/MAX(1,SUMPRODUCT(((BULK_ENABLED="Y")*((BULK_TIER="ALL")+(BULK_TIER=$F211))*((BULK_SKU="ALL")+(BULK_SKU=$G211))*(BULK_START&lt;=13)*(BULK_END&gt;=13)))),0),ROUND((INDEX(VELOCITY_TABLE,MATCH($F211,TIER_LIST,0),3))*(IF((13-$I211+1)&lt;=0,0,IF((13-$I211+1)=1,RAMP_W1,IF((13-$I211+1)=2,RAMP_W2,IF((13-$I211+1)=3,RAMP_W3,RAMP_W4PLUS)))))*(INDEX(ACTIVE_MULT_TABLE,3,1))*(1+SUMPRODUCT(SIGN(((ACT_DOOR_SCOPE="ALL")+(ACT_DOOR_SCOPE="TIER_"&amp;$F211)+(ACT_DOOR_SCOPE=$B211)))*SIGN(((ACT_SKU_SCOPE="ALL")+(ACT_SKU_SCOPE=$G211)))*(ACT_START&lt;=13)*(ACT_END&gt;=13)*IFERROR(ACT_UPLIFT-1,0)))*(1+SUMPRODUCT(SIGN(((ACT_DOOR_SCOPE="ALL")+(ACT_DOOR_SCOPE="TIER_"&amp;$F211)+(ACT_DOOR_SCOPE=$B211)))*SIGN(((ACT_SKU_SCOPE="ALL")+(ACT_SKU_SCOPE=$G211)))*(13&gt;ACT_END)*(ACT_END&gt;0)*IFERROR(ACT_POSTLIFT,0))),0)))</f>
        <v/>
      </c>
    </row>
    <row r="212">
      <c r="A212" t="inlineStr">
        <is>
          <t>R0208</t>
        </is>
      </c>
      <c r="B212">
        <f>Doors!$A$74</f>
        <v/>
      </c>
      <c r="C212">
        <f>Doors!$C$74</f>
        <v/>
      </c>
      <c r="D212">
        <f>Doors!$B$74</f>
        <v/>
      </c>
      <c r="E212">
        <f>Doors!$E$74</f>
        <v/>
      </c>
      <c r="F212">
        <f>Doors!$F$74</f>
        <v/>
      </c>
      <c r="G212" t="inlineStr">
        <is>
          <t>Lime Lemon</t>
        </is>
      </c>
      <c r="H212">
        <f>Doors!$G$74</f>
        <v/>
      </c>
      <c r="I212">
        <f>Doors!$J$74</f>
        <v/>
      </c>
      <c r="J212" s="10">
        <f>IF(OR($H212&lt;&gt;"Y",1&lt;$I212),0,IF(SUMPRODUCT(((BULK_ENABLED="Y")*((BULK_TIER="ALL")+(BULK_TIER=$F212))*((BULK_SKU="ALL")+(BULK_SKU=$G212))*(BULK_START&lt;=1)*(BULK_END&gt;=1)))&gt;0,IFERROR(SUMPRODUCT(((BULK_ENABLED="Y")*((BULK_TIER="ALL")+(BULK_TIER=$F212))*((BULK_SKU="ALL")+(BULK_SKU=$G212))*(BULK_START&lt;=1)*(BULK_END&gt;=1))*IFERROR(BULK_VALUE,0))/MAX(1,SUMPRODUCT(((BULK_ENABLED="Y")*((BULK_TIER="ALL")+(BULK_TIER=$F212))*((BULK_SKU="ALL")+(BULK_SKU=$G212))*(BULK_START&lt;=1)*(BULK_END&gt;=1)))),0),ROUND((INDEX(VELOCITY_TABLE,MATCH($F212,TIER_LIST,0),1))*(IF((1-$I212+1)&lt;=0,0,IF((1-$I212+1)=1,RAMP_W1,IF((1-$I212+1)=2,RAMP_W2,IF((1-$I212+1)=3,RAMP_W3,RAMP_W4PLUS)))))*(INDEX(ACTIVE_MULT_TABLE,1,1))*(1+SUMPRODUCT(SIGN(((ACT_DOOR_SCOPE="ALL")+(ACT_DOOR_SCOPE="TIER_"&amp;$F212)+(ACT_DOOR_SCOPE=$B212)))*SIGN(((ACT_SKU_SCOPE="ALL")+(ACT_SKU_SCOPE=$G212)))*(ACT_START&lt;=1)*(ACT_END&gt;=1)*IFERROR(ACT_UPLIFT-1,0)))*(1+SUMPRODUCT(SIGN(((ACT_DOOR_SCOPE="ALL")+(ACT_DOOR_SCOPE="TIER_"&amp;$F212)+(ACT_DOOR_SCOPE=$B212)))*SIGN(((ACT_SKU_SCOPE="ALL")+(ACT_SKU_SCOPE=$G212)))*(1&gt;ACT_END)*(ACT_END&gt;0)*IFERROR(ACT_POSTLIFT,0))),0)))</f>
        <v/>
      </c>
      <c r="K212" s="10">
        <f>IF(OR($H212&lt;&gt;"Y",2&lt;$I212),0,IF(SUMPRODUCT(((BULK_ENABLED="Y")*((BULK_TIER="ALL")+(BULK_TIER=$F212))*((BULK_SKU="ALL")+(BULK_SKU=$G212))*(BULK_START&lt;=2)*(BULK_END&gt;=2)))&gt;0,IFERROR(SUMPRODUCT(((BULK_ENABLED="Y")*((BULK_TIER="ALL")+(BULK_TIER=$F212))*((BULK_SKU="ALL")+(BULK_SKU=$G212))*(BULK_START&lt;=2)*(BULK_END&gt;=2))*IFERROR(BULK_VALUE,0))/MAX(1,SUMPRODUCT(((BULK_ENABLED="Y")*((BULK_TIER="ALL")+(BULK_TIER=$F212))*((BULK_SKU="ALL")+(BULK_SKU=$G212))*(BULK_START&lt;=2)*(BULK_END&gt;=2)))),0),ROUND((INDEX(VELOCITY_TABLE,MATCH($F212,TIER_LIST,0),1))*(IF((2-$I212+1)&lt;=0,0,IF((2-$I212+1)=1,RAMP_W1,IF((2-$I212+1)=2,RAMP_W2,IF((2-$I212+1)=3,RAMP_W3,RAMP_W4PLUS)))))*(INDEX(ACTIVE_MULT_TABLE,1,1))*(1+SUMPRODUCT(SIGN(((ACT_DOOR_SCOPE="ALL")+(ACT_DOOR_SCOPE="TIER_"&amp;$F212)+(ACT_DOOR_SCOPE=$B212)))*SIGN(((ACT_SKU_SCOPE="ALL")+(ACT_SKU_SCOPE=$G212)))*(ACT_START&lt;=2)*(ACT_END&gt;=2)*IFERROR(ACT_UPLIFT-1,0)))*(1+SUMPRODUCT(SIGN(((ACT_DOOR_SCOPE="ALL")+(ACT_DOOR_SCOPE="TIER_"&amp;$F212)+(ACT_DOOR_SCOPE=$B212)))*SIGN(((ACT_SKU_SCOPE="ALL")+(ACT_SKU_SCOPE=$G212)))*(2&gt;ACT_END)*(ACT_END&gt;0)*IFERROR(ACT_POSTLIFT,0))),0)))</f>
        <v/>
      </c>
      <c r="L212" s="10">
        <f>IF(OR($H212&lt;&gt;"Y",3&lt;$I212),0,IF(SUMPRODUCT(((BULK_ENABLED="Y")*((BULK_TIER="ALL")+(BULK_TIER=$F212))*((BULK_SKU="ALL")+(BULK_SKU=$G212))*(BULK_START&lt;=3)*(BULK_END&gt;=3)))&gt;0,IFERROR(SUMPRODUCT(((BULK_ENABLED="Y")*((BULK_TIER="ALL")+(BULK_TIER=$F212))*((BULK_SKU="ALL")+(BULK_SKU=$G212))*(BULK_START&lt;=3)*(BULK_END&gt;=3))*IFERROR(BULK_VALUE,0))/MAX(1,SUMPRODUCT(((BULK_ENABLED="Y")*((BULK_TIER="ALL")+(BULK_TIER=$F212))*((BULK_SKU="ALL")+(BULK_SKU=$G212))*(BULK_START&lt;=3)*(BULK_END&gt;=3)))),0),ROUND((INDEX(VELOCITY_TABLE,MATCH($F212,TIER_LIST,0),1))*(IF((3-$I212+1)&lt;=0,0,IF((3-$I212+1)=1,RAMP_W1,IF((3-$I212+1)=2,RAMP_W2,IF((3-$I212+1)=3,RAMP_W3,RAMP_W4PLUS)))))*(INDEX(ACTIVE_MULT_TABLE,1,1))*(1+SUMPRODUCT(SIGN(((ACT_DOOR_SCOPE="ALL")+(ACT_DOOR_SCOPE="TIER_"&amp;$F212)+(ACT_DOOR_SCOPE=$B212)))*SIGN(((ACT_SKU_SCOPE="ALL")+(ACT_SKU_SCOPE=$G212)))*(ACT_START&lt;=3)*(ACT_END&gt;=3)*IFERROR(ACT_UPLIFT-1,0)))*(1+SUMPRODUCT(SIGN(((ACT_DOOR_SCOPE="ALL")+(ACT_DOOR_SCOPE="TIER_"&amp;$F212)+(ACT_DOOR_SCOPE=$B212)))*SIGN(((ACT_SKU_SCOPE="ALL")+(ACT_SKU_SCOPE=$G212)))*(3&gt;ACT_END)*(ACT_END&gt;0)*IFERROR(ACT_POSTLIFT,0))),0)))</f>
        <v/>
      </c>
      <c r="M212" s="10">
        <f>IF(OR($H212&lt;&gt;"Y",4&lt;$I212),0,IF(SUMPRODUCT(((BULK_ENABLED="Y")*((BULK_TIER="ALL")+(BULK_TIER=$F212))*((BULK_SKU="ALL")+(BULK_SKU=$G212))*(BULK_START&lt;=4)*(BULK_END&gt;=4)))&gt;0,IFERROR(SUMPRODUCT(((BULK_ENABLED="Y")*((BULK_TIER="ALL")+(BULK_TIER=$F212))*((BULK_SKU="ALL")+(BULK_SKU=$G212))*(BULK_START&lt;=4)*(BULK_END&gt;=4))*IFERROR(BULK_VALUE,0))/MAX(1,SUMPRODUCT(((BULK_ENABLED="Y")*((BULK_TIER="ALL")+(BULK_TIER=$F212))*((BULK_SKU="ALL")+(BULK_SKU=$G212))*(BULK_START&lt;=4)*(BULK_END&gt;=4)))),0),ROUND((INDEX(VELOCITY_TABLE,MATCH($F212,TIER_LIST,0),1))*(IF((4-$I212+1)&lt;=0,0,IF((4-$I212+1)=1,RAMP_W1,IF((4-$I212+1)=2,RAMP_W2,IF((4-$I212+1)=3,RAMP_W3,RAMP_W4PLUS)))))*(INDEX(ACTIVE_MULT_TABLE,1,1))*(1+SUMPRODUCT(SIGN(((ACT_DOOR_SCOPE="ALL")+(ACT_DOOR_SCOPE="TIER_"&amp;$F212)+(ACT_DOOR_SCOPE=$B212)))*SIGN(((ACT_SKU_SCOPE="ALL")+(ACT_SKU_SCOPE=$G212)))*(ACT_START&lt;=4)*(ACT_END&gt;=4)*IFERROR(ACT_UPLIFT-1,0)))*(1+SUMPRODUCT(SIGN(((ACT_DOOR_SCOPE="ALL")+(ACT_DOOR_SCOPE="TIER_"&amp;$F212)+(ACT_DOOR_SCOPE=$B212)))*SIGN(((ACT_SKU_SCOPE="ALL")+(ACT_SKU_SCOPE=$G212)))*(4&gt;ACT_END)*(ACT_END&gt;0)*IFERROR(ACT_POSTLIFT,0))),0)))</f>
        <v/>
      </c>
      <c r="N212" s="10">
        <f>IF(OR($H212&lt;&gt;"Y",5&lt;$I212),0,IF(SUMPRODUCT(((BULK_ENABLED="Y")*((BULK_TIER="ALL")+(BULK_TIER=$F212))*((BULK_SKU="ALL")+(BULK_SKU=$G212))*(BULK_START&lt;=5)*(BULK_END&gt;=5)))&gt;0,IFERROR(SUMPRODUCT(((BULK_ENABLED="Y")*((BULK_TIER="ALL")+(BULK_TIER=$F212))*((BULK_SKU="ALL")+(BULK_SKU=$G212))*(BULK_START&lt;=5)*(BULK_END&gt;=5))*IFERROR(BULK_VALUE,0))/MAX(1,SUMPRODUCT(((BULK_ENABLED="Y")*((BULK_TIER="ALL")+(BULK_TIER=$F212))*((BULK_SKU="ALL")+(BULK_SKU=$G212))*(BULK_START&lt;=5)*(BULK_END&gt;=5)))),0),ROUND((INDEX(VELOCITY_TABLE,MATCH($F212,TIER_LIST,0),1))*(IF((5-$I212+1)&lt;=0,0,IF((5-$I212+1)=1,RAMP_W1,IF((5-$I212+1)=2,RAMP_W2,IF((5-$I212+1)=3,RAMP_W3,RAMP_W4PLUS)))))*(INDEX(ACTIVE_MULT_TABLE,1,1))*(1+SUMPRODUCT(SIGN(((ACT_DOOR_SCOPE="ALL")+(ACT_DOOR_SCOPE="TIER_"&amp;$F212)+(ACT_DOOR_SCOPE=$B212)))*SIGN(((ACT_SKU_SCOPE="ALL")+(ACT_SKU_SCOPE=$G212)))*(ACT_START&lt;=5)*(ACT_END&gt;=5)*IFERROR(ACT_UPLIFT-1,0)))*(1+SUMPRODUCT(SIGN(((ACT_DOOR_SCOPE="ALL")+(ACT_DOOR_SCOPE="TIER_"&amp;$F212)+(ACT_DOOR_SCOPE=$B212)))*SIGN(((ACT_SKU_SCOPE="ALL")+(ACT_SKU_SCOPE=$G212)))*(5&gt;ACT_END)*(ACT_END&gt;0)*IFERROR(ACT_POSTLIFT,0))),0)))</f>
        <v/>
      </c>
      <c r="O212" s="10">
        <f>IF(OR($H212&lt;&gt;"Y",6&lt;$I212),0,IF(SUMPRODUCT(((BULK_ENABLED="Y")*((BULK_TIER="ALL")+(BULK_TIER=$F212))*((BULK_SKU="ALL")+(BULK_SKU=$G212))*(BULK_START&lt;=6)*(BULK_END&gt;=6)))&gt;0,IFERROR(SUMPRODUCT(((BULK_ENABLED="Y")*((BULK_TIER="ALL")+(BULK_TIER=$F212))*((BULK_SKU="ALL")+(BULK_SKU=$G212))*(BULK_START&lt;=6)*(BULK_END&gt;=6))*IFERROR(BULK_VALUE,0))/MAX(1,SUMPRODUCT(((BULK_ENABLED="Y")*((BULK_TIER="ALL")+(BULK_TIER=$F212))*((BULK_SKU="ALL")+(BULK_SKU=$G212))*(BULK_START&lt;=6)*(BULK_END&gt;=6)))),0),ROUND((INDEX(VELOCITY_TABLE,MATCH($F212,TIER_LIST,0),1))*(IF((6-$I212+1)&lt;=0,0,IF((6-$I212+1)=1,RAMP_W1,IF((6-$I212+1)=2,RAMP_W2,IF((6-$I212+1)=3,RAMP_W3,RAMP_W4PLUS)))))*(INDEX(ACTIVE_MULT_TABLE,1,1))*(1+SUMPRODUCT(SIGN(((ACT_DOOR_SCOPE="ALL")+(ACT_DOOR_SCOPE="TIER_"&amp;$F212)+(ACT_DOOR_SCOPE=$B212)))*SIGN(((ACT_SKU_SCOPE="ALL")+(ACT_SKU_SCOPE=$G212)))*(ACT_START&lt;=6)*(ACT_END&gt;=6)*IFERROR(ACT_UPLIFT-1,0)))*(1+SUMPRODUCT(SIGN(((ACT_DOOR_SCOPE="ALL")+(ACT_DOOR_SCOPE="TIER_"&amp;$F212)+(ACT_DOOR_SCOPE=$B212)))*SIGN(((ACT_SKU_SCOPE="ALL")+(ACT_SKU_SCOPE=$G212)))*(6&gt;ACT_END)*(ACT_END&gt;0)*IFERROR(ACT_POSTLIFT,0))),0)))</f>
        <v/>
      </c>
      <c r="P212" s="10">
        <f>IF(OR($H212&lt;&gt;"Y",7&lt;$I212),0,IF(SUMPRODUCT(((BULK_ENABLED="Y")*((BULK_TIER="ALL")+(BULK_TIER=$F212))*((BULK_SKU="ALL")+(BULK_SKU=$G212))*(BULK_START&lt;=7)*(BULK_END&gt;=7)))&gt;0,IFERROR(SUMPRODUCT(((BULK_ENABLED="Y")*((BULK_TIER="ALL")+(BULK_TIER=$F212))*((BULK_SKU="ALL")+(BULK_SKU=$G212))*(BULK_START&lt;=7)*(BULK_END&gt;=7))*IFERROR(BULK_VALUE,0))/MAX(1,SUMPRODUCT(((BULK_ENABLED="Y")*((BULK_TIER="ALL")+(BULK_TIER=$F212))*((BULK_SKU="ALL")+(BULK_SKU=$G212))*(BULK_START&lt;=7)*(BULK_END&gt;=7)))),0),ROUND((INDEX(VELOCITY_TABLE,MATCH($F212,TIER_LIST,0),1))*(IF((7-$I212+1)&lt;=0,0,IF((7-$I212+1)=1,RAMP_W1,IF((7-$I212+1)=2,RAMP_W2,IF((7-$I212+1)=3,RAMP_W3,RAMP_W4PLUS)))))*(INDEX(ACTIVE_MULT_TABLE,1,1))*(1+SUMPRODUCT(SIGN(((ACT_DOOR_SCOPE="ALL")+(ACT_DOOR_SCOPE="TIER_"&amp;$F212)+(ACT_DOOR_SCOPE=$B212)))*SIGN(((ACT_SKU_SCOPE="ALL")+(ACT_SKU_SCOPE=$G212)))*(ACT_START&lt;=7)*(ACT_END&gt;=7)*IFERROR(ACT_UPLIFT-1,0)))*(1+SUMPRODUCT(SIGN(((ACT_DOOR_SCOPE="ALL")+(ACT_DOOR_SCOPE="TIER_"&amp;$F212)+(ACT_DOOR_SCOPE=$B212)))*SIGN(((ACT_SKU_SCOPE="ALL")+(ACT_SKU_SCOPE=$G212)))*(7&gt;ACT_END)*(ACT_END&gt;0)*IFERROR(ACT_POSTLIFT,0))),0)))</f>
        <v/>
      </c>
      <c r="Q212" s="10">
        <f>IF(OR($H212&lt;&gt;"Y",8&lt;$I212),0,IF(SUMPRODUCT(((BULK_ENABLED="Y")*((BULK_TIER="ALL")+(BULK_TIER=$F212))*((BULK_SKU="ALL")+(BULK_SKU=$G212))*(BULK_START&lt;=8)*(BULK_END&gt;=8)))&gt;0,IFERROR(SUMPRODUCT(((BULK_ENABLED="Y")*((BULK_TIER="ALL")+(BULK_TIER=$F212))*((BULK_SKU="ALL")+(BULK_SKU=$G212))*(BULK_START&lt;=8)*(BULK_END&gt;=8))*IFERROR(BULK_VALUE,0))/MAX(1,SUMPRODUCT(((BULK_ENABLED="Y")*((BULK_TIER="ALL")+(BULK_TIER=$F212))*((BULK_SKU="ALL")+(BULK_SKU=$G212))*(BULK_START&lt;=8)*(BULK_END&gt;=8)))),0),ROUND((INDEX(VELOCITY_TABLE,MATCH($F212,TIER_LIST,0),1))*(IF((8-$I212+1)&lt;=0,0,IF((8-$I212+1)=1,RAMP_W1,IF((8-$I212+1)=2,RAMP_W2,IF((8-$I212+1)=3,RAMP_W3,RAMP_W4PLUS)))))*(INDEX(ACTIVE_MULT_TABLE,1,1))*(1+SUMPRODUCT(SIGN(((ACT_DOOR_SCOPE="ALL")+(ACT_DOOR_SCOPE="TIER_"&amp;$F212)+(ACT_DOOR_SCOPE=$B212)))*SIGN(((ACT_SKU_SCOPE="ALL")+(ACT_SKU_SCOPE=$G212)))*(ACT_START&lt;=8)*(ACT_END&gt;=8)*IFERROR(ACT_UPLIFT-1,0)))*(1+SUMPRODUCT(SIGN(((ACT_DOOR_SCOPE="ALL")+(ACT_DOOR_SCOPE="TIER_"&amp;$F212)+(ACT_DOOR_SCOPE=$B212)))*SIGN(((ACT_SKU_SCOPE="ALL")+(ACT_SKU_SCOPE=$G212)))*(8&gt;ACT_END)*(ACT_END&gt;0)*IFERROR(ACT_POSTLIFT,0))),0)))</f>
        <v/>
      </c>
      <c r="R212" s="10">
        <f>IF(OR($H212&lt;&gt;"Y",9&lt;$I212),0,IF(SUMPRODUCT(((BULK_ENABLED="Y")*((BULK_TIER="ALL")+(BULK_TIER=$F212))*((BULK_SKU="ALL")+(BULK_SKU=$G212))*(BULK_START&lt;=9)*(BULK_END&gt;=9)))&gt;0,IFERROR(SUMPRODUCT(((BULK_ENABLED="Y")*((BULK_TIER="ALL")+(BULK_TIER=$F212))*((BULK_SKU="ALL")+(BULK_SKU=$G212))*(BULK_START&lt;=9)*(BULK_END&gt;=9))*IFERROR(BULK_VALUE,0))/MAX(1,SUMPRODUCT(((BULK_ENABLED="Y")*((BULK_TIER="ALL")+(BULK_TIER=$F212))*((BULK_SKU="ALL")+(BULK_SKU=$G212))*(BULK_START&lt;=9)*(BULK_END&gt;=9)))),0),ROUND((INDEX(VELOCITY_TABLE,MATCH($F212,TIER_LIST,0),1))*(IF((9-$I212+1)&lt;=0,0,IF((9-$I212+1)=1,RAMP_W1,IF((9-$I212+1)=2,RAMP_W2,IF((9-$I212+1)=3,RAMP_W3,RAMP_W4PLUS)))))*(INDEX(ACTIVE_MULT_TABLE,1,1))*(1+SUMPRODUCT(SIGN(((ACT_DOOR_SCOPE="ALL")+(ACT_DOOR_SCOPE="TIER_"&amp;$F212)+(ACT_DOOR_SCOPE=$B212)))*SIGN(((ACT_SKU_SCOPE="ALL")+(ACT_SKU_SCOPE=$G212)))*(ACT_START&lt;=9)*(ACT_END&gt;=9)*IFERROR(ACT_UPLIFT-1,0)))*(1+SUMPRODUCT(SIGN(((ACT_DOOR_SCOPE="ALL")+(ACT_DOOR_SCOPE="TIER_"&amp;$F212)+(ACT_DOOR_SCOPE=$B212)))*SIGN(((ACT_SKU_SCOPE="ALL")+(ACT_SKU_SCOPE=$G212)))*(9&gt;ACT_END)*(ACT_END&gt;0)*IFERROR(ACT_POSTLIFT,0))),0)))</f>
        <v/>
      </c>
      <c r="S212" s="10">
        <f>IF(OR($H212&lt;&gt;"Y",10&lt;$I212),0,IF(SUMPRODUCT(((BULK_ENABLED="Y")*((BULK_TIER="ALL")+(BULK_TIER=$F212))*((BULK_SKU="ALL")+(BULK_SKU=$G212))*(BULK_START&lt;=10)*(BULK_END&gt;=10)))&gt;0,IFERROR(SUMPRODUCT(((BULK_ENABLED="Y")*((BULK_TIER="ALL")+(BULK_TIER=$F212))*((BULK_SKU="ALL")+(BULK_SKU=$G212))*(BULK_START&lt;=10)*(BULK_END&gt;=10))*IFERROR(BULK_VALUE,0))/MAX(1,SUMPRODUCT(((BULK_ENABLED="Y")*((BULK_TIER="ALL")+(BULK_TIER=$F212))*((BULK_SKU="ALL")+(BULK_SKU=$G212))*(BULK_START&lt;=10)*(BULK_END&gt;=10)))),0),ROUND((INDEX(VELOCITY_TABLE,MATCH($F212,TIER_LIST,0),1))*(IF((10-$I212+1)&lt;=0,0,IF((10-$I212+1)=1,RAMP_W1,IF((10-$I212+1)=2,RAMP_W2,IF((10-$I212+1)=3,RAMP_W3,RAMP_W4PLUS)))))*(INDEX(ACTIVE_MULT_TABLE,1,1))*(1+SUMPRODUCT(SIGN(((ACT_DOOR_SCOPE="ALL")+(ACT_DOOR_SCOPE="TIER_"&amp;$F212)+(ACT_DOOR_SCOPE=$B212)))*SIGN(((ACT_SKU_SCOPE="ALL")+(ACT_SKU_SCOPE=$G212)))*(ACT_START&lt;=10)*(ACT_END&gt;=10)*IFERROR(ACT_UPLIFT-1,0)))*(1+SUMPRODUCT(SIGN(((ACT_DOOR_SCOPE="ALL")+(ACT_DOOR_SCOPE="TIER_"&amp;$F212)+(ACT_DOOR_SCOPE=$B212)))*SIGN(((ACT_SKU_SCOPE="ALL")+(ACT_SKU_SCOPE=$G212)))*(10&gt;ACT_END)*(ACT_END&gt;0)*IFERROR(ACT_POSTLIFT,0))),0)))</f>
        <v/>
      </c>
      <c r="T212" s="10">
        <f>IF(OR($H212&lt;&gt;"Y",11&lt;$I212),0,IF(SUMPRODUCT(((BULK_ENABLED="Y")*((BULK_TIER="ALL")+(BULK_TIER=$F212))*((BULK_SKU="ALL")+(BULK_SKU=$G212))*(BULK_START&lt;=11)*(BULK_END&gt;=11)))&gt;0,IFERROR(SUMPRODUCT(((BULK_ENABLED="Y")*((BULK_TIER="ALL")+(BULK_TIER=$F212))*((BULK_SKU="ALL")+(BULK_SKU=$G212))*(BULK_START&lt;=11)*(BULK_END&gt;=11))*IFERROR(BULK_VALUE,0))/MAX(1,SUMPRODUCT(((BULK_ENABLED="Y")*((BULK_TIER="ALL")+(BULK_TIER=$F212))*((BULK_SKU="ALL")+(BULK_SKU=$G212))*(BULK_START&lt;=11)*(BULK_END&gt;=11)))),0),ROUND((INDEX(VELOCITY_TABLE,MATCH($F212,TIER_LIST,0),1))*(IF((11-$I212+1)&lt;=0,0,IF((11-$I212+1)=1,RAMP_W1,IF((11-$I212+1)=2,RAMP_W2,IF((11-$I212+1)=3,RAMP_W3,RAMP_W4PLUS)))))*(INDEX(ACTIVE_MULT_TABLE,1,1))*(1+SUMPRODUCT(SIGN(((ACT_DOOR_SCOPE="ALL")+(ACT_DOOR_SCOPE="TIER_"&amp;$F212)+(ACT_DOOR_SCOPE=$B212)))*SIGN(((ACT_SKU_SCOPE="ALL")+(ACT_SKU_SCOPE=$G212)))*(ACT_START&lt;=11)*(ACT_END&gt;=11)*IFERROR(ACT_UPLIFT-1,0)))*(1+SUMPRODUCT(SIGN(((ACT_DOOR_SCOPE="ALL")+(ACT_DOOR_SCOPE="TIER_"&amp;$F212)+(ACT_DOOR_SCOPE=$B212)))*SIGN(((ACT_SKU_SCOPE="ALL")+(ACT_SKU_SCOPE=$G212)))*(11&gt;ACT_END)*(ACT_END&gt;0)*IFERROR(ACT_POSTLIFT,0))),0)))</f>
        <v/>
      </c>
      <c r="U212" s="10">
        <f>IF(OR($H212&lt;&gt;"Y",12&lt;$I212),0,IF(SUMPRODUCT(((BULK_ENABLED="Y")*((BULK_TIER="ALL")+(BULK_TIER=$F212))*((BULK_SKU="ALL")+(BULK_SKU=$G212))*(BULK_START&lt;=12)*(BULK_END&gt;=12)))&gt;0,IFERROR(SUMPRODUCT(((BULK_ENABLED="Y")*((BULK_TIER="ALL")+(BULK_TIER=$F212))*((BULK_SKU="ALL")+(BULK_SKU=$G212))*(BULK_START&lt;=12)*(BULK_END&gt;=12))*IFERROR(BULK_VALUE,0))/MAX(1,SUMPRODUCT(((BULK_ENABLED="Y")*((BULK_TIER="ALL")+(BULK_TIER=$F212))*((BULK_SKU="ALL")+(BULK_SKU=$G212))*(BULK_START&lt;=12)*(BULK_END&gt;=12)))),0),ROUND((INDEX(VELOCITY_TABLE,MATCH($F212,TIER_LIST,0),1))*(IF((12-$I212+1)&lt;=0,0,IF((12-$I212+1)=1,RAMP_W1,IF((12-$I212+1)=2,RAMP_W2,IF((12-$I212+1)=3,RAMP_W3,RAMP_W4PLUS)))))*(INDEX(ACTIVE_MULT_TABLE,1,1))*(1+SUMPRODUCT(SIGN(((ACT_DOOR_SCOPE="ALL")+(ACT_DOOR_SCOPE="TIER_"&amp;$F212)+(ACT_DOOR_SCOPE=$B212)))*SIGN(((ACT_SKU_SCOPE="ALL")+(ACT_SKU_SCOPE=$G212)))*(ACT_START&lt;=12)*(ACT_END&gt;=12)*IFERROR(ACT_UPLIFT-1,0)))*(1+SUMPRODUCT(SIGN(((ACT_DOOR_SCOPE="ALL")+(ACT_DOOR_SCOPE="TIER_"&amp;$F212)+(ACT_DOOR_SCOPE=$B212)))*SIGN(((ACT_SKU_SCOPE="ALL")+(ACT_SKU_SCOPE=$G212)))*(12&gt;ACT_END)*(ACT_END&gt;0)*IFERROR(ACT_POSTLIFT,0))),0)))</f>
        <v/>
      </c>
      <c r="V212" s="10">
        <f>IF(OR($H212&lt;&gt;"Y",13&lt;$I212),0,IF(SUMPRODUCT(((BULK_ENABLED="Y")*((BULK_TIER="ALL")+(BULK_TIER=$F212))*((BULK_SKU="ALL")+(BULK_SKU=$G212))*(BULK_START&lt;=13)*(BULK_END&gt;=13)))&gt;0,IFERROR(SUMPRODUCT(((BULK_ENABLED="Y")*((BULK_TIER="ALL")+(BULK_TIER=$F212))*((BULK_SKU="ALL")+(BULK_SKU=$G212))*(BULK_START&lt;=13)*(BULK_END&gt;=13))*IFERROR(BULK_VALUE,0))/MAX(1,SUMPRODUCT(((BULK_ENABLED="Y")*((BULK_TIER="ALL")+(BULK_TIER=$F212))*((BULK_SKU="ALL")+(BULK_SKU=$G212))*(BULK_START&lt;=13)*(BULK_END&gt;=13)))),0),ROUND((INDEX(VELOCITY_TABLE,MATCH($F212,TIER_LIST,0),1))*(IF((13-$I212+1)&lt;=0,0,IF((13-$I212+1)=1,RAMP_W1,IF((13-$I212+1)=2,RAMP_W2,IF((13-$I212+1)=3,RAMP_W3,RAMP_W4PLUS)))))*(INDEX(ACTIVE_MULT_TABLE,1,1))*(1+SUMPRODUCT(SIGN(((ACT_DOOR_SCOPE="ALL")+(ACT_DOOR_SCOPE="TIER_"&amp;$F212)+(ACT_DOOR_SCOPE=$B212)))*SIGN(((ACT_SKU_SCOPE="ALL")+(ACT_SKU_SCOPE=$G212)))*(ACT_START&lt;=13)*(ACT_END&gt;=13)*IFERROR(ACT_UPLIFT-1,0)))*(1+SUMPRODUCT(SIGN(((ACT_DOOR_SCOPE="ALL")+(ACT_DOOR_SCOPE="TIER_"&amp;$F212)+(ACT_DOOR_SCOPE=$B212)))*SIGN(((ACT_SKU_SCOPE="ALL")+(ACT_SKU_SCOPE=$G212)))*(13&gt;ACT_END)*(ACT_END&gt;0)*IFERROR(ACT_POSTLIFT,0))),0)))</f>
        <v/>
      </c>
    </row>
    <row r="213">
      <c r="A213" t="inlineStr">
        <is>
          <t>R0209</t>
        </is>
      </c>
      <c r="B213">
        <f>Doors!$A$74</f>
        <v/>
      </c>
      <c r="C213">
        <f>Doors!$C$74</f>
        <v/>
      </c>
      <c r="D213">
        <f>Doors!$B$74</f>
        <v/>
      </c>
      <c r="E213">
        <f>Doors!$E$74</f>
        <v/>
      </c>
      <c r="F213">
        <f>Doors!$F$74</f>
        <v/>
      </c>
      <c r="G213" t="inlineStr">
        <is>
          <t>Pineapple Passion Fruit</t>
        </is>
      </c>
      <c r="H213">
        <f>Doors!$H$74</f>
        <v/>
      </c>
      <c r="I213">
        <f>Doors!$J$74</f>
        <v/>
      </c>
      <c r="J213" s="10">
        <f>IF(OR($H213&lt;&gt;"Y",1&lt;$I213),0,IF(SUMPRODUCT(((BULK_ENABLED="Y")*((BULK_TIER="ALL")+(BULK_TIER=$F213))*((BULK_SKU="ALL")+(BULK_SKU=$G213))*(BULK_START&lt;=1)*(BULK_END&gt;=1)))&gt;0,IFERROR(SUMPRODUCT(((BULK_ENABLED="Y")*((BULK_TIER="ALL")+(BULK_TIER=$F213))*((BULK_SKU="ALL")+(BULK_SKU=$G213))*(BULK_START&lt;=1)*(BULK_END&gt;=1))*IFERROR(BULK_VALUE,0))/MAX(1,SUMPRODUCT(((BULK_ENABLED="Y")*((BULK_TIER="ALL")+(BULK_TIER=$F213))*((BULK_SKU="ALL")+(BULK_SKU=$G213))*(BULK_START&lt;=1)*(BULK_END&gt;=1)))),0),ROUND((INDEX(VELOCITY_TABLE,MATCH($F213,TIER_LIST,0),2))*(IF((1-$I213+1)&lt;=0,0,IF((1-$I213+1)=1,RAMP_W1,IF((1-$I213+1)=2,RAMP_W2,IF((1-$I213+1)=3,RAMP_W3,RAMP_W4PLUS)))))*(INDEX(ACTIVE_MULT_TABLE,2,1))*(1+SUMPRODUCT(SIGN(((ACT_DOOR_SCOPE="ALL")+(ACT_DOOR_SCOPE="TIER_"&amp;$F213)+(ACT_DOOR_SCOPE=$B213)))*SIGN(((ACT_SKU_SCOPE="ALL")+(ACT_SKU_SCOPE=$G213)))*(ACT_START&lt;=1)*(ACT_END&gt;=1)*IFERROR(ACT_UPLIFT-1,0)))*(1+SUMPRODUCT(SIGN(((ACT_DOOR_SCOPE="ALL")+(ACT_DOOR_SCOPE="TIER_"&amp;$F213)+(ACT_DOOR_SCOPE=$B213)))*SIGN(((ACT_SKU_SCOPE="ALL")+(ACT_SKU_SCOPE=$G213)))*(1&gt;ACT_END)*(ACT_END&gt;0)*IFERROR(ACT_POSTLIFT,0))),0)))</f>
        <v/>
      </c>
      <c r="K213" s="10">
        <f>IF(OR($H213&lt;&gt;"Y",2&lt;$I213),0,IF(SUMPRODUCT(((BULK_ENABLED="Y")*((BULK_TIER="ALL")+(BULK_TIER=$F213))*((BULK_SKU="ALL")+(BULK_SKU=$G213))*(BULK_START&lt;=2)*(BULK_END&gt;=2)))&gt;0,IFERROR(SUMPRODUCT(((BULK_ENABLED="Y")*((BULK_TIER="ALL")+(BULK_TIER=$F213))*((BULK_SKU="ALL")+(BULK_SKU=$G213))*(BULK_START&lt;=2)*(BULK_END&gt;=2))*IFERROR(BULK_VALUE,0))/MAX(1,SUMPRODUCT(((BULK_ENABLED="Y")*((BULK_TIER="ALL")+(BULK_TIER=$F213))*((BULK_SKU="ALL")+(BULK_SKU=$G213))*(BULK_START&lt;=2)*(BULK_END&gt;=2)))),0),ROUND((INDEX(VELOCITY_TABLE,MATCH($F213,TIER_LIST,0),2))*(IF((2-$I213+1)&lt;=0,0,IF((2-$I213+1)=1,RAMP_W1,IF((2-$I213+1)=2,RAMP_W2,IF((2-$I213+1)=3,RAMP_W3,RAMP_W4PLUS)))))*(INDEX(ACTIVE_MULT_TABLE,2,1))*(1+SUMPRODUCT(SIGN(((ACT_DOOR_SCOPE="ALL")+(ACT_DOOR_SCOPE="TIER_"&amp;$F213)+(ACT_DOOR_SCOPE=$B213)))*SIGN(((ACT_SKU_SCOPE="ALL")+(ACT_SKU_SCOPE=$G213)))*(ACT_START&lt;=2)*(ACT_END&gt;=2)*IFERROR(ACT_UPLIFT-1,0)))*(1+SUMPRODUCT(SIGN(((ACT_DOOR_SCOPE="ALL")+(ACT_DOOR_SCOPE="TIER_"&amp;$F213)+(ACT_DOOR_SCOPE=$B213)))*SIGN(((ACT_SKU_SCOPE="ALL")+(ACT_SKU_SCOPE=$G213)))*(2&gt;ACT_END)*(ACT_END&gt;0)*IFERROR(ACT_POSTLIFT,0))),0)))</f>
        <v/>
      </c>
      <c r="L213" s="10">
        <f>IF(OR($H213&lt;&gt;"Y",3&lt;$I213),0,IF(SUMPRODUCT(((BULK_ENABLED="Y")*((BULK_TIER="ALL")+(BULK_TIER=$F213))*((BULK_SKU="ALL")+(BULK_SKU=$G213))*(BULK_START&lt;=3)*(BULK_END&gt;=3)))&gt;0,IFERROR(SUMPRODUCT(((BULK_ENABLED="Y")*((BULK_TIER="ALL")+(BULK_TIER=$F213))*((BULK_SKU="ALL")+(BULK_SKU=$G213))*(BULK_START&lt;=3)*(BULK_END&gt;=3))*IFERROR(BULK_VALUE,0))/MAX(1,SUMPRODUCT(((BULK_ENABLED="Y")*((BULK_TIER="ALL")+(BULK_TIER=$F213))*((BULK_SKU="ALL")+(BULK_SKU=$G213))*(BULK_START&lt;=3)*(BULK_END&gt;=3)))),0),ROUND((INDEX(VELOCITY_TABLE,MATCH($F213,TIER_LIST,0),2))*(IF((3-$I213+1)&lt;=0,0,IF((3-$I213+1)=1,RAMP_W1,IF((3-$I213+1)=2,RAMP_W2,IF((3-$I213+1)=3,RAMP_W3,RAMP_W4PLUS)))))*(INDEX(ACTIVE_MULT_TABLE,2,1))*(1+SUMPRODUCT(SIGN(((ACT_DOOR_SCOPE="ALL")+(ACT_DOOR_SCOPE="TIER_"&amp;$F213)+(ACT_DOOR_SCOPE=$B213)))*SIGN(((ACT_SKU_SCOPE="ALL")+(ACT_SKU_SCOPE=$G213)))*(ACT_START&lt;=3)*(ACT_END&gt;=3)*IFERROR(ACT_UPLIFT-1,0)))*(1+SUMPRODUCT(SIGN(((ACT_DOOR_SCOPE="ALL")+(ACT_DOOR_SCOPE="TIER_"&amp;$F213)+(ACT_DOOR_SCOPE=$B213)))*SIGN(((ACT_SKU_SCOPE="ALL")+(ACT_SKU_SCOPE=$G213)))*(3&gt;ACT_END)*(ACT_END&gt;0)*IFERROR(ACT_POSTLIFT,0))),0)))</f>
        <v/>
      </c>
      <c r="M213" s="10">
        <f>IF(OR($H213&lt;&gt;"Y",4&lt;$I213),0,IF(SUMPRODUCT(((BULK_ENABLED="Y")*((BULK_TIER="ALL")+(BULK_TIER=$F213))*((BULK_SKU="ALL")+(BULK_SKU=$G213))*(BULK_START&lt;=4)*(BULK_END&gt;=4)))&gt;0,IFERROR(SUMPRODUCT(((BULK_ENABLED="Y")*((BULK_TIER="ALL")+(BULK_TIER=$F213))*((BULK_SKU="ALL")+(BULK_SKU=$G213))*(BULK_START&lt;=4)*(BULK_END&gt;=4))*IFERROR(BULK_VALUE,0))/MAX(1,SUMPRODUCT(((BULK_ENABLED="Y")*((BULK_TIER="ALL")+(BULK_TIER=$F213))*((BULK_SKU="ALL")+(BULK_SKU=$G213))*(BULK_START&lt;=4)*(BULK_END&gt;=4)))),0),ROUND((INDEX(VELOCITY_TABLE,MATCH($F213,TIER_LIST,0),2))*(IF((4-$I213+1)&lt;=0,0,IF((4-$I213+1)=1,RAMP_W1,IF((4-$I213+1)=2,RAMP_W2,IF((4-$I213+1)=3,RAMP_W3,RAMP_W4PLUS)))))*(INDEX(ACTIVE_MULT_TABLE,2,1))*(1+SUMPRODUCT(SIGN(((ACT_DOOR_SCOPE="ALL")+(ACT_DOOR_SCOPE="TIER_"&amp;$F213)+(ACT_DOOR_SCOPE=$B213)))*SIGN(((ACT_SKU_SCOPE="ALL")+(ACT_SKU_SCOPE=$G213)))*(ACT_START&lt;=4)*(ACT_END&gt;=4)*IFERROR(ACT_UPLIFT-1,0)))*(1+SUMPRODUCT(SIGN(((ACT_DOOR_SCOPE="ALL")+(ACT_DOOR_SCOPE="TIER_"&amp;$F213)+(ACT_DOOR_SCOPE=$B213)))*SIGN(((ACT_SKU_SCOPE="ALL")+(ACT_SKU_SCOPE=$G213)))*(4&gt;ACT_END)*(ACT_END&gt;0)*IFERROR(ACT_POSTLIFT,0))),0)))</f>
        <v/>
      </c>
      <c r="N213" s="10">
        <f>IF(OR($H213&lt;&gt;"Y",5&lt;$I213),0,IF(SUMPRODUCT(((BULK_ENABLED="Y")*((BULK_TIER="ALL")+(BULK_TIER=$F213))*((BULK_SKU="ALL")+(BULK_SKU=$G213))*(BULK_START&lt;=5)*(BULK_END&gt;=5)))&gt;0,IFERROR(SUMPRODUCT(((BULK_ENABLED="Y")*((BULK_TIER="ALL")+(BULK_TIER=$F213))*((BULK_SKU="ALL")+(BULK_SKU=$G213))*(BULK_START&lt;=5)*(BULK_END&gt;=5))*IFERROR(BULK_VALUE,0))/MAX(1,SUMPRODUCT(((BULK_ENABLED="Y")*((BULK_TIER="ALL")+(BULK_TIER=$F213))*((BULK_SKU="ALL")+(BULK_SKU=$G213))*(BULK_START&lt;=5)*(BULK_END&gt;=5)))),0),ROUND((INDEX(VELOCITY_TABLE,MATCH($F213,TIER_LIST,0),2))*(IF((5-$I213+1)&lt;=0,0,IF((5-$I213+1)=1,RAMP_W1,IF((5-$I213+1)=2,RAMP_W2,IF((5-$I213+1)=3,RAMP_W3,RAMP_W4PLUS)))))*(INDEX(ACTIVE_MULT_TABLE,2,1))*(1+SUMPRODUCT(SIGN(((ACT_DOOR_SCOPE="ALL")+(ACT_DOOR_SCOPE="TIER_"&amp;$F213)+(ACT_DOOR_SCOPE=$B213)))*SIGN(((ACT_SKU_SCOPE="ALL")+(ACT_SKU_SCOPE=$G213)))*(ACT_START&lt;=5)*(ACT_END&gt;=5)*IFERROR(ACT_UPLIFT-1,0)))*(1+SUMPRODUCT(SIGN(((ACT_DOOR_SCOPE="ALL")+(ACT_DOOR_SCOPE="TIER_"&amp;$F213)+(ACT_DOOR_SCOPE=$B213)))*SIGN(((ACT_SKU_SCOPE="ALL")+(ACT_SKU_SCOPE=$G213)))*(5&gt;ACT_END)*(ACT_END&gt;0)*IFERROR(ACT_POSTLIFT,0))),0)))</f>
        <v/>
      </c>
      <c r="O213" s="10">
        <f>IF(OR($H213&lt;&gt;"Y",6&lt;$I213),0,IF(SUMPRODUCT(((BULK_ENABLED="Y")*((BULK_TIER="ALL")+(BULK_TIER=$F213))*((BULK_SKU="ALL")+(BULK_SKU=$G213))*(BULK_START&lt;=6)*(BULK_END&gt;=6)))&gt;0,IFERROR(SUMPRODUCT(((BULK_ENABLED="Y")*((BULK_TIER="ALL")+(BULK_TIER=$F213))*((BULK_SKU="ALL")+(BULK_SKU=$G213))*(BULK_START&lt;=6)*(BULK_END&gt;=6))*IFERROR(BULK_VALUE,0))/MAX(1,SUMPRODUCT(((BULK_ENABLED="Y")*((BULK_TIER="ALL")+(BULK_TIER=$F213))*((BULK_SKU="ALL")+(BULK_SKU=$G213))*(BULK_START&lt;=6)*(BULK_END&gt;=6)))),0),ROUND((INDEX(VELOCITY_TABLE,MATCH($F213,TIER_LIST,0),2))*(IF((6-$I213+1)&lt;=0,0,IF((6-$I213+1)=1,RAMP_W1,IF((6-$I213+1)=2,RAMP_W2,IF((6-$I213+1)=3,RAMP_W3,RAMP_W4PLUS)))))*(INDEX(ACTIVE_MULT_TABLE,2,1))*(1+SUMPRODUCT(SIGN(((ACT_DOOR_SCOPE="ALL")+(ACT_DOOR_SCOPE="TIER_"&amp;$F213)+(ACT_DOOR_SCOPE=$B213)))*SIGN(((ACT_SKU_SCOPE="ALL")+(ACT_SKU_SCOPE=$G213)))*(ACT_START&lt;=6)*(ACT_END&gt;=6)*IFERROR(ACT_UPLIFT-1,0)))*(1+SUMPRODUCT(SIGN(((ACT_DOOR_SCOPE="ALL")+(ACT_DOOR_SCOPE="TIER_"&amp;$F213)+(ACT_DOOR_SCOPE=$B213)))*SIGN(((ACT_SKU_SCOPE="ALL")+(ACT_SKU_SCOPE=$G213)))*(6&gt;ACT_END)*(ACT_END&gt;0)*IFERROR(ACT_POSTLIFT,0))),0)))</f>
        <v/>
      </c>
      <c r="P213" s="10">
        <f>IF(OR($H213&lt;&gt;"Y",7&lt;$I213),0,IF(SUMPRODUCT(((BULK_ENABLED="Y")*((BULK_TIER="ALL")+(BULK_TIER=$F213))*((BULK_SKU="ALL")+(BULK_SKU=$G213))*(BULK_START&lt;=7)*(BULK_END&gt;=7)))&gt;0,IFERROR(SUMPRODUCT(((BULK_ENABLED="Y")*((BULK_TIER="ALL")+(BULK_TIER=$F213))*((BULK_SKU="ALL")+(BULK_SKU=$G213))*(BULK_START&lt;=7)*(BULK_END&gt;=7))*IFERROR(BULK_VALUE,0))/MAX(1,SUMPRODUCT(((BULK_ENABLED="Y")*((BULK_TIER="ALL")+(BULK_TIER=$F213))*((BULK_SKU="ALL")+(BULK_SKU=$G213))*(BULK_START&lt;=7)*(BULK_END&gt;=7)))),0),ROUND((INDEX(VELOCITY_TABLE,MATCH($F213,TIER_LIST,0),2))*(IF((7-$I213+1)&lt;=0,0,IF((7-$I213+1)=1,RAMP_W1,IF((7-$I213+1)=2,RAMP_W2,IF((7-$I213+1)=3,RAMP_W3,RAMP_W4PLUS)))))*(INDEX(ACTIVE_MULT_TABLE,2,1))*(1+SUMPRODUCT(SIGN(((ACT_DOOR_SCOPE="ALL")+(ACT_DOOR_SCOPE="TIER_"&amp;$F213)+(ACT_DOOR_SCOPE=$B213)))*SIGN(((ACT_SKU_SCOPE="ALL")+(ACT_SKU_SCOPE=$G213)))*(ACT_START&lt;=7)*(ACT_END&gt;=7)*IFERROR(ACT_UPLIFT-1,0)))*(1+SUMPRODUCT(SIGN(((ACT_DOOR_SCOPE="ALL")+(ACT_DOOR_SCOPE="TIER_"&amp;$F213)+(ACT_DOOR_SCOPE=$B213)))*SIGN(((ACT_SKU_SCOPE="ALL")+(ACT_SKU_SCOPE=$G213)))*(7&gt;ACT_END)*(ACT_END&gt;0)*IFERROR(ACT_POSTLIFT,0))),0)))</f>
        <v/>
      </c>
      <c r="Q213" s="10">
        <f>IF(OR($H213&lt;&gt;"Y",8&lt;$I213),0,IF(SUMPRODUCT(((BULK_ENABLED="Y")*((BULK_TIER="ALL")+(BULK_TIER=$F213))*((BULK_SKU="ALL")+(BULK_SKU=$G213))*(BULK_START&lt;=8)*(BULK_END&gt;=8)))&gt;0,IFERROR(SUMPRODUCT(((BULK_ENABLED="Y")*((BULK_TIER="ALL")+(BULK_TIER=$F213))*((BULK_SKU="ALL")+(BULK_SKU=$G213))*(BULK_START&lt;=8)*(BULK_END&gt;=8))*IFERROR(BULK_VALUE,0))/MAX(1,SUMPRODUCT(((BULK_ENABLED="Y")*((BULK_TIER="ALL")+(BULK_TIER=$F213))*((BULK_SKU="ALL")+(BULK_SKU=$G213))*(BULK_START&lt;=8)*(BULK_END&gt;=8)))),0),ROUND((INDEX(VELOCITY_TABLE,MATCH($F213,TIER_LIST,0),2))*(IF((8-$I213+1)&lt;=0,0,IF((8-$I213+1)=1,RAMP_W1,IF((8-$I213+1)=2,RAMP_W2,IF((8-$I213+1)=3,RAMP_W3,RAMP_W4PLUS)))))*(INDEX(ACTIVE_MULT_TABLE,2,1))*(1+SUMPRODUCT(SIGN(((ACT_DOOR_SCOPE="ALL")+(ACT_DOOR_SCOPE="TIER_"&amp;$F213)+(ACT_DOOR_SCOPE=$B213)))*SIGN(((ACT_SKU_SCOPE="ALL")+(ACT_SKU_SCOPE=$G213)))*(ACT_START&lt;=8)*(ACT_END&gt;=8)*IFERROR(ACT_UPLIFT-1,0)))*(1+SUMPRODUCT(SIGN(((ACT_DOOR_SCOPE="ALL")+(ACT_DOOR_SCOPE="TIER_"&amp;$F213)+(ACT_DOOR_SCOPE=$B213)))*SIGN(((ACT_SKU_SCOPE="ALL")+(ACT_SKU_SCOPE=$G213)))*(8&gt;ACT_END)*(ACT_END&gt;0)*IFERROR(ACT_POSTLIFT,0))),0)))</f>
        <v/>
      </c>
      <c r="R213" s="10">
        <f>IF(OR($H213&lt;&gt;"Y",9&lt;$I213),0,IF(SUMPRODUCT(((BULK_ENABLED="Y")*((BULK_TIER="ALL")+(BULK_TIER=$F213))*((BULK_SKU="ALL")+(BULK_SKU=$G213))*(BULK_START&lt;=9)*(BULK_END&gt;=9)))&gt;0,IFERROR(SUMPRODUCT(((BULK_ENABLED="Y")*((BULK_TIER="ALL")+(BULK_TIER=$F213))*((BULK_SKU="ALL")+(BULK_SKU=$G213))*(BULK_START&lt;=9)*(BULK_END&gt;=9))*IFERROR(BULK_VALUE,0))/MAX(1,SUMPRODUCT(((BULK_ENABLED="Y")*((BULK_TIER="ALL")+(BULK_TIER=$F213))*((BULK_SKU="ALL")+(BULK_SKU=$G213))*(BULK_START&lt;=9)*(BULK_END&gt;=9)))),0),ROUND((INDEX(VELOCITY_TABLE,MATCH($F213,TIER_LIST,0),2))*(IF((9-$I213+1)&lt;=0,0,IF((9-$I213+1)=1,RAMP_W1,IF((9-$I213+1)=2,RAMP_W2,IF((9-$I213+1)=3,RAMP_W3,RAMP_W4PLUS)))))*(INDEX(ACTIVE_MULT_TABLE,2,1))*(1+SUMPRODUCT(SIGN(((ACT_DOOR_SCOPE="ALL")+(ACT_DOOR_SCOPE="TIER_"&amp;$F213)+(ACT_DOOR_SCOPE=$B213)))*SIGN(((ACT_SKU_SCOPE="ALL")+(ACT_SKU_SCOPE=$G213)))*(ACT_START&lt;=9)*(ACT_END&gt;=9)*IFERROR(ACT_UPLIFT-1,0)))*(1+SUMPRODUCT(SIGN(((ACT_DOOR_SCOPE="ALL")+(ACT_DOOR_SCOPE="TIER_"&amp;$F213)+(ACT_DOOR_SCOPE=$B213)))*SIGN(((ACT_SKU_SCOPE="ALL")+(ACT_SKU_SCOPE=$G213)))*(9&gt;ACT_END)*(ACT_END&gt;0)*IFERROR(ACT_POSTLIFT,0))),0)))</f>
        <v/>
      </c>
      <c r="S213" s="10">
        <f>IF(OR($H213&lt;&gt;"Y",10&lt;$I213),0,IF(SUMPRODUCT(((BULK_ENABLED="Y")*((BULK_TIER="ALL")+(BULK_TIER=$F213))*((BULK_SKU="ALL")+(BULK_SKU=$G213))*(BULK_START&lt;=10)*(BULK_END&gt;=10)))&gt;0,IFERROR(SUMPRODUCT(((BULK_ENABLED="Y")*((BULK_TIER="ALL")+(BULK_TIER=$F213))*((BULK_SKU="ALL")+(BULK_SKU=$G213))*(BULK_START&lt;=10)*(BULK_END&gt;=10))*IFERROR(BULK_VALUE,0))/MAX(1,SUMPRODUCT(((BULK_ENABLED="Y")*((BULK_TIER="ALL")+(BULK_TIER=$F213))*((BULK_SKU="ALL")+(BULK_SKU=$G213))*(BULK_START&lt;=10)*(BULK_END&gt;=10)))),0),ROUND((INDEX(VELOCITY_TABLE,MATCH($F213,TIER_LIST,0),2))*(IF((10-$I213+1)&lt;=0,0,IF((10-$I213+1)=1,RAMP_W1,IF((10-$I213+1)=2,RAMP_W2,IF((10-$I213+1)=3,RAMP_W3,RAMP_W4PLUS)))))*(INDEX(ACTIVE_MULT_TABLE,2,1))*(1+SUMPRODUCT(SIGN(((ACT_DOOR_SCOPE="ALL")+(ACT_DOOR_SCOPE="TIER_"&amp;$F213)+(ACT_DOOR_SCOPE=$B213)))*SIGN(((ACT_SKU_SCOPE="ALL")+(ACT_SKU_SCOPE=$G213)))*(ACT_START&lt;=10)*(ACT_END&gt;=10)*IFERROR(ACT_UPLIFT-1,0)))*(1+SUMPRODUCT(SIGN(((ACT_DOOR_SCOPE="ALL")+(ACT_DOOR_SCOPE="TIER_"&amp;$F213)+(ACT_DOOR_SCOPE=$B213)))*SIGN(((ACT_SKU_SCOPE="ALL")+(ACT_SKU_SCOPE=$G213)))*(10&gt;ACT_END)*(ACT_END&gt;0)*IFERROR(ACT_POSTLIFT,0))),0)))</f>
        <v/>
      </c>
      <c r="T213" s="10">
        <f>IF(OR($H213&lt;&gt;"Y",11&lt;$I213),0,IF(SUMPRODUCT(((BULK_ENABLED="Y")*((BULK_TIER="ALL")+(BULK_TIER=$F213))*((BULK_SKU="ALL")+(BULK_SKU=$G213))*(BULK_START&lt;=11)*(BULK_END&gt;=11)))&gt;0,IFERROR(SUMPRODUCT(((BULK_ENABLED="Y")*((BULK_TIER="ALL")+(BULK_TIER=$F213))*((BULK_SKU="ALL")+(BULK_SKU=$G213))*(BULK_START&lt;=11)*(BULK_END&gt;=11))*IFERROR(BULK_VALUE,0))/MAX(1,SUMPRODUCT(((BULK_ENABLED="Y")*((BULK_TIER="ALL")+(BULK_TIER=$F213))*((BULK_SKU="ALL")+(BULK_SKU=$G213))*(BULK_START&lt;=11)*(BULK_END&gt;=11)))),0),ROUND((INDEX(VELOCITY_TABLE,MATCH($F213,TIER_LIST,0),2))*(IF((11-$I213+1)&lt;=0,0,IF((11-$I213+1)=1,RAMP_W1,IF((11-$I213+1)=2,RAMP_W2,IF((11-$I213+1)=3,RAMP_W3,RAMP_W4PLUS)))))*(INDEX(ACTIVE_MULT_TABLE,2,1))*(1+SUMPRODUCT(SIGN(((ACT_DOOR_SCOPE="ALL")+(ACT_DOOR_SCOPE="TIER_"&amp;$F213)+(ACT_DOOR_SCOPE=$B213)))*SIGN(((ACT_SKU_SCOPE="ALL")+(ACT_SKU_SCOPE=$G213)))*(ACT_START&lt;=11)*(ACT_END&gt;=11)*IFERROR(ACT_UPLIFT-1,0)))*(1+SUMPRODUCT(SIGN(((ACT_DOOR_SCOPE="ALL")+(ACT_DOOR_SCOPE="TIER_"&amp;$F213)+(ACT_DOOR_SCOPE=$B213)))*SIGN(((ACT_SKU_SCOPE="ALL")+(ACT_SKU_SCOPE=$G213)))*(11&gt;ACT_END)*(ACT_END&gt;0)*IFERROR(ACT_POSTLIFT,0))),0)))</f>
        <v/>
      </c>
      <c r="U213" s="10">
        <f>IF(OR($H213&lt;&gt;"Y",12&lt;$I213),0,IF(SUMPRODUCT(((BULK_ENABLED="Y")*((BULK_TIER="ALL")+(BULK_TIER=$F213))*((BULK_SKU="ALL")+(BULK_SKU=$G213))*(BULK_START&lt;=12)*(BULK_END&gt;=12)))&gt;0,IFERROR(SUMPRODUCT(((BULK_ENABLED="Y")*((BULK_TIER="ALL")+(BULK_TIER=$F213))*((BULK_SKU="ALL")+(BULK_SKU=$G213))*(BULK_START&lt;=12)*(BULK_END&gt;=12))*IFERROR(BULK_VALUE,0))/MAX(1,SUMPRODUCT(((BULK_ENABLED="Y")*((BULK_TIER="ALL")+(BULK_TIER=$F213))*((BULK_SKU="ALL")+(BULK_SKU=$G213))*(BULK_START&lt;=12)*(BULK_END&gt;=12)))),0),ROUND((INDEX(VELOCITY_TABLE,MATCH($F213,TIER_LIST,0),2))*(IF((12-$I213+1)&lt;=0,0,IF((12-$I213+1)=1,RAMP_W1,IF((12-$I213+1)=2,RAMP_W2,IF((12-$I213+1)=3,RAMP_W3,RAMP_W4PLUS)))))*(INDEX(ACTIVE_MULT_TABLE,2,1))*(1+SUMPRODUCT(SIGN(((ACT_DOOR_SCOPE="ALL")+(ACT_DOOR_SCOPE="TIER_"&amp;$F213)+(ACT_DOOR_SCOPE=$B213)))*SIGN(((ACT_SKU_SCOPE="ALL")+(ACT_SKU_SCOPE=$G213)))*(ACT_START&lt;=12)*(ACT_END&gt;=12)*IFERROR(ACT_UPLIFT-1,0)))*(1+SUMPRODUCT(SIGN(((ACT_DOOR_SCOPE="ALL")+(ACT_DOOR_SCOPE="TIER_"&amp;$F213)+(ACT_DOOR_SCOPE=$B213)))*SIGN(((ACT_SKU_SCOPE="ALL")+(ACT_SKU_SCOPE=$G213)))*(12&gt;ACT_END)*(ACT_END&gt;0)*IFERROR(ACT_POSTLIFT,0))),0)))</f>
        <v/>
      </c>
      <c r="V213" s="10">
        <f>IF(OR($H213&lt;&gt;"Y",13&lt;$I213),0,IF(SUMPRODUCT(((BULK_ENABLED="Y")*((BULK_TIER="ALL")+(BULK_TIER=$F213))*((BULK_SKU="ALL")+(BULK_SKU=$G213))*(BULK_START&lt;=13)*(BULK_END&gt;=13)))&gt;0,IFERROR(SUMPRODUCT(((BULK_ENABLED="Y")*((BULK_TIER="ALL")+(BULK_TIER=$F213))*((BULK_SKU="ALL")+(BULK_SKU=$G213))*(BULK_START&lt;=13)*(BULK_END&gt;=13))*IFERROR(BULK_VALUE,0))/MAX(1,SUMPRODUCT(((BULK_ENABLED="Y")*((BULK_TIER="ALL")+(BULK_TIER=$F213))*((BULK_SKU="ALL")+(BULK_SKU=$G213))*(BULK_START&lt;=13)*(BULK_END&gt;=13)))),0),ROUND((INDEX(VELOCITY_TABLE,MATCH($F213,TIER_LIST,0),2))*(IF((13-$I213+1)&lt;=0,0,IF((13-$I213+1)=1,RAMP_W1,IF((13-$I213+1)=2,RAMP_W2,IF((13-$I213+1)=3,RAMP_W3,RAMP_W4PLUS)))))*(INDEX(ACTIVE_MULT_TABLE,2,1))*(1+SUMPRODUCT(SIGN(((ACT_DOOR_SCOPE="ALL")+(ACT_DOOR_SCOPE="TIER_"&amp;$F213)+(ACT_DOOR_SCOPE=$B213)))*SIGN(((ACT_SKU_SCOPE="ALL")+(ACT_SKU_SCOPE=$G213)))*(ACT_START&lt;=13)*(ACT_END&gt;=13)*IFERROR(ACT_UPLIFT-1,0)))*(1+SUMPRODUCT(SIGN(((ACT_DOOR_SCOPE="ALL")+(ACT_DOOR_SCOPE="TIER_"&amp;$F213)+(ACT_DOOR_SCOPE=$B213)))*SIGN(((ACT_SKU_SCOPE="ALL")+(ACT_SKU_SCOPE=$G213)))*(13&gt;ACT_END)*(ACT_END&gt;0)*IFERROR(ACT_POSTLIFT,0))),0)))</f>
        <v/>
      </c>
    </row>
    <row r="214">
      <c r="A214" t="inlineStr">
        <is>
          <t>R0210</t>
        </is>
      </c>
      <c r="B214">
        <f>Doors!$A$74</f>
        <v/>
      </c>
      <c r="C214">
        <f>Doors!$C$74</f>
        <v/>
      </c>
      <c r="D214">
        <f>Doors!$B$74</f>
        <v/>
      </c>
      <c r="E214">
        <f>Doors!$E$74</f>
        <v/>
      </c>
      <c r="F214">
        <f>Doors!$F$74</f>
        <v/>
      </c>
      <c r="G214" t="inlineStr">
        <is>
          <t>Raspberry</t>
        </is>
      </c>
      <c r="H214">
        <f>Doors!$I$74</f>
        <v/>
      </c>
      <c r="I214">
        <f>Doors!$J$74</f>
        <v/>
      </c>
      <c r="J214" s="10">
        <f>IF(OR($H214&lt;&gt;"Y",1&lt;$I214),0,IF(SUMPRODUCT(((BULK_ENABLED="Y")*((BULK_TIER="ALL")+(BULK_TIER=$F214))*((BULK_SKU="ALL")+(BULK_SKU=$G214))*(BULK_START&lt;=1)*(BULK_END&gt;=1)))&gt;0,IFERROR(SUMPRODUCT(((BULK_ENABLED="Y")*((BULK_TIER="ALL")+(BULK_TIER=$F214))*((BULK_SKU="ALL")+(BULK_SKU=$G214))*(BULK_START&lt;=1)*(BULK_END&gt;=1))*IFERROR(BULK_VALUE,0))/MAX(1,SUMPRODUCT(((BULK_ENABLED="Y")*((BULK_TIER="ALL")+(BULK_TIER=$F214))*((BULK_SKU="ALL")+(BULK_SKU=$G214))*(BULK_START&lt;=1)*(BULK_END&gt;=1)))),0),ROUND((INDEX(VELOCITY_TABLE,MATCH($F214,TIER_LIST,0),3))*(IF((1-$I214+1)&lt;=0,0,IF((1-$I214+1)=1,RAMP_W1,IF((1-$I214+1)=2,RAMP_W2,IF((1-$I214+1)=3,RAMP_W3,RAMP_W4PLUS)))))*(INDEX(ACTIVE_MULT_TABLE,3,1))*(1+SUMPRODUCT(SIGN(((ACT_DOOR_SCOPE="ALL")+(ACT_DOOR_SCOPE="TIER_"&amp;$F214)+(ACT_DOOR_SCOPE=$B214)))*SIGN(((ACT_SKU_SCOPE="ALL")+(ACT_SKU_SCOPE=$G214)))*(ACT_START&lt;=1)*(ACT_END&gt;=1)*IFERROR(ACT_UPLIFT-1,0)))*(1+SUMPRODUCT(SIGN(((ACT_DOOR_SCOPE="ALL")+(ACT_DOOR_SCOPE="TIER_"&amp;$F214)+(ACT_DOOR_SCOPE=$B214)))*SIGN(((ACT_SKU_SCOPE="ALL")+(ACT_SKU_SCOPE=$G214)))*(1&gt;ACT_END)*(ACT_END&gt;0)*IFERROR(ACT_POSTLIFT,0))),0)))</f>
        <v/>
      </c>
      <c r="K214" s="10">
        <f>IF(OR($H214&lt;&gt;"Y",2&lt;$I214),0,IF(SUMPRODUCT(((BULK_ENABLED="Y")*((BULK_TIER="ALL")+(BULK_TIER=$F214))*((BULK_SKU="ALL")+(BULK_SKU=$G214))*(BULK_START&lt;=2)*(BULK_END&gt;=2)))&gt;0,IFERROR(SUMPRODUCT(((BULK_ENABLED="Y")*((BULK_TIER="ALL")+(BULK_TIER=$F214))*((BULK_SKU="ALL")+(BULK_SKU=$G214))*(BULK_START&lt;=2)*(BULK_END&gt;=2))*IFERROR(BULK_VALUE,0))/MAX(1,SUMPRODUCT(((BULK_ENABLED="Y")*((BULK_TIER="ALL")+(BULK_TIER=$F214))*((BULK_SKU="ALL")+(BULK_SKU=$G214))*(BULK_START&lt;=2)*(BULK_END&gt;=2)))),0),ROUND((INDEX(VELOCITY_TABLE,MATCH($F214,TIER_LIST,0),3))*(IF((2-$I214+1)&lt;=0,0,IF((2-$I214+1)=1,RAMP_W1,IF((2-$I214+1)=2,RAMP_W2,IF((2-$I214+1)=3,RAMP_W3,RAMP_W4PLUS)))))*(INDEX(ACTIVE_MULT_TABLE,3,1))*(1+SUMPRODUCT(SIGN(((ACT_DOOR_SCOPE="ALL")+(ACT_DOOR_SCOPE="TIER_"&amp;$F214)+(ACT_DOOR_SCOPE=$B214)))*SIGN(((ACT_SKU_SCOPE="ALL")+(ACT_SKU_SCOPE=$G214)))*(ACT_START&lt;=2)*(ACT_END&gt;=2)*IFERROR(ACT_UPLIFT-1,0)))*(1+SUMPRODUCT(SIGN(((ACT_DOOR_SCOPE="ALL")+(ACT_DOOR_SCOPE="TIER_"&amp;$F214)+(ACT_DOOR_SCOPE=$B214)))*SIGN(((ACT_SKU_SCOPE="ALL")+(ACT_SKU_SCOPE=$G214)))*(2&gt;ACT_END)*(ACT_END&gt;0)*IFERROR(ACT_POSTLIFT,0))),0)))</f>
        <v/>
      </c>
      <c r="L214" s="10">
        <f>IF(OR($H214&lt;&gt;"Y",3&lt;$I214),0,IF(SUMPRODUCT(((BULK_ENABLED="Y")*((BULK_TIER="ALL")+(BULK_TIER=$F214))*((BULK_SKU="ALL")+(BULK_SKU=$G214))*(BULK_START&lt;=3)*(BULK_END&gt;=3)))&gt;0,IFERROR(SUMPRODUCT(((BULK_ENABLED="Y")*((BULK_TIER="ALL")+(BULK_TIER=$F214))*((BULK_SKU="ALL")+(BULK_SKU=$G214))*(BULK_START&lt;=3)*(BULK_END&gt;=3))*IFERROR(BULK_VALUE,0))/MAX(1,SUMPRODUCT(((BULK_ENABLED="Y")*((BULK_TIER="ALL")+(BULK_TIER=$F214))*((BULK_SKU="ALL")+(BULK_SKU=$G214))*(BULK_START&lt;=3)*(BULK_END&gt;=3)))),0),ROUND((INDEX(VELOCITY_TABLE,MATCH($F214,TIER_LIST,0),3))*(IF((3-$I214+1)&lt;=0,0,IF((3-$I214+1)=1,RAMP_W1,IF((3-$I214+1)=2,RAMP_W2,IF((3-$I214+1)=3,RAMP_W3,RAMP_W4PLUS)))))*(INDEX(ACTIVE_MULT_TABLE,3,1))*(1+SUMPRODUCT(SIGN(((ACT_DOOR_SCOPE="ALL")+(ACT_DOOR_SCOPE="TIER_"&amp;$F214)+(ACT_DOOR_SCOPE=$B214)))*SIGN(((ACT_SKU_SCOPE="ALL")+(ACT_SKU_SCOPE=$G214)))*(ACT_START&lt;=3)*(ACT_END&gt;=3)*IFERROR(ACT_UPLIFT-1,0)))*(1+SUMPRODUCT(SIGN(((ACT_DOOR_SCOPE="ALL")+(ACT_DOOR_SCOPE="TIER_"&amp;$F214)+(ACT_DOOR_SCOPE=$B214)))*SIGN(((ACT_SKU_SCOPE="ALL")+(ACT_SKU_SCOPE=$G214)))*(3&gt;ACT_END)*(ACT_END&gt;0)*IFERROR(ACT_POSTLIFT,0))),0)))</f>
        <v/>
      </c>
      <c r="M214" s="10">
        <f>IF(OR($H214&lt;&gt;"Y",4&lt;$I214),0,IF(SUMPRODUCT(((BULK_ENABLED="Y")*((BULK_TIER="ALL")+(BULK_TIER=$F214))*((BULK_SKU="ALL")+(BULK_SKU=$G214))*(BULK_START&lt;=4)*(BULK_END&gt;=4)))&gt;0,IFERROR(SUMPRODUCT(((BULK_ENABLED="Y")*((BULK_TIER="ALL")+(BULK_TIER=$F214))*((BULK_SKU="ALL")+(BULK_SKU=$G214))*(BULK_START&lt;=4)*(BULK_END&gt;=4))*IFERROR(BULK_VALUE,0))/MAX(1,SUMPRODUCT(((BULK_ENABLED="Y")*((BULK_TIER="ALL")+(BULK_TIER=$F214))*((BULK_SKU="ALL")+(BULK_SKU=$G214))*(BULK_START&lt;=4)*(BULK_END&gt;=4)))),0),ROUND((INDEX(VELOCITY_TABLE,MATCH($F214,TIER_LIST,0),3))*(IF((4-$I214+1)&lt;=0,0,IF((4-$I214+1)=1,RAMP_W1,IF((4-$I214+1)=2,RAMP_W2,IF((4-$I214+1)=3,RAMP_W3,RAMP_W4PLUS)))))*(INDEX(ACTIVE_MULT_TABLE,3,1))*(1+SUMPRODUCT(SIGN(((ACT_DOOR_SCOPE="ALL")+(ACT_DOOR_SCOPE="TIER_"&amp;$F214)+(ACT_DOOR_SCOPE=$B214)))*SIGN(((ACT_SKU_SCOPE="ALL")+(ACT_SKU_SCOPE=$G214)))*(ACT_START&lt;=4)*(ACT_END&gt;=4)*IFERROR(ACT_UPLIFT-1,0)))*(1+SUMPRODUCT(SIGN(((ACT_DOOR_SCOPE="ALL")+(ACT_DOOR_SCOPE="TIER_"&amp;$F214)+(ACT_DOOR_SCOPE=$B214)))*SIGN(((ACT_SKU_SCOPE="ALL")+(ACT_SKU_SCOPE=$G214)))*(4&gt;ACT_END)*(ACT_END&gt;0)*IFERROR(ACT_POSTLIFT,0))),0)))</f>
        <v/>
      </c>
      <c r="N214" s="10">
        <f>IF(OR($H214&lt;&gt;"Y",5&lt;$I214),0,IF(SUMPRODUCT(((BULK_ENABLED="Y")*((BULK_TIER="ALL")+(BULK_TIER=$F214))*((BULK_SKU="ALL")+(BULK_SKU=$G214))*(BULK_START&lt;=5)*(BULK_END&gt;=5)))&gt;0,IFERROR(SUMPRODUCT(((BULK_ENABLED="Y")*((BULK_TIER="ALL")+(BULK_TIER=$F214))*((BULK_SKU="ALL")+(BULK_SKU=$G214))*(BULK_START&lt;=5)*(BULK_END&gt;=5))*IFERROR(BULK_VALUE,0))/MAX(1,SUMPRODUCT(((BULK_ENABLED="Y")*((BULK_TIER="ALL")+(BULK_TIER=$F214))*((BULK_SKU="ALL")+(BULK_SKU=$G214))*(BULK_START&lt;=5)*(BULK_END&gt;=5)))),0),ROUND((INDEX(VELOCITY_TABLE,MATCH($F214,TIER_LIST,0),3))*(IF((5-$I214+1)&lt;=0,0,IF((5-$I214+1)=1,RAMP_W1,IF((5-$I214+1)=2,RAMP_W2,IF((5-$I214+1)=3,RAMP_W3,RAMP_W4PLUS)))))*(INDEX(ACTIVE_MULT_TABLE,3,1))*(1+SUMPRODUCT(SIGN(((ACT_DOOR_SCOPE="ALL")+(ACT_DOOR_SCOPE="TIER_"&amp;$F214)+(ACT_DOOR_SCOPE=$B214)))*SIGN(((ACT_SKU_SCOPE="ALL")+(ACT_SKU_SCOPE=$G214)))*(ACT_START&lt;=5)*(ACT_END&gt;=5)*IFERROR(ACT_UPLIFT-1,0)))*(1+SUMPRODUCT(SIGN(((ACT_DOOR_SCOPE="ALL")+(ACT_DOOR_SCOPE="TIER_"&amp;$F214)+(ACT_DOOR_SCOPE=$B214)))*SIGN(((ACT_SKU_SCOPE="ALL")+(ACT_SKU_SCOPE=$G214)))*(5&gt;ACT_END)*(ACT_END&gt;0)*IFERROR(ACT_POSTLIFT,0))),0)))</f>
        <v/>
      </c>
      <c r="O214" s="10">
        <f>IF(OR($H214&lt;&gt;"Y",6&lt;$I214),0,IF(SUMPRODUCT(((BULK_ENABLED="Y")*((BULK_TIER="ALL")+(BULK_TIER=$F214))*((BULK_SKU="ALL")+(BULK_SKU=$G214))*(BULK_START&lt;=6)*(BULK_END&gt;=6)))&gt;0,IFERROR(SUMPRODUCT(((BULK_ENABLED="Y")*((BULK_TIER="ALL")+(BULK_TIER=$F214))*((BULK_SKU="ALL")+(BULK_SKU=$G214))*(BULK_START&lt;=6)*(BULK_END&gt;=6))*IFERROR(BULK_VALUE,0))/MAX(1,SUMPRODUCT(((BULK_ENABLED="Y")*((BULK_TIER="ALL")+(BULK_TIER=$F214))*((BULK_SKU="ALL")+(BULK_SKU=$G214))*(BULK_START&lt;=6)*(BULK_END&gt;=6)))),0),ROUND((INDEX(VELOCITY_TABLE,MATCH($F214,TIER_LIST,0),3))*(IF((6-$I214+1)&lt;=0,0,IF((6-$I214+1)=1,RAMP_W1,IF((6-$I214+1)=2,RAMP_W2,IF((6-$I214+1)=3,RAMP_W3,RAMP_W4PLUS)))))*(INDEX(ACTIVE_MULT_TABLE,3,1))*(1+SUMPRODUCT(SIGN(((ACT_DOOR_SCOPE="ALL")+(ACT_DOOR_SCOPE="TIER_"&amp;$F214)+(ACT_DOOR_SCOPE=$B214)))*SIGN(((ACT_SKU_SCOPE="ALL")+(ACT_SKU_SCOPE=$G214)))*(ACT_START&lt;=6)*(ACT_END&gt;=6)*IFERROR(ACT_UPLIFT-1,0)))*(1+SUMPRODUCT(SIGN(((ACT_DOOR_SCOPE="ALL")+(ACT_DOOR_SCOPE="TIER_"&amp;$F214)+(ACT_DOOR_SCOPE=$B214)))*SIGN(((ACT_SKU_SCOPE="ALL")+(ACT_SKU_SCOPE=$G214)))*(6&gt;ACT_END)*(ACT_END&gt;0)*IFERROR(ACT_POSTLIFT,0))),0)))</f>
        <v/>
      </c>
      <c r="P214" s="10">
        <f>IF(OR($H214&lt;&gt;"Y",7&lt;$I214),0,IF(SUMPRODUCT(((BULK_ENABLED="Y")*((BULK_TIER="ALL")+(BULK_TIER=$F214))*((BULK_SKU="ALL")+(BULK_SKU=$G214))*(BULK_START&lt;=7)*(BULK_END&gt;=7)))&gt;0,IFERROR(SUMPRODUCT(((BULK_ENABLED="Y")*((BULK_TIER="ALL")+(BULK_TIER=$F214))*((BULK_SKU="ALL")+(BULK_SKU=$G214))*(BULK_START&lt;=7)*(BULK_END&gt;=7))*IFERROR(BULK_VALUE,0))/MAX(1,SUMPRODUCT(((BULK_ENABLED="Y")*((BULK_TIER="ALL")+(BULK_TIER=$F214))*((BULK_SKU="ALL")+(BULK_SKU=$G214))*(BULK_START&lt;=7)*(BULK_END&gt;=7)))),0),ROUND((INDEX(VELOCITY_TABLE,MATCH($F214,TIER_LIST,0),3))*(IF((7-$I214+1)&lt;=0,0,IF((7-$I214+1)=1,RAMP_W1,IF((7-$I214+1)=2,RAMP_W2,IF((7-$I214+1)=3,RAMP_W3,RAMP_W4PLUS)))))*(INDEX(ACTIVE_MULT_TABLE,3,1))*(1+SUMPRODUCT(SIGN(((ACT_DOOR_SCOPE="ALL")+(ACT_DOOR_SCOPE="TIER_"&amp;$F214)+(ACT_DOOR_SCOPE=$B214)))*SIGN(((ACT_SKU_SCOPE="ALL")+(ACT_SKU_SCOPE=$G214)))*(ACT_START&lt;=7)*(ACT_END&gt;=7)*IFERROR(ACT_UPLIFT-1,0)))*(1+SUMPRODUCT(SIGN(((ACT_DOOR_SCOPE="ALL")+(ACT_DOOR_SCOPE="TIER_"&amp;$F214)+(ACT_DOOR_SCOPE=$B214)))*SIGN(((ACT_SKU_SCOPE="ALL")+(ACT_SKU_SCOPE=$G214)))*(7&gt;ACT_END)*(ACT_END&gt;0)*IFERROR(ACT_POSTLIFT,0))),0)))</f>
        <v/>
      </c>
      <c r="Q214" s="10">
        <f>IF(OR($H214&lt;&gt;"Y",8&lt;$I214),0,IF(SUMPRODUCT(((BULK_ENABLED="Y")*((BULK_TIER="ALL")+(BULK_TIER=$F214))*((BULK_SKU="ALL")+(BULK_SKU=$G214))*(BULK_START&lt;=8)*(BULK_END&gt;=8)))&gt;0,IFERROR(SUMPRODUCT(((BULK_ENABLED="Y")*((BULK_TIER="ALL")+(BULK_TIER=$F214))*((BULK_SKU="ALL")+(BULK_SKU=$G214))*(BULK_START&lt;=8)*(BULK_END&gt;=8))*IFERROR(BULK_VALUE,0))/MAX(1,SUMPRODUCT(((BULK_ENABLED="Y")*((BULK_TIER="ALL")+(BULK_TIER=$F214))*((BULK_SKU="ALL")+(BULK_SKU=$G214))*(BULK_START&lt;=8)*(BULK_END&gt;=8)))),0),ROUND((INDEX(VELOCITY_TABLE,MATCH($F214,TIER_LIST,0),3))*(IF((8-$I214+1)&lt;=0,0,IF((8-$I214+1)=1,RAMP_W1,IF((8-$I214+1)=2,RAMP_W2,IF((8-$I214+1)=3,RAMP_W3,RAMP_W4PLUS)))))*(INDEX(ACTIVE_MULT_TABLE,3,1))*(1+SUMPRODUCT(SIGN(((ACT_DOOR_SCOPE="ALL")+(ACT_DOOR_SCOPE="TIER_"&amp;$F214)+(ACT_DOOR_SCOPE=$B214)))*SIGN(((ACT_SKU_SCOPE="ALL")+(ACT_SKU_SCOPE=$G214)))*(ACT_START&lt;=8)*(ACT_END&gt;=8)*IFERROR(ACT_UPLIFT-1,0)))*(1+SUMPRODUCT(SIGN(((ACT_DOOR_SCOPE="ALL")+(ACT_DOOR_SCOPE="TIER_"&amp;$F214)+(ACT_DOOR_SCOPE=$B214)))*SIGN(((ACT_SKU_SCOPE="ALL")+(ACT_SKU_SCOPE=$G214)))*(8&gt;ACT_END)*(ACT_END&gt;0)*IFERROR(ACT_POSTLIFT,0))),0)))</f>
        <v/>
      </c>
      <c r="R214" s="10">
        <f>IF(OR($H214&lt;&gt;"Y",9&lt;$I214),0,IF(SUMPRODUCT(((BULK_ENABLED="Y")*((BULK_TIER="ALL")+(BULK_TIER=$F214))*((BULK_SKU="ALL")+(BULK_SKU=$G214))*(BULK_START&lt;=9)*(BULK_END&gt;=9)))&gt;0,IFERROR(SUMPRODUCT(((BULK_ENABLED="Y")*((BULK_TIER="ALL")+(BULK_TIER=$F214))*((BULK_SKU="ALL")+(BULK_SKU=$G214))*(BULK_START&lt;=9)*(BULK_END&gt;=9))*IFERROR(BULK_VALUE,0))/MAX(1,SUMPRODUCT(((BULK_ENABLED="Y")*((BULK_TIER="ALL")+(BULK_TIER=$F214))*((BULK_SKU="ALL")+(BULK_SKU=$G214))*(BULK_START&lt;=9)*(BULK_END&gt;=9)))),0),ROUND((INDEX(VELOCITY_TABLE,MATCH($F214,TIER_LIST,0),3))*(IF((9-$I214+1)&lt;=0,0,IF((9-$I214+1)=1,RAMP_W1,IF((9-$I214+1)=2,RAMP_W2,IF((9-$I214+1)=3,RAMP_W3,RAMP_W4PLUS)))))*(INDEX(ACTIVE_MULT_TABLE,3,1))*(1+SUMPRODUCT(SIGN(((ACT_DOOR_SCOPE="ALL")+(ACT_DOOR_SCOPE="TIER_"&amp;$F214)+(ACT_DOOR_SCOPE=$B214)))*SIGN(((ACT_SKU_SCOPE="ALL")+(ACT_SKU_SCOPE=$G214)))*(ACT_START&lt;=9)*(ACT_END&gt;=9)*IFERROR(ACT_UPLIFT-1,0)))*(1+SUMPRODUCT(SIGN(((ACT_DOOR_SCOPE="ALL")+(ACT_DOOR_SCOPE="TIER_"&amp;$F214)+(ACT_DOOR_SCOPE=$B214)))*SIGN(((ACT_SKU_SCOPE="ALL")+(ACT_SKU_SCOPE=$G214)))*(9&gt;ACT_END)*(ACT_END&gt;0)*IFERROR(ACT_POSTLIFT,0))),0)))</f>
        <v/>
      </c>
      <c r="S214" s="10">
        <f>IF(OR($H214&lt;&gt;"Y",10&lt;$I214),0,IF(SUMPRODUCT(((BULK_ENABLED="Y")*((BULK_TIER="ALL")+(BULK_TIER=$F214))*((BULK_SKU="ALL")+(BULK_SKU=$G214))*(BULK_START&lt;=10)*(BULK_END&gt;=10)))&gt;0,IFERROR(SUMPRODUCT(((BULK_ENABLED="Y")*((BULK_TIER="ALL")+(BULK_TIER=$F214))*((BULK_SKU="ALL")+(BULK_SKU=$G214))*(BULK_START&lt;=10)*(BULK_END&gt;=10))*IFERROR(BULK_VALUE,0))/MAX(1,SUMPRODUCT(((BULK_ENABLED="Y")*((BULK_TIER="ALL")+(BULK_TIER=$F214))*((BULK_SKU="ALL")+(BULK_SKU=$G214))*(BULK_START&lt;=10)*(BULK_END&gt;=10)))),0),ROUND((INDEX(VELOCITY_TABLE,MATCH($F214,TIER_LIST,0),3))*(IF((10-$I214+1)&lt;=0,0,IF((10-$I214+1)=1,RAMP_W1,IF((10-$I214+1)=2,RAMP_W2,IF((10-$I214+1)=3,RAMP_W3,RAMP_W4PLUS)))))*(INDEX(ACTIVE_MULT_TABLE,3,1))*(1+SUMPRODUCT(SIGN(((ACT_DOOR_SCOPE="ALL")+(ACT_DOOR_SCOPE="TIER_"&amp;$F214)+(ACT_DOOR_SCOPE=$B214)))*SIGN(((ACT_SKU_SCOPE="ALL")+(ACT_SKU_SCOPE=$G214)))*(ACT_START&lt;=10)*(ACT_END&gt;=10)*IFERROR(ACT_UPLIFT-1,0)))*(1+SUMPRODUCT(SIGN(((ACT_DOOR_SCOPE="ALL")+(ACT_DOOR_SCOPE="TIER_"&amp;$F214)+(ACT_DOOR_SCOPE=$B214)))*SIGN(((ACT_SKU_SCOPE="ALL")+(ACT_SKU_SCOPE=$G214)))*(10&gt;ACT_END)*(ACT_END&gt;0)*IFERROR(ACT_POSTLIFT,0))),0)))</f>
        <v/>
      </c>
      <c r="T214" s="10">
        <f>IF(OR($H214&lt;&gt;"Y",11&lt;$I214),0,IF(SUMPRODUCT(((BULK_ENABLED="Y")*((BULK_TIER="ALL")+(BULK_TIER=$F214))*((BULK_SKU="ALL")+(BULK_SKU=$G214))*(BULK_START&lt;=11)*(BULK_END&gt;=11)))&gt;0,IFERROR(SUMPRODUCT(((BULK_ENABLED="Y")*((BULK_TIER="ALL")+(BULK_TIER=$F214))*((BULK_SKU="ALL")+(BULK_SKU=$G214))*(BULK_START&lt;=11)*(BULK_END&gt;=11))*IFERROR(BULK_VALUE,0))/MAX(1,SUMPRODUCT(((BULK_ENABLED="Y")*((BULK_TIER="ALL")+(BULK_TIER=$F214))*((BULK_SKU="ALL")+(BULK_SKU=$G214))*(BULK_START&lt;=11)*(BULK_END&gt;=11)))),0),ROUND((INDEX(VELOCITY_TABLE,MATCH($F214,TIER_LIST,0),3))*(IF((11-$I214+1)&lt;=0,0,IF((11-$I214+1)=1,RAMP_W1,IF((11-$I214+1)=2,RAMP_W2,IF((11-$I214+1)=3,RAMP_W3,RAMP_W4PLUS)))))*(INDEX(ACTIVE_MULT_TABLE,3,1))*(1+SUMPRODUCT(SIGN(((ACT_DOOR_SCOPE="ALL")+(ACT_DOOR_SCOPE="TIER_"&amp;$F214)+(ACT_DOOR_SCOPE=$B214)))*SIGN(((ACT_SKU_SCOPE="ALL")+(ACT_SKU_SCOPE=$G214)))*(ACT_START&lt;=11)*(ACT_END&gt;=11)*IFERROR(ACT_UPLIFT-1,0)))*(1+SUMPRODUCT(SIGN(((ACT_DOOR_SCOPE="ALL")+(ACT_DOOR_SCOPE="TIER_"&amp;$F214)+(ACT_DOOR_SCOPE=$B214)))*SIGN(((ACT_SKU_SCOPE="ALL")+(ACT_SKU_SCOPE=$G214)))*(11&gt;ACT_END)*(ACT_END&gt;0)*IFERROR(ACT_POSTLIFT,0))),0)))</f>
        <v/>
      </c>
      <c r="U214" s="10">
        <f>IF(OR($H214&lt;&gt;"Y",12&lt;$I214),0,IF(SUMPRODUCT(((BULK_ENABLED="Y")*((BULK_TIER="ALL")+(BULK_TIER=$F214))*((BULK_SKU="ALL")+(BULK_SKU=$G214))*(BULK_START&lt;=12)*(BULK_END&gt;=12)))&gt;0,IFERROR(SUMPRODUCT(((BULK_ENABLED="Y")*((BULK_TIER="ALL")+(BULK_TIER=$F214))*((BULK_SKU="ALL")+(BULK_SKU=$G214))*(BULK_START&lt;=12)*(BULK_END&gt;=12))*IFERROR(BULK_VALUE,0))/MAX(1,SUMPRODUCT(((BULK_ENABLED="Y")*((BULK_TIER="ALL")+(BULK_TIER=$F214))*((BULK_SKU="ALL")+(BULK_SKU=$G214))*(BULK_START&lt;=12)*(BULK_END&gt;=12)))),0),ROUND((INDEX(VELOCITY_TABLE,MATCH($F214,TIER_LIST,0),3))*(IF((12-$I214+1)&lt;=0,0,IF((12-$I214+1)=1,RAMP_W1,IF((12-$I214+1)=2,RAMP_W2,IF((12-$I214+1)=3,RAMP_W3,RAMP_W4PLUS)))))*(INDEX(ACTIVE_MULT_TABLE,3,1))*(1+SUMPRODUCT(SIGN(((ACT_DOOR_SCOPE="ALL")+(ACT_DOOR_SCOPE="TIER_"&amp;$F214)+(ACT_DOOR_SCOPE=$B214)))*SIGN(((ACT_SKU_SCOPE="ALL")+(ACT_SKU_SCOPE=$G214)))*(ACT_START&lt;=12)*(ACT_END&gt;=12)*IFERROR(ACT_UPLIFT-1,0)))*(1+SUMPRODUCT(SIGN(((ACT_DOOR_SCOPE="ALL")+(ACT_DOOR_SCOPE="TIER_"&amp;$F214)+(ACT_DOOR_SCOPE=$B214)))*SIGN(((ACT_SKU_SCOPE="ALL")+(ACT_SKU_SCOPE=$G214)))*(12&gt;ACT_END)*(ACT_END&gt;0)*IFERROR(ACT_POSTLIFT,0))),0)))</f>
        <v/>
      </c>
      <c r="V214" s="10">
        <f>IF(OR($H214&lt;&gt;"Y",13&lt;$I214),0,IF(SUMPRODUCT(((BULK_ENABLED="Y")*((BULK_TIER="ALL")+(BULK_TIER=$F214))*((BULK_SKU="ALL")+(BULK_SKU=$G214))*(BULK_START&lt;=13)*(BULK_END&gt;=13)))&gt;0,IFERROR(SUMPRODUCT(((BULK_ENABLED="Y")*((BULK_TIER="ALL")+(BULK_TIER=$F214))*((BULK_SKU="ALL")+(BULK_SKU=$G214))*(BULK_START&lt;=13)*(BULK_END&gt;=13))*IFERROR(BULK_VALUE,0))/MAX(1,SUMPRODUCT(((BULK_ENABLED="Y")*((BULK_TIER="ALL")+(BULK_TIER=$F214))*((BULK_SKU="ALL")+(BULK_SKU=$G214))*(BULK_START&lt;=13)*(BULK_END&gt;=13)))),0),ROUND((INDEX(VELOCITY_TABLE,MATCH($F214,TIER_LIST,0),3))*(IF((13-$I214+1)&lt;=0,0,IF((13-$I214+1)=1,RAMP_W1,IF((13-$I214+1)=2,RAMP_W2,IF((13-$I214+1)=3,RAMP_W3,RAMP_W4PLUS)))))*(INDEX(ACTIVE_MULT_TABLE,3,1))*(1+SUMPRODUCT(SIGN(((ACT_DOOR_SCOPE="ALL")+(ACT_DOOR_SCOPE="TIER_"&amp;$F214)+(ACT_DOOR_SCOPE=$B214)))*SIGN(((ACT_SKU_SCOPE="ALL")+(ACT_SKU_SCOPE=$G214)))*(ACT_START&lt;=13)*(ACT_END&gt;=13)*IFERROR(ACT_UPLIFT-1,0)))*(1+SUMPRODUCT(SIGN(((ACT_DOOR_SCOPE="ALL")+(ACT_DOOR_SCOPE="TIER_"&amp;$F214)+(ACT_DOOR_SCOPE=$B214)))*SIGN(((ACT_SKU_SCOPE="ALL")+(ACT_SKU_SCOPE=$G214)))*(13&gt;ACT_END)*(ACT_END&gt;0)*IFERROR(ACT_POSTLIFT,0))),0)))</f>
        <v/>
      </c>
    </row>
    <row r="215">
      <c r="A215" t="inlineStr">
        <is>
          <t>R0211</t>
        </is>
      </c>
      <c r="B215">
        <f>Doors!$A$75</f>
        <v/>
      </c>
      <c r="C215">
        <f>Doors!$C$75</f>
        <v/>
      </c>
      <c r="D215">
        <f>Doors!$B$75</f>
        <v/>
      </c>
      <c r="E215">
        <f>Doors!$E$75</f>
        <v/>
      </c>
      <c r="F215">
        <f>Doors!$F$75</f>
        <v/>
      </c>
      <c r="G215" t="inlineStr">
        <is>
          <t>Lime Lemon</t>
        </is>
      </c>
      <c r="H215">
        <f>Doors!$G$75</f>
        <v/>
      </c>
      <c r="I215">
        <f>Doors!$J$75</f>
        <v/>
      </c>
      <c r="J215" s="10">
        <f>IF(OR($H215&lt;&gt;"Y",1&lt;$I215),0,IF(SUMPRODUCT(((BULK_ENABLED="Y")*((BULK_TIER="ALL")+(BULK_TIER=$F215))*((BULK_SKU="ALL")+(BULK_SKU=$G215))*(BULK_START&lt;=1)*(BULK_END&gt;=1)))&gt;0,IFERROR(SUMPRODUCT(((BULK_ENABLED="Y")*((BULK_TIER="ALL")+(BULK_TIER=$F215))*((BULK_SKU="ALL")+(BULK_SKU=$G215))*(BULK_START&lt;=1)*(BULK_END&gt;=1))*IFERROR(BULK_VALUE,0))/MAX(1,SUMPRODUCT(((BULK_ENABLED="Y")*((BULK_TIER="ALL")+(BULK_TIER=$F215))*((BULK_SKU="ALL")+(BULK_SKU=$G215))*(BULK_START&lt;=1)*(BULK_END&gt;=1)))),0),ROUND((INDEX(VELOCITY_TABLE,MATCH($F215,TIER_LIST,0),1))*(IF((1-$I215+1)&lt;=0,0,IF((1-$I215+1)=1,RAMP_W1,IF((1-$I215+1)=2,RAMP_W2,IF((1-$I215+1)=3,RAMP_W3,RAMP_W4PLUS)))))*(INDEX(ACTIVE_MULT_TABLE,1,1))*(1+SUMPRODUCT(SIGN(((ACT_DOOR_SCOPE="ALL")+(ACT_DOOR_SCOPE="TIER_"&amp;$F215)+(ACT_DOOR_SCOPE=$B215)))*SIGN(((ACT_SKU_SCOPE="ALL")+(ACT_SKU_SCOPE=$G215)))*(ACT_START&lt;=1)*(ACT_END&gt;=1)*IFERROR(ACT_UPLIFT-1,0)))*(1+SUMPRODUCT(SIGN(((ACT_DOOR_SCOPE="ALL")+(ACT_DOOR_SCOPE="TIER_"&amp;$F215)+(ACT_DOOR_SCOPE=$B215)))*SIGN(((ACT_SKU_SCOPE="ALL")+(ACT_SKU_SCOPE=$G215)))*(1&gt;ACT_END)*(ACT_END&gt;0)*IFERROR(ACT_POSTLIFT,0))),0)))</f>
        <v/>
      </c>
      <c r="K215" s="10">
        <f>IF(OR($H215&lt;&gt;"Y",2&lt;$I215),0,IF(SUMPRODUCT(((BULK_ENABLED="Y")*((BULK_TIER="ALL")+(BULK_TIER=$F215))*((BULK_SKU="ALL")+(BULK_SKU=$G215))*(BULK_START&lt;=2)*(BULK_END&gt;=2)))&gt;0,IFERROR(SUMPRODUCT(((BULK_ENABLED="Y")*((BULK_TIER="ALL")+(BULK_TIER=$F215))*((BULK_SKU="ALL")+(BULK_SKU=$G215))*(BULK_START&lt;=2)*(BULK_END&gt;=2))*IFERROR(BULK_VALUE,0))/MAX(1,SUMPRODUCT(((BULK_ENABLED="Y")*((BULK_TIER="ALL")+(BULK_TIER=$F215))*((BULK_SKU="ALL")+(BULK_SKU=$G215))*(BULK_START&lt;=2)*(BULK_END&gt;=2)))),0),ROUND((INDEX(VELOCITY_TABLE,MATCH($F215,TIER_LIST,0),1))*(IF((2-$I215+1)&lt;=0,0,IF((2-$I215+1)=1,RAMP_W1,IF((2-$I215+1)=2,RAMP_W2,IF((2-$I215+1)=3,RAMP_W3,RAMP_W4PLUS)))))*(INDEX(ACTIVE_MULT_TABLE,1,1))*(1+SUMPRODUCT(SIGN(((ACT_DOOR_SCOPE="ALL")+(ACT_DOOR_SCOPE="TIER_"&amp;$F215)+(ACT_DOOR_SCOPE=$B215)))*SIGN(((ACT_SKU_SCOPE="ALL")+(ACT_SKU_SCOPE=$G215)))*(ACT_START&lt;=2)*(ACT_END&gt;=2)*IFERROR(ACT_UPLIFT-1,0)))*(1+SUMPRODUCT(SIGN(((ACT_DOOR_SCOPE="ALL")+(ACT_DOOR_SCOPE="TIER_"&amp;$F215)+(ACT_DOOR_SCOPE=$B215)))*SIGN(((ACT_SKU_SCOPE="ALL")+(ACT_SKU_SCOPE=$G215)))*(2&gt;ACT_END)*(ACT_END&gt;0)*IFERROR(ACT_POSTLIFT,0))),0)))</f>
        <v/>
      </c>
      <c r="L215" s="10">
        <f>IF(OR($H215&lt;&gt;"Y",3&lt;$I215),0,IF(SUMPRODUCT(((BULK_ENABLED="Y")*((BULK_TIER="ALL")+(BULK_TIER=$F215))*((BULK_SKU="ALL")+(BULK_SKU=$G215))*(BULK_START&lt;=3)*(BULK_END&gt;=3)))&gt;0,IFERROR(SUMPRODUCT(((BULK_ENABLED="Y")*((BULK_TIER="ALL")+(BULK_TIER=$F215))*((BULK_SKU="ALL")+(BULK_SKU=$G215))*(BULK_START&lt;=3)*(BULK_END&gt;=3))*IFERROR(BULK_VALUE,0))/MAX(1,SUMPRODUCT(((BULK_ENABLED="Y")*((BULK_TIER="ALL")+(BULK_TIER=$F215))*((BULK_SKU="ALL")+(BULK_SKU=$G215))*(BULK_START&lt;=3)*(BULK_END&gt;=3)))),0),ROUND((INDEX(VELOCITY_TABLE,MATCH($F215,TIER_LIST,0),1))*(IF((3-$I215+1)&lt;=0,0,IF((3-$I215+1)=1,RAMP_W1,IF((3-$I215+1)=2,RAMP_W2,IF((3-$I215+1)=3,RAMP_W3,RAMP_W4PLUS)))))*(INDEX(ACTIVE_MULT_TABLE,1,1))*(1+SUMPRODUCT(SIGN(((ACT_DOOR_SCOPE="ALL")+(ACT_DOOR_SCOPE="TIER_"&amp;$F215)+(ACT_DOOR_SCOPE=$B215)))*SIGN(((ACT_SKU_SCOPE="ALL")+(ACT_SKU_SCOPE=$G215)))*(ACT_START&lt;=3)*(ACT_END&gt;=3)*IFERROR(ACT_UPLIFT-1,0)))*(1+SUMPRODUCT(SIGN(((ACT_DOOR_SCOPE="ALL")+(ACT_DOOR_SCOPE="TIER_"&amp;$F215)+(ACT_DOOR_SCOPE=$B215)))*SIGN(((ACT_SKU_SCOPE="ALL")+(ACT_SKU_SCOPE=$G215)))*(3&gt;ACT_END)*(ACT_END&gt;0)*IFERROR(ACT_POSTLIFT,0))),0)))</f>
        <v/>
      </c>
      <c r="M215" s="10">
        <f>IF(OR($H215&lt;&gt;"Y",4&lt;$I215),0,IF(SUMPRODUCT(((BULK_ENABLED="Y")*((BULK_TIER="ALL")+(BULK_TIER=$F215))*((BULK_SKU="ALL")+(BULK_SKU=$G215))*(BULK_START&lt;=4)*(BULK_END&gt;=4)))&gt;0,IFERROR(SUMPRODUCT(((BULK_ENABLED="Y")*((BULK_TIER="ALL")+(BULK_TIER=$F215))*((BULK_SKU="ALL")+(BULK_SKU=$G215))*(BULK_START&lt;=4)*(BULK_END&gt;=4))*IFERROR(BULK_VALUE,0))/MAX(1,SUMPRODUCT(((BULK_ENABLED="Y")*((BULK_TIER="ALL")+(BULK_TIER=$F215))*((BULK_SKU="ALL")+(BULK_SKU=$G215))*(BULK_START&lt;=4)*(BULK_END&gt;=4)))),0),ROUND((INDEX(VELOCITY_TABLE,MATCH($F215,TIER_LIST,0),1))*(IF((4-$I215+1)&lt;=0,0,IF((4-$I215+1)=1,RAMP_W1,IF((4-$I215+1)=2,RAMP_W2,IF((4-$I215+1)=3,RAMP_W3,RAMP_W4PLUS)))))*(INDEX(ACTIVE_MULT_TABLE,1,1))*(1+SUMPRODUCT(SIGN(((ACT_DOOR_SCOPE="ALL")+(ACT_DOOR_SCOPE="TIER_"&amp;$F215)+(ACT_DOOR_SCOPE=$B215)))*SIGN(((ACT_SKU_SCOPE="ALL")+(ACT_SKU_SCOPE=$G215)))*(ACT_START&lt;=4)*(ACT_END&gt;=4)*IFERROR(ACT_UPLIFT-1,0)))*(1+SUMPRODUCT(SIGN(((ACT_DOOR_SCOPE="ALL")+(ACT_DOOR_SCOPE="TIER_"&amp;$F215)+(ACT_DOOR_SCOPE=$B215)))*SIGN(((ACT_SKU_SCOPE="ALL")+(ACT_SKU_SCOPE=$G215)))*(4&gt;ACT_END)*(ACT_END&gt;0)*IFERROR(ACT_POSTLIFT,0))),0)))</f>
        <v/>
      </c>
      <c r="N215" s="10">
        <f>IF(OR($H215&lt;&gt;"Y",5&lt;$I215),0,IF(SUMPRODUCT(((BULK_ENABLED="Y")*((BULK_TIER="ALL")+(BULK_TIER=$F215))*((BULK_SKU="ALL")+(BULK_SKU=$G215))*(BULK_START&lt;=5)*(BULK_END&gt;=5)))&gt;0,IFERROR(SUMPRODUCT(((BULK_ENABLED="Y")*((BULK_TIER="ALL")+(BULK_TIER=$F215))*((BULK_SKU="ALL")+(BULK_SKU=$G215))*(BULK_START&lt;=5)*(BULK_END&gt;=5))*IFERROR(BULK_VALUE,0))/MAX(1,SUMPRODUCT(((BULK_ENABLED="Y")*((BULK_TIER="ALL")+(BULK_TIER=$F215))*((BULK_SKU="ALL")+(BULK_SKU=$G215))*(BULK_START&lt;=5)*(BULK_END&gt;=5)))),0),ROUND((INDEX(VELOCITY_TABLE,MATCH($F215,TIER_LIST,0),1))*(IF((5-$I215+1)&lt;=0,0,IF((5-$I215+1)=1,RAMP_W1,IF((5-$I215+1)=2,RAMP_W2,IF((5-$I215+1)=3,RAMP_W3,RAMP_W4PLUS)))))*(INDEX(ACTIVE_MULT_TABLE,1,1))*(1+SUMPRODUCT(SIGN(((ACT_DOOR_SCOPE="ALL")+(ACT_DOOR_SCOPE="TIER_"&amp;$F215)+(ACT_DOOR_SCOPE=$B215)))*SIGN(((ACT_SKU_SCOPE="ALL")+(ACT_SKU_SCOPE=$G215)))*(ACT_START&lt;=5)*(ACT_END&gt;=5)*IFERROR(ACT_UPLIFT-1,0)))*(1+SUMPRODUCT(SIGN(((ACT_DOOR_SCOPE="ALL")+(ACT_DOOR_SCOPE="TIER_"&amp;$F215)+(ACT_DOOR_SCOPE=$B215)))*SIGN(((ACT_SKU_SCOPE="ALL")+(ACT_SKU_SCOPE=$G215)))*(5&gt;ACT_END)*(ACT_END&gt;0)*IFERROR(ACT_POSTLIFT,0))),0)))</f>
        <v/>
      </c>
      <c r="O215" s="10">
        <f>IF(OR($H215&lt;&gt;"Y",6&lt;$I215),0,IF(SUMPRODUCT(((BULK_ENABLED="Y")*((BULK_TIER="ALL")+(BULK_TIER=$F215))*((BULK_SKU="ALL")+(BULK_SKU=$G215))*(BULK_START&lt;=6)*(BULK_END&gt;=6)))&gt;0,IFERROR(SUMPRODUCT(((BULK_ENABLED="Y")*((BULK_TIER="ALL")+(BULK_TIER=$F215))*((BULK_SKU="ALL")+(BULK_SKU=$G215))*(BULK_START&lt;=6)*(BULK_END&gt;=6))*IFERROR(BULK_VALUE,0))/MAX(1,SUMPRODUCT(((BULK_ENABLED="Y")*((BULK_TIER="ALL")+(BULK_TIER=$F215))*((BULK_SKU="ALL")+(BULK_SKU=$G215))*(BULK_START&lt;=6)*(BULK_END&gt;=6)))),0),ROUND((INDEX(VELOCITY_TABLE,MATCH($F215,TIER_LIST,0),1))*(IF((6-$I215+1)&lt;=0,0,IF((6-$I215+1)=1,RAMP_W1,IF((6-$I215+1)=2,RAMP_W2,IF((6-$I215+1)=3,RAMP_W3,RAMP_W4PLUS)))))*(INDEX(ACTIVE_MULT_TABLE,1,1))*(1+SUMPRODUCT(SIGN(((ACT_DOOR_SCOPE="ALL")+(ACT_DOOR_SCOPE="TIER_"&amp;$F215)+(ACT_DOOR_SCOPE=$B215)))*SIGN(((ACT_SKU_SCOPE="ALL")+(ACT_SKU_SCOPE=$G215)))*(ACT_START&lt;=6)*(ACT_END&gt;=6)*IFERROR(ACT_UPLIFT-1,0)))*(1+SUMPRODUCT(SIGN(((ACT_DOOR_SCOPE="ALL")+(ACT_DOOR_SCOPE="TIER_"&amp;$F215)+(ACT_DOOR_SCOPE=$B215)))*SIGN(((ACT_SKU_SCOPE="ALL")+(ACT_SKU_SCOPE=$G215)))*(6&gt;ACT_END)*(ACT_END&gt;0)*IFERROR(ACT_POSTLIFT,0))),0)))</f>
        <v/>
      </c>
      <c r="P215" s="10">
        <f>IF(OR($H215&lt;&gt;"Y",7&lt;$I215),0,IF(SUMPRODUCT(((BULK_ENABLED="Y")*((BULK_TIER="ALL")+(BULK_TIER=$F215))*((BULK_SKU="ALL")+(BULK_SKU=$G215))*(BULK_START&lt;=7)*(BULK_END&gt;=7)))&gt;0,IFERROR(SUMPRODUCT(((BULK_ENABLED="Y")*((BULK_TIER="ALL")+(BULK_TIER=$F215))*((BULK_SKU="ALL")+(BULK_SKU=$G215))*(BULK_START&lt;=7)*(BULK_END&gt;=7))*IFERROR(BULK_VALUE,0))/MAX(1,SUMPRODUCT(((BULK_ENABLED="Y")*((BULK_TIER="ALL")+(BULK_TIER=$F215))*((BULK_SKU="ALL")+(BULK_SKU=$G215))*(BULK_START&lt;=7)*(BULK_END&gt;=7)))),0),ROUND((INDEX(VELOCITY_TABLE,MATCH($F215,TIER_LIST,0),1))*(IF((7-$I215+1)&lt;=0,0,IF((7-$I215+1)=1,RAMP_W1,IF((7-$I215+1)=2,RAMP_W2,IF((7-$I215+1)=3,RAMP_W3,RAMP_W4PLUS)))))*(INDEX(ACTIVE_MULT_TABLE,1,1))*(1+SUMPRODUCT(SIGN(((ACT_DOOR_SCOPE="ALL")+(ACT_DOOR_SCOPE="TIER_"&amp;$F215)+(ACT_DOOR_SCOPE=$B215)))*SIGN(((ACT_SKU_SCOPE="ALL")+(ACT_SKU_SCOPE=$G215)))*(ACT_START&lt;=7)*(ACT_END&gt;=7)*IFERROR(ACT_UPLIFT-1,0)))*(1+SUMPRODUCT(SIGN(((ACT_DOOR_SCOPE="ALL")+(ACT_DOOR_SCOPE="TIER_"&amp;$F215)+(ACT_DOOR_SCOPE=$B215)))*SIGN(((ACT_SKU_SCOPE="ALL")+(ACT_SKU_SCOPE=$G215)))*(7&gt;ACT_END)*(ACT_END&gt;0)*IFERROR(ACT_POSTLIFT,0))),0)))</f>
        <v/>
      </c>
      <c r="Q215" s="10">
        <f>IF(OR($H215&lt;&gt;"Y",8&lt;$I215),0,IF(SUMPRODUCT(((BULK_ENABLED="Y")*((BULK_TIER="ALL")+(BULK_TIER=$F215))*((BULK_SKU="ALL")+(BULK_SKU=$G215))*(BULK_START&lt;=8)*(BULK_END&gt;=8)))&gt;0,IFERROR(SUMPRODUCT(((BULK_ENABLED="Y")*((BULK_TIER="ALL")+(BULK_TIER=$F215))*((BULK_SKU="ALL")+(BULK_SKU=$G215))*(BULK_START&lt;=8)*(BULK_END&gt;=8))*IFERROR(BULK_VALUE,0))/MAX(1,SUMPRODUCT(((BULK_ENABLED="Y")*((BULK_TIER="ALL")+(BULK_TIER=$F215))*((BULK_SKU="ALL")+(BULK_SKU=$G215))*(BULK_START&lt;=8)*(BULK_END&gt;=8)))),0),ROUND((INDEX(VELOCITY_TABLE,MATCH($F215,TIER_LIST,0),1))*(IF((8-$I215+1)&lt;=0,0,IF((8-$I215+1)=1,RAMP_W1,IF((8-$I215+1)=2,RAMP_W2,IF((8-$I215+1)=3,RAMP_W3,RAMP_W4PLUS)))))*(INDEX(ACTIVE_MULT_TABLE,1,1))*(1+SUMPRODUCT(SIGN(((ACT_DOOR_SCOPE="ALL")+(ACT_DOOR_SCOPE="TIER_"&amp;$F215)+(ACT_DOOR_SCOPE=$B215)))*SIGN(((ACT_SKU_SCOPE="ALL")+(ACT_SKU_SCOPE=$G215)))*(ACT_START&lt;=8)*(ACT_END&gt;=8)*IFERROR(ACT_UPLIFT-1,0)))*(1+SUMPRODUCT(SIGN(((ACT_DOOR_SCOPE="ALL")+(ACT_DOOR_SCOPE="TIER_"&amp;$F215)+(ACT_DOOR_SCOPE=$B215)))*SIGN(((ACT_SKU_SCOPE="ALL")+(ACT_SKU_SCOPE=$G215)))*(8&gt;ACT_END)*(ACT_END&gt;0)*IFERROR(ACT_POSTLIFT,0))),0)))</f>
        <v/>
      </c>
      <c r="R215" s="10">
        <f>IF(OR($H215&lt;&gt;"Y",9&lt;$I215),0,IF(SUMPRODUCT(((BULK_ENABLED="Y")*((BULK_TIER="ALL")+(BULK_TIER=$F215))*((BULK_SKU="ALL")+(BULK_SKU=$G215))*(BULK_START&lt;=9)*(BULK_END&gt;=9)))&gt;0,IFERROR(SUMPRODUCT(((BULK_ENABLED="Y")*((BULK_TIER="ALL")+(BULK_TIER=$F215))*((BULK_SKU="ALL")+(BULK_SKU=$G215))*(BULK_START&lt;=9)*(BULK_END&gt;=9))*IFERROR(BULK_VALUE,0))/MAX(1,SUMPRODUCT(((BULK_ENABLED="Y")*((BULK_TIER="ALL")+(BULK_TIER=$F215))*((BULK_SKU="ALL")+(BULK_SKU=$G215))*(BULK_START&lt;=9)*(BULK_END&gt;=9)))),0),ROUND((INDEX(VELOCITY_TABLE,MATCH($F215,TIER_LIST,0),1))*(IF((9-$I215+1)&lt;=0,0,IF((9-$I215+1)=1,RAMP_W1,IF((9-$I215+1)=2,RAMP_W2,IF((9-$I215+1)=3,RAMP_W3,RAMP_W4PLUS)))))*(INDEX(ACTIVE_MULT_TABLE,1,1))*(1+SUMPRODUCT(SIGN(((ACT_DOOR_SCOPE="ALL")+(ACT_DOOR_SCOPE="TIER_"&amp;$F215)+(ACT_DOOR_SCOPE=$B215)))*SIGN(((ACT_SKU_SCOPE="ALL")+(ACT_SKU_SCOPE=$G215)))*(ACT_START&lt;=9)*(ACT_END&gt;=9)*IFERROR(ACT_UPLIFT-1,0)))*(1+SUMPRODUCT(SIGN(((ACT_DOOR_SCOPE="ALL")+(ACT_DOOR_SCOPE="TIER_"&amp;$F215)+(ACT_DOOR_SCOPE=$B215)))*SIGN(((ACT_SKU_SCOPE="ALL")+(ACT_SKU_SCOPE=$G215)))*(9&gt;ACT_END)*(ACT_END&gt;0)*IFERROR(ACT_POSTLIFT,0))),0)))</f>
        <v/>
      </c>
      <c r="S215" s="10">
        <f>IF(OR($H215&lt;&gt;"Y",10&lt;$I215),0,IF(SUMPRODUCT(((BULK_ENABLED="Y")*((BULK_TIER="ALL")+(BULK_TIER=$F215))*((BULK_SKU="ALL")+(BULK_SKU=$G215))*(BULK_START&lt;=10)*(BULK_END&gt;=10)))&gt;0,IFERROR(SUMPRODUCT(((BULK_ENABLED="Y")*((BULK_TIER="ALL")+(BULK_TIER=$F215))*((BULK_SKU="ALL")+(BULK_SKU=$G215))*(BULK_START&lt;=10)*(BULK_END&gt;=10))*IFERROR(BULK_VALUE,0))/MAX(1,SUMPRODUCT(((BULK_ENABLED="Y")*((BULK_TIER="ALL")+(BULK_TIER=$F215))*((BULK_SKU="ALL")+(BULK_SKU=$G215))*(BULK_START&lt;=10)*(BULK_END&gt;=10)))),0),ROUND((INDEX(VELOCITY_TABLE,MATCH($F215,TIER_LIST,0),1))*(IF((10-$I215+1)&lt;=0,0,IF((10-$I215+1)=1,RAMP_W1,IF((10-$I215+1)=2,RAMP_W2,IF((10-$I215+1)=3,RAMP_W3,RAMP_W4PLUS)))))*(INDEX(ACTIVE_MULT_TABLE,1,1))*(1+SUMPRODUCT(SIGN(((ACT_DOOR_SCOPE="ALL")+(ACT_DOOR_SCOPE="TIER_"&amp;$F215)+(ACT_DOOR_SCOPE=$B215)))*SIGN(((ACT_SKU_SCOPE="ALL")+(ACT_SKU_SCOPE=$G215)))*(ACT_START&lt;=10)*(ACT_END&gt;=10)*IFERROR(ACT_UPLIFT-1,0)))*(1+SUMPRODUCT(SIGN(((ACT_DOOR_SCOPE="ALL")+(ACT_DOOR_SCOPE="TIER_"&amp;$F215)+(ACT_DOOR_SCOPE=$B215)))*SIGN(((ACT_SKU_SCOPE="ALL")+(ACT_SKU_SCOPE=$G215)))*(10&gt;ACT_END)*(ACT_END&gt;0)*IFERROR(ACT_POSTLIFT,0))),0)))</f>
        <v/>
      </c>
      <c r="T215" s="10">
        <f>IF(OR($H215&lt;&gt;"Y",11&lt;$I215),0,IF(SUMPRODUCT(((BULK_ENABLED="Y")*((BULK_TIER="ALL")+(BULK_TIER=$F215))*((BULK_SKU="ALL")+(BULK_SKU=$G215))*(BULK_START&lt;=11)*(BULK_END&gt;=11)))&gt;0,IFERROR(SUMPRODUCT(((BULK_ENABLED="Y")*((BULK_TIER="ALL")+(BULK_TIER=$F215))*((BULK_SKU="ALL")+(BULK_SKU=$G215))*(BULK_START&lt;=11)*(BULK_END&gt;=11))*IFERROR(BULK_VALUE,0))/MAX(1,SUMPRODUCT(((BULK_ENABLED="Y")*((BULK_TIER="ALL")+(BULK_TIER=$F215))*((BULK_SKU="ALL")+(BULK_SKU=$G215))*(BULK_START&lt;=11)*(BULK_END&gt;=11)))),0),ROUND((INDEX(VELOCITY_TABLE,MATCH($F215,TIER_LIST,0),1))*(IF((11-$I215+1)&lt;=0,0,IF((11-$I215+1)=1,RAMP_W1,IF((11-$I215+1)=2,RAMP_W2,IF((11-$I215+1)=3,RAMP_W3,RAMP_W4PLUS)))))*(INDEX(ACTIVE_MULT_TABLE,1,1))*(1+SUMPRODUCT(SIGN(((ACT_DOOR_SCOPE="ALL")+(ACT_DOOR_SCOPE="TIER_"&amp;$F215)+(ACT_DOOR_SCOPE=$B215)))*SIGN(((ACT_SKU_SCOPE="ALL")+(ACT_SKU_SCOPE=$G215)))*(ACT_START&lt;=11)*(ACT_END&gt;=11)*IFERROR(ACT_UPLIFT-1,0)))*(1+SUMPRODUCT(SIGN(((ACT_DOOR_SCOPE="ALL")+(ACT_DOOR_SCOPE="TIER_"&amp;$F215)+(ACT_DOOR_SCOPE=$B215)))*SIGN(((ACT_SKU_SCOPE="ALL")+(ACT_SKU_SCOPE=$G215)))*(11&gt;ACT_END)*(ACT_END&gt;0)*IFERROR(ACT_POSTLIFT,0))),0)))</f>
        <v/>
      </c>
      <c r="U215" s="10">
        <f>IF(OR($H215&lt;&gt;"Y",12&lt;$I215),0,IF(SUMPRODUCT(((BULK_ENABLED="Y")*((BULK_TIER="ALL")+(BULK_TIER=$F215))*((BULK_SKU="ALL")+(BULK_SKU=$G215))*(BULK_START&lt;=12)*(BULK_END&gt;=12)))&gt;0,IFERROR(SUMPRODUCT(((BULK_ENABLED="Y")*((BULK_TIER="ALL")+(BULK_TIER=$F215))*((BULK_SKU="ALL")+(BULK_SKU=$G215))*(BULK_START&lt;=12)*(BULK_END&gt;=12))*IFERROR(BULK_VALUE,0))/MAX(1,SUMPRODUCT(((BULK_ENABLED="Y")*((BULK_TIER="ALL")+(BULK_TIER=$F215))*((BULK_SKU="ALL")+(BULK_SKU=$G215))*(BULK_START&lt;=12)*(BULK_END&gt;=12)))),0),ROUND((INDEX(VELOCITY_TABLE,MATCH($F215,TIER_LIST,0),1))*(IF((12-$I215+1)&lt;=0,0,IF((12-$I215+1)=1,RAMP_W1,IF((12-$I215+1)=2,RAMP_W2,IF((12-$I215+1)=3,RAMP_W3,RAMP_W4PLUS)))))*(INDEX(ACTIVE_MULT_TABLE,1,1))*(1+SUMPRODUCT(SIGN(((ACT_DOOR_SCOPE="ALL")+(ACT_DOOR_SCOPE="TIER_"&amp;$F215)+(ACT_DOOR_SCOPE=$B215)))*SIGN(((ACT_SKU_SCOPE="ALL")+(ACT_SKU_SCOPE=$G215)))*(ACT_START&lt;=12)*(ACT_END&gt;=12)*IFERROR(ACT_UPLIFT-1,0)))*(1+SUMPRODUCT(SIGN(((ACT_DOOR_SCOPE="ALL")+(ACT_DOOR_SCOPE="TIER_"&amp;$F215)+(ACT_DOOR_SCOPE=$B215)))*SIGN(((ACT_SKU_SCOPE="ALL")+(ACT_SKU_SCOPE=$G215)))*(12&gt;ACT_END)*(ACT_END&gt;0)*IFERROR(ACT_POSTLIFT,0))),0)))</f>
        <v/>
      </c>
      <c r="V215" s="10">
        <f>IF(OR($H215&lt;&gt;"Y",13&lt;$I215),0,IF(SUMPRODUCT(((BULK_ENABLED="Y")*((BULK_TIER="ALL")+(BULK_TIER=$F215))*((BULK_SKU="ALL")+(BULK_SKU=$G215))*(BULK_START&lt;=13)*(BULK_END&gt;=13)))&gt;0,IFERROR(SUMPRODUCT(((BULK_ENABLED="Y")*((BULK_TIER="ALL")+(BULK_TIER=$F215))*((BULK_SKU="ALL")+(BULK_SKU=$G215))*(BULK_START&lt;=13)*(BULK_END&gt;=13))*IFERROR(BULK_VALUE,0))/MAX(1,SUMPRODUCT(((BULK_ENABLED="Y")*((BULK_TIER="ALL")+(BULK_TIER=$F215))*((BULK_SKU="ALL")+(BULK_SKU=$G215))*(BULK_START&lt;=13)*(BULK_END&gt;=13)))),0),ROUND((INDEX(VELOCITY_TABLE,MATCH($F215,TIER_LIST,0),1))*(IF((13-$I215+1)&lt;=0,0,IF((13-$I215+1)=1,RAMP_W1,IF((13-$I215+1)=2,RAMP_W2,IF((13-$I215+1)=3,RAMP_W3,RAMP_W4PLUS)))))*(INDEX(ACTIVE_MULT_TABLE,1,1))*(1+SUMPRODUCT(SIGN(((ACT_DOOR_SCOPE="ALL")+(ACT_DOOR_SCOPE="TIER_"&amp;$F215)+(ACT_DOOR_SCOPE=$B215)))*SIGN(((ACT_SKU_SCOPE="ALL")+(ACT_SKU_SCOPE=$G215)))*(ACT_START&lt;=13)*(ACT_END&gt;=13)*IFERROR(ACT_UPLIFT-1,0)))*(1+SUMPRODUCT(SIGN(((ACT_DOOR_SCOPE="ALL")+(ACT_DOOR_SCOPE="TIER_"&amp;$F215)+(ACT_DOOR_SCOPE=$B215)))*SIGN(((ACT_SKU_SCOPE="ALL")+(ACT_SKU_SCOPE=$G215)))*(13&gt;ACT_END)*(ACT_END&gt;0)*IFERROR(ACT_POSTLIFT,0))),0)))</f>
        <v/>
      </c>
    </row>
    <row r="216">
      <c r="A216" t="inlineStr">
        <is>
          <t>R0212</t>
        </is>
      </c>
      <c r="B216">
        <f>Doors!$A$75</f>
        <v/>
      </c>
      <c r="C216">
        <f>Doors!$C$75</f>
        <v/>
      </c>
      <c r="D216">
        <f>Doors!$B$75</f>
        <v/>
      </c>
      <c r="E216">
        <f>Doors!$E$75</f>
        <v/>
      </c>
      <c r="F216">
        <f>Doors!$F$75</f>
        <v/>
      </c>
      <c r="G216" t="inlineStr">
        <is>
          <t>Pineapple Passion Fruit</t>
        </is>
      </c>
      <c r="H216">
        <f>Doors!$H$75</f>
        <v/>
      </c>
      <c r="I216">
        <f>Doors!$J$75</f>
        <v/>
      </c>
      <c r="J216" s="10">
        <f>IF(OR($H216&lt;&gt;"Y",1&lt;$I216),0,IF(SUMPRODUCT(((BULK_ENABLED="Y")*((BULK_TIER="ALL")+(BULK_TIER=$F216))*((BULK_SKU="ALL")+(BULK_SKU=$G216))*(BULK_START&lt;=1)*(BULK_END&gt;=1)))&gt;0,IFERROR(SUMPRODUCT(((BULK_ENABLED="Y")*((BULK_TIER="ALL")+(BULK_TIER=$F216))*((BULK_SKU="ALL")+(BULK_SKU=$G216))*(BULK_START&lt;=1)*(BULK_END&gt;=1))*IFERROR(BULK_VALUE,0))/MAX(1,SUMPRODUCT(((BULK_ENABLED="Y")*((BULK_TIER="ALL")+(BULK_TIER=$F216))*((BULK_SKU="ALL")+(BULK_SKU=$G216))*(BULK_START&lt;=1)*(BULK_END&gt;=1)))),0),ROUND((INDEX(VELOCITY_TABLE,MATCH($F216,TIER_LIST,0),2))*(IF((1-$I216+1)&lt;=0,0,IF((1-$I216+1)=1,RAMP_W1,IF((1-$I216+1)=2,RAMP_W2,IF((1-$I216+1)=3,RAMP_W3,RAMP_W4PLUS)))))*(INDEX(ACTIVE_MULT_TABLE,2,1))*(1+SUMPRODUCT(SIGN(((ACT_DOOR_SCOPE="ALL")+(ACT_DOOR_SCOPE="TIER_"&amp;$F216)+(ACT_DOOR_SCOPE=$B216)))*SIGN(((ACT_SKU_SCOPE="ALL")+(ACT_SKU_SCOPE=$G216)))*(ACT_START&lt;=1)*(ACT_END&gt;=1)*IFERROR(ACT_UPLIFT-1,0)))*(1+SUMPRODUCT(SIGN(((ACT_DOOR_SCOPE="ALL")+(ACT_DOOR_SCOPE="TIER_"&amp;$F216)+(ACT_DOOR_SCOPE=$B216)))*SIGN(((ACT_SKU_SCOPE="ALL")+(ACT_SKU_SCOPE=$G216)))*(1&gt;ACT_END)*(ACT_END&gt;0)*IFERROR(ACT_POSTLIFT,0))),0)))</f>
        <v/>
      </c>
      <c r="K216" s="10">
        <f>IF(OR($H216&lt;&gt;"Y",2&lt;$I216),0,IF(SUMPRODUCT(((BULK_ENABLED="Y")*((BULK_TIER="ALL")+(BULK_TIER=$F216))*((BULK_SKU="ALL")+(BULK_SKU=$G216))*(BULK_START&lt;=2)*(BULK_END&gt;=2)))&gt;0,IFERROR(SUMPRODUCT(((BULK_ENABLED="Y")*((BULK_TIER="ALL")+(BULK_TIER=$F216))*((BULK_SKU="ALL")+(BULK_SKU=$G216))*(BULK_START&lt;=2)*(BULK_END&gt;=2))*IFERROR(BULK_VALUE,0))/MAX(1,SUMPRODUCT(((BULK_ENABLED="Y")*((BULK_TIER="ALL")+(BULK_TIER=$F216))*((BULK_SKU="ALL")+(BULK_SKU=$G216))*(BULK_START&lt;=2)*(BULK_END&gt;=2)))),0),ROUND((INDEX(VELOCITY_TABLE,MATCH($F216,TIER_LIST,0),2))*(IF((2-$I216+1)&lt;=0,0,IF((2-$I216+1)=1,RAMP_W1,IF((2-$I216+1)=2,RAMP_W2,IF((2-$I216+1)=3,RAMP_W3,RAMP_W4PLUS)))))*(INDEX(ACTIVE_MULT_TABLE,2,1))*(1+SUMPRODUCT(SIGN(((ACT_DOOR_SCOPE="ALL")+(ACT_DOOR_SCOPE="TIER_"&amp;$F216)+(ACT_DOOR_SCOPE=$B216)))*SIGN(((ACT_SKU_SCOPE="ALL")+(ACT_SKU_SCOPE=$G216)))*(ACT_START&lt;=2)*(ACT_END&gt;=2)*IFERROR(ACT_UPLIFT-1,0)))*(1+SUMPRODUCT(SIGN(((ACT_DOOR_SCOPE="ALL")+(ACT_DOOR_SCOPE="TIER_"&amp;$F216)+(ACT_DOOR_SCOPE=$B216)))*SIGN(((ACT_SKU_SCOPE="ALL")+(ACT_SKU_SCOPE=$G216)))*(2&gt;ACT_END)*(ACT_END&gt;0)*IFERROR(ACT_POSTLIFT,0))),0)))</f>
        <v/>
      </c>
      <c r="L216" s="10">
        <f>IF(OR($H216&lt;&gt;"Y",3&lt;$I216),0,IF(SUMPRODUCT(((BULK_ENABLED="Y")*((BULK_TIER="ALL")+(BULK_TIER=$F216))*((BULK_SKU="ALL")+(BULK_SKU=$G216))*(BULK_START&lt;=3)*(BULK_END&gt;=3)))&gt;0,IFERROR(SUMPRODUCT(((BULK_ENABLED="Y")*((BULK_TIER="ALL")+(BULK_TIER=$F216))*((BULK_SKU="ALL")+(BULK_SKU=$G216))*(BULK_START&lt;=3)*(BULK_END&gt;=3))*IFERROR(BULK_VALUE,0))/MAX(1,SUMPRODUCT(((BULK_ENABLED="Y")*((BULK_TIER="ALL")+(BULK_TIER=$F216))*((BULK_SKU="ALL")+(BULK_SKU=$G216))*(BULK_START&lt;=3)*(BULK_END&gt;=3)))),0),ROUND((INDEX(VELOCITY_TABLE,MATCH($F216,TIER_LIST,0),2))*(IF((3-$I216+1)&lt;=0,0,IF((3-$I216+1)=1,RAMP_W1,IF((3-$I216+1)=2,RAMP_W2,IF((3-$I216+1)=3,RAMP_W3,RAMP_W4PLUS)))))*(INDEX(ACTIVE_MULT_TABLE,2,1))*(1+SUMPRODUCT(SIGN(((ACT_DOOR_SCOPE="ALL")+(ACT_DOOR_SCOPE="TIER_"&amp;$F216)+(ACT_DOOR_SCOPE=$B216)))*SIGN(((ACT_SKU_SCOPE="ALL")+(ACT_SKU_SCOPE=$G216)))*(ACT_START&lt;=3)*(ACT_END&gt;=3)*IFERROR(ACT_UPLIFT-1,0)))*(1+SUMPRODUCT(SIGN(((ACT_DOOR_SCOPE="ALL")+(ACT_DOOR_SCOPE="TIER_"&amp;$F216)+(ACT_DOOR_SCOPE=$B216)))*SIGN(((ACT_SKU_SCOPE="ALL")+(ACT_SKU_SCOPE=$G216)))*(3&gt;ACT_END)*(ACT_END&gt;0)*IFERROR(ACT_POSTLIFT,0))),0)))</f>
        <v/>
      </c>
      <c r="M216" s="10">
        <f>IF(OR($H216&lt;&gt;"Y",4&lt;$I216),0,IF(SUMPRODUCT(((BULK_ENABLED="Y")*((BULK_TIER="ALL")+(BULK_TIER=$F216))*((BULK_SKU="ALL")+(BULK_SKU=$G216))*(BULK_START&lt;=4)*(BULK_END&gt;=4)))&gt;0,IFERROR(SUMPRODUCT(((BULK_ENABLED="Y")*((BULK_TIER="ALL")+(BULK_TIER=$F216))*((BULK_SKU="ALL")+(BULK_SKU=$G216))*(BULK_START&lt;=4)*(BULK_END&gt;=4))*IFERROR(BULK_VALUE,0))/MAX(1,SUMPRODUCT(((BULK_ENABLED="Y")*((BULK_TIER="ALL")+(BULK_TIER=$F216))*((BULK_SKU="ALL")+(BULK_SKU=$G216))*(BULK_START&lt;=4)*(BULK_END&gt;=4)))),0),ROUND((INDEX(VELOCITY_TABLE,MATCH($F216,TIER_LIST,0),2))*(IF((4-$I216+1)&lt;=0,0,IF((4-$I216+1)=1,RAMP_W1,IF((4-$I216+1)=2,RAMP_W2,IF((4-$I216+1)=3,RAMP_W3,RAMP_W4PLUS)))))*(INDEX(ACTIVE_MULT_TABLE,2,1))*(1+SUMPRODUCT(SIGN(((ACT_DOOR_SCOPE="ALL")+(ACT_DOOR_SCOPE="TIER_"&amp;$F216)+(ACT_DOOR_SCOPE=$B216)))*SIGN(((ACT_SKU_SCOPE="ALL")+(ACT_SKU_SCOPE=$G216)))*(ACT_START&lt;=4)*(ACT_END&gt;=4)*IFERROR(ACT_UPLIFT-1,0)))*(1+SUMPRODUCT(SIGN(((ACT_DOOR_SCOPE="ALL")+(ACT_DOOR_SCOPE="TIER_"&amp;$F216)+(ACT_DOOR_SCOPE=$B216)))*SIGN(((ACT_SKU_SCOPE="ALL")+(ACT_SKU_SCOPE=$G216)))*(4&gt;ACT_END)*(ACT_END&gt;0)*IFERROR(ACT_POSTLIFT,0))),0)))</f>
        <v/>
      </c>
      <c r="N216" s="10">
        <f>IF(OR($H216&lt;&gt;"Y",5&lt;$I216),0,IF(SUMPRODUCT(((BULK_ENABLED="Y")*((BULK_TIER="ALL")+(BULK_TIER=$F216))*((BULK_SKU="ALL")+(BULK_SKU=$G216))*(BULK_START&lt;=5)*(BULK_END&gt;=5)))&gt;0,IFERROR(SUMPRODUCT(((BULK_ENABLED="Y")*((BULK_TIER="ALL")+(BULK_TIER=$F216))*((BULK_SKU="ALL")+(BULK_SKU=$G216))*(BULK_START&lt;=5)*(BULK_END&gt;=5))*IFERROR(BULK_VALUE,0))/MAX(1,SUMPRODUCT(((BULK_ENABLED="Y")*((BULK_TIER="ALL")+(BULK_TIER=$F216))*((BULK_SKU="ALL")+(BULK_SKU=$G216))*(BULK_START&lt;=5)*(BULK_END&gt;=5)))),0),ROUND((INDEX(VELOCITY_TABLE,MATCH($F216,TIER_LIST,0),2))*(IF((5-$I216+1)&lt;=0,0,IF((5-$I216+1)=1,RAMP_W1,IF((5-$I216+1)=2,RAMP_W2,IF((5-$I216+1)=3,RAMP_W3,RAMP_W4PLUS)))))*(INDEX(ACTIVE_MULT_TABLE,2,1))*(1+SUMPRODUCT(SIGN(((ACT_DOOR_SCOPE="ALL")+(ACT_DOOR_SCOPE="TIER_"&amp;$F216)+(ACT_DOOR_SCOPE=$B216)))*SIGN(((ACT_SKU_SCOPE="ALL")+(ACT_SKU_SCOPE=$G216)))*(ACT_START&lt;=5)*(ACT_END&gt;=5)*IFERROR(ACT_UPLIFT-1,0)))*(1+SUMPRODUCT(SIGN(((ACT_DOOR_SCOPE="ALL")+(ACT_DOOR_SCOPE="TIER_"&amp;$F216)+(ACT_DOOR_SCOPE=$B216)))*SIGN(((ACT_SKU_SCOPE="ALL")+(ACT_SKU_SCOPE=$G216)))*(5&gt;ACT_END)*(ACT_END&gt;0)*IFERROR(ACT_POSTLIFT,0))),0)))</f>
        <v/>
      </c>
      <c r="O216" s="10">
        <f>IF(OR($H216&lt;&gt;"Y",6&lt;$I216),0,IF(SUMPRODUCT(((BULK_ENABLED="Y")*((BULK_TIER="ALL")+(BULK_TIER=$F216))*((BULK_SKU="ALL")+(BULK_SKU=$G216))*(BULK_START&lt;=6)*(BULK_END&gt;=6)))&gt;0,IFERROR(SUMPRODUCT(((BULK_ENABLED="Y")*((BULK_TIER="ALL")+(BULK_TIER=$F216))*((BULK_SKU="ALL")+(BULK_SKU=$G216))*(BULK_START&lt;=6)*(BULK_END&gt;=6))*IFERROR(BULK_VALUE,0))/MAX(1,SUMPRODUCT(((BULK_ENABLED="Y")*((BULK_TIER="ALL")+(BULK_TIER=$F216))*((BULK_SKU="ALL")+(BULK_SKU=$G216))*(BULK_START&lt;=6)*(BULK_END&gt;=6)))),0),ROUND((INDEX(VELOCITY_TABLE,MATCH($F216,TIER_LIST,0),2))*(IF((6-$I216+1)&lt;=0,0,IF((6-$I216+1)=1,RAMP_W1,IF((6-$I216+1)=2,RAMP_W2,IF((6-$I216+1)=3,RAMP_W3,RAMP_W4PLUS)))))*(INDEX(ACTIVE_MULT_TABLE,2,1))*(1+SUMPRODUCT(SIGN(((ACT_DOOR_SCOPE="ALL")+(ACT_DOOR_SCOPE="TIER_"&amp;$F216)+(ACT_DOOR_SCOPE=$B216)))*SIGN(((ACT_SKU_SCOPE="ALL")+(ACT_SKU_SCOPE=$G216)))*(ACT_START&lt;=6)*(ACT_END&gt;=6)*IFERROR(ACT_UPLIFT-1,0)))*(1+SUMPRODUCT(SIGN(((ACT_DOOR_SCOPE="ALL")+(ACT_DOOR_SCOPE="TIER_"&amp;$F216)+(ACT_DOOR_SCOPE=$B216)))*SIGN(((ACT_SKU_SCOPE="ALL")+(ACT_SKU_SCOPE=$G216)))*(6&gt;ACT_END)*(ACT_END&gt;0)*IFERROR(ACT_POSTLIFT,0))),0)))</f>
        <v/>
      </c>
      <c r="P216" s="10">
        <f>IF(OR($H216&lt;&gt;"Y",7&lt;$I216),0,IF(SUMPRODUCT(((BULK_ENABLED="Y")*((BULK_TIER="ALL")+(BULK_TIER=$F216))*((BULK_SKU="ALL")+(BULK_SKU=$G216))*(BULK_START&lt;=7)*(BULK_END&gt;=7)))&gt;0,IFERROR(SUMPRODUCT(((BULK_ENABLED="Y")*((BULK_TIER="ALL")+(BULK_TIER=$F216))*((BULK_SKU="ALL")+(BULK_SKU=$G216))*(BULK_START&lt;=7)*(BULK_END&gt;=7))*IFERROR(BULK_VALUE,0))/MAX(1,SUMPRODUCT(((BULK_ENABLED="Y")*((BULK_TIER="ALL")+(BULK_TIER=$F216))*((BULK_SKU="ALL")+(BULK_SKU=$G216))*(BULK_START&lt;=7)*(BULK_END&gt;=7)))),0),ROUND((INDEX(VELOCITY_TABLE,MATCH($F216,TIER_LIST,0),2))*(IF((7-$I216+1)&lt;=0,0,IF((7-$I216+1)=1,RAMP_W1,IF((7-$I216+1)=2,RAMP_W2,IF((7-$I216+1)=3,RAMP_W3,RAMP_W4PLUS)))))*(INDEX(ACTIVE_MULT_TABLE,2,1))*(1+SUMPRODUCT(SIGN(((ACT_DOOR_SCOPE="ALL")+(ACT_DOOR_SCOPE="TIER_"&amp;$F216)+(ACT_DOOR_SCOPE=$B216)))*SIGN(((ACT_SKU_SCOPE="ALL")+(ACT_SKU_SCOPE=$G216)))*(ACT_START&lt;=7)*(ACT_END&gt;=7)*IFERROR(ACT_UPLIFT-1,0)))*(1+SUMPRODUCT(SIGN(((ACT_DOOR_SCOPE="ALL")+(ACT_DOOR_SCOPE="TIER_"&amp;$F216)+(ACT_DOOR_SCOPE=$B216)))*SIGN(((ACT_SKU_SCOPE="ALL")+(ACT_SKU_SCOPE=$G216)))*(7&gt;ACT_END)*(ACT_END&gt;0)*IFERROR(ACT_POSTLIFT,0))),0)))</f>
        <v/>
      </c>
      <c r="Q216" s="10">
        <f>IF(OR($H216&lt;&gt;"Y",8&lt;$I216),0,IF(SUMPRODUCT(((BULK_ENABLED="Y")*((BULK_TIER="ALL")+(BULK_TIER=$F216))*((BULK_SKU="ALL")+(BULK_SKU=$G216))*(BULK_START&lt;=8)*(BULK_END&gt;=8)))&gt;0,IFERROR(SUMPRODUCT(((BULK_ENABLED="Y")*((BULK_TIER="ALL")+(BULK_TIER=$F216))*((BULK_SKU="ALL")+(BULK_SKU=$G216))*(BULK_START&lt;=8)*(BULK_END&gt;=8))*IFERROR(BULK_VALUE,0))/MAX(1,SUMPRODUCT(((BULK_ENABLED="Y")*((BULK_TIER="ALL")+(BULK_TIER=$F216))*((BULK_SKU="ALL")+(BULK_SKU=$G216))*(BULK_START&lt;=8)*(BULK_END&gt;=8)))),0),ROUND((INDEX(VELOCITY_TABLE,MATCH($F216,TIER_LIST,0),2))*(IF((8-$I216+1)&lt;=0,0,IF((8-$I216+1)=1,RAMP_W1,IF((8-$I216+1)=2,RAMP_W2,IF((8-$I216+1)=3,RAMP_W3,RAMP_W4PLUS)))))*(INDEX(ACTIVE_MULT_TABLE,2,1))*(1+SUMPRODUCT(SIGN(((ACT_DOOR_SCOPE="ALL")+(ACT_DOOR_SCOPE="TIER_"&amp;$F216)+(ACT_DOOR_SCOPE=$B216)))*SIGN(((ACT_SKU_SCOPE="ALL")+(ACT_SKU_SCOPE=$G216)))*(ACT_START&lt;=8)*(ACT_END&gt;=8)*IFERROR(ACT_UPLIFT-1,0)))*(1+SUMPRODUCT(SIGN(((ACT_DOOR_SCOPE="ALL")+(ACT_DOOR_SCOPE="TIER_"&amp;$F216)+(ACT_DOOR_SCOPE=$B216)))*SIGN(((ACT_SKU_SCOPE="ALL")+(ACT_SKU_SCOPE=$G216)))*(8&gt;ACT_END)*(ACT_END&gt;0)*IFERROR(ACT_POSTLIFT,0))),0)))</f>
        <v/>
      </c>
      <c r="R216" s="10">
        <f>IF(OR($H216&lt;&gt;"Y",9&lt;$I216),0,IF(SUMPRODUCT(((BULK_ENABLED="Y")*((BULK_TIER="ALL")+(BULK_TIER=$F216))*((BULK_SKU="ALL")+(BULK_SKU=$G216))*(BULK_START&lt;=9)*(BULK_END&gt;=9)))&gt;0,IFERROR(SUMPRODUCT(((BULK_ENABLED="Y")*((BULK_TIER="ALL")+(BULK_TIER=$F216))*((BULK_SKU="ALL")+(BULK_SKU=$G216))*(BULK_START&lt;=9)*(BULK_END&gt;=9))*IFERROR(BULK_VALUE,0))/MAX(1,SUMPRODUCT(((BULK_ENABLED="Y")*((BULK_TIER="ALL")+(BULK_TIER=$F216))*((BULK_SKU="ALL")+(BULK_SKU=$G216))*(BULK_START&lt;=9)*(BULK_END&gt;=9)))),0),ROUND((INDEX(VELOCITY_TABLE,MATCH($F216,TIER_LIST,0),2))*(IF((9-$I216+1)&lt;=0,0,IF((9-$I216+1)=1,RAMP_W1,IF((9-$I216+1)=2,RAMP_W2,IF((9-$I216+1)=3,RAMP_W3,RAMP_W4PLUS)))))*(INDEX(ACTIVE_MULT_TABLE,2,1))*(1+SUMPRODUCT(SIGN(((ACT_DOOR_SCOPE="ALL")+(ACT_DOOR_SCOPE="TIER_"&amp;$F216)+(ACT_DOOR_SCOPE=$B216)))*SIGN(((ACT_SKU_SCOPE="ALL")+(ACT_SKU_SCOPE=$G216)))*(ACT_START&lt;=9)*(ACT_END&gt;=9)*IFERROR(ACT_UPLIFT-1,0)))*(1+SUMPRODUCT(SIGN(((ACT_DOOR_SCOPE="ALL")+(ACT_DOOR_SCOPE="TIER_"&amp;$F216)+(ACT_DOOR_SCOPE=$B216)))*SIGN(((ACT_SKU_SCOPE="ALL")+(ACT_SKU_SCOPE=$G216)))*(9&gt;ACT_END)*(ACT_END&gt;0)*IFERROR(ACT_POSTLIFT,0))),0)))</f>
        <v/>
      </c>
      <c r="S216" s="10">
        <f>IF(OR($H216&lt;&gt;"Y",10&lt;$I216),0,IF(SUMPRODUCT(((BULK_ENABLED="Y")*((BULK_TIER="ALL")+(BULK_TIER=$F216))*((BULK_SKU="ALL")+(BULK_SKU=$G216))*(BULK_START&lt;=10)*(BULK_END&gt;=10)))&gt;0,IFERROR(SUMPRODUCT(((BULK_ENABLED="Y")*((BULK_TIER="ALL")+(BULK_TIER=$F216))*((BULK_SKU="ALL")+(BULK_SKU=$G216))*(BULK_START&lt;=10)*(BULK_END&gt;=10))*IFERROR(BULK_VALUE,0))/MAX(1,SUMPRODUCT(((BULK_ENABLED="Y")*((BULK_TIER="ALL")+(BULK_TIER=$F216))*((BULK_SKU="ALL")+(BULK_SKU=$G216))*(BULK_START&lt;=10)*(BULK_END&gt;=10)))),0),ROUND((INDEX(VELOCITY_TABLE,MATCH($F216,TIER_LIST,0),2))*(IF((10-$I216+1)&lt;=0,0,IF((10-$I216+1)=1,RAMP_W1,IF((10-$I216+1)=2,RAMP_W2,IF((10-$I216+1)=3,RAMP_W3,RAMP_W4PLUS)))))*(INDEX(ACTIVE_MULT_TABLE,2,1))*(1+SUMPRODUCT(SIGN(((ACT_DOOR_SCOPE="ALL")+(ACT_DOOR_SCOPE="TIER_"&amp;$F216)+(ACT_DOOR_SCOPE=$B216)))*SIGN(((ACT_SKU_SCOPE="ALL")+(ACT_SKU_SCOPE=$G216)))*(ACT_START&lt;=10)*(ACT_END&gt;=10)*IFERROR(ACT_UPLIFT-1,0)))*(1+SUMPRODUCT(SIGN(((ACT_DOOR_SCOPE="ALL")+(ACT_DOOR_SCOPE="TIER_"&amp;$F216)+(ACT_DOOR_SCOPE=$B216)))*SIGN(((ACT_SKU_SCOPE="ALL")+(ACT_SKU_SCOPE=$G216)))*(10&gt;ACT_END)*(ACT_END&gt;0)*IFERROR(ACT_POSTLIFT,0))),0)))</f>
        <v/>
      </c>
      <c r="T216" s="10">
        <f>IF(OR($H216&lt;&gt;"Y",11&lt;$I216),0,IF(SUMPRODUCT(((BULK_ENABLED="Y")*((BULK_TIER="ALL")+(BULK_TIER=$F216))*((BULK_SKU="ALL")+(BULK_SKU=$G216))*(BULK_START&lt;=11)*(BULK_END&gt;=11)))&gt;0,IFERROR(SUMPRODUCT(((BULK_ENABLED="Y")*((BULK_TIER="ALL")+(BULK_TIER=$F216))*((BULK_SKU="ALL")+(BULK_SKU=$G216))*(BULK_START&lt;=11)*(BULK_END&gt;=11))*IFERROR(BULK_VALUE,0))/MAX(1,SUMPRODUCT(((BULK_ENABLED="Y")*((BULK_TIER="ALL")+(BULK_TIER=$F216))*((BULK_SKU="ALL")+(BULK_SKU=$G216))*(BULK_START&lt;=11)*(BULK_END&gt;=11)))),0),ROUND((INDEX(VELOCITY_TABLE,MATCH($F216,TIER_LIST,0),2))*(IF((11-$I216+1)&lt;=0,0,IF((11-$I216+1)=1,RAMP_W1,IF((11-$I216+1)=2,RAMP_W2,IF((11-$I216+1)=3,RAMP_W3,RAMP_W4PLUS)))))*(INDEX(ACTIVE_MULT_TABLE,2,1))*(1+SUMPRODUCT(SIGN(((ACT_DOOR_SCOPE="ALL")+(ACT_DOOR_SCOPE="TIER_"&amp;$F216)+(ACT_DOOR_SCOPE=$B216)))*SIGN(((ACT_SKU_SCOPE="ALL")+(ACT_SKU_SCOPE=$G216)))*(ACT_START&lt;=11)*(ACT_END&gt;=11)*IFERROR(ACT_UPLIFT-1,0)))*(1+SUMPRODUCT(SIGN(((ACT_DOOR_SCOPE="ALL")+(ACT_DOOR_SCOPE="TIER_"&amp;$F216)+(ACT_DOOR_SCOPE=$B216)))*SIGN(((ACT_SKU_SCOPE="ALL")+(ACT_SKU_SCOPE=$G216)))*(11&gt;ACT_END)*(ACT_END&gt;0)*IFERROR(ACT_POSTLIFT,0))),0)))</f>
        <v/>
      </c>
      <c r="U216" s="10">
        <f>IF(OR($H216&lt;&gt;"Y",12&lt;$I216),0,IF(SUMPRODUCT(((BULK_ENABLED="Y")*((BULK_TIER="ALL")+(BULK_TIER=$F216))*((BULK_SKU="ALL")+(BULK_SKU=$G216))*(BULK_START&lt;=12)*(BULK_END&gt;=12)))&gt;0,IFERROR(SUMPRODUCT(((BULK_ENABLED="Y")*((BULK_TIER="ALL")+(BULK_TIER=$F216))*((BULK_SKU="ALL")+(BULK_SKU=$G216))*(BULK_START&lt;=12)*(BULK_END&gt;=12))*IFERROR(BULK_VALUE,0))/MAX(1,SUMPRODUCT(((BULK_ENABLED="Y")*((BULK_TIER="ALL")+(BULK_TIER=$F216))*((BULK_SKU="ALL")+(BULK_SKU=$G216))*(BULK_START&lt;=12)*(BULK_END&gt;=12)))),0),ROUND((INDEX(VELOCITY_TABLE,MATCH($F216,TIER_LIST,0),2))*(IF((12-$I216+1)&lt;=0,0,IF((12-$I216+1)=1,RAMP_W1,IF((12-$I216+1)=2,RAMP_W2,IF((12-$I216+1)=3,RAMP_W3,RAMP_W4PLUS)))))*(INDEX(ACTIVE_MULT_TABLE,2,1))*(1+SUMPRODUCT(SIGN(((ACT_DOOR_SCOPE="ALL")+(ACT_DOOR_SCOPE="TIER_"&amp;$F216)+(ACT_DOOR_SCOPE=$B216)))*SIGN(((ACT_SKU_SCOPE="ALL")+(ACT_SKU_SCOPE=$G216)))*(ACT_START&lt;=12)*(ACT_END&gt;=12)*IFERROR(ACT_UPLIFT-1,0)))*(1+SUMPRODUCT(SIGN(((ACT_DOOR_SCOPE="ALL")+(ACT_DOOR_SCOPE="TIER_"&amp;$F216)+(ACT_DOOR_SCOPE=$B216)))*SIGN(((ACT_SKU_SCOPE="ALL")+(ACT_SKU_SCOPE=$G216)))*(12&gt;ACT_END)*(ACT_END&gt;0)*IFERROR(ACT_POSTLIFT,0))),0)))</f>
        <v/>
      </c>
      <c r="V216" s="10">
        <f>IF(OR($H216&lt;&gt;"Y",13&lt;$I216),0,IF(SUMPRODUCT(((BULK_ENABLED="Y")*((BULK_TIER="ALL")+(BULK_TIER=$F216))*((BULK_SKU="ALL")+(BULK_SKU=$G216))*(BULK_START&lt;=13)*(BULK_END&gt;=13)))&gt;0,IFERROR(SUMPRODUCT(((BULK_ENABLED="Y")*((BULK_TIER="ALL")+(BULK_TIER=$F216))*((BULK_SKU="ALL")+(BULK_SKU=$G216))*(BULK_START&lt;=13)*(BULK_END&gt;=13))*IFERROR(BULK_VALUE,0))/MAX(1,SUMPRODUCT(((BULK_ENABLED="Y")*((BULK_TIER="ALL")+(BULK_TIER=$F216))*((BULK_SKU="ALL")+(BULK_SKU=$G216))*(BULK_START&lt;=13)*(BULK_END&gt;=13)))),0),ROUND((INDEX(VELOCITY_TABLE,MATCH($F216,TIER_LIST,0),2))*(IF((13-$I216+1)&lt;=0,0,IF((13-$I216+1)=1,RAMP_W1,IF((13-$I216+1)=2,RAMP_W2,IF((13-$I216+1)=3,RAMP_W3,RAMP_W4PLUS)))))*(INDEX(ACTIVE_MULT_TABLE,2,1))*(1+SUMPRODUCT(SIGN(((ACT_DOOR_SCOPE="ALL")+(ACT_DOOR_SCOPE="TIER_"&amp;$F216)+(ACT_DOOR_SCOPE=$B216)))*SIGN(((ACT_SKU_SCOPE="ALL")+(ACT_SKU_SCOPE=$G216)))*(ACT_START&lt;=13)*(ACT_END&gt;=13)*IFERROR(ACT_UPLIFT-1,0)))*(1+SUMPRODUCT(SIGN(((ACT_DOOR_SCOPE="ALL")+(ACT_DOOR_SCOPE="TIER_"&amp;$F216)+(ACT_DOOR_SCOPE=$B216)))*SIGN(((ACT_SKU_SCOPE="ALL")+(ACT_SKU_SCOPE=$G216)))*(13&gt;ACT_END)*(ACT_END&gt;0)*IFERROR(ACT_POSTLIFT,0))),0)))</f>
        <v/>
      </c>
    </row>
    <row r="217">
      <c r="A217" t="inlineStr">
        <is>
          <t>R0213</t>
        </is>
      </c>
      <c r="B217">
        <f>Doors!$A$75</f>
        <v/>
      </c>
      <c r="C217">
        <f>Doors!$C$75</f>
        <v/>
      </c>
      <c r="D217">
        <f>Doors!$B$75</f>
        <v/>
      </c>
      <c r="E217">
        <f>Doors!$E$75</f>
        <v/>
      </c>
      <c r="F217">
        <f>Doors!$F$75</f>
        <v/>
      </c>
      <c r="G217" t="inlineStr">
        <is>
          <t>Raspberry</t>
        </is>
      </c>
      <c r="H217">
        <f>Doors!$I$75</f>
        <v/>
      </c>
      <c r="I217">
        <f>Doors!$J$75</f>
        <v/>
      </c>
      <c r="J217" s="10">
        <f>IF(OR($H217&lt;&gt;"Y",1&lt;$I217),0,IF(SUMPRODUCT(((BULK_ENABLED="Y")*((BULK_TIER="ALL")+(BULK_TIER=$F217))*((BULK_SKU="ALL")+(BULK_SKU=$G217))*(BULK_START&lt;=1)*(BULK_END&gt;=1)))&gt;0,IFERROR(SUMPRODUCT(((BULK_ENABLED="Y")*((BULK_TIER="ALL")+(BULK_TIER=$F217))*((BULK_SKU="ALL")+(BULK_SKU=$G217))*(BULK_START&lt;=1)*(BULK_END&gt;=1))*IFERROR(BULK_VALUE,0))/MAX(1,SUMPRODUCT(((BULK_ENABLED="Y")*((BULK_TIER="ALL")+(BULK_TIER=$F217))*((BULK_SKU="ALL")+(BULK_SKU=$G217))*(BULK_START&lt;=1)*(BULK_END&gt;=1)))),0),ROUND((INDEX(VELOCITY_TABLE,MATCH($F217,TIER_LIST,0),3))*(IF((1-$I217+1)&lt;=0,0,IF((1-$I217+1)=1,RAMP_W1,IF((1-$I217+1)=2,RAMP_W2,IF((1-$I217+1)=3,RAMP_W3,RAMP_W4PLUS)))))*(INDEX(ACTIVE_MULT_TABLE,3,1))*(1+SUMPRODUCT(SIGN(((ACT_DOOR_SCOPE="ALL")+(ACT_DOOR_SCOPE="TIER_"&amp;$F217)+(ACT_DOOR_SCOPE=$B217)))*SIGN(((ACT_SKU_SCOPE="ALL")+(ACT_SKU_SCOPE=$G217)))*(ACT_START&lt;=1)*(ACT_END&gt;=1)*IFERROR(ACT_UPLIFT-1,0)))*(1+SUMPRODUCT(SIGN(((ACT_DOOR_SCOPE="ALL")+(ACT_DOOR_SCOPE="TIER_"&amp;$F217)+(ACT_DOOR_SCOPE=$B217)))*SIGN(((ACT_SKU_SCOPE="ALL")+(ACT_SKU_SCOPE=$G217)))*(1&gt;ACT_END)*(ACT_END&gt;0)*IFERROR(ACT_POSTLIFT,0))),0)))</f>
        <v/>
      </c>
      <c r="K217" s="10">
        <f>IF(OR($H217&lt;&gt;"Y",2&lt;$I217),0,IF(SUMPRODUCT(((BULK_ENABLED="Y")*((BULK_TIER="ALL")+(BULK_TIER=$F217))*((BULK_SKU="ALL")+(BULK_SKU=$G217))*(BULK_START&lt;=2)*(BULK_END&gt;=2)))&gt;0,IFERROR(SUMPRODUCT(((BULK_ENABLED="Y")*((BULK_TIER="ALL")+(BULK_TIER=$F217))*((BULK_SKU="ALL")+(BULK_SKU=$G217))*(BULK_START&lt;=2)*(BULK_END&gt;=2))*IFERROR(BULK_VALUE,0))/MAX(1,SUMPRODUCT(((BULK_ENABLED="Y")*((BULK_TIER="ALL")+(BULK_TIER=$F217))*((BULK_SKU="ALL")+(BULK_SKU=$G217))*(BULK_START&lt;=2)*(BULK_END&gt;=2)))),0),ROUND((INDEX(VELOCITY_TABLE,MATCH($F217,TIER_LIST,0),3))*(IF((2-$I217+1)&lt;=0,0,IF((2-$I217+1)=1,RAMP_W1,IF((2-$I217+1)=2,RAMP_W2,IF((2-$I217+1)=3,RAMP_W3,RAMP_W4PLUS)))))*(INDEX(ACTIVE_MULT_TABLE,3,1))*(1+SUMPRODUCT(SIGN(((ACT_DOOR_SCOPE="ALL")+(ACT_DOOR_SCOPE="TIER_"&amp;$F217)+(ACT_DOOR_SCOPE=$B217)))*SIGN(((ACT_SKU_SCOPE="ALL")+(ACT_SKU_SCOPE=$G217)))*(ACT_START&lt;=2)*(ACT_END&gt;=2)*IFERROR(ACT_UPLIFT-1,0)))*(1+SUMPRODUCT(SIGN(((ACT_DOOR_SCOPE="ALL")+(ACT_DOOR_SCOPE="TIER_"&amp;$F217)+(ACT_DOOR_SCOPE=$B217)))*SIGN(((ACT_SKU_SCOPE="ALL")+(ACT_SKU_SCOPE=$G217)))*(2&gt;ACT_END)*(ACT_END&gt;0)*IFERROR(ACT_POSTLIFT,0))),0)))</f>
        <v/>
      </c>
      <c r="L217" s="10">
        <f>IF(OR($H217&lt;&gt;"Y",3&lt;$I217),0,IF(SUMPRODUCT(((BULK_ENABLED="Y")*((BULK_TIER="ALL")+(BULK_TIER=$F217))*((BULK_SKU="ALL")+(BULK_SKU=$G217))*(BULK_START&lt;=3)*(BULK_END&gt;=3)))&gt;0,IFERROR(SUMPRODUCT(((BULK_ENABLED="Y")*((BULK_TIER="ALL")+(BULK_TIER=$F217))*((BULK_SKU="ALL")+(BULK_SKU=$G217))*(BULK_START&lt;=3)*(BULK_END&gt;=3))*IFERROR(BULK_VALUE,0))/MAX(1,SUMPRODUCT(((BULK_ENABLED="Y")*((BULK_TIER="ALL")+(BULK_TIER=$F217))*((BULK_SKU="ALL")+(BULK_SKU=$G217))*(BULK_START&lt;=3)*(BULK_END&gt;=3)))),0),ROUND((INDEX(VELOCITY_TABLE,MATCH($F217,TIER_LIST,0),3))*(IF((3-$I217+1)&lt;=0,0,IF((3-$I217+1)=1,RAMP_W1,IF((3-$I217+1)=2,RAMP_W2,IF((3-$I217+1)=3,RAMP_W3,RAMP_W4PLUS)))))*(INDEX(ACTIVE_MULT_TABLE,3,1))*(1+SUMPRODUCT(SIGN(((ACT_DOOR_SCOPE="ALL")+(ACT_DOOR_SCOPE="TIER_"&amp;$F217)+(ACT_DOOR_SCOPE=$B217)))*SIGN(((ACT_SKU_SCOPE="ALL")+(ACT_SKU_SCOPE=$G217)))*(ACT_START&lt;=3)*(ACT_END&gt;=3)*IFERROR(ACT_UPLIFT-1,0)))*(1+SUMPRODUCT(SIGN(((ACT_DOOR_SCOPE="ALL")+(ACT_DOOR_SCOPE="TIER_"&amp;$F217)+(ACT_DOOR_SCOPE=$B217)))*SIGN(((ACT_SKU_SCOPE="ALL")+(ACT_SKU_SCOPE=$G217)))*(3&gt;ACT_END)*(ACT_END&gt;0)*IFERROR(ACT_POSTLIFT,0))),0)))</f>
        <v/>
      </c>
      <c r="M217" s="10">
        <f>IF(OR($H217&lt;&gt;"Y",4&lt;$I217),0,IF(SUMPRODUCT(((BULK_ENABLED="Y")*((BULK_TIER="ALL")+(BULK_TIER=$F217))*((BULK_SKU="ALL")+(BULK_SKU=$G217))*(BULK_START&lt;=4)*(BULK_END&gt;=4)))&gt;0,IFERROR(SUMPRODUCT(((BULK_ENABLED="Y")*((BULK_TIER="ALL")+(BULK_TIER=$F217))*((BULK_SKU="ALL")+(BULK_SKU=$G217))*(BULK_START&lt;=4)*(BULK_END&gt;=4))*IFERROR(BULK_VALUE,0))/MAX(1,SUMPRODUCT(((BULK_ENABLED="Y")*((BULK_TIER="ALL")+(BULK_TIER=$F217))*((BULK_SKU="ALL")+(BULK_SKU=$G217))*(BULK_START&lt;=4)*(BULK_END&gt;=4)))),0),ROUND((INDEX(VELOCITY_TABLE,MATCH($F217,TIER_LIST,0),3))*(IF((4-$I217+1)&lt;=0,0,IF((4-$I217+1)=1,RAMP_W1,IF((4-$I217+1)=2,RAMP_W2,IF((4-$I217+1)=3,RAMP_W3,RAMP_W4PLUS)))))*(INDEX(ACTIVE_MULT_TABLE,3,1))*(1+SUMPRODUCT(SIGN(((ACT_DOOR_SCOPE="ALL")+(ACT_DOOR_SCOPE="TIER_"&amp;$F217)+(ACT_DOOR_SCOPE=$B217)))*SIGN(((ACT_SKU_SCOPE="ALL")+(ACT_SKU_SCOPE=$G217)))*(ACT_START&lt;=4)*(ACT_END&gt;=4)*IFERROR(ACT_UPLIFT-1,0)))*(1+SUMPRODUCT(SIGN(((ACT_DOOR_SCOPE="ALL")+(ACT_DOOR_SCOPE="TIER_"&amp;$F217)+(ACT_DOOR_SCOPE=$B217)))*SIGN(((ACT_SKU_SCOPE="ALL")+(ACT_SKU_SCOPE=$G217)))*(4&gt;ACT_END)*(ACT_END&gt;0)*IFERROR(ACT_POSTLIFT,0))),0)))</f>
        <v/>
      </c>
      <c r="N217" s="10">
        <f>IF(OR($H217&lt;&gt;"Y",5&lt;$I217),0,IF(SUMPRODUCT(((BULK_ENABLED="Y")*((BULK_TIER="ALL")+(BULK_TIER=$F217))*((BULK_SKU="ALL")+(BULK_SKU=$G217))*(BULK_START&lt;=5)*(BULK_END&gt;=5)))&gt;0,IFERROR(SUMPRODUCT(((BULK_ENABLED="Y")*((BULK_TIER="ALL")+(BULK_TIER=$F217))*((BULK_SKU="ALL")+(BULK_SKU=$G217))*(BULK_START&lt;=5)*(BULK_END&gt;=5))*IFERROR(BULK_VALUE,0))/MAX(1,SUMPRODUCT(((BULK_ENABLED="Y")*((BULK_TIER="ALL")+(BULK_TIER=$F217))*((BULK_SKU="ALL")+(BULK_SKU=$G217))*(BULK_START&lt;=5)*(BULK_END&gt;=5)))),0),ROUND((INDEX(VELOCITY_TABLE,MATCH($F217,TIER_LIST,0),3))*(IF((5-$I217+1)&lt;=0,0,IF((5-$I217+1)=1,RAMP_W1,IF((5-$I217+1)=2,RAMP_W2,IF((5-$I217+1)=3,RAMP_W3,RAMP_W4PLUS)))))*(INDEX(ACTIVE_MULT_TABLE,3,1))*(1+SUMPRODUCT(SIGN(((ACT_DOOR_SCOPE="ALL")+(ACT_DOOR_SCOPE="TIER_"&amp;$F217)+(ACT_DOOR_SCOPE=$B217)))*SIGN(((ACT_SKU_SCOPE="ALL")+(ACT_SKU_SCOPE=$G217)))*(ACT_START&lt;=5)*(ACT_END&gt;=5)*IFERROR(ACT_UPLIFT-1,0)))*(1+SUMPRODUCT(SIGN(((ACT_DOOR_SCOPE="ALL")+(ACT_DOOR_SCOPE="TIER_"&amp;$F217)+(ACT_DOOR_SCOPE=$B217)))*SIGN(((ACT_SKU_SCOPE="ALL")+(ACT_SKU_SCOPE=$G217)))*(5&gt;ACT_END)*(ACT_END&gt;0)*IFERROR(ACT_POSTLIFT,0))),0)))</f>
        <v/>
      </c>
      <c r="O217" s="10">
        <f>IF(OR($H217&lt;&gt;"Y",6&lt;$I217),0,IF(SUMPRODUCT(((BULK_ENABLED="Y")*((BULK_TIER="ALL")+(BULK_TIER=$F217))*((BULK_SKU="ALL")+(BULK_SKU=$G217))*(BULK_START&lt;=6)*(BULK_END&gt;=6)))&gt;0,IFERROR(SUMPRODUCT(((BULK_ENABLED="Y")*((BULK_TIER="ALL")+(BULK_TIER=$F217))*((BULK_SKU="ALL")+(BULK_SKU=$G217))*(BULK_START&lt;=6)*(BULK_END&gt;=6))*IFERROR(BULK_VALUE,0))/MAX(1,SUMPRODUCT(((BULK_ENABLED="Y")*((BULK_TIER="ALL")+(BULK_TIER=$F217))*((BULK_SKU="ALL")+(BULK_SKU=$G217))*(BULK_START&lt;=6)*(BULK_END&gt;=6)))),0),ROUND((INDEX(VELOCITY_TABLE,MATCH($F217,TIER_LIST,0),3))*(IF((6-$I217+1)&lt;=0,0,IF((6-$I217+1)=1,RAMP_W1,IF((6-$I217+1)=2,RAMP_W2,IF((6-$I217+1)=3,RAMP_W3,RAMP_W4PLUS)))))*(INDEX(ACTIVE_MULT_TABLE,3,1))*(1+SUMPRODUCT(SIGN(((ACT_DOOR_SCOPE="ALL")+(ACT_DOOR_SCOPE="TIER_"&amp;$F217)+(ACT_DOOR_SCOPE=$B217)))*SIGN(((ACT_SKU_SCOPE="ALL")+(ACT_SKU_SCOPE=$G217)))*(ACT_START&lt;=6)*(ACT_END&gt;=6)*IFERROR(ACT_UPLIFT-1,0)))*(1+SUMPRODUCT(SIGN(((ACT_DOOR_SCOPE="ALL")+(ACT_DOOR_SCOPE="TIER_"&amp;$F217)+(ACT_DOOR_SCOPE=$B217)))*SIGN(((ACT_SKU_SCOPE="ALL")+(ACT_SKU_SCOPE=$G217)))*(6&gt;ACT_END)*(ACT_END&gt;0)*IFERROR(ACT_POSTLIFT,0))),0)))</f>
        <v/>
      </c>
      <c r="P217" s="10">
        <f>IF(OR($H217&lt;&gt;"Y",7&lt;$I217),0,IF(SUMPRODUCT(((BULK_ENABLED="Y")*((BULK_TIER="ALL")+(BULK_TIER=$F217))*((BULK_SKU="ALL")+(BULK_SKU=$G217))*(BULK_START&lt;=7)*(BULK_END&gt;=7)))&gt;0,IFERROR(SUMPRODUCT(((BULK_ENABLED="Y")*((BULK_TIER="ALL")+(BULK_TIER=$F217))*((BULK_SKU="ALL")+(BULK_SKU=$G217))*(BULK_START&lt;=7)*(BULK_END&gt;=7))*IFERROR(BULK_VALUE,0))/MAX(1,SUMPRODUCT(((BULK_ENABLED="Y")*((BULK_TIER="ALL")+(BULK_TIER=$F217))*((BULK_SKU="ALL")+(BULK_SKU=$G217))*(BULK_START&lt;=7)*(BULK_END&gt;=7)))),0),ROUND((INDEX(VELOCITY_TABLE,MATCH($F217,TIER_LIST,0),3))*(IF((7-$I217+1)&lt;=0,0,IF((7-$I217+1)=1,RAMP_W1,IF((7-$I217+1)=2,RAMP_W2,IF((7-$I217+1)=3,RAMP_W3,RAMP_W4PLUS)))))*(INDEX(ACTIVE_MULT_TABLE,3,1))*(1+SUMPRODUCT(SIGN(((ACT_DOOR_SCOPE="ALL")+(ACT_DOOR_SCOPE="TIER_"&amp;$F217)+(ACT_DOOR_SCOPE=$B217)))*SIGN(((ACT_SKU_SCOPE="ALL")+(ACT_SKU_SCOPE=$G217)))*(ACT_START&lt;=7)*(ACT_END&gt;=7)*IFERROR(ACT_UPLIFT-1,0)))*(1+SUMPRODUCT(SIGN(((ACT_DOOR_SCOPE="ALL")+(ACT_DOOR_SCOPE="TIER_"&amp;$F217)+(ACT_DOOR_SCOPE=$B217)))*SIGN(((ACT_SKU_SCOPE="ALL")+(ACT_SKU_SCOPE=$G217)))*(7&gt;ACT_END)*(ACT_END&gt;0)*IFERROR(ACT_POSTLIFT,0))),0)))</f>
        <v/>
      </c>
      <c r="Q217" s="10">
        <f>IF(OR($H217&lt;&gt;"Y",8&lt;$I217),0,IF(SUMPRODUCT(((BULK_ENABLED="Y")*((BULK_TIER="ALL")+(BULK_TIER=$F217))*((BULK_SKU="ALL")+(BULK_SKU=$G217))*(BULK_START&lt;=8)*(BULK_END&gt;=8)))&gt;0,IFERROR(SUMPRODUCT(((BULK_ENABLED="Y")*((BULK_TIER="ALL")+(BULK_TIER=$F217))*((BULK_SKU="ALL")+(BULK_SKU=$G217))*(BULK_START&lt;=8)*(BULK_END&gt;=8))*IFERROR(BULK_VALUE,0))/MAX(1,SUMPRODUCT(((BULK_ENABLED="Y")*((BULK_TIER="ALL")+(BULK_TIER=$F217))*((BULK_SKU="ALL")+(BULK_SKU=$G217))*(BULK_START&lt;=8)*(BULK_END&gt;=8)))),0),ROUND((INDEX(VELOCITY_TABLE,MATCH($F217,TIER_LIST,0),3))*(IF((8-$I217+1)&lt;=0,0,IF((8-$I217+1)=1,RAMP_W1,IF((8-$I217+1)=2,RAMP_W2,IF((8-$I217+1)=3,RAMP_W3,RAMP_W4PLUS)))))*(INDEX(ACTIVE_MULT_TABLE,3,1))*(1+SUMPRODUCT(SIGN(((ACT_DOOR_SCOPE="ALL")+(ACT_DOOR_SCOPE="TIER_"&amp;$F217)+(ACT_DOOR_SCOPE=$B217)))*SIGN(((ACT_SKU_SCOPE="ALL")+(ACT_SKU_SCOPE=$G217)))*(ACT_START&lt;=8)*(ACT_END&gt;=8)*IFERROR(ACT_UPLIFT-1,0)))*(1+SUMPRODUCT(SIGN(((ACT_DOOR_SCOPE="ALL")+(ACT_DOOR_SCOPE="TIER_"&amp;$F217)+(ACT_DOOR_SCOPE=$B217)))*SIGN(((ACT_SKU_SCOPE="ALL")+(ACT_SKU_SCOPE=$G217)))*(8&gt;ACT_END)*(ACT_END&gt;0)*IFERROR(ACT_POSTLIFT,0))),0)))</f>
        <v/>
      </c>
      <c r="R217" s="10">
        <f>IF(OR($H217&lt;&gt;"Y",9&lt;$I217),0,IF(SUMPRODUCT(((BULK_ENABLED="Y")*((BULK_TIER="ALL")+(BULK_TIER=$F217))*((BULK_SKU="ALL")+(BULK_SKU=$G217))*(BULK_START&lt;=9)*(BULK_END&gt;=9)))&gt;0,IFERROR(SUMPRODUCT(((BULK_ENABLED="Y")*((BULK_TIER="ALL")+(BULK_TIER=$F217))*((BULK_SKU="ALL")+(BULK_SKU=$G217))*(BULK_START&lt;=9)*(BULK_END&gt;=9))*IFERROR(BULK_VALUE,0))/MAX(1,SUMPRODUCT(((BULK_ENABLED="Y")*((BULK_TIER="ALL")+(BULK_TIER=$F217))*((BULK_SKU="ALL")+(BULK_SKU=$G217))*(BULK_START&lt;=9)*(BULK_END&gt;=9)))),0),ROUND((INDEX(VELOCITY_TABLE,MATCH($F217,TIER_LIST,0),3))*(IF((9-$I217+1)&lt;=0,0,IF((9-$I217+1)=1,RAMP_W1,IF((9-$I217+1)=2,RAMP_W2,IF((9-$I217+1)=3,RAMP_W3,RAMP_W4PLUS)))))*(INDEX(ACTIVE_MULT_TABLE,3,1))*(1+SUMPRODUCT(SIGN(((ACT_DOOR_SCOPE="ALL")+(ACT_DOOR_SCOPE="TIER_"&amp;$F217)+(ACT_DOOR_SCOPE=$B217)))*SIGN(((ACT_SKU_SCOPE="ALL")+(ACT_SKU_SCOPE=$G217)))*(ACT_START&lt;=9)*(ACT_END&gt;=9)*IFERROR(ACT_UPLIFT-1,0)))*(1+SUMPRODUCT(SIGN(((ACT_DOOR_SCOPE="ALL")+(ACT_DOOR_SCOPE="TIER_"&amp;$F217)+(ACT_DOOR_SCOPE=$B217)))*SIGN(((ACT_SKU_SCOPE="ALL")+(ACT_SKU_SCOPE=$G217)))*(9&gt;ACT_END)*(ACT_END&gt;0)*IFERROR(ACT_POSTLIFT,0))),0)))</f>
        <v/>
      </c>
      <c r="S217" s="10">
        <f>IF(OR($H217&lt;&gt;"Y",10&lt;$I217),0,IF(SUMPRODUCT(((BULK_ENABLED="Y")*((BULK_TIER="ALL")+(BULK_TIER=$F217))*((BULK_SKU="ALL")+(BULK_SKU=$G217))*(BULK_START&lt;=10)*(BULK_END&gt;=10)))&gt;0,IFERROR(SUMPRODUCT(((BULK_ENABLED="Y")*((BULK_TIER="ALL")+(BULK_TIER=$F217))*((BULK_SKU="ALL")+(BULK_SKU=$G217))*(BULK_START&lt;=10)*(BULK_END&gt;=10))*IFERROR(BULK_VALUE,0))/MAX(1,SUMPRODUCT(((BULK_ENABLED="Y")*((BULK_TIER="ALL")+(BULK_TIER=$F217))*((BULK_SKU="ALL")+(BULK_SKU=$G217))*(BULK_START&lt;=10)*(BULK_END&gt;=10)))),0),ROUND((INDEX(VELOCITY_TABLE,MATCH($F217,TIER_LIST,0),3))*(IF((10-$I217+1)&lt;=0,0,IF((10-$I217+1)=1,RAMP_W1,IF((10-$I217+1)=2,RAMP_W2,IF((10-$I217+1)=3,RAMP_W3,RAMP_W4PLUS)))))*(INDEX(ACTIVE_MULT_TABLE,3,1))*(1+SUMPRODUCT(SIGN(((ACT_DOOR_SCOPE="ALL")+(ACT_DOOR_SCOPE="TIER_"&amp;$F217)+(ACT_DOOR_SCOPE=$B217)))*SIGN(((ACT_SKU_SCOPE="ALL")+(ACT_SKU_SCOPE=$G217)))*(ACT_START&lt;=10)*(ACT_END&gt;=10)*IFERROR(ACT_UPLIFT-1,0)))*(1+SUMPRODUCT(SIGN(((ACT_DOOR_SCOPE="ALL")+(ACT_DOOR_SCOPE="TIER_"&amp;$F217)+(ACT_DOOR_SCOPE=$B217)))*SIGN(((ACT_SKU_SCOPE="ALL")+(ACT_SKU_SCOPE=$G217)))*(10&gt;ACT_END)*(ACT_END&gt;0)*IFERROR(ACT_POSTLIFT,0))),0)))</f>
        <v/>
      </c>
      <c r="T217" s="10">
        <f>IF(OR($H217&lt;&gt;"Y",11&lt;$I217),0,IF(SUMPRODUCT(((BULK_ENABLED="Y")*((BULK_TIER="ALL")+(BULK_TIER=$F217))*((BULK_SKU="ALL")+(BULK_SKU=$G217))*(BULK_START&lt;=11)*(BULK_END&gt;=11)))&gt;0,IFERROR(SUMPRODUCT(((BULK_ENABLED="Y")*((BULK_TIER="ALL")+(BULK_TIER=$F217))*((BULK_SKU="ALL")+(BULK_SKU=$G217))*(BULK_START&lt;=11)*(BULK_END&gt;=11))*IFERROR(BULK_VALUE,0))/MAX(1,SUMPRODUCT(((BULK_ENABLED="Y")*((BULK_TIER="ALL")+(BULK_TIER=$F217))*((BULK_SKU="ALL")+(BULK_SKU=$G217))*(BULK_START&lt;=11)*(BULK_END&gt;=11)))),0),ROUND((INDEX(VELOCITY_TABLE,MATCH($F217,TIER_LIST,0),3))*(IF((11-$I217+1)&lt;=0,0,IF((11-$I217+1)=1,RAMP_W1,IF((11-$I217+1)=2,RAMP_W2,IF((11-$I217+1)=3,RAMP_W3,RAMP_W4PLUS)))))*(INDEX(ACTIVE_MULT_TABLE,3,1))*(1+SUMPRODUCT(SIGN(((ACT_DOOR_SCOPE="ALL")+(ACT_DOOR_SCOPE="TIER_"&amp;$F217)+(ACT_DOOR_SCOPE=$B217)))*SIGN(((ACT_SKU_SCOPE="ALL")+(ACT_SKU_SCOPE=$G217)))*(ACT_START&lt;=11)*(ACT_END&gt;=11)*IFERROR(ACT_UPLIFT-1,0)))*(1+SUMPRODUCT(SIGN(((ACT_DOOR_SCOPE="ALL")+(ACT_DOOR_SCOPE="TIER_"&amp;$F217)+(ACT_DOOR_SCOPE=$B217)))*SIGN(((ACT_SKU_SCOPE="ALL")+(ACT_SKU_SCOPE=$G217)))*(11&gt;ACT_END)*(ACT_END&gt;0)*IFERROR(ACT_POSTLIFT,0))),0)))</f>
        <v/>
      </c>
      <c r="U217" s="10">
        <f>IF(OR($H217&lt;&gt;"Y",12&lt;$I217),0,IF(SUMPRODUCT(((BULK_ENABLED="Y")*((BULK_TIER="ALL")+(BULK_TIER=$F217))*((BULK_SKU="ALL")+(BULK_SKU=$G217))*(BULK_START&lt;=12)*(BULK_END&gt;=12)))&gt;0,IFERROR(SUMPRODUCT(((BULK_ENABLED="Y")*((BULK_TIER="ALL")+(BULK_TIER=$F217))*((BULK_SKU="ALL")+(BULK_SKU=$G217))*(BULK_START&lt;=12)*(BULK_END&gt;=12))*IFERROR(BULK_VALUE,0))/MAX(1,SUMPRODUCT(((BULK_ENABLED="Y")*((BULK_TIER="ALL")+(BULK_TIER=$F217))*((BULK_SKU="ALL")+(BULK_SKU=$G217))*(BULK_START&lt;=12)*(BULK_END&gt;=12)))),0),ROUND((INDEX(VELOCITY_TABLE,MATCH($F217,TIER_LIST,0),3))*(IF((12-$I217+1)&lt;=0,0,IF((12-$I217+1)=1,RAMP_W1,IF((12-$I217+1)=2,RAMP_W2,IF((12-$I217+1)=3,RAMP_W3,RAMP_W4PLUS)))))*(INDEX(ACTIVE_MULT_TABLE,3,1))*(1+SUMPRODUCT(SIGN(((ACT_DOOR_SCOPE="ALL")+(ACT_DOOR_SCOPE="TIER_"&amp;$F217)+(ACT_DOOR_SCOPE=$B217)))*SIGN(((ACT_SKU_SCOPE="ALL")+(ACT_SKU_SCOPE=$G217)))*(ACT_START&lt;=12)*(ACT_END&gt;=12)*IFERROR(ACT_UPLIFT-1,0)))*(1+SUMPRODUCT(SIGN(((ACT_DOOR_SCOPE="ALL")+(ACT_DOOR_SCOPE="TIER_"&amp;$F217)+(ACT_DOOR_SCOPE=$B217)))*SIGN(((ACT_SKU_SCOPE="ALL")+(ACT_SKU_SCOPE=$G217)))*(12&gt;ACT_END)*(ACT_END&gt;0)*IFERROR(ACT_POSTLIFT,0))),0)))</f>
        <v/>
      </c>
      <c r="V217" s="10">
        <f>IF(OR($H217&lt;&gt;"Y",13&lt;$I217),0,IF(SUMPRODUCT(((BULK_ENABLED="Y")*((BULK_TIER="ALL")+(BULK_TIER=$F217))*((BULK_SKU="ALL")+(BULK_SKU=$G217))*(BULK_START&lt;=13)*(BULK_END&gt;=13)))&gt;0,IFERROR(SUMPRODUCT(((BULK_ENABLED="Y")*((BULK_TIER="ALL")+(BULK_TIER=$F217))*((BULK_SKU="ALL")+(BULK_SKU=$G217))*(BULK_START&lt;=13)*(BULK_END&gt;=13))*IFERROR(BULK_VALUE,0))/MAX(1,SUMPRODUCT(((BULK_ENABLED="Y")*((BULK_TIER="ALL")+(BULK_TIER=$F217))*((BULK_SKU="ALL")+(BULK_SKU=$G217))*(BULK_START&lt;=13)*(BULK_END&gt;=13)))),0),ROUND((INDEX(VELOCITY_TABLE,MATCH($F217,TIER_LIST,0),3))*(IF((13-$I217+1)&lt;=0,0,IF((13-$I217+1)=1,RAMP_W1,IF((13-$I217+1)=2,RAMP_W2,IF((13-$I217+1)=3,RAMP_W3,RAMP_W4PLUS)))))*(INDEX(ACTIVE_MULT_TABLE,3,1))*(1+SUMPRODUCT(SIGN(((ACT_DOOR_SCOPE="ALL")+(ACT_DOOR_SCOPE="TIER_"&amp;$F217)+(ACT_DOOR_SCOPE=$B217)))*SIGN(((ACT_SKU_SCOPE="ALL")+(ACT_SKU_SCOPE=$G217)))*(ACT_START&lt;=13)*(ACT_END&gt;=13)*IFERROR(ACT_UPLIFT-1,0)))*(1+SUMPRODUCT(SIGN(((ACT_DOOR_SCOPE="ALL")+(ACT_DOOR_SCOPE="TIER_"&amp;$F217)+(ACT_DOOR_SCOPE=$B217)))*SIGN(((ACT_SKU_SCOPE="ALL")+(ACT_SKU_SCOPE=$G217)))*(13&gt;ACT_END)*(ACT_END&gt;0)*IFERROR(ACT_POSTLIFT,0))),0)))</f>
        <v/>
      </c>
    </row>
    <row r="218">
      <c r="A218" t="inlineStr">
        <is>
          <t>R0214</t>
        </is>
      </c>
      <c r="B218">
        <f>Doors!$A$76</f>
        <v/>
      </c>
      <c r="C218">
        <f>Doors!$C$76</f>
        <v/>
      </c>
      <c r="D218">
        <f>Doors!$B$76</f>
        <v/>
      </c>
      <c r="E218">
        <f>Doors!$E$76</f>
        <v/>
      </c>
      <c r="F218">
        <f>Doors!$F$76</f>
        <v/>
      </c>
      <c r="G218" t="inlineStr">
        <is>
          <t>Lime Lemon</t>
        </is>
      </c>
      <c r="H218">
        <f>Doors!$G$76</f>
        <v/>
      </c>
      <c r="I218">
        <f>Doors!$J$76</f>
        <v/>
      </c>
      <c r="J218" s="10">
        <f>IF(OR($H218&lt;&gt;"Y",1&lt;$I218),0,IF(SUMPRODUCT(((BULK_ENABLED="Y")*((BULK_TIER="ALL")+(BULK_TIER=$F218))*((BULK_SKU="ALL")+(BULK_SKU=$G218))*(BULK_START&lt;=1)*(BULK_END&gt;=1)))&gt;0,IFERROR(SUMPRODUCT(((BULK_ENABLED="Y")*((BULK_TIER="ALL")+(BULK_TIER=$F218))*((BULK_SKU="ALL")+(BULK_SKU=$G218))*(BULK_START&lt;=1)*(BULK_END&gt;=1))*IFERROR(BULK_VALUE,0))/MAX(1,SUMPRODUCT(((BULK_ENABLED="Y")*((BULK_TIER="ALL")+(BULK_TIER=$F218))*((BULK_SKU="ALL")+(BULK_SKU=$G218))*(BULK_START&lt;=1)*(BULK_END&gt;=1)))),0),ROUND((INDEX(VELOCITY_TABLE,MATCH($F218,TIER_LIST,0),1))*(IF((1-$I218+1)&lt;=0,0,IF((1-$I218+1)=1,RAMP_W1,IF((1-$I218+1)=2,RAMP_W2,IF((1-$I218+1)=3,RAMP_W3,RAMP_W4PLUS)))))*(INDEX(ACTIVE_MULT_TABLE,1,1))*(1+SUMPRODUCT(SIGN(((ACT_DOOR_SCOPE="ALL")+(ACT_DOOR_SCOPE="TIER_"&amp;$F218)+(ACT_DOOR_SCOPE=$B218)))*SIGN(((ACT_SKU_SCOPE="ALL")+(ACT_SKU_SCOPE=$G218)))*(ACT_START&lt;=1)*(ACT_END&gt;=1)*IFERROR(ACT_UPLIFT-1,0)))*(1+SUMPRODUCT(SIGN(((ACT_DOOR_SCOPE="ALL")+(ACT_DOOR_SCOPE="TIER_"&amp;$F218)+(ACT_DOOR_SCOPE=$B218)))*SIGN(((ACT_SKU_SCOPE="ALL")+(ACT_SKU_SCOPE=$G218)))*(1&gt;ACT_END)*(ACT_END&gt;0)*IFERROR(ACT_POSTLIFT,0))),0)))</f>
        <v/>
      </c>
      <c r="K218" s="10">
        <f>IF(OR($H218&lt;&gt;"Y",2&lt;$I218),0,IF(SUMPRODUCT(((BULK_ENABLED="Y")*((BULK_TIER="ALL")+(BULK_TIER=$F218))*((BULK_SKU="ALL")+(BULK_SKU=$G218))*(BULK_START&lt;=2)*(BULK_END&gt;=2)))&gt;0,IFERROR(SUMPRODUCT(((BULK_ENABLED="Y")*((BULK_TIER="ALL")+(BULK_TIER=$F218))*((BULK_SKU="ALL")+(BULK_SKU=$G218))*(BULK_START&lt;=2)*(BULK_END&gt;=2))*IFERROR(BULK_VALUE,0))/MAX(1,SUMPRODUCT(((BULK_ENABLED="Y")*((BULK_TIER="ALL")+(BULK_TIER=$F218))*((BULK_SKU="ALL")+(BULK_SKU=$G218))*(BULK_START&lt;=2)*(BULK_END&gt;=2)))),0),ROUND((INDEX(VELOCITY_TABLE,MATCH($F218,TIER_LIST,0),1))*(IF((2-$I218+1)&lt;=0,0,IF((2-$I218+1)=1,RAMP_W1,IF((2-$I218+1)=2,RAMP_W2,IF((2-$I218+1)=3,RAMP_W3,RAMP_W4PLUS)))))*(INDEX(ACTIVE_MULT_TABLE,1,1))*(1+SUMPRODUCT(SIGN(((ACT_DOOR_SCOPE="ALL")+(ACT_DOOR_SCOPE="TIER_"&amp;$F218)+(ACT_DOOR_SCOPE=$B218)))*SIGN(((ACT_SKU_SCOPE="ALL")+(ACT_SKU_SCOPE=$G218)))*(ACT_START&lt;=2)*(ACT_END&gt;=2)*IFERROR(ACT_UPLIFT-1,0)))*(1+SUMPRODUCT(SIGN(((ACT_DOOR_SCOPE="ALL")+(ACT_DOOR_SCOPE="TIER_"&amp;$F218)+(ACT_DOOR_SCOPE=$B218)))*SIGN(((ACT_SKU_SCOPE="ALL")+(ACT_SKU_SCOPE=$G218)))*(2&gt;ACT_END)*(ACT_END&gt;0)*IFERROR(ACT_POSTLIFT,0))),0)))</f>
        <v/>
      </c>
      <c r="L218" s="10">
        <f>IF(OR($H218&lt;&gt;"Y",3&lt;$I218),0,IF(SUMPRODUCT(((BULK_ENABLED="Y")*((BULK_TIER="ALL")+(BULK_TIER=$F218))*((BULK_SKU="ALL")+(BULK_SKU=$G218))*(BULK_START&lt;=3)*(BULK_END&gt;=3)))&gt;0,IFERROR(SUMPRODUCT(((BULK_ENABLED="Y")*((BULK_TIER="ALL")+(BULK_TIER=$F218))*((BULK_SKU="ALL")+(BULK_SKU=$G218))*(BULK_START&lt;=3)*(BULK_END&gt;=3))*IFERROR(BULK_VALUE,0))/MAX(1,SUMPRODUCT(((BULK_ENABLED="Y")*((BULK_TIER="ALL")+(BULK_TIER=$F218))*((BULK_SKU="ALL")+(BULK_SKU=$G218))*(BULK_START&lt;=3)*(BULK_END&gt;=3)))),0),ROUND((INDEX(VELOCITY_TABLE,MATCH($F218,TIER_LIST,0),1))*(IF((3-$I218+1)&lt;=0,0,IF((3-$I218+1)=1,RAMP_W1,IF((3-$I218+1)=2,RAMP_W2,IF((3-$I218+1)=3,RAMP_W3,RAMP_W4PLUS)))))*(INDEX(ACTIVE_MULT_TABLE,1,1))*(1+SUMPRODUCT(SIGN(((ACT_DOOR_SCOPE="ALL")+(ACT_DOOR_SCOPE="TIER_"&amp;$F218)+(ACT_DOOR_SCOPE=$B218)))*SIGN(((ACT_SKU_SCOPE="ALL")+(ACT_SKU_SCOPE=$G218)))*(ACT_START&lt;=3)*(ACT_END&gt;=3)*IFERROR(ACT_UPLIFT-1,0)))*(1+SUMPRODUCT(SIGN(((ACT_DOOR_SCOPE="ALL")+(ACT_DOOR_SCOPE="TIER_"&amp;$F218)+(ACT_DOOR_SCOPE=$B218)))*SIGN(((ACT_SKU_SCOPE="ALL")+(ACT_SKU_SCOPE=$G218)))*(3&gt;ACT_END)*(ACT_END&gt;0)*IFERROR(ACT_POSTLIFT,0))),0)))</f>
        <v/>
      </c>
      <c r="M218" s="10">
        <f>IF(OR($H218&lt;&gt;"Y",4&lt;$I218),0,IF(SUMPRODUCT(((BULK_ENABLED="Y")*((BULK_TIER="ALL")+(BULK_TIER=$F218))*((BULK_SKU="ALL")+(BULK_SKU=$G218))*(BULK_START&lt;=4)*(BULK_END&gt;=4)))&gt;0,IFERROR(SUMPRODUCT(((BULK_ENABLED="Y")*((BULK_TIER="ALL")+(BULK_TIER=$F218))*((BULK_SKU="ALL")+(BULK_SKU=$G218))*(BULK_START&lt;=4)*(BULK_END&gt;=4))*IFERROR(BULK_VALUE,0))/MAX(1,SUMPRODUCT(((BULK_ENABLED="Y")*((BULK_TIER="ALL")+(BULK_TIER=$F218))*((BULK_SKU="ALL")+(BULK_SKU=$G218))*(BULK_START&lt;=4)*(BULK_END&gt;=4)))),0),ROUND((INDEX(VELOCITY_TABLE,MATCH($F218,TIER_LIST,0),1))*(IF((4-$I218+1)&lt;=0,0,IF((4-$I218+1)=1,RAMP_W1,IF((4-$I218+1)=2,RAMP_W2,IF((4-$I218+1)=3,RAMP_W3,RAMP_W4PLUS)))))*(INDEX(ACTIVE_MULT_TABLE,1,1))*(1+SUMPRODUCT(SIGN(((ACT_DOOR_SCOPE="ALL")+(ACT_DOOR_SCOPE="TIER_"&amp;$F218)+(ACT_DOOR_SCOPE=$B218)))*SIGN(((ACT_SKU_SCOPE="ALL")+(ACT_SKU_SCOPE=$G218)))*(ACT_START&lt;=4)*(ACT_END&gt;=4)*IFERROR(ACT_UPLIFT-1,0)))*(1+SUMPRODUCT(SIGN(((ACT_DOOR_SCOPE="ALL")+(ACT_DOOR_SCOPE="TIER_"&amp;$F218)+(ACT_DOOR_SCOPE=$B218)))*SIGN(((ACT_SKU_SCOPE="ALL")+(ACT_SKU_SCOPE=$G218)))*(4&gt;ACT_END)*(ACT_END&gt;0)*IFERROR(ACT_POSTLIFT,0))),0)))</f>
        <v/>
      </c>
      <c r="N218" s="10">
        <f>IF(OR($H218&lt;&gt;"Y",5&lt;$I218),0,IF(SUMPRODUCT(((BULK_ENABLED="Y")*((BULK_TIER="ALL")+(BULK_TIER=$F218))*((BULK_SKU="ALL")+(BULK_SKU=$G218))*(BULK_START&lt;=5)*(BULK_END&gt;=5)))&gt;0,IFERROR(SUMPRODUCT(((BULK_ENABLED="Y")*((BULK_TIER="ALL")+(BULK_TIER=$F218))*((BULK_SKU="ALL")+(BULK_SKU=$G218))*(BULK_START&lt;=5)*(BULK_END&gt;=5))*IFERROR(BULK_VALUE,0))/MAX(1,SUMPRODUCT(((BULK_ENABLED="Y")*((BULK_TIER="ALL")+(BULK_TIER=$F218))*((BULK_SKU="ALL")+(BULK_SKU=$G218))*(BULK_START&lt;=5)*(BULK_END&gt;=5)))),0),ROUND((INDEX(VELOCITY_TABLE,MATCH($F218,TIER_LIST,0),1))*(IF((5-$I218+1)&lt;=0,0,IF((5-$I218+1)=1,RAMP_W1,IF((5-$I218+1)=2,RAMP_W2,IF((5-$I218+1)=3,RAMP_W3,RAMP_W4PLUS)))))*(INDEX(ACTIVE_MULT_TABLE,1,1))*(1+SUMPRODUCT(SIGN(((ACT_DOOR_SCOPE="ALL")+(ACT_DOOR_SCOPE="TIER_"&amp;$F218)+(ACT_DOOR_SCOPE=$B218)))*SIGN(((ACT_SKU_SCOPE="ALL")+(ACT_SKU_SCOPE=$G218)))*(ACT_START&lt;=5)*(ACT_END&gt;=5)*IFERROR(ACT_UPLIFT-1,0)))*(1+SUMPRODUCT(SIGN(((ACT_DOOR_SCOPE="ALL")+(ACT_DOOR_SCOPE="TIER_"&amp;$F218)+(ACT_DOOR_SCOPE=$B218)))*SIGN(((ACT_SKU_SCOPE="ALL")+(ACT_SKU_SCOPE=$G218)))*(5&gt;ACT_END)*(ACT_END&gt;0)*IFERROR(ACT_POSTLIFT,0))),0)))</f>
        <v/>
      </c>
      <c r="O218" s="10">
        <f>IF(OR($H218&lt;&gt;"Y",6&lt;$I218),0,IF(SUMPRODUCT(((BULK_ENABLED="Y")*((BULK_TIER="ALL")+(BULK_TIER=$F218))*((BULK_SKU="ALL")+(BULK_SKU=$G218))*(BULK_START&lt;=6)*(BULK_END&gt;=6)))&gt;0,IFERROR(SUMPRODUCT(((BULK_ENABLED="Y")*((BULK_TIER="ALL")+(BULK_TIER=$F218))*((BULK_SKU="ALL")+(BULK_SKU=$G218))*(BULK_START&lt;=6)*(BULK_END&gt;=6))*IFERROR(BULK_VALUE,0))/MAX(1,SUMPRODUCT(((BULK_ENABLED="Y")*((BULK_TIER="ALL")+(BULK_TIER=$F218))*((BULK_SKU="ALL")+(BULK_SKU=$G218))*(BULK_START&lt;=6)*(BULK_END&gt;=6)))),0),ROUND((INDEX(VELOCITY_TABLE,MATCH($F218,TIER_LIST,0),1))*(IF((6-$I218+1)&lt;=0,0,IF((6-$I218+1)=1,RAMP_W1,IF((6-$I218+1)=2,RAMP_W2,IF((6-$I218+1)=3,RAMP_W3,RAMP_W4PLUS)))))*(INDEX(ACTIVE_MULT_TABLE,1,1))*(1+SUMPRODUCT(SIGN(((ACT_DOOR_SCOPE="ALL")+(ACT_DOOR_SCOPE="TIER_"&amp;$F218)+(ACT_DOOR_SCOPE=$B218)))*SIGN(((ACT_SKU_SCOPE="ALL")+(ACT_SKU_SCOPE=$G218)))*(ACT_START&lt;=6)*(ACT_END&gt;=6)*IFERROR(ACT_UPLIFT-1,0)))*(1+SUMPRODUCT(SIGN(((ACT_DOOR_SCOPE="ALL")+(ACT_DOOR_SCOPE="TIER_"&amp;$F218)+(ACT_DOOR_SCOPE=$B218)))*SIGN(((ACT_SKU_SCOPE="ALL")+(ACT_SKU_SCOPE=$G218)))*(6&gt;ACT_END)*(ACT_END&gt;0)*IFERROR(ACT_POSTLIFT,0))),0)))</f>
        <v/>
      </c>
      <c r="P218" s="10">
        <f>IF(OR($H218&lt;&gt;"Y",7&lt;$I218),0,IF(SUMPRODUCT(((BULK_ENABLED="Y")*((BULK_TIER="ALL")+(BULK_TIER=$F218))*((BULK_SKU="ALL")+(BULK_SKU=$G218))*(BULK_START&lt;=7)*(BULK_END&gt;=7)))&gt;0,IFERROR(SUMPRODUCT(((BULK_ENABLED="Y")*((BULK_TIER="ALL")+(BULK_TIER=$F218))*((BULK_SKU="ALL")+(BULK_SKU=$G218))*(BULK_START&lt;=7)*(BULK_END&gt;=7))*IFERROR(BULK_VALUE,0))/MAX(1,SUMPRODUCT(((BULK_ENABLED="Y")*((BULK_TIER="ALL")+(BULK_TIER=$F218))*((BULK_SKU="ALL")+(BULK_SKU=$G218))*(BULK_START&lt;=7)*(BULK_END&gt;=7)))),0),ROUND((INDEX(VELOCITY_TABLE,MATCH($F218,TIER_LIST,0),1))*(IF((7-$I218+1)&lt;=0,0,IF((7-$I218+1)=1,RAMP_W1,IF((7-$I218+1)=2,RAMP_W2,IF((7-$I218+1)=3,RAMP_W3,RAMP_W4PLUS)))))*(INDEX(ACTIVE_MULT_TABLE,1,1))*(1+SUMPRODUCT(SIGN(((ACT_DOOR_SCOPE="ALL")+(ACT_DOOR_SCOPE="TIER_"&amp;$F218)+(ACT_DOOR_SCOPE=$B218)))*SIGN(((ACT_SKU_SCOPE="ALL")+(ACT_SKU_SCOPE=$G218)))*(ACT_START&lt;=7)*(ACT_END&gt;=7)*IFERROR(ACT_UPLIFT-1,0)))*(1+SUMPRODUCT(SIGN(((ACT_DOOR_SCOPE="ALL")+(ACT_DOOR_SCOPE="TIER_"&amp;$F218)+(ACT_DOOR_SCOPE=$B218)))*SIGN(((ACT_SKU_SCOPE="ALL")+(ACT_SKU_SCOPE=$G218)))*(7&gt;ACT_END)*(ACT_END&gt;0)*IFERROR(ACT_POSTLIFT,0))),0)))</f>
        <v/>
      </c>
      <c r="Q218" s="10">
        <f>IF(OR($H218&lt;&gt;"Y",8&lt;$I218),0,IF(SUMPRODUCT(((BULK_ENABLED="Y")*((BULK_TIER="ALL")+(BULK_TIER=$F218))*((BULK_SKU="ALL")+(BULK_SKU=$G218))*(BULK_START&lt;=8)*(BULK_END&gt;=8)))&gt;0,IFERROR(SUMPRODUCT(((BULK_ENABLED="Y")*((BULK_TIER="ALL")+(BULK_TIER=$F218))*((BULK_SKU="ALL")+(BULK_SKU=$G218))*(BULK_START&lt;=8)*(BULK_END&gt;=8))*IFERROR(BULK_VALUE,0))/MAX(1,SUMPRODUCT(((BULK_ENABLED="Y")*((BULK_TIER="ALL")+(BULK_TIER=$F218))*((BULK_SKU="ALL")+(BULK_SKU=$G218))*(BULK_START&lt;=8)*(BULK_END&gt;=8)))),0),ROUND((INDEX(VELOCITY_TABLE,MATCH($F218,TIER_LIST,0),1))*(IF((8-$I218+1)&lt;=0,0,IF((8-$I218+1)=1,RAMP_W1,IF((8-$I218+1)=2,RAMP_W2,IF((8-$I218+1)=3,RAMP_W3,RAMP_W4PLUS)))))*(INDEX(ACTIVE_MULT_TABLE,1,1))*(1+SUMPRODUCT(SIGN(((ACT_DOOR_SCOPE="ALL")+(ACT_DOOR_SCOPE="TIER_"&amp;$F218)+(ACT_DOOR_SCOPE=$B218)))*SIGN(((ACT_SKU_SCOPE="ALL")+(ACT_SKU_SCOPE=$G218)))*(ACT_START&lt;=8)*(ACT_END&gt;=8)*IFERROR(ACT_UPLIFT-1,0)))*(1+SUMPRODUCT(SIGN(((ACT_DOOR_SCOPE="ALL")+(ACT_DOOR_SCOPE="TIER_"&amp;$F218)+(ACT_DOOR_SCOPE=$B218)))*SIGN(((ACT_SKU_SCOPE="ALL")+(ACT_SKU_SCOPE=$G218)))*(8&gt;ACT_END)*(ACT_END&gt;0)*IFERROR(ACT_POSTLIFT,0))),0)))</f>
        <v/>
      </c>
      <c r="R218" s="10">
        <f>IF(OR($H218&lt;&gt;"Y",9&lt;$I218),0,IF(SUMPRODUCT(((BULK_ENABLED="Y")*((BULK_TIER="ALL")+(BULK_TIER=$F218))*((BULK_SKU="ALL")+(BULK_SKU=$G218))*(BULK_START&lt;=9)*(BULK_END&gt;=9)))&gt;0,IFERROR(SUMPRODUCT(((BULK_ENABLED="Y")*((BULK_TIER="ALL")+(BULK_TIER=$F218))*((BULK_SKU="ALL")+(BULK_SKU=$G218))*(BULK_START&lt;=9)*(BULK_END&gt;=9))*IFERROR(BULK_VALUE,0))/MAX(1,SUMPRODUCT(((BULK_ENABLED="Y")*((BULK_TIER="ALL")+(BULK_TIER=$F218))*((BULK_SKU="ALL")+(BULK_SKU=$G218))*(BULK_START&lt;=9)*(BULK_END&gt;=9)))),0),ROUND((INDEX(VELOCITY_TABLE,MATCH($F218,TIER_LIST,0),1))*(IF((9-$I218+1)&lt;=0,0,IF((9-$I218+1)=1,RAMP_W1,IF((9-$I218+1)=2,RAMP_W2,IF((9-$I218+1)=3,RAMP_W3,RAMP_W4PLUS)))))*(INDEX(ACTIVE_MULT_TABLE,1,1))*(1+SUMPRODUCT(SIGN(((ACT_DOOR_SCOPE="ALL")+(ACT_DOOR_SCOPE="TIER_"&amp;$F218)+(ACT_DOOR_SCOPE=$B218)))*SIGN(((ACT_SKU_SCOPE="ALL")+(ACT_SKU_SCOPE=$G218)))*(ACT_START&lt;=9)*(ACT_END&gt;=9)*IFERROR(ACT_UPLIFT-1,0)))*(1+SUMPRODUCT(SIGN(((ACT_DOOR_SCOPE="ALL")+(ACT_DOOR_SCOPE="TIER_"&amp;$F218)+(ACT_DOOR_SCOPE=$B218)))*SIGN(((ACT_SKU_SCOPE="ALL")+(ACT_SKU_SCOPE=$G218)))*(9&gt;ACT_END)*(ACT_END&gt;0)*IFERROR(ACT_POSTLIFT,0))),0)))</f>
        <v/>
      </c>
      <c r="S218" s="10">
        <f>IF(OR($H218&lt;&gt;"Y",10&lt;$I218),0,IF(SUMPRODUCT(((BULK_ENABLED="Y")*((BULK_TIER="ALL")+(BULK_TIER=$F218))*((BULK_SKU="ALL")+(BULK_SKU=$G218))*(BULK_START&lt;=10)*(BULK_END&gt;=10)))&gt;0,IFERROR(SUMPRODUCT(((BULK_ENABLED="Y")*((BULK_TIER="ALL")+(BULK_TIER=$F218))*((BULK_SKU="ALL")+(BULK_SKU=$G218))*(BULK_START&lt;=10)*(BULK_END&gt;=10))*IFERROR(BULK_VALUE,0))/MAX(1,SUMPRODUCT(((BULK_ENABLED="Y")*((BULK_TIER="ALL")+(BULK_TIER=$F218))*((BULK_SKU="ALL")+(BULK_SKU=$G218))*(BULK_START&lt;=10)*(BULK_END&gt;=10)))),0),ROUND((INDEX(VELOCITY_TABLE,MATCH($F218,TIER_LIST,0),1))*(IF((10-$I218+1)&lt;=0,0,IF((10-$I218+1)=1,RAMP_W1,IF((10-$I218+1)=2,RAMP_W2,IF((10-$I218+1)=3,RAMP_W3,RAMP_W4PLUS)))))*(INDEX(ACTIVE_MULT_TABLE,1,1))*(1+SUMPRODUCT(SIGN(((ACT_DOOR_SCOPE="ALL")+(ACT_DOOR_SCOPE="TIER_"&amp;$F218)+(ACT_DOOR_SCOPE=$B218)))*SIGN(((ACT_SKU_SCOPE="ALL")+(ACT_SKU_SCOPE=$G218)))*(ACT_START&lt;=10)*(ACT_END&gt;=10)*IFERROR(ACT_UPLIFT-1,0)))*(1+SUMPRODUCT(SIGN(((ACT_DOOR_SCOPE="ALL")+(ACT_DOOR_SCOPE="TIER_"&amp;$F218)+(ACT_DOOR_SCOPE=$B218)))*SIGN(((ACT_SKU_SCOPE="ALL")+(ACT_SKU_SCOPE=$G218)))*(10&gt;ACT_END)*(ACT_END&gt;0)*IFERROR(ACT_POSTLIFT,0))),0)))</f>
        <v/>
      </c>
      <c r="T218" s="10">
        <f>IF(OR($H218&lt;&gt;"Y",11&lt;$I218),0,IF(SUMPRODUCT(((BULK_ENABLED="Y")*((BULK_TIER="ALL")+(BULK_TIER=$F218))*((BULK_SKU="ALL")+(BULK_SKU=$G218))*(BULK_START&lt;=11)*(BULK_END&gt;=11)))&gt;0,IFERROR(SUMPRODUCT(((BULK_ENABLED="Y")*((BULK_TIER="ALL")+(BULK_TIER=$F218))*((BULK_SKU="ALL")+(BULK_SKU=$G218))*(BULK_START&lt;=11)*(BULK_END&gt;=11))*IFERROR(BULK_VALUE,0))/MAX(1,SUMPRODUCT(((BULK_ENABLED="Y")*((BULK_TIER="ALL")+(BULK_TIER=$F218))*((BULK_SKU="ALL")+(BULK_SKU=$G218))*(BULK_START&lt;=11)*(BULK_END&gt;=11)))),0),ROUND((INDEX(VELOCITY_TABLE,MATCH($F218,TIER_LIST,0),1))*(IF((11-$I218+1)&lt;=0,0,IF((11-$I218+1)=1,RAMP_W1,IF((11-$I218+1)=2,RAMP_W2,IF((11-$I218+1)=3,RAMP_W3,RAMP_W4PLUS)))))*(INDEX(ACTIVE_MULT_TABLE,1,1))*(1+SUMPRODUCT(SIGN(((ACT_DOOR_SCOPE="ALL")+(ACT_DOOR_SCOPE="TIER_"&amp;$F218)+(ACT_DOOR_SCOPE=$B218)))*SIGN(((ACT_SKU_SCOPE="ALL")+(ACT_SKU_SCOPE=$G218)))*(ACT_START&lt;=11)*(ACT_END&gt;=11)*IFERROR(ACT_UPLIFT-1,0)))*(1+SUMPRODUCT(SIGN(((ACT_DOOR_SCOPE="ALL")+(ACT_DOOR_SCOPE="TIER_"&amp;$F218)+(ACT_DOOR_SCOPE=$B218)))*SIGN(((ACT_SKU_SCOPE="ALL")+(ACT_SKU_SCOPE=$G218)))*(11&gt;ACT_END)*(ACT_END&gt;0)*IFERROR(ACT_POSTLIFT,0))),0)))</f>
        <v/>
      </c>
      <c r="U218" s="10">
        <f>IF(OR($H218&lt;&gt;"Y",12&lt;$I218),0,IF(SUMPRODUCT(((BULK_ENABLED="Y")*((BULK_TIER="ALL")+(BULK_TIER=$F218))*((BULK_SKU="ALL")+(BULK_SKU=$G218))*(BULK_START&lt;=12)*(BULK_END&gt;=12)))&gt;0,IFERROR(SUMPRODUCT(((BULK_ENABLED="Y")*((BULK_TIER="ALL")+(BULK_TIER=$F218))*((BULK_SKU="ALL")+(BULK_SKU=$G218))*(BULK_START&lt;=12)*(BULK_END&gt;=12))*IFERROR(BULK_VALUE,0))/MAX(1,SUMPRODUCT(((BULK_ENABLED="Y")*((BULK_TIER="ALL")+(BULK_TIER=$F218))*((BULK_SKU="ALL")+(BULK_SKU=$G218))*(BULK_START&lt;=12)*(BULK_END&gt;=12)))),0),ROUND((INDEX(VELOCITY_TABLE,MATCH($F218,TIER_LIST,0),1))*(IF((12-$I218+1)&lt;=0,0,IF((12-$I218+1)=1,RAMP_W1,IF((12-$I218+1)=2,RAMP_W2,IF((12-$I218+1)=3,RAMP_W3,RAMP_W4PLUS)))))*(INDEX(ACTIVE_MULT_TABLE,1,1))*(1+SUMPRODUCT(SIGN(((ACT_DOOR_SCOPE="ALL")+(ACT_DOOR_SCOPE="TIER_"&amp;$F218)+(ACT_DOOR_SCOPE=$B218)))*SIGN(((ACT_SKU_SCOPE="ALL")+(ACT_SKU_SCOPE=$G218)))*(ACT_START&lt;=12)*(ACT_END&gt;=12)*IFERROR(ACT_UPLIFT-1,0)))*(1+SUMPRODUCT(SIGN(((ACT_DOOR_SCOPE="ALL")+(ACT_DOOR_SCOPE="TIER_"&amp;$F218)+(ACT_DOOR_SCOPE=$B218)))*SIGN(((ACT_SKU_SCOPE="ALL")+(ACT_SKU_SCOPE=$G218)))*(12&gt;ACT_END)*(ACT_END&gt;0)*IFERROR(ACT_POSTLIFT,0))),0)))</f>
        <v/>
      </c>
      <c r="V218" s="10">
        <f>IF(OR($H218&lt;&gt;"Y",13&lt;$I218),0,IF(SUMPRODUCT(((BULK_ENABLED="Y")*((BULK_TIER="ALL")+(BULK_TIER=$F218))*((BULK_SKU="ALL")+(BULK_SKU=$G218))*(BULK_START&lt;=13)*(BULK_END&gt;=13)))&gt;0,IFERROR(SUMPRODUCT(((BULK_ENABLED="Y")*((BULK_TIER="ALL")+(BULK_TIER=$F218))*((BULK_SKU="ALL")+(BULK_SKU=$G218))*(BULK_START&lt;=13)*(BULK_END&gt;=13))*IFERROR(BULK_VALUE,0))/MAX(1,SUMPRODUCT(((BULK_ENABLED="Y")*((BULK_TIER="ALL")+(BULK_TIER=$F218))*((BULK_SKU="ALL")+(BULK_SKU=$G218))*(BULK_START&lt;=13)*(BULK_END&gt;=13)))),0),ROUND((INDEX(VELOCITY_TABLE,MATCH($F218,TIER_LIST,0),1))*(IF((13-$I218+1)&lt;=0,0,IF((13-$I218+1)=1,RAMP_W1,IF((13-$I218+1)=2,RAMP_W2,IF((13-$I218+1)=3,RAMP_W3,RAMP_W4PLUS)))))*(INDEX(ACTIVE_MULT_TABLE,1,1))*(1+SUMPRODUCT(SIGN(((ACT_DOOR_SCOPE="ALL")+(ACT_DOOR_SCOPE="TIER_"&amp;$F218)+(ACT_DOOR_SCOPE=$B218)))*SIGN(((ACT_SKU_SCOPE="ALL")+(ACT_SKU_SCOPE=$G218)))*(ACT_START&lt;=13)*(ACT_END&gt;=13)*IFERROR(ACT_UPLIFT-1,0)))*(1+SUMPRODUCT(SIGN(((ACT_DOOR_SCOPE="ALL")+(ACT_DOOR_SCOPE="TIER_"&amp;$F218)+(ACT_DOOR_SCOPE=$B218)))*SIGN(((ACT_SKU_SCOPE="ALL")+(ACT_SKU_SCOPE=$G218)))*(13&gt;ACT_END)*(ACT_END&gt;0)*IFERROR(ACT_POSTLIFT,0))),0)))</f>
        <v/>
      </c>
    </row>
    <row r="219">
      <c r="A219" t="inlineStr">
        <is>
          <t>R0215</t>
        </is>
      </c>
      <c r="B219">
        <f>Doors!$A$76</f>
        <v/>
      </c>
      <c r="C219">
        <f>Doors!$C$76</f>
        <v/>
      </c>
      <c r="D219">
        <f>Doors!$B$76</f>
        <v/>
      </c>
      <c r="E219">
        <f>Doors!$E$76</f>
        <v/>
      </c>
      <c r="F219">
        <f>Doors!$F$76</f>
        <v/>
      </c>
      <c r="G219" t="inlineStr">
        <is>
          <t>Pineapple Passion Fruit</t>
        </is>
      </c>
      <c r="H219">
        <f>Doors!$H$76</f>
        <v/>
      </c>
      <c r="I219">
        <f>Doors!$J$76</f>
        <v/>
      </c>
      <c r="J219" s="10">
        <f>IF(OR($H219&lt;&gt;"Y",1&lt;$I219),0,IF(SUMPRODUCT(((BULK_ENABLED="Y")*((BULK_TIER="ALL")+(BULK_TIER=$F219))*((BULK_SKU="ALL")+(BULK_SKU=$G219))*(BULK_START&lt;=1)*(BULK_END&gt;=1)))&gt;0,IFERROR(SUMPRODUCT(((BULK_ENABLED="Y")*((BULK_TIER="ALL")+(BULK_TIER=$F219))*((BULK_SKU="ALL")+(BULK_SKU=$G219))*(BULK_START&lt;=1)*(BULK_END&gt;=1))*IFERROR(BULK_VALUE,0))/MAX(1,SUMPRODUCT(((BULK_ENABLED="Y")*((BULK_TIER="ALL")+(BULK_TIER=$F219))*((BULK_SKU="ALL")+(BULK_SKU=$G219))*(BULK_START&lt;=1)*(BULK_END&gt;=1)))),0),ROUND((INDEX(VELOCITY_TABLE,MATCH($F219,TIER_LIST,0),2))*(IF((1-$I219+1)&lt;=0,0,IF((1-$I219+1)=1,RAMP_W1,IF((1-$I219+1)=2,RAMP_W2,IF((1-$I219+1)=3,RAMP_W3,RAMP_W4PLUS)))))*(INDEX(ACTIVE_MULT_TABLE,2,1))*(1+SUMPRODUCT(SIGN(((ACT_DOOR_SCOPE="ALL")+(ACT_DOOR_SCOPE="TIER_"&amp;$F219)+(ACT_DOOR_SCOPE=$B219)))*SIGN(((ACT_SKU_SCOPE="ALL")+(ACT_SKU_SCOPE=$G219)))*(ACT_START&lt;=1)*(ACT_END&gt;=1)*IFERROR(ACT_UPLIFT-1,0)))*(1+SUMPRODUCT(SIGN(((ACT_DOOR_SCOPE="ALL")+(ACT_DOOR_SCOPE="TIER_"&amp;$F219)+(ACT_DOOR_SCOPE=$B219)))*SIGN(((ACT_SKU_SCOPE="ALL")+(ACT_SKU_SCOPE=$G219)))*(1&gt;ACT_END)*(ACT_END&gt;0)*IFERROR(ACT_POSTLIFT,0))),0)))</f>
        <v/>
      </c>
      <c r="K219" s="10">
        <f>IF(OR($H219&lt;&gt;"Y",2&lt;$I219),0,IF(SUMPRODUCT(((BULK_ENABLED="Y")*((BULK_TIER="ALL")+(BULK_TIER=$F219))*((BULK_SKU="ALL")+(BULK_SKU=$G219))*(BULK_START&lt;=2)*(BULK_END&gt;=2)))&gt;0,IFERROR(SUMPRODUCT(((BULK_ENABLED="Y")*((BULK_TIER="ALL")+(BULK_TIER=$F219))*((BULK_SKU="ALL")+(BULK_SKU=$G219))*(BULK_START&lt;=2)*(BULK_END&gt;=2))*IFERROR(BULK_VALUE,0))/MAX(1,SUMPRODUCT(((BULK_ENABLED="Y")*((BULK_TIER="ALL")+(BULK_TIER=$F219))*((BULK_SKU="ALL")+(BULK_SKU=$G219))*(BULK_START&lt;=2)*(BULK_END&gt;=2)))),0),ROUND((INDEX(VELOCITY_TABLE,MATCH($F219,TIER_LIST,0),2))*(IF((2-$I219+1)&lt;=0,0,IF((2-$I219+1)=1,RAMP_W1,IF((2-$I219+1)=2,RAMP_W2,IF((2-$I219+1)=3,RAMP_W3,RAMP_W4PLUS)))))*(INDEX(ACTIVE_MULT_TABLE,2,1))*(1+SUMPRODUCT(SIGN(((ACT_DOOR_SCOPE="ALL")+(ACT_DOOR_SCOPE="TIER_"&amp;$F219)+(ACT_DOOR_SCOPE=$B219)))*SIGN(((ACT_SKU_SCOPE="ALL")+(ACT_SKU_SCOPE=$G219)))*(ACT_START&lt;=2)*(ACT_END&gt;=2)*IFERROR(ACT_UPLIFT-1,0)))*(1+SUMPRODUCT(SIGN(((ACT_DOOR_SCOPE="ALL")+(ACT_DOOR_SCOPE="TIER_"&amp;$F219)+(ACT_DOOR_SCOPE=$B219)))*SIGN(((ACT_SKU_SCOPE="ALL")+(ACT_SKU_SCOPE=$G219)))*(2&gt;ACT_END)*(ACT_END&gt;0)*IFERROR(ACT_POSTLIFT,0))),0)))</f>
        <v/>
      </c>
      <c r="L219" s="10">
        <f>IF(OR($H219&lt;&gt;"Y",3&lt;$I219),0,IF(SUMPRODUCT(((BULK_ENABLED="Y")*((BULK_TIER="ALL")+(BULK_TIER=$F219))*((BULK_SKU="ALL")+(BULK_SKU=$G219))*(BULK_START&lt;=3)*(BULK_END&gt;=3)))&gt;0,IFERROR(SUMPRODUCT(((BULK_ENABLED="Y")*((BULK_TIER="ALL")+(BULK_TIER=$F219))*((BULK_SKU="ALL")+(BULK_SKU=$G219))*(BULK_START&lt;=3)*(BULK_END&gt;=3))*IFERROR(BULK_VALUE,0))/MAX(1,SUMPRODUCT(((BULK_ENABLED="Y")*((BULK_TIER="ALL")+(BULK_TIER=$F219))*((BULK_SKU="ALL")+(BULK_SKU=$G219))*(BULK_START&lt;=3)*(BULK_END&gt;=3)))),0),ROUND((INDEX(VELOCITY_TABLE,MATCH($F219,TIER_LIST,0),2))*(IF((3-$I219+1)&lt;=0,0,IF((3-$I219+1)=1,RAMP_W1,IF((3-$I219+1)=2,RAMP_W2,IF((3-$I219+1)=3,RAMP_W3,RAMP_W4PLUS)))))*(INDEX(ACTIVE_MULT_TABLE,2,1))*(1+SUMPRODUCT(SIGN(((ACT_DOOR_SCOPE="ALL")+(ACT_DOOR_SCOPE="TIER_"&amp;$F219)+(ACT_DOOR_SCOPE=$B219)))*SIGN(((ACT_SKU_SCOPE="ALL")+(ACT_SKU_SCOPE=$G219)))*(ACT_START&lt;=3)*(ACT_END&gt;=3)*IFERROR(ACT_UPLIFT-1,0)))*(1+SUMPRODUCT(SIGN(((ACT_DOOR_SCOPE="ALL")+(ACT_DOOR_SCOPE="TIER_"&amp;$F219)+(ACT_DOOR_SCOPE=$B219)))*SIGN(((ACT_SKU_SCOPE="ALL")+(ACT_SKU_SCOPE=$G219)))*(3&gt;ACT_END)*(ACT_END&gt;0)*IFERROR(ACT_POSTLIFT,0))),0)))</f>
        <v/>
      </c>
      <c r="M219" s="10">
        <f>IF(OR($H219&lt;&gt;"Y",4&lt;$I219),0,IF(SUMPRODUCT(((BULK_ENABLED="Y")*((BULK_TIER="ALL")+(BULK_TIER=$F219))*((BULK_SKU="ALL")+(BULK_SKU=$G219))*(BULK_START&lt;=4)*(BULK_END&gt;=4)))&gt;0,IFERROR(SUMPRODUCT(((BULK_ENABLED="Y")*((BULK_TIER="ALL")+(BULK_TIER=$F219))*((BULK_SKU="ALL")+(BULK_SKU=$G219))*(BULK_START&lt;=4)*(BULK_END&gt;=4))*IFERROR(BULK_VALUE,0))/MAX(1,SUMPRODUCT(((BULK_ENABLED="Y")*((BULK_TIER="ALL")+(BULK_TIER=$F219))*((BULK_SKU="ALL")+(BULK_SKU=$G219))*(BULK_START&lt;=4)*(BULK_END&gt;=4)))),0),ROUND((INDEX(VELOCITY_TABLE,MATCH($F219,TIER_LIST,0),2))*(IF((4-$I219+1)&lt;=0,0,IF((4-$I219+1)=1,RAMP_W1,IF((4-$I219+1)=2,RAMP_W2,IF((4-$I219+1)=3,RAMP_W3,RAMP_W4PLUS)))))*(INDEX(ACTIVE_MULT_TABLE,2,1))*(1+SUMPRODUCT(SIGN(((ACT_DOOR_SCOPE="ALL")+(ACT_DOOR_SCOPE="TIER_"&amp;$F219)+(ACT_DOOR_SCOPE=$B219)))*SIGN(((ACT_SKU_SCOPE="ALL")+(ACT_SKU_SCOPE=$G219)))*(ACT_START&lt;=4)*(ACT_END&gt;=4)*IFERROR(ACT_UPLIFT-1,0)))*(1+SUMPRODUCT(SIGN(((ACT_DOOR_SCOPE="ALL")+(ACT_DOOR_SCOPE="TIER_"&amp;$F219)+(ACT_DOOR_SCOPE=$B219)))*SIGN(((ACT_SKU_SCOPE="ALL")+(ACT_SKU_SCOPE=$G219)))*(4&gt;ACT_END)*(ACT_END&gt;0)*IFERROR(ACT_POSTLIFT,0))),0)))</f>
        <v/>
      </c>
      <c r="N219" s="10">
        <f>IF(OR($H219&lt;&gt;"Y",5&lt;$I219),0,IF(SUMPRODUCT(((BULK_ENABLED="Y")*((BULK_TIER="ALL")+(BULK_TIER=$F219))*((BULK_SKU="ALL")+(BULK_SKU=$G219))*(BULK_START&lt;=5)*(BULK_END&gt;=5)))&gt;0,IFERROR(SUMPRODUCT(((BULK_ENABLED="Y")*((BULK_TIER="ALL")+(BULK_TIER=$F219))*((BULK_SKU="ALL")+(BULK_SKU=$G219))*(BULK_START&lt;=5)*(BULK_END&gt;=5))*IFERROR(BULK_VALUE,0))/MAX(1,SUMPRODUCT(((BULK_ENABLED="Y")*((BULK_TIER="ALL")+(BULK_TIER=$F219))*((BULK_SKU="ALL")+(BULK_SKU=$G219))*(BULK_START&lt;=5)*(BULK_END&gt;=5)))),0),ROUND((INDEX(VELOCITY_TABLE,MATCH($F219,TIER_LIST,0),2))*(IF((5-$I219+1)&lt;=0,0,IF((5-$I219+1)=1,RAMP_W1,IF((5-$I219+1)=2,RAMP_W2,IF((5-$I219+1)=3,RAMP_W3,RAMP_W4PLUS)))))*(INDEX(ACTIVE_MULT_TABLE,2,1))*(1+SUMPRODUCT(SIGN(((ACT_DOOR_SCOPE="ALL")+(ACT_DOOR_SCOPE="TIER_"&amp;$F219)+(ACT_DOOR_SCOPE=$B219)))*SIGN(((ACT_SKU_SCOPE="ALL")+(ACT_SKU_SCOPE=$G219)))*(ACT_START&lt;=5)*(ACT_END&gt;=5)*IFERROR(ACT_UPLIFT-1,0)))*(1+SUMPRODUCT(SIGN(((ACT_DOOR_SCOPE="ALL")+(ACT_DOOR_SCOPE="TIER_"&amp;$F219)+(ACT_DOOR_SCOPE=$B219)))*SIGN(((ACT_SKU_SCOPE="ALL")+(ACT_SKU_SCOPE=$G219)))*(5&gt;ACT_END)*(ACT_END&gt;0)*IFERROR(ACT_POSTLIFT,0))),0)))</f>
        <v/>
      </c>
      <c r="O219" s="10">
        <f>IF(OR($H219&lt;&gt;"Y",6&lt;$I219),0,IF(SUMPRODUCT(((BULK_ENABLED="Y")*((BULK_TIER="ALL")+(BULK_TIER=$F219))*((BULK_SKU="ALL")+(BULK_SKU=$G219))*(BULK_START&lt;=6)*(BULK_END&gt;=6)))&gt;0,IFERROR(SUMPRODUCT(((BULK_ENABLED="Y")*((BULK_TIER="ALL")+(BULK_TIER=$F219))*((BULK_SKU="ALL")+(BULK_SKU=$G219))*(BULK_START&lt;=6)*(BULK_END&gt;=6))*IFERROR(BULK_VALUE,0))/MAX(1,SUMPRODUCT(((BULK_ENABLED="Y")*((BULK_TIER="ALL")+(BULK_TIER=$F219))*((BULK_SKU="ALL")+(BULK_SKU=$G219))*(BULK_START&lt;=6)*(BULK_END&gt;=6)))),0),ROUND((INDEX(VELOCITY_TABLE,MATCH($F219,TIER_LIST,0),2))*(IF((6-$I219+1)&lt;=0,0,IF((6-$I219+1)=1,RAMP_W1,IF((6-$I219+1)=2,RAMP_W2,IF((6-$I219+1)=3,RAMP_W3,RAMP_W4PLUS)))))*(INDEX(ACTIVE_MULT_TABLE,2,1))*(1+SUMPRODUCT(SIGN(((ACT_DOOR_SCOPE="ALL")+(ACT_DOOR_SCOPE="TIER_"&amp;$F219)+(ACT_DOOR_SCOPE=$B219)))*SIGN(((ACT_SKU_SCOPE="ALL")+(ACT_SKU_SCOPE=$G219)))*(ACT_START&lt;=6)*(ACT_END&gt;=6)*IFERROR(ACT_UPLIFT-1,0)))*(1+SUMPRODUCT(SIGN(((ACT_DOOR_SCOPE="ALL")+(ACT_DOOR_SCOPE="TIER_"&amp;$F219)+(ACT_DOOR_SCOPE=$B219)))*SIGN(((ACT_SKU_SCOPE="ALL")+(ACT_SKU_SCOPE=$G219)))*(6&gt;ACT_END)*(ACT_END&gt;0)*IFERROR(ACT_POSTLIFT,0))),0)))</f>
        <v/>
      </c>
      <c r="P219" s="10">
        <f>IF(OR($H219&lt;&gt;"Y",7&lt;$I219),0,IF(SUMPRODUCT(((BULK_ENABLED="Y")*((BULK_TIER="ALL")+(BULK_TIER=$F219))*((BULK_SKU="ALL")+(BULK_SKU=$G219))*(BULK_START&lt;=7)*(BULK_END&gt;=7)))&gt;0,IFERROR(SUMPRODUCT(((BULK_ENABLED="Y")*((BULK_TIER="ALL")+(BULK_TIER=$F219))*((BULK_SKU="ALL")+(BULK_SKU=$G219))*(BULK_START&lt;=7)*(BULK_END&gt;=7))*IFERROR(BULK_VALUE,0))/MAX(1,SUMPRODUCT(((BULK_ENABLED="Y")*((BULK_TIER="ALL")+(BULK_TIER=$F219))*((BULK_SKU="ALL")+(BULK_SKU=$G219))*(BULK_START&lt;=7)*(BULK_END&gt;=7)))),0),ROUND((INDEX(VELOCITY_TABLE,MATCH($F219,TIER_LIST,0),2))*(IF((7-$I219+1)&lt;=0,0,IF((7-$I219+1)=1,RAMP_W1,IF((7-$I219+1)=2,RAMP_W2,IF((7-$I219+1)=3,RAMP_W3,RAMP_W4PLUS)))))*(INDEX(ACTIVE_MULT_TABLE,2,1))*(1+SUMPRODUCT(SIGN(((ACT_DOOR_SCOPE="ALL")+(ACT_DOOR_SCOPE="TIER_"&amp;$F219)+(ACT_DOOR_SCOPE=$B219)))*SIGN(((ACT_SKU_SCOPE="ALL")+(ACT_SKU_SCOPE=$G219)))*(ACT_START&lt;=7)*(ACT_END&gt;=7)*IFERROR(ACT_UPLIFT-1,0)))*(1+SUMPRODUCT(SIGN(((ACT_DOOR_SCOPE="ALL")+(ACT_DOOR_SCOPE="TIER_"&amp;$F219)+(ACT_DOOR_SCOPE=$B219)))*SIGN(((ACT_SKU_SCOPE="ALL")+(ACT_SKU_SCOPE=$G219)))*(7&gt;ACT_END)*(ACT_END&gt;0)*IFERROR(ACT_POSTLIFT,0))),0)))</f>
        <v/>
      </c>
      <c r="Q219" s="10">
        <f>IF(OR($H219&lt;&gt;"Y",8&lt;$I219),0,IF(SUMPRODUCT(((BULK_ENABLED="Y")*((BULK_TIER="ALL")+(BULK_TIER=$F219))*((BULK_SKU="ALL")+(BULK_SKU=$G219))*(BULK_START&lt;=8)*(BULK_END&gt;=8)))&gt;0,IFERROR(SUMPRODUCT(((BULK_ENABLED="Y")*((BULK_TIER="ALL")+(BULK_TIER=$F219))*((BULK_SKU="ALL")+(BULK_SKU=$G219))*(BULK_START&lt;=8)*(BULK_END&gt;=8))*IFERROR(BULK_VALUE,0))/MAX(1,SUMPRODUCT(((BULK_ENABLED="Y")*((BULK_TIER="ALL")+(BULK_TIER=$F219))*((BULK_SKU="ALL")+(BULK_SKU=$G219))*(BULK_START&lt;=8)*(BULK_END&gt;=8)))),0),ROUND((INDEX(VELOCITY_TABLE,MATCH($F219,TIER_LIST,0),2))*(IF((8-$I219+1)&lt;=0,0,IF((8-$I219+1)=1,RAMP_W1,IF((8-$I219+1)=2,RAMP_W2,IF((8-$I219+1)=3,RAMP_W3,RAMP_W4PLUS)))))*(INDEX(ACTIVE_MULT_TABLE,2,1))*(1+SUMPRODUCT(SIGN(((ACT_DOOR_SCOPE="ALL")+(ACT_DOOR_SCOPE="TIER_"&amp;$F219)+(ACT_DOOR_SCOPE=$B219)))*SIGN(((ACT_SKU_SCOPE="ALL")+(ACT_SKU_SCOPE=$G219)))*(ACT_START&lt;=8)*(ACT_END&gt;=8)*IFERROR(ACT_UPLIFT-1,0)))*(1+SUMPRODUCT(SIGN(((ACT_DOOR_SCOPE="ALL")+(ACT_DOOR_SCOPE="TIER_"&amp;$F219)+(ACT_DOOR_SCOPE=$B219)))*SIGN(((ACT_SKU_SCOPE="ALL")+(ACT_SKU_SCOPE=$G219)))*(8&gt;ACT_END)*(ACT_END&gt;0)*IFERROR(ACT_POSTLIFT,0))),0)))</f>
        <v/>
      </c>
      <c r="R219" s="10">
        <f>IF(OR($H219&lt;&gt;"Y",9&lt;$I219),0,IF(SUMPRODUCT(((BULK_ENABLED="Y")*((BULK_TIER="ALL")+(BULK_TIER=$F219))*((BULK_SKU="ALL")+(BULK_SKU=$G219))*(BULK_START&lt;=9)*(BULK_END&gt;=9)))&gt;0,IFERROR(SUMPRODUCT(((BULK_ENABLED="Y")*((BULK_TIER="ALL")+(BULK_TIER=$F219))*((BULK_SKU="ALL")+(BULK_SKU=$G219))*(BULK_START&lt;=9)*(BULK_END&gt;=9))*IFERROR(BULK_VALUE,0))/MAX(1,SUMPRODUCT(((BULK_ENABLED="Y")*((BULK_TIER="ALL")+(BULK_TIER=$F219))*((BULK_SKU="ALL")+(BULK_SKU=$G219))*(BULK_START&lt;=9)*(BULK_END&gt;=9)))),0),ROUND((INDEX(VELOCITY_TABLE,MATCH($F219,TIER_LIST,0),2))*(IF((9-$I219+1)&lt;=0,0,IF((9-$I219+1)=1,RAMP_W1,IF((9-$I219+1)=2,RAMP_W2,IF((9-$I219+1)=3,RAMP_W3,RAMP_W4PLUS)))))*(INDEX(ACTIVE_MULT_TABLE,2,1))*(1+SUMPRODUCT(SIGN(((ACT_DOOR_SCOPE="ALL")+(ACT_DOOR_SCOPE="TIER_"&amp;$F219)+(ACT_DOOR_SCOPE=$B219)))*SIGN(((ACT_SKU_SCOPE="ALL")+(ACT_SKU_SCOPE=$G219)))*(ACT_START&lt;=9)*(ACT_END&gt;=9)*IFERROR(ACT_UPLIFT-1,0)))*(1+SUMPRODUCT(SIGN(((ACT_DOOR_SCOPE="ALL")+(ACT_DOOR_SCOPE="TIER_"&amp;$F219)+(ACT_DOOR_SCOPE=$B219)))*SIGN(((ACT_SKU_SCOPE="ALL")+(ACT_SKU_SCOPE=$G219)))*(9&gt;ACT_END)*(ACT_END&gt;0)*IFERROR(ACT_POSTLIFT,0))),0)))</f>
        <v/>
      </c>
      <c r="S219" s="10">
        <f>IF(OR($H219&lt;&gt;"Y",10&lt;$I219),0,IF(SUMPRODUCT(((BULK_ENABLED="Y")*((BULK_TIER="ALL")+(BULK_TIER=$F219))*((BULK_SKU="ALL")+(BULK_SKU=$G219))*(BULK_START&lt;=10)*(BULK_END&gt;=10)))&gt;0,IFERROR(SUMPRODUCT(((BULK_ENABLED="Y")*((BULK_TIER="ALL")+(BULK_TIER=$F219))*((BULK_SKU="ALL")+(BULK_SKU=$G219))*(BULK_START&lt;=10)*(BULK_END&gt;=10))*IFERROR(BULK_VALUE,0))/MAX(1,SUMPRODUCT(((BULK_ENABLED="Y")*((BULK_TIER="ALL")+(BULK_TIER=$F219))*((BULK_SKU="ALL")+(BULK_SKU=$G219))*(BULK_START&lt;=10)*(BULK_END&gt;=10)))),0),ROUND((INDEX(VELOCITY_TABLE,MATCH($F219,TIER_LIST,0),2))*(IF((10-$I219+1)&lt;=0,0,IF((10-$I219+1)=1,RAMP_W1,IF((10-$I219+1)=2,RAMP_W2,IF((10-$I219+1)=3,RAMP_W3,RAMP_W4PLUS)))))*(INDEX(ACTIVE_MULT_TABLE,2,1))*(1+SUMPRODUCT(SIGN(((ACT_DOOR_SCOPE="ALL")+(ACT_DOOR_SCOPE="TIER_"&amp;$F219)+(ACT_DOOR_SCOPE=$B219)))*SIGN(((ACT_SKU_SCOPE="ALL")+(ACT_SKU_SCOPE=$G219)))*(ACT_START&lt;=10)*(ACT_END&gt;=10)*IFERROR(ACT_UPLIFT-1,0)))*(1+SUMPRODUCT(SIGN(((ACT_DOOR_SCOPE="ALL")+(ACT_DOOR_SCOPE="TIER_"&amp;$F219)+(ACT_DOOR_SCOPE=$B219)))*SIGN(((ACT_SKU_SCOPE="ALL")+(ACT_SKU_SCOPE=$G219)))*(10&gt;ACT_END)*(ACT_END&gt;0)*IFERROR(ACT_POSTLIFT,0))),0)))</f>
        <v/>
      </c>
      <c r="T219" s="10">
        <f>IF(OR($H219&lt;&gt;"Y",11&lt;$I219),0,IF(SUMPRODUCT(((BULK_ENABLED="Y")*((BULK_TIER="ALL")+(BULK_TIER=$F219))*((BULK_SKU="ALL")+(BULK_SKU=$G219))*(BULK_START&lt;=11)*(BULK_END&gt;=11)))&gt;0,IFERROR(SUMPRODUCT(((BULK_ENABLED="Y")*((BULK_TIER="ALL")+(BULK_TIER=$F219))*((BULK_SKU="ALL")+(BULK_SKU=$G219))*(BULK_START&lt;=11)*(BULK_END&gt;=11))*IFERROR(BULK_VALUE,0))/MAX(1,SUMPRODUCT(((BULK_ENABLED="Y")*((BULK_TIER="ALL")+(BULK_TIER=$F219))*((BULK_SKU="ALL")+(BULK_SKU=$G219))*(BULK_START&lt;=11)*(BULK_END&gt;=11)))),0),ROUND((INDEX(VELOCITY_TABLE,MATCH($F219,TIER_LIST,0),2))*(IF((11-$I219+1)&lt;=0,0,IF((11-$I219+1)=1,RAMP_W1,IF((11-$I219+1)=2,RAMP_W2,IF((11-$I219+1)=3,RAMP_W3,RAMP_W4PLUS)))))*(INDEX(ACTIVE_MULT_TABLE,2,1))*(1+SUMPRODUCT(SIGN(((ACT_DOOR_SCOPE="ALL")+(ACT_DOOR_SCOPE="TIER_"&amp;$F219)+(ACT_DOOR_SCOPE=$B219)))*SIGN(((ACT_SKU_SCOPE="ALL")+(ACT_SKU_SCOPE=$G219)))*(ACT_START&lt;=11)*(ACT_END&gt;=11)*IFERROR(ACT_UPLIFT-1,0)))*(1+SUMPRODUCT(SIGN(((ACT_DOOR_SCOPE="ALL")+(ACT_DOOR_SCOPE="TIER_"&amp;$F219)+(ACT_DOOR_SCOPE=$B219)))*SIGN(((ACT_SKU_SCOPE="ALL")+(ACT_SKU_SCOPE=$G219)))*(11&gt;ACT_END)*(ACT_END&gt;0)*IFERROR(ACT_POSTLIFT,0))),0)))</f>
        <v/>
      </c>
      <c r="U219" s="10">
        <f>IF(OR($H219&lt;&gt;"Y",12&lt;$I219),0,IF(SUMPRODUCT(((BULK_ENABLED="Y")*((BULK_TIER="ALL")+(BULK_TIER=$F219))*((BULK_SKU="ALL")+(BULK_SKU=$G219))*(BULK_START&lt;=12)*(BULK_END&gt;=12)))&gt;0,IFERROR(SUMPRODUCT(((BULK_ENABLED="Y")*((BULK_TIER="ALL")+(BULK_TIER=$F219))*((BULK_SKU="ALL")+(BULK_SKU=$G219))*(BULK_START&lt;=12)*(BULK_END&gt;=12))*IFERROR(BULK_VALUE,0))/MAX(1,SUMPRODUCT(((BULK_ENABLED="Y")*((BULK_TIER="ALL")+(BULK_TIER=$F219))*((BULK_SKU="ALL")+(BULK_SKU=$G219))*(BULK_START&lt;=12)*(BULK_END&gt;=12)))),0),ROUND((INDEX(VELOCITY_TABLE,MATCH($F219,TIER_LIST,0),2))*(IF((12-$I219+1)&lt;=0,0,IF((12-$I219+1)=1,RAMP_W1,IF((12-$I219+1)=2,RAMP_W2,IF((12-$I219+1)=3,RAMP_W3,RAMP_W4PLUS)))))*(INDEX(ACTIVE_MULT_TABLE,2,1))*(1+SUMPRODUCT(SIGN(((ACT_DOOR_SCOPE="ALL")+(ACT_DOOR_SCOPE="TIER_"&amp;$F219)+(ACT_DOOR_SCOPE=$B219)))*SIGN(((ACT_SKU_SCOPE="ALL")+(ACT_SKU_SCOPE=$G219)))*(ACT_START&lt;=12)*(ACT_END&gt;=12)*IFERROR(ACT_UPLIFT-1,0)))*(1+SUMPRODUCT(SIGN(((ACT_DOOR_SCOPE="ALL")+(ACT_DOOR_SCOPE="TIER_"&amp;$F219)+(ACT_DOOR_SCOPE=$B219)))*SIGN(((ACT_SKU_SCOPE="ALL")+(ACT_SKU_SCOPE=$G219)))*(12&gt;ACT_END)*(ACT_END&gt;0)*IFERROR(ACT_POSTLIFT,0))),0)))</f>
        <v/>
      </c>
      <c r="V219" s="10">
        <f>IF(OR($H219&lt;&gt;"Y",13&lt;$I219),0,IF(SUMPRODUCT(((BULK_ENABLED="Y")*((BULK_TIER="ALL")+(BULK_TIER=$F219))*((BULK_SKU="ALL")+(BULK_SKU=$G219))*(BULK_START&lt;=13)*(BULK_END&gt;=13)))&gt;0,IFERROR(SUMPRODUCT(((BULK_ENABLED="Y")*((BULK_TIER="ALL")+(BULK_TIER=$F219))*((BULK_SKU="ALL")+(BULK_SKU=$G219))*(BULK_START&lt;=13)*(BULK_END&gt;=13))*IFERROR(BULK_VALUE,0))/MAX(1,SUMPRODUCT(((BULK_ENABLED="Y")*((BULK_TIER="ALL")+(BULK_TIER=$F219))*((BULK_SKU="ALL")+(BULK_SKU=$G219))*(BULK_START&lt;=13)*(BULK_END&gt;=13)))),0),ROUND((INDEX(VELOCITY_TABLE,MATCH($F219,TIER_LIST,0),2))*(IF((13-$I219+1)&lt;=0,0,IF((13-$I219+1)=1,RAMP_W1,IF((13-$I219+1)=2,RAMP_W2,IF((13-$I219+1)=3,RAMP_W3,RAMP_W4PLUS)))))*(INDEX(ACTIVE_MULT_TABLE,2,1))*(1+SUMPRODUCT(SIGN(((ACT_DOOR_SCOPE="ALL")+(ACT_DOOR_SCOPE="TIER_"&amp;$F219)+(ACT_DOOR_SCOPE=$B219)))*SIGN(((ACT_SKU_SCOPE="ALL")+(ACT_SKU_SCOPE=$G219)))*(ACT_START&lt;=13)*(ACT_END&gt;=13)*IFERROR(ACT_UPLIFT-1,0)))*(1+SUMPRODUCT(SIGN(((ACT_DOOR_SCOPE="ALL")+(ACT_DOOR_SCOPE="TIER_"&amp;$F219)+(ACT_DOOR_SCOPE=$B219)))*SIGN(((ACT_SKU_SCOPE="ALL")+(ACT_SKU_SCOPE=$G219)))*(13&gt;ACT_END)*(ACT_END&gt;0)*IFERROR(ACT_POSTLIFT,0))),0)))</f>
        <v/>
      </c>
    </row>
    <row r="220">
      <c r="A220" t="inlineStr">
        <is>
          <t>R0216</t>
        </is>
      </c>
      <c r="B220">
        <f>Doors!$A$76</f>
        <v/>
      </c>
      <c r="C220">
        <f>Doors!$C$76</f>
        <v/>
      </c>
      <c r="D220">
        <f>Doors!$B$76</f>
        <v/>
      </c>
      <c r="E220">
        <f>Doors!$E$76</f>
        <v/>
      </c>
      <c r="F220">
        <f>Doors!$F$76</f>
        <v/>
      </c>
      <c r="G220" t="inlineStr">
        <is>
          <t>Raspberry</t>
        </is>
      </c>
      <c r="H220">
        <f>Doors!$I$76</f>
        <v/>
      </c>
      <c r="I220">
        <f>Doors!$J$76</f>
        <v/>
      </c>
      <c r="J220" s="10">
        <f>IF(OR($H220&lt;&gt;"Y",1&lt;$I220),0,IF(SUMPRODUCT(((BULK_ENABLED="Y")*((BULK_TIER="ALL")+(BULK_TIER=$F220))*((BULK_SKU="ALL")+(BULK_SKU=$G220))*(BULK_START&lt;=1)*(BULK_END&gt;=1)))&gt;0,IFERROR(SUMPRODUCT(((BULK_ENABLED="Y")*((BULK_TIER="ALL")+(BULK_TIER=$F220))*((BULK_SKU="ALL")+(BULK_SKU=$G220))*(BULK_START&lt;=1)*(BULK_END&gt;=1))*IFERROR(BULK_VALUE,0))/MAX(1,SUMPRODUCT(((BULK_ENABLED="Y")*((BULK_TIER="ALL")+(BULK_TIER=$F220))*((BULK_SKU="ALL")+(BULK_SKU=$G220))*(BULK_START&lt;=1)*(BULK_END&gt;=1)))),0),ROUND((INDEX(VELOCITY_TABLE,MATCH($F220,TIER_LIST,0),3))*(IF((1-$I220+1)&lt;=0,0,IF((1-$I220+1)=1,RAMP_W1,IF((1-$I220+1)=2,RAMP_W2,IF((1-$I220+1)=3,RAMP_W3,RAMP_W4PLUS)))))*(INDEX(ACTIVE_MULT_TABLE,3,1))*(1+SUMPRODUCT(SIGN(((ACT_DOOR_SCOPE="ALL")+(ACT_DOOR_SCOPE="TIER_"&amp;$F220)+(ACT_DOOR_SCOPE=$B220)))*SIGN(((ACT_SKU_SCOPE="ALL")+(ACT_SKU_SCOPE=$G220)))*(ACT_START&lt;=1)*(ACT_END&gt;=1)*IFERROR(ACT_UPLIFT-1,0)))*(1+SUMPRODUCT(SIGN(((ACT_DOOR_SCOPE="ALL")+(ACT_DOOR_SCOPE="TIER_"&amp;$F220)+(ACT_DOOR_SCOPE=$B220)))*SIGN(((ACT_SKU_SCOPE="ALL")+(ACT_SKU_SCOPE=$G220)))*(1&gt;ACT_END)*(ACT_END&gt;0)*IFERROR(ACT_POSTLIFT,0))),0)))</f>
        <v/>
      </c>
      <c r="K220" s="10">
        <f>IF(OR($H220&lt;&gt;"Y",2&lt;$I220),0,IF(SUMPRODUCT(((BULK_ENABLED="Y")*((BULK_TIER="ALL")+(BULK_TIER=$F220))*((BULK_SKU="ALL")+(BULK_SKU=$G220))*(BULK_START&lt;=2)*(BULK_END&gt;=2)))&gt;0,IFERROR(SUMPRODUCT(((BULK_ENABLED="Y")*((BULK_TIER="ALL")+(BULK_TIER=$F220))*((BULK_SKU="ALL")+(BULK_SKU=$G220))*(BULK_START&lt;=2)*(BULK_END&gt;=2))*IFERROR(BULK_VALUE,0))/MAX(1,SUMPRODUCT(((BULK_ENABLED="Y")*((BULK_TIER="ALL")+(BULK_TIER=$F220))*((BULK_SKU="ALL")+(BULK_SKU=$G220))*(BULK_START&lt;=2)*(BULK_END&gt;=2)))),0),ROUND((INDEX(VELOCITY_TABLE,MATCH($F220,TIER_LIST,0),3))*(IF((2-$I220+1)&lt;=0,0,IF((2-$I220+1)=1,RAMP_W1,IF((2-$I220+1)=2,RAMP_W2,IF((2-$I220+1)=3,RAMP_W3,RAMP_W4PLUS)))))*(INDEX(ACTIVE_MULT_TABLE,3,1))*(1+SUMPRODUCT(SIGN(((ACT_DOOR_SCOPE="ALL")+(ACT_DOOR_SCOPE="TIER_"&amp;$F220)+(ACT_DOOR_SCOPE=$B220)))*SIGN(((ACT_SKU_SCOPE="ALL")+(ACT_SKU_SCOPE=$G220)))*(ACT_START&lt;=2)*(ACT_END&gt;=2)*IFERROR(ACT_UPLIFT-1,0)))*(1+SUMPRODUCT(SIGN(((ACT_DOOR_SCOPE="ALL")+(ACT_DOOR_SCOPE="TIER_"&amp;$F220)+(ACT_DOOR_SCOPE=$B220)))*SIGN(((ACT_SKU_SCOPE="ALL")+(ACT_SKU_SCOPE=$G220)))*(2&gt;ACT_END)*(ACT_END&gt;0)*IFERROR(ACT_POSTLIFT,0))),0)))</f>
        <v/>
      </c>
      <c r="L220" s="10">
        <f>IF(OR($H220&lt;&gt;"Y",3&lt;$I220),0,IF(SUMPRODUCT(((BULK_ENABLED="Y")*((BULK_TIER="ALL")+(BULK_TIER=$F220))*((BULK_SKU="ALL")+(BULK_SKU=$G220))*(BULK_START&lt;=3)*(BULK_END&gt;=3)))&gt;0,IFERROR(SUMPRODUCT(((BULK_ENABLED="Y")*((BULK_TIER="ALL")+(BULK_TIER=$F220))*((BULK_SKU="ALL")+(BULK_SKU=$G220))*(BULK_START&lt;=3)*(BULK_END&gt;=3))*IFERROR(BULK_VALUE,0))/MAX(1,SUMPRODUCT(((BULK_ENABLED="Y")*((BULK_TIER="ALL")+(BULK_TIER=$F220))*((BULK_SKU="ALL")+(BULK_SKU=$G220))*(BULK_START&lt;=3)*(BULK_END&gt;=3)))),0),ROUND((INDEX(VELOCITY_TABLE,MATCH($F220,TIER_LIST,0),3))*(IF((3-$I220+1)&lt;=0,0,IF((3-$I220+1)=1,RAMP_W1,IF((3-$I220+1)=2,RAMP_W2,IF((3-$I220+1)=3,RAMP_W3,RAMP_W4PLUS)))))*(INDEX(ACTIVE_MULT_TABLE,3,1))*(1+SUMPRODUCT(SIGN(((ACT_DOOR_SCOPE="ALL")+(ACT_DOOR_SCOPE="TIER_"&amp;$F220)+(ACT_DOOR_SCOPE=$B220)))*SIGN(((ACT_SKU_SCOPE="ALL")+(ACT_SKU_SCOPE=$G220)))*(ACT_START&lt;=3)*(ACT_END&gt;=3)*IFERROR(ACT_UPLIFT-1,0)))*(1+SUMPRODUCT(SIGN(((ACT_DOOR_SCOPE="ALL")+(ACT_DOOR_SCOPE="TIER_"&amp;$F220)+(ACT_DOOR_SCOPE=$B220)))*SIGN(((ACT_SKU_SCOPE="ALL")+(ACT_SKU_SCOPE=$G220)))*(3&gt;ACT_END)*(ACT_END&gt;0)*IFERROR(ACT_POSTLIFT,0))),0)))</f>
        <v/>
      </c>
      <c r="M220" s="10">
        <f>IF(OR($H220&lt;&gt;"Y",4&lt;$I220),0,IF(SUMPRODUCT(((BULK_ENABLED="Y")*((BULK_TIER="ALL")+(BULK_TIER=$F220))*((BULK_SKU="ALL")+(BULK_SKU=$G220))*(BULK_START&lt;=4)*(BULK_END&gt;=4)))&gt;0,IFERROR(SUMPRODUCT(((BULK_ENABLED="Y")*((BULK_TIER="ALL")+(BULK_TIER=$F220))*((BULK_SKU="ALL")+(BULK_SKU=$G220))*(BULK_START&lt;=4)*(BULK_END&gt;=4))*IFERROR(BULK_VALUE,0))/MAX(1,SUMPRODUCT(((BULK_ENABLED="Y")*((BULK_TIER="ALL")+(BULK_TIER=$F220))*((BULK_SKU="ALL")+(BULK_SKU=$G220))*(BULK_START&lt;=4)*(BULK_END&gt;=4)))),0),ROUND((INDEX(VELOCITY_TABLE,MATCH($F220,TIER_LIST,0),3))*(IF((4-$I220+1)&lt;=0,0,IF((4-$I220+1)=1,RAMP_W1,IF((4-$I220+1)=2,RAMP_W2,IF((4-$I220+1)=3,RAMP_W3,RAMP_W4PLUS)))))*(INDEX(ACTIVE_MULT_TABLE,3,1))*(1+SUMPRODUCT(SIGN(((ACT_DOOR_SCOPE="ALL")+(ACT_DOOR_SCOPE="TIER_"&amp;$F220)+(ACT_DOOR_SCOPE=$B220)))*SIGN(((ACT_SKU_SCOPE="ALL")+(ACT_SKU_SCOPE=$G220)))*(ACT_START&lt;=4)*(ACT_END&gt;=4)*IFERROR(ACT_UPLIFT-1,0)))*(1+SUMPRODUCT(SIGN(((ACT_DOOR_SCOPE="ALL")+(ACT_DOOR_SCOPE="TIER_"&amp;$F220)+(ACT_DOOR_SCOPE=$B220)))*SIGN(((ACT_SKU_SCOPE="ALL")+(ACT_SKU_SCOPE=$G220)))*(4&gt;ACT_END)*(ACT_END&gt;0)*IFERROR(ACT_POSTLIFT,0))),0)))</f>
        <v/>
      </c>
      <c r="N220" s="10">
        <f>IF(OR($H220&lt;&gt;"Y",5&lt;$I220),0,IF(SUMPRODUCT(((BULK_ENABLED="Y")*((BULK_TIER="ALL")+(BULK_TIER=$F220))*((BULK_SKU="ALL")+(BULK_SKU=$G220))*(BULK_START&lt;=5)*(BULK_END&gt;=5)))&gt;0,IFERROR(SUMPRODUCT(((BULK_ENABLED="Y")*((BULK_TIER="ALL")+(BULK_TIER=$F220))*((BULK_SKU="ALL")+(BULK_SKU=$G220))*(BULK_START&lt;=5)*(BULK_END&gt;=5))*IFERROR(BULK_VALUE,0))/MAX(1,SUMPRODUCT(((BULK_ENABLED="Y")*((BULK_TIER="ALL")+(BULK_TIER=$F220))*((BULK_SKU="ALL")+(BULK_SKU=$G220))*(BULK_START&lt;=5)*(BULK_END&gt;=5)))),0),ROUND((INDEX(VELOCITY_TABLE,MATCH($F220,TIER_LIST,0),3))*(IF((5-$I220+1)&lt;=0,0,IF((5-$I220+1)=1,RAMP_W1,IF((5-$I220+1)=2,RAMP_W2,IF((5-$I220+1)=3,RAMP_W3,RAMP_W4PLUS)))))*(INDEX(ACTIVE_MULT_TABLE,3,1))*(1+SUMPRODUCT(SIGN(((ACT_DOOR_SCOPE="ALL")+(ACT_DOOR_SCOPE="TIER_"&amp;$F220)+(ACT_DOOR_SCOPE=$B220)))*SIGN(((ACT_SKU_SCOPE="ALL")+(ACT_SKU_SCOPE=$G220)))*(ACT_START&lt;=5)*(ACT_END&gt;=5)*IFERROR(ACT_UPLIFT-1,0)))*(1+SUMPRODUCT(SIGN(((ACT_DOOR_SCOPE="ALL")+(ACT_DOOR_SCOPE="TIER_"&amp;$F220)+(ACT_DOOR_SCOPE=$B220)))*SIGN(((ACT_SKU_SCOPE="ALL")+(ACT_SKU_SCOPE=$G220)))*(5&gt;ACT_END)*(ACT_END&gt;0)*IFERROR(ACT_POSTLIFT,0))),0)))</f>
        <v/>
      </c>
      <c r="O220" s="10">
        <f>IF(OR($H220&lt;&gt;"Y",6&lt;$I220),0,IF(SUMPRODUCT(((BULK_ENABLED="Y")*((BULK_TIER="ALL")+(BULK_TIER=$F220))*((BULK_SKU="ALL")+(BULK_SKU=$G220))*(BULK_START&lt;=6)*(BULK_END&gt;=6)))&gt;0,IFERROR(SUMPRODUCT(((BULK_ENABLED="Y")*((BULK_TIER="ALL")+(BULK_TIER=$F220))*((BULK_SKU="ALL")+(BULK_SKU=$G220))*(BULK_START&lt;=6)*(BULK_END&gt;=6))*IFERROR(BULK_VALUE,0))/MAX(1,SUMPRODUCT(((BULK_ENABLED="Y")*((BULK_TIER="ALL")+(BULK_TIER=$F220))*((BULK_SKU="ALL")+(BULK_SKU=$G220))*(BULK_START&lt;=6)*(BULK_END&gt;=6)))),0),ROUND((INDEX(VELOCITY_TABLE,MATCH($F220,TIER_LIST,0),3))*(IF((6-$I220+1)&lt;=0,0,IF((6-$I220+1)=1,RAMP_W1,IF((6-$I220+1)=2,RAMP_W2,IF((6-$I220+1)=3,RAMP_W3,RAMP_W4PLUS)))))*(INDEX(ACTIVE_MULT_TABLE,3,1))*(1+SUMPRODUCT(SIGN(((ACT_DOOR_SCOPE="ALL")+(ACT_DOOR_SCOPE="TIER_"&amp;$F220)+(ACT_DOOR_SCOPE=$B220)))*SIGN(((ACT_SKU_SCOPE="ALL")+(ACT_SKU_SCOPE=$G220)))*(ACT_START&lt;=6)*(ACT_END&gt;=6)*IFERROR(ACT_UPLIFT-1,0)))*(1+SUMPRODUCT(SIGN(((ACT_DOOR_SCOPE="ALL")+(ACT_DOOR_SCOPE="TIER_"&amp;$F220)+(ACT_DOOR_SCOPE=$B220)))*SIGN(((ACT_SKU_SCOPE="ALL")+(ACT_SKU_SCOPE=$G220)))*(6&gt;ACT_END)*(ACT_END&gt;0)*IFERROR(ACT_POSTLIFT,0))),0)))</f>
        <v/>
      </c>
      <c r="P220" s="10">
        <f>IF(OR($H220&lt;&gt;"Y",7&lt;$I220),0,IF(SUMPRODUCT(((BULK_ENABLED="Y")*((BULK_TIER="ALL")+(BULK_TIER=$F220))*((BULK_SKU="ALL")+(BULK_SKU=$G220))*(BULK_START&lt;=7)*(BULK_END&gt;=7)))&gt;0,IFERROR(SUMPRODUCT(((BULK_ENABLED="Y")*((BULK_TIER="ALL")+(BULK_TIER=$F220))*((BULK_SKU="ALL")+(BULK_SKU=$G220))*(BULK_START&lt;=7)*(BULK_END&gt;=7))*IFERROR(BULK_VALUE,0))/MAX(1,SUMPRODUCT(((BULK_ENABLED="Y")*((BULK_TIER="ALL")+(BULK_TIER=$F220))*((BULK_SKU="ALL")+(BULK_SKU=$G220))*(BULK_START&lt;=7)*(BULK_END&gt;=7)))),0),ROUND((INDEX(VELOCITY_TABLE,MATCH($F220,TIER_LIST,0),3))*(IF((7-$I220+1)&lt;=0,0,IF((7-$I220+1)=1,RAMP_W1,IF((7-$I220+1)=2,RAMP_W2,IF((7-$I220+1)=3,RAMP_W3,RAMP_W4PLUS)))))*(INDEX(ACTIVE_MULT_TABLE,3,1))*(1+SUMPRODUCT(SIGN(((ACT_DOOR_SCOPE="ALL")+(ACT_DOOR_SCOPE="TIER_"&amp;$F220)+(ACT_DOOR_SCOPE=$B220)))*SIGN(((ACT_SKU_SCOPE="ALL")+(ACT_SKU_SCOPE=$G220)))*(ACT_START&lt;=7)*(ACT_END&gt;=7)*IFERROR(ACT_UPLIFT-1,0)))*(1+SUMPRODUCT(SIGN(((ACT_DOOR_SCOPE="ALL")+(ACT_DOOR_SCOPE="TIER_"&amp;$F220)+(ACT_DOOR_SCOPE=$B220)))*SIGN(((ACT_SKU_SCOPE="ALL")+(ACT_SKU_SCOPE=$G220)))*(7&gt;ACT_END)*(ACT_END&gt;0)*IFERROR(ACT_POSTLIFT,0))),0)))</f>
        <v/>
      </c>
      <c r="Q220" s="10">
        <f>IF(OR($H220&lt;&gt;"Y",8&lt;$I220),0,IF(SUMPRODUCT(((BULK_ENABLED="Y")*((BULK_TIER="ALL")+(BULK_TIER=$F220))*((BULK_SKU="ALL")+(BULK_SKU=$G220))*(BULK_START&lt;=8)*(BULK_END&gt;=8)))&gt;0,IFERROR(SUMPRODUCT(((BULK_ENABLED="Y")*((BULK_TIER="ALL")+(BULK_TIER=$F220))*((BULK_SKU="ALL")+(BULK_SKU=$G220))*(BULK_START&lt;=8)*(BULK_END&gt;=8))*IFERROR(BULK_VALUE,0))/MAX(1,SUMPRODUCT(((BULK_ENABLED="Y")*((BULK_TIER="ALL")+(BULK_TIER=$F220))*((BULK_SKU="ALL")+(BULK_SKU=$G220))*(BULK_START&lt;=8)*(BULK_END&gt;=8)))),0),ROUND((INDEX(VELOCITY_TABLE,MATCH($F220,TIER_LIST,0),3))*(IF((8-$I220+1)&lt;=0,0,IF((8-$I220+1)=1,RAMP_W1,IF((8-$I220+1)=2,RAMP_W2,IF((8-$I220+1)=3,RAMP_W3,RAMP_W4PLUS)))))*(INDEX(ACTIVE_MULT_TABLE,3,1))*(1+SUMPRODUCT(SIGN(((ACT_DOOR_SCOPE="ALL")+(ACT_DOOR_SCOPE="TIER_"&amp;$F220)+(ACT_DOOR_SCOPE=$B220)))*SIGN(((ACT_SKU_SCOPE="ALL")+(ACT_SKU_SCOPE=$G220)))*(ACT_START&lt;=8)*(ACT_END&gt;=8)*IFERROR(ACT_UPLIFT-1,0)))*(1+SUMPRODUCT(SIGN(((ACT_DOOR_SCOPE="ALL")+(ACT_DOOR_SCOPE="TIER_"&amp;$F220)+(ACT_DOOR_SCOPE=$B220)))*SIGN(((ACT_SKU_SCOPE="ALL")+(ACT_SKU_SCOPE=$G220)))*(8&gt;ACT_END)*(ACT_END&gt;0)*IFERROR(ACT_POSTLIFT,0))),0)))</f>
        <v/>
      </c>
      <c r="R220" s="10">
        <f>IF(OR($H220&lt;&gt;"Y",9&lt;$I220),0,IF(SUMPRODUCT(((BULK_ENABLED="Y")*((BULK_TIER="ALL")+(BULK_TIER=$F220))*((BULK_SKU="ALL")+(BULK_SKU=$G220))*(BULK_START&lt;=9)*(BULK_END&gt;=9)))&gt;0,IFERROR(SUMPRODUCT(((BULK_ENABLED="Y")*((BULK_TIER="ALL")+(BULK_TIER=$F220))*((BULK_SKU="ALL")+(BULK_SKU=$G220))*(BULK_START&lt;=9)*(BULK_END&gt;=9))*IFERROR(BULK_VALUE,0))/MAX(1,SUMPRODUCT(((BULK_ENABLED="Y")*((BULK_TIER="ALL")+(BULK_TIER=$F220))*((BULK_SKU="ALL")+(BULK_SKU=$G220))*(BULK_START&lt;=9)*(BULK_END&gt;=9)))),0),ROUND((INDEX(VELOCITY_TABLE,MATCH($F220,TIER_LIST,0),3))*(IF((9-$I220+1)&lt;=0,0,IF((9-$I220+1)=1,RAMP_W1,IF((9-$I220+1)=2,RAMP_W2,IF((9-$I220+1)=3,RAMP_W3,RAMP_W4PLUS)))))*(INDEX(ACTIVE_MULT_TABLE,3,1))*(1+SUMPRODUCT(SIGN(((ACT_DOOR_SCOPE="ALL")+(ACT_DOOR_SCOPE="TIER_"&amp;$F220)+(ACT_DOOR_SCOPE=$B220)))*SIGN(((ACT_SKU_SCOPE="ALL")+(ACT_SKU_SCOPE=$G220)))*(ACT_START&lt;=9)*(ACT_END&gt;=9)*IFERROR(ACT_UPLIFT-1,0)))*(1+SUMPRODUCT(SIGN(((ACT_DOOR_SCOPE="ALL")+(ACT_DOOR_SCOPE="TIER_"&amp;$F220)+(ACT_DOOR_SCOPE=$B220)))*SIGN(((ACT_SKU_SCOPE="ALL")+(ACT_SKU_SCOPE=$G220)))*(9&gt;ACT_END)*(ACT_END&gt;0)*IFERROR(ACT_POSTLIFT,0))),0)))</f>
        <v/>
      </c>
      <c r="S220" s="10">
        <f>IF(OR($H220&lt;&gt;"Y",10&lt;$I220),0,IF(SUMPRODUCT(((BULK_ENABLED="Y")*((BULK_TIER="ALL")+(BULK_TIER=$F220))*((BULK_SKU="ALL")+(BULK_SKU=$G220))*(BULK_START&lt;=10)*(BULK_END&gt;=10)))&gt;0,IFERROR(SUMPRODUCT(((BULK_ENABLED="Y")*((BULK_TIER="ALL")+(BULK_TIER=$F220))*((BULK_SKU="ALL")+(BULK_SKU=$G220))*(BULK_START&lt;=10)*(BULK_END&gt;=10))*IFERROR(BULK_VALUE,0))/MAX(1,SUMPRODUCT(((BULK_ENABLED="Y")*((BULK_TIER="ALL")+(BULK_TIER=$F220))*((BULK_SKU="ALL")+(BULK_SKU=$G220))*(BULK_START&lt;=10)*(BULK_END&gt;=10)))),0),ROUND((INDEX(VELOCITY_TABLE,MATCH($F220,TIER_LIST,0),3))*(IF((10-$I220+1)&lt;=0,0,IF((10-$I220+1)=1,RAMP_W1,IF((10-$I220+1)=2,RAMP_W2,IF((10-$I220+1)=3,RAMP_W3,RAMP_W4PLUS)))))*(INDEX(ACTIVE_MULT_TABLE,3,1))*(1+SUMPRODUCT(SIGN(((ACT_DOOR_SCOPE="ALL")+(ACT_DOOR_SCOPE="TIER_"&amp;$F220)+(ACT_DOOR_SCOPE=$B220)))*SIGN(((ACT_SKU_SCOPE="ALL")+(ACT_SKU_SCOPE=$G220)))*(ACT_START&lt;=10)*(ACT_END&gt;=10)*IFERROR(ACT_UPLIFT-1,0)))*(1+SUMPRODUCT(SIGN(((ACT_DOOR_SCOPE="ALL")+(ACT_DOOR_SCOPE="TIER_"&amp;$F220)+(ACT_DOOR_SCOPE=$B220)))*SIGN(((ACT_SKU_SCOPE="ALL")+(ACT_SKU_SCOPE=$G220)))*(10&gt;ACT_END)*(ACT_END&gt;0)*IFERROR(ACT_POSTLIFT,0))),0)))</f>
        <v/>
      </c>
      <c r="T220" s="10">
        <f>IF(OR($H220&lt;&gt;"Y",11&lt;$I220),0,IF(SUMPRODUCT(((BULK_ENABLED="Y")*((BULK_TIER="ALL")+(BULK_TIER=$F220))*((BULK_SKU="ALL")+(BULK_SKU=$G220))*(BULK_START&lt;=11)*(BULK_END&gt;=11)))&gt;0,IFERROR(SUMPRODUCT(((BULK_ENABLED="Y")*((BULK_TIER="ALL")+(BULK_TIER=$F220))*((BULK_SKU="ALL")+(BULK_SKU=$G220))*(BULK_START&lt;=11)*(BULK_END&gt;=11))*IFERROR(BULK_VALUE,0))/MAX(1,SUMPRODUCT(((BULK_ENABLED="Y")*((BULK_TIER="ALL")+(BULK_TIER=$F220))*((BULK_SKU="ALL")+(BULK_SKU=$G220))*(BULK_START&lt;=11)*(BULK_END&gt;=11)))),0),ROUND((INDEX(VELOCITY_TABLE,MATCH($F220,TIER_LIST,0),3))*(IF((11-$I220+1)&lt;=0,0,IF((11-$I220+1)=1,RAMP_W1,IF((11-$I220+1)=2,RAMP_W2,IF((11-$I220+1)=3,RAMP_W3,RAMP_W4PLUS)))))*(INDEX(ACTIVE_MULT_TABLE,3,1))*(1+SUMPRODUCT(SIGN(((ACT_DOOR_SCOPE="ALL")+(ACT_DOOR_SCOPE="TIER_"&amp;$F220)+(ACT_DOOR_SCOPE=$B220)))*SIGN(((ACT_SKU_SCOPE="ALL")+(ACT_SKU_SCOPE=$G220)))*(ACT_START&lt;=11)*(ACT_END&gt;=11)*IFERROR(ACT_UPLIFT-1,0)))*(1+SUMPRODUCT(SIGN(((ACT_DOOR_SCOPE="ALL")+(ACT_DOOR_SCOPE="TIER_"&amp;$F220)+(ACT_DOOR_SCOPE=$B220)))*SIGN(((ACT_SKU_SCOPE="ALL")+(ACT_SKU_SCOPE=$G220)))*(11&gt;ACT_END)*(ACT_END&gt;0)*IFERROR(ACT_POSTLIFT,0))),0)))</f>
        <v/>
      </c>
      <c r="U220" s="10">
        <f>IF(OR($H220&lt;&gt;"Y",12&lt;$I220),0,IF(SUMPRODUCT(((BULK_ENABLED="Y")*((BULK_TIER="ALL")+(BULK_TIER=$F220))*((BULK_SKU="ALL")+(BULK_SKU=$G220))*(BULK_START&lt;=12)*(BULK_END&gt;=12)))&gt;0,IFERROR(SUMPRODUCT(((BULK_ENABLED="Y")*((BULK_TIER="ALL")+(BULK_TIER=$F220))*((BULK_SKU="ALL")+(BULK_SKU=$G220))*(BULK_START&lt;=12)*(BULK_END&gt;=12))*IFERROR(BULK_VALUE,0))/MAX(1,SUMPRODUCT(((BULK_ENABLED="Y")*((BULK_TIER="ALL")+(BULK_TIER=$F220))*((BULK_SKU="ALL")+(BULK_SKU=$G220))*(BULK_START&lt;=12)*(BULK_END&gt;=12)))),0),ROUND((INDEX(VELOCITY_TABLE,MATCH($F220,TIER_LIST,0),3))*(IF((12-$I220+1)&lt;=0,0,IF((12-$I220+1)=1,RAMP_W1,IF((12-$I220+1)=2,RAMP_W2,IF((12-$I220+1)=3,RAMP_W3,RAMP_W4PLUS)))))*(INDEX(ACTIVE_MULT_TABLE,3,1))*(1+SUMPRODUCT(SIGN(((ACT_DOOR_SCOPE="ALL")+(ACT_DOOR_SCOPE="TIER_"&amp;$F220)+(ACT_DOOR_SCOPE=$B220)))*SIGN(((ACT_SKU_SCOPE="ALL")+(ACT_SKU_SCOPE=$G220)))*(ACT_START&lt;=12)*(ACT_END&gt;=12)*IFERROR(ACT_UPLIFT-1,0)))*(1+SUMPRODUCT(SIGN(((ACT_DOOR_SCOPE="ALL")+(ACT_DOOR_SCOPE="TIER_"&amp;$F220)+(ACT_DOOR_SCOPE=$B220)))*SIGN(((ACT_SKU_SCOPE="ALL")+(ACT_SKU_SCOPE=$G220)))*(12&gt;ACT_END)*(ACT_END&gt;0)*IFERROR(ACT_POSTLIFT,0))),0)))</f>
        <v/>
      </c>
      <c r="V220" s="10">
        <f>IF(OR($H220&lt;&gt;"Y",13&lt;$I220),0,IF(SUMPRODUCT(((BULK_ENABLED="Y")*((BULK_TIER="ALL")+(BULK_TIER=$F220))*((BULK_SKU="ALL")+(BULK_SKU=$G220))*(BULK_START&lt;=13)*(BULK_END&gt;=13)))&gt;0,IFERROR(SUMPRODUCT(((BULK_ENABLED="Y")*((BULK_TIER="ALL")+(BULK_TIER=$F220))*((BULK_SKU="ALL")+(BULK_SKU=$G220))*(BULK_START&lt;=13)*(BULK_END&gt;=13))*IFERROR(BULK_VALUE,0))/MAX(1,SUMPRODUCT(((BULK_ENABLED="Y")*((BULK_TIER="ALL")+(BULK_TIER=$F220))*((BULK_SKU="ALL")+(BULK_SKU=$G220))*(BULK_START&lt;=13)*(BULK_END&gt;=13)))),0),ROUND((INDEX(VELOCITY_TABLE,MATCH($F220,TIER_LIST,0),3))*(IF((13-$I220+1)&lt;=0,0,IF((13-$I220+1)=1,RAMP_W1,IF((13-$I220+1)=2,RAMP_W2,IF((13-$I220+1)=3,RAMP_W3,RAMP_W4PLUS)))))*(INDEX(ACTIVE_MULT_TABLE,3,1))*(1+SUMPRODUCT(SIGN(((ACT_DOOR_SCOPE="ALL")+(ACT_DOOR_SCOPE="TIER_"&amp;$F220)+(ACT_DOOR_SCOPE=$B220)))*SIGN(((ACT_SKU_SCOPE="ALL")+(ACT_SKU_SCOPE=$G220)))*(ACT_START&lt;=13)*(ACT_END&gt;=13)*IFERROR(ACT_UPLIFT-1,0)))*(1+SUMPRODUCT(SIGN(((ACT_DOOR_SCOPE="ALL")+(ACT_DOOR_SCOPE="TIER_"&amp;$F220)+(ACT_DOOR_SCOPE=$B220)))*SIGN(((ACT_SKU_SCOPE="ALL")+(ACT_SKU_SCOPE=$G220)))*(13&gt;ACT_END)*(ACT_END&gt;0)*IFERROR(ACT_POSTLIFT,0))),0)))</f>
        <v/>
      </c>
    </row>
    <row r="221">
      <c r="A221" t="inlineStr">
        <is>
          <t>R0217</t>
        </is>
      </c>
      <c r="B221">
        <f>Doors!$A$77</f>
        <v/>
      </c>
      <c r="C221">
        <f>Doors!$C$77</f>
        <v/>
      </c>
      <c r="D221">
        <f>Doors!$B$77</f>
        <v/>
      </c>
      <c r="E221">
        <f>Doors!$E$77</f>
        <v/>
      </c>
      <c r="F221">
        <f>Doors!$F$77</f>
        <v/>
      </c>
      <c r="G221" t="inlineStr">
        <is>
          <t>Lime Lemon</t>
        </is>
      </c>
      <c r="H221">
        <f>Doors!$G$77</f>
        <v/>
      </c>
      <c r="I221">
        <f>Doors!$J$77</f>
        <v/>
      </c>
      <c r="J221" s="10">
        <f>IF(OR($H221&lt;&gt;"Y",1&lt;$I221),0,IF(SUMPRODUCT(((BULK_ENABLED="Y")*((BULK_TIER="ALL")+(BULK_TIER=$F221))*((BULK_SKU="ALL")+(BULK_SKU=$G221))*(BULK_START&lt;=1)*(BULK_END&gt;=1)))&gt;0,IFERROR(SUMPRODUCT(((BULK_ENABLED="Y")*((BULK_TIER="ALL")+(BULK_TIER=$F221))*((BULK_SKU="ALL")+(BULK_SKU=$G221))*(BULK_START&lt;=1)*(BULK_END&gt;=1))*IFERROR(BULK_VALUE,0))/MAX(1,SUMPRODUCT(((BULK_ENABLED="Y")*((BULK_TIER="ALL")+(BULK_TIER=$F221))*((BULK_SKU="ALL")+(BULK_SKU=$G221))*(BULK_START&lt;=1)*(BULK_END&gt;=1)))),0),ROUND((INDEX(VELOCITY_TABLE,MATCH($F221,TIER_LIST,0),1))*(IF((1-$I221+1)&lt;=0,0,IF((1-$I221+1)=1,RAMP_W1,IF((1-$I221+1)=2,RAMP_W2,IF((1-$I221+1)=3,RAMP_W3,RAMP_W4PLUS)))))*(INDEX(ACTIVE_MULT_TABLE,1,1))*(1+SUMPRODUCT(SIGN(((ACT_DOOR_SCOPE="ALL")+(ACT_DOOR_SCOPE="TIER_"&amp;$F221)+(ACT_DOOR_SCOPE=$B221)))*SIGN(((ACT_SKU_SCOPE="ALL")+(ACT_SKU_SCOPE=$G221)))*(ACT_START&lt;=1)*(ACT_END&gt;=1)*IFERROR(ACT_UPLIFT-1,0)))*(1+SUMPRODUCT(SIGN(((ACT_DOOR_SCOPE="ALL")+(ACT_DOOR_SCOPE="TIER_"&amp;$F221)+(ACT_DOOR_SCOPE=$B221)))*SIGN(((ACT_SKU_SCOPE="ALL")+(ACT_SKU_SCOPE=$G221)))*(1&gt;ACT_END)*(ACT_END&gt;0)*IFERROR(ACT_POSTLIFT,0))),0)))</f>
        <v/>
      </c>
      <c r="K221" s="10">
        <f>IF(OR($H221&lt;&gt;"Y",2&lt;$I221),0,IF(SUMPRODUCT(((BULK_ENABLED="Y")*((BULK_TIER="ALL")+(BULK_TIER=$F221))*((BULK_SKU="ALL")+(BULK_SKU=$G221))*(BULK_START&lt;=2)*(BULK_END&gt;=2)))&gt;0,IFERROR(SUMPRODUCT(((BULK_ENABLED="Y")*((BULK_TIER="ALL")+(BULK_TIER=$F221))*((BULK_SKU="ALL")+(BULK_SKU=$G221))*(BULK_START&lt;=2)*(BULK_END&gt;=2))*IFERROR(BULK_VALUE,0))/MAX(1,SUMPRODUCT(((BULK_ENABLED="Y")*((BULK_TIER="ALL")+(BULK_TIER=$F221))*((BULK_SKU="ALL")+(BULK_SKU=$G221))*(BULK_START&lt;=2)*(BULK_END&gt;=2)))),0),ROUND((INDEX(VELOCITY_TABLE,MATCH($F221,TIER_LIST,0),1))*(IF((2-$I221+1)&lt;=0,0,IF((2-$I221+1)=1,RAMP_W1,IF((2-$I221+1)=2,RAMP_W2,IF((2-$I221+1)=3,RAMP_W3,RAMP_W4PLUS)))))*(INDEX(ACTIVE_MULT_TABLE,1,1))*(1+SUMPRODUCT(SIGN(((ACT_DOOR_SCOPE="ALL")+(ACT_DOOR_SCOPE="TIER_"&amp;$F221)+(ACT_DOOR_SCOPE=$B221)))*SIGN(((ACT_SKU_SCOPE="ALL")+(ACT_SKU_SCOPE=$G221)))*(ACT_START&lt;=2)*(ACT_END&gt;=2)*IFERROR(ACT_UPLIFT-1,0)))*(1+SUMPRODUCT(SIGN(((ACT_DOOR_SCOPE="ALL")+(ACT_DOOR_SCOPE="TIER_"&amp;$F221)+(ACT_DOOR_SCOPE=$B221)))*SIGN(((ACT_SKU_SCOPE="ALL")+(ACT_SKU_SCOPE=$G221)))*(2&gt;ACT_END)*(ACT_END&gt;0)*IFERROR(ACT_POSTLIFT,0))),0)))</f>
        <v/>
      </c>
      <c r="L221" s="10">
        <f>IF(OR($H221&lt;&gt;"Y",3&lt;$I221),0,IF(SUMPRODUCT(((BULK_ENABLED="Y")*((BULK_TIER="ALL")+(BULK_TIER=$F221))*((BULK_SKU="ALL")+(BULK_SKU=$G221))*(BULK_START&lt;=3)*(BULK_END&gt;=3)))&gt;0,IFERROR(SUMPRODUCT(((BULK_ENABLED="Y")*((BULK_TIER="ALL")+(BULK_TIER=$F221))*((BULK_SKU="ALL")+(BULK_SKU=$G221))*(BULK_START&lt;=3)*(BULK_END&gt;=3))*IFERROR(BULK_VALUE,0))/MAX(1,SUMPRODUCT(((BULK_ENABLED="Y")*((BULK_TIER="ALL")+(BULK_TIER=$F221))*((BULK_SKU="ALL")+(BULK_SKU=$G221))*(BULK_START&lt;=3)*(BULK_END&gt;=3)))),0),ROUND((INDEX(VELOCITY_TABLE,MATCH($F221,TIER_LIST,0),1))*(IF((3-$I221+1)&lt;=0,0,IF((3-$I221+1)=1,RAMP_W1,IF((3-$I221+1)=2,RAMP_W2,IF((3-$I221+1)=3,RAMP_W3,RAMP_W4PLUS)))))*(INDEX(ACTIVE_MULT_TABLE,1,1))*(1+SUMPRODUCT(SIGN(((ACT_DOOR_SCOPE="ALL")+(ACT_DOOR_SCOPE="TIER_"&amp;$F221)+(ACT_DOOR_SCOPE=$B221)))*SIGN(((ACT_SKU_SCOPE="ALL")+(ACT_SKU_SCOPE=$G221)))*(ACT_START&lt;=3)*(ACT_END&gt;=3)*IFERROR(ACT_UPLIFT-1,0)))*(1+SUMPRODUCT(SIGN(((ACT_DOOR_SCOPE="ALL")+(ACT_DOOR_SCOPE="TIER_"&amp;$F221)+(ACT_DOOR_SCOPE=$B221)))*SIGN(((ACT_SKU_SCOPE="ALL")+(ACT_SKU_SCOPE=$G221)))*(3&gt;ACT_END)*(ACT_END&gt;0)*IFERROR(ACT_POSTLIFT,0))),0)))</f>
        <v/>
      </c>
      <c r="M221" s="10">
        <f>IF(OR($H221&lt;&gt;"Y",4&lt;$I221),0,IF(SUMPRODUCT(((BULK_ENABLED="Y")*((BULK_TIER="ALL")+(BULK_TIER=$F221))*((BULK_SKU="ALL")+(BULK_SKU=$G221))*(BULK_START&lt;=4)*(BULK_END&gt;=4)))&gt;0,IFERROR(SUMPRODUCT(((BULK_ENABLED="Y")*((BULK_TIER="ALL")+(BULK_TIER=$F221))*((BULK_SKU="ALL")+(BULK_SKU=$G221))*(BULK_START&lt;=4)*(BULK_END&gt;=4))*IFERROR(BULK_VALUE,0))/MAX(1,SUMPRODUCT(((BULK_ENABLED="Y")*((BULK_TIER="ALL")+(BULK_TIER=$F221))*((BULK_SKU="ALL")+(BULK_SKU=$G221))*(BULK_START&lt;=4)*(BULK_END&gt;=4)))),0),ROUND((INDEX(VELOCITY_TABLE,MATCH($F221,TIER_LIST,0),1))*(IF((4-$I221+1)&lt;=0,0,IF((4-$I221+1)=1,RAMP_W1,IF((4-$I221+1)=2,RAMP_W2,IF((4-$I221+1)=3,RAMP_W3,RAMP_W4PLUS)))))*(INDEX(ACTIVE_MULT_TABLE,1,1))*(1+SUMPRODUCT(SIGN(((ACT_DOOR_SCOPE="ALL")+(ACT_DOOR_SCOPE="TIER_"&amp;$F221)+(ACT_DOOR_SCOPE=$B221)))*SIGN(((ACT_SKU_SCOPE="ALL")+(ACT_SKU_SCOPE=$G221)))*(ACT_START&lt;=4)*(ACT_END&gt;=4)*IFERROR(ACT_UPLIFT-1,0)))*(1+SUMPRODUCT(SIGN(((ACT_DOOR_SCOPE="ALL")+(ACT_DOOR_SCOPE="TIER_"&amp;$F221)+(ACT_DOOR_SCOPE=$B221)))*SIGN(((ACT_SKU_SCOPE="ALL")+(ACT_SKU_SCOPE=$G221)))*(4&gt;ACT_END)*(ACT_END&gt;0)*IFERROR(ACT_POSTLIFT,0))),0)))</f>
        <v/>
      </c>
      <c r="N221" s="10">
        <f>IF(OR($H221&lt;&gt;"Y",5&lt;$I221),0,IF(SUMPRODUCT(((BULK_ENABLED="Y")*((BULK_TIER="ALL")+(BULK_TIER=$F221))*((BULK_SKU="ALL")+(BULK_SKU=$G221))*(BULK_START&lt;=5)*(BULK_END&gt;=5)))&gt;0,IFERROR(SUMPRODUCT(((BULK_ENABLED="Y")*((BULK_TIER="ALL")+(BULK_TIER=$F221))*((BULK_SKU="ALL")+(BULK_SKU=$G221))*(BULK_START&lt;=5)*(BULK_END&gt;=5))*IFERROR(BULK_VALUE,0))/MAX(1,SUMPRODUCT(((BULK_ENABLED="Y")*((BULK_TIER="ALL")+(BULK_TIER=$F221))*((BULK_SKU="ALL")+(BULK_SKU=$G221))*(BULK_START&lt;=5)*(BULK_END&gt;=5)))),0),ROUND((INDEX(VELOCITY_TABLE,MATCH($F221,TIER_LIST,0),1))*(IF((5-$I221+1)&lt;=0,0,IF((5-$I221+1)=1,RAMP_W1,IF((5-$I221+1)=2,RAMP_W2,IF((5-$I221+1)=3,RAMP_W3,RAMP_W4PLUS)))))*(INDEX(ACTIVE_MULT_TABLE,1,1))*(1+SUMPRODUCT(SIGN(((ACT_DOOR_SCOPE="ALL")+(ACT_DOOR_SCOPE="TIER_"&amp;$F221)+(ACT_DOOR_SCOPE=$B221)))*SIGN(((ACT_SKU_SCOPE="ALL")+(ACT_SKU_SCOPE=$G221)))*(ACT_START&lt;=5)*(ACT_END&gt;=5)*IFERROR(ACT_UPLIFT-1,0)))*(1+SUMPRODUCT(SIGN(((ACT_DOOR_SCOPE="ALL")+(ACT_DOOR_SCOPE="TIER_"&amp;$F221)+(ACT_DOOR_SCOPE=$B221)))*SIGN(((ACT_SKU_SCOPE="ALL")+(ACT_SKU_SCOPE=$G221)))*(5&gt;ACT_END)*(ACT_END&gt;0)*IFERROR(ACT_POSTLIFT,0))),0)))</f>
        <v/>
      </c>
      <c r="O221" s="10">
        <f>IF(OR($H221&lt;&gt;"Y",6&lt;$I221),0,IF(SUMPRODUCT(((BULK_ENABLED="Y")*((BULK_TIER="ALL")+(BULK_TIER=$F221))*((BULK_SKU="ALL")+(BULK_SKU=$G221))*(BULK_START&lt;=6)*(BULK_END&gt;=6)))&gt;0,IFERROR(SUMPRODUCT(((BULK_ENABLED="Y")*((BULK_TIER="ALL")+(BULK_TIER=$F221))*((BULK_SKU="ALL")+(BULK_SKU=$G221))*(BULK_START&lt;=6)*(BULK_END&gt;=6))*IFERROR(BULK_VALUE,0))/MAX(1,SUMPRODUCT(((BULK_ENABLED="Y")*((BULK_TIER="ALL")+(BULK_TIER=$F221))*((BULK_SKU="ALL")+(BULK_SKU=$G221))*(BULK_START&lt;=6)*(BULK_END&gt;=6)))),0),ROUND((INDEX(VELOCITY_TABLE,MATCH($F221,TIER_LIST,0),1))*(IF((6-$I221+1)&lt;=0,0,IF((6-$I221+1)=1,RAMP_W1,IF((6-$I221+1)=2,RAMP_W2,IF((6-$I221+1)=3,RAMP_W3,RAMP_W4PLUS)))))*(INDEX(ACTIVE_MULT_TABLE,1,1))*(1+SUMPRODUCT(SIGN(((ACT_DOOR_SCOPE="ALL")+(ACT_DOOR_SCOPE="TIER_"&amp;$F221)+(ACT_DOOR_SCOPE=$B221)))*SIGN(((ACT_SKU_SCOPE="ALL")+(ACT_SKU_SCOPE=$G221)))*(ACT_START&lt;=6)*(ACT_END&gt;=6)*IFERROR(ACT_UPLIFT-1,0)))*(1+SUMPRODUCT(SIGN(((ACT_DOOR_SCOPE="ALL")+(ACT_DOOR_SCOPE="TIER_"&amp;$F221)+(ACT_DOOR_SCOPE=$B221)))*SIGN(((ACT_SKU_SCOPE="ALL")+(ACT_SKU_SCOPE=$G221)))*(6&gt;ACT_END)*(ACT_END&gt;0)*IFERROR(ACT_POSTLIFT,0))),0)))</f>
        <v/>
      </c>
      <c r="P221" s="10">
        <f>IF(OR($H221&lt;&gt;"Y",7&lt;$I221),0,IF(SUMPRODUCT(((BULK_ENABLED="Y")*((BULK_TIER="ALL")+(BULK_TIER=$F221))*((BULK_SKU="ALL")+(BULK_SKU=$G221))*(BULK_START&lt;=7)*(BULK_END&gt;=7)))&gt;0,IFERROR(SUMPRODUCT(((BULK_ENABLED="Y")*((BULK_TIER="ALL")+(BULK_TIER=$F221))*((BULK_SKU="ALL")+(BULK_SKU=$G221))*(BULK_START&lt;=7)*(BULK_END&gt;=7))*IFERROR(BULK_VALUE,0))/MAX(1,SUMPRODUCT(((BULK_ENABLED="Y")*((BULK_TIER="ALL")+(BULK_TIER=$F221))*((BULK_SKU="ALL")+(BULK_SKU=$G221))*(BULK_START&lt;=7)*(BULK_END&gt;=7)))),0),ROUND((INDEX(VELOCITY_TABLE,MATCH($F221,TIER_LIST,0),1))*(IF((7-$I221+1)&lt;=0,0,IF((7-$I221+1)=1,RAMP_W1,IF((7-$I221+1)=2,RAMP_W2,IF((7-$I221+1)=3,RAMP_W3,RAMP_W4PLUS)))))*(INDEX(ACTIVE_MULT_TABLE,1,1))*(1+SUMPRODUCT(SIGN(((ACT_DOOR_SCOPE="ALL")+(ACT_DOOR_SCOPE="TIER_"&amp;$F221)+(ACT_DOOR_SCOPE=$B221)))*SIGN(((ACT_SKU_SCOPE="ALL")+(ACT_SKU_SCOPE=$G221)))*(ACT_START&lt;=7)*(ACT_END&gt;=7)*IFERROR(ACT_UPLIFT-1,0)))*(1+SUMPRODUCT(SIGN(((ACT_DOOR_SCOPE="ALL")+(ACT_DOOR_SCOPE="TIER_"&amp;$F221)+(ACT_DOOR_SCOPE=$B221)))*SIGN(((ACT_SKU_SCOPE="ALL")+(ACT_SKU_SCOPE=$G221)))*(7&gt;ACT_END)*(ACT_END&gt;0)*IFERROR(ACT_POSTLIFT,0))),0)))</f>
        <v/>
      </c>
      <c r="Q221" s="10">
        <f>IF(OR($H221&lt;&gt;"Y",8&lt;$I221),0,IF(SUMPRODUCT(((BULK_ENABLED="Y")*((BULK_TIER="ALL")+(BULK_TIER=$F221))*((BULK_SKU="ALL")+(BULK_SKU=$G221))*(BULK_START&lt;=8)*(BULK_END&gt;=8)))&gt;0,IFERROR(SUMPRODUCT(((BULK_ENABLED="Y")*((BULK_TIER="ALL")+(BULK_TIER=$F221))*((BULK_SKU="ALL")+(BULK_SKU=$G221))*(BULK_START&lt;=8)*(BULK_END&gt;=8))*IFERROR(BULK_VALUE,0))/MAX(1,SUMPRODUCT(((BULK_ENABLED="Y")*((BULK_TIER="ALL")+(BULK_TIER=$F221))*((BULK_SKU="ALL")+(BULK_SKU=$G221))*(BULK_START&lt;=8)*(BULK_END&gt;=8)))),0),ROUND((INDEX(VELOCITY_TABLE,MATCH($F221,TIER_LIST,0),1))*(IF((8-$I221+1)&lt;=0,0,IF((8-$I221+1)=1,RAMP_W1,IF((8-$I221+1)=2,RAMP_W2,IF((8-$I221+1)=3,RAMP_W3,RAMP_W4PLUS)))))*(INDEX(ACTIVE_MULT_TABLE,1,1))*(1+SUMPRODUCT(SIGN(((ACT_DOOR_SCOPE="ALL")+(ACT_DOOR_SCOPE="TIER_"&amp;$F221)+(ACT_DOOR_SCOPE=$B221)))*SIGN(((ACT_SKU_SCOPE="ALL")+(ACT_SKU_SCOPE=$G221)))*(ACT_START&lt;=8)*(ACT_END&gt;=8)*IFERROR(ACT_UPLIFT-1,0)))*(1+SUMPRODUCT(SIGN(((ACT_DOOR_SCOPE="ALL")+(ACT_DOOR_SCOPE="TIER_"&amp;$F221)+(ACT_DOOR_SCOPE=$B221)))*SIGN(((ACT_SKU_SCOPE="ALL")+(ACT_SKU_SCOPE=$G221)))*(8&gt;ACT_END)*(ACT_END&gt;0)*IFERROR(ACT_POSTLIFT,0))),0)))</f>
        <v/>
      </c>
      <c r="R221" s="10">
        <f>IF(OR($H221&lt;&gt;"Y",9&lt;$I221),0,IF(SUMPRODUCT(((BULK_ENABLED="Y")*((BULK_TIER="ALL")+(BULK_TIER=$F221))*((BULK_SKU="ALL")+(BULK_SKU=$G221))*(BULK_START&lt;=9)*(BULK_END&gt;=9)))&gt;0,IFERROR(SUMPRODUCT(((BULK_ENABLED="Y")*((BULK_TIER="ALL")+(BULK_TIER=$F221))*((BULK_SKU="ALL")+(BULK_SKU=$G221))*(BULK_START&lt;=9)*(BULK_END&gt;=9))*IFERROR(BULK_VALUE,0))/MAX(1,SUMPRODUCT(((BULK_ENABLED="Y")*((BULK_TIER="ALL")+(BULK_TIER=$F221))*((BULK_SKU="ALL")+(BULK_SKU=$G221))*(BULK_START&lt;=9)*(BULK_END&gt;=9)))),0),ROUND((INDEX(VELOCITY_TABLE,MATCH($F221,TIER_LIST,0),1))*(IF((9-$I221+1)&lt;=0,0,IF((9-$I221+1)=1,RAMP_W1,IF((9-$I221+1)=2,RAMP_W2,IF((9-$I221+1)=3,RAMP_W3,RAMP_W4PLUS)))))*(INDEX(ACTIVE_MULT_TABLE,1,1))*(1+SUMPRODUCT(SIGN(((ACT_DOOR_SCOPE="ALL")+(ACT_DOOR_SCOPE="TIER_"&amp;$F221)+(ACT_DOOR_SCOPE=$B221)))*SIGN(((ACT_SKU_SCOPE="ALL")+(ACT_SKU_SCOPE=$G221)))*(ACT_START&lt;=9)*(ACT_END&gt;=9)*IFERROR(ACT_UPLIFT-1,0)))*(1+SUMPRODUCT(SIGN(((ACT_DOOR_SCOPE="ALL")+(ACT_DOOR_SCOPE="TIER_"&amp;$F221)+(ACT_DOOR_SCOPE=$B221)))*SIGN(((ACT_SKU_SCOPE="ALL")+(ACT_SKU_SCOPE=$G221)))*(9&gt;ACT_END)*(ACT_END&gt;0)*IFERROR(ACT_POSTLIFT,0))),0)))</f>
        <v/>
      </c>
      <c r="S221" s="10">
        <f>IF(OR($H221&lt;&gt;"Y",10&lt;$I221),0,IF(SUMPRODUCT(((BULK_ENABLED="Y")*((BULK_TIER="ALL")+(BULK_TIER=$F221))*((BULK_SKU="ALL")+(BULK_SKU=$G221))*(BULK_START&lt;=10)*(BULK_END&gt;=10)))&gt;0,IFERROR(SUMPRODUCT(((BULK_ENABLED="Y")*((BULK_TIER="ALL")+(BULK_TIER=$F221))*((BULK_SKU="ALL")+(BULK_SKU=$G221))*(BULK_START&lt;=10)*(BULK_END&gt;=10))*IFERROR(BULK_VALUE,0))/MAX(1,SUMPRODUCT(((BULK_ENABLED="Y")*((BULK_TIER="ALL")+(BULK_TIER=$F221))*((BULK_SKU="ALL")+(BULK_SKU=$G221))*(BULK_START&lt;=10)*(BULK_END&gt;=10)))),0),ROUND((INDEX(VELOCITY_TABLE,MATCH($F221,TIER_LIST,0),1))*(IF((10-$I221+1)&lt;=0,0,IF((10-$I221+1)=1,RAMP_W1,IF((10-$I221+1)=2,RAMP_W2,IF((10-$I221+1)=3,RAMP_W3,RAMP_W4PLUS)))))*(INDEX(ACTIVE_MULT_TABLE,1,1))*(1+SUMPRODUCT(SIGN(((ACT_DOOR_SCOPE="ALL")+(ACT_DOOR_SCOPE="TIER_"&amp;$F221)+(ACT_DOOR_SCOPE=$B221)))*SIGN(((ACT_SKU_SCOPE="ALL")+(ACT_SKU_SCOPE=$G221)))*(ACT_START&lt;=10)*(ACT_END&gt;=10)*IFERROR(ACT_UPLIFT-1,0)))*(1+SUMPRODUCT(SIGN(((ACT_DOOR_SCOPE="ALL")+(ACT_DOOR_SCOPE="TIER_"&amp;$F221)+(ACT_DOOR_SCOPE=$B221)))*SIGN(((ACT_SKU_SCOPE="ALL")+(ACT_SKU_SCOPE=$G221)))*(10&gt;ACT_END)*(ACT_END&gt;0)*IFERROR(ACT_POSTLIFT,0))),0)))</f>
        <v/>
      </c>
      <c r="T221" s="10">
        <f>IF(OR($H221&lt;&gt;"Y",11&lt;$I221),0,IF(SUMPRODUCT(((BULK_ENABLED="Y")*((BULK_TIER="ALL")+(BULK_TIER=$F221))*((BULK_SKU="ALL")+(BULK_SKU=$G221))*(BULK_START&lt;=11)*(BULK_END&gt;=11)))&gt;0,IFERROR(SUMPRODUCT(((BULK_ENABLED="Y")*((BULK_TIER="ALL")+(BULK_TIER=$F221))*((BULK_SKU="ALL")+(BULK_SKU=$G221))*(BULK_START&lt;=11)*(BULK_END&gt;=11))*IFERROR(BULK_VALUE,0))/MAX(1,SUMPRODUCT(((BULK_ENABLED="Y")*((BULK_TIER="ALL")+(BULK_TIER=$F221))*((BULK_SKU="ALL")+(BULK_SKU=$G221))*(BULK_START&lt;=11)*(BULK_END&gt;=11)))),0),ROUND((INDEX(VELOCITY_TABLE,MATCH($F221,TIER_LIST,0),1))*(IF((11-$I221+1)&lt;=0,0,IF((11-$I221+1)=1,RAMP_W1,IF((11-$I221+1)=2,RAMP_W2,IF((11-$I221+1)=3,RAMP_W3,RAMP_W4PLUS)))))*(INDEX(ACTIVE_MULT_TABLE,1,1))*(1+SUMPRODUCT(SIGN(((ACT_DOOR_SCOPE="ALL")+(ACT_DOOR_SCOPE="TIER_"&amp;$F221)+(ACT_DOOR_SCOPE=$B221)))*SIGN(((ACT_SKU_SCOPE="ALL")+(ACT_SKU_SCOPE=$G221)))*(ACT_START&lt;=11)*(ACT_END&gt;=11)*IFERROR(ACT_UPLIFT-1,0)))*(1+SUMPRODUCT(SIGN(((ACT_DOOR_SCOPE="ALL")+(ACT_DOOR_SCOPE="TIER_"&amp;$F221)+(ACT_DOOR_SCOPE=$B221)))*SIGN(((ACT_SKU_SCOPE="ALL")+(ACT_SKU_SCOPE=$G221)))*(11&gt;ACT_END)*(ACT_END&gt;0)*IFERROR(ACT_POSTLIFT,0))),0)))</f>
        <v/>
      </c>
      <c r="U221" s="10">
        <f>IF(OR($H221&lt;&gt;"Y",12&lt;$I221),0,IF(SUMPRODUCT(((BULK_ENABLED="Y")*((BULK_TIER="ALL")+(BULK_TIER=$F221))*((BULK_SKU="ALL")+(BULK_SKU=$G221))*(BULK_START&lt;=12)*(BULK_END&gt;=12)))&gt;0,IFERROR(SUMPRODUCT(((BULK_ENABLED="Y")*((BULK_TIER="ALL")+(BULK_TIER=$F221))*((BULK_SKU="ALL")+(BULK_SKU=$G221))*(BULK_START&lt;=12)*(BULK_END&gt;=12))*IFERROR(BULK_VALUE,0))/MAX(1,SUMPRODUCT(((BULK_ENABLED="Y")*((BULK_TIER="ALL")+(BULK_TIER=$F221))*((BULK_SKU="ALL")+(BULK_SKU=$G221))*(BULK_START&lt;=12)*(BULK_END&gt;=12)))),0),ROUND((INDEX(VELOCITY_TABLE,MATCH($F221,TIER_LIST,0),1))*(IF((12-$I221+1)&lt;=0,0,IF((12-$I221+1)=1,RAMP_W1,IF((12-$I221+1)=2,RAMP_W2,IF((12-$I221+1)=3,RAMP_W3,RAMP_W4PLUS)))))*(INDEX(ACTIVE_MULT_TABLE,1,1))*(1+SUMPRODUCT(SIGN(((ACT_DOOR_SCOPE="ALL")+(ACT_DOOR_SCOPE="TIER_"&amp;$F221)+(ACT_DOOR_SCOPE=$B221)))*SIGN(((ACT_SKU_SCOPE="ALL")+(ACT_SKU_SCOPE=$G221)))*(ACT_START&lt;=12)*(ACT_END&gt;=12)*IFERROR(ACT_UPLIFT-1,0)))*(1+SUMPRODUCT(SIGN(((ACT_DOOR_SCOPE="ALL")+(ACT_DOOR_SCOPE="TIER_"&amp;$F221)+(ACT_DOOR_SCOPE=$B221)))*SIGN(((ACT_SKU_SCOPE="ALL")+(ACT_SKU_SCOPE=$G221)))*(12&gt;ACT_END)*(ACT_END&gt;0)*IFERROR(ACT_POSTLIFT,0))),0)))</f>
        <v/>
      </c>
      <c r="V221" s="10">
        <f>IF(OR($H221&lt;&gt;"Y",13&lt;$I221),0,IF(SUMPRODUCT(((BULK_ENABLED="Y")*((BULK_TIER="ALL")+(BULK_TIER=$F221))*((BULK_SKU="ALL")+(BULK_SKU=$G221))*(BULK_START&lt;=13)*(BULK_END&gt;=13)))&gt;0,IFERROR(SUMPRODUCT(((BULK_ENABLED="Y")*((BULK_TIER="ALL")+(BULK_TIER=$F221))*((BULK_SKU="ALL")+(BULK_SKU=$G221))*(BULK_START&lt;=13)*(BULK_END&gt;=13))*IFERROR(BULK_VALUE,0))/MAX(1,SUMPRODUCT(((BULK_ENABLED="Y")*((BULK_TIER="ALL")+(BULK_TIER=$F221))*((BULK_SKU="ALL")+(BULK_SKU=$G221))*(BULK_START&lt;=13)*(BULK_END&gt;=13)))),0),ROUND((INDEX(VELOCITY_TABLE,MATCH($F221,TIER_LIST,0),1))*(IF((13-$I221+1)&lt;=0,0,IF((13-$I221+1)=1,RAMP_W1,IF((13-$I221+1)=2,RAMP_W2,IF((13-$I221+1)=3,RAMP_W3,RAMP_W4PLUS)))))*(INDEX(ACTIVE_MULT_TABLE,1,1))*(1+SUMPRODUCT(SIGN(((ACT_DOOR_SCOPE="ALL")+(ACT_DOOR_SCOPE="TIER_"&amp;$F221)+(ACT_DOOR_SCOPE=$B221)))*SIGN(((ACT_SKU_SCOPE="ALL")+(ACT_SKU_SCOPE=$G221)))*(ACT_START&lt;=13)*(ACT_END&gt;=13)*IFERROR(ACT_UPLIFT-1,0)))*(1+SUMPRODUCT(SIGN(((ACT_DOOR_SCOPE="ALL")+(ACT_DOOR_SCOPE="TIER_"&amp;$F221)+(ACT_DOOR_SCOPE=$B221)))*SIGN(((ACT_SKU_SCOPE="ALL")+(ACT_SKU_SCOPE=$G221)))*(13&gt;ACT_END)*(ACT_END&gt;0)*IFERROR(ACT_POSTLIFT,0))),0)))</f>
        <v/>
      </c>
    </row>
    <row r="222">
      <c r="A222" t="inlineStr">
        <is>
          <t>R0218</t>
        </is>
      </c>
      <c r="B222">
        <f>Doors!$A$77</f>
        <v/>
      </c>
      <c r="C222">
        <f>Doors!$C$77</f>
        <v/>
      </c>
      <c r="D222">
        <f>Doors!$B$77</f>
        <v/>
      </c>
      <c r="E222">
        <f>Doors!$E$77</f>
        <v/>
      </c>
      <c r="F222">
        <f>Doors!$F$77</f>
        <v/>
      </c>
      <c r="G222" t="inlineStr">
        <is>
          <t>Pineapple Passion Fruit</t>
        </is>
      </c>
      <c r="H222">
        <f>Doors!$H$77</f>
        <v/>
      </c>
      <c r="I222">
        <f>Doors!$J$77</f>
        <v/>
      </c>
      <c r="J222" s="10">
        <f>IF(OR($H222&lt;&gt;"Y",1&lt;$I222),0,IF(SUMPRODUCT(((BULK_ENABLED="Y")*((BULK_TIER="ALL")+(BULK_TIER=$F222))*((BULK_SKU="ALL")+(BULK_SKU=$G222))*(BULK_START&lt;=1)*(BULK_END&gt;=1)))&gt;0,IFERROR(SUMPRODUCT(((BULK_ENABLED="Y")*((BULK_TIER="ALL")+(BULK_TIER=$F222))*((BULK_SKU="ALL")+(BULK_SKU=$G222))*(BULK_START&lt;=1)*(BULK_END&gt;=1))*IFERROR(BULK_VALUE,0))/MAX(1,SUMPRODUCT(((BULK_ENABLED="Y")*((BULK_TIER="ALL")+(BULK_TIER=$F222))*((BULK_SKU="ALL")+(BULK_SKU=$G222))*(BULK_START&lt;=1)*(BULK_END&gt;=1)))),0),ROUND((INDEX(VELOCITY_TABLE,MATCH($F222,TIER_LIST,0),2))*(IF((1-$I222+1)&lt;=0,0,IF((1-$I222+1)=1,RAMP_W1,IF((1-$I222+1)=2,RAMP_W2,IF((1-$I222+1)=3,RAMP_W3,RAMP_W4PLUS)))))*(INDEX(ACTIVE_MULT_TABLE,2,1))*(1+SUMPRODUCT(SIGN(((ACT_DOOR_SCOPE="ALL")+(ACT_DOOR_SCOPE="TIER_"&amp;$F222)+(ACT_DOOR_SCOPE=$B222)))*SIGN(((ACT_SKU_SCOPE="ALL")+(ACT_SKU_SCOPE=$G222)))*(ACT_START&lt;=1)*(ACT_END&gt;=1)*IFERROR(ACT_UPLIFT-1,0)))*(1+SUMPRODUCT(SIGN(((ACT_DOOR_SCOPE="ALL")+(ACT_DOOR_SCOPE="TIER_"&amp;$F222)+(ACT_DOOR_SCOPE=$B222)))*SIGN(((ACT_SKU_SCOPE="ALL")+(ACT_SKU_SCOPE=$G222)))*(1&gt;ACT_END)*(ACT_END&gt;0)*IFERROR(ACT_POSTLIFT,0))),0)))</f>
        <v/>
      </c>
      <c r="K222" s="10">
        <f>IF(OR($H222&lt;&gt;"Y",2&lt;$I222),0,IF(SUMPRODUCT(((BULK_ENABLED="Y")*((BULK_TIER="ALL")+(BULK_TIER=$F222))*((BULK_SKU="ALL")+(BULK_SKU=$G222))*(BULK_START&lt;=2)*(BULK_END&gt;=2)))&gt;0,IFERROR(SUMPRODUCT(((BULK_ENABLED="Y")*((BULK_TIER="ALL")+(BULK_TIER=$F222))*((BULK_SKU="ALL")+(BULK_SKU=$G222))*(BULK_START&lt;=2)*(BULK_END&gt;=2))*IFERROR(BULK_VALUE,0))/MAX(1,SUMPRODUCT(((BULK_ENABLED="Y")*((BULK_TIER="ALL")+(BULK_TIER=$F222))*((BULK_SKU="ALL")+(BULK_SKU=$G222))*(BULK_START&lt;=2)*(BULK_END&gt;=2)))),0),ROUND((INDEX(VELOCITY_TABLE,MATCH($F222,TIER_LIST,0),2))*(IF((2-$I222+1)&lt;=0,0,IF((2-$I222+1)=1,RAMP_W1,IF((2-$I222+1)=2,RAMP_W2,IF((2-$I222+1)=3,RAMP_W3,RAMP_W4PLUS)))))*(INDEX(ACTIVE_MULT_TABLE,2,1))*(1+SUMPRODUCT(SIGN(((ACT_DOOR_SCOPE="ALL")+(ACT_DOOR_SCOPE="TIER_"&amp;$F222)+(ACT_DOOR_SCOPE=$B222)))*SIGN(((ACT_SKU_SCOPE="ALL")+(ACT_SKU_SCOPE=$G222)))*(ACT_START&lt;=2)*(ACT_END&gt;=2)*IFERROR(ACT_UPLIFT-1,0)))*(1+SUMPRODUCT(SIGN(((ACT_DOOR_SCOPE="ALL")+(ACT_DOOR_SCOPE="TIER_"&amp;$F222)+(ACT_DOOR_SCOPE=$B222)))*SIGN(((ACT_SKU_SCOPE="ALL")+(ACT_SKU_SCOPE=$G222)))*(2&gt;ACT_END)*(ACT_END&gt;0)*IFERROR(ACT_POSTLIFT,0))),0)))</f>
        <v/>
      </c>
      <c r="L222" s="10">
        <f>IF(OR($H222&lt;&gt;"Y",3&lt;$I222),0,IF(SUMPRODUCT(((BULK_ENABLED="Y")*((BULK_TIER="ALL")+(BULK_TIER=$F222))*((BULK_SKU="ALL")+(BULK_SKU=$G222))*(BULK_START&lt;=3)*(BULK_END&gt;=3)))&gt;0,IFERROR(SUMPRODUCT(((BULK_ENABLED="Y")*((BULK_TIER="ALL")+(BULK_TIER=$F222))*((BULK_SKU="ALL")+(BULK_SKU=$G222))*(BULK_START&lt;=3)*(BULK_END&gt;=3))*IFERROR(BULK_VALUE,0))/MAX(1,SUMPRODUCT(((BULK_ENABLED="Y")*((BULK_TIER="ALL")+(BULK_TIER=$F222))*((BULK_SKU="ALL")+(BULK_SKU=$G222))*(BULK_START&lt;=3)*(BULK_END&gt;=3)))),0),ROUND((INDEX(VELOCITY_TABLE,MATCH($F222,TIER_LIST,0),2))*(IF((3-$I222+1)&lt;=0,0,IF((3-$I222+1)=1,RAMP_W1,IF((3-$I222+1)=2,RAMP_W2,IF((3-$I222+1)=3,RAMP_W3,RAMP_W4PLUS)))))*(INDEX(ACTIVE_MULT_TABLE,2,1))*(1+SUMPRODUCT(SIGN(((ACT_DOOR_SCOPE="ALL")+(ACT_DOOR_SCOPE="TIER_"&amp;$F222)+(ACT_DOOR_SCOPE=$B222)))*SIGN(((ACT_SKU_SCOPE="ALL")+(ACT_SKU_SCOPE=$G222)))*(ACT_START&lt;=3)*(ACT_END&gt;=3)*IFERROR(ACT_UPLIFT-1,0)))*(1+SUMPRODUCT(SIGN(((ACT_DOOR_SCOPE="ALL")+(ACT_DOOR_SCOPE="TIER_"&amp;$F222)+(ACT_DOOR_SCOPE=$B222)))*SIGN(((ACT_SKU_SCOPE="ALL")+(ACT_SKU_SCOPE=$G222)))*(3&gt;ACT_END)*(ACT_END&gt;0)*IFERROR(ACT_POSTLIFT,0))),0)))</f>
        <v/>
      </c>
      <c r="M222" s="10">
        <f>IF(OR($H222&lt;&gt;"Y",4&lt;$I222),0,IF(SUMPRODUCT(((BULK_ENABLED="Y")*((BULK_TIER="ALL")+(BULK_TIER=$F222))*((BULK_SKU="ALL")+(BULK_SKU=$G222))*(BULK_START&lt;=4)*(BULK_END&gt;=4)))&gt;0,IFERROR(SUMPRODUCT(((BULK_ENABLED="Y")*((BULK_TIER="ALL")+(BULK_TIER=$F222))*((BULK_SKU="ALL")+(BULK_SKU=$G222))*(BULK_START&lt;=4)*(BULK_END&gt;=4))*IFERROR(BULK_VALUE,0))/MAX(1,SUMPRODUCT(((BULK_ENABLED="Y")*((BULK_TIER="ALL")+(BULK_TIER=$F222))*((BULK_SKU="ALL")+(BULK_SKU=$G222))*(BULK_START&lt;=4)*(BULK_END&gt;=4)))),0),ROUND((INDEX(VELOCITY_TABLE,MATCH($F222,TIER_LIST,0),2))*(IF((4-$I222+1)&lt;=0,0,IF((4-$I222+1)=1,RAMP_W1,IF((4-$I222+1)=2,RAMP_W2,IF((4-$I222+1)=3,RAMP_W3,RAMP_W4PLUS)))))*(INDEX(ACTIVE_MULT_TABLE,2,1))*(1+SUMPRODUCT(SIGN(((ACT_DOOR_SCOPE="ALL")+(ACT_DOOR_SCOPE="TIER_"&amp;$F222)+(ACT_DOOR_SCOPE=$B222)))*SIGN(((ACT_SKU_SCOPE="ALL")+(ACT_SKU_SCOPE=$G222)))*(ACT_START&lt;=4)*(ACT_END&gt;=4)*IFERROR(ACT_UPLIFT-1,0)))*(1+SUMPRODUCT(SIGN(((ACT_DOOR_SCOPE="ALL")+(ACT_DOOR_SCOPE="TIER_"&amp;$F222)+(ACT_DOOR_SCOPE=$B222)))*SIGN(((ACT_SKU_SCOPE="ALL")+(ACT_SKU_SCOPE=$G222)))*(4&gt;ACT_END)*(ACT_END&gt;0)*IFERROR(ACT_POSTLIFT,0))),0)))</f>
        <v/>
      </c>
      <c r="N222" s="10">
        <f>IF(OR($H222&lt;&gt;"Y",5&lt;$I222),0,IF(SUMPRODUCT(((BULK_ENABLED="Y")*((BULK_TIER="ALL")+(BULK_TIER=$F222))*((BULK_SKU="ALL")+(BULK_SKU=$G222))*(BULK_START&lt;=5)*(BULK_END&gt;=5)))&gt;0,IFERROR(SUMPRODUCT(((BULK_ENABLED="Y")*((BULK_TIER="ALL")+(BULK_TIER=$F222))*((BULK_SKU="ALL")+(BULK_SKU=$G222))*(BULK_START&lt;=5)*(BULK_END&gt;=5))*IFERROR(BULK_VALUE,0))/MAX(1,SUMPRODUCT(((BULK_ENABLED="Y")*((BULK_TIER="ALL")+(BULK_TIER=$F222))*((BULK_SKU="ALL")+(BULK_SKU=$G222))*(BULK_START&lt;=5)*(BULK_END&gt;=5)))),0),ROUND((INDEX(VELOCITY_TABLE,MATCH($F222,TIER_LIST,0),2))*(IF((5-$I222+1)&lt;=0,0,IF((5-$I222+1)=1,RAMP_W1,IF((5-$I222+1)=2,RAMP_W2,IF((5-$I222+1)=3,RAMP_W3,RAMP_W4PLUS)))))*(INDEX(ACTIVE_MULT_TABLE,2,1))*(1+SUMPRODUCT(SIGN(((ACT_DOOR_SCOPE="ALL")+(ACT_DOOR_SCOPE="TIER_"&amp;$F222)+(ACT_DOOR_SCOPE=$B222)))*SIGN(((ACT_SKU_SCOPE="ALL")+(ACT_SKU_SCOPE=$G222)))*(ACT_START&lt;=5)*(ACT_END&gt;=5)*IFERROR(ACT_UPLIFT-1,0)))*(1+SUMPRODUCT(SIGN(((ACT_DOOR_SCOPE="ALL")+(ACT_DOOR_SCOPE="TIER_"&amp;$F222)+(ACT_DOOR_SCOPE=$B222)))*SIGN(((ACT_SKU_SCOPE="ALL")+(ACT_SKU_SCOPE=$G222)))*(5&gt;ACT_END)*(ACT_END&gt;0)*IFERROR(ACT_POSTLIFT,0))),0)))</f>
        <v/>
      </c>
      <c r="O222" s="10">
        <f>IF(OR($H222&lt;&gt;"Y",6&lt;$I222),0,IF(SUMPRODUCT(((BULK_ENABLED="Y")*((BULK_TIER="ALL")+(BULK_TIER=$F222))*((BULK_SKU="ALL")+(BULK_SKU=$G222))*(BULK_START&lt;=6)*(BULK_END&gt;=6)))&gt;0,IFERROR(SUMPRODUCT(((BULK_ENABLED="Y")*((BULK_TIER="ALL")+(BULK_TIER=$F222))*((BULK_SKU="ALL")+(BULK_SKU=$G222))*(BULK_START&lt;=6)*(BULK_END&gt;=6))*IFERROR(BULK_VALUE,0))/MAX(1,SUMPRODUCT(((BULK_ENABLED="Y")*((BULK_TIER="ALL")+(BULK_TIER=$F222))*((BULK_SKU="ALL")+(BULK_SKU=$G222))*(BULK_START&lt;=6)*(BULK_END&gt;=6)))),0),ROUND((INDEX(VELOCITY_TABLE,MATCH($F222,TIER_LIST,0),2))*(IF((6-$I222+1)&lt;=0,0,IF((6-$I222+1)=1,RAMP_W1,IF((6-$I222+1)=2,RAMP_W2,IF((6-$I222+1)=3,RAMP_W3,RAMP_W4PLUS)))))*(INDEX(ACTIVE_MULT_TABLE,2,1))*(1+SUMPRODUCT(SIGN(((ACT_DOOR_SCOPE="ALL")+(ACT_DOOR_SCOPE="TIER_"&amp;$F222)+(ACT_DOOR_SCOPE=$B222)))*SIGN(((ACT_SKU_SCOPE="ALL")+(ACT_SKU_SCOPE=$G222)))*(ACT_START&lt;=6)*(ACT_END&gt;=6)*IFERROR(ACT_UPLIFT-1,0)))*(1+SUMPRODUCT(SIGN(((ACT_DOOR_SCOPE="ALL")+(ACT_DOOR_SCOPE="TIER_"&amp;$F222)+(ACT_DOOR_SCOPE=$B222)))*SIGN(((ACT_SKU_SCOPE="ALL")+(ACT_SKU_SCOPE=$G222)))*(6&gt;ACT_END)*(ACT_END&gt;0)*IFERROR(ACT_POSTLIFT,0))),0)))</f>
        <v/>
      </c>
      <c r="P222" s="10">
        <f>IF(OR($H222&lt;&gt;"Y",7&lt;$I222),0,IF(SUMPRODUCT(((BULK_ENABLED="Y")*((BULK_TIER="ALL")+(BULK_TIER=$F222))*((BULK_SKU="ALL")+(BULK_SKU=$G222))*(BULK_START&lt;=7)*(BULK_END&gt;=7)))&gt;0,IFERROR(SUMPRODUCT(((BULK_ENABLED="Y")*((BULK_TIER="ALL")+(BULK_TIER=$F222))*((BULK_SKU="ALL")+(BULK_SKU=$G222))*(BULK_START&lt;=7)*(BULK_END&gt;=7))*IFERROR(BULK_VALUE,0))/MAX(1,SUMPRODUCT(((BULK_ENABLED="Y")*((BULK_TIER="ALL")+(BULK_TIER=$F222))*((BULK_SKU="ALL")+(BULK_SKU=$G222))*(BULK_START&lt;=7)*(BULK_END&gt;=7)))),0),ROUND((INDEX(VELOCITY_TABLE,MATCH($F222,TIER_LIST,0),2))*(IF((7-$I222+1)&lt;=0,0,IF((7-$I222+1)=1,RAMP_W1,IF((7-$I222+1)=2,RAMP_W2,IF((7-$I222+1)=3,RAMP_W3,RAMP_W4PLUS)))))*(INDEX(ACTIVE_MULT_TABLE,2,1))*(1+SUMPRODUCT(SIGN(((ACT_DOOR_SCOPE="ALL")+(ACT_DOOR_SCOPE="TIER_"&amp;$F222)+(ACT_DOOR_SCOPE=$B222)))*SIGN(((ACT_SKU_SCOPE="ALL")+(ACT_SKU_SCOPE=$G222)))*(ACT_START&lt;=7)*(ACT_END&gt;=7)*IFERROR(ACT_UPLIFT-1,0)))*(1+SUMPRODUCT(SIGN(((ACT_DOOR_SCOPE="ALL")+(ACT_DOOR_SCOPE="TIER_"&amp;$F222)+(ACT_DOOR_SCOPE=$B222)))*SIGN(((ACT_SKU_SCOPE="ALL")+(ACT_SKU_SCOPE=$G222)))*(7&gt;ACT_END)*(ACT_END&gt;0)*IFERROR(ACT_POSTLIFT,0))),0)))</f>
        <v/>
      </c>
      <c r="Q222" s="10">
        <f>IF(OR($H222&lt;&gt;"Y",8&lt;$I222),0,IF(SUMPRODUCT(((BULK_ENABLED="Y")*((BULK_TIER="ALL")+(BULK_TIER=$F222))*((BULK_SKU="ALL")+(BULK_SKU=$G222))*(BULK_START&lt;=8)*(BULK_END&gt;=8)))&gt;0,IFERROR(SUMPRODUCT(((BULK_ENABLED="Y")*((BULK_TIER="ALL")+(BULK_TIER=$F222))*((BULK_SKU="ALL")+(BULK_SKU=$G222))*(BULK_START&lt;=8)*(BULK_END&gt;=8))*IFERROR(BULK_VALUE,0))/MAX(1,SUMPRODUCT(((BULK_ENABLED="Y")*((BULK_TIER="ALL")+(BULK_TIER=$F222))*((BULK_SKU="ALL")+(BULK_SKU=$G222))*(BULK_START&lt;=8)*(BULK_END&gt;=8)))),0),ROUND((INDEX(VELOCITY_TABLE,MATCH($F222,TIER_LIST,0),2))*(IF((8-$I222+1)&lt;=0,0,IF((8-$I222+1)=1,RAMP_W1,IF((8-$I222+1)=2,RAMP_W2,IF((8-$I222+1)=3,RAMP_W3,RAMP_W4PLUS)))))*(INDEX(ACTIVE_MULT_TABLE,2,1))*(1+SUMPRODUCT(SIGN(((ACT_DOOR_SCOPE="ALL")+(ACT_DOOR_SCOPE="TIER_"&amp;$F222)+(ACT_DOOR_SCOPE=$B222)))*SIGN(((ACT_SKU_SCOPE="ALL")+(ACT_SKU_SCOPE=$G222)))*(ACT_START&lt;=8)*(ACT_END&gt;=8)*IFERROR(ACT_UPLIFT-1,0)))*(1+SUMPRODUCT(SIGN(((ACT_DOOR_SCOPE="ALL")+(ACT_DOOR_SCOPE="TIER_"&amp;$F222)+(ACT_DOOR_SCOPE=$B222)))*SIGN(((ACT_SKU_SCOPE="ALL")+(ACT_SKU_SCOPE=$G222)))*(8&gt;ACT_END)*(ACT_END&gt;0)*IFERROR(ACT_POSTLIFT,0))),0)))</f>
        <v/>
      </c>
      <c r="R222" s="10">
        <f>IF(OR($H222&lt;&gt;"Y",9&lt;$I222),0,IF(SUMPRODUCT(((BULK_ENABLED="Y")*((BULK_TIER="ALL")+(BULK_TIER=$F222))*((BULK_SKU="ALL")+(BULK_SKU=$G222))*(BULK_START&lt;=9)*(BULK_END&gt;=9)))&gt;0,IFERROR(SUMPRODUCT(((BULK_ENABLED="Y")*((BULK_TIER="ALL")+(BULK_TIER=$F222))*((BULK_SKU="ALL")+(BULK_SKU=$G222))*(BULK_START&lt;=9)*(BULK_END&gt;=9))*IFERROR(BULK_VALUE,0))/MAX(1,SUMPRODUCT(((BULK_ENABLED="Y")*((BULK_TIER="ALL")+(BULK_TIER=$F222))*((BULK_SKU="ALL")+(BULK_SKU=$G222))*(BULK_START&lt;=9)*(BULK_END&gt;=9)))),0),ROUND((INDEX(VELOCITY_TABLE,MATCH($F222,TIER_LIST,0),2))*(IF((9-$I222+1)&lt;=0,0,IF((9-$I222+1)=1,RAMP_W1,IF((9-$I222+1)=2,RAMP_W2,IF((9-$I222+1)=3,RAMP_W3,RAMP_W4PLUS)))))*(INDEX(ACTIVE_MULT_TABLE,2,1))*(1+SUMPRODUCT(SIGN(((ACT_DOOR_SCOPE="ALL")+(ACT_DOOR_SCOPE="TIER_"&amp;$F222)+(ACT_DOOR_SCOPE=$B222)))*SIGN(((ACT_SKU_SCOPE="ALL")+(ACT_SKU_SCOPE=$G222)))*(ACT_START&lt;=9)*(ACT_END&gt;=9)*IFERROR(ACT_UPLIFT-1,0)))*(1+SUMPRODUCT(SIGN(((ACT_DOOR_SCOPE="ALL")+(ACT_DOOR_SCOPE="TIER_"&amp;$F222)+(ACT_DOOR_SCOPE=$B222)))*SIGN(((ACT_SKU_SCOPE="ALL")+(ACT_SKU_SCOPE=$G222)))*(9&gt;ACT_END)*(ACT_END&gt;0)*IFERROR(ACT_POSTLIFT,0))),0)))</f>
        <v/>
      </c>
      <c r="S222" s="10">
        <f>IF(OR($H222&lt;&gt;"Y",10&lt;$I222),0,IF(SUMPRODUCT(((BULK_ENABLED="Y")*((BULK_TIER="ALL")+(BULK_TIER=$F222))*((BULK_SKU="ALL")+(BULK_SKU=$G222))*(BULK_START&lt;=10)*(BULK_END&gt;=10)))&gt;0,IFERROR(SUMPRODUCT(((BULK_ENABLED="Y")*((BULK_TIER="ALL")+(BULK_TIER=$F222))*((BULK_SKU="ALL")+(BULK_SKU=$G222))*(BULK_START&lt;=10)*(BULK_END&gt;=10))*IFERROR(BULK_VALUE,0))/MAX(1,SUMPRODUCT(((BULK_ENABLED="Y")*((BULK_TIER="ALL")+(BULK_TIER=$F222))*((BULK_SKU="ALL")+(BULK_SKU=$G222))*(BULK_START&lt;=10)*(BULK_END&gt;=10)))),0),ROUND((INDEX(VELOCITY_TABLE,MATCH($F222,TIER_LIST,0),2))*(IF((10-$I222+1)&lt;=0,0,IF((10-$I222+1)=1,RAMP_W1,IF((10-$I222+1)=2,RAMP_W2,IF((10-$I222+1)=3,RAMP_W3,RAMP_W4PLUS)))))*(INDEX(ACTIVE_MULT_TABLE,2,1))*(1+SUMPRODUCT(SIGN(((ACT_DOOR_SCOPE="ALL")+(ACT_DOOR_SCOPE="TIER_"&amp;$F222)+(ACT_DOOR_SCOPE=$B222)))*SIGN(((ACT_SKU_SCOPE="ALL")+(ACT_SKU_SCOPE=$G222)))*(ACT_START&lt;=10)*(ACT_END&gt;=10)*IFERROR(ACT_UPLIFT-1,0)))*(1+SUMPRODUCT(SIGN(((ACT_DOOR_SCOPE="ALL")+(ACT_DOOR_SCOPE="TIER_"&amp;$F222)+(ACT_DOOR_SCOPE=$B222)))*SIGN(((ACT_SKU_SCOPE="ALL")+(ACT_SKU_SCOPE=$G222)))*(10&gt;ACT_END)*(ACT_END&gt;0)*IFERROR(ACT_POSTLIFT,0))),0)))</f>
        <v/>
      </c>
      <c r="T222" s="10">
        <f>IF(OR($H222&lt;&gt;"Y",11&lt;$I222),0,IF(SUMPRODUCT(((BULK_ENABLED="Y")*((BULK_TIER="ALL")+(BULK_TIER=$F222))*((BULK_SKU="ALL")+(BULK_SKU=$G222))*(BULK_START&lt;=11)*(BULK_END&gt;=11)))&gt;0,IFERROR(SUMPRODUCT(((BULK_ENABLED="Y")*((BULK_TIER="ALL")+(BULK_TIER=$F222))*((BULK_SKU="ALL")+(BULK_SKU=$G222))*(BULK_START&lt;=11)*(BULK_END&gt;=11))*IFERROR(BULK_VALUE,0))/MAX(1,SUMPRODUCT(((BULK_ENABLED="Y")*((BULK_TIER="ALL")+(BULK_TIER=$F222))*((BULK_SKU="ALL")+(BULK_SKU=$G222))*(BULK_START&lt;=11)*(BULK_END&gt;=11)))),0),ROUND((INDEX(VELOCITY_TABLE,MATCH($F222,TIER_LIST,0),2))*(IF((11-$I222+1)&lt;=0,0,IF((11-$I222+1)=1,RAMP_W1,IF((11-$I222+1)=2,RAMP_W2,IF((11-$I222+1)=3,RAMP_W3,RAMP_W4PLUS)))))*(INDEX(ACTIVE_MULT_TABLE,2,1))*(1+SUMPRODUCT(SIGN(((ACT_DOOR_SCOPE="ALL")+(ACT_DOOR_SCOPE="TIER_"&amp;$F222)+(ACT_DOOR_SCOPE=$B222)))*SIGN(((ACT_SKU_SCOPE="ALL")+(ACT_SKU_SCOPE=$G222)))*(ACT_START&lt;=11)*(ACT_END&gt;=11)*IFERROR(ACT_UPLIFT-1,0)))*(1+SUMPRODUCT(SIGN(((ACT_DOOR_SCOPE="ALL")+(ACT_DOOR_SCOPE="TIER_"&amp;$F222)+(ACT_DOOR_SCOPE=$B222)))*SIGN(((ACT_SKU_SCOPE="ALL")+(ACT_SKU_SCOPE=$G222)))*(11&gt;ACT_END)*(ACT_END&gt;0)*IFERROR(ACT_POSTLIFT,0))),0)))</f>
        <v/>
      </c>
      <c r="U222" s="10">
        <f>IF(OR($H222&lt;&gt;"Y",12&lt;$I222),0,IF(SUMPRODUCT(((BULK_ENABLED="Y")*((BULK_TIER="ALL")+(BULK_TIER=$F222))*((BULK_SKU="ALL")+(BULK_SKU=$G222))*(BULK_START&lt;=12)*(BULK_END&gt;=12)))&gt;0,IFERROR(SUMPRODUCT(((BULK_ENABLED="Y")*((BULK_TIER="ALL")+(BULK_TIER=$F222))*((BULK_SKU="ALL")+(BULK_SKU=$G222))*(BULK_START&lt;=12)*(BULK_END&gt;=12))*IFERROR(BULK_VALUE,0))/MAX(1,SUMPRODUCT(((BULK_ENABLED="Y")*((BULK_TIER="ALL")+(BULK_TIER=$F222))*((BULK_SKU="ALL")+(BULK_SKU=$G222))*(BULK_START&lt;=12)*(BULK_END&gt;=12)))),0),ROUND((INDEX(VELOCITY_TABLE,MATCH($F222,TIER_LIST,0),2))*(IF((12-$I222+1)&lt;=0,0,IF((12-$I222+1)=1,RAMP_W1,IF((12-$I222+1)=2,RAMP_W2,IF((12-$I222+1)=3,RAMP_W3,RAMP_W4PLUS)))))*(INDEX(ACTIVE_MULT_TABLE,2,1))*(1+SUMPRODUCT(SIGN(((ACT_DOOR_SCOPE="ALL")+(ACT_DOOR_SCOPE="TIER_"&amp;$F222)+(ACT_DOOR_SCOPE=$B222)))*SIGN(((ACT_SKU_SCOPE="ALL")+(ACT_SKU_SCOPE=$G222)))*(ACT_START&lt;=12)*(ACT_END&gt;=12)*IFERROR(ACT_UPLIFT-1,0)))*(1+SUMPRODUCT(SIGN(((ACT_DOOR_SCOPE="ALL")+(ACT_DOOR_SCOPE="TIER_"&amp;$F222)+(ACT_DOOR_SCOPE=$B222)))*SIGN(((ACT_SKU_SCOPE="ALL")+(ACT_SKU_SCOPE=$G222)))*(12&gt;ACT_END)*(ACT_END&gt;0)*IFERROR(ACT_POSTLIFT,0))),0)))</f>
        <v/>
      </c>
      <c r="V222" s="10">
        <f>IF(OR($H222&lt;&gt;"Y",13&lt;$I222),0,IF(SUMPRODUCT(((BULK_ENABLED="Y")*((BULK_TIER="ALL")+(BULK_TIER=$F222))*((BULK_SKU="ALL")+(BULK_SKU=$G222))*(BULK_START&lt;=13)*(BULK_END&gt;=13)))&gt;0,IFERROR(SUMPRODUCT(((BULK_ENABLED="Y")*((BULK_TIER="ALL")+(BULK_TIER=$F222))*((BULK_SKU="ALL")+(BULK_SKU=$G222))*(BULK_START&lt;=13)*(BULK_END&gt;=13))*IFERROR(BULK_VALUE,0))/MAX(1,SUMPRODUCT(((BULK_ENABLED="Y")*((BULK_TIER="ALL")+(BULK_TIER=$F222))*((BULK_SKU="ALL")+(BULK_SKU=$G222))*(BULK_START&lt;=13)*(BULK_END&gt;=13)))),0),ROUND((INDEX(VELOCITY_TABLE,MATCH($F222,TIER_LIST,0),2))*(IF((13-$I222+1)&lt;=0,0,IF((13-$I222+1)=1,RAMP_W1,IF((13-$I222+1)=2,RAMP_W2,IF((13-$I222+1)=3,RAMP_W3,RAMP_W4PLUS)))))*(INDEX(ACTIVE_MULT_TABLE,2,1))*(1+SUMPRODUCT(SIGN(((ACT_DOOR_SCOPE="ALL")+(ACT_DOOR_SCOPE="TIER_"&amp;$F222)+(ACT_DOOR_SCOPE=$B222)))*SIGN(((ACT_SKU_SCOPE="ALL")+(ACT_SKU_SCOPE=$G222)))*(ACT_START&lt;=13)*(ACT_END&gt;=13)*IFERROR(ACT_UPLIFT-1,0)))*(1+SUMPRODUCT(SIGN(((ACT_DOOR_SCOPE="ALL")+(ACT_DOOR_SCOPE="TIER_"&amp;$F222)+(ACT_DOOR_SCOPE=$B222)))*SIGN(((ACT_SKU_SCOPE="ALL")+(ACT_SKU_SCOPE=$G222)))*(13&gt;ACT_END)*(ACT_END&gt;0)*IFERROR(ACT_POSTLIFT,0))),0)))</f>
        <v/>
      </c>
    </row>
    <row r="223">
      <c r="A223" t="inlineStr">
        <is>
          <t>R0219</t>
        </is>
      </c>
      <c r="B223">
        <f>Doors!$A$77</f>
        <v/>
      </c>
      <c r="C223">
        <f>Doors!$C$77</f>
        <v/>
      </c>
      <c r="D223">
        <f>Doors!$B$77</f>
        <v/>
      </c>
      <c r="E223">
        <f>Doors!$E$77</f>
        <v/>
      </c>
      <c r="F223">
        <f>Doors!$F$77</f>
        <v/>
      </c>
      <c r="G223" t="inlineStr">
        <is>
          <t>Raspberry</t>
        </is>
      </c>
      <c r="H223">
        <f>Doors!$I$77</f>
        <v/>
      </c>
      <c r="I223">
        <f>Doors!$J$77</f>
        <v/>
      </c>
      <c r="J223" s="10">
        <f>IF(OR($H223&lt;&gt;"Y",1&lt;$I223),0,IF(SUMPRODUCT(((BULK_ENABLED="Y")*((BULK_TIER="ALL")+(BULK_TIER=$F223))*((BULK_SKU="ALL")+(BULK_SKU=$G223))*(BULK_START&lt;=1)*(BULK_END&gt;=1)))&gt;0,IFERROR(SUMPRODUCT(((BULK_ENABLED="Y")*((BULK_TIER="ALL")+(BULK_TIER=$F223))*((BULK_SKU="ALL")+(BULK_SKU=$G223))*(BULK_START&lt;=1)*(BULK_END&gt;=1))*IFERROR(BULK_VALUE,0))/MAX(1,SUMPRODUCT(((BULK_ENABLED="Y")*((BULK_TIER="ALL")+(BULK_TIER=$F223))*((BULK_SKU="ALL")+(BULK_SKU=$G223))*(BULK_START&lt;=1)*(BULK_END&gt;=1)))),0),ROUND((INDEX(VELOCITY_TABLE,MATCH($F223,TIER_LIST,0),3))*(IF((1-$I223+1)&lt;=0,0,IF((1-$I223+1)=1,RAMP_W1,IF((1-$I223+1)=2,RAMP_W2,IF((1-$I223+1)=3,RAMP_W3,RAMP_W4PLUS)))))*(INDEX(ACTIVE_MULT_TABLE,3,1))*(1+SUMPRODUCT(SIGN(((ACT_DOOR_SCOPE="ALL")+(ACT_DOOR_SCOPE="TIER_"&amp;$F223)+(ACT_DOOR_SCOPE=$B223)))*SIGN(((ACT_SKU_SCOPE="ALL")+(ACT_SKU_SCOPE=$G223)))*(ACT_START&lt;=1)*(ACT_END&gt;=1)*IFERROR(ACT_UPLIFT-1,0)))*(1+SUMPRODUCT(SIGN(((ACT_DOOR_SCOPE="ALL")+(ACT_DOOR_SCOPE="TIER_"&amp;$F223)+(ACT_DOOR_SCOPE=$B223)))*SIGN(((ACT_SKU_SCOPE="ALL")+(ACT_SKU_SCOPE=$G223)))*(1&gt;ACT_END)*(ACT_END&gt;0)*IFERROR(ACT_POSTLIFT,0))),0)))</f>
        <v/>
      </c>
      <c r="K223" s="10">
        <f>IF(OR($H223&lt;&gt;"Y",2&lt;$I223),0,IF(SUMPRODUCT(((BULK_ENABLED="Y")*((BULK_TIER="ALL")+(BULK_TIER=$F223))*((BULK_SKU="ALL")+(BULK_SKU=$G223))*(BULK_START&lt;=2)*(BULK_END&gt;=2)))&gt;0,IFERROR(SUMPRODUCT(((BULK_ENABLED="Y")*((BULK_TIER="ALL")+(BULK_TIER=$F223))*((BULK_SKU="ALL")+(BULK_SKU=$G223))*(BULK_START&lt;=2)*(BULK_END&gt;=2))*IFERROR(BULK_VALUE,0))/MAX(1,SUMPRODUCT(((BULK_ENABLED="Y")*((BULK_TIER="ALL")+(BULK_TIER=$F223))*((BULK_SKU="ALL")+(BULK_SKU=$G223))*(BULK_START&lt;=2)*(BULK_END&gt;=2)))),0),ROUND((INDEX(VELOCITY_TABLE,MATCH($F223,TIER_LIST,0),3))*(IF((2-$I223+1)&lt;=0,0,IF((2-$I223+1)=1,RAMP_W1,IF((2-$I223+1)=2,RAMP_W2,IF((2-$I223+1)=3,RAMP_W3,RAMP_W4PLUS)))))*(INDEX(ACTIVE_MULT_TABLE,3,1))*(1+SUMPRODUCT(SIGN(((ACT_DOOR_SCOPE="ALL")+(ACT_DOOR_SCOPE="TIER_"&amp;$F223)+(ACT_DOOR_SCOPE=$B223)))*SIGN(((ACT_SKU_SCOPE="ALL")+(ACT_SKU_SCOPE=$G223)))*(ACT_START&lt;=2)*(ACT_END&gt;=2)*IFERROR(ACT_UPLIFT-1,0)))*(1+SUMPRODUCT(SIGN(((ACT_DOOR_SCOPE="ALL")+(ACT_DOOR_SCOPE="TIER_"&amp;$F223)+(ACT_DOOR_SCOPE=$B223)))*SIGN(((ACT_SKU_SCOPE="ALL")+(ACT_SKU_SCOPE=$G223)))*(2&gt;ACT_END)*(ACT_END&gt;0)*IFERROR(ACT_POSTLIFT,0))),0)))</f>
        <v/>
      </c>
      <c r="L223" s="10">
        <f>IF(OR($H223&lt;&gt;"Y",3&lt;$I223),0,IF(SUMPRODUCT(((BULK_ENABLED="Y")*((BULK_TIER="ALL")+(BULK_TIER=$F223))*((BULK_SKU="ALL")+(BULK_SKU=$G223))*(BULK_START&lt;=3)*(BULK_END&gt;=3)))&gt;0,IFERROR(SUMPRODUCT(((BULK_ENABLED="Y")*((BULK_TIER="ALL")+(BULK_TIER=$F223))*((BULK_SKU="ALL")+(BULK_SKU=$G223))*(BULK_START&lt;=3)*(BULK_END&gt;=3))*IFERROR(BULK_VALUE,0))/MAX(1,SUMPRODUCT(((BULK_ENABLED="Y")*((BULK_TIER="ALL")+(BULK_TIER=$F223))*((BULK_SKU="ALL")+(BULK_SKU=$G223))*(BULK_START&lt;=3)*(BULK_END&gt;=3)))),0),ROUND((INDEX(VELOCITY_TABLE,MATCH($F223,TIER_LIST,0),3))*(IF((3-$I223+1)&lt;=0,0,IF((3-$I223+1)=1,RAMP_W1,IF((3-$I223+1)=2,RAMP_W2,IF((3-$I223+1)=3,RAMP_W3,RAMP_W4PLUS)))))*(INDEX(ACTIVE_MULT_TABLE,3,1))*(1+SUMPRODUCT(SIGN(((ACT_DOOR_SCOPE="ALL")+(ACT_DOOR_SCOPE="TIER_"&amp;$F223)+(ACT_DOOR_SCOPE=$B223)))*SIGN(((ACT_SKU_SCOPE="ALL")+(ACT_SKU_SCOPE=$G223)))*(ACT_START&lt;=3)*(ACT_END&gt;=3)*IFERROR(ACT_UPLIFT-1,0)))*(1+SUMPRODUCT(SIGN(((ACT_DOOR_SCOPE="ALL")+(ACT_DOOR_SCOPE="TIER_"&amp;$F223)+(ACT_DOOR_SCOPE=$B223)))*SIGN(((ACT_SKU_SCOPE="ALL")+(ACT_SKU_SCOPE=$G223)))*(3&gt;ACT_END)*(ACT_END&gt;0)*IFERROR(ACT_POSTLIFT,0))),0)))</f>
        <v/>
      </c>
      <c r="M223" s="10">
        <f>IF(OR($H223&lt;&gt;"Y",4&lt;$I223),0,IF(SUMPRODUCT(((BULK_ENABLED="Y")*((BULK_TIER="ALL")+(BULK_TIER=$F223))*((BULK_SKU="ALL")+(BULK_SKU=$G223))*(BULK_START&lt;=4)*(BULK_END&gt;=4)))&gt;0,IFERROR(SUMPRODUCT(((BULK_ENABLED="Y")*((BULK_TIER="ALL")+(BULK_TIER=$F223))*((BULK_SKU="ALL")+(BULK_SKU=$G223))*(BULK_START&lt;=4)*(BULK_END&gt;=4))*IFERROR(BULK_VALUE,0))/MAX(1,SUMPRODUCT(((BULK_ENABLED="Y")*((BULK_TIER="ALL")+(BULK_TIER=$F223))*((BULK_SKU="ALL")+(BULK_SKU=$G223))*(BULK_START&lt;=4)*(BULK_END&gt;=4)))),0),ROUND((INDEX(VELOCITY_TABLE,MATCH($F223,TIER_LIST,0),3))*(IF((4-$I223+1)&lt;=0,0,IF((4-$I223+1)=1,RAMP_W1,IF((4-$I223+1)=2,RAMP_W2,IF((4-$I223+1)=3,RAMP_W3,RAMP_W4PLUS)))))*(INDEX(ACTIVE_MULT_TABLE,3,1))*(1+SUMPRODUCT(SIGN(((ACT_DOOR_SCOPE="ALL")+(ACT_DOOR_SCOPE="TIER_"&amp;$F223)+(ACT_DOOR_SCOPE=$B223)))*SIGN(((ACT_SKU_SCOPE="ALL")+(ACT_SKU_SCOPE=$G223)))*(ACT_START&lt;=4)*(ACT_END&gt;=4)*IFERROR(ACT_UPLIFT-1,0)))*(1+SUMPRODUCT(SIGN(((ACT_DOOR_SCOPE="ALL")+(ACT_DOOR_SCOPE="TIER_"&amp;$F223)+(ACT_DOOR_SCOPE=$B223)))*SIGN(((ACT_SKU_SCOPE="ALL")+(ACT_SKU_SCOPE=$G223)))*(4&gt;ACT_END)*(ACT_END&gt;0)*IFERROR(ACT_POSTLIFT,0))),0)))</f>
        <v/>
      </c>
      <c r="N223" s="10">
        <f>IF(OR($H223&lt;&gt;"Y",5&lt;$I223),0,IF(SUMPRODUCT(((BULK_ENABLED="Y")*((BULK_TIER="ALL")+(BULK_TIER=$F223))*((BULK_SKU="ALL")+(BULK_SKU=$G223))*(BULK_START&lt;=5)*(BULK_END&gt;=5)))&gt;0,IFERROR(SUMPRODUCT(((BULK_ENABLED="Y")*((BULK_TIER="ALL")+(BULK_TIER=$F223))*((BULK_SKU="ALL")+(BULK_SKU=$G223))*(BULK_START&lt;=5)*(BULK_END&gt;=5))*IFERROR(BULK_VALUE,0))/MAX(1,SUMPRODUCT(((BULK_ENABLED="Y")*((BULK_TIER="ALL")+(BULK_TIER=$F223))*((BULK_SKU="ALL")+(BULK_SKU=$G223))*(BULK_START&lt;=5)*(BULK_END&gt;=5)))),0),ROUND((INDEX(VELOCITY_TABLE,MATCH($F223,TIER_LIST,0),3))*(IF((5-$I223+1)&lt;=0,0,IF((5-$I223+1)=1,RAMP_W1,IF((5-$I223+1)=2,RAMP_W2,IF((5-$I223+1)=3,RAMP_W3,RAMP_W4PLUS)))))*(INDEX(ACTIVE_MULT_TABLE,3,1))*(1+SUMPRODUCT(SIGN(((ACT_DOOR_SCOPE="ALL")+(ACT_DOOR_SCOPE="TIER_"&amp;$F223)+(ACT_DOOR_SCOPE=$B223)))*SIGN(((ACT_SKU_SCOPE="ALL")+(ACT_SKU_SCOPE=$G223)))*(ACT_START&lt;=5)*(ACT_END&gt;=5)*IFERROR(ACT_UPLIFT-1,0)))*(1+SUMPRODUCT(SIGN(((ACT_DOOR_SCOPE="ALL")+(ACT_DOOR_SCOPE="TIER_"&amp;$F223)+(ACT_DOOR_SCOPE=$B223)))*SIGN(((ACT_SKU_SCOPE="ALL")+(ACT_SKU_SCOPE=$G223)))*(5&gt;ACT_END)*(ACT_END&gt;0)*IFERROR(ACT_POSTLIFT,0))),0)))</f>
        <v/>
      </c>
      <c r="O223" s="10">
        <f>IF(OR($H223&lt;&gt;"Y",6&lt;$I223),0,IF(SUMPRODUCT(((BULK_ENABLED="Y")*((BULK_TIER="ALL")+(BULK_TIER=$F223))*((BULK_SKU="ALL")+(BULK_SKU=$G223))*(BULK_START&lt;=6)*(BULK_END&gt;=6)))&gt;0,IFERROR(SUMPRODUCT(((BULK_ENABLED="Y")*((BULK_TIER="ALL")+(BULK_TIER=$F223))*((BULK_SKU="ALL")+(BULK_SKU=$G223))*(BULK_START&lt;=6)*(BULK_END&gt;=6))*IFERROR(BULK_VALUE,0))/MAX(1,SUMPRODUCT(((BULK_ENABLED="Y")*((BULK_TIER="ALL")+(BULK_TIER=$F223))*((BULK_SKU="ALL")+(BULK_SKU=$G223))*(BULK_START&lt;=6)*(BULK_END&gt;=6)))),0),ROUND((INDEX(VELOCITY_TABLE,MATCH($F223,TIER_LIST,0),3))*(IF((6-$I223+1)&lt;=0,0,IF((6-$I223+1)=1,RAMP_W1,IF((6-$I223+1)=2,RAMP_W2,IF((6-$I223+1)=3,RAMP_W3,RAMP_W4PLUS)))))*(INDEX(ACTIVE_MULT_TABLE,3,1))*(1+SUMPRODUCT(SIGN(((ACT_DOOR_SCOPE="ALL")+(ACT_DOOR_SCOPE="TIER_"&amp;$F223)+(ACT_DOOR_SCOPE=$B223)))*SIGN(((ACT_SKU_SCOPE="ALL")+(ACT_SKU_SCOPE=$G223)))*(ACT_START&lt;=6)*(ACT_END&gt;=6)*IFERROR(ACT_UPLIFT-1,0)))*(1+SUMPRODUCT(SIGN(((ACT_DOOR_SCOPE="ALL")+(ACT_DOOR_SCOPE="TIER_"&amp;$F223)+(ACT_DOOR_SCOPE=$B223)))*SIGN(((ACT_SKU_SCOPE="ALL")+(ACT_SKU_SCOPE=$G223)))*(6&gt;ACT_END)*(ACT_END&gt;0)*IFERROR(ACT_POSTLIFT,0))),0)))</f>
        <v/>
      </c>
      <c r="P223" s="10">
        <f>IF(OR($H223&lt;&gt;"Y",7&lt;$I223),0,IF(SUMPRODUCT(((BULK_ENABLED="Y")*((BULK_TIER="ALL")+(BULK_TIER=$F223))*((BULK_SKU="ALL")+(BULK_SKU=$G223))*(BULK_START&lt;=7)*(BULK_END&gt;=7)))&gt;0,IFERROR(SUMPRODUCT(((BULK_ENABLED="Y")*((BULK_TIER="ALL")+(BULK_TIER=$F223))*((BULK_SKU="ALL")+(BULK_SKU=$G223))*(BULK_START&lt;=7)*(BULK_END&gt;=7))*IFERROR(BULK_VALUE,0))/MAX(1,SUMPRODUCT(((BULK_ENABLED="Y")*((BULK_TIER="ALL")+(BULK_TIER=$F223))*((BULK_SKU="ALL")+(BULK_SKU=$G223))*(BULK_START&lt;=7)*(BULK_END&gt;=7)))),0),ROUND((INDEX(VELOCITY_TABLE,MATCH($F223,TIER_LIST,0),3))*(IF((7-$I223+1)&lt;=0,0,IF((7-$I223+1)=1,RAMP_W1,IF((7-$I223+1)=2,RAMP_W2,IF((7-$I223+1)=3,RAMP_W3,RAMP_W4PLUS)))))*(INDEX(ACTIVE_MULT_TABLE,3,1))*(1+SUMPRODUCT(SIGN(((ACT_DOOR_SCOPE="ALL")+(ACT_DOOR_SCOPE="TIER_"&amp;$F223)+(ACT_DOOR_SCOPE=$B223)))*SIGN(((ACT_SKU_SCOPE="ALL")+(ACT_SKU_SCOPE=$G223)))*(ACT_START&lt;=7)*(ACT_END&gt;=7)*IFERROR(ACT_UPLIFT-1,0)))*(1+SUMPRODUCT(SIGN(((ACT_DOOR_SCOPE="ALL")+(ACT_DOOR_SCOPE="TIER_"&amp;$F223)+(ACT_DOOR_SCOPE=$B223)))*SIGN(((ACT_SKU_SCOPE="ALL")+(ACT_SKU_SCOPE=$G223)))*(7&gt;ACT_END)*(ACT_END&gt;0)*IFERROR(ACT_POSTLIFT,0))),0)))</f>
        <v/>
      </c>
      <c r="Q223" s="10">
        <f>IF(OR($H223&lt;&gt;"Y",8&lt;$I223),0,IF(SUMPRODUCT(((BULK_ENABLED="Y")*((BULK_TIER="ALL")+(BULK_TIER=$F223))*((BULK_SKU="ALL")+(BULK_SKU=$G223))*(BULK_START&lt;=8)*(BULK_END&gt;=8)))&gt;0,IFERROR(SUMPRODUCT(((BULK_ENABLED="Y")*((BULK_TIER="ALL")+(BULK_TIER=$F223))*((BULK_SKU="ALL")+(BULK_SKU=$G223))*(BULK_START&lt;=8)*(BULK_END&gt;=8))*IFERROR(BULK_VALUE,0))/MAX(1,SUMPRODUCT(((BULK_ENABLED="Y")*((BULK_TIER="ALL")+(BULK_TIER=$F223))*((BULK_SKU="ALL")+(BULK_SKU=$G223))*(BULK_START&lt;=8)*(BULK_END&gt;=8)))),0),ROUND((INDEX(VELOCITY_TABLE,MATCH($F223,TIER_LIST,0),3))*(IF((8-$I223+1)&lt;=0,0,IF((8-$I223+1)=1,RAMP_W1,IF((8-$I223+1)=2,RAMP_W2,IF((8-$I223+1)=3,RAMP_W3,RAMP_W4PLUS)))))*(INDEX(ACTIVE_MULT_TABLE,3,1))*(1+SUMPRODUCT(SIGN(((ACT_DOOR_SCOPE="ALL")+(ACT_DOOR_SCOPE="TIER_"&amp;$F223)+(ACT_DOOR_SCOPE=$B223)))*SIGN(((ACT_SKU_SCOPE="ALL")+(ACT_SKU_SCOPE=$G223)))*(ACT_START&lt;=8)*(ACT_END&gt;=8)*IFERROR(ACT_UPLIFT-1,0)))*(1+SUMPRODUCT(SIGN(((ACT_DOOR_SCOPE="ALL")+(ACT_DOOR_SCOPE="TIER_"&amp;$F223)+(ACT_DOOR_SCOPE=$B223)))*SIGN(((ACT_SKU_SCOPE="ALL")+(ACT_SKU_SCOPE=$G223)))*(8&gt;ACT_END)*(ACT_END&gt;0)*IFERROR(ACT_POSTLIFT,0))),0)))</f>
        <v/>
      </c>
      <c r="R223" s="10">
        <f>IF(OR($H223&lt;&gt;"Y",9&lt;$I223),0,IF(SUMPRODUCT(((BULK_ENABLED="Y")*((BULK_TIER="ALL")+(BULK_TIER=$F223))*((BULK_SKU="ALL")+(BULK_SKU=$G223))*(BULK_START&lt;=9)*(BULK_END&gt;=9)))&gt;0,IFERROR(SUMPRODUCT(((BULK_ENABLED="Y")*((BULK_TIER="ALL")+(BULK_TIER=$F223))*((BULK_SKU="ALL")+(BULK_SKU=$G223))*(BULK_START&lt;=9)*(BULK_END&gt;=9))*IFERROR(BULK_VALUE,0))/MAX(1,SUMPRODUCT(((BULK_ENABLED="Y")*((BULK_TIER="ALL")+(BULK_TIER=$F223))*((BULK_SKU="ALL")+(BULK_SKU=$G223))*(BULK_START&lt;=9)*(BULK_END&gt;=9)))),0),ROUND((INDEX(VELOCITY_TABLE,MATCH($F223,TIER_LIST,0),3))*(IF((9-$I223+1)&lt;=0,0,IF((9-$I223+1)=1,RAMP_W1,IF((9-$I223+1)=2,RAMP_W2,IF((9-$I223+1)=3,RAMP_W3,RAMP_W4PLUS)))))*(INDEX(ACTIVE_MULT_TABLE,3,1))*(1+SUMPRODUCT(SIGN(((ACT_DOOR_SCOPE="ALL")+(ACT_DOOR_SCOPE="TIER_"&amp;$F223)+(ACT_DOOR_SCOPE=$B223)))*SIGN(((ACT_SKU_SCOPE="ALL")+(ACT_SKU_SCOPE=$G223)))*(ACT_START&lt;=9)*(ACT_END&gt;=9)*IFERROR(ACT_UPLIFT-1,0)))*(1+SUMPRODUCT(SIGN(((ACT_DOOR_SCOPE="ALL")+(ACT_DOOR_SCOPE="TIER_"&amp;$F223)+(ACT_DOOR_SCOPE=$B223)))*SIGN(((ACT_SKU_SCOPE="ALL")+(ACT_SKU_SCOPE=$G223)))*(9&gt;ACT_END)*(ACT_END&gt;0)*IFERROR(ACT_POSTLIFT,0))),0)))</f>
        <v/>
      </c>
      <c r="S223" s="10">
        <f>IF(OR($H223&lt;&gt;"Y",10&lt;$I223),0,IF(SUMPRODUCT(((BULK_ENABLED="Y")*((BULK_TIER="ALL")+(BULK_TIER=$F223))*((BULK_SKU="ALL")+(BULK_SKU=$G223))*(BULK_START&lt;=10)*(BULK_END&gt;=10)))&gt;0,IFERROR(SUMPRODUCT(((BULK_ENABLED="Y")*((BULK_TIER="ALL")+(BULK_TIER=$F223))*((BULK_SKU="ALL")+(BULK_SKU=$G223))*(BULK_START&lt;=10)*(BULK_END&gt;=10))*IFERROR(BULK_VALUE,0))/MAX(1,SUMPRODUCT(((BULK_ENABLED="Y")*((BULK_TIER="ALL")+(BULK_TIER=$F223))*((BULK_SKU="ALL")+(BULK_SKU=$G223))*(BULK_START&lt;=10)*(BULK_END&gt;=10)))),0),ROUND((INDEX(VELOCITY_TABLE,MATCH($F223,TIER_LIST,0),3))*(IF((10-$I223+1)&lt;=0,0,IF((10-$I223+1)=1,RAMP_W1,IF((10-$I223+1)=2,RAMP_W2,IF((10-$I223+1)=3,RAMP_W3,RAMP_W4PLUS)))))*(INDEX(ACTIVE_MULT_TABLE,3,1))*(1+SUMPRODUCT(SIGN(((ACT_DOOR_SCOPE="ALL")+(ACT_DOOR_SCOPE="TIER_"&amp;$F223)+(ACT_DOOR_SCOPE=$B223)))*SIGN(((ACT_SKU_SCOPE="ALL")+(ACT_SKU_SCOPE=$G223)))*(ACT_START&lt;=10)*(ACT_END&gt;=10)*IFERROR(ACT_UPLIFT-1,0)))*(1+SUMPRODUCT(SIGN(((ACT_DOOR_SCOPE="ALL")+(ACT_DOOR_SCOPE="TIER_"&amp;$F223)+(ACT_DOOR_SCOPE=$B223)))*SIGN(((ACT_SKU_SCOPE="ALL")+(ACT_SKU_SCOPE=$G223)))*(10&gt;ACT_END)*(ACT_END&gt;0)*IFERROR(ACT_POSTLIFT,0))),0)))</f>
        <v/>
      </c>
      <c r="T223" s="10">
        <f>IF(OR($H223&lt;&gt;"Y",11&lt;$I223),0,IF(SUMPRODUCT(((BULK_ENABLED="Y")*((BULK_TIER="ALL")+(BULK_TIER=$F223))*((BULK_SKU="ALL")+(BULK_SKU=$G223))*(BULK_START&lt;=11)*(BULK_END&gt;=11)))&gt;0,IFERROR(SUMPRODUCT(((BULK_ENABLED="Y")*((BULK_TIER="ALL")+(BULK_TIER=$F223))*((BULK_SKU="ALL")+(BULK_SKU=$G223))*(BULK_START&lt;=11)*(BULK_END&gt;=11))*IFERROR(BULK_VALUE,0))/MAX(1,SUMPRODUCT(((BULK_ENABLED="Y")*((BULK_TIER="ALL")+(BULK_TIER=$F223))*((BULK_SKU="ALL")+(BULK_SKU=$G223))*(BULK_START&lt;=11)*(BULK_END&gt;=11)))),0),ROUND((INDEX(VELOCITY_TABLE,MATCH($F223,TIER_LIST,0),3))*(IF((11-$I223+1)&lt;=0,0,IF((11-$I223+1)=1,RAMP_W1,IF((11-$I223+1)=2,RAMP_W2,IF((11-$I223+1)=3,RAMP_W3,RAMP_W4PLUS)))))*(INDEX(ACTIVE_MULT_TABLE,3,1))*(1+SUMPRODUCT(SIGN(((ACT_DOOR_SCOPE="ALL")+(ACT_DOOR_SCOPE="TIER_"&amp;$F223)+(ACT_DOOR_SCOPE=$B223)))*SIGN(((ACT_SKU_SCOPE="ALL")+(ACT_SKU_SCOPE=$G223)))*(ACT_START&lt;=11)*(ACT_END&gt;=11)*IFERROR(ACT_UPLIFT-1,0)))*(1+SUMPRODUCT(SIGN(((ACT_DOOR_SCOPE="ALL")+(ACT_DOOR_SCOPE="TIER_"&amp;$F223)+(ACT_DOOR_SCOPE=$B223)))*SIGN(((ACT_SKU_SCOPE="ALL")+(ACT_SKU_SCOPE=$G223)))*(11&gt;ACT_END)*(ACT_END&gt;0)*IFERROR(ACT_POSTLIFT,0))),0)))</f>
        <v/>
      </c>
      <c r="U223" s="10">
        <f>IF(OR($H223&lt;&gt;"Y",12&lt;$I223),0,IF(SUMPRODUCT(((BULK_ENABLED="Y")*((BULK_TIER="ALL")+(BULK_TIER=$F223))*((BULK_SKU="ALL")+(BULK_SKU=$G223))*(BULK_START&lt;=12)*(BULK_END&gt;=12)))&gt;0,IFERROR(SUMPRODUCT(((BULK_ENABLED="Y")*((BULK_TIER="ALL")+(BULK_TIER=$F223))*((BULK_SKU="ALL")+(BULK_SKU=$G223))*(BULK_START&lt;=12)*(BULK_END&gt;=12))*IFERROR(BULK_VALUE,0))/MAX(1,SUMPRODUCT(((BULK_ENABLED="Y")*((BULK_TIER="ALL")+(BULK_TIER=$F223))*((BULK_SKU="ALL")+(BULK_SKU=$G223))*(BULK_START&lt;=12)*(BULK_END&gt;=12)))),0),ROUND((INDEX(VELOCITY_TABLE,MATCH($F223,TIER_LIST,0),3))*(IF((12-$I223+1)&lt;=0,0,IF((12-$I223+1)=1,RAMP_W1,IF((12-$I223+1)=2,RAMP_W2,IF((12-$I223+1)=3,RAMP_W3,RAMP_W4PLUS)))))*(INDEX(ACTIVE_MULT_TABLE,3,1))*(1+SUMPRODUCT(SIGN(((ACT_DOOR_SCOPE="ALL")+(ACT_DOOR_SCOPE="TIER_"&amp;$F223)+(ACT_DOOR_SCOPE=$B223)))*SIGN(((ACT_SKU_SCOPE="ALL")+(ACT_SKU_SCOPE=$G223)))*(ACT_START&lt;=12)*(ACT_END&gt;=12)*IFERROR(ACT_UPLIFT-1,0)))*(1+SUMPRODUCT(SIGN(((ACT_DOOR_SCOPE="ALL")+(ACT_DOOR_SCOPE="TIER_"&amp;$F223)+(ACT_DOOR_SCOPE=$B223)))*SIGN(((ACT_SKU_SCOPE="ALL")+(ACT_SKU_SCOPE=$G223)))*(12&gt;ACT_END)*(ACT_END&gt;0)*IFERROR(ACT_POSTLIFT,0))),0)))</f>
        <v/>
      </c>
      <c r="V223" s="10">
        <f>IF(OR($H223&lt;&gt;"Y",13&lt;$I223),0,IF(SUMPRODUCT(((BULK_ENABLED="Y")*((BULK_TIER="ALL")+(BULK_TIER=$F223))*((BULK_SKU="ALL")+(BULK_SKU=$G223))*(BULK_START&lt;=13)*(BULK_END&gt;=13)))&gt;0,IFERROR(SUMPRODUCT(((BULK_ENABLED="Y")*((BULK_TIER="ALL")+(BULK_TIER=$F223))*((BULK_SKU="ALL")+(BULK_SKU=$G223))*(BULK_START&lt;=13)*(BULK_END&gt;=13))*IFERROR(BULK_VALUE,0))/MAX(1,SUMPRODUCT(((BULK_ENABLED="Y")*((BULK_TIER="ALL")+(BULK_TIER=$F223))*((BULK_SKU="ALL")+(BULK_SKU=$G223))*(BULK_START&lt;=13)*(BULK_END&gt;=13)))),0),ROUND((INDEX(VELOCITY_TABLE,MATCH($F223,TIER_LIST,0),3))*(IF((13-$I223+1)&lt;=0,0,IF((13-$I223+1)=1,RAMP_W1,IF((13-$I223+1)=2,RAMP_W2,IF((13-$I223+1)=3,RAMP_W3,RAMP_W4PLUS)))))*(INDEX(ACTIVE_MULT_TABLE,3,1))*(1+SUMPRODUCT(SIGN(((ACT_DOOR_SCOPE="ALL")+(ACT_DOOR_SCOPE="TIER_"&amp;$F223)+(ACT_DOOR_SCOPE=$B223)))*SIGN(((ACT_SKU_SCOPE="ALL")+(ACT_SKU_SCOPE=$G223)))*(ACT_START&lt;=13)*(ACT_END&gt;=13)*IFERROR(ACT_UPLIFT-1,0)))*(1+SUMPRODUCT(SIGN(((ACT_DOOR_SCOPE="ALL")+(ACT_DOOR_SCOPE="TIER_"&amp;$F223)+(ACT_DOOR_SCOPE=$B223)))*SIGN(((ACT_SKU_SCOPE="ALL")+(ACT_SKU_SCOPE=$G223)))*(13&gt;ACT_END)*(ACT_END&gt;0)*IFERROR(ACT_POSTLIFT,0))),0)))</f>
        <v/>
      </c>
    </row>
    <row r="224">
      <c r="A224" t="inlineStr">
        <is>
          <t>R0220</t>
        </is>
      </c>
      <c r="B224">
        <f>Doors!$A$78</f>
        <v/>
      </c>
      <c r="C224">
        <f>Doors!$C$78</f>
        <v/>
      </c>
      <c r="D224">
        <f>Doors!$B$78</f>
        <v/>
      </c>
      <c r="E224">
        <f>Doors!$E$78</f>
        <v/>
      </c>
      <c r="F224">
        <f>Doors!$F$78</f>
        <v/>
      </c>
      <c r="G224" t="inlineStr">
        <is>
          <t>Lime Lemon</t>
        </is>
      </c>
      <c r="H224">
        <f>Doors!$G$78</f>
        <v/>
      </c>
      <c r="I224">
        <f>Doors!$J$78</f>
        <v/>
      </c>
      <c r="J224" s="10">
        <f>IF(OR($H224&lt;&gt;"Y",1&lt;$I224),0,IF(SUMPRODUCT(((BULK_ENABLED="Y")*((BULK_TIER="ALL")+(BULK_TIER=$F224))*((BULK_SKU="ALL")+(BULK_SKU=$G224))*(BULK_START&lt;=1)*(BULK_END&gt;=1)))&gt;0,IFERROR(SUMPRODUCT(((BULK_ENABLED="Y")*((BULK_TIER="ALL")+(BULK_TIER=$F224))*((BULK_SKU="ALL")+(BULK_SKU=$G224))*(BULK_START&lt;=1)*(BULK_END&gt;=1))*IFERROR(BULK_VALUE,0))/MAX(1,SUMPRODUCT(((BULK_ENABLED="Y")*((BULK_TIER="ALL")+(BULK_TIER=$F224))*((BULK_SKU="ALL")+(BULK_SKU=$G224))*(BULK_START&lt;=1)*(BULK_END&gt;=1)))),0),ROUND((INDEX(VELOCITY_TABLE,MATCH($F224,TIER_LIST,0),1))*(IF((1-$I224+1)&lt;=0,0,IF((1-$I224+1)=1,RAMP_W1,IF((1-$I224+1)=2,RAMP_W2,IF((1-$I224+1)=3,RAMP_W3,RAMP_W4PLUS)))))*(INDEX(ACTIVE_MULT_TABLE,1,1))*(1+SUMPRODUCT(SIGN(((ACT_DOOR_SCOPE="ALL")+(ACT_DOOR_SCOPE="TIER_"&amp;$F224)+(ACT_DOOR_SCOPE=$B224)))*SIGN(((ACT_SKU_SCOPE="ALL")+(ACT_SKU_SCOPE=$G224)))*(ACT_START&lt;=1)*(ACT_END&gt;=1)*IFERROR(ACT_UPLIFT-1,0)))*(1+SUMPRODUCT(SIGN(((ACT_DOOR_SCOPE="ALL")+(ACT_DOOR_SCOPE="TIER_"&amp;$F224)+(ACT_DOOR_SCOPE=$B224)))*SIGN(((ACT_SKU_SCOPE="ALL")+(ACT_SKU_SCOPE=$G224)))*(1&gt;ACT_END)*(ACT_END&gt;0)*IFERROR(ACT_POSTLIFT,0))),0)))</f>
        <v/>
      </c>
      <c r="K224" s="10">
        <f>IF(OR($H224&lt;&gt;"Y",2&lt;$I224),0,IF(SUMPRODUCT(((BULK_ENABLED="Y")*((BULK_TIER="ALL")+(BULK_TIER=$F224))*((BULK_SKU="ALL")+(BULK_SKU=$G224))*(BULK_START&lt;=2)*(BULK_END&gt;=2)))&gt;0,IFERROR(SUMPRODUCT(((BULK_ENABLED="Y")*((BULK_TIER="ALL")+(BULK_TIER=$F224))*((BULK_SKU="ALL")+(BULK_SKU=$G224))*(BULK_START&lt;=2)*(BULK_END&gt;=2))*IFERROR(BULK_VALUE,0))/MAX(1,SUMPRODUCT(((BULK_ENABLED="Y")*((BULK_TIER="ALL")+(BULK_TIER=$F224))*((BULK_SKU="ALL")+(BULK_SKU=$G224))*(BULK_START&lt;=2)*(BULK_END&gt;=2)))),0),ROUND((INDEX(VELOCITY_TABLE,MATCH($F224,TIER_LIST,0),1))*(IF((2-$I224+1)&lt;=0,0,IF((2-$I224+1)=1,RAMP_W1,IF((2-$I224+1)=2,RAMP_W2,IF((2-$I224+1)=3,RAMP_W3,RAMP_W4PLUS)))))*(INDEX(ACTIVE_MULT_TABLE,1,1))*(1+SUMPRODUCT(SIGN(((ACT_DOOR_SCOPE="ALL")+(ACT_DOOR_SCOPE="TIER_"&amp;$F224)+(ACT_DOOR_SCOPE=$B224)))*SIGN(((ACT_SKU_SCOPE="ALL")+(ACT_SKU_SCOPE=$G224)))*(ACT_START&lt;=2)*(ACT_END&gt;=2)*IFERROR(ACT_UPLIFT-1,0)))*(1+SUMPRODUCT(SIGN(((ACT_DOOR_SCOPE="ALL")+(ACT_DOOR_SCOPE="TIER_"&amp;$F224)+(ACT_DOOR_SCOPE=$B224)))*SIGN(((ACT_SKU_SCOPE="ALL")+(ACT_SKU_SCOPE=$G224)))*(2&gt;ACT_END)*(ACT_END&gt;0)*IFERROR(ACT_POSTLIFT,0))),0)))</f>
        <v/>
      </c>
      <c r="L224" s="10">
        <f>IF(OR($H224&lt;&gt;"Y",3&lt;$I224),0,IF(SUMPRODUCT(((BULK_ENABLED="Y")*((BULK_TIER="ALL")+(BULK_TIER=$F224))*((BULK_SKU="ALL")+(BULK_SKU=$G224))*(BULK_START&lt;=3)*(BULK_END&gt;=3)))&gt;0,IFERROR(SUMPRODUCT(((BULK_ENABLED="Y")*((BULK_TIER="ALL")+(BULK_TIER=$F224))*((BULK_SKU="ALL")+(BULK_SKU=$G224))*(BULK_START&lt;=3)*(BULK_END&gt;=3))*IFERROR(BULK_VALUE,0))/MAX(1,SUMPRODUCT(((BULK_ENABLED="Y")*((BULK_TIER="ALL")+(BULK_TIER=$F224))*((BULK_SKU="ALL")+(BULK_SKU=$G224))*(BULK_START&lt;=3)*(BULK_END&gt;=3)))),0),ROUND((INDEX(VELOCITY_TABLE,MATCH($F224,TIER_LIST,0),1))*(IF((3-$I224+1)&lt;=0,0,IF((3-$I224+1)=1,RAMP_W1,IF((3-$I224+1)=2,RAMP_W2,IF((3-$I224+1)=3,RAMP_W3,RAMP_W4PLUS)))))*(INDEX(ACTIVE_MULT_TABLE,1,1))*(1+SUMPRODUCT(SIGN(((ACT_DOOR_SCOPE="ALL")+(ACT_DOOR_SCOPE="TIER_"&amp;$F224)+(ACT_DOOR_SCOPE=$B224)))*SIGN(((ACT_SKU_SCOPE="ALL")+(ACT_SKU_SCOPE=$G224)))*(ACT_START&lt;=3)*(ACT_END&gt;=3)*IFERROR(ACT_UPLIFT-1,0)))*(1+SUMPRODUCT(SIGN(((ACT_DOOR_SCOPE="ALL")+(ACT_DOOR_SCOPE="TIER_"&amp;$F224)+(ACT_DOOR_SCOPE=$B224)))*SIGN(((ACT_SKU_SCOPE="ALL")+(ACT_SKU_SCOPE=$G224)))*(3&gt;ACT_END)*(ACT_END&gt;0)*IFERROR(ACT_POSTLIFT,0))),0)))</f>
        <v/>
      </c>
      <c r="M224" s="10">
        <f>IF(OR($H224&lt;&gt;"Y",4&lt;$I224),0,IF(SUMPRODUCT(((BULK_ENABLED="Y")*((BULK_TIER="ALL")+(BULK_TIER=$F224))*((BULK_SKU="ALL")+(BULK_SKU=$G224))*(BULK_START&lt;=4)*(BULK_END&gt;=4)))&gt;0,IFERROR(SUMPRODUCT(((BULK_ENABLED="Y")*((BULK_TIER="ALL")+(BULK_TIER=$F224))*((BULK_SKU="ALL")+(BULK_SKU=$G224))*(BULK_START&lt;=4)*(BULK_END&gt;=4))*IFERROR(BULK_VALUE,0))/MAX(1,SUMPRODUCT(((BULK_ENABLED="Y")*((BULK_TIER="ALL")+(BULK_TIER=$F224))*((BULK_SKU="ALL")+(BULK_SKU=$G224))*(BULK_START&lt;=4)*(BULK_END&gt;=4)))),0),ROUND((INDEX(VELOCITY_TABLE,MATCH($F224,TIER_LIST,0),1))*(IF((4-$I224+1)&lt;=0,0,IF((4-$I224+1)=1,RAMP_W1,IF((4-$I224+1)=2,RAMP_W2,IF((4-$I224+1)=3,RAMP_W3,RAMP_W4PLUS)))))*(INDEX(ACTIVE_MULT_TABLE,1,1))*(1+SUMPRODUCT(SIGN(((ACT_DOOR_SCOPE="ALL")+(ACT_DOOR_SCOPE="TIER_"&amp;$F224)+(ACT_DOOR_SCOPE=$B224)))*SIGN(((ACT_SKU_SCOPE="ALL")+(ACT_SKU_SCOPE=$G224)))*(ACT_START&lt;=4)*(ACT_END&gt;=4)*IFERROR(ACT_UPLIFT-1,0)))*(1+SUMPRODUCT(SIGN(((ACT_DOOR_SCOPE="ALL")+(ACT_DOOR_SCOPE="TIER_"&amp;$F224)+(ACT_DOOR_SCOPE=$B224)))*SIGN(((ACT_SKU_SCOPE="ALL")+(ACT_SKU_SCOPE=$G224)))*(4&gt;ACT_END)*(ACT_END&gt;0)*IFERROR(ACT_POSTLIFT,0))),0)))</f>
        <v/>
      </c>
      <c r="N224" s="10">
        <f>IF(OR($H224&lt;&gt;"Y",5&lt;$I224),0,IF(SUMPRODUCT(((BULK_ENABLED="Y")*((BULK_TIER="ALL")+(BULK_TIER=$F224))*((BULK_SKU="ALL")+(BULK_SKU=$G224))*(BULK_START&lt;=5)*(BULK_END&gt;=5)))&gt;0,IFERROR(SUMPRODUCT(((BULK_ENABLED="Y")*((BULK_TIER="ALL")+(BULK_TIER=$F224))*((BULK_SKU="ALL")+(BULK_SKU=$G224))*(BULK_START&lt;=5)*(BULK_END&gt;=5))*IFERROR(BULK_VALUE,0))/MAX(1,SUMPRODUCT(((BULK_ENABLED="Y")*((BULK_TIER="ALL")+(BULK_TIER=$F224))*((BULK_SKU="ALL")+(BULK_SKU=$G224))*(BULK_START&lt;=5)*(BULK_END&gt;=5)))),0),ROUND((INDEX(VELOCITY_TABLE,MATCH($F224,TIER_LIST,0),1))*(IF((5-$I224+1)&lt;=0,0,IF((5-$I224+1)=1,RAMP_W1,IF((5-$I224+1)=2,RAMP_W2,IF((5-$I224+1)=3,RAMP_W3,RAMP_W4PLUS)))))*(INDEX(ACTIVE_MULT_TABLE,1,1))*(1+SUMPRODUCT(SIGN(((ACT_DOOR_SCOPE="ALL")+(ACT_DOOR_SCOPE="TIER_"&amp;$F224)+(ACT_DOOR_SCOPE=$B224)))*SIGN(((ACT_SKU_SCOPE="ALL")+(ACT_SKU_SCOPE=$G224)))*(ACT_START&lt;=5)*(ACT_END&gt;=5)*IFERROR(ACT_UPLIFT-1,0)))*(1+SUMPRODUCT(SIGN(((ACT_DOOR_SCOPE="ALL")+(ACT_DOOR_SCOPE="TIER_"&amp;$F224)+(ACT_DOOR_SCOPE=$B224)))*SIGN(((ACT_SKU_SCOPE="ALL")+(ACT_SKU_SCOPE=$G224)))*(5&gt;ACT_END)*(ACT_END&gt;0)*IFERROR(ACT_POSTLIFT,0))),0)))</f>
        <v/>
      </c>
      <c r="O224" s="10">
        <f>IF(OR($H224&lt;&gt;"Y",6&lt;$I224),0,IF(SUMPRODUCT(((BULK_ENABLED="Y")*((BULK_TIER="ALL")+(BULK_TIER=$F224))*((BULK_SKU="ALL")+(BULK_SKU=$G224))*(BULK_START&lt;=6)*(BULK_END&gt;=6)))&gt;0,IFERROR(SUMPRODUCT(((BULK_ENABLED="Y")*((BULK_TIER="ALL")+(BULK_TIER=$F224))*((BULK_SKU="ALL")+(BULK_SKU=$G224))*(BULK_START&lt;=6)*(BULK_END&gt;=6))*IFERROR(BULK_VALUE,0))/MAX(1,SUMPRODUCT(((BULK_ENABLED="Y")*((BULK_TIER="ALL")+(BULK_TIER=$F224))*((BULK_SKU="ALL")+(BULK_SKU=$G224))*(BULK_START&lt;=6)*(BULK_END&gt;=6)))),0),ROUND((INDEX(VELOCITY_TABLE,MATCH($F224,TIER_LIST,0),1))*(IF((6-$I224+1)&lt;=0,0,IF((6-$I224+1)=1,RAMP_W1,IF((6-$I224+1)=2,RAMP_W2,IF((6-$I224+1)=3,RAMP_W3,RAMP_W4PLUS)))))*(INDEX(ACTIVE_MULT_TABLE,1,1))*(1+SUMPRODUCT(SIGN(((ACT_DOOR_SCOPE="ALL")+(ACT_DOOR_SCOPE="TIER_"&amp;$F224)+(ACT_DOOR_SCOPE=$B224)))*SIGN(((ACT_SKU_SCOPE="ALL")+(ACT_SKU_SCOPE=$G224)))*(ACT_START&lt;=6)*(ACT_END&gt;=6)*IFERROR(ACT_UPLIFT-1,0)))*(1+SUMPRODUCT(SIGN(((ACT_DOOR_SCOPE="ALL")+(ACT_DOOR_SCOPE="TIER_"&amp;$F224)+(ACT_DOOR_SCOPE=$B224)))*SIGN(((ACT_SKU_SCOPE="ALL")+(ACT_SKU_SCOPE=$G224)))*(6&gt;ACT_END)*(ACT_END&gt;0)*IFERROR(ACT_POSTLIFT,0))),0)))</f>
        <v/>
      </c>
      <c r="P224" s="10">
        <f>IF(OR($H224&lt;&gt;"Y",7&lt;$I224),0,IF(SUMPRODUCT(((BULK_ENABLED="Y")*((BULK_TIER="ALL")+(BULK_TIER=$F224))*((BULK_SKU="ALL")+(BULK_SKU=$G224))*(BULK_START&lt;=7)*(BULK_END&gt;=7)))&gt;0,IFERROR(SUMPRODUCT(((BULK_ENABLED="Y")*((BULK_TIER="ALL")+(BULK_TIER=$F224))*((BULK_SKU="ALL")+(BULK_SKU=$G224))*(BULK_START&lt;=7)*(BULK_END&gt;=7))*IFERROR(BULK_VALUE,0))/MAX(1,SUMPRODUCT(((BULK_ENABLED="Y")*((BULK_TIER="ALL")+(BULK_TIER=$F224))*((BULK_SKU="ALL")+(BULK_SKU=$G224))*(BULK_START&lt;=7)*(BULK_END&gt;=7)))),0),ROUND((INDEX(VELOCITY_TABLE,MATCH($F224,TIER_LIST,0),1))*(IF((7-$I224+1)&lt;=0,0,IF((7-$I224+1)=1,RAMP_W1,IF((7-$I224+1)=2,RAMP_W2,IF((7-$I224+1)=3,RAMP_W3,RAMP_W4PLUS)))))*(INDEX(ACTIVE_MULT_TABLE,1,1))*(1+SUMPRODUCT(SIGN(((ACT_DOOR_SCOPE="ALL")+(ACT_DOOR_SCOPE="TIER_"&amp;$F224)+(ACT_DOOR_SCOPE=$B224)))*SIGN(((ACT_SKU_SCOPE="ALL")+(ACT_SKU_SCOPE=$G224)))*(ACT_START&lt;=7)*(ACT_END&gt;=7)*IFERROR(ACT_UPLIFT-1,0)))*(1+SUMPRODUCT(SIGN(((ACT_DOOR_SCOPE="ALL")+(ACT_DOOR_SCOPE="TIER_"&amp;$F224)+(ACT_DOOR_SCOPE=$B224)))*SIGN(((ACT_SKU_SCOPE="ALL")+(ACT_SKU_SCOPE=$G224)))*(7&gt;ACT_END)*(ACT_END&gt;0)*IFERROR(ACT_POSTLIFT,0))),0)))</f>
        <v/>
      </c>
      <c r="Q224" s="10">
        <f>IF(OR($H224&lt;&gt;"Y",8&lt;$I224),0,IF(SUMPRODUCT(((BULK_ENABLED="Y")*((BULK_TIER="ALL")+(BULK_TIER=$F224))*((BULK_SKU="ALL")+(BULK_SKU=$G224))*(BULK_START&lt;=8)*(BULK_END&gt;=8)))&gt;0,IFERROR(SUMPRODUCT(((BULK_ENABLED="Y")*((BULK_TIER="ALL")+(BULK_TIER=$F224))*((BULK_SKU="ALL")+(BULK_SKU=$G224))*(BULK_START&lt;=8)*(BULK_END&gt;=8))*IFERROR(BULK_VALUE,0))/MAX(1,SUMPRODUCT(((BULK_ENABLED="Y")*((BULK_TIER="ALL")+(BULK_TIER=$F224))*((BULK_SKU="ALL")+(BULK_SKU=$G224))*(BULK_START&lt;=8)*(BULK_END&gt;=8)))),0),ROUND((INDEX(VELOCITY_TABLE,MATCH($F224,TIER_LIST,0),1))*(IF((8-$I224+1)&lt;=0,0,IF((8-$I224+1)=1,RAMP_W1,IF((8-$I224+1)=2,RAMP_W2,IF((8-$I224+1)=3,RAMP_W3,RAMP_W4PLUS)))))*(INDEX(ACTIVE_MULT_TABLE,1,1))*(1+SUMPRODUCT(SIGN(((ACT_DOOR_SCOPE="ALL")+(ACT_DOOR_SCOPE="TIER_"&amp;$F224)+(ACT_DOOR_SCOPE=$B224)))*SIGN(((ACT_SKU_SCOPE="ALL")+(ACT_SKU_SCOPE=$G224)))*(ACT_START&lt;=8)*(ACT_END&gt;=8)*IFERROR(ACT_UPLIFT-1,0)))*(1+SUMPRODUCT(SIGN(((ACT_DOOR_SCOPE="ALL")+(ACT_DOOR_SCOPE="TIER_"&amp;$F224)+(ACT_DOOR_SCOPE=$B224)))*SIGN(((ACT_SKU_SCOPE="ALL")+(ACT_SKU_SCOPE=$G224)))*(8&gt;ACT_END)*(ACT_END&gt;0)*IFERROR(ACT_POSTLIFT,0))),0)))</f>
        <v/>
      </c>
      <c r="R224" s="10">
        <f>IF(OR($H224&lt;&gt;"Y",9&lt;$I224),0,IF(SUMPRODUCT(((BULK_ENABLED="Y")*((BULK_TIER="ALL")+(BULK_TIER=$F224))*((BULK_SKU="ALL")+(BULK_SKU=$G224))*(BULK_START&lt;=9)*(BULK_END&gt;=9)))&gt;0,IFERROR(SUMPRODUCT(((BULK_ENABLED="Y")*((BULK_TIER="ALL")+(BULK_TIER=$F224))*((BULK_SKU="ALL")+(BULK_SKU=$G224))*(BULK_START&lt;=9)*(BULK_END&gt;=9))*IFERROR(BULK_VALUE,0))/MAX(1,SUMPRODUCT(((BULK_ENABLED="Y")*((BULK_TIER="ALL")+(BULK_TIER=$F224))*((BULK_SKU="ALL")+(BULK_SKU=$G224))*(BULK_START&lt;=9)*(BULK_END&gt;=9)))),0),ROUND((INDEX(VELOCITY_TABLE,MATCH($F224,TIER_LIST,0),1))*(IF((9-$I224+1)&lt;=0,0,IF((9-$I224+1)=1,RAMP_W1,IF((9-$I224+1)=2,RAMP_W2,IF((9-$I224+1)=3,RAMP_W3,RAMP_W4PLUS)))))*(INDEX(ACTIVE_MULT_TABLE,1,1))*(1+SUMPRODUCT(SIGN(((ACT_DOOR_SCOPE="ALL")+(ACT_DOOR_SCOPE="TIER_"&amp;$F224)+(ACT_DOOR_SCOPE=$B224)))*SIGN(((ACT_SKU_SCOPE="ALL")+(ACT_SKU_SCOPE=$G224)))*(ACT_START&lt;=9)*(ACT_END&gt;=9)*IFERROR(ACT_UPLIFT-1,0)))*(1+SUMPRODUCT(SIGN(((ACT_DOOR_SCOPE="ALL")+(ACT_DOOR_SCOPE="TIER_"&amp;$F224)+(ACT_DOOR_SCOPE=$B224)))*SIGN(((ACT_SKU_SCOPE="ALL")+(ACT_SKU_SCOPE=$G224)))*(9&gt;ACT_END)*(ACT_END&gt;0)*IFERROR(ACT_POSTLIFT,0))),0)))</f>
        <v/>
      </c>
      <c r="S224" s="10">
        <f>IF(OR($H224&lt;&gt;"Y",10&lt;$I224),0,IF(SUMPRODUCT(((BULK_ENABLED="Y")*((BULK_TIER="ALL")+(BULK_TIER=$F224))*((BULK_SKU="ALL")+(BULK_SKU=$G224))*(BULK_START&lt;=10)*(BULK_END&gt;=10)))&gt;0,IFERROR(SUMPRODUCT(((BULK_ENABLED="Y")*((BULK_TIER="ALL")+(BULK_TIER=$F224))*((BULK_SKU="ALL")+(BULK_SKU=$G224))*(BULK_START&lt;=10)*(BULK_END&gt;=10))*IFERROR(BULK_VALUE,0))/MAX(1,SUMPRODUCT(((BULK_ENABLED="Y")*((BULK_TIER="ALL")+(BULK_TIER=$F224))*((BULK_SKU="ALL")+(BULK_SKU=$G224))*(BULK_START&lt;=10)*(BULK_END&gt;=10)))),0),ROUND((INDEX(VELOCITY_TABLE,MATCH($F224,TIER_LIST,0),1))*(IF((10-$I224+1)&lt;=0,0,IF((10-$I224+1)=1,RAMP_W1,IF((10-$I224+1)=2,RAMP_W2,IF((10-$I224+1)=3,RAMP_W3,RAMP_W4PLUS)))))*(INDEX(ACTIVE_MULT_TABLE,1,1))*(1+SUMPRODUCT(SIGN(((ACT_DOOR_SCOPE="ALL")+(ACT_DOOR_SCOPE="TIER_"&amp;$F224)+(ACT_DOOR_SCOPE=$B224)))*SIGN(((ACT_SKU_SCOPE="ALL")+(ACT_SKU_SCOPE=$G224)))*(ACT_START&lt;=10)*(ACT_END&gt;=10)*IFERROR(ACT_UPLIFT-1,0)))*(1+SUMPRODUCT(SIGN(((ACT_DOOR_SCOPE="ALL")+(ACT_DOOR_SCOPE="TIER_"&amp;$F224)+(ACT_DOOR_SCOPE=$B224)))*SIGN(((ACT_SKU_SCOPE="ALL")+(ACT_SKU_SCOPE=$G224)))*(10&gt;ACT_END)*(ACT_END&gt;0)*IFERROR(ACT_POSTLIFT,0))),0)))</f>
        <v/>
      </c>
      <c r="T224" s="10">
        <f>IF(OR($H224&lt;&gt;"Y",11&lt;$I224),0,IF(SUMPRODUCT(((BULK_ENABLED="Y")*((BULK_TIER="ALL")+(BULK_TIER=$F224))*((BULK_SKU="ALL")+(BULK_SKU=$G224))*(BULK_START&lt;=11)*(BULK_END&gt;=11)))&gt;0,IFERROR(SUMPRODUCT(((BULK_ENABLED="Y")*((BULK_TIER="ALL")+(BULK_TIER=$F224))*((BULK_SKU="ALL")+(BULK_SKU=$G224))*(BULK_START&lt;=11)*(BULK_END&gt;=11))*IFERROR(BULK_VALUE,0))/MAX(1,SUMPRODUCT(((BULK_ENABLED="Y")*((BULK_TIER="ALL")+(BULK_TIER=$F224))*((BULK_SKU="ALL")+(BULK_SKU=$G224))*(BULK_START&lt;=11)*(BULK_END&gt;=11)))),0),ROUND((INDEX(VELOCITY_TABLE,MATCH($F224,TIER_LIST,0),1))*(IF((11-$I224+1)&lt;=0,0,IF((11-$I224+1)=1,RAMP_W1,IF((11-$I224+1)=2,RAMP_W2,IF((11-$I224+1)=3,RAMP_W3,RAMP_W4PLUS)))))*(INDEX(ACTIVE_MULT_TABLE,1,1))*(1+SUMPRODUCT(SIGN(((ACT_DOOR_SCOPE="ALL")+(ACT_DOOR_SCOPE="TIER_"&amp;$F224)+(ACT_DOOR_SCOPE=$B224)))*SIGN(((ACT_SKU_SCOPE="ALL")+(ACT_SKU_SCOPE=$G224)))*(ACT_START&lt;=11)*(ACT_END&gt;=11)*IFERROR(ACT_UPLIFT-1,0)))*(1+SUMPRODUCT(SIGN(((ACT_DOOR_SCOPE="ALL")+(ACT_DOOR_SCOPE="TIER_"&amp;$F224)+(ACT_DOOR_SCOPE=$B224)))*SIGN(((ACT_SKU_SCOPE="ALL")+(ACT_SKU_SCOPE=$G224)))*(11&gt;ACT_END)*(ACT_END&gt;0)*IFERROR(ACT_POSTLIFT,0))),0)))</f>
        <v/>
      </c>
      <c r="U224" s="10">
        <f>IF(OR($H224&lt;&gt;"Y",12&lt;$I224),0,IF(SUMPRODUCT(((BULK_ENABLED="Y")*((BULK_TIER="ALL")+(BULK_TIER=$F224))*((BULK_SKU="ALL")+(BULK_SKU=$G224))*(BULK_START&lt;=12)*(BULK_END&gt;=12)))&gt;0,IFERROR(SUMPRODUCT(((BULK_ENABLED="Y")*((BULK_TIER="ALL")+(BULK_TIER=$F224))*((BULK_SKU="ALL")+(BULK_SKU=$G224))*(BULK_START&lt;=12)*(BULK_END&gt;=12))*IFERROR(BULK_VALUE,0))/MAX(1,SUMPRODUCT(((BULK_ENABLED="Y")*((BULK_TIER="ALL")+(BULK_TIER=$F224))*((BULK_SKU="ALL")+(BULK_SKU=$G224))*(BULK_START&lt;=12)*(BULK_END&gt;=12)))),0),ROUND((INDEX(VELOCITY_TABLE,MATCH($F224,TIER_LIST,0),1))*(IF((12-$I224+1)&lt;=0,0,IF((12-$I224+1)=1,RAMP_W1,IF((12-$I224+1)=2,RAMP_W2,IF((12-$I224+1)=3,RAMP_W3,RAMP_W4PLUS)))))*(INDEX(ACTIVE_MULT_TABLE,1,1))*(1+SUMPRODUCT(SIGN(((ACT_DOOR_SCOPE="ALL")+(ACT_DOOR_SCOPE="TIER_"&amp;$F224)+(ACT_DOOR_SCOPE=$B224)))*SIGN(((ACT_SKU_SCOPE="ALL")+(ACT_SKU_SCOPE=$G224)))*(ACT_START&lt;=12)*(ACT_END&gt;=12)*IFERROR(ACT_UPLIFT-1,0)))*(1+SUMPRODUCT(SIGN(((ACT_DOOR_SCOPE="ALL")+(ACT_DOOR_SCOPE="TIER_"&amp;$F224)+(ACT_DOOR_SCOPE=$B224)))*SIGN(((ACT_SKU_SCOPE="ALL")+(ACT_SKU_SCOPE=$G224)))*(12&gt;ACT_END)*(ACT_END&gt;0)*IFERROR(ACT_POSTLIFT,0))),0)))</f>
        <v/>
      </c>
      <c r="V224" s="10">
        <f>IF(OR($H224&lt;&gt;"Y",13&lt;$I224),0,IF(SUMPRODUCT(((BULK_ENABLED="Y")*((BULK_TIER="ALL")+(BULK_TIER=$F224))*((BULK_SKU="ALL")+(BULK_SKU=$G224))*(BULK_START&lt;=13)*(BULK_END&gt;=13)))&gt;0,IFERROR(SUMPRODUCT(((BULK_ENABLED="Y")*((BULK_TIER="ALL")+(BULK_TIER=$F224))*((BULK_SKU="ALL")+(BULK_SKU=$G224))*(BULK_START&lt;=13)*(BULK_END&gt;=13))*IFERROR(BULK_VALUE,0))/MAX(1,SUMPRODUCT(((BULK_ENABLED="Y")*((BULK_TIER="ALL")+(BULK_TIER=$F224))*((BULK_SKU="ALL")+(BULK_SKU=$G224))*(BULK_START&lt;=13)*(BULK_END&gt;=13)))),0),ROUND((INDEX(VELOCITY_TABLE,MATCH($F224,TIER_LIST,0),1))*(IF((13-$I224+1)&lt;=0,0,IF((13-$I224+1)=1,RAMP_W1,IF((13-$I224+1)=2,RAMP_W2,IF((13-$I224+1)=3,RAMP_W3,RAMP_W4PLUS)))))*(INDEX(ACTIVE_MULT_TABLE,1,1))*(1+SUMPRODUCT(SIGN(((ACT_DOOR_SCOPE="ALL")+(ACT_DOOR_SCOPE="TIER_"&amp;$F224)+(ACT_DOOR_SCOPE=$B224)))*SIGN(((ACT_SKU_SCOPE="ALL")+(ACT_SKU_SCOPE=$G224)))*(ACT_START&lt;=13)*(ACT_END&gt;=13)*IFERROR(ACT_UPLIFT-1,0)))*(1+SUMPRODUCT(SIGN(((ACT_DOOR_SCOPE="ALL")+(ACT_DOOR_SCOPE="TIER_"&amp;$F224)+(ACT_DOOR_SCOPE=$B224)))*SIGN(((ACT_SKU_SCOPE="ALL")+(ACT_SKU_SCOPE=$G224)))*(13&gt;ACT_END)*(ACT_END&gt;0)*IFERROR(ACT_POSTLIFT,0))),0)))</f>
        <v/>
      </c>
    </row>
    <row r="225">
      <c r="A225" t="inlineStr">
        <is>
          <t>R0221</t>
        </is>
      </c>
      <c r="B225">
        <f>Doors!$A$78</f>
        <v/>
      </c>
      <c r="C225">
        <f>Doors!$C$78</f>
        <v/>
      </c>
      <c r="D225">
        <f>Doors!$B$78</f>
        <v/>
      </c>
      <c r="E225">
        <f>Doors!$E$78</f>
        <v/>
      </c>
      <c r="F225">
        <f>Doors!$F$78</f>
        <v/>
      </c>
      <c r="G225" t="inlineStr">
        <is>
          <t>Pineapple Passion Fruit</t>
        </is>
      </c>
      <c r="H225">
        <f>Doors!$H$78</f>
        <v/>
      </c>
      <c r="I225">
        <f>Doors!$J$78</f>
        <v/>
      </c>
      <c r="J225" s="10">
        <f>IF(OR($H225&lt;&gt;"Y",1&lt;$I225),0,IF(SUMPRODUCT(((BULK_ENABLED="Y")*((BULK_TIER="ALL")+(BULK_TIER=$F225))*((BULK_SKU="ALL")+(BULK_SKU=$G225))*(BULK_START&lt;=1)*(BULK_END&gt;=1)))&gt;0,IFERROR(SUMPRODUCT(((BULK_ENABLED="Y")*((BULK_TIER="ALL")+(BULK_TIER=$F225))*((BULK_SKU="ALL")+(BULK_SKU=$G225))*(BULK_START&lt;=1)*(BULK_END&gt;=1))*IFERROR(BULK_VALUE,0))/MAX(1,SUMPRODUCT(((BULK_ENABLED="Y")*((BULK_TIER="ALL")+(BULK_TIER=$F225))*((BULK_SKU="ALL")+(BULK_SKU=$G225))*(BULK_START&lt;=1)*(BULK_END&gt;=1)))),0),ROUND((INDEX(VELOCITY_TABLE,MATCH($F225,TIER_LIST,0),2))*(IF((1-$I225+1)&lt;=0,0,IF((1-$I225+1)=1,RAMP_W1,IF((1-$I225+1)=2,RAMP_W2,IF((1-$I225+1)=3,RAMP_W3,RAMP_W4PLUS)))))*(INDEX(ACTIVE_MULT_TABLE,2,1))*(1+SUMPRODUCT(SIGN(((ACT_DOOR_SCOPE="ALL")+(ACT_DOOR_SCOPE="TIER_"&amp;$F225)+(ACT_DOOR_SCOPE=$B225)))*SIGN(((ACT_SKU_SCOPE="ALL")+(ACT_SKU_SCOPE=$G225)))*(ACT_START&lt;=1)*(ACT_END&gt;=1)*IFERROR(ACT_UPLIFT-1,0)))*(1+SUMPRODUCT(SIGN(((ACT_DOOR_SCOPE="ALL")+(ACT_DOOR_SCOPE="TIER_"&amp;$F225)+(ACT_DOOR_SCOPE=$B225)))*SIGN(((ACT_SKU_SCOPE="ALL")+(ACT_SKU_SCOPE=$G225)))*(1&gt;ACT_END)*(ACT_END&gt;0)*IFERROR(ACT_POSTLIFT,0))),0)))</f>
        <v/>
      </c>
      <c r="K225" s="10">
        <f>IF(OR($H225&lt;&gt;"Y",2&lt;$I225),0,IF(SUMPRODUCT(((BULK_ENABLED="Y")*((BULK_TIER="ALL")+(BULK_TIER=$F225))*((BULK_SKU="ALL")+(BULK_SKU=$G225))*(BULK_START&lt;=2)*(BULK_END&gt;=2)))&gt;0,IFERROR(SUMPRODUCT(((BULK_ENABLED="Y")*((BULK_TIER="ALL")+(BULK_TIER=$F225))*((BULK_SKU="ALL")+(BULK_SKU=$G225))*(BULK_START&lt;=2)*(BULK_END&gt;=2))*IFERROR(BULK_VALUE,0))/MAX(1,SUMPRODUCT(((BULK_ENABLED="Y")*((BULK_TIER="ALL")+(BULK_TIER=$F225))*((BULK_SKU="ALL")+(BULK_SKU=$G225))*(BULK_START&lt;=2)*(BULK_END&gt;=2)))),0),ROUND((INDEX(VELOCITY_TABLE,MATCH($F225,TIER_LIST,0),2))*(IF((2-$I225+1)&lt;=0,0,IF((2-$I225+1)=1,RAMP_W1,IF((2-$I225+1)=2,RAMP_W2,IF((2-$I225+1)=3,RAMP_W3,RAMP_W4PLUS)))))*(INDEX(ACTIVE_MULT_TABLE,2,1))*(1+SUMPRODUCT(SIGN(((ACT_DOOR_SCOPE="ALL")+(ACT_DOOR_SCOPE="TIER_"&amp;$F225)+(ACT_DOOR_SCOPE=$B225)))*SIGN(((ACT_SKU_SCOPE="ALL")+(ACT_SKU_SCOPE=$G225)))*(ACT_START&lt;=2)*(ACT_END&gt;=2)*IFERROR(ACT_UPLIFT-1,0)))*(1+SUMPRODUCT(SIGN(((ACT_DOOR_SCOPE="ALL")+(ACT_DOOR_SCOPE="TIER_"&amp;$F225)+(ACT_DOOR_SCOPE=$B225)))*SIGN(((ACT_SKU_SCOPE="ALL")+(ACT_SKU_SCOPE=$G225)))*(2&gt;ACT_END)*(ACT_END&gt;0)*IFERROR(ACT_POSTLIFT,0))),0)))</f>
        <v/>
      </c>
      <c r="L225" s="10">
        <f>IF(OR($H225&lt;&gt;"Y",3&lt;$I225),0,IF(SUMPRODUCT(((BULK_ENABLED="Y")*((BULK_TIER="ALL")+(BULK_TIER=$F225))*((BULK_SKU="ALL")+(BULK_SKU=$G225))*(BULK_START&lt;=3)*(BULK_END&gt;=3)))&gt;0,IFERROR(SUMPRODUCT(((BULK_ENABLED="Y")*((BULK_TIER="ALL")+(BULK_TIER=$F225))*((BULK_SKU="ALL")+(BULK_SKU=$G225))*(BULK_START&lt;=3)*(BULK_END&gt;=3))*IFERROR(BULK_VALUE,0))/MAX(1,SUMPRODUCT(((BULK_ENABLED="Y")*((BULK_TIER="ALL")+(BULK_TIER=$F225))*((BULK_SKU="ALL")+(BULK_SKU=$G225))*(BULK_START&lt;=3)*(BULK_END&gt;=3)))),0),ROUND((INDEX(VELOCITY_TABLE,MATCH($F225,TIER_LIST,0),2))*(IF((3-$I225+1)&lt;=0,0,IF((3-$I225+1)=1,RAMP_W1,IF((3-$I225+1)=2,RAMP_W2,IF((3-$I225+1)=3,RAMP_W3,RAMP_W4PLUS)))))*(INDEX(ACTIVE_MULT_TABLE,2,1))*(1+SUMPRODUCT(SIGN(((ACT_DOOR_SCOPE="ALL")+(ACT_DOOR_SCOPE="TIER_"&amp;$F225)+(ACT_DOOR_SCOPE=$B225)))*SIGN(((ACT_SKU_SCOPE="ALL")+(ACT_SKU_SCOPE=$G225)))*(ACT_START&lt;=3)*(ACT_END&gt;=3)*IFERROR(ACT_UPLIFT-1,0)))*(1+SUMPRODUCT(SIGN(((ACT_DOOR_SCOPE="ALL")+(ACT_DOOR_SCOPE="TIER_"&amp;$F225)+(ACT_DOOR_SCOPE=$B225)))*SIGN(((ACT_SKU_SCOPE="ALL")+(ACT_SKU_SCOPE=$G225)))*(3&gt;ACT_END)*(ACT_END&gt;0)*IFERROR(ACT_POSTLIFT,0))),0)))</f>
        <v/>
      </c>
      <c r="M225" s="10">
        <f>IF(OR($H225&lt;&gt;"Y",4&lt;$I225),0,IF(SUMPRODUCT(((BULK_ENABLED="Y")*((BULK_TIER="ALL")+(BULK_TIER=$F225))*((BULK_SKU="ALL")+(BULK_SKU=$G225))*(BULK_START&lt;=4)*(BULK_END&gt;=4)))&gt;0,IFERROR(SUMPRODUCT(((BULK_ENABLED="Y")*((BULK_TIER="ALL")+(BULK_TIER=$F225))*((BULK_SKU="ALL")+(BULK_SKU=$G225))*(BULK_START&lt;=4)*(BULK_END&gt;=4))*IFERROR(BULK_VALUE,0))/MAX(1,SUMPRODUCT(((BULK_ENABLED="Y")*((BULK_TIER="ALL")+(BULK_TIER=$F225))*((BULK_SKU="ALL")+(BULK_SKU=$G225))*(BULK_START&lt;=4)*(BULK_END&gt;=4)))),0),ROUND((INDEX(VELOCITY_TABLE,MATCH($F225,TIER_LIST,0),2))*(IF((4-$I225+1)&lt;=0,0,IF((4-$I225+1)=1,RAMP_W1,IF((4-$I225+1)=2,RAMP_W2,IF((4-$I225+1)=3,RAMP_W3,RAMP_W4PLUS)))))*(INDEX(ACTIVE_MULT_TABLE,2,1))*(1+SUMPRODUCT(SIGN(((ACT_DOOR_SCOPE="ALL")+(ACT_DOOR_SCOPE="TIER_"&amp;$F225)+(ACT_DOOR_SCOPE=$B225)))*SIGN(((ACT_SKU_SCOPE="ALL")+(ACT_SKU_SCOPE=$G225)))*(ACT_START&lt;=4)*(ACT_END&gt;=4)*IFERROR(ACT_UPLIFT-1,0)))*(1+SUMPRODUCT(SIGN(((ACT_DOOR_SCOPE="ALL")+(ACT_DOOR_SCOPE="TIER_"&amp;$F225)+(ACT_DOOR_SCOPE=$B225)))*SIGN(((ACT_SKU_SCOPE="ALL")+(ACT_SKU_SCOPE=$G225)))*(4&gt;ACT_END)*(ACT_END&gt;0)*IFERROR(ACT_POSTLIFT,0))),0)))</f>
        <v/>
      </c>
      <c r="N225" s="10">
        <f>IF(OR($H225&lt;&gt;"Y",5&lt;$I225),0,IF(SUMPRODUCT(((BULK_ENABLED="Y")*((BULK_TIER="ALL")+(BULK_TIER=$F225))*((BULK_SKU="ALL")+(BULK_SKU=$G225))*(BULK_START&lt;=5)*(BULK_END&gt;=5)))&gt;0,IFERROR(SUMPRODUCT(((BULK_ENABLED="Y")*((BULK_TIER="ALL")+(BULK_TIER=$F225))*((BULK_SKU="ALL")+(BULK_SKU=$G225))*(BULK_START&lt;=5)*(BULK_END&gt;=5))*IFERROR(BULK_VALUE,0))/MAX(1,SUMPRODUCT(((BULK_ENABLED="Y")*((BULK_TIER="ALL")+(BULK_TIER=$F225))*((BULK_SKU="ALL")+(BULK_SKU=$G225))*(BULK_START&lt;=5)*(BULK_END&gt;=5)))),0),ROUND((INDEX(VELOCITY_TABLE,MATCH($F225,TIER_LIST,0),2))*(IF((5-$I225+1)&lt;=0,0,IF((5-$I225+1)=1,RAMP_W1,IF((5-$I225+1)=2,RAMP_W2,IF((5-$I225+1)=3,RAMP_W3,RAMP_W4PLUS)))))*(INDEX(ACTIVE_MULT_TABLE,2,1))*(1+SUMPRODUCT(SIGN(((ACT_DOOR_SCOPE="ALL")+(ACT_DOOR_SCOPE="TIER_"&amp;$F225)+(ACT_DOOR_SCOPE=$B225)))*SIGN(((ACT_SKU_SCOPE="ALL")+(ACT_SKU_SCOPE=$G225)))*(ACT_START&lt;=5)*(ACT_END&gt;=5)*IFERROR(ACT_UPLIFT-1,0)))*(1+SUMPRODUCT(SIGN(((ACT_DOOR_SCOPE="ALL")+(ACT_DOOR_SCOPE="TIER_"&amp;$F225)+(ACT_DOOR_SCOPE=$B225)))*SIGN(((ACT_SKU_SCOPE="ALL")+(ACT_SKU_SCOPE=$G225)))*(5&gt;ACT_END)*(ACT_END&gt;0)*IFERROR(ACT_POSTLIFT,0))),0)))</f>
        <v/>
      </c>
      <c r="O225" s="10">
        <f>IF(OR($H225&lt;&gt;"Y",6&lt;$I225),0,IF(SUMPRODUCT(((BULK_ENABLED="Y")*((BULK_TIER="ALL")+(BULK_TIER=$F225))*((BULK_SKU="ALL")+(BULK_SKU=$G225))*(BULK_START&lt;=6)*(BULK_END&gt;=6)))&gt;0,IFERROR(SUMPRODUCT(((BULK_ENABLED="Y")*((BULK_TIER="ALL")+(BULK_TIER=$F225))*((BULK_SKU="ALL")+(BULK_SKU=$G225))*(BULK_START&lt;=6)*(BULK_END&gt;=6))*IFERROR(BULK_VALUE,0))/MAX(1,SUMPRODUCT(((BULK_ENABLED="Y")*((BULK_TIER="ALL")+(BULK_TIER=$F225))*((BULK_SKU="ALL")+(BULK_SKU=$G225))*(BULK_START&lt;=6)*(BULK_END&gt;=6)))),0),ROUND((INDEX(VELOCITY_TABLE,MATCH($F225,TIER_LIST,0),2))*(IF((6-$I225+1)&lt;=0,0,IF((6-$I225+1)=1,RAMP_W1,IF((6-$I225+1)=2,RAMP_W2,IF((6-$I225+1)=3,RAMP_W3,RAMP_W4PLUS)))))*(INDEX(ACTIVE_MULT_TABLE,2,1))*(1+SUMPRODUCT(SIGN(((ACT_DOOR_SCOPE="ALL")+(ACT_DOOR_SCOPE="TIER_"&amp;$F225)+(ACT_DOOR_SCOPE=$B225)))*SIGN(((ACT_SKU_SCOPE="ALL")+(ACT_SKU_SCOPE=$G225)))*(ACT_START&lt;=6)*(ACT_END&gt;=6)*IFERROR(ACT_UPLIFT-1,0)))*(1+SUMPRODUCT(SIGN(((ACT_DOOR_SCOPE="ALL")+(ACT_DOOR_SCOPE="TIER_"&amp;$F225)+(ACT_DOOR_SCOPE=$B225)))*SIGN(((ACT_SKU_SCOPE="ALL")+(ACT_SKU_SCOPE=$G225)))*(6&gt;ACT_END)*(ACT_END&gt;0)*IFERROR(ACT_POSTLIFT,0))),0)))</f>
        <v/>
      </c>
      <c r="P225" s="10">
        <f>IF(OR($H225&lt;&gt;"Y",7&lt;$I225),0,IF(SUMPRODUCT(((BULK_ENABLED="Y")*((BULK_TIER="ALL")+(BULK_TIER=$F225))*((BULK_SKU="ALL")+(BULK_SKU=$G225))*(BULK_START&lt;=7)*(BULK_END&gt;=7)))&gt;0,IFERROR(SUMPRODUCT(((BULK_ENABLED="Y")*((BULK_TIER="ALL")+(BULK_TIER=$F225))*((BULK_SKU="ALL")+(BULK_SKU=$G225))*(BULK_START&lt;=7)*(BULK_END&gt;=7))*IFERROR(BULK_VALUE,0))/MAX(1,SUMPRODUCT(((BULK_ENABLED="Y")*((BULK_TIER="ALL")+(BULK_TIER=$F225))*((BULK_SKU="ALL")+(BULK_SKU=$G225))*(BULK_START&lt;=7)*(BULK_END&gt;=7)))),0),ROUND((INDEX(VELOCITY_TABLE,MATCH($F225,TIER_LIST,0),2))*(IF((7-$I225+1)&lt;=0,0,IF((7-$I225+1)=1,RAMP_W1,IF((7-$I225+1)=2,RAMP_W2,IF((7-$I225+1)=3,RAMP_W3,RAMP_W4PLUS)))))*(INDEX(ACTIVE_MULT_TABLE,2,1))*(1+SUMPRODUCT(SIGN(((ACT_DOOR_SCOPE="ALL")+(ACT_DOOR_SCOPE="TIER_"&amp;$F225)+(ACT_DOOR_SCOPE=$B225)))*SIGN(((ACT_SKU_SCOPE="ALL")+(ACT_SKU_SCOPE=$G225)))*(ACT_START&lt;=7)*(ACT_END&gt;=7)*IFERROR(ACT_UPLIFT-1,0)))*(1+SUMPRODUCT(SIGN(((ACT_DOOR_SCOPE="ALL")+(ACT_DOOR_SCOPE="TIER_"&amp;$F225)+(ACT_DOOR_SCOPE=$B225)))*SIGN(((ACT_SKU_SCOPE="ALL")+(ACT_SKU_SCOPE=$G225)))*(7&gt;ACT_END)*(ACT_END&gt;0)*IFERROR(ACT_POSTLIFT,0))),0)))</f>
        <v/>
      </c>
      <c r="Q225" s="10">
        <f>IF(OR($H225&lt;&gt;"Y",8&lt;$I225),0,IF(SUMPRODUCT(((BULK_ENABLED="Y")*((BULK_TIER="ALL")+(BULK_TIER=$F225))*((BULK_SKU="ALL")+(BULK_SKU=$G225))*(BULK_START&lt;=8)*(BULK_END&gt;=8)))&gt;0,IFERROR(SUMPRODUCT(((BULK_ENABLED="Y")*((BULK_TIER="ALL")+(BULK_TIER=$F225))*((BULK_SKU="ALL")+(BULK_SKU=$G225))*(BULK_START&lt;=8)*(BULK_END&gt;=8))*IFERROR(BULK_VALUE,0))/MAX(1,SUMPRODUCT(((BULK_ENABLED="Y")*((BULK_TIER="ALL")+(BULK_TIER=$F225))*((BULK_SKU="ALL")+(BULK_SKU=$G225))*(BULK_START&lt;=8)*(BULK_END&gt;=8)))),0),ROUND((INDEX(VELOCITY_TABLE,MATCH($F225,TIER_LIST,0),2))*(IF((8-$I225+1)&lt;=0,0,IF((8-$I225+1)=1,RAMP_W1,IF((8-$I225+1)=2,RAMP_W2,IF((8-$I225+1)=3,RAMP_W3,RAMP_W4PLUS)))))*(INDEX(ACTIVE_MULT_TABLE,2,1))*(1+SUMPRODUCT(SIGN(((ACT_DOOR_SCOPE="ALL")+(ACT_DOOR_SCOPE="TIER_"&amp;$F225)+(ACT_DOOR_SCOPE=$B225)))*SIGN(((ACT_SKU_SCOPE="ALL")+(ACT_SKU_SCOPE=$G225)))*(ACT_START&lt;=8)*(ACT_END&gt;=8)*IFERROR(ACT_UPLIFT-1,0)))*(1+SUMPRODUCT(SIGN(((ACT_DOOR_SCOPE="ALL")+(ACT_DOOR_SCOPE="TIER_"&amp;$F225)+(ACT_DOOR_SCOPE=$B225)))*SIGN(((ACT_SKU_SCOPE="ALL")+(ACT_SKU_SCOPE=$G225)))*(8&gt;ACT_END)*(ACT_END&gt;0)*IFERROR(ACT_POSTLIFT,0))),0)))</f>
        <v/>
      </c>
      <c r="R225" s="10">
        <f>IF(OR($H225&lt;&gt;"Y",9&lt;$I225),0,IF(SUMPRODUCT(((BULK_ENABLED="Y")*((BULK_TIER="ALL")+(BULK_TIER=$F225))*((BULK_SKU="ALL")+(BULK_SKU=$G225))*(BULK_START&lt;=9)*(BULK_END&gt;=9)))&gt;0,IFERROR(SUMPRODUCT(((BULK_ENABLED="Y")*((BULK_TIER="ALL")+(BULK_TIER=$F225))*((BULK_SKU="ALL")+(BULK_SKU=$G225))*(BULK_START&lt;=9)*(BULK_END&gt;=9))*IFERROR(BULK_VALUE,0))/MAX(1,SUMPRODUCT(((BULK_ENABLED="Y")*((BULK_TIER="ALL")+(BULK_TIER=$F225))*((BULK_SKU="ALL")+(BULK_SKU=$G225))*(BULK_START&lt;=9)*(BULK_END&gt;=9)))),0),ROUND((INDEX(VELOCITY_TABLE,MATCH($F225,TIER_LIST,0),2))*(IF((9-$I225+1)&lt;=0,0,IF((9-$I225+1)=1,RAMP_W1,IF((9-$I225+1)=2,RAMP_W2,IF((9-$I225+1)=3,RAMP_W3,RAMP_W4PLUS)))))*(INDEX(ACTIVE_MULT_TABLE,2,1))*(1+SUMPRODUCT(SIGN(((ACT_DOOR_SCOPE="ALL")+(ACT_DOOR_SCOPE="TIER_"&amp;$F225)+(ACT_DOOR_SCOPE=$B225)))*SIGN(((ACT_SKU_SCOPE="ALL")+(ACT_SKU_SCOPE=$G225)))*(ACT_START&lt;=9)*(ACT_END&gt;=9)*IFERROR(ACT_UPLIFT-1,0)))*(1+SUMPRODUCT(SIGN(((ACT_DOOR_SCOPE="ALL")+(ACT_DOOR_SCOPE="TIER_"&amp;$F225)+(ACT_DOOR_SCOPE=$B225)))*SIGN(((ACT_SKU_SCOPE="ALL")+(ACT_SKU_SCOPE=$G225)))*(9&gt;ACT_END)*(ACT_END&gt;0)*IFERROR(ACT_POSTLIFT,0))),0)))</f>
        <v/>
      </c>
      <c r="S225" s="10">
        <f>IF(OR($H225&lt;&gt;"Y",10&lt;$I225),0,IF(SUMPRODUCT(((BULK_ENABLED="Y")*((BULK_TIER="ALL")+(BULK_TIER=$F225))*((BULK_SKU="ALL")+(BULK_SKU=$G225))*(BULK_START&lt;=10)*(BULK_END&gt;=10)))&gt;0,IFERROR(SUMPRODUCT(((BULK_ENABLED="Y")*((BULK_TIER="ALL")+(BULK_TIER=$F225))*((BULK_SKU="ALL")+(BULK_SKU=$G225))*(BULK_START&lt;=10)*(BULK_END&gt;=10))*IFERROR(BULK_VALUE,0))/MAX(1,SUMPRODUCT(((BULK_ENABLED="Y")*((BULK_TIER="ALL")+(BULK_TIER=$F225))*((BULK_SKU="ALL")+(BULK_SKU=$G225))*(BULK_START&lt;=10)*(BULK_END&gt;=10)))),0),ROUND((INDEX(VELOCITY_TABLE,MATCH($F225,TIER_LIST,0),2))*(IF((10-$I225+1)&lt;=0,0,IF((10-$I225+1)=1,RAMP_W1,IF((10-$I225+1)=2,RAMP_W2,IF((10-$I225+1)=3,RAMP_W3,RAMP_W4PLUS)))))*(INDEX(ACTIVE_MULT_TABLE,2,1))*(1+SUMPRODUCT(SIGN(((ACT_DOOR_SCOPE="ALL")+(ACT_DOOR_SCOPE="TIER_"&amp;$F225)+(ACT_DOOR_SCOPE=$B225)))*SIGN(((ACT_SKU_SCOPE="ALL")+(ACT_SKU_SCOPE=$G225)))*(ACT_START&lt;=10)*(ACT_END&gt;=10)*IFERROR(ACT_UPLIFT-1,0)))*(1+SUMPRODUCT(SIGN(((ACT_DOOR_SCOPE="ALL")+(ACT_DOOR_SCOPE="TIER_"&amp;$F225)+(ACT_DOOR_SCOPE=$B225)))*SIGN(((ACT_SKU_SCOPE="ALL")+(ACT_SKU_SCOPE=$G225)))*(10&gt;ACT_END)*(ACT_END&gt;0)*IFERROR(ACT_POSTLIFT,0))),0)))</f>
        <v/>
      </c>
      <c r="T225" s="10">
        <f>IF(OR($H225&lt;&gt;"Y",11&lt;$I225),0,IF(SUMPRODUCT(((BULK_ENABLED="Y")*((BULK_TIER="ALL")+(BULK_TIER=$F225))*((BULK_SKU="ALL")+(BULK_SKU=$G225))*(BULK_START&lt;=11)*(BULK_END&gt;=11)))&gt;0,IFERROR(SUMPRODUCT(((BULK_ENABLED="Y")*((BULK_TIER="ALL")+(BULK_TIER=$F225))*((BULK_SKU="ALL")+(BULK_SKU=$G225))*(BULK_START&lt;=11)*(BULK_END&gt;=11))*IFERROR(BULK_VALUE,0))/MAX(1,SUMPRODUCT(((BULK_ENABLED="Y")*((BULK_TIER="ALL")+(BULK_TIER=$F225))*((BULK_SKU="ALL")+(BULK_SKU=$G225))*(BULK_START&lt;=11)*(BULK_END&gt;=11)))),0),ROUND((INDEX(VELOCITY_TABLE,MATCH($F225,TIER_LIST,0),2))*(IF((11-$I225+1)&lt;=0,0,IF((11-$I225+1)=1,RAMP_W1,IF((11-$I225+1)=2,RAMP_W2,IF((11-$I225+1)=3,RAMP_W3,RAMP_W4PLUS)))))*(INDEX(ACTIVE_MULT_TABLE,2,1))*(1+SUMPRODUCT(SIGN(((ACT_DOOR_SCOPE="ALL")+(ACT_DOOR_SCOPE="TIER_"&amp;$F225)+(ACT_DOOR_SCOPE=$B225)))*SIGN(((ACT_SKU_SCOPE="ALL")+(ACT_SKU_SCOPE=$G225)))*(ACT_START&lt;=11)*(ACT_END&gt;=11)*IFERROR(ACT_UPLIFT-1,0)))*(1+SUMPRODUCT(SIGN(((ACT_DOOR_SCOPE="ALL")+(ACT_DOOR_SCOPE="TIER_"&amp;$F225)+(ACT_DOOR_SCOPE=$B225)))*SIGN(((ACT_SKU_SCOPE="ALL")+(ACT_SKU_SCOPE=$G225)))*(11&gt;ACT_END)*(ACT_END&gt;0)*IFERROR(ACT_POSTLIFT,0))),0)))</f>
        <v/>
      </c>
      <c r="U225" s="10">
        <f>IF(OR($H225&lt;&gt;"Y",12&lt;$I225),0,IF(SUMPRODUCT(((BULK_ENABLED="Y")*((BULK_TIER="ALL")+(BULK_TIER=$F225))*((BULK_SKU="ALL")+(BULK_SKU=$G225))*(BULK_START&lt;=12)*(BULK_END&gt;=12)))&gt;0,IFERROR(SUMPRODUCT(((BULK_ENABLED="Y")*((BULK_TIER="ALL")+(BULK_TIER=$F225))*((BULK_SKU="ALL")+(BULK_SKU=$G225))*(BULK_START&lt;=12)*(BULK_END&gt;=12))*IFERROR(BULK_VALUE,0))/MAX(1,SUMPRODUCT(((BULK_ENABLED="Y")*((BULK_TIER="ALL")+(BULK_TIER=$F225))*((BULK_SKU="ALL")+(BULK_SKU=$G225))*(BULK_START&lt;=12)*(BULK_END&gt;=12)))),0),ROUND((INDEX(VELOCITY_TABLE,MATCH($F225,TIER_LIST,0),2))*(IF((12-$I225+1)&lt;=0,0,IF((12-$I225+1)=1,RAMP_W1,IF((12-$I225+1)=2,RAMP_W2,IF((12-$I225+1)=3,RAMP_W3,RAMP_W4PLUS)))))*(INDEX(ACTIVE_MULT_TABLE,2,1))*(1+SUMPRODUCT(SIGN(((ACT_DOOR_SCOPE="ALL")+(ACT_DOOR_SCOPE="TIER_"&amp;$F225)+(ACT_DOOR_SCOPE=$B225)))*SIGN(((ACT_SKU_SCOPE="ALL")+(ACT_SKU_SCOPE=$G225)))*(ACT_START&lt;=12)*(ACT_END&gt;=12)*IFERROR(ACT_UPLIFT-1,0)))*(1+SUMPRODUCT(SIGN(((ACT_DOOR_SCOPE="ALL")+(ACT_DOOR_SCOPE="TIER_"&amp;$F225)+(ACT_DOOR_SCOPE=$B225)))*SIGN(((ACT_SKU_SCOPE="ALL")+(ACT_SKU_SCOPE=$G225)))*(12&gt;ACT_END)*(ACT_END&gt;0)*IFERROR(ACT_POSTLIFT,0))),0)))</f>
        <v/>
      </c>
      <c r="V225" s="10">
        <f>IF(OR($H225&lt;&gt;"Y",13&lt;$I225),0,IF(SUMPRODUCT(((BULK_ENABLED="Y")*((BULK_TIER="ALL")+(BULK_TIER=$F225))*((BULK_SKU="ALL")+(BULK_SKU=$G225))*(BULK_START&lt;=13)*(BULK_END&gt;=13)))&gt;0,IFERROR(SUMPRODUCT(((BULK_ENABLED="Y")*((BULK_TIER="ALL")+(BULK_TIER=$F225))*((BULK_SKU="ALL")+(BULK_SKU=$G225))*(BULK_START&lt;=13)*(BULK_END&gt;=13))*IFERROR(BULK_VALUE,0))/MAX(1,SUMPRODUCT(((BULK_ENABLED="Y")*((BULK_TIER="ALL")+(BULK_TIER=$F225))*((BULK_SKU="ALL")+(BULK_SKU=$G225))*(BULK_START&lt;=13)*(BULK_END&gt;=13)))),0),ROUND((INDEX(VELOCITY_TABLE,MATCH($F225,TIER_LIST,0),2))*(IF((13-$I225+1)&lt;=0,0,IF((13-$I225+1)=1,RAMP_W1,IF((13-$I225+1)=2,RAMP_W2,IF((13-$I225+1)=3,RAMP_W3,RAMP_W4PLUS)))))*(INDEX(ACTIVE_MULT_TABLE,2,1))*(1+SUMPRODUCT(SIGN(((ACT_DOOR_SCOPE="ALL")+(ACT_DOOR_SCOPE="TIER_"&amp;$F225)+(ACT_DOOR_SCOPE=$B225)))*SIGN(((ACT_SKU_SCOPE="ALL")+(ACT_SKU_SCOPE=$G225)))*(ACT_START&lt;=13)*(ACT_END&gt;=13)*IFERROR(ACT_UPLIFT-1,0)))*(1+SUMPRODUCT(SIGN(((ACT_DOOR_SCOPE="ALL")+(ACT_DOOR_SCOPE="TIER_"&amp;$F225)+(ACT_DOOR_SCOPE=$B225)))*SIGN(((ACT_SKU_SCOPE="ALL")+(ACT_SKU_SCOPE=$G225)))*(13&gt;ACT_END)*(ACT_END&gt;0)*IFERROR(ACT_POSTLIFT,0))),0)))</f>
        <v/>
      </c>
    </row>
    <row r="226">
      <c r="A226" t="inlineStr">
        <is>
          <t>R0222</t>
        </is>
      </c>
      <c r="B226">
        <f>Doors!$A$78</f>
        <v/>
      </c>
      <c r="C226">
        <f>Doors!$C$78</f>
        <v/>
      </c>
      <c r="D226">
        <f>Doors!$B$78</f>
        <v/>
      </c>
      <c r="E226">
        <f>Doors!$E$78</f>
        <v/>
      </c>
      <c r="F226">
        <f>Doors!$F$78</f>
        <v/>
      </c>
      <c r="G226" t="inlineStr">
        <is>
          <t>Raspberry</t>
        </is>
      </c>
      <c r="H226">
        <f>Doors!$I$78</f>
        <v/>
      </c>
      <c r="I226">
        <f>Doors!$J$78</f>
        <v/>
      </c>
      <c r="J226" s="10">
        <f>IF(OR($H226&lt;&gt;"Y",1&lt;$I226),0,IF(SUMPRODUCT(((BULK_ENABLED="Y")*((BULK_TIER="ALL")+(BULK_TIER=$F226))*((BULK_SKU="ALL")+(BULK_SKU=$G226))*(BULK_START&lt;=1)*(BULK_END&gt;=1)))&gt;0,IFERROR(SUMPRODUCT(((BULK_ENABLED="Y")*((BULK_TIER="ALL")+(BULK_TIER=$F226))*((BULK_SKU="ALL")+(BULK_SKU=$G226))*(BULK_START&lt;=1)*(BULK_END&gt;=1))*IFERROR(BULK_VALUE,0))/MAX(1,SUMPRODUCT(((BULK_ENABLED="Y")*((BULK_TIER="ALL")+(BULK_TIER=$F226))*((BULK_SKU="ALL")+(BULK_SKU=$G226))*(BULK_START&lt;=1)*(BULK_END&gt;=1)))),0),ROUND((INDEX(VELOCITY_TABLE,MATCH($F226,TIER_LIST,0),3))*(IF((1-$I226+1)&lt;=0,0,IF((1-$I226+1)=1,RAMP_W1,IF((1-$I226+1)=2,RAMP_W2,IF((1-$I226+1)=3,RAMP_W3,RAMP_W4PLUS)))))*(INDEX(ACTIVE_MULT_TABLE,3,1))*(1+SUMPRODUCT(SIGN(((ACT_DOOR_SCOPE="ALL")+(ACT_DOOR_SCOPE="TIER_"&amp;$F226)+(ACT_DOOR_SCOPE=$B226)))*SIGN(((ACT_SKU_SCOPE="ALL")+(ACT_SKU_SCOPE=$G226)))*(ACT_START&lt;=1)*(ACT_END&gt;=1)*IFERROR(ACT_UPLIFT-1,0)))*(1+SUMPRODUCT(SIGN(((ACT_DOOR_SCOPE="ALL")+(ACT_DOOR_SCOPE="TIER_"&amp;$F226)+(ACT_DOOR_SCOPE=$B226)))*SIGN(((ACT_SKU_SCOPE="ALL")+(ACT_SKU_SCOPE=$G226)))*(1&gt;ACT_END)*(ACT_END&gt;0)*IFERROR(ACT_POSTLIFT,0))),0)))</f>
        <v/>
      </c>
      <c r="K226" s="10">
        <f>IF(OR($H226&lt;&gt;"Y",2&lt;$I226),0,IF(SUMPRODUCT(((BULK_ENABLED="Y")*((BULK_TIER="ALL")+(BULK_TIER=$F226))*((BULK_SKU="ALL")+(BULK_SKU=$G226))*(BULK_START&lt;=2)*(BULK_END&gt;=2)))&gt;0,IFERROR(SUMPRODUCT(((BULK_ENABLED="Y")*((BULK_TIER="ALL")+(BULK_TIER=$F226))*((BULK_SKU="ALL")+(BULK_SKU=$G226))*(BULK_START&lt;=2)*(BULK_END&gt;=2))*IFERROR(BULK_VALUE,0))/MAX(1,SUMPRODUCT(((BULK_ENABLED="Y")*((BULK_TIER="ALL")+(BULK_TIER=$F226))*((BULK_SKU="ALL")+(BULK_SKU=$G226))*(BULK_START&lt;=2)*(BULK_END&gt;=2)))),0),ROUND((INDEX(VELOCITY_TABLE,MATCH($F226,TIER_LIST,0),3))*(IF((2-$I226+1)&lt;=0,0,IF((2-$I226+1)=1,RAMP_W1,IF((2-$I226+1)=2,RAMP_W2,IF((2-$I226+1)=3,RAMP_W3,RAMP_W4PLUS)))))*(INDEX(ACTIVE_MULT_TABLE,3,1))*(1+SUMPRODUCT(SIGN(((ACT_DOOR_SCOPE="ALL")+(ACT_DOOR_SCOPE="TIER_"&amp;$F226)+(ACT_DOOR_SCOPE=$B226)))*SIGN(((ACT_SKU_SCOPE="ALL")+(ACT_SKU_SCOPE=$G226)))*(ACT_START&lt;=2)*(ACT_END&gt;=2)*IFERROR(ACT_UPLIFT-1,0)))*(1+SUMPRODUCT(SIGN(((ACT_DOOR_SCOPE="ALL")+(ACT_DOOR_SCOPE="TIER_"&amp;$F226)+(ACT_DOOR_SCOPE=$B226)))*SIGN(((ACT_SKU_SCOPE="ALL")+(ACT_SKU_SCOPE=$G226)))*(2&gt;ACT_END)*(ACT_END&gt;0)*IFERROR(ACT_POSTLIFT,0))),0)))</f>
        <v/>
      </c>
      <c r="L226" s="10">
        <f>IF(OR($H226&lt;&gt;"Y",3&lt;$I226),0,IF(SUMPRODUCT(((BULK_ENABLED="Y")*((BULK_TIER="ALL")+(BULK_TIER=$F226))*((BULK_SKU="ALL")+(BULK_SKU=$G226))*(BULK_START&lt;=3)*(BULK_END&gt;=3)))&gt;0,IFERROR(SUMPRODUCT(((BULK_ENABLED="Y")*((BULK_TIER="ALL")+(BULK_TIER=$F226))*((BULK_SKU="ALL")+(BULK_SKU=$G226))*(BULK_START&lt;=3)*(BULK_END&gt;=3))*IFERROR(BULK_VALUE,0))/MAX(1,SUMPRODUCT(((BULK_ENABLED="Y")*((BULK_TIER="ALL")+(BULK_TIER=$F226))*((BULK_SKU="ALL")+(BULK_SKU=$G226))*(BULK_START&lt;=3)*(BULK_END&gt;=3)))),0),ROUND((INDEX(VELOCITY_TABLE,MATCH($F226,TIER_LIST,0),3))*(IF((3-$I226+1)&lt;=0,0,IF((3-$I226+1)=1,RAMP_W1,IF((3-$I226+1)=2,RAMP_W2,IF((3-$I226+1)=3,RAMP_W3,RAMP_W4PLUS)))))*(INDEX(ACTIVE_MULT_TABLE,3,1))*(1+SUMPRODUCT(SIGN(((ACT_DOOR_SCOPE="ALL")+(ACT_DOOR_SCOPE="TIER_"&amp;$F226)+(ACT_DOOR_SCOPE=$B226)))*SIGN(((ACT_SKU_SCOPE="ALL")+(ACT_SKU_SCOPE=$G226)))*(ACT_START&lt;=3)*(ACT_END&gt;=3)*IFERROR(ACT_UPLIFT-1,0)))*(1+SUMPRODUCT(SIGN(((ACT_DOOR_SCOPE="ALL")+(ACT_DOOR_SCOPE="TIER_"&amp;$F226)+(ACT_DOOR_SCOPE=$B226)))*SIGN(((ACT_SKU_SCOPE="ALL")+(ACT_SKU_SCOPE=$G226)))*(3&gt;ACT_END)*(ACT_END&gt;0)*IFERROR(ACT_POSTLIFT,0))),0)))</f>
        <v/>
      </c>
      <c r="M226" s="10">
        <f>IF(OR($H226&lt;&gt;"Y",4&lt;$I226),0,IF(SUMPRODUCT(((BULK_ENABLED="Y")*((BULK_TIER="ALL")+(BULK_TIER=$F226))*((BULK_SKU="ALL")+(BULK_SKU=$G226))*(BULK_START&lt;=4)*(BULK_END&gt;=4)))&gt;0,IFERROR(SUMPRODUCT(((BULK_ENABLED="Y")*((BULK_TIER="ALL")+(BULK_TIER=$F226))*((BULK_SKU="ALL")+(BULK_SKU=$G226))*(BULK_START&lt;=4)*(BULK_END&gt;=4))*IFERROR(BULK_VALUE,0))/MAX(1,SUMPRODUCT(((BULK_ENABLED="Y")*((BULK_TIER="ALL")+(BULK_TIER=$F226))*((BULK_SKU="ALL")+(BULK_SKU=$G226))*(BULK_START&lt;=4)*(BULK_END&gt;=4)))),0),ROUND((INDEX(VELOCITY_TABLE,MATCH($F226,TIER_LIST,0),3))*(IF((4-$I226+1)&lt;=0,0,IF((4-$I226+1)=1,RAMP_W1,IF((4-$I226+1)=2,RAMP_W2,IF((4-$I226+1)=3,RAMP_W3,RAMP_W4PLUS)))))*(INDEX(ACTIVE_MULT_TABLE,3,1))*(1+SUMPRODUCT(SIGN(((ACT_DOOR_SCOPE="ALL")+(ACT_DOOR_SCOPE="TIER_"&amp;$F226)+(ACT_DOOR_SCOPE=$B226)))*SIGN(((ACT_SKU_SCOPE="ALL")+(ACT_SKU_SCOPE=$G226)))*(ACT_START&lt;=4)*(ACT_END&gt;=4)*IFERROR(ACT_UPLIFT-1,0)))*(1+SUMPRODUCT(SIGN(((ACT_DOOR_SCOPE="ALL")+(ACT_DOOR_SCOPE="TIER_"&amp;$F226)+(ACT_DOOR_SCOPE=$B226)))*SIGN(((ACT_SKU_SCOPE="ALL")+(ACT_SKU_SCOPE=$G226)))*(4&gt;ACT_END)*(ACT_END&gt;0)*IFERROR(ACT_POSTLIFT,0))),0)))</f>
        <v/>
      </c>
      <c r="N226" s="10">
        <f>IF(OR($H226&lt;&gt;"Y",5&lt;$I226),0,IF(SUMPRODUCT(((BULK_ENABLED="Y")*((BULK_TIER="ALL")+(BULK_TIER=$F226))*((BULK_SKU="ALL")+(BULK_SKU=$G226))*(BULK_START&lt;=5)*(BULK_END&gt;=5)))&gt;0,IFERROR(SUMPRODUCT(((BULK_ENABLED="Y")*((BULK_TIER="ALL")+(BULK_TIER=$F226))*((BULK_SKU="ALL")+(BULK_SKU=$G226))*(BULK_START&lt;=5)*(BULK_END&gt;=5))*IFERROR(BULK_VALUE,0))/MAX(1,SUMPRODUCT(((BULK_ENABLED="Y")*((BULK_TIER="ALL")+(BULK_TIER=$F226))*((BULK_SKU="ALL")+(BULK_SKU=$G226))*(BULK_START&lt;=5)*(BULK_END&gt;=5)))),0),ROUND((INDEX(VELOCITY_TABLE,MATCH($F226,TIER_LIST,0),3))*(IF((5-$I226+1)&lt;=0,0,IF((5-$I226+1)=1,RAMP_W1,IF((5-$I226+1)=2,RAMP_W2,IF((5-$I226+1)=3,RAMP_W3,RAMP_W4PLUS)))))*(INDEX(ACTIVE_MULT_TABLE,3,1))*(1+SUMPRODUCT(SIGN(((ACT_DOOR_SCOPE="ALL")+(ACT_DOOR_SCOPE="TIER_"&amp;$F226)+(ACT_DOOR_SCOPE=$B226)))*SIGN(((ACT_SKU_SCOPE="ALL")+(ACT_SKU_SCOPE=$G226)))*(ACT_START&lt;=5)*(ACT_END&gt;=5)*IFERROR(ACT_UPLIFT-1,0)))*(1+SUMPRODUCT(SIGN(((ACT_DOOR_SCOPE="ALL")+(ACT_DOOR_SCOPE="TIER_"&amp;$F226)+(ACT_DOOR_SCOPE=$B226)))*SIGN(((ACT_SKU_SCOPE="ALL")+(ACT_SKU_SCOPE=$G226)))*(5&gt;ACT_END)*(ACT_END&gt;0)*IFERROR(ACT_POSTLIFT,0))),0)))</f>
        <v/>
      </c>
      <c r="O226" s="10">
        <f>IF(OR($H226&lt;&gt;"Y",6&lt;$I226),0,IF(SUMPRODUCT(((BULK_ENABLED="Y")*((BULK_TIER="ALL")+(BULK_TIER=$F226))*((BULK_SKU="ALL")+(BULK_SKU=$G226))*(BULK_START&lt;=6)*(BULK_END&gt;=6)))&gt;0,IFERROR(SUMPRODUCT(((BULK_ENABLED="Y")*((BULK_TIER="ALL")+(BULK_TIER=$F226))*((BULK_SKU="ALL")+(BULK_SKU=$G226))*(BULK_START&lt;=6)*(BULK_END&gt;=6))*IFERROR(BULK_VALUE,0))/MAX(1,SUMPRODUCT(((BULK_ENABLED="Y")*((BULK_TIER="ALL")+(BULK_TIER=$F226))*((BULK_SKU="ALL")+(BULK_SKU=$G226))*(BULK_START&lt;=6)*(BULK_END&gt;=6)))),0),ROUND((INDEX(VELOCITY_TABLE,MATCH($F226,TIER_LIST,0),3))*(IF((6-$I226+1)&lt;=0,0,IF((6-$I226+1)=1,RAMP_W1,IF((6-$I226+1)=2,RAMP_W2,IF((6-$I226+1)=3,RAMP_W3,RAMP_W4PLUS)))))*(INDEX(ACTIVE_MULT_TABLE,3,1))*(1+SUMPRODUCT(SIGN(((ACT_DOOR_SCOPE="ALL")+(ACT_DOOR_SCOPE="TIER_"&amp;$F226)+(ACT_DOOR_SCOPE=$B226)))*SIGN(((ACT_SKU_SCOPE="ALL")+(ACT_SKU_SCOPE=$G226)))*(ACT_START&lt;=6)*(ACT_END&gt;=6)*IFERROR(ACT_UPLIFT-1,0)))*(1+SUMPRODUCT(SIGN(((ACT_DOOR_SCOPE="ALL")+(ACT_DOOR_SCOPE="TIER_"&amp;$F226)+(ACT_DOOR_SCOPE=$B226)))*SIGN(((ACT_SKU_SCOPE="ALL")+(ACT_SKU_SCOPE=$G226)))*(6&gt;ACT_END)*(ACT_END&gt;0)*IFERROR(ACT_POSTLIFT,0))),0)))</f>
        <v/>
      </c>
      <c r="P226" s="10">
        <f>IF(OR($H226&lt;&gt;"Y",7&lt;$I226),0,IF(SUMPRODUCT(((BULK_ENABLED="Y")*((BULK_TIER="ALL")+(BULK_TIER=$F226))*((BULK_SKU="ALL")+(BULK_SKU=$G226))*(BULK_START&lt;=7)*(BULK_END&gt;=7)))&gt;0,IFERROR(SUMPRODUCT(((BULK_ENABLED="Y")*((BULK_TIER="ALL")+(BULK_TIER=$F226))*((BULK_SKU="ALL")+(BULK_SKU=$G226))*(BULK_START&lt;=7)*(BULK_END&gt;=7))*IFERROR(BULK_VALUE,0))/MAX(1,SUMPRODUCT(((BULK_ENABLED="Y")*((BULK_TIER="ALL")+(BULK_TIER=$F226))*((BULK_SKU="ALL")+(BULK_SKU=$G226))*(BULK_START&lt;=7)*(BULK_END&gt;=7)))),0),ROUND((INDEX(VELOCITY_TABLE,MATCH($F226,TIER_LIST,0),3))*(IF((7-$I226+1)&lt;=0,0,IF((7-$I226+1)=1,RAMP_W1,IF((7-$I226+1)=2,RAMP_W2,IF((7-$I226+1)=3,RAMP_W3,RAMP_W4PLUS)))))*(INDEX(ACTIVE_MULT_TABLE,3,1))*(1+SUMPRODUCT(SIGN(((ACT_DOOR_SCOPE="ALL")+(ACT_DOOR_SCOPE="TIER_"&amp;$F226)+(ACT_DOOR_SCOPE=$B226)))*SIGN(((ACT_SKU_SCOPE="ALL")+(ACT_SKU_SCOPE=$G226)))*(ACT_START&lt;=7)*(ACT_END&gt;=7)*IFERROR(ACT_UPLIFT-1,0)))*(1+SUMPRODUCT(SIGN(((ACT_DOOR_SCOPE="ALL")+(ACT_DOOR_SCOPE="TIER_"&amp;$F226)+(ACT_DOOR_SCOPE=$B226)))*SIGN(((ACT_SKU_SCOPE="ALL")+(ACT_SKU_SCOPE=$G226)))*(7&gt;ACT_END)*(ACT_END&gt;0)*IFERROR(ACT_POSTLIFT,0))),0)))</f>
        <v/>
      </c>
      <c r="Q226" s="10">
        <f>IF(OR($H226&lt;&gt;"Y",8&lt;$I226),0,IF(SUMPRODUCT(((BULK_ENABLED="Y")*((BULK_TIER="ALL")+(BULK_TIER=$F226))*((BULK_SKU="ALL")+(BULK_SKU=$G226))*(BULK_START&lt;=8)*(BULK_END&gt;=8)))&gt;0,IFERROR(SUMPRODUCT(((BULK_ENABLED="Y")*((BULK_TIER="ALL")+(BULK_TIER=$F226))*((BULK_SKU="ALL")+(BULK_SKU=$G226))*(BULK_START&lt;=8)*(BULK_END&gt;=8))*IFERROR(BULK_VALUE,0))/MAX(1,SUMPRODUCT(((BULK_ENABLED="Y")*((BULK_TIER="ALL")+(BULK_TIER=$F226))*((BULK_SKU="ALL")+(BULK_SKU=$G226))*(BULK_START&lt;=8)*(BULK_END&gt;=8)))),0),ROUND((INDEX(VELOCITY_TABLE,MATCH($F226,TIER_LIST,0),3))*(IF((8-$I226+1)&lt;=0,0,IF((8-$I226+1)=1,RAMP_W1,IF((8-$I226+1)=2,RAMP_W2,IF((8-$I226+1)=3,RAMP_W3,RAMP_W4PLUS)))))*(INDEX(ACTIVE_MULT_TABLE,3,1))*(1+SUMPRODUCT(SIGN(((ACT_DOOR_SCOPE="ALL")+(ACT_DOOR_SCOPE="TIER_"&amp;$F226)+(ACT_DOOR_SCOPE=$B226)))*SIGN(((ACT_SKU_SCOPE="ALL")+(ACT_SKU_SCOPE=$G226)))*(ACT_START&lt;=8)*(ACT_END&gt;=8)*IFERROR(ACT_UPLIFT-1,0)))*(1+SUMPRODUCT(SIGN(((ACT_DOOR_SCOPE="ALL")+(ACT_DOOR_SCOPE="TIER_"&amp;$F226)+(ACT_DOOR_SCOPE=$B226)))*SIGN(((ACT_SKU_SCOPE="ALL")+(ACT_SKU_SCOPE=$G226)))*(8&gt;ACT_END)*(ACT_END&gt;0)*IFERROR(ACT_POSTLIFT,0))),0)))</f>
        <v/>
      </c>
      <c r="R226" s="10">
        <f>IF(OR($H226&lt;&gt;"Y",9&lt;$I226),0,IF(SUMPRODUCT(((BULK_ENABLED="Y")*((BULK_TIER="ALL")+(BULK_TIER=$F226))*((BULK_SKU="ALL")+(BULK_SKU=$G226))*(BULK_START&lt;=9)*(BULK_END&gt;=9)))&gt;0,IFERROR(SUMPRODUCT(((BULK_ENABLED="Y")*((BULK_TIER="ALL")+(BULK_TIER=$F226))*((BULK_SKU="ALL")+(BULK_SKU=$G226))*(BULK_START&lt;=9)*(BULK_END&gt;=9))*IFERROR(BULK_VALUE,0))/MAX(1,SUMPRODUCT(((BULK_ENABLED="Y")*((BULK_TIER="ALL")+(BULK_TIER=$F226))*((BULK_SKU="ALL")+(BULK_SKU=$G226))*(BULK_START&lt;=9)*(BULK_END&gt;=9)))),0),ROUND((INDEX(VELOCITY_TABLE,MATCH($F226,TIER_LIST,0),3))*(IF((9-$I226+1)&lt;=0,0,IF((9-$I226+1)=1,RAMP_W1,IF((9-$I226+1)=2,RAMP_W2,IF((9-$I226+1)=3,RAMP_W3,RAMP_W4PLUS)))))*(INDEX(ACTIVE_MULT_TABLE,3,1))*(1+SUMPRODUCT(SIGN(((ACT_DOOR_SCOPE="ALL")+(ACT_DOOR_SCOPE="TIER_"&amp;$F226)+(ACT_DOOR_SCOPE=$B226)))*SIGN(((ACT_SKU_SCOPE="ALL")+(ACT_SKU_SCOPE=$G226)))*(ACT_START&lt;=9)*(ACT_END&gt;=9)*IFERROR(ACT_UPLIFT-1,0)))*(1+SUMPRODUCT(SIGN(((ACT_DOOR_SCOPE="ALL")+(ACT_DOOR_SCOPE="TIER_"&amp;$F226)+(ACT_DOOR_SCOPE=$B226)))*SIGN(((ACT_SKU_SCOPE="ALL")+(ACT_SKU_SCOPE=$G226)))*(9&gt;ACT_END)*(ACT_END&gt;0)*IFERROR(ACT_POSTLIFT,0))),0)))</f>
        <v/>
      </c>
      <c r="S226" s="10">
        <f>IF(OR($H226&lt;&gt;"Y",10&lt;$I226),0,IF(SUMPRODUCT(((BULK_ENABLED="Y")*((BULK_TIER="ALL")+(BULK_TIER=$F226))*((BULK_SKU="ALL")+(BULK_SKU=$G226))*(BULK_START&lt;=10)*(BULK_END&gt;=10)))&gt;0,IFERROR(SUMPRODUCT(((BULK_ENABLED="Y")*((BULK_TIER="ALL")+(BULK_TIER=$F226))*((BULK_SKU="ALL")+(BULK_SKU=$G226))*(BULK_START&lt;=10)*(BULK_END&gt;=10))*IFERROR(BULK_VALUE,0))/MAX(1,SUMPRODUCT(((BULK_ENABLED="Y")*((BULK_TIER="ALL")+(BULK_TIER=$F226))*((BULK_SKU="ALL")+(BULK_SKU=$G226))*(BULK_START&lt;=10)*(BULK_END&gt;=10)))),0),ROUND((INDEX(VELOCITY_TABLE,MATCH($F226,TIER_LIST,0),3))*(IF((10-$I226+1)&lt;=0,0,IF((10-$I226+1)=1,RAMP_W1,IF((10-$I226+1)=2,RAMP_W2,IF((10-$I226+1)=3,RAMP_W3,RAMP_W4PLUS)))))*(INDEX(ACTIVE_MULT_TABLE,3,1))*(1+SUMPRODUCT(SIGN(((ACT_DOOR_SCOPE="ALL")+(ACT_DOOR_SCOPE="TIER_"&amp;$F226)+(ACT_DOOR_SCOPE=$B226)))*SIGN(((ACT_SKU_SCOPE="ALL")+(ACT_SKU_SCOPE=$G226)))*(ACT_START&lt;=10)*(ACT_END&gt;=10)*IFERROR(ACT_UPLIFT-1,0)))*(1+SUMPRODUCT(SIGN(((ACT_DOOR_SCOPE="ALL")+(ACT_DOOR_SCOPE="TIER_"&amp;$F226)+(ACT_DOOR_SCOPE=$B226)))*SIGN(((ACT_SKU_SCOPE="ALL")+(ACT_SKU_SCOPE=$G226)))*(10&gt;ACT_END)*(ACT_END&gt;0)*IFERROR(ACT_POSTLIFT,0))),0)))</f>
        <v/>
      </c>
      <c r="T226" s="10">
        <f>IF(OR($H226&lt;&gt;"Y",11&lt;$I226),0,IF(SUMPRODUCT(((BULK_ENABLED="Y")*((BULK_TIER="ALL")+(BULK_TIER=$F226))*((BULK_SKU="ALL")+(BULK_SKU=$G226))*(BULK_START&lt;=11)*(BULK_END&gt;=11)))&gt;0,IFERROR(SUMPRODUCT(((BULK_ENABLED="Y")*((BULK_TIER="ALL")+(BULK_TIER=$F226))*((BULK_SKU="ALL")+(BULK_SKU=$G226))*(BULK_START&lt;=11)*(BULK_END&gt;=11))*IFERROR(BULK_VALUE,0))/MAX(1,SUMPRODUCT(((BULK_ENABLED="Y")*((BULK_TIER="ALL")+(BULK_TIER=$F226))*((BULK_SKU="ALL")+(BULK_SKU=$G226))*(BULK_START&lt;=11)*(BULK_END&gt;=11)))),0),ROUND((INDEX(VELOCITY_TABLE,MATCH($F226,TIER_LIST,0),3))*(IF((11-$I226+1)&lt;=0,0,IF((11-$I226+1)=1,RAMP_W1,IF((11-$I226+1)=2,RAMP_W2,IF((11-$I226+1)=3,RAMP_W3,RAMP_W4PLUS)))))*(INDEX(ACTIVE_MULT_TABLE,3,1))*(1+SUMPRODUCT(SIGN(((ACT_DOOR_SCOPE="ALL")+(ACT_DOOR_SCOPE="TIER_"&amp;$F226)+(ACT_DOOR_SCOPE=$B226)))*SIGN(((ACT_SKU_SCOPE="ALL")+(ACT_SKU_SCOPE=$G226)))*(ACT_START&lt;=11)*(ACT_END&gt;=11)*IFERROR(ACT_UPLIFT-1,0)))*(1+SUMPRODUCT(SIGN(((ACT_DOOR_SCOPE="ALL")+(ACT_DOOR_SCOPE="TIER_"&amp;$F226)+(ACT_DOOR_SCOPE=$B226)))*SIGN(((ACT_SKU_SCOPE="ALL")+(ACT_SKU_SCOPE=$G226)))*(11&gt;ACT_END)*(ACT_END&gt;0)*IFERROR(ACT_POSTLIFT,0))),0)))</f>
        <v/>
      </c>
      <c r="U226" s="10">
        <f>IF(OR($H226&lt;&gt;"Y",12&lt;$I226),0,IF(SUMPRODUCT(((BULK_ENABLED="Y")*((BULK_TIER="ALL")+(BULK_TIER=$F226))*((BULK_SKU="ALL")+(BULK_SKU=$G226))*(BULK_START&lt;=12)*(BULK_END&gt;=12)))&gt;0,IFERROR(SUMPRODUCT(((BULK_ENABLED="Y")*((BULK_TIER="ALL")+(BULK_TIER=$F226))*((BULK_SKU="ALL")+(BULK_SKU=$G226))*(BULK_START&lt;=12)*(BULK_END&gt;=12))*IFERROR(BULK_VALUE,0))/MAX(1,SUMPRODUCT(((BULK_ENABLED="Y")*((BULK_TIER="ALL")+(BULK_TIER=$F226))*((BULK_SKU="ALL")+(BULK_SKU=$G226))*(BULK_START&lt;=12)*(BULK_END&gt;=12)))),0),ROUND((INDEX(VELOCITY_TABLE,MATCH($F226,TIER_LIST,0),3))*(IF((12-$I226+1)&lt;=0,0,IF((12-$I226+1)=1,RAMP_W1,IF((12-$I226+1)=2,RAMP_W2,IF((12-$I226+1)=3,RAMP_W3,RAMP_W4PLUS)))))*(INDEX(ACTIVE_MULT_TABLE,3,1))*(1+SUMPRODUCT(SIGN(((ACT_DOOR_SCOPE="ALL")+(ACT_DOOR_SCOPE="TIER_"&amp;$F226)+(ACT_DOOR_SCOPE=$B226)))*SIGN(((ACT_SKU_SCOPE="ALL")+(ACT_SKU_SCOPE=$G226)))*(ACT_START&lt;=12)*(ACT_END&gt;=12)*IFERROR(ACT_UPLIFT-1,0)))*(1+SUMPRODUCT(SIGN(((ACT_DOOR_SCOPE="ALL")+(ACT_DOOR_SCOPE="TIER_"&amp;$F226)+(ACT_DOOR_SCOPE=$B226)))*SIGN(((ACT_SKU_SCOPE="ALL")+(ACT_SKU_SCOPE=$G226)))*(12&gt;ACT_END)*(ACT_END&gt;0)*IFERROR(ACT_POSTLIFT,0))),0)))</f>
        <v/>
      </c>
      <c r="V226" s="10">
        <f>IF(OR($H226&lt;&gt;"Y",13&lt;$I226),0,IF(SUMPRODUCT(((BULK_ENABLED="Y")*((BULK_TIER="ALL")+(BULK_TIER=$F226))*((BULK_SKU="ALL")+(BULK_SKU=$G226))*(BULK_START&lt;=13)*(BULK_END&gt;=13)))&gt;0,IFERROR(SUMPRODUCT(((BULK_ENABLED="Y")*((BULK_TIER="ALL")+(BULK_TIER=$F226))*((BULK_SKU="ALL")+(BULK_SKU=$G226))*(BULK_START&lt;=13)*(BULK_END&gt;=13))*IFERROR(BULK_VALUE,0))/MAX(1,SUMPRODUCT(((BULK_ENABLED="Y")*((BULK_TIER="ALL")+(BULK_TIER=$F226))*((BULK_SKU="ALL")+(BULK_SKU=$G226))*(BULK_START&lt;=13)*(BULK_END&gt;=13)))),0),ROUND((INDEX(VELOCITY_TABLE,MATCH($F226,TIER_LIST,0),3))*(IF((13-$I226+1)&lt;=0,0,IF((13-$I226+1)=1,RAMP_W1,IF((13-$I226+1)=2,RAMP_W2,IF((13-$I226+1)=3,RAMP_W3,RAMP_W4PLUS)))))*(INDEX(ACTIVE_MULT_TABLE,3,1))*(1+SUMPRODUCT(SIGN(((ACT_DOOR_SCOPE="ALL")+(ACT_DOOR_SCOPE="TIER_"&amp;$F226)+(ACT_DOOR_SCOPE=$B226)))*SIGN(((ACT_SKU_SCOPE="ALL")+(ACT_SKU_SCOPE=$G226)))*(ACT_START&lt;=13)*(ACT_END&gt;=13)*IFERROR(ACT_UPLIFT-1,0)))*(1+SUMPRODUCT(SIGN(((ACT_DOOR_SCOPE="ALL")+(ACT_DOOR_SCOPE="TIER_"&amp;$F226)+(ACT_DOOR_SCOPE=$B226)))*SIGN(((ACT_SKU_SCOPE="ALL")+(ACT_SKU_SCOPE=$G226)))*(13&gt;ACT_END)*(ACT_END&gt;0)*IFERROR(ACT_POSTLIFT,0))),0)))</f>
        <v/>
      </c>
    </row>
    <row r="227">
      <c r="A227" t="inlineStr">
        <is>
          <t>R0223</t>
        </is>
      </c>
      <c r="B227">
        <f>Doors!$A$79</f>
        <v/>
      </c>
      <c r="C227">
        <f>Doors!$C$79</f>
        <v/>
      </c>
      <c r="D227">
        <f>Doors!$B$79</f>
        <v/>
      </c>
      <c r="E227">
        <f>Doors!$E$79</f>
        <v/>
      </c>
      <c r="F227">
        <f>Doors!$F$79</f>
        <v/>
      </c>
      <c r="G227" t="inlineStr">
        <is>
          <t>Lime Lemon</t>
        </is>
      </c>
      <c r="H227">
        <f>Doors!$G$79</f>
        <v/>
      </c>
      <c r="I227">
        <f>Doors!$J$79</f>
        <v/>
      </c>
      <c r="J227" s="10">
        <f>IF(OR($H227&lt;&gt;"Y",1&lt;$I227),0,IF(SUMPRODUCT(((BULK_ENABLED="Y")*((BULK_TIER="ALL")+(BULK_TIER=$F227))*((BULK_SKU="ALL")+(BULK_SKU=$G227))*(BULK_START&lt;=1)*(BULK_END&gt;=1)))&gt;0,IFERROR(SUMPRODUCT(((BULK_ENABLED="Y")*((BULK_TIER="ALL")+(BULK_TIER=$F227))*((BULK_SKU="ALL")+(BULK_SKU=$G227))*(BULK_START&lt;=1)*(BULK_END&gt;=1))*IFERROR(BULK_VALUE,0))/MAX(1,SUMPRODUCT(((BULK_ENABLED="Y")*((BULK_TIER="ALL")+(BULK_TIER=$F227))*((BULK_SKU="ALL")+(BULK_SKU=$G227))*(BULK_START&lt;=1)*(BULK_END&gt;=1)))),0),ROUND((INDEX(VELOCITY_TABLE,MATCH($F227,TIER_LIST,0),1))*(IF((1-$I227+1)&lt;=0,0,IF((1-$I227+1)=1,RAMP_W1,IF((1-$I227+1)=2,RAMP_W2,IF((1-$I227+1)=3,RAMP_W3,RAMP_W4PLUS)))))*(INDEX(ACTIVE_MULT_TABLE,1,1))*(1+SUMPRODUCT(SIGN(((ACT_DOOR_SCOPE="ALL")+(ACT_DOOR_SCOPE="TIER_"&amp;$F227)+(ACT_DOOR_SCOPE=$B227)))*SIGN(((ACT_SKU_SCOPE="ALL")+(ACT_SKU_SCOPE=$G227)))*(ACT_START&lt;=1)*(ACT_END&gt;=1)*IFERROR(ACT_UPLIFT-1,0)))*(1+SUMPRODUCT(SIGN(((ACT_DOOR_SCOPE="ALL")+(ACT_DOOR_SCOPE="TIER_"&amp;$F227)+(ACT_DOOR_SCOPE=$B227)))*SIGN(((ACT_SKU_SCOPE="ALL")+(ACT_SKU_SCOPE=$G227)))*(1&gt;ACT_END)*(ACT_END&gt;0)*IFERROR(ACT_POSTLIFT,0))),0)))</f>
        <v/>
      </c>
      <c r="K227" s="10">
        <f>IF(OR($H227&lt;&gt;"Y",2&lt;$I227),0,IF(SUMPRODUCT(((BULK_ENABLED="Y")*((BULK_TIER="ALL")+(BULK_TIER=$F227))*((BULK_SKU="ALL")+(BULK_SKU=$G227))*(BULK_START&lt;=2)*(BULK_END&gt;=2)))&gt;0,IFERROR(SUMPRODUCT(((BULK_ENABLED="Y")*((BULK_TIER="ALL")+(BULK_TIER=$F227))*((BULK_SKU="ALL")+(BULK_SKU=$G227))*(BULK_START&lt;=2)*(BULK_END&gt;=2))*IFERROR(BULK_VALUE,0))/MAX(1,SUMPRODUCT(((BULK_ENABLED="Y")*((BULK_TIER="ALL")+(BULK_TIER=$F227))*((BULK_SKU="ALL")+(BULK_SKU=$G227))*(BULK_START&lt;=2)*(BULK_END&gt;=2)))),0),ROUND((INDEX(VELOCITY_TABLE,MATCH($F227,TIER_LIST,0),1))*(IF((2-$I227+1)&lt;=0,0,IF((2-$I227+1)=1,RAMP_W1,IF((2-$I227+1)=2,RAMP_W2,IF((2-$I227+1)=3,RAMP_W3,RAMP_W4PLUS)))))*(INDEX(ACTIVE_MULT_TABLE,1,1))*(1+SUMPRODUCT(SIGN(((ACT_DOOR_SCOPE="ALL")+(ACT_DOOR_SCOPE="TIER_"&amp;$F227)+(ACT_DOOR_SCOPE=$B227)))*SIGN(((ACT_SKU_SCOPE="ALL")+(ACT_SKU_SCOPE=$G227)))*(ACT_START&lt;=2)*(ACT_END&gt;=2)*IFERROR(ACT_UPLIFT-1,0)))*(1+SUMPRODUCT(SIGN(((ACT_DOOR_SCOPE="ALL")+(ACT_DOOR_SCOPE="TIER_"&amp;$F227)+(ACT_DOOR_SCOPE=$B227)))*SIGN(((ACT_SKU_SCOPE="ALL")+(ACT_SKU_SCOPE=$G227)))*(2&gt;ACT_END)*(ACT_END&gt;0)*IFERROR(ACT_POSTLIFT,0))),0)))</f>
        <v/>
      </c>
      <c r="L227" s="10">
        <f>IF(OR($H227&lt;&gt;"Y",3&lt;$I227),0,IF(SUMPRODUCT(((BULK_ENABLED="Y")*((BULK_TIER="ALL")+(BULK_TIER=$F227))*((BULK_SKU="ALL")+(BULK_SKU=$G227))*(BULK_START&lt;=3)*(BULK_END&gt;=3)))&gt;0,IFERROR(SUMPRODUCT(((BULK_ENABLED="Y")*((BULK_TIER="ALL")+(BULK_TIER=$F227))*((BULK_SKU="ALL")+(BULK_SKU=$G227))*(BULK_START&lt;=3)*(BULK_END&gt;=3))*IFERROR(BULK_VALUE,0))/MAX(1,SUMPRODUCT(((BULK_ENABLED="Y")*((BULK_TIER="ALL")+(BULK_TIER=$F227))*((BULK_SKU="ALL")+(BULK_SKU=$G227))*(BULK_START&lt;=3)*(BULK_END&gt;=3)))),0),ROUND((INDEX(VELOCITY_TABLE,MATCH($F227,TIER_LIST,0),1))*(IF((3-$I227+1)&lt;=0,0,IF((3-$I227+1)=1,RAMP_W1,IF((3-$I227+1)=2,RAMP_W2,IF((3-$I227+1)=3,RAMP_W3,RAMP_W4PLUS)))))*(INDEX(ACTIVE_MULT_TABLE,1,1))*(1+SUMPRODUCT(SIGN(((ACT_DOOR_SCOPE="ALL")+(ACT_DOOR_SCOPE="TIER_"&amp;$F227)+(ACT_DOOR_SCOPE=$B227)))*SIGN(((ACT_SKU_SCOPE="ALL")+(ACT_SKU_SCOPE=$G227)))*(ACT_START&lt;=3)*(ACT_END&gt;=3)*IFERROR(ACT_UPLIFT-1,0)))*(1+SUMPRODUCT(SIGN(((ACT_DOOR_SCOPE="ALL")+(ACT_DOOR_SCOPE="TIER_"&amp;$F227)+(ACT_DOOR_SCOPE=$B227)))*SIGN(((ACT_SKU_SCOPE="ALL")+(ACT_SKU_SCOPE=$G227)))*(3&gt;ACT_END)*(ACT_END&gt;0)*IFERROR(ACT_POSTLIFT,0))),0)))</f>
        <v/>
      </c>
      <c r="M227" s="10">
        <f>IF(OR($H227&lt;&gt;"Y",4&lt;$I227),0,IF(SUMPRODUCT(((BULK_ENABLED="Y")*((BULK_TIER="ALL")+(BULK_TIER=$F227))*((BULK_SKU="ALL")+(BULK_SKU=$G227))*(BULK_START&lt;=4)*(BULK_END&gt;=4)))&gt;0,IFERROR(SUMPRODUCT(((BULK_ENABLED="Y")*((BULK_TIER="ALL")+(BULK_TIER=$F227))*((BULK_SKU="ALL")+(BULK_SKU=$G227))*(BULK_START&lt;=4)*(BULK_END&gt;=4))*IFERROR(BULK_VALUE,0))/MAX(1,SUMPRODUCT(((BULK_ENABLED="Y")*((BULK_TIER="ALL")+(BULK_TIER=$F227))*((BULK_SKU="ALL")+(BULK_SKU=$G227))*(BULK_START&lt;=4)*(BULK_END&gt;=4)))),0),ROUND((INDEX(VELOCITY_TABLE,MATCH($F227,TIER_LIST,0),1))*(IF((4-$I227+1)&lt;=0,0,IF((4-$I227+1)=1,RAMP_W1,IF((4-$I227+1)=2,RAMP_W2,IF((4-$I227+1)=3,RAMP_W3,RAMP_W4PLUS)))))*(INDEX(ACTIVE_MULT_TABLE,1,1))*(1+SUMPRODUCT(SIGN(((ACT_DOOR_SCOPE="ALL")+(ACT_DOOR_SCOPE="TIER_"&amp;$F227)+(ACT_DOOR_SCOPE=$B227)))*SIGN(((ACT_SKU_SCOPE="ALL")+(ACT_SKU_SCOPE=$G227)))*(ACT_START&lt;=4)*(ACT_END&gt;=4)*IFERROR(ACT_UPLIFT-1,0)))*(1+SUMPRODUCT(SIGN(((ACT_DOOR_SCOPE="ALL")+(ACT_DOOR_SCOPE="TIER_"&amp;$F227)+(ACT_DOOR_SCOPE=$B227)))*SIGN(((ACT_SKU_SCOPE="ALL")+(ACT_SKU_SCOPE=$G227)))*(4&gt;ACT_END)*(ACT_END&gt;0)*IFERROR(ACT_POSTLIFT,0))),0)))</f>
        <v/>
      </c>
      <c r="N227" s="10">
        <f>IF(OR($H227&lt;&gt;"Y",5&lt;$I227),0,IF(SUMPRODUCT(((BULK_ENABLED="Y")*((BULK_TIER="ALL")+(BULK_TIER=$F227))*((BULK_SKU="ALL")+(BULK_SKU=$G227))*(BULK_START&lt;=5)*(BULK_END&gt;=5)))&gt;0,IFERROR(SUMPRODUCT(((BULK_ENABLED="Y")*((BULK_TIER="ALL")+(BULK_TIER=$F227))*((BULK_SKU="ALL")+(BULK_SKU=$G227))*(BULK_START&lt;=5)*(BULK_END&gt;=5))*IFERROR(BULK_VALUE,0))/MAX(1,SUMPRODUCT(((BULK_ENABLED="Y")*((BULK_TIER="ALL")+(BULK_TIER=$F227))*((BULK_SKU="ALL")+(BULK_SKU=$G227))*(BULK_START&lt;=5)*(BULK_END&gt;=5)))),0),ROUND((INDEX(VELOCITY_TABLE,MATCH($F227,TIER_LIST,0),1))*(IF((5-$I227+1)&lt;=0,0,IF((5-$I227+1)=1,RAMP_W1,IF((5-$I227+1)=2,RAMP_W2,IF((5-$I227+1)=3,RAMP_W3,RAMP_W4PLUS)))))*(INDEX(ACTIVE_MULT_TABLE,1,1))*(1+SUMPRODUCT(SIGN(((ACT_DOOR_SCOPE="ALL")+(ACT_DOOR_SCOPE="TIER_"&amp;$F227)+(ACT_DOOR_SCOPE=$B227)))*SIGN(((ACT_SKU_SCOPE="ALL")+(ACT_SKU_SCOPE=$G227)))*(ACT_START&lt;=5)*(ACT_END&gt;=5)*IFERROR(ACT_UPLIFT-1,0)))*(1+SUMPRODUCT(SIGN(((ACT_DOOR_SCOPE="ALL")+(ACT_DOOR_SCOPE="TIER_"&amp;$F227)+(ACT_DOOR_SCOPE=$B227)))*SIGN(((ACT_SKU_SCOPE="ALL")+(ACT_SKU_SCOPE=$G227)))*(5&gt;ACT_END)*(ACT_END&gt;0)*IFERROR(ACT_POSTLIFT,0))),0)))</f>
        <v/>
      </c>
      <c r="O227" s="10">
        <f>IF(OR($H227&lt;&gt;"Y",6&lt;$I227),0,IF(SUMPRODUCT(((BULK_ENABLED="Y")*((BULK_TIER="ALL")+(BULK_TIER=$F227))*((BULK_SKU="ALL")+(BULK_SKU=$G227))*(BULK_START&lt;=6)*(BULK_END&gt;=6)))&gt;0,IFERROR(SUMPRODUCT(((BULK_ENABLED="Y")*((BULK_TIER="ALL")+(BULK_TIER=$F227))*((BULK_SKU="ALL")+(BULK_SKU=$G227))*(BULK_START&lt;=6)*(BULK_END&gt;=6))*IFERROR(BULK_VALUE,0))/MAX(1,SUMPRODUCT(((BULK_ENABLED="Y")*((BULK_TIER="ALL")+(BULK_TIER=$F227))*((BULK_SKU="ALL")+(BULK_SKU=$G227))*(BULK_START&lt;=6)*(BULK_END&gt;=6)))),0),ROUND((INDEX(VELOCITY_TABLE,MATCH($F227,TIER_LIST,0),1))*(IF((6-$I227+1)&lt;=0,0,IF((6-$I227+1)=1,RAMP_W1,IF((6-$I227+1)=2,RAMP_W2,IF((6-$I227+1)=3,RAMP_W3,RAMP_W4PLUS)))))*(INDEX(ACTIVE_MULT_TABLE,1,1))*(1+SUMPRODUCT(SIGN(((ACT_DOOR_SCOPE="ALL")+(ACT_DOOR_SCOPE="TIER_"&amp;$F227)+(ACT_DOOR_SCOPE=$B227)))*SIGN(((ACT_SKU_SCOPE="ALL")+(ACT_SKU_SCOPE=$G227)))*(ACT_START&lt;=6)*(ACT_END&gt;=6)*IFERROR(ACT_UPLIFT-1,0)))*(1+SUMPRODUCT(SIGN(((ACT_DOOR_SCOPE="ALL")+(ACT_DOOR_SCOPE="TIER_"&amp;$F227)+(ACT_DOOR_SCOPE=$B227)))*SIGN(((ACT_SKU_SCOPE="ALL")+(ACT_SKU_SCOPE=$G227)))*(6&gt;ACT_END)*(ACT_END&gt;0)*IFERROR(ACT_POSTLIFT,0))),0)))</f>
        <v/>
      </c>
      <c r="P227" s="10">
        <f>IF(OR($H227&lt;&gt;"Y",7&lt;$I227),0,IF(SUMPRODUCT(((BULK_ENABLED="Y")*((BULK_TIER="ALL")+(BULK_TIER=$F227))*((BULK_SKU="ALL")+(BULK_SKU=$G227))*(BULK_START&lt;=7)*(BULK_END&gt;=7)))&gt;0,IFERROR(SUMPRODUCT(((BULK_ENABLED="Y")*((BULK_TIER="ALL")+(BULK_TIER=$F227))*((BULK_SKU="ALL")+(BULK_SKU=$G227))*(BULK_START&lt;=7)*(BULK_END&gt;=7))*IFERROR(BULK_VALUE,0))/MAX(1,SUMPRODUCT(((BULK_ENABLED="Y")*((BULK_TIER="ALL")+(BULK_TIER=$F227))*((BULK_SKU="ALL")+(BULK_SKU=$G227))*(BULK_START&lt;=7)*(BULK_END&gt;=7)))),0),ROUND((INDEX(VELOCITY_TABLE,MATCH($F227,TIER_LIST,0),1))*(IF((7-$I227+1)&lt;=0,0,IF((7-$I227+1)=1,RAMP_W1,IF((7-$I227+1)=2,RAMP_W2,IF((7-$I227+1)=3,RAMP_W3,RAMP_W4PLUS)))))*(INDEX(ACTIVE_MULT_TABLE,1,1))*(1+SUMPRODUCT(SIGN(((ACT_DOOR_SCOPE="ALL")+(ACT_DOOR_SCOPE="TIER_"&amp;$F227)+(ACT_DOOR_SCOPE=$B227)))*SIGN(((ACT_SKU_SCOPE="ALL")+(ACT_SKU_SCOPE=$G227)))*(ACT_START&lt;=7)*(ACT_END&gt;=7)*IFERROR(ACT_UPLIFT-1,0)))*(1+SUMPRODUCT(SIGN(((ACT_DOOR_SCOPE="ALL")+(ACT_DOOR_SCOPE="TIER_"&amp;$F227)+(ACT_DOOR_SCOPE=$B227)))*SIGN(((ACT_SKU_SCOPE="ALL")+(ACT_SKU_SCOPE=$G227)))*(7&gt;ACT_END)*(ACT_END&gt;0)*IFERROR(ACT_POSTLIFT,0))),0)))</f>
        <v/>
      </c>
      <c r="Q227" s="10">
        <f>IF(OR($H227&lt;&gt;"Y",8&lt;$I227),0,IF(SUMPRODUCT(((BULK_ENABLED="Y")*((BULK_TIER="ALL")+(BULK_TIER=$F227))*((BULK_SKU="ALL")+(BULK_SKU=$G227))*(BULK_START&lt;=8)*(BULK_END&gt;=8)))&gt;0,IFERROR(SUMPRODUCT(((BULK_ENABLED="Y")*((BULK_TIER="ALL")+(BULK_TIER=$F227))*((BULK_SKU="ALL")+(BULK_SKU=$G227))*(BULK_START&lt;=8)*(BULK_END&gt;=8))*IFERROR(BULK_VALUE,0))/MAX(1,SUMPRODUCT(((BULK_ENABLED="Y")*((BULK_TIER="ALL")+(BULK_TIER=$F227))*((BULK_SKU="ALL")+(BULK_SKU=$G227))*(BULK_START&lt;=8)*(BULK_END&gt;=8)))),0),ROUND((INDEX(VELOCITY_TABLE,MATCH($F227,TIER_LIST,0),1))*(IF((8-$I227+1)&lt;=0,0,IF((8-$I227+1)=1,RAMP_W1,IF((8-$I227+1)=2,RAMP_W2,IF((8-$I227+1)=3,RAMP_W3,RAMP_W4PLUS)))))*(INDEX(ACTIVE_MULT_TABLE,1,1))*(1+SUMPRODUCT(SIGN(((ACT_DOOR_SCOPE="ALL")+(ACT_DOOR_SCOPE="TIER_"&amp;$F227)+(ACT_DOOR_SCOPE=$B227)))*SIGN(((ACT_SKU_SCOPE="ALL")+(ACT_SKU_SCOPE=$G227)))*(ACT_START&lt;=8)*(ACT_END&gt;=8)*IFERROR(ACT_UPLIFT-1,0)))*(1+SUMPRODUCT(SIGN(((ACT_DOOR_SCOPE="ALL")+(ACT_DOOR_SCOPE="TIER_"&amp;$F227)+(ACT_DOOR_SCOPE=$B227)))*SIGN(((ACT_SKU_SCOPE="ALL")+(ACT_SKU_SCOPE=$G227)))*(8&gt;ACT_END)*(ACT_END&gt;0)*IFERROR(ACT_POSTLIFT,0))),0)))</f>
        <v/>
      </c>
      <c r="R227" s="10">
        <f>IF(OR($H227&lt;&gt;"Y",9&lt;$I227),0,IF(SUMPRODUCT(((BULK_ENABLED="Y")*((BULK_TIER="ALL")+(BULK_TIER=$F227))*((BULK_SKU="ALL")+(BULK_SKU=$G227))*(BULK_START&lt;=9)*(BULK_END&gt;=9)))&gt;0,IFERROR(SUMPRODUCT(((BULK_ENABLED="Y")*((BULK_TIER="ALL")+(BULK_TIER=$F227))*((BULK_SKU="ALL")+(BULK_SKU=$G227))*(BULK_START&lt;=9)*(BULK_END&gt;=9))*IFERROR(BULK_VALUE,0))/MAX(1,SUMPRODUCT(((BULK_ENABLED="Y")*((BULK_TIER="ALL")+(BULK_TIER=$F227))*((BULK_SKU="ALL")+(BULK_SKU=$G227))*(BULK_START&lt;=9)*(BULK_END&gt;=9)))),0),ROUND((INDEX(VELOCITY_TABLE,MATCH($F227,TIER_LIST,0),1))*(IF((9-$I227+1)&lt;=0,0,IF((9-$I227+1)=1,RAMP_W1,IF((9-$I227+1)=2,RAMP_W2,IF((9-$I227+1)=3,RAMP_W3,RAMP_W4PLUS)))))*(INDEX(ACTIVE_MULT_TABLE,1,1))*(1+SUMPRODUCT(SIGN(((ACT_DOOR_SCOPE="ALL")+(ACT_DOOR_SCOPE="TIER_"&amp;$F227)+(ACT_DOOR_SCOPE=$B227)))*SIGN(((ACT_SKU_SCOPE="ALL")+(ACT_SKU_SCOPE=$G227)))*(ACT_START&lt;=9)*(ACT_END&gt;=9)*IFERROR(ACT_UPLIFT-1,0)))*(1+SUMPRODUCT(SIGN(((ACT_DOOR_SCOPE="ALL")+(ACT_DOOR_SCOPE="TIER_"&amp;$F227)+(ACT_DOOR_SCOPE=$B227)))*SIGN(((ACT_SKU_SCOPE="ALL")+(ACT_SKU_SCOPE=$G227)))*(9&gt;ACT_END)*(ACT_END&gt;0)*IFERROR(ACT_POSTLIFT,0))),0)))</f>
        <v/>
      </c>
      <c r="S227" s="10">
        <f>IF(OR($H227&lt;&gt;"Y",10&lt;$I227),0,IF(SUMPRODUCT(((BULK_ENABLED="Y")*((BULK_TIER="ALL")+(BULK_TIER=$F227))*((BULK_SKU="ALL")+(BULK_SKU=$G227))*(BULK_START&lt;=10)*(BULK_END&gt;=10)))&gt;0,IFERROR(SUMPRODUCT(((BULK_ENABLED="Y")*((BULK_TIER="ALL")+(BULK_TIER=$F227))*((BULK_SKU="ALL")+(BULK_SKU=$G227))*(BULK_START&lt;=10)*(BULK_END&gt;=10))*IFERROR(BULK_VALUE,0))/MAX(1,SUMPRODUCT(((BULK_ENABLED="Y")*((BULK_TIER="ALL")+(BULK_TIER=$F227))*((BULK_SKU="ALL")+(BULK_SKU=$G227))*(BULK_START&lt;=10)*(BULK_END&gt;=10)))),0),ROUND((INDEX(VELOCITY_TABLE,MATCH($F227,TIER_LIST,0),1))*(IF((10-$I227+1)&lt;=0,0,IF((10-$I227+1)=1,RAMP_W1,IF((10-$I227+1)=2,RAMP_W2,IF((10-$I227+1)=3,RAMP_W3,RAMP_W4PLUS)))))*(INDEX(ACTIVE_MULT_TABLE,1,1))*(1+SUMPRODUCT(SIGN(((ACT_DOOR_SCOPE="ALL")+(ACT_DOOR_SCOPE="TIER_"&amp;$F227)+(ACT_DOOR_SCOPE=$B227)))*SIGN(((ACT_SKU_SCOPE="ALL")+(ACT_SKU_SCOPE=$G227)))*(ACT_START&lt;=10)*(ACT_END&gt;=10)*IFERROR(ACT_UPLIFT-1,0)))*(1+SUMPRODUCT(SIGN(((ACT_DOOR_SCOPE="ALL")+(ACT_DOOR_SCOPE="TIER_"&amp;$F227)+(ACT_DOOR_SCOPE=$B227)))*SIGN(((ACT_SKU_SCOPE="ALL")+(ACT_SKU_SCOPE=$G227)))*(10&gt;ACT_END)*(ACT_END&gt;0)*IFERROR(ACT_POSTLIFT,0))),0)))</f>
        <v/>
      </c>
      <c r="T227" s="10">
        <f>IF(OR($H227&lt;&gt;"Y",11&lt;$I227),0,IF(SUMPRODUCT(((BULK_ENABLED="Y")*((BULK_TIER="ALL")+(BULK_TIER=$F227))*((BULK_SKU="ALL")+(BULK_SKU=$G227))*(BULK_START&lt;=11)*(BULK_END&gt;=11)))&gt;0,IFERROR(SUMPRODUCT(((BULK_ENABLED="Y")*((BULK_TIER="ALL")+(BULK_TIER=$F227))*((BULK_SKU="ALL")+(BULK_SKU=$G227))*(BULK_START&lt;=11)*(BULK_END&gt;=11))*IFERROR(BULK_VALUE,0))/MAX(1,SUMPRODUCT(((BULK_ENABLED="Y")*((BULK_TIER="ALL")+(BULK_TIER=$F227))*((BULK_SKU="ALL")+(BULK_SKU=$G227))*(BULK_START&lt;=11)*(BULK_END&gt;=11)))),0),ROUND((INDEX(VELOCITY_TABLE,MATCH($F227,TIER_LIST,0),1))*(IF((11-$I227+1)&lt;=0,0,IF((11-$I227+1)=1,RAMP_W1,IF((11-$I227+1)=2,RAMP_W2,IF((11-$I227+1)=3,RAMP_W3,RAMP_W4PLUS)))))*(INDEX(ACTIVE_MULT_TABLE,1,1))*(1+SUMPRODUCT(SIGN(((ACT_DOOR_SCOPE="ALL")+(ACT_DOOR_SCOPE="TIER_"&amp;$F227)+(ACT_DOOR_SCOPE=$B227)))*SIGN(((ACT_SKU_SCOPE="ALL")+(ACT_SKU_SCOPE=$G227)))*(ACT_START&lt;=11)*(ACT_END&gt;=11)*IFERROR(ACT_UPLIFT-1,0)))*(1+SUMPRODUCT(SIGN(((ACT_DOOR_SCOPE="ALL")+(ACT_DOOR_SCOPE="TIER_"&amp;$F227)+(ACT_DOOR_SCOPE=$B227)))*SIGN(((ACT_SKU_SCOPE="ALL")+(ACT_SKU_SCOPE=$G227)))*(11&gt;ACT_END)*(ACT_END&gt;0)*IFERROR(ACT_POSTLIFT,0))),0)))</f>
        <v/>
      </c>
      <c r="U227" s="10">
        <f>IF(OR($H227&lt;&gt;"Y",12&lt;$I227),0,IF(SUMPRODUCT(((BULK_ENABLED="Y")*((BULK_TIER="ALL")+(BULK_TIER=$F227))*((BULK_SKU="ALL")+(BULK_SKU=$G227))*(BULK_START&lt;=12)*(BULK_END&gt;=12)))&gt;0,IFERROR(SUMPRODUCT(((BULK_ENABLED="Y")*((BULK_TIER="ALL")+(BULK_TIER=$F227))*((BULK_SKU="ALL")+(BULK_SKU=$G227))*(BULK_START&lt;=12)*(BULK_END&gt;=12))*IFERROR(BULK_VALUE,0))/MAX(1,SUMPRODUCT(((BULK_ENABLED="Y")*((BULK_TIER="ALL")+(BULK_TIER=$F227))*((BULK_SKU="ALL")+(BULK_SKU=$G227))*(BULK_START&lt;=12)*(BULK_END&gt;=12)))),0),ROUND((INDEX(VELOCITY_TABLE,MATCH($F227,TIER_LIST,0),1))*(IF((12-$I227+1)&lt;=0,0,IF((12-$I227+1)=1,RAMP_W1,IF((12-$I227+1)=2,RAMP_W2,IF((12-$I227+1)=3,RAMP_W3,RAMP_W4PLUS)))))*(INDEX(ACTIVE_MULT_TABLE,1,1))*(1+SUMPRODUCT(SIGN(((ACT_DOOR_SCOPE="ALL")+(ACT_DOOR_SCOPE="TIER_"&amp;$F227)+(ACT_DOOR_SCOPE=$B227)))*SIGN(((ACT_SKU_SCOPE="ALL")+(ACT_SKU_SCOPE=$G227)))*(ACT_START&lt;=12)*(ACT_END&gt;=12)*IFERROR(ACT_UPLIFT-1,0)))*(1+SUMPRODUCT(SIGN(((ACT_DOOR_SCOPE="ALL")+(ACT_DOOR_SCOPE="TIER_"&amp;$F227)+(ACT_DOOR_SCOPE=$B227)))*SIGN(((ACT_SKU_SCOPE="ALL")+(ACT_SKU_SCOPE=$G227)))*(12&gt;ACT_END)*(ACT_END&gt;0)*IFERROR(ACT_POSTLIFT,0))),0)))</f>
        <v/>
      </c>
      <c r="V227" s="10">
        <f>IF(OR($H227&lt;&gt;"Y",13&lt;$I227),0,IF(SUMPRODUCT(((BULK_ENABLED="Y")*((BULK_TIER="ALL")+(BULK_TIER=$F227))*((BULK_SKU="ALL")+(BULK_SKU=$G227))*(BULK_START&lt;=13)*(BULK_END&gt;=13)))&gt;0,IFERROR(SUMPRODUCT(((BULK_ENABLED="Y")*((BULK_TIER="ALL")+(BULK_TIER=$F227))*((BULK_SKU="ALL")+(BULK_SKU=$G227))*(BULK_START&lt;=13)*(BULK_END&gt;=13))*IFERROR(BULK_VALUE,0))/MAX(1,SUMPRODUCT(((BULK_ENABLED="Y")*((BULK_TIER="ALL")+(BULK_TIER=$F227))*((BULK_SKU="ALL")+(BULK_SKU=$G227))*(BULK_START&lt;=13)*(BULK_END&gt;=13)))),0),ROUND((INDEX(VELOCITY_TABLE,MATCH($F227,TIER_LIST,0),1))*(IF((13-$I227+1)&lt;=0,0,IF((13-$I227+1)=1,RAMP_W1,IF((13-$I227+1)=2,RAMP_W2,IF((13-$I227+1)=3,RAMP_W3,RAMP_W4PLUS)))))*(INDEX(ACTIVE_MULT_TABLE,1,1))*(1+SUMPRODUCT(SIGN(((ACT_DOOR_SCOPE="ALL")+(ACT_DOOR_SCOPE="TIER_"&amp;$F227)+(ACT_DOOR_SCOPE=$B227)))*SIGN(((ACT_SKU_SCOPE="ALL")+(ACT_SKU_SCOPE=$G227)))*(ACT_START&lt;=13)*(ACT_END&gt;=13)*IFERROR(ACT_UPLIFT-1,0)))*(1+SUMPRODUCT(SIGN(((ACT_DOOR_SCOPE="ALL")+(ACT_DOOR_SCOPE="TIER_"&amp;$F227)+(ACT_DOOR_SCOPE=$B227)))*SIGN(((ACT_SKU_SCOPE="ALL")+(ACT_SKU_SCOPE=$G227)))*(13&gt;ACT_END)*(ACT_END&gt;0)*IFERROR(ACT_POSTLIFT,0))),0)))</f>
        <v/>
      </c>
    </row>
    <row r="228">
      <c r="A228" t="inlineStr">
        <is>
          <t>R0224</t>
        </is>
      </c>
      <c r="B228">
        <f>Doors!$A$79</f>
        <v/>
      </c>
      <c r="C228">
        <f>Doors!$C$79</f>
        <v/>
      </c>
      <c r="D228">
        <f>Doors!$B$79</f>
        <v/>
      </c>
      <c r="E228">
        <f>Doors!$E$79</f>
        <v/>
      </c>
      <c r="F228">
        <f>Doors!$F$79</f>
        <v/>
      </c>
      <c r="G228" t="inlineStr">
        <is>
          <t>Pineapple Passion Fruit</t>
        </is>
      </c>
      <c r="H228">
        <f>Doors!$H$79</f>
        <v/>
      </c>
      <c r="I228">
        <f>Doors!$J$79</f>
        <v/>
      </c>
      <c r="J228" s="10">
        <f>IF(OR($H228&lt;&gt;"Y",1&lt;$I228),0,IF(SUMPRODUCT(((BULK_ENABLED="Y")*((BULK_TIER="ALL")+(BULK_TIER=$F228))*((BULK_SKU="ALL")+(BULK_SKU=$G228))*(BULK_START&lt;=1)*(BULK_END&gt;=1)))&gt;0,IFERROR(SUMPRODUCT(((BULK_ENABLED="Y")*((BULK_TIER="ALL")+(BULK_TIER=$F228))*((BULK_SKU="ALL")+(BULK_SKU=$G228))*(BULK_START&lt;=1)*(BULK_END&gt;=1))*IFERROR(BULK_VALUE,0))/MAX(1,SUMPRODUCT(((BULK_ENABLED="Y")*((BULK_TIER="ALL")+(BULK_TIER=$F228))*((BULK_SKU="ALL")+(BULK_SKU=$G228))*(BULK_START&lt;=1)*(BULK_END&gt;=1)))),0),ROUND((INDEX(VELOCITY_TABLE,MATCH($F228,TIER_LIST,0),2))*(IF((1-$I228+1)&lt;=0,0,IF((1-$I228+1)=1,RAMP_W1,IF((1-$I228+1)=2,RAMP_W2,IF((1-$I228+1)=3,RAMP_W3,RAMP_W4PLUS)))))*(INDEX(ACTIVE_MULT_TABLE,2,1))*(1+SUMPRODUCT(SIGN(((ACT_DOOR_SCOPE="ALL")+(ACT_DOOR_SCOPE="TIER_"&amp;$F228)+(ACT_DOOR_SCOPE=$B228)))*SIGN(((ACT_SKU_SCOPE="ALL")+(ACT_SKU_SCOPE=$G228)))*(ACT_START&lt;=1)*(ACT_END&gt;=1)*IFERROR(ACT_UPLIFT-1,0)))*(1+SUMPRODUCT(SIGN(((ACT_DOOR_SCOPE="ALL")+(ACT_DOOR_SCOPE="TIER_"&amp;$F228)+(ACT_DOOR_SCOPE=$B228)))*SIGN(((ACT_SKU_SCOPE="ALL")+(ACT_SKU_SCOPE=$G228)))*(1&gt;ACT_END)*(ACT_END&gt;0)*IFERROR(ACT_POSTLIFT,0))),0)))</f>
        <v/>
      </c>
      <c r="K228" s="10">
        <f>IF(OR($H228&lt;&gt;"Y",2&lt;$I228),0,IF(SUMPRODUCT(((BULK_ENABLED="Y")*((BULK_TIER="ALL")+(BULK_TIER=$F228))*((BULK_SKU="ALL")+(BULK_SKU=$G228))*(BULK_START&lt;=2)*(BULK_END&gt;=2)))&gt;0,IFERROR(SUMPRODUCT(((BULK_ENABLED="Y")*((BULK_TIER="ALL")+(BULK_TIER=$F228))*((BULK_SKU="ALL")+(BULK_SKU=$G228))*(BULK_START&lt;=2)*(BULK_END&gt;=2))*IFERROR(BULK_VALUE,0))/MAX(1,SUMPRODUCT(((BULK_ENABLED="Y")*((BULK_TIER="ALL")+(BULK_TIER=$F228))*((BULK_SKU="ALL")+(BULK_SKU=$G228))*(BULK_START&lt;=2)*(BULK_END&gt;=2)))),0),ROUND((INDEX(VELOCITY_TABLE,MATCH($F228,TIER_LIST,0),2))*(IF((2-$I228+1)&lt;=0,0,IF((2-$I228+1)=1,RAMP_W1,IF((2-$I228+1)=2,RAMP_W2,IF((2-$I228+1)=3,RAMP_W3,RAMP_W4PLUS)))))*(INDEX(ACTIVE_MULT_TABLE,2,1))*(1+SUMPRODUCT(SIGN(((ACT_DOOR_SCOPE="ALL")+(ACT_DOOR_SCOPE="TIER_"&amp;$F228)+(ACT_DOOR_SCOPE=$B228)))*SIGN(((ACT_SKU_SCOPE="ALL")+(ACT_SKU_SCOPE=$G228)))*(ACT_START&lt;=2)*(ACT_END&gt;=2)*IFERROR(ACT_UPLIFT-1,0)))*(1+SUMPRODUCT(SIGN(((ACT_DOOR_SCOPE="ALL")+(ACT_DOOR_SCOPE="TIER_"&amp;$F228)+(ACT_DOOR_SCOPE=$B228)))*SIGN(((ACT_SKU_SCOPE="ALL")+(ACT_SKU_SCOPE=$G228)))*(2&gt;ACT_END)*(ACT_END&gt;0)*IFERROR(ACT_POSTLIFT,0))),0)))</f>
        <v/>
      </c>
      <c r="L228" s="10">
        <f>IF(OR($H228&lt;&gt;"Y",3&lt;$I228),0,IF(SUMPRODUCT(((BULK_ENABLED="Y")*((BULK_TIER="ALL")+(BULK_TIER=$F228))*((BULK_SKU="ALL")+(BULK_SKU=$G228))*(BULK_START&lt;=3)*(BULK_END&gt;=3)))&gt;0,IFERROR(SUMPRODUCT(((BULK_ENABLED="Y")*((BULK_TIER="ALL")+(BULK_TIER=$F228))*((BULK_SKU="ALL")+(BULK_SKU=$G228))*(BULK_START&lt;=3)*(BULK_END&gt;=3))*IFERROR(BULK_VALUE,0))/MAX(1,SUMPRODUCT(((BULK_ENABLED="Y")*((BULK_TIER="ALL")+(BULK_TIER=$F228))*((BULK_SKU="ALL")+(BULK_SKU=$G228))*(BULK_START&lt;=3)*(BULK_END&gt;=3)))),0),ROUND((INDEX(VELOCITY_TABLE,MATCH($F228,TIER_LIST,0),2))*(IF((3-$I228+1)&lt;=0,0,IF((3-$I228+1)=1,RAMP_W1,IF((3-$I228+1)=2,RAMP_W2,IF((3-$I228+1)=3,RAMP_W3,RAMP_W4PLUS)))))*(INDEX(ACTIVE_MULT_TABLE,2,1))*(1+SUMPRODUCT(SIGN(((ACT_DOOR_SCOPE="ALL")+(ACT_DOOR_SCOPE="TIER_"&amp;$F228)+(ACT_DOOR_SCOPE=$B228)))*SIGN(((ACT_SKU_SCOPE="ALL")+(ACT_SKU_SCOPE=$G228)))*(ACT_START&lt;=3)*(ACT_END&gt;=3)*IFERROR(ACT_UPLIFT-1,0)))*(1+SUMPRODUCT(SIGN(((ACT_DOOR_SCOPE="ALL")+(ACT_DOOR_SCOPE="TIER_"&amp;$F228)+(ACT_DOOR_SCOPE=$B228)))*SIGN(((ACT_SKU_SCOPE="ALL")+(ACT_SKU_SCOPE=$G228)))*(3&gt;ACT_END)*(ACT_END&gt;0)*IFERROR(ACT_POSTLIFT,0))),0)))</f>
        <v/>
      </c>
      <c r="M228" s="10">
        <f>IF(OR($H228&lt;&gt;"Y",4&lt;$I228),0,IF(SUMPRODUCT(((BULK_ENABLED="Y")*((BULK_TIER="ALL")+(BULK_TIER=$F228))*((BULK_SKU="ALL")+(BULK_SKU=$G228))*(BULK_START&lt;=4)*(BULK_END&gt;=4)))&gt;0,IFERROR(SUMPRODUCT(((BULK_ENABLED="Y")*((BULK_TIER="ALL")+(BULK_TIER=$F228))*((BULK_SKU="ALL")+(BULK_SKU=$G228))*(BULK_START&lt;=4)*(BULK_END&gt;=4))*IFERROR(BULK_VALUE,0))/MAX(1,SUMPRODUCT(((BULK_ENABLED="Y")*((BULK_TIER="ALL")+(BULK_TIER=$F228))*((BULK_SKU="ALL")+(BULK_SKU=$G228))*(BULK_START&lt;=4)*(BULK_END&gt;=4)))),0),ROUND((INDEX(VELOCITY_TABLE,MATCH($F228,TIER_LIST,0),2))*(IF((4-$I228+1)&lt;=0,0,IF((4-$I228+1)=1,RAMP_W1,IF((4-$I228+1)=2,RAMP_W2,IF((4-$I228+1)=3,RAMP_W3,RAMP_W4PLUS)))))*(INDEX(ACTIVE_MULT_TABLE,2,1))*(1+SUMPRODUCT(SIGN(((ACT_DOOR_SCOPE="ALL")+(ACT_DOOR_SCOPE="TIER_"&amp;$F228)+(ACT_DOOR_SCOPE=$B228)))*SIGN(((ACT_SKU_SCOPE="ALL")+(ACT_SKU_SCOPE=$G228)))*(ACT_START&lt;=4)*(ACT_END&gt;=4)*IFERROR(ACT_UPLIFT-1,0)))*(1+SUMPRODUCT(SIGN(((ACT_DOOR_SCOPE="ALL")+(ACT_DOOR_SCOPE="TIER_"&amp;$F228)+(ACT_DOOR_SCOPE=$B228)))*SIGN(((ACT_SKU_SCOPE="ALL")+(ACT_SKU_SCOPE=$G228)))*(4&gt;ACT_END)*(ACT_END&gt;0)*IFERROR(ACT_POSTLIFT,0))),0)))</f>
        <v/>
      </c>
      <c r="N228" s="10">
        <f>IF(OR($H228&lt;&gt;"Y",5&lt;$I228),0,IF(SUMPRODUCT(((BULK_ENABLED="Y")*((BULK_TIER="ALL")+(BULK_TIER=$F228))*((BULK_SKU="ALL")+(BULK_SKU=$G228))*(BULK_START&lt;=5)*(BULK_END&gt;=5)))&gt;0,IFERROR(SUMPRODUCT(((BULK_ENABLED="Y")*((BULK_TIER="ALL")+(BULK_TIER=$F228))*((BULK_SKU="ALL")+(BULK_SKU=$G228))*(BULK_START&lt;=5)*(BULK_END&gt;=5))*IFERROR(BULK_VALUE,0))/MAX(1,SUMPRODUCT(((BULK_ENABLED="Y")*((BULK_TIER="ALL")+(BULK_TIER=$F228))*((BULK_SKU="ALL")+(BULK_SKU=$G228))*(BULK_START&lt;=5)*(BULK_END&gt;=5)))),0),ROUND((INDEX(VELOCITY_TABLE,MATCH($F228,TIER_LIST,0),2))*(IF((5-$I228+1)&lt;=0,0,IF((5-$I228+1)=1,RAMP_W1,IF((5-$I228+1)=2,RAMP_W2,IF((5-$I228+1)=3,RAMP_W3,RAMP_W4PLUS)))))*(INDEX(ACTIVE_MULT_TABLE,2,1))*(1+SUMPRODUCT(SIGN(((ACT_DOOR_SCOPE="ALL")+(ACT_DOOR_SCOPE="TIER_"&amp;$F228)+(ACT_DOOR_SCOPE=$B228)))*SIGN(((ACT_SKU_SCOPE="ALL")+(ACT_SKU_SCOPE=$G228)))*(ACT_START&lt;=5)*(ACT_END&gt;=5)*IFERROR(ACT_UPLIFT-1,0)))*(1+SUMPRODUCT(SIGN(((ACT_DOOR_SCOPE="ALL")+(ACT_DOOR_SCOPE="TIER_"&amp;$F228)+(ACT_DOOR_SCOPE=$B228)))*SIGN(((ACT_SKU_SCOPE="ALL")+(ACT_SKU_SCOPE=$G228)))*(5&gt;ACT_END)*(ACT_END&gt;0)*IFERROR(ACT_POSTLIFT,0))),0)))</f>
        <v/>
      </c>
      <c r="O228" s="10">
        <f>IF(OR($H228&lt;&gt;"Y",6&lt;$I228),0,IF(SUMPRODUCT(((BULK_ENABLED="Y")*((BULK_TIER="ALL")+(BULK_TIER=$F228))*((BULK_SKU="ALL")+(BULK_SKU=$G228))*(BULK_START&lt;=6)*(BULK_END&gt;=6)))&gt;0,IFERROR(SUMPRODUCT(((BULK_ENABLED="Y")*((BULK_TIER="ALL")+(BULK_TIER=$F228))*((BULK_SKU="ALL")+(BULK_SKU=$G228))*(BULK_START&lt;=6)*(BULK_END&gt;=6))*IFERROR(BULK_VALUE,0))/MAX(1,SUMPRODUCT(((BULK_ENABLED="Y")*((BULK_TIER="ALL")+(BULK_TIER=$F228))*((BULK_SKU="ALL")+(BULK_SKU=$G228))*(BULK_START&lt;=6)*(BULK_END&gt;=6)))),0),ROUND((INDEX(VELOCITY_TABLE,MATCH($F228,TIER_LIST,0),2))*(IF((6-$I228+1)&lt;=0,0,IF((6-$I228+1)=1,RAMP_W1,IF((6-$I228+1)=2,RAMP_W2,IF((6-$I228+1)=3,RAMP_W3,RAMP_W4PLUS)))))*(INDEX(ACTIVE_MULT_TABLE,2,1))*(1+SUMPRODUCT(SIGN(((ACT_DOOR_SCOPE="ALL")+(ACT_DOOR_SCOPE="TIER_"&amp;$F228)+(ACT_DOOR_SCOPE=$B228)))*SIGN(((ACT_SKU_SCOPE="ALL")+(ACT_SKU_SCOPE=$G228)))*(ACT_START&lt;=6)*(ACT_END&gt;=6)*IFERROR(ACT_UPLIFT-1,0)))*(1+SUMPRODUCT(SIGN(((ACT_DOOR_SCOPE="ALL")+(ACT_DOOR_SCOPE="TIER_"&amp;$F228)+(ACT_DOOR_SCOPE=$B228)))*SIGN(((ACT_SKU_SCOPE="ALL")+(ACT_SKU_SCOPE=$G228)))*(6&gt;ACT_END)*(ACT_END&gt;0)*IFERROR(ACT_POSTLIFT,0))),0)))</f>
        <v/>
      </c>
      <c r="P228" s="10">
        <f>IF(OR($H228&lt;&gt;"Y",7&lt;$I228),0,IF(SUMPRODUCT(((BULK_ENABLED="Y")*((BULK_TIER="ALL")+(BULK_TIER=$F228))*((BULK_SKU="ALL")+(BULK_SKU=$G228))*(BULK_START&lt;=7)*(BULK_END&gt;=7)))&gt;0,IFERROR(SUMPRODUCT(((BULK_ENABLED="Y")*((BULK_TIER="ALL")+(BULK_TIER=$F228))*((BULK_SKU="ALL")+(BULK_SKU=$G228))*(BULK_START&lt;=7)*(BULK_END&gt;=7))*IFERROR(BULK_VALUE,0))/MAX(1,SUMPRODUCT(((BULK_ENABLED="Y")*((BULK_TIER="ALL")+(BULK_TIER=$F228))*((BULK_SKU="ALL")+(BULK_SKU=$G228))*(BULK_START&lt;=7)*(BULK_END&gt;=7)))),0),ROUND((INDEX(VELOCITY_TABLE,MATCH($F228,TIER_LIST,0),2))*(IF((7-$I228+1)&lt;=0,0,IF((7-$I228+1)=1,RAMP_W1,IF((7-$I228+1)=2,RAMP_W2,IF((7-$I228+1)=3,RAMP_W3,RAMP_W4PLUS)))))*(INDEX(ACTIVE_MULT_TABLE,2,1))*(1+SUMPRODUCT(SIGN(((ACT_DOOR_SCOPE="ALL")+(ACT_DOOR_SCOPE="TIER_"&amp;$F228)+(ACT_DOOR_SCOPE=$B228)))*SIGN(((ACT_SKU_SCOPE="ALL")+(ACT_SKU_SCOPE=$G228)))*(ACT_START&lt;=7)*(ACT_END&gt;=7)*IFERROR(ACT_UPLIFT-1,0)))*(1+SUMPRODUCT(SIGN(((ACT_DOOR_SCOPE="ALL")+(ACT_DOOR_SCOPE="TIER_"&amp;$F228)+(ACT_DOOR_SCOPE=$B228)))*SIGN(((ACT_SKU_SCOPE="ALL")+(ACT_SKU_SCOPE=$G228)))*(7&gt;ACT_END)*(ACT_END&gt;0)*IFERROR(ACT_POSTLIFT,0))),0)))</f>
        <v/>
      </c>
      <c r="Q228" s="10">
        <f>IF(OR($H228&lt;&gt;"Y",8&lt;$I228),0,IF(SUMPRODUCT(((BULK_ENABLED="Y")*((BULK_TIER="ALL")+(BULK_TIER=$F228))*((BULK_SKU="ALL")+(BULK_SKU=$G228))*(BULK_START&lt;=8)*(BULK_END&gt;=8)))&gt;0,IFERROR(SUMPRODUCT(((BULK_ENABLED="Y")*((BULK_TIER="ALL")+(BULK_TIER=$F228))*((BULK_SKU="ALL")+(BULK_SKU=$G228))*(BULK_START&lt;=8)*(BULK_END&gt;=8))*IFERROR(BULK_VALUE,0))/MAX(1,SUMPRODUCT(((BULK_ENABLED="Y")*((BULK_TIER="ALL")+(BULK_TIER=$F228))*((BULK_SKU="ALL")+(BULK_SKU=$G228))*(BULK_START&lt;=8)*(BULK_END&gt;=8)))),0),ROUND((INDEX(VELOCITY_TABLE,MATCH($F228,TIER_LIST,0),2))*(IF((8-$I228+1)&lt;=0,0,IF((8-$I228+1)=1,RAMP_W1,IF((8-$I228+1)=2,RAMP_W2,IF((8-$I228+1)=3,RAMP_W3,RAMP_W4PLUS)))))*(INDEX(ACTIVE_MULT_TABLE,2,1))*(1+SUMPRODUCT(SIGN(((ACT_DOOR_SCOPE="ALL")+(ACT_DOOR_SCOPE="TIER_"&amp;$F228)+(ACT_DOOR_SCOPE=$B228)))*SIGN(((ACT_SKU_SCOPE="ALL")+(ACT_SKU_SCOPE=$G228)))*(ACT_START&lt;=8)*(ACT_END&gt;=8)*IFERROR(ACT_UPLIFT-1,0)))*(1+SUMPRODUCT(SIGN(((ACT_DOOR_SCOPE="ALL")+(ACT_DOOR_SCOPE="TIER_"&amp;$F228)+(ACT_DOOR_SCOPE=$B228)))*SIGN(((ACT_SKU_SCOPE="ALL")+(ACT_SKU_SCOPE=$G228)))*(8&gt;ACT_END)*(ACT_END&gt;0)*IFERROR(ACT_POSTLIFT,0))),0)))</f>
        <v/>
      </c>
      <c r="R228" s="10">
        <f>IF(OR($H228&lt;&gt;"Y",9&lt;$I228),0,IF(SUMPRODUCT(((BULK_ENABLED="Y")*((BULK_TIER="ALL")+(BULK_TIER=$F228))*((BULK_SKU="ALL")+(BULK_SKU=$G228))*(BULK_START&lt;=9)*(BULK_END&gt;=9)))&gt;0,IFERROR(SUMPRODUCT(((BULK_ENABLED="Y")*((BULK_TIER="ALL")+(BULK_TIER=$F228))*((BULK_SKU="ALL")+(BULK_SKU=$G228))*(BULK_START&lt;=9)*(BULK_END&gt;=9))*IFERROR(BULK_VALUE,0))/MAX(1,SUMPRODUCT(((BULK_ENABLED="Y")*((BULK_TIER="ALL")+(BULK_TIER=$F228))*((BULK_SKU="ALL")+(BULK_SKU=$G228))*(BULK_START&lt;=9)*(BULK_END&gt;=9)))),0),ROUND((INDEX(VELOCITY_TABLE,MATCH($F228,TIER_LIST,0),2))*(IF((9-$I228+1)&lt;=0,0,IF((9-$I228+1)=1,RAMP_W1,IF((9-$I228+1)=2,RAMP_W2,IF((9-$I228+1)=3,RAMP_W3,RAMP_W4PLUS)))))*(INDEX(ACTIVE_MULT_TABLE,2,1))*(1+SUMPRODUCT(SIGN(((ACT_DOOR_SCOPE="ALL")+(ACT_DOOR_SCOPE="TIER_"&amp;$F228)+(ACT_DOOR_SCOPE=$B228)))*SIGN(((ACT_SKU_SCOPE="ALL")+(ACT_SKU_SCOPE=$G228)))*(ACT_START&lt;=9)*(ACT_END&gt;=9)*IFERROR(ACT_UPLIFT-1,0)))*(1+SUMPRODUCT(SIGN(((ACT_DOOR_SCOPE="ALL")+(ACT_DOOR_SCOPE="TIER_"&amp;$F228)+(ACT_DOOR_SCOPE=$B228)))*SIGN(((ACT_SKU_SCOPE="ALL")+(ACT_SKU_SCOPE=$G228)))*(9&gt;ACT_END)*(ACT_END&gt;0)*IFERROR(ACT_POSTLIFT,0))),0)))</f>
        <v/>
      </c>
      <c r="S228" s="10">
        <f>IF(OR($H228&lt;&gt;"Y",10&lt;$I228),0,IF(SUMPRODUCT(((BULK_ENABLED="Y")*((BULK_TIER="ALL")+(BULK_TIER=$F228))*((BULK_SKU="ALL")+(BULK_SKU=$G228))*(BULK_START&lt;=10)*(BULK_END&gt;=10)))&gt;0,IFERROR(SUMPRODUCT(((BULK_ENABLED="Y")*((BULK_TIER="ALL")+(BULK_TIER=$F228))*((BULK_SKU="ALL")+(BULK_SKU=$G228))*(BULK_START&lt;=10)*(BULK_END&gt;=10))*IFERROR(BULK_VALUE,0))/MAX(1,SUMPRODUCT(((BULK_ENABLED="Y")*((BULK_TIER="ALL")+(BULK_TIER=$F228))*((BULK_SKU="ALL")+(BULK_SKU=$G228))*(BULK_START&lt;=10)*(BULK_END&gt;=10)))),0),ROUND((INDEX(VELOCITY_TABLE,MATCH($F228,TIER_LIST,0),2))*(IF((10-$I228+1)&lt;=0,0,IF((10-$I228+1)=1,RAMP_W1,IF((10-$I228+1)=2,RAMP_W2,IF((10-$I228+1)=3,RAMP_W3,RAMP_W4PLUS)))))*(INDEX(ACTIVE_MULT_TABLE,2,1))*(1+SUMPRODUCT(SIGN(((ACT_DOOR_SCOPE="ALL")+(ACT_DOOR_SCOPE="TIER_"&amp;$F228)+(ACT_DOOR_SCOPE=$B228)))*SIGN(((ACT_SKU_SCOPE="ALL")+(ACT_SKU_SCOPE=$G228)))*(ACT_START&lt;=10)*(ACT_END&gt;=10)*IFERROR(ACT_UPLIFT-1,0)))*(1+SUMPRODUCT(SIGN(((ACT_DOOR_SCOPE="ALL")+(ACT_DOOR_SCOPE="TIER_"&amp;$F228)+(ACT_DOOR_SCOPE=$B228)))*SIGN(((ACT_SKU_SCOPE="ALL")+(ACT_SKU_SCOPE=$G228)))*(10&gt;ACT_END)*(ACT_END&gt;0)*IFERROR(ACT_POSTLIFT,0))),0)))</f>
        <v/>
      </c>
      <c r="T228" s="10">
        <f>IF(OR($H228&lt;&gt;"Y",11&lt;$I228),0,IF(SUMPRODUCT(((BULK_ENABLED="Y")*((BULK_TIER="ALL")+(BULK_TIER=$F228))*((BULK_SKU="ALL")+(BULK_SKU=$G228))*(BULK_START&lt;=11)*(BULK_END&gt;=11)))&gt;0,IFERROR(SUMPRODUCT(((BULK_ENABLED="Y")*((BULK_TIER="ALL")+(BULK_TIER=$F228))*((BULK_SKU="ALL")+(BULK_SKU=$G228))*(BULK_START&lt;=11)*(BULK_END&gt;=11))*IFERROR(BULK_VALUE,0))/MAX(1,SUMPRODUCT(((BULK_ENABLED="Y")*((BULK_TIER="ALL")+(BULK_TIER=$F228))*((BULK_SKU="ALL")+(BULK_SKU=$G228))*(BULK_START&lt;=11)*(BULK_END&gt;=11)))),0),ROUND((INDEX(VELOCITY_TABLE,MATCH($F228,TIER_LIST,0),2))*(IF((11-$I228+1)&lt;=0,0,IF((11-$I228+1)=1,RAMP_W1,IF((11-$I228+1)=2,RAMP_W2,IF((11-$I228+1)=3,RAMP_W3,RAMP_W4PLUS)))))*(INDEX(ACTIVE_MULT_TABLE,2,1))*(1+SUMPRODUCT(SIGN(((ACT_DOOR_SCOPE="ALL")+(ACT_DOOR_SCOPE="TIER_"&amp;$F228)+(ACT_DOOR_SCOPE=$B228)))*SIGN(((ACT_SKU_SCOPE="ALL")+(ACT_SKU_SCOPE=$G228)))*(ACT_START&lt;=11)*(ACT_END&gt;=11)*IFERROR(ACT_UPLIFT-1,0)))*(1+SUMPRODUCT(SIGN(((ACT_DOOR_SCOPE="ALL")+(ACT_DOOR_SCOPE="TIER_"&amp;$F228)+(ACT_DOOR_SCOPE=$B228)))*SIGN(((ACT_SKU_SCOPE="ALL")+(ACT_SKU_SCOPE=$G228)))*(11&gt;ACT_END)*(ACT_END&gt;0)*IFERROR(ACT_POSTLIFT,0))),0)))</f>
        <v/>
      </c>
      <c r="U228" s="10">
        <f>IF(OR($H228&lt;&gt;"Y",12&lt;$I228),0,IF(SUMPRODUCT(((BULK_ENABLED="Y")*((BULK_TIER="ALL")+(BULK_TIER=$F228))*((BULK_SKU="ALL")+(BULK_SKU=$G228))*(BULK_START&lt;=12)*(BULK_END&gt;=12)))&gt;0,IFERROR(SUMPRODUCT(((BULK_ENABLED="Y")*((BULK_TIER="ALL")+(BULK_TIER=$F228))*((BULK_SKU="ALL")+(BULK_SKU=$G228))*(BULK_START&lt;=12)*(BULK_END&gt;=12))*IFERROR(BULK_VALUE,0))/MAX(1,SUMPRODUCT(((BULK_ENABLED="Y")*((BULK_TIER="ALL")+(BULK_TIER=$F228))*((BULK_SKU="ALL")+(BULK_SKU=$G228))*(BULK_START&lt;=12)*(BULK_END&gt;=12)))),0),ROUND((INDEX(VELOCITY_TABLE,MATCH($F228,TIER_LIST,0),2))*(IF((12-$I228+1)&lt;=0,0,IF((12-$I228+1)=1,RAMP_W1,IF((12-$I228+1)=2,RAMP_W2,IF((12-$I228+1)=3,RAMP_W3,RAMP_W4PLUS)))))*(INDEX(ACTIVE_MULT_TABLE,2,1))*(1+SUMPRODUCT(SIGN(((ACT_DOOR_SCOPE="ALL")+(ACT_DOOR_SCOPE="TIER_"&amp;$F228)+(ACT_DOOR_SCOPE=$B228)))*SIGN(((ACT_SKU_SCOPE="ALL")+(ACT_SKU_SCOPE=$G228)))*(ACT_START&lt;=12)*(ACT_END&gt;=12)*IFERROR(ACT_UPLIFT-1,0)))*(1+SUMPRODUCT(SIGN(((ACT_DOOR_SCOPE="ALL")+(ACT_DOOR_SCOPE="TIER_"&amp;$F228)+(ACT_DOOR_SCOPE=$B228)))*SIGN(((ACT_SKU_SCOPE="ALL")+(ACT_SKU_SCOPE=$G228)))*(12&gt;ACT_END)*(ACT_END&gt;0)*IFERROR(ACT_POSTLIFT,0))),0)))</f>
        <v/>
      </c>
      <c r="V228" s="10">
        <f>IF(OR($H228&lt;&gt;"Y",13&lt;$I228),0,IF(SUMPRODUCT(((BULK_ENABLED="Y")*((BULK_TIER="ALL")+(BULK_TIER=$F228))*((BULK_SKU="ALL")+(BULK_SKU=$G228))*(BULK_START&lt;=13)*(BULK_END&gt;=13)))&gt;0,IFERROR(SUMPRODUCT(((BULK_ENABLED="Y")*((BULK_TIER="ALL")+(BULK_TIER=$F228))*((BULK_SKU="ALL")+(BULK_SKU=$G228))*(BULK_START&lt;=13)*(BULK_END&gt;=13))*IFERROR(BULK_VALUE,0))/MAX(1,SUMPRODUCT(((BULK_ENABLED="Y")*((BULK_TIER="ALL")+(BULK_TIER=$F228))*((BULK_SKU="ALL")+(BULK_SKU=$G228))*(BULK_START&lt;=13)*(BULK_END&gt;=13)))),0),ROUND((INDEX(VELOCITY_TABLE,MATCH($F228,TIER_LIST,0),2))*(IF((13-$I228+1)&lt;=0,0,IF((13-$I228+1)=1,RAMP_W1,IF((13-$I228+1)=2,RAMP_W2,IF((13-$I228+1)=3,RAMP_W3,RAMP_W4PLUS)))))*(INDEX(ACTIVE_MULT_TABLE,2,1))*(1+SUMPRODUCT(SIGN(((ACT_DOOR_SCOPE="ALL")+(ACT_DOOR_SCOPE="TIER_"&amp;$F228)+(ACT_DOOR_SCOPE=$B228)))*SIGN(((ACT_SKU_SCOPE="ALL")+(ACT_SKU_SCOPE=$G228)))*(ACT_START&lt;=13)*(ACT_END&gt;=13)*IFERROR(ACT_UPLIFT-1,0)))*(1+SUMPRODUCT(SIGN(((ACT_DOOR_SCOPE="ALL")+(ACT_DOOR_SCOPE="TIER_"&amp;$F228)+(ACT_DOOR_SCOPE=$B228)))*SIGN(((ACT_SKU_SCOPE="ALL")+(ACT_SKU_SCOPE=$G228)))*(13&gt;ACT_END)*(ACT_END&gt;0)*IFERROR(ACT_POSTLIFT,0))),0)))</f>
        <v/>
      </c>
    </row>
    <row r="229">
      <c r="A229" t="inlineStr">
        <is>
          <t>R0225</t>
        </is>
      </c>
      <c r="B229">
        <f>Doors!$A$79</f>
        <v/>
      </c>
      <c r="C229">
        <f>Doors!$C$79</f>
        <v/>
      </c>
      <c r="D229">
        <f>Doors!$B$79</f>
        <v/>
      </c>
      <c r="E229">
        <f>Doors!$E$79</f>
        <v/>
      </c>
      <c r="F229">
        <f>Doors!$F$79</f>
        <v/>
      </c>
      <c r="G229" t="inlineStr">
        <is>
          <t>Raspberry</t>
        </is>
      </c>
      <c r="H229">
        <f>Doors!$I$79</f>
        <v/>
      </c>
      <c r="I229">
        <f>Doors!$J$79</f>
        <v/>
      </c>
      <c r="J229" s="10">
        <f>IF(OR($H229&lt;&gt;"Y",1&lt;$I229),0,IF(SUMPRODUCT(((BULK_ENABLED="Y")*((BULK_TIER="ALL")+(BULK_TIER=$F229))*((BULK_SKU="ALL")+(BULK_SKU=$G229))*(BULK_START&lt;=1)*(BULK_END&gt;=1)))&gt;0,IFERROR(SUMPRODUCT(((BULK_ENABLED="Y")*((BULK_TIER="ALL")+(BULK_TIER=$F229))*((BULK_SKU="ALL")+(BULK_SKU=$G229))*(BULK_START&lt;=1)*(BULK_END&gt;=1))*IFERROR(BULK_VALUE,0))/MAX(1,SUMPRODUCT(((BULK_ENABLED="Y")*((BULK_TIER="ALL")+(BULK_TIER=$F229))*((BULK_SKU="ALL")+(BULK_SKU=$G229))*(BULK_START&lt;=1)*(BULK_END&gt;=1)))),0),ROUND((INDEX(VELOCITY_TABLE,MATCH($F229,TIER_LIST,0),3))*(IF((1-$I229+1)&lt;=0,0,IF((1-$I229+1)=1,RAMP_W1,IF((1-$I229+1)=2,RAMP_W2,IF((1-$I229+1)=3,RAMP_W3,RAMP_W4PLUS)))))*(INDEX(ACTIVE_MULT_TABLE,3,1))*(1+SUMPRODUCT(SIGN(((ACT_DOOR_SCOPE="ALL")+(ACT_DOOR_SCOPE="TIER_"&amp;$F229)+(ACT_DOOR_SCOPE=$B229)))*SIGN(((ACT_SKU_SCOPE="ALL")+(ACT_SKU_SCOPE=$G229)))*(ACT_START&lt;=1)*(ACT_END&gt;=1)*IFERROR(ACT_UPLIFT-1,0)))*(1+SUMPRODUCT(SIGN(((ACT_DOOR_SCOPE="ALL")+(ACT_DOOR_SCOPE="TIER_"&amp;$F229)+(ACT_DOOR_SCOPE=$B229)))*SIGN(((ACT_SKU_SCOPE="ALL")+(ACT_SKU_SCOPE=$G229)))*(1&gt;ACT_END)*(ACT_END&gt;0)*IFERROR(ACT_POSTLIFT,0))),0)))</f>
        <v/>
      </c>
      <c r="K229" s="10">
        <f>IF(OR($H229&lt;&gt;"Y",2&lt;$I229),0,IF(SUMPRODUCT(((BULK_ENABLED="Y")*((BULK_TIER="ALL")+(BULK_TIER=$F229))*((BULK_SKU="ALL")+(BULK_SKU=$G229))*(BULK_START&lt;=2)*(BULK_END&gt;=2)))&gt;0,IFERROR(SUMPRODUCT(((BULK_ENABLED="Y")*((BULK_TIER="ALL")+(BULK_TIER=$F229))*((BULK_SKU="ALL")+(BULK_SKU=$G229))*(BULK_START&lt;=2)*(BULK_END&gt;=2))*IFERROR(BULK_VALUE,0))/MAX(1,SUMPRODUCT(((BULK_ENABLED="Y")*((BULK_TIER="ALL")+(BULK_TIER=$F229))*((BULK_SKU="ALL")+(BULK_SKU=$G229))*(BULK_START&lt;=2)*(BULK_END&gt;=2)))),0),ROUND((INDEX(VELOCITY_TABLE,MATCH($F229,TIER_LIST,0),3))*(IF((2-$I229+1)&lt;=0,0,IF((2-$I229+1)=1,RAMP_W1,IF((2-$I229+1)=2,RAMP_W2,IF((2-$I229+1)=3,RAMP_W3,RAMP_W4PLUS)))))*(INDEX(ACTIVE_MULT_TABLE,3,1))*(1+SUMPRODUCT(SIGN(((ACT_DOOR_SCOPE="ALL")+(ACT_DOOR_SCOPE="TIER_"&amp;$F229)+(ACT_DOOR_SCOPE=$B229)))*SIGN(((ACT_SKU_SCOPE="ALL")+(ACT_SKU_SCOPE=$G229)))*(ACT_START&lt;=2)*(ACT_END&gt;=2)*IFERROR(ACT_UPLIFT-1,0)))*(1+SUMPRODUCT(SIGN(((ACT_DOOR_SCOPE="ALL")+(ACT_DOOR_SCOPE="TIER_"&amp;$F229)+(ACT_DOOR_SCOPE=$B229)))*SIGN(((ACT_SKU_SCOPE="ALL")+(ACT_SKU_SCOPE=$G229)))*(2&gt;ACT_END)*(ACT_END&gt;0)*IFERROR(ACT_POSTLIFT,0))),0)))</f>
        <v/>
      </c>
      <c r="L229" s="10">
        <f>IF(OR($H229&lt;&gt;"Y",3&lt;$I229),0,IF(SUMPRODUCT(((BULK_ENABLED="Y")*((BULK_TIER="ALL")+(BULK_TIER=$F229))*((BULK_SKU="ALL")+(BULK_SKU=$G229))*(BULK_START&lt;=3)*(BULK_END&gt;=3)))&gt;0,IFERROR(SUMPRODUCT(((BULK_ENABLED="Y")*((BULK_TIER="ALL")+(BULK_TIER=$F229))*((BULK_SKU="ALL")+(BULK_SKU=$G229))*(BULK_START&lt;=3)*(BULK_END&gt;=3))*IFERROR(BULK_VALUE,0))/MAX(1,SUMPRODUCT(((BULK_ENABLED="Y")*((BULK_TIER="ALL")+(BULK_TIER=$F229))*((BULK_SKU="ALL")+(BULK_SKU=$G229))*(BULK_START&lt;=3)*(BULK_END&gt;=3)))),0),ROUND((INDEX(VELOCITY_TABLE,MATCH($F229,TIER_LIST,0),3))*(IF((3-$I229+1)&lt;=0,0,IF((3-$I229+1)=1,RAMP_W1,IF((3-$I229+1)=2,RAMP_W2,IF((3-$I229+1)=3,RAMP_W3,RAMP_W4PLUS)))))*(INDEX(ACTIVE_MULT_TABLE,3,1))*(1+SUMPRODUCT(SIGN(((ACT_DOOR_SCOPE="ALL")+(ACT_DOOR_SCOPE="TIER_"&amp;$F229)+(ACT_DOOR_SCOPE=$B229)))*SIGN(((ACT_SKU_SCOPE="ALL")+(ACT_SKU_SCOPE=$G229)))*(ACT_START&lt;=3)*(ACT_END&gt;=3)*IFERROR(ACT_UPLIFT-1,0)))*(1+SUMPRODUCT(SIGN(((ACT_DOOR_SCOPE="ALL")+(ACT_DOOR_SCOPE="TIER_"&amp;$F229)+(ACT_DOOR_SCOPE=$B229)))*SIGN(((ACT_SKU_SCOPE="ALL")+(ACT_SKU_SCOPE=$G229)))*(3&gt;ACT_END)*(ACT_END&gt;0)*IFERROR(ACT_POSTLIFT,0))),0)))</f>
        <v/>
      </c>
      <c r="M229" s="10">
        <f>IF(OR($H229&lt;&gt;"Y",4&lt;$I229),0,IF(SUMPRODUCT(((BULK_ENABLED="Y")*((BULK_TIER="ALL")+(BULK_TIER=$F229))*((BULK_SKU="ALL")+(BULK_SKU=$G229))*(BULK_START&lt;=4)*(BULK_END&gt;=4)))&gt;0,IFERROR(SUMPRODUCT(((BULK_ENABLED="Y")*((BULK_TIER="ALL")+(BULK_TIER=$F229))*((BULK_SKU="ALL")+(BULK_SKU=$G229))*(BULK_START&lt;=4)*(BULK_END&gt;=4))*IFERROR(BULK_VALUE,0))/MAX(1,SUMPRODUCT(((BULK_ENABLED="Y")*((BULK_TIER="ALL")+(BULK_TIER=$F229))*((BULK_SKU="ALL")+(BULK_SKU=$G229))*(BULK_START&lt;=4)*(BULK_END&gt;=4)))),0),ROUND((INDEX(VELOCITY_TABLE,MATCH($F229,TIER_LIST,0),3))*(IF((4-$I229+1)&lt;=0,0,IF((4-$I229+1)=1,RAMP_W1,IF((4-$I229+1)=2,RAMP_W2,IF((4-$I229+1)=3,RAMP_W3,RAMP_W4PLUS)))))*(INDEX(ACTIVE_MULT_TABLE,3,1))*(1+SUMPRODUCT(SIGN(((ACT_DOOR_SCOPE="ALL")+(ACT_DOOR_SCOPE="TIER_"&amp;$F229)+(ACT_DOOR_SCOPE=$B229)))*SIGN(((ACT_SKU_SCOPE="ALL")+(ACT_SKU_SCOPE=$G229)))*(ACT_START&lt;=4)*(ACT_END&gt;=4)*IFERROR(ACT_UPLIFT-1,0)))*(1+SUMPRODUCT(SIGN(((ACT_DOOR_SCOPE="ALL")+(ACT_DOOR_SCOPE="TIER_"&amp;$F229)+(ACT_DOOR_SCOPE=$B229)))*SIGN(((ACT_SKU_SCOPE="ALL")+(ACT_SKU_SCOPE=$G229)))*(4&gt;ACT_END)*(ACT_END&gt;0)*IFERROR(ACT_POSTLIFT,0))),0)))</f>
        <v/>
      </c>
      <c r="N229" s="10">
        <f>IF(OR($H229&lt;&gt;"Y",5&lt;$I229),0,IF(SUMPRODUCT(((BULK_ENABLED="Y")*((BULK_TIER="ALL")+(BULK_TIER=$F229))*((BULK_SKU="ALL")+(BULK_SKU=$G229))*(BULK_START&lt;=5)*(BULK_END&gt;=5)))&gt;0,IFERROR(SUMPRODUCT(((BULK_ENABLED="Y")*((BULK_TIER="ALL")+(BULK_TIER=$F229))*((BULK_SKU="ALL")+(BULK_SKU=$G229))*(BULK_START&lt;=5)*(BULK_END&gt;=5))*IFERROR(BULK_VALUE,0))/MAX(1,SUMPRODUCT(((BULK_ENABLED="Y")*((BULK_TIER="ALL")+(BULK_TIER=$F229))*((BULK_SKU="ALL")+(BULK_SKU=$G229))*(BULK_START&lt;=5)*(BULK_END&gt;=5)))),0),ROUND((INDEX(VELOCITY_TABLE,MATCH($F229,TIER_LIST,0),3))*(IF((5-$I229+1)&lt;=0,0,IF((5-$I229+1)=1,RAMP_W1,IF((5-$I229+1)=2,RAMP_W2,IF((5-$I229+1)=3,RAMP_W3,RAMP_W4PLUS)))))*(INDEX(ACTIVE_MULT_TABLE,3,1))*(1+SUMPRODUCT(SIGN(((ACT_DOOR_SCOPE="ALL")+(ACT_DOOR_SCOPE="TIER_"&amp;$F229)+(ACT_DOOR_SCOPE=$B229)))*SIGN(((ACT_SKU_SCOPE="ALL")+(ACT_SKU_SCOPE=$G229)))*(ACT_START&lt;=5)*(ACT_END&gt;=5)*IFERROR(ACT_UPLIFT-1,0)))*(1+SUMPRODUCT(SIGN(((ACT_DOOR_SCOPE="ALL")+(ACT_DOOR_SCOPE="TIER_"&amp;$F229)+(ACT_DOOR_SCOPE=$B229)))*SIGN(((ACT_SKU_SCOPE="ALL")+(ACT_SKU_SCOPE=$G229)))*(5&gt;ACT_END)*(ACT_END&gt;0)*IFERROR(ACT_POSTLIFT,0))),0)))</f>
        <v/>
      </c>
      <c r="O229" s="10">
        <f>IF(OR($H229&lt;&gt;"Y",6&lt;$I229),0,IF(SUMPRODUCT(((BULK_ENABLED="Y")*((BULK_TIER="ALL")+(BULK_TIER=$F229))*((BULK_SKU="ALL")+(BULK_SKU=$G229))*(BULK_START&lt;=6)*(BULK_END&gt;=6)))&gt;0,IFERROR(SUMPRODUCT(((BULK_ENABLED="Y")*((BULK_TIER="ALL")+(BULK_TIER=$F229))*((BULK_SKU="ALL")+(BULK_SKU=$G229))*(BULK_START&lt;=6)*(BULK_END&gt;=6))*IFERROR(BULK_VALUE,0))/MAX(1,SUMPRODUCT(((BULK_ENABLED="Y")*((BULK_TIER="ALL")+(BULK_TIER=$F229))*((BULK_SKU="ALL")+(BULK_SKU=$G229))*(BULK_START&lt;=6)*(BULK_END&gt;=6)))),0),ROUND((INDEX(VELOCITY_TABLE,MATCH($F229,TIER_LIST,0),3))*(IF((6-$I229+1)&lt;=0,0,IF((6-$I229+1)=1,RAMP_W1,IF((6-$I229+1)=2,RAMP_W2,IF((6-$I229+1)=3,RAMP_W3,RAMP_W4PLUS)))))*(INDEX(ACTIVE_MULT_TABLE,3,1))*(1+SUMPRODUCT(SIGN(((ACT_DOOR_SCOPE="ALL")+(ACT_DOOR_SCOPE="TIER_"&amp;$F229)+(ACT_DOOR_SCOPE=$B229)))*SIGN(((ACT_SKU_SCOPE="ALL")+(ACT_SKU_SCOPE=$G229)))*(ACT_START&lt;=6)*(ACT_END&gt;=6)*IFERROR(ACT_UPLIFT-1,0)))*(1+SUMPRODUCT(SIGN(((ACT_DOOR_SCOPE="ALL")+(ACT_DOOR_SCOPE="TIER_"&amp;$F229)+(ACT_DOOR_SCOPE=$B229)))*SIGN(((ACT_SKU_SCOPE="ALL")+(ACT_SKU_SCOPE=$G229)))*(6&gt;ACT_END)*(ACT_END&gt;0)*IFERROR(ACT_POSTLIFT,0))),0)))</f>
        <v/>
      </c>
      <c r="P229" s="10">
        <f>IF(OR($H229&lt;&gt;"Y",7&lt;$I229),0,IF(SUMPRODUCT(((BULK_ENABLED="Y")*((BULK_TIER="ALL")+(BULK_TIER=$F229))*((BULK_SKU="ALL")+(BULK_SKU=$G229))*(BULK_START&lt;=7)*(BULK_END&gt;=7)))&gt;0,IFERROR(SUMPRODUCT(((BULK_ENABLED="Y")*((BULK_TIER="ALL")+(BULK_TIER=$F229))*((BULK_SKU="ALL")+(BULK_SKU=$G229))*(BULK_START&lt;=7)*(BULK_END&gt;=7))*IFERROR(BULK_VALUE,0))/MAX(1,SUMPRODUCT(((BULK_ENABLED="Y")*((BULK_TIER="ALL")+(BULK_TIER=$F229))*((BULK_SKU="ALL")+(BULK_SKU=$G229))*(BULK_START&lt;=7)*(BULK_END&gt;=7)))),0),ROUND((INDEX(VELOCITY_TABLE,MATCH($F229,TIER_LIST,0),3))*(IF((7-$I229+1)&lt;=0,0,IF((7-$I229+1)=1,RAMP_W1,IF((7-$I229+1)=2,RAMP_W2,IF((7-$I229+1)=3,RAMP_W3,RAMP_W4PLUS)))))*(INDEX(ACTIVE_MULT_TABLE,3,1))*(1+SUMPRODUCT(SIGN(((ACT_DOOR_SCOPE="ALL")+(ACT_DOOR_SCOPE="TIER_"&amp;$F229)+(ACT_DOOR_SCOPE=$B229)))*SIGN(((ACT_SKU_SCOPE="ALL")+(ACT_SKU_SCOPE=$G229)))*(ACT_START&lt;=7)*(ACT_END&gt;=7)*IFERROR(ACT_UPLIFT-1,0)))*(1+SUMPRODUCT(SIGN(((ACT_DOOR_SCOPE="ALL")+(ACT_DOOR_SCOPE="TIER_"&amp;$F229)+(ACT_DOOR_SCOPE=$B229)))*SIGN(((ACT_SKU_SCOPE="ALL")+(ACT_SKU_SCOPE=$G229)))*(7&gt;ACT_END)*(ACT_END&gt;0)*IFERROR(ACT_POSTLIFT,0))),0)))</f>
        <v/>
      </c>
      <c r="Q229" s="10">
        <f>IF(OR($H229&lt;&gt;"Y",8&lt;$I229),0,IF(SUMPRODUCT(((BULK_ENABLED="Y")*((BULK_TIER="ALL")+(BULK_TIER=$F229))*((BULK_SKU="ALL")+(BULK_SKU=$G229))*(BULK_START&lt;=8)*(BULK_END&gt;=8)))&gt;0,IFERROR(SUMPRODUCT(((BULK_ENABLED="Y")*((BULK_TIER="ALL")+(BULK_TIER=$F229))*((BULK_SKU="ALL")+(BULK_SKU=$G229))*(BULK_START&lt;=8)*(BULK_END&gt;=8))*IFERROR(BULK_VALUE,0))/MAX(1,SUMPRODUCT(((BULK_ENABLED="Y")*((BULK_TIER="ALL")+(BULK_TIER=$F229))*((BULK_SKU="ALL")+(BULK_SKU=$G229))*(BULK_START&lt;=8)*(BULK_END&gt;=8)))),0),ROUND((INDEX(VELOCITY_TABLE,MATCH($F229,TIER_LIST,0),3))*(IF((8-$I229+1)&lt;=0,0,IF((8-$I229+1)=1,RAMP_W1,IF((8-$I229+1)=2,RAMP_W2,IF((8-$I229+1)=3,RAMP_W3,RAMP_W4PLUS)))))*(INDEX(ACTIVE_MULT_TABLE,3,1))*(1+SUMPRODUCT(SIGN(((ACT_DOOR_SCOPE="ALL")+(ACT_DOOR_SCOPE="TIER_"&amp;$F229)+(ACT_DOOR_SCOPE=$B229)))*SIGN(((ACT_SKU_SCOPE="ALL")+(ACT_SKU_SCOPE=$G229)))*(ACT_START&lt;=8)*(ACT_END&gt;=8)*IFERROR(ACT_UPLIFT-1,0)))*(1+SUMPRODUCT(SIGN(((ACT_DOOR_SCOPE="ALL")+(ACT_DOOR_SCOPE="TIER_"&amp;$F229)+(ACT_DOOR_SCOPE=$B229)))*SIGN(((ACT_SKU_SCOPE="ALL")+(ACT_SKU_SCOPE=$G229)))*(8&gt;ACT_END)*(ACT_END&gt;0)*IFERROR(ACT_POSTLIFT,0))),0)))</f>
        <v/>
      </c>
      <c r="R229" s="10">
        <f>IF(OR($H229&lt;&gt;"Y",9&lt;$I229),0,IF(SUMPRODUCT(((BULK_ENABLED="Y")*((BULK_TIER="ALL")+(BULK_TIER=$F229))*((BULK_SKU="ALL")+(BULK_SKU=$G229))*(BULK_START&lt;=9)*(BULK_END&gt;=9)))&gt;0,IFERROR(SUMPRODUCT(((BULK_ENABLED="Y")*((BULK_TIER="ALL")+(BULK_TIER=$F229))*((BULK_SKU="ALL")+(BULK_SKU=$G229))*(BULK_START&lt;=9)*(BULK_END&gt;=9))*IFERROR(BULK_VALUE,0))/MAX(1,SUMPRODUCT(((BULK_ENABLED="Y")*((BULK_TIER="ALL")+(BULK_TIER=$F229))*((BULK_SKU="ALL")+(BULK_SKU=$G229))*(BULK_START&lt;=9)*(BULK_END&gt;=9)))),0),ROUND((INDEX(VELOCITY_TABLE,MATCH($F229,TIER_LIST,0),3))*(IF((9-$I229+1)&lt;=0,0,IF((9-$I229+1)=1,RAMP_W1,IF((9-$I229+1)=2,RAMP_W2,IF((9-$I229+1)=3,RAMP_W3,RAMP_W4PLUS)))))*(INDEX(ACTIVE_MULT_TABLE,3,1))*(1+SUMPRODUCT(SIGN(((ACT_DOOR_SCOPE="ALL")+(ACT_DOOR_SCOPE="TIER_"&amp;$F229)+(ACT_DOOR_SCOPE=$B229)))*SIGN(((ACT_SKU_SCOPE="ALL")+(ACT_SKU_SCOPE=$G229)))*(ACT_START&lt;=9)*(ACT_END&gt;=9)*IFERROR(ACT_UPLIFT-1,0)))*(1+SUMPRODUCT(SIGN(((ACT_DOOR_SCOPE="ALL")+(ACT_DOOR_SCOPE="TIER_"&amp;$F229)+(ACT_DOOR_SCOPE=$B229)))*SIGN(((ACT_SKU_SCOPE="ALL")+(ACT_SKU_SCOPE=$G229)))*(9&gt;ACT_END)*(ACT_END&gt;0)*IFERROR(ACT_POSTLIFT,0))),0)))</f>
        <v/>
      </c>
      <c r="S229" s="10">
        <f>IF(OR($H229&lt;&gt;"Y",10&lt;$I229),0,IF(SUMPRODUCT(((BULK_ENABLED="Y")*((BULK_TIER="ALL")+(BULK_TIER=$F229))*((BULK_SKU="ALL")+(BULK_SKU=$G229))*(BULK_START&lt;=10)*(BULK_END&gt;=10)))&gt;0,IFERROR(SUMPRODUCT(((BULK_ENABLED="Y")*((BULK_TIER="ALL")+(BULK_TIER=$F229))*((BULK_SKU="ALL")+(BULK_SKU=$G229))*(BULK_START&lt;=10)*(BULK_END&gt;=10))*IFERROR(BULK_VALUE,0))/MAX(1,SUMPRODUCT(((BULK_ENABLED="Y")*((BULK_TIER="ALL")+(BULK_TIER=$F229))*((BULK_SKU="ALL")+(BULK_SKU=$G229))*(BULK_START&lt;=10)*(BULK_END&gt;=10)))),0),ROUND((INDEX(VELOCITY_TABLE,MATCH($F229,TIER_LIST,0),3))*(IF((10-$I229+1)&lt;=0,0,IF((10-$I229+1)=1,RAMP_W1,IF((10-$I229+1)=2,RAMP_W2,IF((10-$I229+1)=3,RAMP_W3,RAMP_W4PLUS)))))*(INDEX(ACTIVE_MULT_TABLE,3,1))*(1+SUMPRODUCT(SIGN(((ACT_DOOR_SCOPE="ALL")+(ACT_DOOR_SCOPE="TIER_"&amp;$F229)+(ACT_DOOR_SCOPE=$B229)))*SIGN(((ACT_SKU_SCOPE="ALL")+(ACT_SKU_SCOPE=$G229)))*(ACT_START&lt;=10)*(ACT_END&gt;=10)*IFERROR(ACT_UPLIFT-1,0)))*(1+SUMPRODUCT(SIGN(((ACT_DOOR_SCOPE="ALL")+(ACT_DOOR_SCOPE="TIER_"&amp;$F229)+(ACT_DOOR_SCOPE=$B229)))*SIGN(((ACT_SKU_SCOPE="ALL")+(ACT_SKU_SCOPE=$G229)))*(10&gt;ACT_END)*(ACT_END&gt;0)*IFERROR(ACT_POSTLIFT,0))),0)))</f>
        <v/>
      </c>
      <c r="T229" s="10">
        <f>IF(OR($H229&lt;&gt;"Y",11&lt;$I229),0,IF(SUMPRODUCT(((BULK_ENABLED="Y")*((BULK_TIER="ALL")+(BULK_TIER=$F229))*((BULK_SKU="ALL")+(BULK_SKU=$G229))*(BULK_START&lt;=11)*(BULK_END&gt;=11)))&gt;0,IFERROR(SUMPRODUCT(((BULK_ENABLED="Y")*((BULK_TIER="ALL")+(BULK_TIER=$F229))*((BULK_SKU="ALL")+(BULK_SKU=$G229))*(BULK_START&lt;=11)*(BULK_END&gt;=11))*IFERROR(BULK_VALUE,0))/MAX(1,SUMPRODUCT(((BULK_ENABLED="Y")*((BULK_TIER="ALL")+(BULK_TIER=$F229))*((BULK_SKU="ALL")+(BULK_SKU=$G229))*(BULK_START&lt;=11)*(BULK_END&gt;=11)))),0),ROUND((INDEX(VELOCITY_TABLE,MATCH($F229,TIER_LIST,0),3))*(IF((11-$I229+1)&lt;=0,0,IF((11-$I229+1)=1,RAMP_W1,IF((11-$I229+1)=2,RAMP_W2,IF((11-$I229+1)=3,RAMP_W3,RAMP_W4PLUS)))))*(INDEX(ACTIVE_MULT_TABLE,3,1))*(1+SUMPRODUCT(SIGN(((ACT_DOOR_SCOPE="ALL")+(ACT_DOOR_SCOPE="TIER_"&amp;$F229)+(ACT_DOOR_SCOPE=$B229)))*SIGN(((ACT_SKU_SCOPE="ALL")+(ACT_SKU_SCOPE=$G229)))*(ACT_START&lt;=11)*(ACT_END&gt;=11)*IFERROR(ACT_UPLIFT-1,0)))*(1+SUMPRODUCT(SIGN(((ACT_DOOR_SCOPE="ALL")+(ACT_DOOR_SCOPE="TIER_"&amp;$F229)+(ACT_DOOR_SCOPE=$B229)))*SIGN(((ACT_SKU_SCOPE="ALL")+(ACT_SKU_SCOPE=$G229)))*(11&gt;ACT_END)*(ACT_END&gt;0)*IFERROR(ACT_POSTLIFT,0))),0)))</f>
        <v/>
      </c>
      <c r="U229" s="10">
        <f>IF(OR($H229&lt;&gt;"Y",12&lt;$I229),0,IF(SUMPRODUCT(((BULK_ENABLED="Y")*((BULK_TIER="ALL")+(BULK_TIER=$F229))*((BULK_SKU="ALL")+(BULK_SKU=$G229))*(BULK_START&lt;=12)*(BULK_END&gt;=12)))&gt;0,IFERROR(SUMPRODUCT(((BULK_ENABLED="Y")*((BULK_TIER="ALL")+(BULK_TIER=$F229))*((BULK_SKU="ALL")+(BULK_SKU=$G229))*(BULK_START&lt;=12)*(BULK_END&gt;=12))*IFERROR(BULK_VALUE,0))/MAX(1,SUMPRODUCT(((BULK_ENABLED="Y")*((BULK_TIER="ALL")+(BULK_TIER=$F229))*((BULK_SKU="ALL")+(BULK_SKU=$G229))*(BULK_START&lt;=12)*(BULK_END&gt;=12)))),0),ROUND((INDEX(VELOCITY_TABLE,MATCH($F229,TIER_LIST,0),3))*(IF((12-$I229+1)&lt;=0,0,IF((12-$I229+1)=1,RAMP_W1,IF((12-$I229+1)=2,RAMP_W2,IF((12-$I229+1)=3,RAMP_W3,RAMP_W4PLUS)))))*(INDEX(ACTIVE_MULT_TABLE,3,1))*(1+SUMPRODUCT(SIGN(((ACT_DOOR_SCOPE="ALL")+(ACT_DOOR_SCOPE="TIER_"&amp;$F229)+(ACT_DOOR_SCOPE=$B229)))*SIGN(((ACT_SKU_SCOPE="ALL")+(ACT_SKU_SCOPE=$G229)))*(ACT_START&lt;=12)*(ACT_END&gt;=12)*IFERROR(ACT_UPLIFT-1,0)))*(1+SUMPRODUCT(SIGN(((ACT_DOOR_SCOPE="ALL")+(ACT_DOOR_SCOPE="TIER_"&amp;$F229)+(ACT_DOOR_SCOPE=$B229)))*SIGN(((ACT_SKU_SCOPE="ALL")+(ACT_SKU_SCOPE=$G229)))*(12&gt;ACT_END)*(ACT_END&gt;0)*IFERROR(ACT_POSTLIFT,0))),0)))</f>
        <v/>
      </c>
      <c r="V229" s="10">
        <f>IF(OR($H229&lt;&gt;"Y",13&lt;$I229),0,IF(SUMPRODUCT(((BULK_ENABLED="Y")*((BULK_TIER="ALL")+(BULK_TIER=$F229))*((BULK_SKU="ALL")+(BULK_SKU=$G229))*(BULK_START&lt;=13)*(BULK_END&gt;=13)))&gt;0,IFERROR(SUMPRODUCT(((BULK_ENABLED="Y")*((BULK_TIER="ALL")+(BULK_TIER=$F229))*((BULK_SKU="ALL")+(BULK_SKU=$G229))*(BULK_START&lt;=13)*(BULK_END&gt;=13))*IFERROR(BULK_VALUE,0))/MAX(1,SUMPRODUCT(((BULK_ENABLED="Y")*((BULK_TIER="ALL")+(BULK_TIER=$F229))*((BULK_SKU="ALL")+(BULK_SKU=$G229))*(BULK_START&lt;=13)*(BULK_END&gt;=13)))),0),ROUND((INDEX(VELOCITY_TABLE,MATCH($F229,TIER_LIST,0),3))*(IF((13-$I229+1)&lt;=0,0,IF((13-$I229+1)=1,RAMP_W1,IF((13-$I229+1)=2,RAMP_W2,IF((13-$I229+1)=3,RAMP_W3,RAMP_W4PLUS)))))*(INDEX(ACTIVE_MULT_TABLE,3,1))*(1+SUMPRODUCT(SIGN(((ACT_DOOR_SCOPE="ALL")+(ACT_DOOR_SCOPE="TIER_"&amp;$F229)+(ACT_DOOR_SCOPE=$B229)))*SIGN(((ACT_SKU_SCOPE="ALL")+(ACT_SKU_SCOPE=$G229)))*(ACT_START&lt;=13)*(ACT_END&gt;=13)*IFERROR(ACT_UPLIFT-1,0)))*(1+SUMPRODUCT(SIGN(((ACT_DOOR_SCOPE="ALL")+(ACT_DOOR_SCOPE="TIER_"&amp;$F229)+(ACT_DOOR_SCOPE=$B229)))*SIGN(((ACT_SKU_SCOPE="ALL")+(ACT_SKU_SCOPE=$G229)))*(13&gt;ACT_END)*(ACT_END&gt;0)*IFERROR(ACT_POSTLIFT,0))),0)))</f>
        <v/>
      </c>
    </row>
    <row r="230">
      <c r="A230" t="inlineStr">
        <is>
          <t>R0226</t>
        </is>
      </c>
      <c r="B230">
        <f>Doors!$A$80</f>
        <v/>
      </c>
      <c r="C230">
        <f>Doors!$C$80</f>
        <v/>
      </c>
      <c r="D230">
        <f>Doors!$B$80</f>
        <v/>
      </c>
      <c r="E230">
        <f>Doors!$E$80</f>
        <v/>
      </c>
      <c r="F230">
        <f>Doors!$F$80</f>
        <v/>
      </c>
      <c r="G230" t="inlineStr">
        <is>
          <t>Lime Lemon</t>
        </is>
      </c>
      <c r="H230">
        <f>Doors!$G$80</f>
        <v/>
      </c>
      <c r="I230">
        <f>Doors!$J$80</f>
        <v/>
      </c>
      <c r="J230" s="10">
        <f>IF(OR($H230&lt;&gt;"Y",1&lt;$I230),0,IF(SUMPRODUCT(((BULK_ENABLED="Y")*((BULK_TIER="ALL")+(BULK_TIER=$F230))*((BULK_SKU="ALL")+(BULK_SKU=$G230))*(BULK_START&lt;=1)*(BULK_END&gt;=1)))&gt;0,IFERROR(SUMPRODUCT(((BULK_ENABLED="Y")*((BULK_TIER="ALL")+(BULK_TIER=$F230))*((BULK_SKU="ALL")+(BULK_SKU=$G230))*(BULK_START&lt;=1)*(BULK_END&gt;=1))*IFERROR(BULK_VALUE,0))/MAX(1,SUMPRODUCT(((BULK_ENABLED="Y")*((BULK_TIER="ALL")+(BULK_TIER=$F230))*((BULK_SKU="ALL")+(BULK_SKU=$G230))*(BULK_START&lt;=1)*(BULK_END&gt;=1)))),0),ROUND((INDEX(VELOCITY_TABLE,MATCH($F230,TIER_LIST,0),1))*(IF((1-$I230+1)&lt;=0,0,IF((1-$I230+1)=1,RAMP_W1,IF((1-$I230+1)=2,RAMP_W2,IF((1-$I230+1)=3,RAMP_W3,RAMP_W4PLUS)))))*(INDEX(ACTIVE_MULT_TABLE,1,1))*(1+SUMPRODUCT(SIGN(((ACT_DOOR_SCOPE="ALL")+(ACT_DOOR_SCOPE="TIER_"&amp;$F230)+(ACT_DOOR_SCOPE=$B230)))*SIGN(((ACT_SKU_SCOPE="ALL")+(ACT_SKU_SCOPE=$G230)))*(ACT_START&lt;=1)*(ACT_END&gt;=1)*IFERROR(ACT_UPLIFT-1,0)))*(1+SUMPRODUCT(SIGN(((ACT_DOOR_SCOPE="ALL")+(ACT_DOOR_SCOPE="TIER_"&amp;$F230)+(ACT_DOOR_SCOPE=$B230)))*SIGN(((ACT_SKU_SCOPE="ALL")+(ACT_SKU_SCOPE=$G230)))*(1&gt;ACT_END)*(ACT_END&gt;0)*IFERROR(ACT_POSTLIFT,0))),0)))</f>
        <v/>
      </c>
      <c r="K230" s="10">
        <f>IF(OR($H230&lt;&gt;"Y",2&lt;$I230),0,IF(SUMPRODUCT(((BULK_ENABLED="Y")*((BULK_TIER="ALL")+(BULK_TIER=$F230))*((BULK_SKU="ALL")+(BULK_SKU=$G230))*(BULK_START&lt;=2)*(BULK_END&gt;=2)))&gt;0,IFERROR(SUMPRODUCT(((BULK_ENABLED="Y")*((BULK_TIER="ALL")+(BULK_TIER=$F230))*((BULK_SKU="ALL")+(BULK_SKU=$G230))*(BULK_START&lt;=2)*(BULK_END&gt;=2))*IFERROR(BULK_VALUE,0))/MAX(1,SUMPRODUCT(((BULK_ENABLED="Y")*((BULK_TIER="ALL")+(BULK_TIER=$F230))*((BULK_SKU="ALL")+(BULK_SKU=$G230))*(BULK_START&lt;=2)*(BULK_END&gt;=2)))),0),ROUND((INDEX(VELOCITY_TABLE,MATCH($F230,TIER_LIST,0),1))*(IF((2-$I230+1)&lt;=0,0,IF((2-$I230+1)=1,RAMP_W1,IF((2-$I230+1)=2,RAMP_W2,IF((2-$I230+1)=3,RAMP_W3,RAMP_W4PLUS)))))*(INDEX(ACTIVE_MULT_TABLE,1,1))*(1+SUMPRODUCT(SIGN(((ACT_DOOR_SCOPE="ALL")+(ACT_DOOR_SCOPE="TIER_"&amp;$F230)+(ACT_DOOR_SCOPE=$B230)))*SIGN(((ACT_SKU_SCOPE="ALL")+(ACT_SKU_SCOPE=$G230)))*(ACT_START&lt;=2)*(ACT_END&gt;=2)*IFERROR(ACT_UPLIFT-1,0)))*(1+SUMPRODUCT(SIGN(((ACT_DOOR_SCOPE="ALL")+(ACT_DOOR_SCOPE="TIER_"&amp;$F230)+(ACT_DOOR_SCOPE=$B230)))*SIGN(((ACT_SKU_SCOPE="ALL")+(ACT_SKU_SCOPE=$G230)))*(2&gt;ACT_END)*(ACT_END&gt;0)*IFERROR(ACT_POSTLIFT,0))),0)))</f>
        <v/>
      </c>
      <c r="L230" s="10">
        <f>IF(OR($H230&lt;&gt;"Y",3&lt;$I230),0,IF(SUMPRODUCT(((BULK_ENABLED="Y")*((BULK_TIER="ALL")+(BULK_TIER=$F230))*((BULK_SKU="ALL")+(BULK_SKU=$G230))*(BULK_START&lt;=3)*(BULK_END&gt;=3)))&gt;0,IFERROR(SUMPRODUCT(((BULK_ENABLED="Y")*((BULK_TIER="ALL")+(BULK_TIER=$F230))*((BULK_SKU="ALL")+(BULK_SKU=$G230))*(BULK_START&lt;=3)*(BULK_END&gt;=3))*IFERROR(BULK_VALUE,0))/MAX(1,SUMPRODUCT(((BULK_ENABLED="Y")*((BULK_TIER="ALL")+(BULK_TIER=$F230))*((BULK_SKU="ALL")+(BULK_SKU=$G230))*(BULK_START&lt;=3)*(BULK_END&gt;=3)))),0),ROUND((INDEX(VELOCITY_TABLE,MATCH($F230,TIER_LIST,0),1))*(IF((3-$I230+1)&lt;=0,0,IF((3-$I230+1)=1,RAMP_W1,IF((3-$I230+1)=2,RAMP_W2,IF((3-$I230+1)=3,RAMP_W3,RAMP_W4PLUS)))))*(INDEX(ACTIVE_MULT_TABLE,1,1))*(1+SUMPRODUCT(SIGN(((ACT_DOOR_SCOPE="ALL")+(ACT_DOOR_SCOPE="TIER_"&amp;$F230)+(ACT_DOOR_SCOPE=$B230)))*SIGN(((ACT_SKU_SCOPE="ALL")+(ACT_SKU_SCOPE=$G230)))*(ACT_START&lt;=3)*(ACT_END&gt;=3)*IFERROR(ACT_UPLIFT-1,0)))*(1+SUMPRODUCT(SIGN(((ACT_DOOR_SCOPE="ALL")+(ACT_DOOR_SCOPE="TIER_"&amp;$F230)+(ACT_DOOR_SCOPE=$B230)))*SIGN(((ACT_SKU_SCOPE="ALL")+(ACT_SKU_SCOPE=$G230)))*(3&gt;ACT_END)*(ACT_END&gt;0)*IFERROR(ACT_POSTLIFT,0))),0)))</f>
        <v/>
      </c>
      <c r="M230" s="10">
        <f>IF(OR($H230&lt;&gt;"Y",4&lt;$I230),0,IF(SUMPRODUCT(((BULK_ENABLED="Y")*((BULK_TIER="ALL")+(BULK_TIER=$F230))*((BULK_SKU="ALL")+(BULK_SKU=$G230))*(BULK_START&lt;=4)*(BULK_END&gt;=4)))&gt;0,IFERROR(SUMPRODUCT(((BULK_ENABLED="Y")*((BULK_TIER="ALL")+(BULK_TIER=$F230))*((BULK_SKU="ALL")+(BULK_SKU=$G230))*(BULK_START&lt;=4)*(BULK_END&gt;=4))*IFERROR(BULK_VALUE,0))/MAX(1,SUMPRODUCT(((BULK_ENABLED="Y")*((BULK_TIER="ALL")+(BULK_TIER=$F230))*((BULK_SKU="ALL")+(BULK_SKU=$G230))*(BULK_START&lt;=4)*(BULK_END&gt;=4)))),0),ROUND((INDEX(VELOCITY_TABLE,MATCH($F230,TIER_LIST,0),1))*(IF((4-$I230+1)&lt;=0,0,IF((4-$I230+1)=1,RAMP_W1,IF((4-$I230+1)=2,RAMP_W2,IF((4-$I230+1)=3,RAMP_W3,RAMP_W4PLUS)))))*(INDEX(ACTIVE_MULT_TABLE,1,1))*(1+SUMPRODUCT(SIGN(((ACT_DOOR_SCOPE="ALL")+(ACT_DOOR_SCOPE="TIER_"&amp;$F230)+(ACT_DOOR_SCOPE=$B230)))*SIGN(((ACT_SKU_SCOPE="ALL")+(ACT_SKU_SCOPE=$G230)))*(ACT_START&lt;=4)*(ACT_END&gt;=4)*IFERROR(ACT_UPLIFT-1,0)))*(1+SUMPRODUCT(SIGN(((ACT_DOOR_SCOPE="ALL")+(ACT_DOOR_SCOPE="TIER_"&amp;$F230)+(ACT_DOOR_SCOPE=$B230)))*SIGN(((ACT_SKU_SCOPE="ALL")+(ACT_SKU_SCOPE=$G230)))*(4&gt;ACT_END)*(ACT_END&gt;0)*IFERROR(ACT_POSTLIFT,0))),0)))</f>
        <v/>
      </c>
      <c r="N230" s="10">
        <f>IF(OR($H230&lt;&gt;"Y",5&lt;$I230),0,IF(SUMPRODUCT(((BULK_ENABLED="Y")*((BULK_TIER="ALL")+(BULK_TIER=$F230))*((BULK_SKU="ALL")+(BULK_SKU=$G230))*(BULK_START&lt;=5)*(BULK_END&gt;=5)))&gt;0,IFERROR(SUMPRODUCT(((BULK_ENABLED="Y")*((BULK_TIER="ALL")+(BULK_TIER=$F230))*((BULK_SKU="ALL")+(BULK_SKU=$G230))*(BULK_START&lt;=5)*(BULK_END&gt;=5))*IFERROR(BULK_VALUE,0))/MAX(1,SUMPRODUCT(((BULK_ENABLED="Y")*((BULK_TIER="ALL")+(BULK_TIER=$F230))*((BULK_SKU="ALL")+(BULK_SKU=$G230))*(BULK_START&lt;=5)*(BULK_END&gt;=5)))),0),ROUND((INDEX(VELOCITY_TABLE,MATCH($F230,TIER_LIST,0),1))*(IF((5-$I230+1)&lt;=0,0,IF((5-$I230+1)=1,RAMP_W1,IF((5-$I230+1)=2,RAMP_W2,IF((5-$I230+1)=3,RAMP_W3,RAMP_W4PLUS)))))*(INDEX(ACTIVE_MULT_TABLE,1,1))*(1+SUMPRODUCT(SIGN(((ACT_DOOR_SCOPE="ALL")+(ACT_DOOR_SCOPE="TIER_"&amp;$F230)+(ACT_DOOR_SCOPE=$B230)))*SIGN(((ACT_SKU_SCOPE="ALL")+(ACT_SKU_SCOPE=$G230)))*(ACT_START&lt;=5)*(ACT_END&gt;=5)*IFERROR(ACT_UPLIFT-1,0)))*(1+SUMPRODUCT(SIGN(((ACT_DOOR_SCOPE="ALL")+(ACT_DOOR_SCOPE="TIER_"&amp;$F230)+(ACT_DOOR_SCOPE=$B230)))*SIGN(((ACT_SKU_SCOPE="ALL")+(ACT_SKU_SCOPE=$G230)))*(5&gt;ACT_END)*(ACT_END&gt;0)*IFERROR(ACT_POSTLIFT,0))),0)))</f>
        <v/>
      </c>
      <c r="O230" s="10">
        <f>IF(OR($H230&lt;&gt;"Y",6&lt;$I230),0,IF(SUMPRODUCT(((BULK_ENABLED="Y")*((BULK_TIER="ALL")+(BULK_TIER=$F230))*((BULK_SKU="ALL")+(BULK_SKU=$G230))*(BULK_START&lt;=6)*(BULK_END&gt;=6)))&gt;0,IFERROR(SUMPRODUCT(((BULK_ENABLED="Y")*((BULK_TIER="ALL")+(BULK_TIER=$F230))*((BULK_SKU="ALL")+(BULK_SKU=$G230))*(BULK_START&lt;=6)*(BULK_END&gt;=6))*IFERROR(BULK_VALUE,0))/MAX(1,SUMPRODUCT(((BULK_ENABLED="Y")*((BULK_TIER="ALL")+(BULK_TIER=$F230))*((BULK_SKU="ALL")+(BULK_SKU=$G230))*(BULK_START&lt;=6)*(BULK_END&gt;=6)))),0),ROUND((INDEX(VELOCITY_TABLE,MATCH($F230,TIER_LIST,0),1))*(IF((6-$I230+1)&lt;=0,0,IF((6-$I230+1)=1,RAMP_W1,IF((6-$I230+1)=2,RAMP_W2,IF((6-$I230+1)=3,RAMP_W3,RAMP_W4PLUS)))))*(INDEX(ACTIVE_MULT_TABLE,1,1))*(1+SUMPRODUCT(SIGN(((ACT_DOOR_SCOPE="ALL")+(ACT_DOOR_SCOPE="TIER_"&amp;$F230)+(ACT_DOOR_SCOPE=$B230)))*SIGN(((ACT_SKU_SCOPE="ALL")+(ACT_SKU_SCOPE=$G230)))*(ACT_START&lt;=6)*(ACT_END&gt;=6)*IFERROR(ACT_UPLIFT-1,0)))*(1+SUMPRODUCT(SIGN(((ACT_DOOR_SCOPE="ALL")+(ACT_DOOR_SCOPE="TIER_"&amp;$F230)+(ACT_DOOR_SCOPE=$B230)))*SIGN(((ACT_SKU_SCOPE="ALL")+(ACT_SKU_SCOPE=$G230)))*(6&gt;ACT_END)*(ACT_END&gt;0)*IFERROR(ACT_POSTLIFT,0))),0)))</f>
        <v/>
      </c>
      <c r="P230" s="10">
        <f>IF(OR($H230&lt;&gt;"Y",7&lt;$I230),0,IF(SUMPRODUCT(((BULK_ENABLED="Y")*((BULK_TIER="ALL")+(BULK_TIER=$F230))*((BULK_SKU="ALL")+(BULK_SKU=$G230))*(BULK_START&lt;=7)*(BULK_END&gt;=7)))&gt;0,IFERROR(SUMPRODUCT(((BULK_ENABLED="Y")*((BULK_TIER="ALL")+(BULK_TIER=$F230))*((BULK_SKU="ALL")+(BULK_SKU=$G230))*(BULK_START&lt;=7)*(BULK_END&gt;=7))*IFERROR(BULK_VALUE,0))/MAX(1,SUMPRODUCT(((BULK_ENABLED="Y")*((BULK_TIER="ALL")+(BULK_TIER=$F230))*((BULK_SKU="ALL")+(BULK_SKU=$G230))*(BULK_START&lt;=7)*(BULK_END&gt;=7)))),0),ROUND((INDEX(VELOCITY_TABLE,MATCH($F230,TIER_LIST,0),1))*(IF((7-$I230+1)&lt;=0,0,IF((7-$I230+1)=1,RAMP_W1,IF((7-$I230+1)=2,RAMP_W2,IF((7-$I230+1)=3,RAMP_W3,RAMP_W4PLUS)))))*(INDEX(ACTIVE_MULT_TABLE,1,1))*(1+SUMPRODUCT(SIGN(((ACT_DOOR_SCOPE="ALL")+(ACT_DOOR_SCOPE="TIER_"&amp;$F230)+(ACT_DOOR_SCOPE=$B230)))*SIGN(((ACT_SKU_SCOPE="ALL")+(ACT_SKU_SCOPE=$G230)))*(ACT_START&lt;=7)*(ACT_END&gt;=7)*IFERROR(ACT_UPLIFT-1,0)))*(1+SUMPRODUCT(SIGN(((ACT_DOOR_SCOPE="ALL")+(ACT_DOOR_SCOPE="TIER_"&amp;$F230)+(ACT_DOOR_SCOPE=$B230)))*SIGN(((ACT_SKU_SCOPE="ALL")+(ACT_SKU_SCOPE=$G230)))*(7&gt;ACT_END)*(ACT_END&gt;0)*IFERROR(ACT_POSTLIFT,0))),0)))</f>
        <v/>
      </c>
      <c r="Q230" s="10">
        <f>IF(OR($H230&lt;&gt;"Y",8&lt;$I230),0,IF(SUMPRODUCT(((BULK_ENABLED="Y")*((BULK_TIER="ALL")+(BULK_TIER=$F230))*((BULK_SKU="ALL")+(BULK_SKU=$G230))*(BULK_START&lt;=8)*(BULK_END&gt;=8)))&gt;0,IFERROR(SUMPRODUCT(((BULK_ENABLED="Y")*((BULK_TIER="ALL")+(BULK_TIER=$F230))*((BULK_SKU="ALL")+(BULK_SKU=$G230))*(BULK_START&lt;=8)*(BULK_END&gt;=8))*IFERROR(BULK_VALUE,0))/MAX(1,SUMPRODUCT(((BULK_ENABLED="Y")*((BULK_TIER="ALL")+(BULK_TIER=$F230))*((BULK_SKU="ALL")+(BULK_SKU=$G230))*(BULK_START&lt;=8)*(BULK_END&gt;=8)))),0),ROUND((INDEX(VELOCITY_TABLE,MATCH($F230,TIER_LIST,0),1))*(IF((8-$I230+1)&lt;=0,0,IF((8-$I230+1)=1,RAMP_W1,IF((8-$I230+1)=2,RAMP_W2,IF((8-$I230+1)=3,RAMP_W3,RAMP_W4PLUS)))))*(INDEX(ACTIVE_MULT_TABLE,1,1))*(1+SUMPRODUCT(SIGN(((ACT_DOOR_SCOPE="ALL")+(ACT_DOOR_SCOPE="TIER_"&amp;$F230)+(ACT_DOOR_SCOPE=$B230)))*SIGN(((ACT_SKU_SCOPE="ALL")+(ACT_SKU_SCOPE=$G230)))*(ACT_START&lt;=8)*(ACT_END&gt;=8)*IFERROR(ACT_UPLIFT-1,0)))*(1+SUMPRODUCT(SIGN(((ACT_DOOR_SCOPE="ALL")+(ACT_DOOR_SCOPE="TIER_"&amp;$F230)+(ACT_DOOR_SCOPE=$B230)))*SIGN(((ACT_SKU_SCOPE="ALL")+(ACT_SKU_SCOPE=$G230)))*(8&gt;ACT_END)*(ACT_END&gt;0)*IFERROR(ACT_POSTLIFT,0))),0)))</f>
        <v/>
      </c>
      <c r="R230" s="10">
        <f>IF(OR($H230&lt;&gt;"Y",9&lt;$I230),0,IF(SUMPRODUCT(((BULK_ENABLED="Y")*((BULK_TIER="ALL")+(BULK_TIER=$F230))*((BULK_SKU="ALL")+(BULK_SKU=$G230))*(BULK_START&lt;=9)*(BULK_END&gt;=9)))&gt;0,IFERROR(SUMPRODUCT(((BULK_ENABLED="Y")*((BULK_TIER="ALL")+(BULK_TIER=$F230))*((BULK_SKU="ALL")+(BULK_SKU=$G230))*(BULK_START&lt;=9)*(BULK_END&gt;=9))*IFERROR(BULK_VALUE,0))/MAX(1,SUMPRODUCT(((BULK_ENABLED="Y")*((BULK_TIER="ALL")+(BULK_TIER=$F230))*((BULK_SKU="ALL")+(BULK_SKU=$G230))*(BULK_START&lt;=9)*(BULK_END&gt;=9)))),0),ROUND((INDEX(VELOCITY_TABLE,MATCH($F230,TIER_LIST,0),1))*(IF((9-$I230+1)&lt;=0,0,IF((9-$I230+1)=1,RAMP_W1,IF((9-$I230+1)=2,RAMP_W2,IF((9-$I230+1)=3,RAMP_W3,RAMP_W4PLUS)))))*(INDEX(ACTIVE_MULT_TABLE,1,1))*(1+SUMPRODUCT(SIGN(((ACT_DOOR_SCOPE="ALL")+(ACT_DOOR_SCOPE="TIER_"&amp;$F230)+(ACT_DOOR_SCOPE=$B230)))*SIGN(((ACT_SKU_SCOPE="ALL")+(ACT_SKU_SCOPE=$G230)))*(ACT_START&lt;=9)*(ACT_END&gt;=9)*IFERROR(ACT_UPLIFT-1,0)))*(1+SUMPRODUCT(SIGN(((ACT_DOOR_SCOPE="ALL")+(ACT_DOOR_SCOPE="TIER_"&amp;$F230)+(ACT_DOOR_SCOPE=$B230)))*SIGN(((ACT_SKU_SCOPE="ALL")+(ACT_SKU_SCOPE=$G230)))*(9&gt;ACT_END)*(ACT_END&gt;0)*IFERROR(ACT_POSTLIFT,0))),0)))</f>
        <v/>
      </c>
      <c r="S230" s="10">
        <f>IF(OR($H230&lt;&gt;"Y",10&lt;$I230),0,IF(SUMPRODUCT(((BULK_ENABLED="Y")*((BULK_TIER="ALL")+(BULK_TIER=$F230))*((BULK_SKU="ALL")+(BULK_SKU=$G230))*(BULK_START&lt;=10)*(BULK_END&gt;=10)))&gt;0,IFERROR(SUMPRODUCT(((BULK_ENABLED="Y")*((BULK_TIER="ALL")+(BULK_TIER=$F230))*((BULK_SKU="ALL")+(BULK_SKU=$G230))*(BULK_START&lt;=10)*(BULK_END&gt;=10))*IFERROR(BULK_VALUE,0))/MAX(1,SUMPRODUCT(((BULK_ENABLED="Y")*((BULK_TIER="ALL")+(BULK_TIER=$F230))*((BULK_SKU="ALL")+(BULK_SKU=$G230))*(BULK_START&lt;=10)*(BULK_END&gt;=10)))),0),ROUND((INDEX(VELOCITY_TABLE,MATCH($F230,TIER_LIST,0),1))*(IF((10-$I230+1)&lt;=0,0,IF((10-$I230+1)=1,RAMP_W1,IF((10-$I230+1)=2,RAMP_W2,IF((10-$I230+1)=3,RAMP_W3,RAMP_W4PLUS)))))*(INDEX(ACTIVE_MULT_TABLE,1,1))*(1+SUMPRODUCT(SIGN(((ACT_DOOR_SCOPE="ALL")+(ACT_DOOR_SCOPE="TIER_"&amp;$F230)+(ACT_DOOR_SCOPE=$B230)))*SIGN(((ACT_SKU_SCOPE="ALL")+(ACT_SKU_SCOPE=$G230)))*(ACT_START&lt;=10)*(ACT_END&gt;=10)*IFERROR(ACT_UPLIFT-1,0)))*(1+SUMPRODUCT(SIGN(((ACT_DOOR_SCOPE="ALL")+(ACT_DOOR_SCOPE="TIER_"&amp;$F230)+(ACT_DOOR_SCOPE=$B230)))*SIGN(((ACT_SKU_SCOPE="ALL")+(ACT_SKU_SCOPE=$G230)))*(10&gt;ACT_END)*(ACT_END&gt;0)*IFERROR(ACT_POSTLIFT,0))),0)))</f>
        <v/>
      </c>
      <c r="T230" s="10">
        <f>IF(OR($H230&lt;&gt;"Y",11&lt;$I230),0,IF(SUMPRODUCT(((BULK_ENABLED="Y")*((BULK_TIER="ALL")+(BULK_TIER=$F230))*((BULK_SKU="ALL")+(BULK_SKU=$G230))*(BULK_START&lt;=11)*(BULK_END&gt;=11)))&gt;0,IFERROR(SUMPRODUCT(((BULK_ENABLED="Y")*((BULK_TIER="ALL")+(BULK_TIER=$F230))*((BULK_SKU="ALL")+(BULK_SKU=$G230))*(BULK_START&lt;=11)*(BULK_END&gt;=11))*IFERROR(BULK_VALUE,0))/MAX(1,SUMPRODUCT(((BULK_ENABLED="Y")*((BULK_TIER="ALL")+(BULK_TIER=$F230))*((BULK_SKU="ALL")+(BULK_SKU=$G230))*(BULK_START&lt;=11)*(BULK_END&gt;=11)))),0),ROUND((INDEX(VELOCITY_TABLE,MATCH($F230,TIER_LIST,0),1))*(IF((11-$I230+1)&lt;=0,0,IF((11-$I230+1)=1,RAMP_W1,IF((11-$I230+1)=2,RAMP_W2,IF((11-$I230+1)=3,RAMP_W3,RAMP_W4PLUS)))))*(INDEX(ACTIVE_MULT_TABLE,1,1))*(1+SUMPRODUCT(SIGN(((ACT_DOOR_SCOPE="ALL")+(ACT_DOOR_SCOPE="TIER_"&amp;$F230)+(ACT_DOOR_SCOPE=$B230)))*SIGN(((ACT_SKU_SCOPE="ALL")+(ACT_SKU_SCOPE=$G230)))*(ACT_START&lt;=11)*(ACT_END&gt;=11)*IFERROR(ACT_UPLIFT-1,0)))*(1+SUMPRODUCT(SIGN(((ACT_DOOR_SCOPE="ALL")+(ACT_DOOR_SCOPE="TIER_"&amp;$F230)+(ACT_DOOR_SCOPE=$B230)))*SIGN(((ACT_SKU_SCOPE="ALL")+(ACT_SKU_SCOPE=$G230)))*(11&gt;ACT_END)*(ACT_END&gt;0)*IFERROR(ACT_POSTLIFT,0))),0)))</f>
        <v/>
      </c>
      <c r="U230" s="10">
        <f>IF(OR($H230&lt;&gt;"Y",12&lt;$I230),0,IF(SUMPRODUCT(((BULK_ENABLED="Y")*((BULK_TIER="ALL")+(BULK_TIER=$F230))*((BULK_SKU="ALL")+(BULK_SKU=$G230))*(BULK_START&lt;=12)*(BULK_END&gt;=12)))&gt;0,IFERROR(SUMPRODUCT(((BULK_ENABLED="Y")*((BULK_TIER="ALL")+(BULK_TIER=$F230))*((BULK_SKU="ALL")+(BULK_SKU=$G230))*(BULK_START&lt;=12)*(BULK_END&gt;=12))*IFERROR(BULK_VALUE,0))/MAX(1,SUMPRODUCT(((BULK_ENABLED="Y")*((BULK_TIER="ALL")+(BULK_TIER=$F230))*((BULK_SKU="ALL")+(BULK_SKU=$G230))*(BULK_START&lt;=12)*(BULK_END&gt;=12)))),0),ROUND((INDEX(VELOCITY_TABLE,MATCH($F230,TIER_LIST,0),1))*(IF((12-$I230+1)&lt;=0,0,IF((12-$I230+1)=1,RAMP_W1,IF((12-$I230+1)=2,RAMP_W2,IF((12-$I230+1)=3,RAMP_W3,RAMP_W4PLUS)))))*(INDEX(ACTIVE_MULT_TABLE,1,1))*(1+SUMPRODUCT(SIGN(((ACT_DOOR_SCOPE="ALL")+(ACT_DOOR_SCOPE="TIER_"&amp;$F230)+(ACT_DOOR_SCOPE=$B230)))*SIGN(((ACT_SKU_SCOPE="ALL")+(ACT_SKU_SCOPE=$G230)))*(ACT_START&lt;=12)*(ACT_END&gt;=12)*IFERROR(ACT_UPLIFT-1,0)))*(1+SUMPRODUCT(SIGN(((ACT_DOOR_SCOPE="ALL")+(ACT_DOOR_SCOPE="TIER_"&amp;$F230)+(ACT_DOOR_SCOPE=$B230)))*SIGN(((ACT_SKU_SCOPE="ALL")+(ACT_SKU_SCOPE=$G230)))*(12&gt;ACT_END)*(ACT_END&gt;0)*IFERROR(ACT_POSTLIFT,0))),0)))</f>
        <v/>
      </c>
      <c r="V230" s="10">
        <f>IF(OR($H230&lt;&gt;"Y",13&lt;$I230),0,IF(SUMPRODUCT(((BULK_ENABLED="Y")*((BULK_TIER="ALL")+(BULK_TIER=$F230))*((BULK_SKU="ALL")+(BULK_SKU=$G230))*(BULK_START&lt;=13)*(BULK_END&gt;=13)))&gt;0,IFERROR(SUMPRODUCT(((BULK_ENABLED="Y")*((BULK_TIER="ALL")+(BULK_TIER=$F230))*((BULK_SKU="ALL")+(BULK_SKU=$G230))*(BULK_START&lt;=13)*(BULK_END&gt;=13))*IFERROR(BULK_VALUE,0))/MAX(1,SUMPRODUCT(((BULK_ENABLED="Y")*((BULK_TIER="ALL")+(BULK_TIER=$F230))*((BULK_SKU="ALL")+(BULK_SKU=$G230))*(BULK_START&lt;=13)*(BULK_END&gt;=13)))),0),ROUND((INDEX(VELOCITY_TABLE,MATCH($F230,TIER_LIST,0),1))*(IF((13-$I230+1)&lt;=0,0,IF((13-$I230+1)=1,RAMP_W1,IF((13-$I230+1)=2,RAMP_W2,IF((13-$I230+1)=3,RAMP_W3,RAMP_W4PLUS)))))*(INDEX(ACTIVE_MULT_TABLE,1,1))*(1+SUMPRODUCT(SIGN(((ACT_DOOR_SCOPE="ALL")+(ACT_DOOR_SCOPE="TIER_"&amp;$F230)+(ACT_DOOR_SCOPE=$B230)))*SIGN(((ACT_SKU_SCOPE="ALL")+(ACT_SKU_SCOPE=$G230)))*(ACT_START&lt;=13)*(ACT_END&gt;=13)*IFERROR(ACT_UPLIFT-1,0)))*(1+SUMPRODUCT(SIGN(((ACT_DOOR_SCOPE="ALL")+(ACT_DOOR_SCOPE="TIER_"&amp;$F230)+(ACT_DOOR_SCOPE=$B230)))*SIGN(((ACT_SKU_SCOPE="ALL")+(ACT_SKU_SCOPE=$G230)))*(13&gt;ACT_END)*(ACT_END&gt;0)*IFERROR(ACT_POSTLIFT,0))),0)))</f>
        <v/>
      </c>
    </row>
    <row r="231">
      <c r="A231" t="inlineStr">
        <is>
          <t>R0227</t>
        </is>
      </c>
      <c r="B231">
        <f>Doors!$A$80</f>
        <v/>
      </c>
      <c r="C231">
        <f>Doors!$C$80</f>
        <v/>
      </c>
      <c r="D231">
        <f>Doors!$B$80</f>
        <v/>
      </c>
      <c r="E231">
        <f>Doors!$E$80</f>
        <v/>
      </c>
      <c r="F231">
        <f>Doors!$F$80</f>
        <v/>
      </c>
      <c r="G231" t="inlineStr">
        <is>
          <t>Pineapple Passion Fruit</t>
        </is>
      </c>
      <c r="H231">
        <f>Doors!$H$80</f>
        <v/>
      </c>
      <c r="I231">
        <f>Doors!$J$80</f>
        <v/>
      </c>
      <c r="J231" s="10">
        <f>IF(OR($H231&lt;&gt;"Y",1&lt;$I231),0,IF(SUMPRODUCT(((BULK_ENABLED="Y")*((BULK_TIER="ALL")+(BULK_TIER=$F231))*((BULK_SKU="ALL")+(BULK_SKU=$G231))*(BULK_START&lt;=1)*(BULK_END&gt;=1)))&gt;0,IFERROR(SUMPRODUCT(((BULK_ENABLED="Y")*((BULK_TIER="ALL")+(BULK_TIER=$F231))*((BULK_SKU="ALL")+(BULK_SKU=$G231))*(BULK_START&lt;=1)*(BULK_END&gt;=1))*IFERROR(BULK_VALUE,0))/MAX(1,SUMPRODUCT(((BULK_ENABLED="Y")*((BULK_TIER="ALL")+(BULK_TIER=$F231))*((BULK_SKU="ALL")+(BULK_SKU=$G231))*(BULK_START&lt;=1)*(BULK_END&gt;=1)))),0),ROUND((INDEX(VELOCITY_TABLE,MATCH($F231,TIER_LIST,0),2))*(IF((1-$I231+1)&lt;=0,0,IF((1-$I231+1)=1,RAMP_W1,IF((1-$I231+1)=2,RAMP_W2,IF((1-$I231+1)=3,RAMP_W3,RAMP_W4PLUS)))))*(INDEX(ACTIVE_MULT_TABLE,2,1))*(1+SUMPRODUCT(SIGN(((ACT_DOOR_SCOPE="ALL")+(ACT_DOOR_SCOPE="TIER_"&amp;$F231)+(ACT_DOOR_SCOPE=$B231)))*SIGN(((ACT_SKU_SCOPE="ALL")+(ACT_SKU_SCOPE=$G231)))*(ACT_START&lt;=1)*(ACT_END&gt;=1)*IFERROR(ACT_UPLIFT-1,0)))*(1+SUMPRODUCT(SIGN(((ACT_DOOR_SCOPE="ALL")+(ACT_DOOR_SCOPE="TIER_"&amp;$F231)+(ACT_DOOR_SCOPE=$B231)))*SIGN(((ACT_SKU_SCOPE="ALL")+(ACT_SKU_SCOPE=$G231)))*(1&gt;ACT_END)*(ACT_END&gt;0)*IFERROR(ACT_POSTLIFT,0))),0)))</f>
        <v/>
      </c>
      <c r="K231" s="10">
        <f>IF(OR($H231&lt;&gt;"Y",2&lt;$I231),0,IF(SUMPRODUCT(((BULK_ENABLED="Y")*((BULK_TIER="ALL")+(BULK_TIER=$F231))*((BULK_SKU="ALL")+(BULK_SKU=$G231))*(BULK_START&lt;=2)*(BULK_END&gt;=2)))&gt;0,IFERROR(SUMPRODUCT(((BULK_ENABLED="Y")*((BULK_TIER="ALL")+(BULK_TIER=$F231))*((BULK_SKU="ALL")+(BULK_SKU=$G231))*(BULK_START&lt;=2)*(BULK_END&gt;=2))*IFERROR(BULK_VALUE,0))/MAX(1,SUMPRODUCT(((BULK_ENABLED="Y")*((BULK_TIER="ALL")+(BULK_TIER=$F231))*((BULK_SKU="ALL")+(BULK_SKU=$G231))*(BULK_START&lt;=2)*(BULK_END&gt;=2)))),0),ROUND((INDEX(VELOCITY_TABLE,MATCH($F231,TIER_LIST,0),2))*(IF((2-$I231+1)&lt;=0,0,IF((2-$I231+1)=1,RAMP_W1,IF((2-$I231+1)=2,RAMP_W2,IF((2-$I231+1)=3,RAMP_W3,RAMP_W4PLUS)))))*(INDEX(ACTIVE_MULT_TABLE,2,1))*(1+SUMPRODUCT(SIGN(((ACT_DOOR_SCOPE="ALL")+(ACT_DOOR_SCOPE="TIER_"&amp;$F231)+(ACT_DOOR_SCOPE=$B231)))*SIGN(((ACT_SKU_SCOPE="ALL")+(ACT_SKU_SCOPE=$G231)))*(ACT_START&lt;=2)*(ACT_END&gt;=2)*IFERROR(ACT_UPLIFT-1,0)))*(1+SUMPRODUCT(SIGN(((ACT_DOOR_SCOPE="ALL")+(ACT_DOOR_SCOPE="TIER_"&amp;$F231)+(ACT_DOOR_SCOPE=$B231)))*SIGN(((ACT_SKU_SCOPE="ALL")+(ACT_SKU_SCOPE=$G231)))*(2&gt;ACT_END)*(ACT_END&gt;0)*IFERROR(ACT_POSTLIFT,0))),0)))</f>
        <v/>
      </c>
      <c r="L231" s="10">
        <f>IF(OR($H231&lt;&gt;"Y",3&lt;$I231),0,IF(SUMPRODUCT(((BULK_ENABLED="Y")*((BULK_TIER="ALL")+(BULK_TIER=$F231))*((BULK_SKU="ALL")+(BULK_SKU=$G231))*(BULK_START&lt;=3)*(BULK_END&gt;=3)))&gt;0,IFERROR(SUMPRODUCT(((BULK_ENABLED="Y")*((BULK_TIER="ALL")+(BULK_TIER=$F231))*((BULK_SKU="ALL")+(BULK_SKU=$G231))*(BULK_START&lt;=3)*(BULK_END&gt;=3))*IFERROR(BULK_VALUE,0))/MAX(1,SUMPRODUCT(((BULK_ENABLED="Y")*((BULK_TIER="ALL")+(BULK_TIER=$F231))*((BULK_SKU="ALL")+(BULK_SKU=$G231))*(BULK_START&lt;=3)*(BULK_END&gt;=3)))),0),ROUND((INDEX(VELOCITY_TABLE,MATCH($F231,TIER_LIST,0),2))*(IF((3-$I231+1)&lt;=0,0,IF((3-$I231+1)=1,RAMP_W1,IF((3-$I231+1)=2,RAMP_W2,IF((3-$I231+1)=3,RAMP_W3,RAMP_W4PLUS)))))*(INDEX(ACTIVE_MULT_TABLE,2,1))*(1+SUMPRODUCT(SIGN(((ACT_DOOR_SCOPE="ALL")+(ACT_DOOR_SCOPE="TIER_"&amp;$F231)+(ACT_DOOR_SCOPE=$B231)))*SIGN(((ACT_SKU_SCOPE="ALL")+(ACT_SKU_SCOPE=$G231)))*(ACT_START&lt;=3)*(ACT_END&gt;=3)*IFERROR(ACT_UPLIFT-1,0)))*(1+SUMPRODUCT(SIGN(((ACT_DOOR_SCOPE="ALL")+(ACT_DOOR_SCOPE="TIER_"&amp;$F231)+(ACT_DOOR_SCOPE=$B231)))*SIGN(((ACT_SKU_SCOPE="ALL")+(ACT_SKU_SCOPE=$G231)))*(3&gt;ACT_END)*(ACT_END&gt;0)*IFERROR(ACT_POSTLIFT,0))),0)))</f>
        <v/>
      </c>
      <c r="M231" s="10">
        <f>IF(OR($H231&lt;&gt;"Y",4&lt;$I231),0,IF(SUMPRODUCT(((BULK_ENABLED="Y")*((BULK_TIER="ALL")+(BULK_TIER=$F231))*((BULK_SKU="ALL")+(BULK_SKU=$G231))*(BULK_START&lt;=4)*(BULK_END&gt;=4)))&gt;0,IFERROR(SUMPRODUCT(((BULK_ENABLED="Y")*((BULK_TIER="ALL")+(BULK_TIER=$F231))*((BULK_SKU="ALL")+(BULK_SKU=$G231))*(BULK_START&lt;=4)*(BULK_END&gt;=4))*IFERROR(BULK_VALUE,0))/MAX(1,SUMPRODUCT(((BULK_ENABLED="Y")*((BULK_TIER="ALL")+(BULK_TIER=$F231))*((BULK_SKU="ALL")+(BULK_SKU=$G231))*(BULK_START&lt;=4)*(BULK_END&gt;=4)))),0),ROUND((INDEX(VELOCITY_TABLE,MATCH($F231,TIER_LIST,0),2))*(IF((4-$I231+1)&lt;=0,0,IF((4-$I231+1)=1,RAMP_W1,IF((4-$I231+1)=2,RAMP_W2,IF((4-$I231+1)=3,RAMP_W3,RAMP_W4PLUS)))))*(INDEX(ACTIVE_MULT_TABLE,2,1))*(1+SUMPRODUCT(SIGN(((ACT_DOOR_SCOPE="ALL")+(ACT_DOOR_SCOPE="TIER_"&amp;$F231)+(ACT_DOOR_SCOPE=$B231)))*SIGN(((ACT_SKU_SCOPE="ALL")+(ACT_SKU_SCOPE=$G231)))*(ACT_START&lt;=4)*(ACT_END&gt;=4)*IFERROR(ACT_UPLIFT-1,0)))*(1+SUMPRODUCT(SIGN(((ACT_DOOR_SCOPE="ALL")+(ACT_DOOR_SCOPE="TIER_"&amp;$F231)+(ACT_DOOR_SCOPE=$B231)))*SIGN(((ACT_SKU_SCOPE="ALL")+(ACT_SKU_SCOPE=$G231)))*(4&gt;ACT_END)*(ACT_END&gt;0)*IFERROR(ACT_POSTLIFT,0))),0)))</f>
        <v/>
      </c>
      <c r="N231" s="10">
        <f>IF(OR($H231&lt;&gt;"Y",5&lt;$I231),0,IF(SUMPRODUCT(((BULK_ENABLED="Y")*((BULK_TIER="ALL")+(BULK_TIER=$F231))*((BULK_SKU="ALL")+(BULK_SKU=$G231))*(BULK_START&lt;=5)*(BULK_END&gt;=5)))&gt;0,IFERROR(SUMPRODUCT(((BULK_ENABLED="Y")*((BULK_TIER="ALL")+(BULK_TIER=$F231))*((BULK_SKU="ALL")+(BULK_SKU=$G231))*(BULK_START&lt;=5)*(BULK_END&gt;=5))*IFERROR(BULK_VALUE,0))/MAX(1,SUMPRODUCT(((BULK_ENABLED="Y")*((BULK_TIER="ALL")+(BULK_TIER=$F231))*((BULK_SKU="ALL")+(BULK_SKU=$G231))*(BULK_START&lt;=5)*(BULK_END&gt;=5)))),0),ROUND((INDEX(VELOCITY_TABLE,MATCH($F231,TIER_LIST,0),2))*(IF((5-$I231+1)&lt;=0,0,IF((5-$I231+1)=1,RAMP_W1,IF((5-$I231+1)=2,RAMP_W2,IF((5-$I231+1)=3,RAMP_W3,RAMP_W4PLUS)))))*(INDEX(ACTIVE_MULT_TABLE,2,1))*(1+SUMPRODUCT(SIGN(((ACT_DOOR_SCOPE="ALL")+(ACT_DOOR_SCOPE="TIER_"&amp;$F231)+(ACT_DOOR_SCOPE=$B231)))*SIGN(((ACT_SKU_SCOPE="ALL")+(ACT_SKU_SCOPE=$G231)))*(ACT_START&lt;=5)*(ACT_END&gt;=5)*IFERROR(ACT_UPLIFT-1,0)))*(1+SUMPRODUCT(SIGN(((ACT_DOOR_SCOPE="ALL")+(ACT_DOOR_SCOPE="TIER_"&amp;$F231)+(ACT_DOOR_SCOPE=$B231)))*SIGN(((ACT_SKU_SCOPE="ALL")+(ACT_SKU_SCOPE=$G231)))*(5&gt;ACT_END)*(ACT_END&gt;0)*IFERROR(ACT_POSTLIFT,0))),0)))</f>
        <v/>
      </c>
      <c r="O231" s="10">
        <f>IF(OR($H231&lt;&gt;"Y",6&lt;$I231),0,IF(SUMPRODUCT(((BULK_ENABLED="Y")*((BULK_TIER="ALL")+(BULK_TIER=$F231))*((BULK_SKU="ALL")+(BULK_SKU=$G231))*(BULK_START&lt;=6)*(BULK_END&gt;=6)))&gt;0,IFERROR(SUMPRODUCT(((BULK_ENABLED="Y")*((BULK_TIER="ALL")+(BULK_TIER=$F231))*((BULK_SKU="ALL")+(BULK_SKU=$G231))*(BULK_START&lt;=6)*(BULK_END&gt;=6))*IFERROR(BULK_VALUE,0))/MAX(1,SUMPRODUCT(((BULK_ENABLED="Y")*((BULK_TIER="ALL")+(BULK_TIER=$F231))*((BULK_SKU="ALL")+(BULK_SKU=$G231))*(BULK_START&lt;=6)*(BULK_END&gt;=6)))),0),ROUND((INDEX(VELOCITY_TABLE,MATCH($F231,TIER_LIST,0),2))*(IF((6-$I231+1)&lt;=0,0,IF((6-$I231+1)=1,RAMP_W1,IF((6-$I231+1)=2,RAMP_W2,IF((6-$I231+1)=3,RAMP_W3,RAMP_W4PLUS)))))*(INDEX(ACTIVE_MULT_TABLE,2,1))*(1+SUMPRODUCT(SIGN(((ACT_DOOR_SCOPE="ALL")+(ACT_DOOR_SCOPE="TIER_"&amp;$F231)+(ACT_DOOR_SCOPE=$B231)))*SIGN(((ACT_SKU_SCOPE="ALL")+(ACT_SKU_SCOPE=$G231)))*(ACT_START&lt;=6)*(ACT_END&gt;=6)*IFERROR(ACT_UPLIFT-1,0)))*(1+SUMPRODUCT(SIGN(((ACT_DOOR_SCOPE="ALL")+(ACT_DOOR_SCOPE="TIER_"&amp;$F231)+(ACT_DOOR_SCOPE=$B231)))*SIGN(((ACT_SKU_SCOPE="ALL")+(ACT_SKU_SCOPE=$G231)))*(6&gt;ACT_END)*(ACT_END&gt;0)*IFERROR(ACT_POSTLIFT,0))),0)))</f>
        <v/>
      </c>
      <c r="P231" s="10">
        <f>IF(OR($H231&lt;&gt;"Y",7&lt;$I231),0,IF(SUMPRODUCT(((BULK_ENABLED="Y")*((BULK_TIER="ALL")+(BULK_TIER=$F231))*((BULK_SKU="ALL")+(BULK_SKU=$G231))*(BULK_START&lt;=7)*(BULK_END&gt;=7)))&gt;0,IFERROR(SUMPRODUCT(((BULK_ENABLED="Y")*((BULK_TIER="ALL")+(BULK_TIER=$F231))*((BULK_SKU="ALL")+(BULK_SKU=$G231))*(BULK_START&lt;=7)*(BULK_END&gt;=7))*IFERROR(BULK_VALUE,0))/MAX(1,SUMPRODUCT(((BULK_ENABLED="Y")*((BULK_TIER="ALL")+(BULK_TIER=$F231))*((BULK_SKU="ALL")+(BULK_SKU=$G231))*(BULK_START&lt;=7)*(BULK_END&gt;=7)))),0),ROUND((INDEX(VELOCITY_TABLE,MATCH($F231,TIER_LIST,0),2))*(IF((7-$I231+1)&lt;=0,0,IF((7-$I231+1)=1,RAMP_W1,IF((7-$I231+1)=2,RAMP_W2,IF((7-$I231+1)=3,RAMP_W3,RAMP_W4PLUS)))))*(INDEX(ACTIVE_MULT_TABLE,2,1))*(1+SUMPRODUCT(SIGN(((ACT_DOOR_SCOPE="ALL")+(ACT_DOOR_SCOPE="TIER_"&amp;$F231)+(ACT_DOOR_SCOPE=$B231)))*SIGN(((ACT_SKU_SCOPE="ALL")+(ACT_SKU_SCOPE=$G231)))*(ACT_START&lt;=7)*(ACT_END&gt;=7)*IFERROR(ACT_UPLIFT-1,0)))*(1+SUMPRODUCT(SIGN(((ACT_DOOR_SCOPE="ALL")+(ACT_DOOR_SCOPE="TIER_"&amp;$F231)+(ACT_DOOR_SCOPE=$B231)))*SIGN(((ACT_SKU_SCOPE="ALL")+(ACT_SKU_SCOPE=$G231)))*(7&gt;ACT_END)*(ACT_END&gt;0)*IFERROR(ACT_POSTLIFT,0))),0)))</f>
        <v/>
      </c>
      <c r="Q231" s="10">
        <f>IF(OR($H231&lt;&gt;"Y",8&lt;$I231),0,IF(SUMPRODUCT(((BULK_ENABLED="Y")*((BULK_TIER="ALL")+(BULK_TIER=$F231))*((BULK_SKU="ALL")+(BULK_SKU=$G231))*(BULK_START&lt;=8)*(BULK_END&gt;=8)))&gt;0,IFERROR(SUMPRODUCT(((BULK_ENABLED="Y")*((BULK_TIER="ALL")+(BULK_TIER=$F231))*((BULK_SKU="ALL")+(BULK_SKU=$G231))*(BULK_START&lt;=8)*(BULK_END&gt;=8))*IFERROR(BULK_VALUE,0))/MAX(1,SUMPRODUCT(((BULK_ENABLED="Y")*((BULK_TIER="ALL")+(BULK_TIER=$F231))*((BULK_SKU="ALL")+(BULK_SKU=$G231))*(BULK_START&lt;=8)*(BULK_END&gt;=8)))),0),ROUND((INDEX(VELOCITY_TABLE,MATCH($F231,TIER_LIST,0),2))*(IF((8-$I231+1)&lt;=0,0,IF((8-$I231+1)=1,RAMP_W1,IF((8-$I231+1)=2,RAMP_W2,IF((8-$I231+1)=3,RAMP_W3,RAMP_W4PLUS)))))*(INDEX(ACTIVE_MULT_TABLE,2,1))*(1+SUMPRODUCT(SIGN(((ACT_DOOR_SCOPE="ALL")+(ACT_DOOR_SCOPE="TIER_"&amp;$F231)+(ACT_DOOR_SCOPE=$B231)))*SIGN(((ACT_SKU_SCOPE="ALL")+(ACT_SKU_SCOPE=$G231)))*(ACT_START&lt;=8)*(ACT_END&gt;=8)*IFERROR(ACT_UPLIFT-1,0)))*(1+SUMPRODUCT(SIGN(((ACT_DOOR_SCOPE="ALL")+(ACT_DOOR_SCOPE="TIER_"&amp;$F231)+(ACT_DOOR_SCOPE=$B231)))*SIGN(((ACT_SKU_SCOPE="ALL")+(ACT_SKU_SCOPE=$G231)))*(8&gt;ACT_END)*(ACT_END&gt;0)*IFERROR(ACT_POSTLIFT,0))),0)))</f>
        <v/>
      </c>
      <c r="R231" s="10">
        <f>IF(OR($H231&lt;&gt;"Y",9&lt;$I231),0,IF(SUMPRODUCT(((BULK_ENABLED="Y")*((BULK_TIER="ALL")+(BULK_TIER=$F231))*((BULK_SKU="ALL")+(BULK_SKU=$G231))*(BULK_START&lt;=9)*(BULK_END&gt;=9)))&gt;0,IFERROR(SUMPRODUCT(((BULK_ENABLED="Y")*((BULK_TIER="ALL")+(BULK_TIER=$F231))*((BULK_SKU="ALL")+(BULK_SKU=$G231))*(BULK_START&lt;=9)*(BULK_END&gt;=9))*IFERROR(BULK_VALUE,0))/MAX(1,SUMPRODUCT(((BULK_ENABLED="Y")*((BULK_TIER="ALL")+(BULK_TIER=$F231))*((BULK_SKU="ALL")+(BULK_SKU=$G231))*(BULK_START&lt;=9)*(BULK_END&gt;=9)))),0),ROUND((INDEX(VELOCITY_TABLE,MATCH($F231,TIER_LIST,0),2))*(IF((9-$I231+1)&lt;=0,0,IF((9-$I231+1)=1,RAMP_W1,IF((9-$I231+1)=2,RAMP_W2,IF((9-$I231+1)=3,RAMP_W3,RAMP_W4PLUS)))))*(INDEX(ACTIVE_MULT_TABLE,2,1))*(1+SUMPRODUCT(SIGN(((ACT_DOOR_SCOPE="ALL")+(ACT_DOOR_SCOPE="TIER_"&amp;$F231)+(ACT_DOOR_SCOPE=$B231)))*SIGN(((ACT_SKU_SCOPE="ALL")+(ACT_SKU_SCOPE=$G231)))*(ACT_START&lt;=9)*(ACT_END&gt;=9)*IFERROR(ACT_UPLIFT-1,0)))*(1+SUMPRODUCT(SIGN(((ACT_DOOR_SCOPE="ALL")+(ACT_DOOR_SCOPE="TIER_"&amp;$F231)+(ACT_DOOR_SCOPE=$B231)))*SIGN(((ACT_SKU_SCOPE="ALL")+(ACT_SKU_SCOPE=$G231)))*(9&gt;ACT_END)*(ACT_END&gt;0)*IFERROR(ACT_POSTLIFT,0))),0)))</f>
        <v/>
      </c>
      <c r="S231" s="10">
        <f>IF(OR($H231&lt;&gt;"Y",10&lt;$I231),0,IF(SUMPRODUCT(((BULK_ENABLED="Y")*((BULK_TIER="ALL")+(BULK_TIER=$F231))*((BULK_SKU="ALL")+(BULK_SKU=$G231))*(BULK_START&lt;=10)*(BULK_END&gt;=10)))&gt;0,IFERROR(SUMPRODUCT(((BULK_ENABLED="Y")*((BULK_TIER="ALL")+(BULK_TIER=$F231))*((BULK_SKU="ALL")+(BULK_SKU=$G231))*(BULK_START&lt;=10)*(BULK_END&gt;=10))*IFERROR(BULK_VALUE,0))/MAX(1,SUMPRODUCT(((BULK_ENABLED="Y")*((BULK_TIER="ALL")+(BULK_TIER=$F231))*((BULK_SKU="ALL")+(BULK_SKU=$G231))*(BULK_START&lt;=10)*(BULK_END&gt;=10)))),0),ROUND((INDEX(VELOCITY_TABLE,MATCH($F231,TIER_LIST,0),2))*(IF((10-$I231+1)&lt;=0,0,IF((10-$I231+1)=1,RAMP_W1,IF((10-$I231+1)=2,RAMP_W2,IF((10-$I231+1)=3,RAMP_W3,RAMP_W4PLUS)))))*(INDEX(ACTIVE_MULT_TABLE,2,1))*(1+SUMPRODUCT(SIGN(((ACT_DOOR_SCOPE="ALL")+(ACT_DOOR_SCOPE="TIER_"&amp;$F231)+(ACT_DOOR_SCOPE=$B231)))*SIGN(((ACT_SKU_SCOPE="ALL")+(ACT_SKU_SCOPE=$G231)))*(ACT_START&lt;=10)*(ACT_END&gt;=10)*IFERROR(ACT_UPLIFT-1,0)))*(1+SUMPRODUCT(SIGN(((ACT_DOOR_SCOPE="ALL")+(ACT_DOOR_SCOPE="TIER_"&amp;$F231)+(ACT_DOOR_SCOPE=$B231)))*SIGN(((ACT_SKU_SCOPE="ALL")+(ACT_SKU_SCOPE=$G231)))*(10&gt;ACT_END)*(ACT_END&gt;0)*IFERROR(ACT_POSTLIFT,0))),0)))</f>
        <v/>
      </c>
      <c r="T231" s="10">
        <f>IF(OR($H231&lt;&gt;"Y",11&lt;$I231),0,IF(SUMPRODUCT(((BULK_ENABLED="Y")*((BULK_TIER="ALL")+(BULK_TIER=$F231))*((BULK_SKU="ALL")+(BULK_SKU=$G231))*(BULK_START&lt;=11)*(BULK_END&gt;=11)))&gt;0,IFERROR(SUMPRODUCT(((BULK_ENABLED="Y")*((BULK_TIER="ALL")+(BULK_TIER=$F231))*((BULK_SKU="ALL")+(BULK_SKU=$G231))*(BULK_START&lt;=11)*(BULK_END&gt;=11))*IFERROR(BULK_VALUE,0))/MAX(1,SUMPRODUCT(((BULK_ENABLED="Y")*((BULK_TIER="ALL")+(BULK_TIER=$F231))*((BULK_SKU="ALL")+(BULK_SKU=$G231))*(BULK_START&lt;=11)*(BULK_END&gt;=11)))),0),ROUND((INDEX(VELOCITY_TABLE,MATCH($F231,TIER_LIST,0),2))*(IF((11-$I231+1)&lt;=0,0,IF((11-$I231+1)=1,RAMP_W1,IF((11-$I231+1)=2,RAMP_W2,IF((11-$I231+1)=3,RAMP_W3,RAMP_W4PLUS)))))*(INDEX(ACTIVE_MULT_TABLE,2,1))*(1+SUMPRODUCT(SIGN(((ACT_DOOR_SCOPE="ALL")+(ACT_DOOR_SCOPE="TIER_"&amp;$F231)+(ACT_DOOR_SCOPE=$B231)))*SIGN(((ACT_SKU_SCOPE="ALL")+(ACT_SKU_SCOPE=$G231)))*(ACT_START&lt;=11)*(ACT_END&gt;=11)*IFERROR(ACT_UPLIFT-1,0)))*(1+SUMPRODUCT(SIGN(((ACT_DOOR_SCOPE="ALL")+(ACT_DOOR_SCOPE="TIER_"&amp;$F231)+(ACT_DOOR_SCOPE=$B231)))*SIGN(((ACT_SKU_SCOPE="ALL")+(ACT_SKU_SCOPE=$G231)))*(11&gt;ACT_END)*(ACT_END&gt;0)*IFERROR(ACT_POSTLIFT,0))),0)))</f>
        <v/>
      </c>
      <c r="U231" s="10">
        <f>IF(OR($H231&lt;&gt;"Y",12&lt;$I231),0,IF(SUMPRODUCT(((BULK_ENABLED="Y")*((BULK_TIER="ALL")+(BULK_TIER=$F231))*((BULK_SKU="ALL")+(BULK_SKU=$G231))*(BULK_START&lt;=12)*(BULK_END&gt;=12)))&gt;0,IFERROR(SUMPRODUCT(((BULK_ENABLED="Y")*((BULK_TIER="ALL")+(BULK_TIER=$F231))*((BULK_SKU="ALL")+(BULK_SKU=$G231))*(BULK_START&lt;=12)*(BULK_END&gt;=12))*IFERROR(BULK_VALUE,0))/MAX(1,SUMPRODUCT(((BULK_ENABLED="Y")*((BULK_TIER="ALL")+(BULK_TIER=$F231))*((BULK_SKU="ALL")+(BULK_SKU=$G231))*(BULK_START&lt;=12)*(BULK_END&gt;=12)))),0),ROUND((INDEX(VELOCITY_TABLE,MATCH($F231,TIER_LIST,0),2))*(IF((12-$I231+1)&lt;=0,0,IF((12-$I231+1)=1,RAMP_W1,IF((12-$I231+1)=2,RAMP_W2,IF((12-$I231+1)=3,RAMP_W3,RAMP_W4PLUS)))))*(INDEX(ACTIVE_MULT_TABLE,2,1))*(1+SUMPRODUCT(SIGN(((ACT_DOOR_SCOPE="ALL")+(ACT_DOOR_SCOPE="TIER_"&amp;$F231)+(ACT_DOOR_SCOPE=$B231)))*SIGN(((ACT_SKU_SCOPE="ALL")+(ACT_SKU_SCOPE=$G231)))*(ACT_START&lt;=12)*(ACT_END&gt;=12)*IFERROR(ACT_UPLIFT-1,0)))*(1+SUMPRODUCT(SIGN(((ACT_DOOR_SCOPE="ALL")+(ACT_DOOR_SCOPE="TIER_"&amp;$F231)+(ACT_DOOR_SCOPE=$B231)))*SIGN(((ACT_SKU_SCOPE="ALL")+(ACT_SKU_SCOPE=$G231)))*(12&gt;ACT_END)*(ACT_END&gt;0)*IFERROR(ACT_POSTLIFT,0))),0)))</f>
        <v/>
      </c>
      <c r="V231" s="10">
        <f>IF(OR($H231&lt;&gt;"Y",13&lt;$I231),0,IF(SUMPRODUCT(((BULK_ENABLED="Y")*((BULK_TIER="ALL")+(BULK_TIER=$F231))*((BULK_SKU="ALL")+(BULK_SKU=$G231))*(BULK_START&lt;=13)*(BULK_END&gt;=13)))&gt;0,IFERROR(SUMPRODUCT(((BULK_ENABLED="Y")*((BULK_TIER="ALL")+(BULK_TIER=$F231))*((BULK_SKU="ALL")+(BULK_SKU=$G231))*(BULK_START&lt;=13)*(BULK_END&gt;=13))*IFERROR(BULK_VALUE,0))/MAX(1,SUMPRODUCT(((BULK_ENABLED="Y")*((BULK_TIER="ALL")+(BULK_TIER=$F231))*((BULK_SKU="ALL")+(BULK_SKU=$G231))*(BULK_START&lt;=13)*(BULK_END&gt;=13)))),0),ROUND((INDEX(VELOCITY_TABLE,MATCH($F231,TIER_LIST,0),2))*(IF((13-$I231+1)&lt;=0,0,IF((13-$I231+1)=1,RAMP_W1,IF((13-$I231+1)=2,RAMP_W2,IF((13-$I231+1)=3,RAMP_W3,RAMP_W4PLUS)))))*(INDEX(ACTIVE_MULT_TABLE,2,1))*(1+SUMPRODUCT(SIGN(((ACT_DOOR_SCOPE="ALL")+(ACT_DOOR_SCOPE="TIER_"&amp;$F231)+(ACT_DOOR_SCOPE=$B231)))*SIGN(((ACT_SKU_SCOPE="ALL")+(ACT_SKU_SCOPE=$G231)))*(ACT_START&lt;=13)*(ACT_END&gt;=13)*IFERROR(ACT_UPLIFT-1,0)))*(1+SUMPRODUCT(SIGN(((ACT_DOOR_SCOPE="ALL")+(ACT_DOOR_SCOPE="TIER_"&amp;$F231)+(ACT_DOOR_SCOPE=$B231)))*SIGN(((ACT_SKU_SCOPE="ALL")+(ACT_SKU_SCOPE=$G231)))*(13&gt;ACT_END)*(ACT_END&gt;0)*IFERROR(ACT_POSTLIFT,0))),0)))</f>
        <v/>
      </c>
    </row>
    <row r="232">
      <c r="A232" t="inlineStr">
        <is>
          <t>R0228</t>
        </is>
      </c>
      <c r="B232">
        <f>Doors!$A$80</f>
        <v/>
      </c>
      <c r="C232">
        <f>Doors!$C$80</f>
        <v/>
      </c>
      <c r="D232">
        <f>Doors!$B$80</f>
        <v/>
      </c>
      <c r="E232">
        <f>Doors!$E$80</f>
        <v/>
      </c>
      <c r="F232">
        <f>Doors!$F$80</f>
        <v/>
      </c>
      <c r="G232" t="inlineStr">
        <is>
          <t>Raspberry</t>
        </is>
      </c>
      <c r="H232">
        <f>Doors!$I$80</f>
        <v/>
      </c>
      <c r="I232">
        <f>Doors!$J$80</f>
        <v/>
      </c>
      <c r="J232" s="10">
        <f>IF(OR($H232&lt;&gt;"Y",1&lt;$I232),0,IF(SUMPRODUCT(((BULK_ENABLED="Y")*((BULK_TIER="ALL")+(BULK_TIER=$F232))*((BULK_SKU="ALL")+(BULK_SKU=$G232))*(BULK_START&lt;=1)*(BULK_END&gt;=1)))&gt;0,IFERROR(SUMPRODUCT(((BULK_ENABLED="Y")*((BULK_TIER="ALL")+(BULK_TIER=$F232))*((BULK_SKU="ALL")+(BULK_SKU=$G232))*(BULK_START&lt;=1)*(BULK_END&gt;=1))*IFERROR(BULK_VALUE,0))/MAX(1,SUMPRODUCT(((BULK_ENABLED="Y")*((BULK_TIER="ALL")+(BULK_TIER=$F232))*((BULK_SKU="ALL")+(BULK_SKU=$G232))*(BULK_START&lt;=1)*(BULK_END&gt;=1)))),0),ROUND((INDEX(VELOCITY_TABLE,MATCH($F232,TIER_LIST,0),3))*(IF((1-$I232+1)&lt;=0,0,IF((1-$I232+1)=1,RAMP_W1,IF((1-$I232+1)=2,RAMP_W2,IF((1-$I232+1)=3,RAMP_W3,RAMP_W4PLUS)))))*(INDEX(ACTIVE_MULT_TABLE,3,1))*(1+SUMPRODUCT(SIGN(((ACT_DOOR_SCOPE="ALL")+(ACT_DOOR_SCOPE="TIER_"&amp;$F232)+(ACT_DOOR_SCOPE=$B232)))*SIGN(((ACT_SKU_SCOPE="ALL")+(ACT_SKU_SCOPE=$G232)))*(ACT_START&lt;=1)*(ACT_END&gt;=1)*IFERROR(ACT_UPLIFT-1,0)))*(1+SUMPRODUCT(SIGN(((ACT_DOOR_SCOPE="ALL")+(ACT_DOOR_SCOPE="TIER_"&amp;$F232)+(ACT_DOOR_SCOPE=$B232)))*SIGN(((ACT_SKU_SCOPE="ALL")+(ACT_SKU_SCOPE=$G232)))*(1&gt;ACT_END)*(ACT_END&gt;0)*IFERROR(ACT_POSTLIFT,0))),0)))</f>
        <v/>
      </c>
      <c r="K232" s="10">
        <f>IF(OR($H232&lt;&gt;"Y",2&lt;$I232),0,IF(SUMPRODUCT(((BULK_ENABLED="Y")*((BULK_TIER="ALL")+(BULK_TIER=$F232))*((BULK_SKU="ALL")+(BULK_SKU=$G232))*(BULK_START&lt;=2)*(BULK_END&gt;=2)))&gt;0,IFERROR(SUMPRODUCT(((BULK_ENABLED="Y")*((BULK_TIER="ALL")+(BULK_TIER=$F232))*((BULK_SKU="ALL")+(BULK_SKU=$G232))*(BULK_START&lt;=2)*(BULK_END&gt;=2))*IFERROR(BULK_VALUE,0))/MAX(1,SUMPRODUCT(((BULK_ENABLED="Y")*((BULK_TIER="ALL")+(BULK_TIER=$F232))*((BULK_SKU="ALL")+(BULK_SKU=$G232))*(BULK_START&lt;=2)*(BULK_END&gt;=2)))),0),ROUND((INDEX(VELOCITY_TABLE,MATCH($F232,TIER_LIST,0),3))*(IF((2-$I232+1)&lt;=0,0,IF((2-$I232+1)=1,RAMP_W1,IF((2-$I232+1)=2,RAMP_W2,IF((2-$I232+1)=3,RAMP_W3,RAMP_W4PLUS)))))*(INDEX(ACTIVE_MULT_TABLE,3,1))*(1+SUMPRODUCT(SIGN(((ACT_DOOR_SCOPE="ALL")+(ACT_DOOR_SCOPE="TIER_"&amp;$F232)+(ACT_DOOR_SCOPE=$B232)))*SIGN(((ACT_SKU_SCOPE="ALL")+(ACT_SKU_SCOPE=$G232)))*(ACT_START&lt;=2)*(ACT_END&gt;=2)*IFERROR(ACT_UPLIFT-1,0)))*(1+SUMPRODUCT(SIGN(((ACT_DOOR_SCOPE="ALL")+(ACT_DOOR_SCOPE="TIER_"&amp;$F232)+(ACT_DOOR_SCOPE=$B232)))*SIGN(((ACT_SKU_SCOPE="ALL")+(ACT_SKU_SCOPE=$G232)))*(2&gt;ACT_END)*(ACT_END&gt;0)*IFERROR(ACT_POSTLIFT,0))),0)))</f>
        <v/>
      </c>
      <c r="L232" s="10">
        <f>IF(OR($H232&lt;&gt;"Y",3&lt;$I232),0,IF(SUMPRODUCT(((BULK_ENABLED="Y")*((BULK_TIER="ALL")+(BULK_TIER=$F232))*((BULK_SKU="ALL")+(BULK_SKU=$G232))*(BULK_START&lt;=3)*(BULK_END&gt;=3)))&gt;0,IFERROR(SUMPRODUCT(((BULK_ENABLED="Y")*((BULK_TIER="ALL")+(BULK_TIER=$F232))*((BULK_SKU="ALL")+(BULK_SKU=$G232))*(BULK_START&lt;=3)*(BULK_END&gt;=3))*IFERROR(BULK_VALUE,0))/MAX(1,SUMPRODUCT(((BULK_ENABLED="Y")*((BULK_TIER="ALL")+(BULK_TIER=$F232))*((BULK_SKU="ALL")+(BULK_SKU=$G232))*(BULK_START&lt;=3)*(BULK_END&gt;=3)))),0),ROUND((INDEX(VELOCITY_TABLE,MATCH($F232,TIER_LIST,0),3))*(IF((3-$I232+1)&lt;=0,0,IF((3-$I232+1)=1,RAMP_W1,IF((3-$I232+1)=2,RAMP_W2,IF((3-$I232+1)=3,RAMP_W3,RAMP_W4PLUS)))))*(INDEX(ACTIVE_MULT_TABLE,3,1))*(1+SUMPRODUCT(SIGN(((ACT_DOOR_SCOPE="ALL")+(ACT_DOOR_SCOPE="TIER_"&amp;$F232)+(ACT_DOOR_SCOPE=$B232)))*SIGN(((ACT_SKU_SCOPE="ALL")+(ACT_SKU_SCOPE=$G232)))*(ACT_START&lt;=3)*(ACT_END&gt;=3)*IFERROR(ACT_UPLIFT-1,0)))*(1+SUMPRODUCT(SIGN(((ACT_DOOR_SCOPE="ALL")+(ACT_DOOR_SCOPE="TIER_"&amp;$F232)+(ACT_DOOR_SCOPE=$B232)))*SIGN(((ACT_SKU_SCOPE="ALL")+(ACT_SKU_SCOPE=$G232)))*(3&gt;ACT_END)*(ACT_END&gt;0)*IFERROR(ACT_POSTLIFT,0))),0)))</f>
        <v/>
      </c>
      <c r="M232" s="10">
        <f>IF(OR($H232&lt;&gt;"Y",4&lt;$I232),0,IF(SUMPRODUCT(((BULK_ENABLED="Y")*((BULK_TIER="ALL")+(BULK_TIER=$F232))*((BULK_SKU="ALL")+(BULK_SKU=$G232))*(BULK_START&lt;=4)*(BULK_END&gt;=4)))&gt;0,IFERROR(SUMPRODUCT(((BULK_ENABLED="Y")*((BULK_TIER="ALL")+(BULK_TIER=$F232))*((BULK_SKU="ALL")+(BULK_SKU=$G232))*(BULK_START&lt;=4)*(BULK_END&gt;=4))*IFERROR(BULK_VALUE,0))/MAX(1,SUMPRODUCT(((BULK_ENABLED="Y")*((BULK_TIER="ALL")+(BULK_TIER=$F232))*((BULK_SKU="ALL")+(BULK_SKU=$G232))*(BULK_START&lt;=4)*(BULK_END&gt;=4)))),0),ROUND((INDEX(VELOCITY_TABLE,MATCH($F232,TIER_LIST,0),3))*(IF((4-$I232+1)&lt;=0,0,IF((4-$I232+1)=1,RAMP_W1,IF((4-$I232+1)=2,RAMP_W2,IF((4-$I232+1)=3,RAMP_W3,RAMP_W4PLUS)))))*(INDEX(ACTIVE_MULT_TABLE,3,1))*(1+SUMPRODUCT(SIGN(((ACT_DOOR_SCOPE="ALL")+(ACT_DOOR_SCOPE="TIER_"&amp;$F232)+(ACT_DOOR_SCOPE=$B232)))*SIGN(((ACT_SKU_SCOPE="ALL")+(ACT_SKU_SCOPE=$G232)))*(ACT_START&lt;=4)*(ACT_END&gt;=4)*IFERROR(ACT_UPLIFT-1,0)))*(1+SUMPRODUCT(SIGN(((ACT_DOOR_SCOPE="ALL")+(ACT_DOOR_SCOPE="TIER_"&amp;$F232)+(ACT_DOOR_SCOPE=$B232)))*SIGN(((ACT_SKU_SCOPE="ALL")+(ACT_SKU_SCOPE=$G232)))*(4&gt;ACT_END)*(ACT_END&gt;0)*IFERROR(ACT_POSTLIFT,0))),0)))</f>
        <v/>
      </c>
      <c r="N232" s="10">
        <f>IF(OR($H232&lt;&gt;"Y",5&lt;$I232),0,IF(SUMPRODUCT(((BULK_ENABLED="Y")*((BULK_TIER="ALL")+(BULK_TIER=$F232))*((BULK_SKU="ALL")+(BULK_SKU=$G232))*(BULK_START&lt;=5)*(BULK_END&gt;=5)))&gt;0,IFERROR(SUMPRODUCT(((BULK_ENABLED="Y")*((BULK_TIER="ALL")+(BULK_TIER=$F232))*((BULK_SKU="ALL")+(BULK_SKU=$G232))*(BULK_START&lt;=5)*(BULK_END&gt;=5))*IFERROR(BULK_VALUE,0))/MAX(1,SUMPRODUCT(((BULK_ENABLED="Y")*((BULK_TIER="ALL")+(BULK_TIER=$F232))*((BULK_SKU="ALL")+(BULK_SKU=$G232))*(BULK_START&lt;=5)*(BULK_END&gt;=5)))),0),ROUND((INDEX(VELOCITY_TABLE,MATCH($F232,TIER_LIST,0),3))*(IF((5-$I232+1)&lt;=0,0,IF((5-$I232+1)=1,RAMP_W1,IF((5-$I232+1)=2,RAMP_W2,IF((5-$I232+1)=3,RAMP_W3,RAMP_W4PLUS)))))*(INDEX(ACTIVE_MULT_TABLE,3,1))*(1+SUMPRODUCT(SIGN(((ACT_DOOR_SCOPE="ALL")+(ACT_DOOR_SCOPE="TIER_"&amp;$F232)+(ACT_DOOR_SCOPE=$B232)))*SIGN(((ACT_SKU_SCOPE="ALL")+(ACT_SKU_SCOPE=$G232)))*(ACT_START&lt;=5)*(ACT_END&gt;=5)*IFERROR(ACT_UPLIFT-1,0)))*(1+SUMPRODUCT(SIGN(((ACT_DOOR_SCOPE="ALL")+(ACT_DOOR_SCOPE="TIER_"&amp;$F232)+(ACT_DOOR_SCOPE=$B232)))*SIGN(((ACT_SKU_SCOPE="ALL")+(ACT_SKU_SCOPE=$G232)))*(5&gt;ACT_END)*(ACT_END&gt;0)*IFERROR(ACT_POSTLIFT,0))),0)))</f>
        <v/>
      </c>
      <c r="O232" s="10">
        <f>IF(OR($H232&lt;&gt;"Y",6&lt;$I232),0,IF(SUMPRODUCT(((BULK_ENABLED="Y")*((BULK_TIER="ALL")+(BULK_TIER=$F232))*((BULK_SKU="ALL")+(BULK_SKU=$G232))*(BULK_START&lt;=6)*(BULK_END&gt;=6)))&gt;0,IFERROR(SUMPRODUCT(((BULK_ENABLED="Y")*((BULK_TIER="ALL")+(BULK_TIER=$F232))*((BULK_SKU="ALL")+(BULK_SKU=$G232))*(BULK_START&lt;=6)*(BULK_END&gt;=6))*IFERROR(BULK_VALUE,0))/MAX(1,SUMPRODUCT(((BULK_ENABLED="Y")*((BULK_TIER="ALL")+(BULK_TIER=$F232))*((BULK_SKU="ALL")+(BULK_SKU=$G232))*(BULK_START&lt;=6)*(BULK_END&gt;=6)))),0),ROUND((INDEX(VELOCITY_TABLE,MATCH($F232,TIER_LIST,0),3))*(IF((6-$I232+1)&lt;=0,0,IF((6-$I232+1)=1,RAMP_W1,IF((6-$I232+1)=2,RAMP_W2,IF((6-$I232+1)=3,RAMP_W3,RAMP_W4PLUS)))))*(INDEX(ACTIVE_MULT_TABLE,3,1))*(1+SUMPRODUCT(SIGN(((ACT_DOOR_SCOPE="ALL")+(ACT_DOOR_SCOPE="TIER_"&amp;$F232)+(ACT_DOOR_SCOPE=$B232)))*SIGN(((ACT_SKU_SCOPE="ALL")+(ACT_SKU_SCOPE=$G232)))*(ACT_START&lt;=6)*(ACT_END&gt;=6)*IFERROR(ACT_UPLIFT-1,0)))*(1+SUMPRODUCT(SIGN(((ACT_DOOR_SCOPE="ALL")+(ACT_DOOR_SCOPE="TIER_"&amp;$F232)+(ACT_DOOR_SCOPE=$B232)))*SIGN(((ACT_SKU_SCOPE="ALL")+(ACT_SKU_SCOPE=$G232)))*(6&gt;ACT_END)*(ACT_END&gt;0)*IFERROR(ACT_POSTLIFT,0))),0)))</f>
        <v/>
      </c>
      <c r="P232" s="10">
        <f>IF(OR($H232&lt;&gt;"Y",7&lt;$I232),0,IF(SUMPRODUCT(((BULK_ENABLED="Y")*((BULK_TIER="ALL")+(BULK_TIER=$F232))*((BULK_SKU="ALL")+(BULK_SKU=$G232))*(BULK_START&lt;=7)*(BULK_END&gt;=7)))&gt;0,IFERROR(SUMPRODUCT(((BULK_ENABLED="Y")*((BULK_TIER="ALL")+(BULK_TIER=$F232))*((BULK_SKU="ALL")+(BULK_SKU=$G232))*(BULK_START&lt;=7)*(BULK_END&gt;=7))*IFERROR(BULK_VALUE,0))/MAX(1,SUMPRODUCT(((BULK_ENABLED="Y")*((BULK_TIER="ALL")+(BULK_TIER=$F232))*((BULK_SKU="ALL")+(BULK_SKU=$G232))*(BULK_START&lt;=7)*(BULK_END&gt;=7)))),0),ROUND((INDEX(VELOCITY_TABLE,MATCH($F232,TIER_LIST,0),3))*(IF((7-$I232+1)&lt;=0,0,IF((7-$I232+1)=1,RAMP_W1,IF((7-$I232+1)=2,RAMP_W2,IF((7-$I232+1)=3,RAMP_W3,RAMP_W4PLUS)))))*(INDEX(ACTIVE_MULT_TABLE,3,1))*(1+SUMPRODUCT(SIGN(((ACT_DOOR_SCOPE="ALL")+(ACT_DOOR_SCOPE="TIER_"&amp;$F232)+(ACT_DOOR_SCOPE=$B232)))*SIGN(((ACT_SKU_SCOPE="ALL")+(ACT_SKU_SCOPE=$G232)))*(ACT_START&lt;=7)*(ACT_END&gt;=7)*IFERROR(ACT_UPLIFT-1,0)))*(1+SUMPRODUCT(SIGN(((ACT_DOOR_SCOPE="ALL")+(ACT_DOOR_SCOPE="TIER_"&amp;$F232)+(ACT_DOOR_SCOPE=$B232)))*SIGN(((ACT_SKU_SCOPE="ALL")+(ACT_SKU_SCOPE=$G232)))*(7&gt;ACT_END)*(ACT_END&gt;0)*IFERROR(ACT_POSTLIFT,0))),0)))</f>
        <v/>
      </c>
      <c r="Q232" s="10">
        <f>IF(OR($H232&lt;&gt;"Y",8&lt;$I232),0,IF(SUMPRODUCT(((BULK_ENABLED="Y")*((BULK_TIER="ALL")+(BULK_TIER=$F232))*((BULK_SKU="ALL")+(BULK_SKU=$G232))*(BULK_START&lt;=8)*(BULK_END&gt;=8)))&gt;0,IFERROR(SUMPRODUCT(((BULK_ENABLED="Y")*((BULK_TIER="ALL")+(BULK_TIER=$F232))*((BULK_SKU="ALL")+(BULK_SKU=$G232))*(BULK_START&lt;=8)*(BULK_END&gt;=8))*IFERROR(BULK_VALUE,0))/MAX(1,SUMPRODUCT(((BULK_ENABLED="Y")*((BULK_TIER="ALL")+(BULK_TIER=$F232))*((BULK_SKU="ALL")+(BULK_SKU=$G232))*(BULK_START&lt;=8)*(BULK_END&gt;=8)))),0),ROUND((INDEX(VELOCITY_TABLE,MATCH($F232,TIER_LIST,0),3))*(IF((8-$I232+1)&lt;=0,0,IF((8-$I232+1)=1,RAMP_W1,IF((8-$I232+1)=2,RAMP_W2,IF((8-$I232+1)=3,RAMP_W3,RAMP_W4PLUS)))))*(INDEX(ACTIVE_MULT_TABLE,3,1))*(1+SUMPRODUCT(SIGN(((ACT_DOOR_SCOPE="ALL")+(ACT_DOOR_SCOPE="TIER_"&amp;$F232)+(ACT_DOOR_SCOPE=$B232)))*SIGN(((ACT_SKU_SCOPE="ALL")+(ACT_SKU_SCOPE=$G232)))*(ACT_START&lt;=8)*(ACT_END&gt;=8)*IFERROR(ACT_UPLIFT-1,0)))*(1+SUMPRODUCT(SIGN(((ACT_DOOR_SCOPE="ALL")+(ACT_DOOR_SCOPE="TIER_"&amp;$F232)+(ACT_DOOR_SCOPE=$B232)))*SIGN(((ACT_SKU_SCOPE="ALL")+(ACT_SKU_SCOPE=$G232)))*(8&gt;ACT_END)*(ACT_END&gt;0)*IFERROR(ACT_POSTLIFT,0))),0)))</f>
        <v/>
      </c>
      <c r="R232" s="10">
        <f>IF(OR($H232&lt;&gt;"Y",9&lt;$I232),0,IF(SUMPRODUCT(((BULK_ENABLED="Y")*((BULK_TIER="ALL")+(BULK_TIER=$F232))*((BULK_SKU="ALL")+(BULK_SKU=$G232))*(BULK_START&lt;=9)*(BULK_END&gt;=9)))&gt;0,IFERROR(SUMPRODUCT(((BULK_ENABLED="Y")*((BULK_TIER="ALL")+(BULK_TIER=$F232))*((BULK_SKU="ALL")+(BULK_SKU=$G232))*(BULK_START&lt;=9)*(BULK_END&gt;=9))*IFERROR(BULK_VALUE,0))/MAX(1,SUMPRODUCT(((BULK_ENABLED="Y")*((BULK_TIER="ALL")+(BULK_TIER=$F232))*((BULK_SKU="ALL")+(BULK_SKU=$G232))*(BULK_START&lt;=9)*(BULK_END&gt;=9)))),0),ROUND((INDEX(VELOCITY_TABLE,MATCH($F232,TIER_LIST,0),3))*(IF((9-$I232+1)&lt;=0,0,IF((9-$I232+1)=1,RAMP_W1,IF((9-$I232+1)=2,RAMP_W2,IF((9-$I232+1)=3,RAMP_W3,RAMP_W4PLUS)))))*(INDEX(ACTIVE_MULT_TABLE,3,1))*(1+SUMPRODUCT(SIGN(((ACT_DOOR_SCOPE="ALL")+(ACT_DOOR_SCOPE="TIER_"&amp;$F232)+(ACT_DOOR_SCOPE=$B232)))*SIGN(((ACT_SKU_SCOPE="ALL")+(ACT_SKU_SCOPE=$G232)))*(ACT_START&lt;=9)*(ACT_END&gt;=9)*IFERROR(ACT_UPLIFT-1,0)))*(1+SUMPRODUCT(SIGN(((ACT_DOOR_SCOPE="ALL")+(ACT_DOOR_SCOPE="TIER_"&amp;$F232)+(ACT_DOOR_SCOPE=$B232)))*SIGN(((ACT_SKU_SCOPE="ALL")+(ACT_SKU_SCOPE=$G232)))*(9&gt;ACT_END)*(ACT_END&gt;0)*IFERROR(ACT_POSTLIFT,0))),0)))</f>
        <v/>
      </c>
      <c r="S232" s="10">
        <f>IF(OR($H232&lt;&gt;"Y",10&lt;$I232),0,IF(SUMPRODUCT(((BULK_ENABLED="Y")*((BULK_TIER="ALL")+(BULK_TIER=$F232))*((BULK_SKU="ALL")+(BULK_SKU=$G232))*(BULK_START&lt;=10)*(BULK_END&gt;=10)))&gt;0,IFERROR(SUMPRODUCT(((BULK_ENABLED="Y")*((BULK_TIER="ALL")+(BULK_TIER=$F232))*((BULK_SKU="ALL")+(BULK_SKU=$G232))*(BULK_START&lt;=10)*(BULK_END&gt;=10))*IFERROR(BULK_VALUE,0))/MAX(1,SUMPRODUCT(((BULK_ENABLED="Y")*((BULK_TIER="ALL")+(BULK_TIER=$F232))*((BULK_SKU="ALL")+(BULK_SKU=$G232))*(BULK_START&lt;=10)*(BULK_END&gt;=10)))),0),ROUND((INDEX(VELOCITY_TABLE,MATCH($F232,TIER_LIST,0),3))*(IF((10-$I232+1)&lt;=0,0,IF((10-$I232+1)=1,RAMP_W1,IF((10-$I232+1)=2,RAMP_W2,IF((10-$I232+1)=3,RAMP_W3,RAMP_W4PLUS)))))*(INDEX(ACTIVE_MULT_TABLE,3,1))*(1+SUMPRODUCT(SIGN(((ACT_DOOR_SCOPE="ALL")+(ACT_DOOR_SCOPE="TIER_"&amp;$F232)+(ACT_DOOR_SCOPE=$B232)))*SIGN(((ACT_SKU_SCOPE="ALL")+(ACT_SKU_SCOPE=$G232)))*(ACT_START&lt;=10)*(ACT_END&gt;=10)*IFERROR(ACT_UPLIFT-1,0)))*(1+SUMPRODUCT(SIGN(((ACT_DOOR_SCOPE="ALL")+(ACT_DOOR_SCOPE="TIER_"&amp;$F232)+(ACT_DOOR_SCOPE=$B232)))*SIGN(((ACT_SKU_SCOPE="ALL")+(ACT_SKU_SCOPE=$G232)))*(10&gt;ACT_END)*(ACT_END&gt;0)*IFERROR(ACT_POSTLIFT,0))),0)))</f>
        <v/>
      </c>
      <c r="T232" s="10">
        <f>IF(OR($H232&lt;&gt;"Y",11&lt;$I232),0,IF(SUMPRODUCT(((BULK_ENABLED="Y")*((BULK_TIER="ALL")+(BULK_TIER=$F232))*((BULK_SKU="ALL")+(BULK_SKU=$G232))*(BULK_START&lt;=11)*(BULK_END&gt;=11)))&gt;0,IFERROR(SUMPRODUCT(((BULK_ENABLED="Y")*((BULK_TIER="ALL")+(BULK_TIER=$F232))*((BULK_SKU="ALL")+(BULK_SKU=$G232))*(BULK_START&lt;=11)*(BULK_END&gt;=11))*IFERROR(BULK_VALUE,0))/MAX(1,SUMPRODUCT(((BULK_ENABLED="Y")*((BULK_TIER="ALL")+(BULK_TIER=$F232))*((BULK_SKU="ALL")+(BULK_SKU=$G232))*(BULK_START&lt;=11)*(BULK_END&gt;=11)))),0),ROUND((INDEX(VELOCITY_TABLE,MATCH($F232,TIER_LIST,0),3))*(IF((11-$I232+1)&lt;=0,0,IF((11-$I232+1)=1,RAMP_W1,IF((11-$I232+1)=2,RAMP_W2,IF((11-$I232+1)=3,RAMP_W3,RAMP_W4PLUS)))))*(INDEX(ACTIVE_MULT_TABLE,3,1))*(1+SUMPRODUCT(SIGN(((ACT_DOOR_SCOPE="ALL")+(ACT_DOOR_SCOPE="TIER_"&amp;$F232)+(ACT_DOOR_SCOPE=$B232)))*SIGN(((ACT_SKU_SCOPE="ALL")+(ACT_SKU_SCOPE=$G232)))*(ACT_START&lt;=11)*(ACT_END&gt;=11)*IFERROR(ACT_UPLIFT-1,0)))*(1+SUMPRODUCT(SIGN(((ACT_DOOR_SCOPE="ALL")+(ACT_DOOR_SCOPE="TIER_"&amp;$F232)+(ACT_DOOR_SCOPE=$B232)))*SIGN(((ACT_SKU_SCOPE="ALL")+(ACT_SKU_SCOPE=$G232)))*(11&gt;ACT_END)*(ACT_END&gt;0)*IFERROR(ACT_POSTLIFT,0))),0)))</f>
        <v/>
      </c>
      <c r="U232" s="10">
        <f>IF(OR($H232&lt;&gt;"Y",12&lt;$I232),0,IF(SUMPRODUCT(((BULK_ENABLED="Y")*((BULK_TIER="ALL")+(BULK_TIER=$F232))*((BULK_SKU="ALL")+(BULK_SKU=$G232))*(BULK_START&lt;=12)*(BULK_END&gt;=12)))&gt;0,IFERROR(SUMPRODUCT(((BULK_ENABLED="Y")*((BULK_TIER="ALL")+(BULK_TIER=$F232))*((BULK_SKU="ALL")+(BULK_SKU=$G232))*(BULK_START&lt;=12)*(BULK_END&gt;=12))*IFERROR(BULK_VALUE,0))/MAX(1,SUMPRODUCT(((BULK_ENABLED="Y")*((BULK_TIER="ALL")+(BULK_TIER=$F232))*((BULK_SKU="ALL")+(BULK_SKU=$G232))*(BULK_START&lt;=12)*(BULK_END&gt;=12)))),0),ROUND((INDEX(VELOCITY_TABLE,MATCH($F232,TIER_LIST,0),3))*(IF((12-$I232+1)&lt;=0,0,IF((12-$I232+1)=1,RAMP_W1,IF((12-$I232+1)=2,RAMP_W2,IF((12-$I232+1)=3,RAMP_W3,RAMP_W4PLUS)))))*(INDEX(ACTIVE_MULT_TABLE,3,1))*(1+SUMPRODUCT(SIGN(((ACT_DOOR_SCOPE="ALL")+(ACT_DOOR_SCOPE="TIER_"&amp;$F232)+(ACT_DOOR_SCOPE=$B232)))*SIGN(((ACT_SKU_SCOPE="ALL")+(ACT_SKU_SCOPE=$G232)))*(ACT_START&lt;=12)*(ACT_END&gt;=12)*IFERROR(ACT_UPLIFT-1,0)))*(1+SUMPRODUCT(SIGN(((ACT_DOOR_SCOPE="ALL")+(ACT_DOOR_SCOPE="TIER_"&amp;$F232)+(ACT_DOOR_SCOPE=$B232)))*SIGN(((ACT_SKU_SCOPE="ALL")+(ACT_SKU_SCOPE=$G232)))*(12&gt;ACT_END)*(ACT_END&gt;0)*IFERROR(ACT_POSTLIFT,0))),0)))</f>
        <v/>
      </c>
      <c r="V232" s="10">
        <f>IF(OR($H232&lt;&gt;"Y",13&lt;$I232),0,IF(SUMPRODUCT(((BULK_ENABLED="Y")*((BULK_TIER="ALL")+(BULK_TIER=$F232))*((BULK_SKU="ALL")+(BULK_SKU=$G232))*(BULK_START&lt;=13)*(BULK_END&gt;=13)))&gt;0,IFERROR(SUMPRODUCT(((BULK_ENABLED="Y")*((BULK_TIER="ALL")+(BULK_TIER=$F232))*((BULK_SKU="ALL")+(BULK_SKU=$G232))*(BULK_START&lt;=13)*(BULK_END&gt;=13))*IFERROR(BULK_VALUE,0))/MAX(1,SUMPRODUCT(((BULK_ENABLED="Y")*((BULK_TIER="ALL")+(BULK_TIER=$F232))*((BULK_SKU="ALL")+(BULK_SKU=$G232))*(BULK_START&lt;=13)*(BULK_END&gt;=13)))),0),ROUND((INDEX(VELOCITY_TABLE,MATCH($F232,TIER_LIST,0),3))*(IF((13-$I232+1)&lt;=0,0,IF((13-$I232+1)=1,RAMP_W1,IF((13-$I232+1)=2,RAMP_W2,IF((13-$I232+1)=3,RAMP_W3,RAMP_W4PLUS)))))*(INDEX(ACTIVE_MULT_TABLE,3,1))*(1+SUMPRODUCT(SIGN(((ACT_DOOR_SCOPE="ALL")+(ACT_DOOR_SCOPE="TIER_"&amp;$F232)+(ACT_DOOR_SCOPE=$B232)))*SIGN(((ACT_SKU_SCOPE="ALL")+(ACT_SKU_SCOPE=$G232)))*(ACT_START&lt;=13)*(ACT_END&gt;=13)*IFERROR(ACT_UPLIFT-1,0)))*(1+SUMPRODUCT(SIGN(((ACT_DOOR_SCOPE="ALL")+(ACT_DOOR_SCOPE="TIER_"&amp;$F232)+(ACT_DOOR_SCOPE=$B232)))*SIGN(((ACT_SKU_SCOPE="ALL")+(ACT_SKU_SCOPE=$G232)))*(13&gt;ACT_END)*(ACT_END&gt;0)*IFERROR(ACT_POSTLIFT,0))),0)))</f>
        <v/>
      </c>
    </row>
    <row r="233">
      <c r="A233" t="inlineStr">
        <is>
          <t>R0229</t>
        </is>
      </c>
      <c r="B233">
        <f>Doors!$A$81</f>
        <v/>
      </c>
      <c r="C233">
        <f>Doors!$C$81</f>
        <v/>
      </c>
      <c r="D233">
        <f>Doors!$B$81</f>
        <v/>
      </c>
      <c r="E233">
        <f>Doors!$E$81</f>
        <v/>
      </c>
      <c r="F233">
        <f>Doors!$F$81</f>
        <v/>
      </c>
      <c r="G233" t="inlineStr">
        <is>
          <t>Lime Lemon</t>
        </is>
      </c>
      <c r="H233">
        <f>Doors!$G$81</f>
        <v/>
      </c>
      <c r="I233">
        <f>Doors!$J$81</f>
        <v/>
      </c>
      <c r="J233" s="10">
        <f>IF(OR($H233&lt;&gt;"Y",1&lt;$I233),0,IF(SUMPRODUCT(((BULK_ENABLED="Y")*((BULK_TIER="ALL")+(BULK_TIER=$F233))*((BULK_SKU="ALL")+(BULK_SKU=$G233))*(BULK_START&lt;=1)*(BULK_END&gt;=1)))&gt;0,IFERROR(SUMPRODUCT(((BULK_ENABLED="Y")*((BULK_TIER="ALL")+(BULK_TIER=$F233))*((BULK_SKU="ALL")+(BULK_SKU=$G233))*(BULK_START&lt;=1)*(BULK_END&gt;=1))*IFERROR(BULK_VALUE,0))/MAX(1,SUMPRODUCT(((BULK_ENABLED="Y")*((BULK_TIER="ALL")+(BULK_TIER=$F233))*((BULK_SKU="ALL")+(BULK_SKU=$G233))*(BULK_START&lt;=1)*(BULK_END&gt;=1)))),0),ROUND((INDEX(VELOCITY_TABLE,MATCH($F233,TIER_LIST,0),1))*(IF((1-$I233+1)&lt;=0,0,IF((1-$I233+1)=1,RAMP_W1,IF((1-$I233+1)=2,RAMP_W2,IF((1-$I233+1)=3,RAMP_W3,RAMP_W4PLUS)))))*(INDEX(ACTIVE_MULT_TABLE,1,1))*(1+SUMPRODUCT(SIGN(((ACT_DOOR_SCOPE="ALL")+(ACT_DOOR_SCOPE="TIER_"&amp;$F233)+(ACT_DOOR_SCOPE=$B233)))*SIGN(((ACT_SKU_SCOPE="ALL")+(ACT_SKU_SCOPE=$G233)))*(ACT_START&lt;=1)*(ACT_END&gt;=1)*IFERROR(ACT_UPLIFT-1,0)))*(1+SUMPRODUCT(SIGN(((ACT_DOOR_SCOPE="ALL")+(ACT_DOOR_SCOPE="TIER_"&amp;$F233)+(ACT_DOOR_SCOPE=$B233)))*SIGN(((ACT_SKU_SCOPE="ALL")+(ACT_SKU_SCOPE=$G233)))*(1&gt;ACT_END)*(ACT_END&gt;0)*IFERROR(ACT_POSTLIFT,0))),0)))</f>
        <v/>
      </c>
      <c r="K233" s="10">
        <f>IF(OR($H233&lt;&gt;"Y",2&lt;$I233),0,IF(SUMPRODUCT(((BULK_ENABLED="Y")*((BULK_TIER="ALL")+(BULK_TIER=$F233))*((BULK_SKU="ALL")+(BULK_SKU=$G233))*(BULK_START&lt;=2)*(BULK_END&gt;=2)))&gt;0,IFERROR(SUMPRODUCT(((BULK_ENABLED="Y")*((BULK_TIER="ALL")+(BULK_TIER=$F233))*((BULK_SKU="ALL")+(BULK_SKU=$G233))*(BULK_START&lt;=2)*(BULK_END&gt;=2))*IFERROR(BULK_VALUE,0))/MAX(1,SUMPRODUCT(((BULK_ENABLED="Y")*((BULK_TIER="ALL")+(BULK_TIER=$F233))*((BULK_SKU="ALL")+(BULK_SKU=$G233))*(BULK_START&lt;=2)*(BULK_END&gt;=2)))),0),ROUND((INDEX(VELOCITY_TABLE,MATCH($F233,TIER_LIST,0),1))*(IF((2-$I233+1)&lt;=0,0,IF((2-$I233+1)=1,RAMP_W1,IF((2-$I233+1)=2,RAMP_W2,IF((2-$I233+1)=3,RAMP_W3,RAMP_W4PLUS)))))*(INDEX(ACTIVE_MULT_TABLE,1,1))*(1+SUMPRODUCT(SIGN(((ACT_DOOR_SCOPE="ALL")+(ACT_DOOR_SCOPE="TIER_"&amp;$F233)+(ACT_DOOR_SCOPE=$B233)))*SIGN(((ACT_SKU_SCOPE="ALL")+(ACT_SKU_SCOPE=$G233)))*(ACT_START&lt;=2)*(ACT_END&gt;=2)*IFERROR(ACT_UPLIFT-1,0)))*(1+SUMPRODUCT(SIGN(((ACT_DOOR_SCOPE="ALL")+(ACT_DOOR_SCOPE="TIER_"&amp;$F233)+(ACT_DOOR_SCOPE=$B233)))*SIGN(((ACT_SKU_SCOPE="ALL")+(ACT_SKU_SCOPE=$G233)))*(2&gt;ACT_END)*(ACT_END&gt;0)*IFERROR(ACT_POSTLIFT,0))),0)))</f>
        <v/>
      </c>
      <c r="L233" s="10">
        <f>IF(OR($H233&lt;&gt;"Y",3&lt;$I233),0,IF(SUMPRODUCT(((BULK_ENABLED="Y")*((BULK_TIER="ALL")+(BULK_TIER=$F233))*((BULK_SKU="ALL")+(BULK_SKU=$G233))*(BULK_START&lt;=3)*(BULK_END&gt;=3)))&gt;0,IFERROR(SUMPRODUCT(((BULK_ENABLED="Y")*((BULK_TIER="ALL")+(BULK_TIER=$F233))*((BULK_SKU="ALL")+(BULK_SKU=$G233))*(BULK_START&lt;=3)*(BULK_END&gt;=3))*IFERROR(BULK_VALUE,0))/MAX(1,SUMPRODUCT(((BULK_ENABLED="Y")*((BULK_TIER="ALL")+(BULK_TIER=$F233))*((BULK_SKU="ALL")+(BULK_SKU=$G233))*(BULK_START&lt;=3)*(BULK_END&gt;=3)))),0),ROUND((INDEX(VELOCITY_TABLE,MATCH($F233,TIER_LIST,0),1))*(IF((3-$I233+1)&lt;=0,0,IF((3-$I233+1)=1,RAMP_W1,IF((3-$I233+1)=2,RAMP_W2,IF((3-$I233+1)=3,RAMP_W3,RAMP_W4PLUS)))))*(INDEX(ACTIVE_MULT_TABLE,1,1))*(1+SUMPRODUCT(SIGN(((ACT_DOOR_SCOPE="ALL")+(ACT_DOOR_SCOPE="TIER_"&amp;$F233)+(ACT_DOOR_SCOPE=$B233)))*SIGN(((ACT_SKU_SCOPE="ALL")+(ACT_SKU_SCOPE=$G233)))*(ACT_START&lt;=3)*(ACT_END&gt;=3)*IFERROR(ACT_UPLIFT-1,0)))*(1+SUMPRODUCT(SIGN(((ACT_DOOR_SCOPE="ALL")+(ACT_DOOR_SCOPE="TIER_"&amp;$F233)+(ACT_DOOR_SCOPE=$B233)))*SIGN(((ACT_SKU_SCOPE="ALL")+(ACT_SKU_SCOPE=$G233)))*(3&gt;ACT_END)*(ACT_END&gt;0)*IFERROR(ACT_POSTLIFT,0))),0)))</f>
        <v/>
      </c>
      <c r="M233" s="10">
        <f>IF(OR($H233&lt;&gt;"Y",4&lt;$I233),0,IF(SUMPRODUCT(((BULK_ENABLED="Y")*((BULK_TIER="ALL")+(BULK_TIER=$F233))*((BULK_SKU="ALL")+(BULK_SKU=$G233))*(BULK_START&lt;=4)*(BULK_END&gt;=4)))&gt;0,IFERROR(SUMPRODUCT(((BULK_ENABLED="Y")*((BULK_TIER="ALL")+(BULK_TIER=$F233))*((BULK_SKU="ALL")+(BULK_SKU=$G233))*(BULK_START&lt;=4)*(BULK_END&gt;=4))*IFERROR(BULK_VALUE,0))/MAX(1,SUMPRODUCT(((BULK_ENABLED="Y")*((BULK_TIER="ALL")+(BULK_TIER=$F233))*((BULK_SKU="ALL")+(BULK_SKU=$G233))*(BULK_START&lt;=4)*(BULK_END&gt;=4)))),0),ROUND((INDEX(VELOCITY_TABLE,MATCH($F233,TIER_LIST,0),1))*(IF((4-$I233+1)&lt;=0,0,IF((4-$I233+1)=1,RAMP_W1,IF((4-$I233+1)=2,RAMP_W2,IF((4-$I233+1)=3,RAMP_W3,RAMP_W4PLUS)))))*(INDEX(ACTIVE_MULT_TABLE,1,1))*(1+SUMPRODUCT(SIGN(((ACT_DOOR_SCOPE="ALL")+(ACT_DOOR_SCOPE="TIER_"&amp;$F233)+(ACT_DOOR_SCOPE=$B233)))*SIGN(((ACT_SKU_SCOPE="ALL")+(ACT_SKU_SCOPE=$G233)))*(ACT_START&lt;=4)*(ACT_END&gt;=4)*IFERROR(ACT_UPLIFT-1,0)))*(1+SUMPRODUCT(SIGN(((ACT_DOOR_SCOPE="ALL")+(ACT_DOOR_SCOPE="TIER_"&amp;$F233)+(ACT_DOOR_SCOPE=$B233)))*SIGN(((ACT_SKU_SCOPE="ALL")+(ACT_SKU_SCOPE=$G233)))*(4&gt;ACT_END)*(ACT_END&gt;0)*IFERROR(ACT_POSTLIFT,0))),0)))</f>
        <v/>
      </c>
      <c r="N233" s="10">
        <f>IF(OR($H233&lt;&gt;"Y",5&lt;$I233),0,IF(SUMPRODUCT(((BULK_ENABLED="Y")*((BULK_TIER="ALL")+(BULK_TIER=$F233))*((BULK_SKU="ALL")+(BULK_SKU=$G233))*(BULK_START&lt;=5)*(BULK_END&gt;=5)))&gt;0,IFERROR(SUMPRODUCT(((BULK_ENABLED="Y")*((BULK_TIER="ALL")+(BULK_TIER=$F233))*((BULK_SKU="ALL")+(BULK_SKU=$G233))*(BULK_START&lt;=5)*(BULK_END&gt;=5))*IFERROR(BULK_VALUE,0))/MAX(1,SUMPRODUCT(((BULK_ENABLED="Y")*((BULK_TIER="ALL")+(BULK_TIER=$F233))*((BULK_SKU="ALL")+(BULK_SKU=$G233))*(BULK_START&lt;=5)*(BULK_END&gt;=5)))),0),ROUND((INDEX(VELOCITY_TABLE,MATCH($F233,TIER_LIST,0),1))*(IF((5-$I233+1)&lt;=0,0,IF((5-$I233+1)=1,RAMP_W1,IF((5-$I233+1)=2,RAMP_W2,IF((5-$I233+1)=3,RAMP_W3,RAMP_W4PLUS)))))*(INDEX(ACTIVE_MULT_TABLE,1,1))*(1+SUMPRODUCT(SIGN(((ACT_DOOR_SCOPE="ALL")+(ACT_DOOR_SCOPE="TIER_"&amp;$F233)+(ACT_DOOR_SCOPE=$B233)))*SIGN(((ACT_SKU_SCOPE="ALL")+(ACT_SKU_SCOPE=$G233)))*(ACT_START&lt;=5)*(ACT_END&gt;=5)*IFERROR(ACT_UPLIFT-1,0)))*(1+SUMPRODUCT(SIGN(((ACT_DOOR_SCOPE="ALL")+(ACT_DOOR_SCOPE="TIER_"&amp;$F233)+(ACT_DOOR_SCOPE=$B233)))*SIGN(((ACT_SKU_SCOPE="ALL")+(ACT_SKU_SCOPE=$G233)))*(5&gt;ACT_END)*(ACT_END&gt;0)*IFERROR(ACT_POSTLIFT,0))),0)))</f>
        <v/>
      </c>
      <c r="O233" s="10">
        <f>IF(OR($H233&lt;&gt;"Y",6&lt;$I233),0,IF(SUMPRODUCT(((BULK_ENABLED="Y")*((BULK_TIER="ALL")+(BULK_TIER=$F233))*((BULK_SKU="ALL")+(BULK_SKU=$G233))*(BULK_START&lt;=6)*(BULK_END&gt;=6)))&gt;0,IFERROR(SUMPRODUCT(((BULK_ENABLED="Y")*((BULK_TIER="ALL")+(BULK_TIER=$F233))*((BULK_SKU="ALL")+(BULK_SKU=$G233))*(BULK_START&lt;=6)*(BULK_END&gt;=6))*IFERROR(BULK_VALUE,0))/MAX(1,SUMPRODUCT(((BULK_ENABLED="Y")*((BULK_TIER="ALL")+(BULK_TIER=$F233))*((BULK_SKU="ALL")+(BULK_SKU=$G233))*(BULK_START&lt;=6)*(BULK_END&gt;=6)))),0),ROUND((INDEX(VELOCITY_TABLE,MATCH($F233,TIER_LIST,0),1))*(IF((6-$I233+1)&lt;=0,0,IF((6-$I233+1)=1,RAMP_W1,IF((6-$I233+1)=2,RAMP_W2,IF((6-$I233+1)=3,RAMP_W3,RAMP_W4PLUS)))))*(INDEX(ACTIVE_MULT_TABLE,1,1))*(1+SUMPRODUCT(SIGN(((ACT_DOOR_SCOPE="ALL")+(ACT_DOOR_SCOPE="TIER_"&amp;$F233)+(ACT_DOOR_SCOPE=$B233)))*SIGN(((ACT_SKU_SCOPE="ALL")+(ACT_SKU_SCOPE=$G233)))*(ACT_START&lt;=6)*(ACT_END&gt;=6)*IFERROR(ACT_UPLIFT-1,0)))*(1+SUMPRODUCT(SIGN(((ACT_DOOR_SCOPE="ALL")+(ACT_DOOR_SCOPE="TIER_"&amp;$F233)+(ACT_DOOR_SCOPE=$B233)))*SIGN(((ACT_SKU_SCOPE="ALL")+(ACT_SKU_SCOPE=$G233)))*(6&gt;ACT_END)*(ACT_END&gt;0)*IFERROR(ACT_POSTLIFT,0))),0)))</f>
        <v/>
      </c>
      <c r="P233" s="10">
        <f>IF(OR($H233&lt;&gt;"Y",7&lt;$I233),0,IF(SUMPRODUCT(((BULK_ENABLED="Y")*((BULK_TIER="ALL")+(BULK_TIER=$F233))*((BULK_SKU="ALL")+(BULK_SKU=$G233))*(BULK_START&lt;=7)*(BULK_END&gt;=7)))&gt;0,IFERROR(SUMPRODUCT(((BULK_ENABLED="Y")*((BULK_TIER="ALL")+(BULK_TIER=$F233))*((BULK_SKU="ALL")+(BULK_SKU=$G233))*(BULK_START&lt;=7)*(BULK_END&gt;=7))*IFERROR(BULK_VALUE,0))/MAX(1,SUMPRODUCT(((BULK_ENABLED="Y")*((BULK_TIER="ALL")+(BULK_TIER=$F233))*((BULK_SKU="ALL")+(BULK_SKU=$G233))*(BULK_START&lt;=7)*(BULK_END&gt;=7)))),0),ROUND((INDEX(VELOCITY_TABLE,MATCH($F233,TIER_LIST,0),1))*(IF((7-$I233+1)&lt;=0,0,IF((7-$I233+1)=1,RAMP_W1,IF((7-$I233+1)=2,RAMP_W2,IF((7-$I233+1)=3,RAMP_W3,RAMP_W4PLUS)))))*(INDEX(ACTIVE_MULT_TABLE,1,1))*(1+SUMPRODUCT(SIGN(((ACT_DOOR_SCOPE="ALL")+(ACT_DOOR_SCOPE="TIER_"&amp;$F233)+(ACT_DOOR_SCOPE=$B233)))*SIGN(((ACT_SKU_SCOPE="ALL")+(ACT_SKU_SCOPE=$G233)))*(ACT_START&lt;=7)*(ACT_END&gt;=7)*IFERROR(ACT_UPLIFT-1,0)))*(1+SUMPRODUCT(SIGN(((ACT_DOOR_SCOPE="ALL")+(ACT_DOOR_SCOPE="TIER_"&amp;$F233)+(ACT_DOOR_SCOPE=$B233)))*SIGN(((ACT_SKU_SCOPE="ALL")+(ACT_SKU_SCOPE=$G233)))*(7&gt;ACT_END)*(ACT_END&gt;0)*IFERROR(ACT_POSTLIFT,0))),0)))</f>
        <v/>
      </c>
      <c r="Q233" s="10">
        <f>IF(OR($H233&lt;&gt;"Y",8&lt;$I233),0,IF(SUMPRODUCT(((BULK_ENABLED="Y")*((BULK_TIER="ALL")+(BULK_TIER=$F233))*((BULK_SKU="ALL")+(BULK_SKU=$G233))*(BULK_START&lt;=8)*(BULK_END&gt;=8)))&gt;0,IFERROR(SUMPRODUCT(((BULK_ENABLED="Y")*((BULK_TIER="ALL")+(BULK_TIER=$F233))*((BULK_SKU="ALL")+(BULK_SKU=$G233))*(BULK_START&lt;=8)*(BULK_END&gt;=8))*IFERROR(BULK_VALUE,0))/MAX(1,SUMPRODUCT(((BULK_ENABLED="Y")*((BULK_TIER="ALL")+(BULK_TIER=$F233))*((BULK_SKU="ALL")+(BULK_SKU=$G233))*(BULK_START&lt;=8)*(BULK_END&gt;=8)))),0),ROUND((INDEX(VELOCITY_TABLE,MATCH($F233,TIER_LIST,0),1))*(IF((8-$I233+1)&lt;=0,0,IF((8-$I233+1)=1,RAMP_W1,IF((8-$I233+1)=2,RAMP_W2,IF((8-$I233+1)=3,RAMP_W3,RAMP_W4PLUS)))))*(INDEX(ACTIVE_MULT_TABLE,1,1))*(1+SUMPRODUCT(SIGN(((ACT_DOOR_SCOPE="ALL")+(ACT_DOOR_SCOPE="TIER_"&amp;$F233)+(ACT_DOOR_SCOPE=$B233)))*SIGN(((ACT_SKU_SCOPE="ALL")+(ACT_SKU_SCOPE=$G233)))*(ACT_START&lt;=8)*(ACT_END&gt;=8)*IFERROR(ACT_UPLIFT-1,0)))*(1+SUMPRODUCT(SIGN(((ACT_DOOR_SCOPE="ALL")+(ACT_DOOR_SCOPE="TIER_"&amp;$F233)+(ACT_DOOR_SCOPE=$B233)))*SIGN(((ACT_SKU_SCOPE="ALL")+(ACT_SKU_SCOPE=$G233)))*(8&gt;ACT_END)*(ACT_END&gt;0)*IFERROR(ACT_POSTLIFT,0))),0)))</f>
        <v/>
      </c>
      <c r="R233" s="10">
        <f>IF(OR($H233&lt;&gt;"Y",9&lt;$I233),0,IF(SUMPRODUCT(((BULK_ENABLED="Y")*((BULK_TIER="ALL")+(BULK_TIER=$F233))*((BULK_SKU="ALL")+(BULK_SKU=$G233))*(BULK_START&lt;=9)*(BULK_END&gt;=9)))&gt;0,IFERROR(SUMPRODUCT(((BULK_ENABLED="Y")*((BULK_TIER="ALL")+(BULK_TIER=$F233))*((BULK_SKU="ALL")+(BULK_SKU=$G233))*(BULK_START&lt;=9)*(BULK_END&gt;=9))*IFERROR(BULK_VALUE,0))/MAX(1,SUMPRODUCT(((BULK_ENABLED="Y")*((BULK_TIER="ALL")+(BULK_TIER=$F233))*((BULK_SKU="ALL")+(BULK_SKU=$G233))*(BULK_START&lt;=9)*(BULK_END&gt;=9)))),0),ROUND((INDEX(VELOCITY_TABLE,MATCH($F233,TIER_LIST,0),1))*(IF((9-$I233+1)&lt;=0,0,IF((9-$I233+1)=1,RAMP_W1,IF((9-$I233+1)=2,RAMP_W2,IF((9-$I233+1)=3,RAMP_W3,RAMP_W4PLUS)))))*(INDEX(ACTIVE_MULT_TABLE,1,1))*(1+SUMPRODUCT(SIGN(((ACT_DOOR_SCOPE="ALL")+(ACT_DOOR_SCOPE="TIER_"&amp;$F233)+(ACT_DOOR_SCOPE=$B233)))*SIGN(((ACT_SKU_SCOPE="ALL")+(ACT_SKU_SCOPE=$G233)))*(ACT_START&lt;=9)*(ACT_END&gt;=9)*IFERROR(ACT_UPLIFT-1,0)))*(1+SUMPRODUCT(SIGN(((ACT_DOOR_SCOPE="ALL")+(ACT_DOOR_SCOPE="TIER_"&amp;$F233)+(ACT_DOOR_SCOPE=$B233)))*SIGN(((ACT_SKU_SCOPE="ALL")+(ACT_SKU_SCOPE=$G233)))*(9&gt;ACT_END)*(ACT_END&gt;0)*IFERROR(ACT_POSTLIFT,0))),0)))</f>
        <v/>
      </c>
      <c r="S233" s="10">
        <f>IF(OR($H233&lt;&gt;"Y",10&lt;$I233),0,IF(SUMPRODUCT(((BULK_ENABLED="Y")*((BULK_TIER="ALL")+(BULK_TIER=$F233))*((BULK_SKU="ALL")+(BULK_SKU=$G233))*(BULK_START&lt;=10)*(BULK_END&gt;=10)))&gt;0,IFERROR(SUMPRODUCT(((BULK_ENABLED="Y")*((BULK_TIER="ALL")+(BULK_TIER=$F233))*((BULK_SKU="ALL")+(BULK_SKU=$G233))*(BULK_START&lt;=10)*(BULK_END&gt;=10))*IFERROR(BULK_VALUE,0))/MAX(1,SUMPRODUCT(((BULK_ENABLED="Y")*((BULK_TIER="ALL")+(BULK_TIER=$F233))*((BULK_SKU="ALL")+(BULK_SKU=$G233))*(BULK_START&lt;=10)*(BULK_END&gt;=10)))),0),ROUND((INDEX(VELOCITY_TABLE,MATCH($F233,TIER_LIST,0),1))*(IF((10-$I233+1)&lt;=0,0,IF((10-$I233+1)=1,RAMP_W1,IF((10-$I233+1)=2,RAMP_W2,IF((10-$I233+1)=3,RAMP_W3,RAMP_W4PLUS)))))*(INDEX(ACTIVE_MULT_TABLE,1,1))*(1+SUMPRODUCT(SIGN(((ACT_DOOR_SCOPE="ALL")+(ACT_DOOR_SCOPE="TIER_"&amp;$F233)+(ACT_DOOR_SCOPE=$B233)))*SIGN(((ACT_SKU_SCOPE="ALL")+(ACT_SKU_SCOPE=$G233)))*(ACT_START&lt;=10)*(ACT_END&gt;=10)*IFERROR(ACT_UPLIFT-1,0)))*(1+SUMPRODUCT(SIGN(((ACT_DOOR_SCOPE="ALL")+(ACT_DOOR_SCOPE="TIER_"&amp;$F233)+(ACT_DOOR_SCOPE=$B233)))*SIGN(((ACT_SKU_SCOPE="ALL")+(ACT_SKU_SCOPE=$G233)))*(10&gt;ACT_END)*(ACT_END&gt;0)*IFERROR(ACT_POSTLIFT,0))),0)))</f>
        <v/>
      </c>
      <c r="T233" s="10">
        <f>IF(OR($H233&lt;&gt;"Y",11&lt;$I233),0,IF(SUMPRODUCT(((BULK_ENABLED="Y")*((BULK_TIER="ALL")+(BULK_TIER=$F233))*((BULK_SKU="ALL")+(BULK_SKU=$G233))*(BULK_START&lt;=11)*(BULK_END&gt;=11)))&gt;0,IFERROR(SUMPRODUCT(((BULK_ENABLED="Y")*((BULK_TIER="ALL")+(BULK_TIER=$F233))*((BULK_SKU="ALL")+(BULK_SKU=$G233))*(BULK_START&lt;=11)*(BULK_END&gt;=11))*IFERROR(BULK_VALUE,0))/MAX(1,SUMPRODUCT(((BULK_ENABLED="Y")*((BULK_TIER="ALL")+(BULK_TIER=$F233))*((BULK_SKU="ALL")+(BULK_SKU=$G233))*(BULK_START&lt;=11)*(BULK_END&gt;=11)))),0),ROUND((INDEX(VELOCITY_TABLE,MATCH($F233,TIER_LIST,0),1))*(IF((11-$I233+1)&lt;=0,0,IF((11-$I233+1)=1,RAMP_W1,IF((11-$I233+1)=2,RAMP_W2,IF((11-$I233+1)=3,RAMP_W3,RAMP_W4PLUS)))))*(INDEX(ACTIVE_MULT_TABLE,1,1))*(1+SUMPRODUCT(SIGN(((ACT_DOOR_SCOPE="ALL")+(ACT_DOOR_SCOPE="TIER_"&amp;$F233)+(ACT_DOOR_SCOPE=$B233)))*SIGN(((ACT_SKU_SCOPE="ALL")+(ACT_SKU_SCOPE=$G233)))*(ACT_START&lt;=11)*(ACT_END&gt;=11)*IFERROR(ACT_UPLIFT-1,0)))*(1+SUMPRODUCT(SIGN(((ACT_DOOR_SCOPE="ALL")+(ACT_DOOR_SCOPE="TIER_"&amp;$F233)+(ACT_DOOR_SCOPE=$B233)))*SIGN(((ACT_SKU_SCOPE="ALL")+(ACT_SKU_SCOPE=$G233)))*(11&gt;ACT_END)*(ACT_END&gt;0)*IFERROR(ACT_POSTLIFT,0))),0)))</f>
        <v/>
      </c>
      <c r="U233" s="10">
        <f>IF(OR($H233&lt;&gt;"Y",12&lt;$I233),0,IF(SUMPRODUCT(((BULK_ENABLED="Y")*((BULK_TIER="ALL")+(BULK_TIER=$F233))*((BULK_SKU="ALL")+(BULK_SKU=$G233))*(BULK_START&lt;=12)*(BULK_END&gt;=12)))&gt;0,IFERROR(SUMPRODUCT(((BULK_ENABLED="Y")*((BULK_TIER="ALL")+(BULK_TIER=$F233))*((BULK_SKU="ALL")+(BULK_SKU=$G233))*(BULK_START&lt;=12)*(BULK_END&gt;=12))*IFERROR(BULK_VALUE,0))/MAX(1,SUMPRODUCT(((BULK_ENABLED="Y")*((BULK_TIER="ALL")+(BULK_TIER=$F233))*((BULK_SKU="ALL")+(BULK_SKU=$G233))*(BULK_START&lt;=12)*(BULK_END&gt;=12)))),0),ROUND((INDEX(VELOCITY_TABLE,MATCH($F233,TIER_LIST,0),1))*(IF((12-$I233+1)&lt;=0,0,IF((12-$I233+1)=1,RAMP_W1,IF((12-$I233+1)=2,RAMP_W2,IF((12-$I233+1)=3,RAMP_W3,RAMP_W4PLUS)))))*(INDEX(ACTIVE_MULT_TABLE,1,1))*(1+SUMPRODUCT(SIGN(((ACT_DOOR_SCOPE="ALL")+(ACT_DOOR_SCOPE="TIER_"&amp;$F233)+(ACT_DOOR_SCOPE=$B233)))*SIGN(((ACT_SKU_SCOPE="ALL")+(ACT_SKU_SCOPE=$G233)))*(ACT_START&lt;=12)*(ACT_END&gt;=12)*IFERROR(ACT_UPLIFT-1,0)))*(1+SUMPRODUCT(SIGN(((ACT_DOOR_SCOPE="ALL")+(ACT_DOOR_SCOPE="TIER_"&amp;$F233)+(ACT_DOOR_SCOPE=$B233)))*SIGN(((ACT_SKU_SCOPE="ALL")+(ACT_SKU_SCOPE=$G233)))*(12&gt;ACT_END)*(ACT_END&gt;0)*IFERROR(ACT_POSTLIFT,0))),0)))</f>
        <v/>
      </c>
      <c r="V233" s="10">
        <f>IF(OR($H233&lt;&gt;"Y",13&lt;$I233),0,IF(SUMPRODUCT(((BULK_ENABLED="Y")*((BULK_TIER="ALL")+(BULK_TIER=$F233))*((BULK_SKU="ALL")+(BULK_SKU=$G233))*(BULK_START&lt;=13)*(BULK_END&gt;=13)))&gt;0,IFERROR(SUMPRODUCT(((BULK_ENABLED="Y")*((BULK_TIER="ALL")+(BULK_TIER=$F233))*((BULK_SKU="ALL")+(BULK_SKU=$G233))*(BULK_START&lt;=13)*(BULK_END&gt;=13))*IFERROR(BULK_VALUE,0))/MAX(1,SUMPRODUCT(((BULK_ENABLED="Y")*((BULK_TIER="ALL")+(BULK_TIER=$F233))*((BULK_SKU="ALL")+(BULK_SKU=$G233))*(BULK_START&lt;=13)*(BULK_END&gt;=13)))),0),ROUND((INDEX(VELOCITY_TABLE,MATCH($F233,TIER_LIST,0),1))*(IF((13-$I233+1)&lt;=0,0,IF((13-$I233+1)=1,RAMP_W1,IF((13-$I233+1)=2,RAMP_W2,IF((13-$I233+1)=3,RAMP_W3,RAMP_W4PLUS)))))*(INDEX(ACTIVE_MULT_TABLE,1,1))*(1+SUMPRODUCT(SIGN(((ACT_DOOR_SCOPE="ALL")+(ACT_DOOR_SCOPE="TIER_"&amp;$F233)+(ACT_DOOR_SCOPE=$B233)))*SIGN(((ACT_SKU_SCOPE="ALL")+(ACT_SKU_SCOPE=$G233)))*(ACT_START&lt;=13)*(ACT_END&gt;=13)*IFERROR(ACT_UPLIFT-1,0)))*(1+SUMPRODUCT(SIGN(((ACT_DOOR_SCOPE="ALL")+(ACT_DOOR_SCOPE="TIER_"&amp;$F233)+(ACT_DOOR_SCOPE=$B233)))*SIGN(((ACT_SKU_SCOPE="ALL")+(ACT_SKU_SCOPE=$G233)))*(13&gt;ACT_END)*(ACT_END&gt;0)*IFERROR(ACT_POSTLIFT,0))),0)))</f>
        <v/>
      </c>
    </row>
    <row r="234">
      <c r="A234" t="inlineStr">
        <is>
          <t>R0230</t>
        </is>
      </c>
      <c r="B234">
        <f>Doors!$A$81</f>
        <v/>
      </c>
      <c r="C234">
        <f>Doors!$C$81</f>
        <v/>
      </c>
      <c r="D234">
        <f>Doors!$B$81</f>
        <v/>
      </c>
      <c r="E234">
        <f>Doors!$E$81</f>
        <v/>
      </c>
      <c r="F234">
        <f>Doors!$F$81</f>
        <v/>
      </c>
      <c r="G234" t="inlineStr">
        <is>
          <t>Pineapple Passion Fruit</t>
        </is>
      </c>
      <c r="H234">
        <f>Doors!$H$81</f>
        <v/>
      </c>
      <c r="I234">
        <f>Doors!$J$81</f>
        <v/>
      </c>
      <c r="J234" s="10">
        <f>IF(OR($H234&lt;&gt;"Y",1&lt;$I234),0,IF(SUMPRODUCT(((BULK_ENABLED="Y")*((BULK_TIER="ALL")+(BULK_TIER=$F234))*((BULK_SKU="ALL")+(BULK_SKU=$G234))*(BULK_START&lt;=1)*(BULK_END&gt;=1)))&gt;0,IFERROR(SUMPRODUCT(((BULK_ENABLED="Y")*((BULK_TIER="ALL")+(BULK_TIER=$F234))*((BULK_SKU="ALL")+(BULK_SKU=$G234))*(BULK_START&lt;=1)*(BULK_END&gt;=1))*IFERROR(BULK_VALUE,0))/MAX(1,SUMPRODUCT(((BULK_ENABLED="Y")*((BULK_TIER="ALL")+(BULK_TIER=$F234))*((BULK_SKU="ALL")+(BULK_SKU=$G234))*(BULK_START&lt;=1)*(BULK_END&gt;=1)))),0),ROUND((INDEX(VELOCITY_TABLE,MATCH($F234,TIER_LIST,0),2))*(IF((1-$I234+1)&lt;=0,0,IF((1-$I234+1)=1,RAMP_W1,IF((1-$I234+1)=2,RAMP_W2,IF((1-$I234+1)=3,RAMP_W3,RAMP_W4PLUS)))))*(INDEX(ACTIVE_MULT_TABLE,2,1))*(1+SUMPRODUCT(SIGN(((ACT_DOOR_SCOPE="ALL")+(ACT_DOOR_SCOPE="TIER_"&amp;$F234)+(ACT_DOOR_SCOPE=$B234)))*SIGN(((ACT_SKU_SCOPE="ALL")+(ACT_SKU_SCOPE=$G234)))*(ACT_START&lt;=1)*(ACT_END&gt;=1)*IFERROR(ACT_UPLIFT-1,0)))*(1+SUMPRODUCT(SIGN(((ACT_DOOR_SCOPE="ALL")+(ACT_DOOR_SCOPE="TIER_"&amp;$F234)+(ACT_DOOR_SCOPE=$B234)))*SIGN(((ACT_SKU_SCOPE="ALL")+(ACT_SKU_SCOPE=$G234)))*(1&gt;ACT_END)*(ACT_END&gt;0)*IFERROR(ACT_POSTLIFT,0))),0)))</f>
        <v/>
      </c>
      <c r="K234" s="10">
        <f>IF(OR($H234&lt;&gt;"Y",2&lt;$I234),0,IF(SUMPRODUCT(((BULK_ENABLED="Y")*((BULK_TIER="ALL")+(BULK_TIER=$F234))*((BULK_SKU="ALL")+(BULK_SKU=$G234))*(BULK_START&lt;=2)*(BULK_END&gt;=2)))&gt;0,IFERROR(SUMPRODUCT(((BULK_ENABLED="Y")*((BULK_TIER="ALL")+(BULK_TIER=$F234))*((BULK_SKU="ALL")+(BULK_SKU=$G234))*(BULK_START&lt;=2)*(BULK_END&gt;=2))*IFERROR(BULK_VALUE,0))/MAX(1,SUMPRODUCT(((BULK_ENABLED="Y")*((BULK_TIER="ALL")+(BULK_TIER=$F234))*((BULK_SKU="ALL")+(BULK_SKU=$G234))*(BULK_START&lt;=2)*(BULK_END&gt;=2)))),0),ROUND((INDEX(VELOCITY_TABLE,MATCH($F234,TIER_LIST,0),2))*(IF((2-$I234+1)&lt;=0,0,IF((2-$I234+1)=1,RAMP_W1,IF((2-$I234+1)=2,RAMP_W2,IF((2-$I234+1)=3,RAMP_W3,RAMP_W4PLUS)))))*(INDEX(ACTIVE_MULT_TABLE,2,1))*(1+SUMPRODUCT(SIGN(((ACT_DOOR_SCOPE="ALL")+(ACT_DOOR_SCOPE="TIER_"&amp;$F234)+(ACT_DOOR_SCOPE=$B234)))*SIGN(((ACT_SKU_SCOPE="ALL")+(ACT_SKU_SCOPE=$G234)))*(ACT_START&lt;=2)*(ACT_END&gt;=2)*IFERROR(ACT_UPLIFT-1,0)))*(1+SUMPRODUCT(SIGN(((ACT_DOOR_SCOPE="ALL")+(ACT_DOOR_SCOPE="TIER_"&amp;$F234)+(ACT_DOOR_SCOPE=$B234)))*SIGN(((ACT_SKU_SCOPE="ALL")+(ACT_SKU_SCOPE=$G234)))*(2&gt;ACT_END)*(ACT_END&gt;0)*IFERROR(ACT_POSTLIFT,0))),0)))</f>
        <v/>
      </c>
      <c r="L234" s="10">
        <f>IF(OR($H234&lt;&gt;"Y",3&lt;$I234),0,IF(SUMPRODUCT(((BULK_ENABLED="Y")*((BULK_TIER="ALL")+(BULK_TIER=$F234))*((BULK_SKU="ALL")+(BULK_SKU=$G234))*(BULK_START&lt;=3)*(BULK_END&gt;=3)))&gt;0,IFERROR(SUMPRODUCT(((BULK_ENABLED="Y")*((BULK_TIER="ALL")+(BULK_TIER=$F234))*((BULK_SKU="ALL")+(BULK_SKU=$G234))*(BULK_START&lt;=3)*(BULK_END&gt;=3))*IFERROR(BULK_VALUE,0))/MAX(1,SUMPRODUCT(((BULK_ENABLED="Y")*((BULK_TIER="ALL")+(BULK_TIER=$F234))*((BULK_SKU="ALL")+(BULK_SKU=$G234))*(BULK_START&lt;=3)*(BULK_END&gt;=3)))),0),ROUND((INDEX(VELOCITY_TABLE,MATCH($F234,TIER_LIST,0),2))*(IF((3-$I234+1)&lt;=0,0,IF((3-$I234+1)=1,RAMP_W1,IF((3-$I234+1)=2,RAMP_W2,IF((3-$I234+1)=3,RAMP_W3,RAMP_W4PLUS)))))*(INDEX(ACTIVE_MULT_TABLE,2,1))*(1+SUMPRODUCT(SIGN(((ACT_DOOR_SCOPE="ALL")+(ACT_DOOR_SCOPE="TIER_"&amp;$F234)+(ACT_DOOR_SCOPE=$B234)))*SIGN(((ACT_SKU_SCOPE="ALL")+(ACT_SKU_SCOPE=$G234)))*(ACT_START&lt;=3)*(ACT_END&gt;=3)*IFERROR(ACT_UPLIFT-1,0)))*(1+SUMPRODUCT(SIGN(((ACT_DOOR_SCOPE="ALL")+(ACT_DOOR_SCOPE="TIER_"&amp;$F234)+(ACT_DOOR_SCOPE=$B234)))*SIGN(((ACT_SKU_SCOPE="ALL")+(ACT_SKU_SCOPE=$G234)))*(3&gt;ACT_END)*(ACT_END&gt;0)*IFERROR(ACT_POSTLIFT,0))),0)))</f>
        <v/>
      </c>
      <c r="M234" s="10">
        <f>IF(OR($H234&lt;&gt;"Y",4&lt;$I234),0,IF(SUMPRODUCT(((BULK_ENABLED="Y")*((BULK_TIER="ALL")+(BULK_TIER=$F234))*((BULK_SKU="ALL")+(BULK_SKU=$G234))*(BULK_START&lt;=4)*(BULK_END&gt;=4)))&gt;0,IFERROR(SUMPRODUCT(((BULK_ENABLED="Y")*((BULK_TIER="ALL")+(BULK_TIER=$F234))*((BULK_SKU="ALL")+(BULK_SKU=$G234))*(BULK_START&lt;=4)*(BULK_END&gt;=4))*IFERROR(BULK_VALUE,0))/MAX(1,SUMPRODUCT(((BULK_ENABLED="Y")*((BULK_TIER="ALL")+(BULK_TIER=$F234))*((BULK_SKU="ALL")+(BULK_SKU=$G234))*(BULK_START&lt;=4)*(BULK_END&gt;=4)))),0),ROUND((INDEX(VELOCITY_TABLE,MATCH($F234,TIER_LIST,0),2))*(IF((4-$I234+1)&lt;=0,0,IF((4-$I234+1)=1,RAMP_W1,IF((4-$I234+1)=2,RAMP_W2,IF((4-$I234+1)=3,RAMP_W3,RAMP_W4PLUS)))))*(INDEX(ACTIVE_MULT_TABLE,2,1))*(1+SUMPRODUCT(SIGN(((ACT_DOOR_SCOPE="ALL")+(ACT_DOOR_SCOPE="TIER_"&amp;$F234)+(ACT_DOOR_SCOPE=$B234)))*SIGN(((ACT_SKU_SCOPE="ALL")+(ACT_SKU_SCOPE=$G234)))*(ACT_START&lt;=4)*(ACT_END&gt;=4)*IFERROR(ACT_UPLIFT-1,0)))*(1+SUMPRODUCT(SIGN(((ACT_DOOR_SCOPE="ALL")+(ACT_DOOR_SCOPE="TIER_"&amp;$F234)+(ACT_DOOR_SCOPE=$B234)))*SIGN(((ACT_SKU_SCOPE="ALL")+(ACT_SKU_SCOPE=$G234)))*(4&gt;ACT_END)*(ACT_END&gt;0)*IFERROR(ACT_POSTLIFT,0))),0)))</f>
        <v/>
      </c>
      <c r="N234" s="10">
        <f>IF(OR($H234&lt;&gt;"Y",5&lt;$I234),0,IF(SUMPRODUCT(((BULK_ENABLED="Y")*((BULK_TIER="ALL")+(BULK_TIER=$F234))*((BULK_SKU="ALL")+(BULK_SKU=$G234))*(BULK_START&lt;=5)*(BULK_END&gt;=5)))&gt;0,IFERROR(SUMPRODUCT(((BULK_ENABLED="Y")*((BULK_TIER="ALL")+(BULK_TIER=$F234))*((BULK_SKU="ALL")+(BULK_SKU=$G234))*(BULK_START&lt;=5)*(BULK_END&gt;=5))*IFERROR(BULK_VALUE,0))/MAX(1,SUMPRODUCT(((BULK_ENABLED="Y")*((BULK_TIER="ALL")+(BULK_TIER=$F234))*((BULK_SKU="ALL")+(BULK_SKU=$G234))*(BULK_START&lt;=5)*(BULK_END&gt;=5)))),0),ROUND((INDEX(VELOCITY_TABLE,MATCH($F234,TIER_LIST,0),2))*(IF((5-$I234+1)&lt;=0,0,IF((5-$I234+1)=1,RAMP_W1,IF((5-$I234+1)=2,RAMP_W2,IF((5-$I234+1)=3,RAMP_W3,RAMP_W4PLUS)))))*(INDEX(ACTIVE_MULT_TABLE,2,1))*(1+SUMPRODUCT(SIGN(((ACT_DOOR_SCOPE="ALL")+(ACT_DOOR_SCOPE="TIER_"&amp;$F234)+(ACT_DOOR_SCOPE=$B234)))*SIGN(((ACT_SKU_SCOPE="ALL")+(ACT_SKU_SCOPE=$G234)))*(ACT_START&lt;=5)*(ACT_END&gt;=5)*IFERROR(ACT_UPLIFT-1,0)))*(1+SUMPRODUCT(SIGN(((ACT_DOOR_SCOPE="ALL")+(ACT_DOOR_SCOPE="TIER_"&amp;$F234)+(ACT_DOOR_SCOPE=$B234)))*SIGN(((ACT_SKU_SCOPE="ALL")+(ACT_SKU_SCOPE=$G234)))*(5&gt;ACT_END)*(ACT_END&gt;0)*IFERROR(ACT_POSTLIFT,0))),0)))</f>
        <v/>
      </c>
      <c r="O234" s="10">
        <f>IF(OR($H234&lt;&gt;"Y",6&lt;$I234),0,IF(SUMPRODUCT(((BULK_ENABLED="Y")*((BULK_TIER="ALL")+(BULK_TIER=$F234))*((BULK_SKU="ALL")+(BULK_SKU=$G234))*(BULK_START&lt;=6)*(BULK_END&gt;=6)))&gt;0,IFERROR(SUMPRODUCT(((BULK_ENABLED="Y")*((BULK_TIER="ALL")+(BULK_TIER=$F234))*((BULK_SKU="ALL")+(BULK_SKU=$G234))*(BULK_START&lt;=6)*(BULK_END&gt;=6))*IFERROR(BULK_VALUE,0))/MAX(1,SUMPRODUCT(((BULK_ENABLED="Y")*((BULK_TIER="ALL")+(BULK_TIER=$F234))*((BULK_SKU="ALL")+(BULK_SKU=$G234))*(BULK_START&lt;=6)*(BULK_END&gt;=6)))),0),ROUND((INDEX(VELOCITY_TABLE,MATCH($F234,TIER_LIST,0),2))*(IF((6-$I234+1)&lt;=0,0,IF((6-$I234+1)=1,RAMP_W1,IF((6-$I234+1)=2,RAMP_W2,IF((6-$I234+1)=3,RAMP_W3,RAMP_W4PLUS)))))*(INDEX(ACTIVE_MULT_TABLE,2,1))*(1+SUMPRODUCT(SIGN(((ACT_DOOR_SCOPE="ALL")+(ACT_DOOR_SCOPE="TIER_"&amp;$F234)+(ACT_DOOR_SCOPE=$B234)))*SIGN(((ACT_SKU_SCOPE="ALL")+(ACT_SKU_SCOPE=$G234)))*(ACT_START&lt;=6)*(ACT_END&gt;=6)*IFERROR(ACT_UPLIFT-1,0)))*(1+SUMPRODUCT(SIGN(((ACT_DOOR_SCOPE="ALL")+(ACT_DOOR_SCOPE="TIER_"&amp;$F234)+(ACT_DOOR_SCOPE=$B234)))*SIGN(((ACT_SKU_SCOPE="ALL")+(ACT_SKU_SCOPE=$G234)))*(6&gt;ACT_END)*(ACT_END&gt;0)*IFERROR(ACT_POSTLIFT,0))),0)))</f>
        <v/>
      </c>
      <c r="P234" s="10">
        <f>IF(OR($H234&lt;&gt;"Y",7&lt;$I234),0,IF(SUMPRODUCT(((BULK_ENABLED="Y")*((BULK_TIER="ALL")+(BULK_TIER=$F234))*((BULK_SKU="ALL")+(BULK_SKU=$G234))*(BULK_START&lt;=7)*(BULK_END&gt;=7)))&gt;0,IFERROR(SUMPRODUCT(((BULK_ENABLED="Y")*((BULK_TIER="ALL")+(BULK_TIER=$F234))*((BULK_SKU="ALL")+(BULK_SKU=$G234))*(BULK_START&lt;=7)*(BULK_END&gt;=7))*IFERROR(BULK_VALUE,0))/MAX(1,SUMPRODUCT(((BULK_ENABLED="Y")*((BULK_TIER="ALL")+(BULK_TIER=$F234))*((BULK_SKU="ALL")+(BULK_SKU=$G234))*(BULK_START&lt;=7)*(BULK_END&gt;=7)))),0),ROUND((INDEX(VELOCITY_TABLE,MATCH($F234,TIER_LIST,0),2))*(IF((7-$I234+1)&lt;=0,0,IF((7-$I234+1)=1,RAMP_W1,IF((7-$I234+1)=2,RAMP_W2,IF((7-$I234+1)=3,RAMP_W3,RAMP_W4PLUS)))))*(INDEX(ACTIVE_MULT_TABLE,2,1))*(1+SUMPRODUCT(SIGN(((ACT_DOOR_SCOPE="ALL")+(ACT_DOOR_SCOPE="TIER_"&amp;$F234)+(ACT_DOOR_SCOPE=$B234)))*SIGN(((ACT_SKU_SCOPE="ALL")+(ACT_SKU_SCOPE=$G234)))*(ACT_START&lt;=7)*(ACT_END&gt;=7)*IFERROR(ACT_UPLIFT-1,0)))*(1+SUMPRODUCT(SIGN(((ACT_DOOR_SCOPE="ALL")+(ACT_DOOR_SCOPE="TIER_"&amp;$F234)+(ACT_DOOR_SCOPE=$B234)))*SIGN(((ACT_SKU_SCOPE="ALL")+(ACT_SKU_SCOPE=$G234)))*(7&gt;ACT_END)*(ACT_END&gt;0)*IFERROR(ACT_POSTLIFT,0))),0)))</f>
        <v/>
      </c>
      <c r="Q234" s="10">
        <f>IF(OR($H234&lt;&gt;"Y",8&lt;$I234),0,IF(SUMPRODUCT(((BULK_ENABLED="Y")*((BULK_TIER="ALL")+(BULK_TIER=$F234))*((BULK_SKU="ALL")+(BULK_SKU=$G234))*(BULK_START&lt;=8)*(BULK_END&gt;=8)))&gt;0,IFERROR(SUMPRODUCT(((BULK_ENABLED="Y")*((BULK_TIER="ALL")+(BULK_TIER=$F234))*((BULK_SKU="ALL")+(BULK_SKU=$G234))*(BULK_START&lt;=8)*(BULK_END&gt;=8))*IFERROR(BULK_VALUE,0))/MAX(1,SUMPRODUCT(((BULK_ENABLED="Y")*((BULK_TIER="ALL")+(BULK_TIER=$F234))*((BULK_SKU="ALL")+(BULK_SKU=$G234))*(BULK_START&lt;=8)*(BULK_END&gt;=8)))),0),ROUND((INDEX(VELOCITY_TABLE,MATCH($F234,TIER_LIST,0),2))*(IF((8-$I234+1)&lt;=0,0,IF((8-$I234+1)=1,RAMP_W1,IF((8-$I234+1)=2,RAMP_W2,IF((8-$I234+1)=3,RAMP_W3,RAMP_W4PLUS)))))*(INDEX(ACTIVE_MULT_TABLE,2,1))*(1+SUMPRODUCT(SIGN(((ACT_DOOR_SCOPE="ALL")+(ACT_DOOR_SCOPE="TIER_"&amp;$F234)+(ACT_DOOR_SCOPE=$B234)))*SIGN(((ACT_SKU_SCOPE="ALL")+(ACT_SKU_SCOPE=$G234)))*(ACT_START&lt;=8)*(ACT_END&gt;=8)*IFERROR(ACT_UPLIFT-1,0)))*(1+SUMPRODUCT(SIGN(((ACT_DOOR_SCOPE="ALL")+(ACT_DOOR_SCOPE="TIER_"&amp;$F234)+(ACT_DOOR_SCOPE=$B234)))*SIGN(((ACT_SKU_SCOPE="ALL")+(ACT_SKU_SCOPE=$G234)))*(8&gt;ACT_END)*(ACT_END&gt;0)*IFERROR(ACT_POSTLIFT,0))),0)))</f>
        <v/>
      </c>
      <c r="R234" s="10">
        <f>IF(OR($H234&lt;&gt;"Y",9&lt;$I234),0,IF(SUMPRODUCT(((BULK_ENABLED="Y")*((BULK_TIER="ALL")+(BULK_TIER=$F234))*((BULK_SKU="ALL")+(BULK_SKU=$G234))*(BULK_START&lt;=9)*(BULK_END&gt;=9)))&gt;0,IFERROR(SUMPRODUCT(((BULK_ENABLED="Y")*((BULK_TIER="ALL")+(BULK_TIER=$F234))*((BULK_SKU="ALL")+(BULK_SKU=$G234))*(BULK_START&lt;=9)*(BULK_END&gt;=9))*IFERROR(BULK_VALUE,0))/MAX(1,SUMPRODUCT(((BULK_ENABLED="Y")*((BULK_TIER="ALL")+(BULK_TIER=$F234))*((BULK_SKU="ALL")+(BULK_SKU=$G234))*(BULK_START&lt;=9)*(BULK_END&gt;=9)))),0),ROUND((INDEX(VELOCITY_TABLE,MATCH($F234,TIER_LIST,0),2))*(IF((9-$I234+1)&lt;=0,0,IF((9-$I234+1)=1,RAMP_W1,IF((9-$I234+1)=2,RAMP_W2,IF((9-$I234+1)=3,RAMP_W3,RAMP_W4PLUS)))))*(INDEX(ACTIVE_MULT_TABLE,2,1))*(1+SUMPRODUCT(SIGN(((ACT_DOOR_SCOPE="ALL")+(ACT_DOOR_SCOPE="TIER_"&amp;$F234)+(ACT_DOOR_SCOPE=$B234)))*SIGN(((ACT_SKU_SCOPE="ALL")+(ACT_SKU_SCOPE=$G234)))*(ACT_START&lt;=9)*(ACT_END&gt;=9)*IFERROR(ACT_UPLIFT-1,0)))*(1+SUMPRODUCT(SIGN(((ACT_DOOR_SCOPE="ALL")+(ACT_DOOR_SCOPE="TIER_"&amp;$F234)+(ACT_DOOR_SCOPE=$B234)))*SIGN(((ACT_SKU_SCOPE="ALL")+(ACT_SKU_SCOPE=$G234)))*(9&gt;ACT_END)*(ACT_END&gt;0)*IFERROR(ACT_POSTLIFT,0))),0)))</f>
        <v/>
      </c>
      <c r="S234" s="10">
        <f>IF(OR($H234&lt;&gt;"Y",10&lt;$I234),0,IF(SUMPRODUCT(((BULK_ENABLED="Y")*((BULK_TIER="ALL")+(BULK_TIER=$F234))*((BULK_SKU="ALL")+(BULK_SKU=$G234))*(BULK_START&lt;=10)*(BULK_END&gt;=10)))&gt;0,IFERROR(SUMPRODUCT(((BULK_ENABLED="Y")*((BULK_TIER="ALL")+(BULK_TIER=$F234))*((BULK_SKU="ALL")+(BULK_SKU=$G234))*(BULK_START&lt;=10)*(BULK_END&gt;=10))*IFERROR(BULK_VALUE,0))/MAX(1,SUMPRODUCT(((BULK_ENABLED="Y")*((BULK_TIER="ALL")+(BULK_TIER=$F234))*((BULK_SKU="ALL")+(BULK_SKU=$G234))*(BULK_START&lt;=10)*(BULK_END&gt;=10)))),0),ROUND((INDEX(VELOCITY_TABLE,MATCH($F234,TIER_LIST,0),2))*(IF((10-$I234+1)&lt;=0,0,IF((10-$I234+1)=1,RAMP_W1,IF((10-$I234+1)=2,RAMP_W2,IF((10-$I234+1)=3,RAMP_W3,RAMP_W4PLUS)))))*(INDEX(ACTIVE_MULT_TABLE,2,1))*(1+SUMPRODUCT(SIGN(((ACT_DOOR_SCOPE="ALL")+(ACT_DOOR_SCOPE="TIER_"&amp;$F234)+(ACT_DOOR_SCOPE=$B234)))*SIGN(((ACT_SKU_SCOPE="ALL")+(ACT_SKU_SCOPE=$G234)))*(ACT_START&lt;=10)*(ACT_END&gt;=10)*IFERROR(ACT_UPLIFT-1,0)))*(1+SUMPRODUCT(SIGN(((ACT_DOOR_SCOPE="ALL")+(ACT_DOOR_SCOPE="TIER_"&amp;$F234)+(ACT_DOOR_SCOPE=$B234)))*SIGN(((ACT_SKU_SCOPE="ALL")+(ACT_SKU_SCOPE=$G234)))*(10&gt;ACT_END)*(ACT_END&gt;0)*IFERROR(ACT_POSTLIFT,0))),0)))</f>
        <v/>
      </c>
      <c r="T234" s="10">
        <f>IF(OR($H234&lt;&gt;"Y",11&lt;$I234),0,IF(SUMPRODUCT(((BULK_ENABLED="Y")*((BULK_TIER="ALL")+(BULK_TIER=$F234))*((BULK_SKU="ALL")+(BULK_SKU=$G234))*(BULK_START&lt;=11)*(BULK_END&gt;=11)))&gt;0,IFERROR(SUMPRODUCT(((BULK_ENABLED="Y")*((BULK_TIER="ALL")+(BULK_TIER=$F234))*((BULK_SKU="ALL")+(BULK_SKU=$G234))*(BULK_START&lt;=11)*(BULK_END&gt;=11))*IFERROR(BULK_VALUE,0))/MAX(1,SUMPRODUCT(((BULK_ENABLED="Y")*((BULK_TIER="ALL")+(BULK_TIER=$F234))*((BULK_SKU="ALL")+(BULK_SKU=$G234))*(BULK_START&lt;=11)*(BULK_END&gt;=11)))),0),ROUND((INDEX(VELOCITY_TABLE,MATCH($F234,TIER_LIST,0),2))*(IF((11-$I234+1)&lt;=0,0,IF((11-$I234+1)=1,RAMP_W1,IF((11-$I234+1)=2,RAMP_W2,IF((11-$I234+1)=3,RAMP_W3,RAMP_W4PLUS)))))*(INDEX(ACTIVE_MULT_TABLE,2,1))*(1+SUMPRODUCT(SIGN(((ACT_DOOR_SCOPE="ALL")+(ACT_DOOR_SCOPE="TIER_"&amp;$F234)+(ACT_DOOR_SCOPE=$B234)))*SIGN(((ACT_SKU_SCOPE="ALL")+(ACT_SKU_SCOPE=$G234)))*(ACT_START&lt;=11)*(ACT_END&gt;=11)*IFERROR(ACT_UPLIFT-1,0)))*(1+SUMPRODUCT(SIGN(((ACT_DOOR_SCOPE="ALL")+(ACT_DOOR_SCOPE="TIER_"&amp;$F234)+(ACT_DOOR_SCOPE=$B234)))*SIGN(((ACT_SKU_SCOPE="ALL")+(ACT_SKU_SCOPE=$G234)))*(11&gt;ACT_END)*(ACT_END&gt;0)*IFERROR(ACT_POSTLIFT,0))),0)))</f>
        <v/>
      </c>
      <c r="U234" s="10">
        <f>IF(OR($H234&lt;&gt;"Y",12&lt;$I234),0,IF(SUMPRODUCT(((BULK_ENABLED="Y")*((BULK_TIER="ALL")+(BULK_TIER=$F234))*((BULK_SKU="ALL")+(BULK_SKU=$G234))*(BULK_START&lt;=12)*(BULK_END&gt;=12)))&gt;0,IFERROR(SUMPRODUCT(((BULK_ENABLED="Y")*((BULK_TIER="ALL")+(BULK_TIER=$F234))*((BULK_SKU="ALL")+(BULK_SKU=$G234))*(BULK_START&lt;=12)*(BULK_END&gt;=12))*IFERROR(BULK_VALUE,0))/MAX(1,SUMPRODUCT(((BULK_ENABLED="Y")*((BULK_TIER="ALL")+(BULK_TIER=$F234))*((BULK_SKU="ALL")+(BULK_SKU=$G234))*(BULK_START&lt;=12)*(BULK_END&gt;=12)))),0),ROUND((INDEX(VELOCITY_TABLE,MATCH($F234,TIER_LIST,0),2))*(IF((12-$I234+1)&lt;=0,0,IF((12-$I234+1)=1,RAMP_W1,IF((12-$I234+1)=2,RAMP_W2,IF((12-$I234+1)=3,RAMP_W3,RAMP_W4PLUS)))))*(INDEX(ACTIVE_MULT_TABLE,2,1))*(1+SUMPRODUCT(SIGN(((ACT_DOOR_SCOPE="ALL")+(ACT_DOOR_SCOPE="TIER_"&amp;$F234)+(ACT_DOOR_SCOPE=$B234)))*SIGN(((ACT_SKU_SCOPE="ALL")+(ACT_SKU_SCOPE=$G234)))*(ACT_START&lt;=12)*(ACT_END&gt;=12)*IFERROR(ACT_UPLIFT-1,0)))*(1+SUMPRODUCT(SIGN(((ACT_DOOR_SCOPE="ALL")+(ACT_DOOR_SCOPE="TIER_"&amp;$F234)+(ACT_DOOR_SCOPE=$B234)))*SIGN(((ACT_SKU_SCOPE="ALL")+(ACT_SKU_SCOPE=$G234)))*(12&gt;ACT_END)*(ACT_END&gt;0)*IFERROR(ACT_POSTLIFT,0))),0)))</f>
        <v/>
      </c>
      <c r="V234" s="10">
        <f>IF(OR($H234&lt;&gt;"Y",13&lt;$I234),0,IF(SUMPRODUCT(((BULK_ENABLED="Y")*((BULK_TIER="ALL")+(BULK_TIER=$F234))*((BULK_SKU="ALL")+(BULK_SKU=$G234))*(BULK_START&lt;=13)*(BULK_END&gt;=13)))&gt;0,IFERROR(SUMPRODUCT(((BULK_ENABLED="Y")*((BULK_TIER="ALL")+(BULK_TIER=$F234))*((BULK_SKU="ALL")+(BULK_SKU=$G234))*(BULK_START&lt;=13)*(BULK_END&gt;=13))*IFERROR(BULK_VALUE,0))/MAX(1,SUMPRODUCT(((BULK_ENABLED="Y")*((BULK_TIER="ALL")+(BULK_TIER=$F234))*((BULK_SKU="ALL")+(BULK_SKU=$G234))*(BULK_START&lt;=13)*(BULK_END&gt;=13)))),0),ROUND((INDEX(VELOCITY_TABLE,MATCH($F234,TIER_LIST,0),2))*(IF((13-$I234+1)&lt;=0,0,IF((13-$I234+1)=1,RAMP_W1,IF((13-$I234+1)=2,RAMP_W2,IF((13-$I234+1)=3,RAMP_W3,RAMP_W4PLUS)))))*(INDEX(ACTIVE_MULT_TABLE,2,1))*(1+SUMPRODUCT(SIGN(((ACT_DOOR_SCOPE="ALL")+(ACT_DOOR_SCOPE="TIER_"&amp;$F234)+(ACT_DOOR_SCOPE=$B234)))*SIGN(((ACT_SKU_SCOPE="ALL")+(ACT_SKU_SCOPE=$G234)))*(ACT_START&lt;=13)*(ACT_END&gt;=13)*IFERROR(ACT_UPLIFT-1,0)))*(1+SUMPRODUCT(SIGN(((ACT_DOOR_SCOPE="ALL")+(ACT_DOOR_SCOPE="TIER_"&amp;$F234)+(ACT_DOOR_SCOPE=$B234)))*SIGN(((ACT_SKU_SCOPE="ALL")+(ACT_SKU_SCOPE=$G234)))*(13&gt;ACT_END)*(ACT_END&gt;0)*IFERROR(ACT_POSTLIFT,0))),0)))</f>
        <v/>
      </c>
    </row>
    <row r="235">
      <c r="A235" t="inlineStr">
        <is>
          <t>R0231</t>
        </is>
      </c>
      <c r="B235">
        <f>Doors!$A$81</f>
        <v/>
      </c>
      <c r="C235">
        <f>Doors!$C$81</f>
        <v/>
      </c>
      <c r="D235">
        <f>Doors!$B$81</f>
        <v/>
      </c>
      <c r="E235">
        <f>Doors!$E$81</f>
        <v/>
      </c>
      <c r="F235">
        <f>Doors!$F$81</f>
        <v/>
      </c>
      <c r="G235" t="inlineStr">
        <is>
          <t>Raspberry</t>
        </is>
      </c>
      <c r="H235">
        <f>Doors!$I$81</f>
        <v/>
      </c>
      <c r="I235">
        <f>Doors!$J$81</f>
        <v/>
      </c>
      <c r="J235" s="10">
        <f>IF(OR($H235&lt;&gt;"Y",1&lt;$I235),0,IF(SUMPRODUCT(((BULK_ENABLED="Y")*((BULK_TIER="ALL")+(BULK_TIER=$F235))*((BULK_SKU="ALL")+(BULK_SKU=$G235))*(BULK_START&lt;=1)*(BULK_END&gt;=1)))&gt;0,IFERROR(SUMPRODUCT(((BULK_ENABLED="Y")*((BULK_TIER="ALL")+(BULK_TIER=$F235))*((BULK_SKU="ALL")+(BULK_SKU=$G235))*(BULK_START&lt;=1)*(BULK_END&gt;=1))*IFERROR(BULK_VALUE,0))/MAX(1,SUMPRODUCT(((BULK_ENABLED="Y")*((BULK_TIER="ALL")+(BULK_TIER=$F235))*((BULK_SKU="ALL")+(BULK_SKU=$G235))*(BULK_START&lt;=1)*(BULK_END&gt;=1)))),0),ROUND((INDEX(VELOCITY_TABLE,MATCH($F235,TIER_LIST,0),3))*(IF((1-$I235+1)&lt;=0,0,IF((1-$I235+1)=1,RAMP_W1,IF((1-$I235+1)=2,RAMP_W2,IF((1-$I235+1)=3,RAMP_W3,RAMP_W4PLUS)))))*(INDEX(ACTIVE_MULT_TABLE,3,1))*(1+SUMPRODUCT(SIGN(((ACT_DOOR_SCOPE="ALL")+(ACT_DOOR_SCOPE="TIER_"&amp;$F235)+(ACT_DOOR_SCOPE=$B235)))*SIGN(((ACT_SKU_SCOPE="ALL")+(ACT_SKU_SCOPE=$G235)))*(ACT_START&lt;=1)*(ACT_END&gt;=1)*IFERROR(ACT_UPLIFT-1,0)))*(1+SUMPRODUCT(SIGN(((ACT_DOOR_SCOPE="ALL")+(ACT_DOOR_SCOPE="TIER_"&amp;$F235)+(ACT_DOOR_SCOPE=$B235)))*SIGN(((ACT_SKU_SCOPE="ALL")+(ACT_SKU_SCOPE=$G235)))*(1&gt;ACT_END)*(ACT_END&gt;0)*IFERROR(ACT_POSTLIFT,0))),0)))</f>
        <v/>
      </c>
      <c r="K235" s="10">
        <f>IF(OR($H235&lt;&gt;"Y",2&lt;$I235),0,IF(SUMPRODUCT(((BULK_ENABLED="Y")*((BULK_TIER="ALL")+(BULK_TIER=$F235))*((BULK_SKU="ALL")+(BULK_SKU=$G235))*(BULK_START&lt;=2)*(BULK_END&gt;=2)))&gt;0,IFERROR(SUMPRODUCT(((BULK_ENABLED="Y")*((BULK_TIER="ALL")+(BULK_TIER=$F235))*((BULK_SKU="ALL")+(BULK_SKU=$G235))*(BULK_START&lt;=2)*(BULK_END&gt;=2))*IFERROR(BULK_VALUE,0))/MAX(1,SUMPRODUCT(((BULK_ENABLED="Y")*((BULK_TIER="ALL")+(BULK_TIER=$F235))*((BULK_SKU="ALL")+(BULK_SKU=$G235))*(BULK_START&lt;=2)*(BULK_END&gt;=2)))),0),ROUND((INDEX(VELOCITY_TABLE,MATCH($F235,TIER_LIST,0),3))*(IF((2-$I235+1)&lt;=0,0,IF((2-$I235+1)=1,RAMP_W1,IF((2-$I235+1)=2,RAMP_W2,IF((2-$I235+1)=3,RAMP_W3,RAMP_W4PLUS)))))*(INDEX(ACTIVE_MULT_TABLE,3,1))*(1+SUMPRODUCT(SIGN(((ACT_DOOR_SCOPE="ALL")+(ACT_DOOR_SCOPE="TIER_"&amp;$F235)+(ACT_DOOR_SCOPE=$B235)))*SIGN(((ACT_SKU_SCOPE="ALL")+(ACT_SKU_SCOPE=$G235)))*(ACT_START&lt;=2)*(ACT_END&gt;=2)*IFERROR(ACT_UPLIFT-1,0)))*(1+SUMPRODUCT(SIGN(((ACT_DOOR_SCOPE="ALL")+(ACT_DOOR_SCOPE="TIER_"&amp;$F235)+(ACT_DOOR_SCOPE=$B235)))*SIGN(((ACT_SKU_SCOPE="ALL")+(ACT_SKU_SCOPE=$G235)))*(2&gt;ACT_END)*(ACT_END&gt;0)*IFERROR(ACT_POSTLIFT,0))),0)))</f>
        <v/>
      </c>
      <c r="L235" s="10">
        <f>IF(OR($H235&lt;&gt;"Y",3&lt;$I235),0,IF(SUMPRODUCT(((BULK_ENABLED="Y")*((BULK_TIER="ALL")+(BULK_TIER=$F235))*((BULK_SKU="ALL")+(BULK_SKU=$G235))*(BULK_START&lt;=3)*(BULK_END&gt;=3)))&gt;0,IFERROR(SUMPRODUCT(((BULK_ENABLED="Y")*((BULK_TIER="ALL")+(BULK_TIER=$F235))*((BULK_SKU="ALL")+(BULK_SKU=$G235))*(BULK_START&lt;=3)*(BULK_END&gt;=3))*IFERROR(BULK_VALUE,0))/MAX(1,SUMPRODUCT(((BULK_ENABLED="Y")*((BULK_TIER="ALL")+(BULK_TIER=$F235))*((BULK_SKU="ALL")+(BULK_SKU=$G235))*(BULK_START&lt;=3)*(BULK_END&gt;=3)))),0),ROUND((INDEX(VELOCITY_TABLE,MATCH($F235,TIER_LIST,0),3))*(IF((3-$I235+1)&lt;=0,0,IF((3-$I235+1)=1,RAMP_W1,IF((3-$I235+1)=2,RAMP_W2,IF((3-$I235+1)=3,RAMP_W3,RAMP_W4PLUS)))))*(INDEX(ACTIVE_MULT_TABLE,3,1))*(1+SUMPRODUCT(SIGN(((ACT_DOOR_SCOPE="ALL")+(ACT_DOOR_SCOPE="TIER_"&amp;$F235)+(ACT_DOOR_SCOPE=$B235)))*SIGN(((ACT_SKU_SCOPE="ALL")+(ACT_SKU_SCOPE=$G235)))*(ACT_START&lt;=3)*(ACT_END&gt;=3)*IFERROR(ACT_UPLIFT-1,0)))*(1+SUMPRODUCT(SIGN(((ACT_DOOR_SCOPE="ALL")+(ACT_DOOR_SCOPE="TIER_"&amp;$F235)+(ACT_DOOR_SCOPE=$B235)))*SIGN(((ACT_SKU_SCOPE="ALL")+(ACT_SKU_SCOPE=$G235)))*(3&gt;ACT_END)*(ACT_END&gt;0)*IFERROR(ACT_POSTLIFT,0))),0)))</f>
        <v/>
      </c>
      <c r="M235" s="10">
        <f>IF(OR($H235&lt;&gt;"Y",4&lt;$I235),0,IF(SUMPRODUCT(((BULK_ENABLED="Y")*((BULK_TIER="ALL")+(BULK_TIER=$F235))*((BULK_SKU="ALL")+(BULK_SKU=$G235))*(BULK_START&lt;=4)*(BULK_END&gt;=4)))&gt;0,IFERROR(SUMPRODUCT(((BULK_ENABLED="Y")*((BULK_TIER="ALL")+(BULK_TIER=$F235))*((BULK_SKU="ALL")+(BULK_SKU=$G235))*(BULK_START&lt;=4)*(BULK_END&gt;=4))*IFERROR(BULK_VALUE,0))/MAX(1,SUMPRODUCT(((BULK_ENABLED="Y")*((BULK_TIER="ALL")+(BULK_TIER=$F235))*((BULK_SKU="ALL")+(BULK_SKU=$G235))*(BULK_START&lt;=4)*(BULK_END&gt;=4)))),0),ROUND((INDEX(VELOCITY_TABLE,MATCH($F235,TIER_LIST,0),3))*(IF((4-$I235+1)&lt;=0,0,IF((4-$I235+1)=1,RAMP_W1,IF((4-$I235+1)=2,RAMP_W2,IF((4-$I235+1)=3,RAMP_W3,RAMP_W4PLUS)))))*(INDEX(ACTIVE_MULT_TABLE,3,1))*(1+SUMPRODUCT(SIGN(((ACT_DOOR_SCOPE="ALL")+(ACT_DOOR_SCOPE="TIER_"&amp;$F235)+(ACT_DOOR_SCOPE=$B235)))*SIGN(((ACT_SKU_SCOPE="ALL")+(ACT_SKU_SCOPE=$G235)))*(ACT_START&lt;=4)*(ACT_END&gt;=4)*IFERROR(ACT_UPLIFT-1,0)))*(1+SUMPRODUCT(SIGN(((ACT_DOOR_SCOPE="ALL")+(ACT_DOOR_SCOPE="TIER_"&amp;$F235)+(ACT_DOOR_SCOPE=$B235)))*SIGN(((ACT_SKU_SCOPE="ALL")+(ACT_SKU_SCOPE=$G235)))*(4&gt;ACT_END)*(ACT_END&gt;0)*IFERROR(ACT_POSTLIFT,0))),0)))</f>
        <v/>
      </c>
      <c r="N235" s="10">
        <f>IF(OR($H235&lt;&gt;"Y",5&lt;$I235),0,IF(SUMPRODUCT(((BULK_ENABLED="Y")*((BULK_TIER="ALL")+(BULK_TIER=$F235))*((BULK_SKU="ALL")+(BULK_SKU=$G235))*(BULK_START&lt;=5)*(BULK_END&gt;=5)))&gt;0,IFERROR(SUMPRODUCT(((BULK_ENABLED="Y")*((BULK_TIER="ALL")+(BULK_TIER=$F235))*((BULK_SKU="ALL")+(BULK_SKU=$G235))*(BULK_START&lt;=5)*(BULK_END&gt;=5))*IFERROR(BULK_VALUE,0))/MAX(1,SUMPRODUCT(((BULK_ENABLED="Y")*((BULK_TIER="ALL")+(BULK_TIER=$F235))*((BULK_SKU="ALL")+(BULK_SKU=$G235))*(BULK_START&lt;=5)*(BULK_END&gt;=5)))),0),ROUND((INDEX(VELOCITY_TABLE,MATCH($F235,TIER_LIST,0),3))*(IF((5-$I235+1)&lt;=0,0,IF((5-$I235+1)=1,RAMP_W1,IF((5-$I235+1)=2,RAMP_W2,IF((5-$I235+1)=3,RAMP_W3,RAMP_W4PLUS)))))*(INDEX(ACTIVE_MULT_TABLE,3,1))*(1+SUMPRODUCT(SIGN(((ACT_DOOR_SCOPE="ALL")+(ACT_DOOR_SCOPE="TIER_"&amp;$F235)+(ACT_DOOR_SCOPE=$B235)))*SIGN(((ACT_SKU_SCOPE="ALL")+(ACT_SKU_SCOPE=$G235)))*(ACT_START&lt;=5)*(ACT_END&gt;=5)*IFERROR(ACT_UPLIFT-1,0)))*(1+SUMPRODUCT(SIGN(((ACT_DOOR_SCOPE="ALL")+(ACT_DOOR_SCOPE="TIER_"&amp;$F235)+(ACT_DOOR_SCOPE=$B235)))*SIGN(((ACT_SKU_SCOPE="ALL")+(ACT_SKU_SCOPE=$G235)))*(5&gt;ACT_END)*(ACT_END&gt;0)*IFERROR(ACT_POSTLIFT,0))),0)))</f>
        <v/>
      </c>
      <c r="O235" s="10">
        <f>IF(OR($H235&lt;&gt;"Y",6&lt;$I235),0,IF(SUMPRODUCT(((BULK_ENABLED="Y")*((BULK_TIER="ALL")+(BULK_TIER=$F235))*((BULK_SKU="ALL")+(BULK_SKU=$G235))*(BULK_START&lt;=6)*(BULK_END&gt;=6)))&gt;0,IFERROR(SUMPRODUCT(((BULK_ENABLED="Y")*((BULK_TIER="ALL")+(BULK_TIER=$F235))*((BULK_SKU="ALL")+(BULK_SKU=$G235))*(BULK_START&lt;=6)*(BULK_END&gt;=6))*IFERROR(BULK_VALUE,0))/MAX(1,SUMPRODUCT(((BULK_ENABLED="Y")*((BULK_TIER="ALL")+(BULK_TIER=$F235))*((BULK_SKU="ALL")+(BULK_SKU=$G235))*(BULK_START&lt;=6)*(BULK_END&gt;=6)))),0),ROUND((INDEX(VELOCITY_TABLE,MATCH($F235,TIER_LIST,0),3))*(IF((6-$I235+1)&lt;=0,0,IF((6-$I235+1)=1,RAMP_W1,IF((6-$I235+1)=2,RAMP_W2,IF((6-$I235+1)=3,RAMP_W3,RAMP_W4PLUS)))))*(INDEX(ACTIVE_MULT_TABLE,3,1))*(1+SUMPRODUCT(SIGN(((ACT_DOOR_SCOPE="ALL")+(ACT_DOOR_SCOPE="TIER_"&amp;$F235)+(ACT_DOOR_SCOPE=$B235)))*SIGN(((ACT_SKU_SCOPE="ALL")+(ACT_SKU_SCOPE=$G235)))*(ACT_START&lt;=6)*(ACT_END&gt;=6)*IFERROR(ACT_UPLIFT-1,0)))*(1+SUMPRODUCT(SIGN(((ACT_DOOR_SCOPE="ALL")+(ACT_DOOR_SCOPE="TIER_"&amp;$F235)+(ACT_DOOR_SCOPE=$B235)))*SIGN(((ACT_SKU_SCOPE="ALL")+(ACT_SKU_SCOPE=$G235)))*(6&gt;ACT_END)*(ACT_END&gt;0)*IFERROR(ACT_POSTLIFT,0))),0)))</f>
        <v/>
      </c>
      <c r="P235" s="10">
        <f>IF(OR($H235&lt;&gt;"Y",7&lt;$I235),0,IF(SUMPRODUCT(((BULK_ENABLED="Y")*((BULK_TIER="ALL")+(BULK_TIER=$F235))*((BULK_SKU="ALL")+(BULK_SKU=$G235))*(BULK_START&lt;=7)*(BULK_END&gt;=7)))&gt;0,IFERROR(SUMPRODUCT(((BULK_ENABLED="Y")*((BULK_TIER="ALL")+(BULK_TIER=$F235))*((BULK_SKU="ALL")+(BULK_SKU=$G235))*(BULK_START&lt;=7)*(BULK_END&gt;=7))*IFERROR(BULK_VALUE,0))/MAX(1,SUMPRODUCT(((BULK_ENABLED="Y")*((BULK_TIER="ALL")+(BULK_TIER=$F235))*((BULK_SKU="ALL")+(BULK_SKU=$G235))*(BULK_START&lt;=7)*(BULK_END&gt;=7)))),0),ROUND((INDEX(VELOCITY_TABLE,MATCH($F235,TIER_LIST,0),3))*(IF((7-$I235+1)&lt;=0,0,IF((7-$I235+1)=1,RAMP_W1,IF((7-$I235+1)=2,RAMP_W2,IF((7-$I235+1)=3,RAMP_W3,RAMP_W4PLUS)))))*(INDEX(ACTIVE_MULT_TABLE,3,1))*(1+SUMPRODUCT(SIGN(((ACT_DOOR_SCOPE="ALL")+(ACT_DOOR_SCOPE="TIER_"&amp;$F235)+(ACT_DOOR_SCOPE=$B235)))*SIGN(((ACT_SKU_SCOPE="ALL")+(ACT_SKU_SCOPE=$G235)))*(ACT_START&lt;=7)*(ACT_END&gt;=7)*IFERROR(ACT_UPLIFT-1,0)))*(1+SUMPRODUCT(SIGN(((ACT_DOOR_SCOPE="ALL")+(ACT_DOOR_SCOPE="TIER_"&amp;$F235)+(ACT_DOOR_SCOPE=$B235)))*SIGN(((ACT_SKU_SCOPE="ALL")+(ACT_SKU_SCOPE=$G235)))*(7&gt;ACT_END)*(ACT_END&gt;0)*IFERROR(ACT_POSTLIFT,0))),0)))</f>
        <v/>
      </c>
      <c r="Q235" s="10">
        <f>IF(OR($H235&lt;&gt;"Y",8&lt;$I235),0,IF(SUMPRODUCT(((BULK_ENABLED="Y")*((BULK_TIER="ALL")+(BULK_TIER=$F235))*((BULK_SKU="ALL")+(BULK_SKU=$G235))*(BULK_START&lt;=8)*(BULK_END&gt;=8)))&gt;0,IFERROR(SUMPRODUCT(((BULK_ENABLED="Y")*((BULK_TIER="ALL")+(BULK_TIER=$F235))*((BULK_SKU="ALL")+(BULK_SKU=$G235))*(BULK_START&lt;=8)*(BULK_END&gt;=8))*IFERROR(BULK_VALUE,0))/MAX(1,SUMPRODUCT(((BULK_ENABLED="Y")*((BULK_TIER="ALL")+(BULK_TIER=$F235))*((BULK_SKU="ALL")+(BULK_SKU=$G235))*(BULK_START&lt;=8)*(BULK_END&gt;=8)))),0),ROUND((INDEX(VELOCITY_TABLE,MATCH($F235,TIER_LIST,0),3))*(IF((8-$I235+1)&lt;=0,0,IF((8-$I235+1)=1,RAMP_W1,IF((8-$I235+1)=2,RAMP_W2,IF((8-$I235+1)=3,RAMP_W3,RAMP_W4PLUS)))))*(INDEX(ACTIVE_MULT_TABLE,3,1))*(1+SUMPRODUCT(SIGN(((ACT_DOOR_SCOPE="ALL")+(ACT_DOOR_SCOPE="TIER_"&amp;$F235)+(ACT_DOOR_SCOPE=$B235)))*SIGN(((ACT_SKU_SCOPE="ALL")+(ACT_SKU_SCOPE=$G235)))*(ACT_START&lt;=8)*(ACT_END&gt;=8)*IFERROR(ACT_UPLIFT-1,0)))*(1+SUMPRODUCT(SIGN(((ACT_DOOR_SCOPE="ALL")+(ACT_DOOR_SCOPE="TIER_"&amp;$F235)+(ACT_DOOR_SCOPE=$B235)))*SIGN(((ACT_SKU_SCOPE="ALL")+(ACT_SKU_SCOPE=$G235)))*(8&gt;ACT_END)*(ACT_END&gt;0)*IFERROR(ACT_POSTLIFT,0))),0)))</f>
        <v/>
      </c>
      <c r="R235" s="10">
        <f>IF(OR($H235&lt;&gt;"Y",9&lt;$I235),0,IF(SUMPRODUCT(((BULK_ENABLED="Y")*((BULK_TIER="ALL")+(BULK_TIER=$F235))*((BULK_SKU="ALL")+(BULK_SKU=$G235))*(BULK_START&lt;=9)*(BULK_END&gt;=9)))&gt;0,IFERROR(SUMPRODUCT(((BULK_ENABLED="Y")*((BULK_TIER="ALL")+(BULK_TIER=$F235))*((BULK_SKU="ALL")+(BULK_SKU=$G235))*(BULK_START&lt;=9)*(BULK_END&gt;=9))*IFERROR(BULK_VALUE,0))/MAX(1,SUMPRODUCT(((BULK_ENABLED="Y")*((BULK_TIER="ALL")+(BULK_TIER=$F235))*((BULK_SKU="ALL")+(BULK_SKU=$G235))*(BULK_START&lt;=9)*(BULK_END&gt;=9)))),0),ROUND((INDEX(VELOCITY_TABLE,MATCH($F235,TIER_LIST,0),3))*(IF((9-$I235+1)&lt;=0,0,IF((9-$I235+1)=1,RAMP_W1,IF((9-$I235+1)=2,RAMP_W2,IF((9-$I235+1)=3,RAMP_W3,RAMP_W4PLUS)))))*(INDEX(ACTIVE_MULT_TABLE,3,1))*(1+SUMPRODUCT(SIGN(((ACT_DOOR_SCOPE="ALL")+(ACT_DOOR_SCOPE="TIER_"&amp;$F235)+(ACT_DOOR_SCOPE=$B235)))*SIGN(((ACT_SKU_SCOPE="ALL")+(ACT_SKU_SCOPE=$G235)))*(ACT_START&lt;=9)*(ACT_END&gt;=9)*IFERROR(ACT_UPLIFT-1,0)))*(1+SUMPRODUCT(SIGN(((ACT_DOOR_SCOPE="ALL")+(ACT_DOOR_SCOPE="TIER_"&amp;$F235)+(ACT_DOOR_SCOPE=$B235)))*SIGN(((ACT_SKU_SCOPE="ALL")+(ACT_SKU_SCOPE=$G235)))*(9&gt;ACT_END)*(ACT_END&gt;0)*IFERROR(ACT_POSTLIFT,0))),0)))</f>
        <v/>
      </c>
      <c r="S235" s="10">
        <f>IF(OR($H235&lt;&gt;"Y",10&lt;$I235),0,IF(SUMPRODUCT(((BULK_ENABLED="Y")*((BULK_TIER="ALL")+(BULK_TIER=$F235))*((BULK_SKU="ALL")+(BULK_SKU=$G235))*(BULK_START&lt;=10)*(BULK_END&gt;=10)))&gt;0,IFERROR(SUMPRODUCT(((BULK_ENABLED="Y")*((BULK_TIER="ALL")+(BULK_TIER=$F235))*((BULK_SKU="ALL")+(BULK_SKU=$G235))*(BULK_START&lt;=10)*(BULK_END&gt;=10))*IFERROR(BULK_VALUE,0))/MAX(1,SUMPRODUCT(((BULK_ENABLED="Y")*((BULK_TIER="ALL")+(BULK_TIER=$F235))*((BULK_SKU="ALL")+(BULK_SKU=$G235))*(BULK_START&lt;=10)*(BULK_END&gt;=10)))),0),ROUND((INDEX(VELOCITY_TABLE,MATCH($F235,TIER_LIST,0),3))*(IF((10-$I235+1)&lt;=0,0,IF((10-$I235+1)=1,RAMP_W1,IF((10-$I235+1)=2,RAMP_W2,IF((10-$I235+1)=3,RAMP_W3,RAMP_W4PLUS)))))*(INDEX(ACTIVE_MULT_TABLE,3,1))*(1+SUMPRODUCT(SIGN(((ACT_DOOR_SCOPE="ALL")+(ACT_DOOR_SCOPE="TIER_"&amp;$F235)+(ACT_DOOR_SCOPE=$B235)))*SIGN(((ACT_SKU_SCOPE="ALL")+(ACT_SKU_SCOPE=$G235)))*(ACT_START&lt;=10)*(ACT_END&gt;=10)*IFERROR(ACT_UPLIFT-1,0)))*(1+SUMPRODUCT(SIGN(((ACT_DOOR_SCOPE="ALL")+(ACT_DOOR_SCOPE="TIER_"&amp;$F235)+(ACT_DOOR_SCOPE=$B235)))*SIGN(((ACT_SKU_SCOPE="ALL")+(ACT_SKU_SCOPE=$G235)))*(10&gt;ACT_END)*(ACT_END&gt;0)*IFERROR(ACT_POSTLIFT,0))),0)))</f>
        <v/>
      </c>
      <c r="T235" s="10">
        <f>IF(OR($H235&lt;&gt;"Y",11&lt;$I235),0,IF(SUMPRODUCT(((BULK_ENABLED="Y")*((BULK_TIER="ALL")+(BULK_TIER=$F235))*((BULK_SKU="ALL")+(BULK_SKU=$G235))*(BULK_START&lt;=11)*(BULK_END&gt;=11)))&gt;0,IFERROR(SUMPRODUCT(((BULK_ENABLED="Y")*((BULK_TIER="ALL")+(BULK_TIER=$F235))*((BULK_SKU="ALL")+(BULK_SKU=$G235))*(BULK_START&lt;=11)*(BULK_END&gt;=11))*IFERROR(BULK_VALUE,0))/MAX(1,SUMPRODUCT(((BULK_ENABLED="Y")*((BULK_TIER="ALL")+(BULK_TIER=$F235))*((BULK_SKU="ALL")+(BULK_SKU=$G235))*(BULK_START&lt;=11)*(BULK_END&gt;=11)))),0),ROUND((INDEX(VELOCITY_TABLE,MATCH($F235,TIER_LIST,0),3))*(IF((11-$I235+1)&lt;=0,0,IF((11-$I235+1)=1,RAMP_W1,IF((11-$I235+1)=2,RAMP_W2,IF((11-$I235+1)=3,RAMP_W3,RAMP_W4PLUS)))))*(INDEX(ACTIVE_MULT_TABLE,3,1))*(1+SUMPRODUCT(SIGN(((ACT_DOOR_SCOPE="ALL")+(ACT_DOOR_SCOPE="TIER_"&amp;$F235)+(ACT_DOOR_SCOPE=$B235)))*SIGN(((ACT_SKU_SCOPE="ALL")+(ACT_SKU_SCOPE=$G235)))*(ACT_START&lt;=11)*(ACT_END&gt;=11)*IFERROR(ACT_UPLIFT-1,0)))*(1+SUMPRODUCT(SIGN(((ACT_DOOR_SCOPE="ALL")+(ACT_DOOR_SCOPE="TIER_"&amp;$F235)+(ACT_DOOR_SCOPE=$B235)))*SIGN(((ACT_SKU_SCOPE="ALL")+(ACT_SKU_SCOPE=$G235)))*(11&gt;ACT_END)*(ACT_END&gt;0)*IFERROR(ACT_POSTLIFT,0))),0)))</f>
        <v/>
      </c>
      <c r="U235" s="10">
        <f>IF(OR($H235&lt;&gt;"Y",12&lt;$I235),0,IF(SUMPRODUCT(((BULK_ENABLED="Y")*((BULK_TIER="ALL")+(BULK_TIER=$F235))*((BULK_SKU="ALL")+(BULK_SKU=$G235))*(BULK_START&lt;=12)*(BULK_END&gt;=12)))&gt;0,IFERROR(SUMPRODUCT(((BULK_ENABLED="Y")*((BULK_TIER="ALL")+(BULK_TIER=$F235))*((BULK_SKU="ALL")+(BULK_SKU=$G235))*(BULK_START&lt;=12)*(BULK_END&gt;=12))*IFERROR(BULK_VALUE,0))/MAX(1,SUMPRODUCT(((BULK_ENABLED="Y")*((BULK_TIER="ALL")+(BULK_TIER=$F235))*((BULK_SKU="ALL")+(BULK_SKU=$G235))*(BULK_START&lt;=12)*(BULK_END&gt;=12)))),0),ROUND((INDEX(VELOCITY_TABLE,MATCH($F235,TIER_LIST,0),3))*(IF((12-$I235+1)&lt;=0,0,IF((12-$I235+1)=1,RAMP_W1,IF((12-$I235+1)=2,RAMP_W2,IF((12-$I235+1)=3,RAMP_W3,RAMP_W4PLUS)))))*(INDEX(ACTIVE_MULT_TABLE,3,1))*(1+SUMPRODUCT(SIGN(((ACT_DOOR_SCOPE="ALL")+(ACT_DOOR_SCOPE="TIER_"&amp;$F235)+(ACT_DOOR_SCOPE=$B235)))*SIGN(((ACT_SKU_SCOPE="ALL")+(ACT_SKU_SCOPE=$G235)))*(ACT_START&lt;=12)*(ACT_END&gt;=12)*IFERROR(ACT_UPLIFT-1,0)))*(1+SUMPRODUCT(SIGN(((ACT_DOOR_SCOPE="ALL")+(ACT_DOOR_SCOPE="TIER_"&amp;$F235)+(ACT_DOOR_SCOPE=$B235)))*SIGN(((ACT_SKU_SCOPE="ALL")+(ACT_SKU_SCOPE=$G235)))*(12&gt;ACT_END)*(ACT_END&gt;0)*IFERROR(ACT_POSTLIFT,0))),0)))</f>
        <v/>
      </c>
      <c r="V235" s="10">
        <f>IF(OR($H235&lt;&gt;"Y",13&lt;$I235),0,IF(SUMPRODUCT(((BULK_ENABLED="Y")*((BULK_TIER="ALL")+(BULK_TIER=$F235))*((BULK_SKU="ALL")+(BULK_SKU=$G235))*(BULK_START&lt;=13)*(BULK_END&gt;=13)))&gt;0,IFERROR(SUMPRODUCT(((BULK_ENABLED="Y")*((BULK_TIER="ALL")+(BULK_TIER=$F235))*((BULK_SKU="ALL")+(BULK_SKU=$G235))*(BULK_START&lt;=13)*(BULK_END&gt;=13))*IFERROR(BULK_VALUE,0))/MAX(1,SUMPRODUCT(((BULK_ENABLED="Y")*((BULK_TIER="ALL")+(BULK_TIER=$F235))*((BULK_SKU="ALL")+(BULK_SKU=$G235))*(BULK_START&lt;=13)*(BULK_END&gt;=13)))),0),ROUND((INDEX(VELOCITY_TABLE,MATCH($F235,TIER_LIST,0),3))*(IF((13-$I235+1)&lt;=0,0,IF((13-$I235+1)=1,RAMP_W1,IF((13-$I235+1)=2,RAMP_W2,IF((13-$I235+1)=3,RAMP_W3,RAMP_W4PLUS)))))*(INDEX(ACTIVE_MULT_TABLE,3,1))*(1+SUMPRODUCT(SIGN(((ACT_DOOR_SCOPE="ALL")+(ACT_DOOR_SCOPE="TIER_"&amp;$F235)+(ACT_DOOR_SCOPE=$B235)))*SIGN(((ACT_SKU_SCOPE="ALL")+(ACT_SKU_SCOPE=$G235)))*(ACT_START&lt;=13)*(ACT_END&gt;=13)*IFERROR(ACT_UPLIFT-1,0)))*(1+SUMPRODUCT(SIGN(((ACT_DOOR_SCOPE="ALL")+(ACT_DOOR_SCOPE="TIER_"&amp;$F235)+(ACT_DOOR_SCOPE=$B235)))*SIGN(((ACT_SKU_SCOPE="ALL")+(ACT_SKU_SCOPE=$G235)))*(13&gt;ACT_END)*(ACT_END&gt;0)*IFERROR(ACT_POSTLIFT,0))),0)))</f>
        <v/>
      </c>
    </row>
    <row r="236">
      <c r="A236" t="inlineStr">
        <is>
          <t>R0232</t>
        </is>
      </c>
      <c r="B236">
        <f>Doors!$A$82</f>
        <v/>
      </c>
      <c r="C236">
        <f>Doors!$C$82</f>
        <v/>
      </c>
      <c r="D236">
        <f>Doors!$B$82</f>
        <v/>
      </c>
      <c r="E236">
        <f>Doors!$E$82</f>
        <v/>
      </c>
      <c r="F236">
        <f>Doors!$F$82</f>
        <v/>
      </c>
      <c r="G236" t="inlineStr">
        <is>
          <t>Lime Lemon</t>
        </is>
      </c>
      <c r="H236">
        <f>Doors!$G$82</f>
        <v/>
      </c>
      <c r="I236">
        <f>Doors!$J$82</f>
        <v/>
      </c>
      <c r="J236" s="10">
        <f>IF(OR($H236&lt;&gt;"Y",1&lt;$I236),0,IF(SUMPRODUCT(((BULK_ENABLED="Y")*((BULK_TIER="ALL")+(BULK_TIER=$F236))*((BULK_SKU="ALL")+(BULK_SKU=$G236))*(BULK_START&lt;=1)*(BULK_END&gt;=1)))&gt;0,IFERROR(SUMPRODUCT(((BULK_ENABLED="Y")*((BULK_TIER="ALL")+(BULK_TIER=$F236))*((BULK_SKU="ALL")+(BULK_SKU=$G236))*(BULK_START&lt;=1)*(BULK_END&gt;=1))*IFERROR(BULK_VALUE,0))/MAX(1,SUMPRODUCT(((BULK_ENABLED="Y")*((BULK_TIER="ALL")+(BULK_TIER=$F236))*((BULK_SKU="ALL")+(BULK_SKU=$G236))*(BULK_START&lt;=1)*(BULK_END&gt;=1)))),0),ROUND((INDEX(VELOCITY_TABLE,MATCH($F236,TIER_LIST,0),1))*(IF((1-$I236+1)&lt;=0,0,IF((1-$I236+1)=1,RAMP_W1,IF((1-$I236+1)=2,RAMP_W2,IF((1-$I236+1)=3,RAMP_W3,RAMP_W4PLUS)))))*(INDEX(ACTIVE_MULT_TABLE,1,1))*(1+SUMPRODUCT(SIGN(((ACT_DOOR_SCOPE="ALL")+(ACT_DOOR_SCOPE="TIER_"&amp;$F236)+(ACT_DOOR_SCOPE=$B236)))*SIGN(((ACT_SKU_SCOPE="ALL")+(ACT_SKU_SCOPE=$G236)))*(ACT_START&lt;=1)*(ACT_END&gt;=1)*IFERROR(ACT_UPLIFT-1,0)))*(1+SUMPRODUCT(SIGN(((ACT_DOOR_SCOPE="ALL")+(ACT_DOOR_SCOPE="TIER_"&amp;$F236)+(ACT_DOOR_SCOPE=$B236)))*SIGN(((ACT_SKU_SCOPE="ALL")+(ACT_SKU_SCOPE=$G236)))*(1&gt;ACT_END)*(ACT_END&gt;0)*IFERROR(ACT_POSTLIFT,0))),0)))</f>
        <v/>
      </c>
      <c r="K236" s="10">
        <f>IF(OR($H236&lt;&gt;"Y",2&lt;$I236),0,IF(SUMPRODUCT(((BULK_ENABLED="Y")*((BULK_TIER="ALL")+(BULK_TIER=$F236))*((BULK_SKU="ALL")+(BULK_SKU=$G236))*(BULK_START&lt;=2)*(BULK_END&gt;=2)))&gt;0,IFERROR(SUMPRODUCT(((BULK_ENABLED="Y")*((BULK_TIER="ALL")+(BULK_TIER=$F236))*((BULK_SKU="ALL")+(BULK_SKU=$G236))*(BULK_START&lt;=2)*(BULK_END&gt;=2))*IFERROR(BULK_VALUE,0))/MAX(1,SUMPRODUCT(((BULK_ENABLED="Y")*((BULK_TIER="ALL")+(BULK_TIER=$F236))*((BULK_SKU="ALL")+(BULK_SKU=$G236))*(BULK_START&lt;=2)*(BULK_END&gt;=2)))),0),ROUND((INDEX(VELOCITY_TABLE,MATCH($F236,TIER_LIST,0),1))*(IF((2-$I236+1)&lt;=0,0,IF((2-$I236+1)=1,RAMP_W1,IF((2-$I236+1)=2,RAMP_W2,IF((2-$I236+1)=3,RAMP_W3,RAMP_W4PLUS)))))*(INDEX(ACTIVE_MULT_TABLE,1,1))*(1+SUMPRODUCT(SIGN(((ACT_DOOR_SCOPE="ALL")+(ACT_DOOR_SCOPE="TIER_"&amp;$F236)+(ACT_DOOR_SCOPE=$B236)))*SIGN(((ACT_SKU_SCOPE="ALL")+(ACT_SKU_SCOPE=$G236)))*(ACT_START&lt;=2)*(ACT_END&gt;=2)*IFERROR(ACT_UPLIFT-1,0)))*(1+SUMPRODUCT(SIGN(((ACT_DOOR_SCOPE="ALL")+(ACT_DOOR_SCOPE="TIER_"&amp;$F236)+(ACT_DOOR_SCOPE=$B236)))*SIGN(((ACT_SKU_SCOPE="ALL")+(ACT_SKU_SCOPE=$G236)))*(2&gt;ACT_END)*(ACT_END&gt;0)*IFERROR(ACT_POSTLIFT,0))),0)))</f>
        <v/>
      </c>
      <c r="L236" s="10">
        <f>IF(OR($H236&lt;&gt;"Y",3&lt;$I236),0,IF(SUMPRODUCT(((BULK_ENABLED="Y")*((BULK_TIER="ALL")+(BULK_TIER=$F236))*((BULK_SKU="ALL")+(BULK_SKU=$G236))*(BULK_START&lt;=3)*(BULK_END&gt;=3)))&gt;0,IFERROR(SUMPRODUCT(((BULK_ENABLED="Y")*((BULK_TIER="ALL")+(BULK_TIER=$F236))*((BULK_SKU="ALL")+(BULK_SKU=$G236))*(BULK_START&lt;=3)*(BULK_END&gt;=3))*IFERROR(BULK_VALUE,0))/MAX(1,SUMPRODUCT(((BULK_ENABLED="Y")*((BULK_TIER="ALL")+(BULK_TIER=$F236))*((BULK_SKU="ALL")+(BULK_SKU=$G236))*(BULK_START&lt;=3)*(BULK_END&gt;=3)))),0),ROUND((INDEX(VELOCITY_TABLE,MATCH($F236,TIER_LIST,0),1))*(IF((3-$I236+1)&lt;=0,0,IF((3-$I236+1)=1,RAMP_W1,IF((3-$I236+1)=2,RAMP_W2,IF((3-$I236+1)=3,RAMP_W3,RAMP_W4PLUS)))))*(INDEX(ACTIVE_MULT_TABLE,1,1))*(1+SUMPRODUCT(SIGN(((ACT_DOOR_SCOPE="ALL")+(ACT_DOOR_SCOPE="TIER_"&amp;$F236)+(ACT_DOOR_SCOPE=$B236)))*SIGN(((ACT_SKU_SCOPE="ALL")+(ACT_SKU_SCOPE=$G236)))*(ACT_START&lt;=3)*(ACT_END&gt;=3)*IFERROR(ACT_UPLIFT-1,0)))*(1+SUMPRODUCT(SIGN(((ACT_DOOR_SCOPE="ALL")+(ACT_DOOR_SCOPE="TIER_"&amp;$F236)+(ACT_DOOR_SCOPE=$B236)))*SIGN(((ACT_SKU_SCOPE="ALL")+(ACT_SKU_SCOPE=$G236)))*(3&gt;ACT_END)*(ACT_END&gt;0)*IFERROR(ACT_POSTLIFT,0))),0)))</f>
        <v/>
      </c>
      <c r="M236" s="10">
        <f>IF(OR($H236&lt;&gt;"Y",4&lt;$I236),0,IF(SUMPRODUCT(((BULK_ENABLED="Y")*((BULK_TIER="ALL")+(BULK_TIER=$F236))*((BULK_SKU="ALL")+(BULK_SKU=$G236))*(BULK_START&lt;=4)*(BULK_END&gt;=4)))&gt;0,IFERROR(SUMPRODUCT(((BULK_ENABLED="Y")*((BULK_TIER="ALL")+(BULK_TIER=$F236))*((BULK_SKU="ALL")+(BULK_SKU=$G236))*(BULK_START&lt;=4)*(BULK_END&gt;=4))*IFERROR(BULK_VALUE,0))/MAX(1,SUMPRODUCT(((BULK_ENABLED="Y")*((BULK_TIER="ALL")+(BULK_TIER=$F236))*((BULK_SKU="ALL")+(BULK_SKU=$G236))*(BULK_START&lt;=4)*(BULK_END&gt;=4)))),0),ROUND((INDEX(VELOCITY_TABLE,MATCH($F236,TIER_LIST,0),1))*(IF((4-$I236+1)&lt;=0,0,IF((4-$I236+1)=1,RAMP_W1,IF((4-$I236+1)=2,RAMP_W2,IF((4-$I236+1)=3,RAMP_W3,RAMP_W4PLUS)))))*(INDEX(ACTIVE_MULT_TABLE,1,1))*(1+SUMPRODUCT(SIGN(((ACT_DOOR_SCOPE="ALL")+(ACT_DOOR_SCOPE="TIER_"&amp;$F236)+(ACT_DOOR_SCOPE=$B236)))*SIGN(((ACT_SKU_SCOPE="ALL")+(ACT_SKU_SCOPE=$G236)))*(ACT_START&lt;=4)*(ACT_END&gt;=4)*IFERROR(ACT_UPLIFT-1,0)))*(1+SUMPRODUCT(SIGN(((ACT_DOOR_SCOPE="ALL")+(ACT_DOOR_SCOPE="TIER_"&amp;$F236)+(ACT_DOOR_SCOPE=$B236)))*SIGN(((ACT_SKU_SCOPE="ALL")+(ACT_SKU_SCOPE=$G236)))*(4&gt;ACT_END)*(ACT_END&gt;0)*IFERROR(ACT_POSTLIFT,0))),0)))</f>
        <v/>
      </c>
      <c r="N236" s="10">
        <f>IF(OR($H236&lt;&gt;"Y",5&lt;$I236),0,IF(SUMPRODUCT(((BULK_ENABLED="Y")*((BULK_TIER="ALL")+(BULK_TIER=$F236))*((BULK_SKU="ALL")+(BULK_SKU=$G236))*(BULK_START&lt;=5)*(BULK_END&gt;=5)))&gt;0,IFERROR(SUMPRODUCT(((BULK_ENABLED="Y")*((BULK_TIER="ALL")+(BULK_TIER=$F236))*((BULK_SKU="ALL")+(BULK_SKU=$G236))*(BULK_START&lt;=5)*(BULK_END&gt;=5))*IFERROR(BULK_VALUE,0))/MAX(1,SUMPRODUCT(((BULK_ENABLED="Y")*((BULK_TIER="ALL")+(BULK_TIER=$F236))*((BULK_SKU="ALL")+(BULK_SKU=$G236))*(BULK_START&lt;=5)*(BULK_END&gt;=5)))),0),ROUND((INDEX(VELOCITY_TABLE,MATCH($F236,TIER_LIST,0),1))*(IF((5-$I236+1)&lt;=0,0,IF((5-$I236+1)=1,RAMP_W1,IF((5-$I236+1)=2,RAMP_W2,IF((5-$I236+1)=3,RAMP_W3,RAMP_W4PLUS)))))*(INDEX(ACTIVE_MULT_TABLE,1,1))*(1+SUMPRODUCT(SIGN(((ACT_DOOR_SCOPE="ALL")+(ACT_DOOR_SCOPE="TIER_"&amp;$F236)+(ACT_DOOR_SCOPE=$B236)))*SIGN(((ACT_SKU_SCOPE="ALL")+(ACT_SKU_SCOPE=$G236)))*(ACT_START&lt;=5)*(ACT_END&gt;=5)*IFERROR(ACT_UPLIFT-1,0)))*(1+SUMPRODUCT(SIGN(((ACT_DOOR_SCOPE="ALL")+(ACT_DOOR_SCOPE="TIER_"&amp;$F236)+(ACT_DOOR_SCOPE=$B236)))*SIGN(((ACT_SKU_SCOPE="ALL")+(ACT_SKU_SCOPE=$G236)))*(5&gt;ACT_END)*(ACT_END&gt;0)*IFERROR(ACT_POSTLIFT,0))),0)))</f>
        <v/>
      </c>
      <c r="O236" s="10">
        <f>IF(OR($H236&lt;&gt;"Y",6&lt;$I236),0,IF(SUMPRODUCT(((BULK_ENABLED="Y")*((BULK_TIER="ALL")+(BULK_TIER=$F236))*((BULK_SKU="ALL")+(BULK_SKU=$G236))*(BULK_START&lt;=6)*(BULK_END&gt;=6)))&gt;0,IFERROR(SUMPRODUCT(((BULK_ENABLED="Y")*((BULK_TIER="ALL")+(BULK_TIER=$F236))*((BULK_SKU="ALL")+(BULK_SKU=$G236))*(BULK_START&lt;=6)*(BULK_END&gt;=6))*IFERROR(BULK_VALUE,0))/MAX(1,SUMPRODUCT(((BULK_ENABLED="Y")*((BULK_TIER="ALL")+(BULK_TIER=$F236))*((BULK_SKU="ALL")+(BULK_SKU=$G236))*(BULK_START&lt;=6)*(BULK_END&gt;=6)))),0),ROUND((INDEX(VELOCITY_TABLE,MATCH($F236,TIER_LIST,0),1))*(IF((6-$I236+1)&lt;=0,0,IF((6-$I236+1)=1,RAMP_W1,IF((6-$I236+1)=2,RAMP_W2,IF((6-$I236+1)=3,RAMP_W3,RAMP_W4PLUS)))))*(INDEX(ACTIVE_MULT_TABLE,1,1))*(1+SUMPRODUCT(SIGN(((ACT_DOOR_SCOPE="ALL")+(ACT_DOOR_SCOPE="TIER_"&amp;$F236)+(ACT_DOOR_SCOPE=$B236)))*SIGN(((ACT_SKU_SCOPE="ALL")+(ACT_SKU_SCOPE=$G236)))*(ACT_START&lt;=6)*(ACT_END&gt;=6)*IFERROR(ACT_UPLIFT-1,0)))*(1+SUMPRODUCT(SIGN(((ACT_DOOR_SCOPE="ALL")+(ACT_DOOR_SCOPE="TIER_"&amp;$F236)+(ACT_DOOR_SCOPE=$B236)))*SIGN(((ACT_SKU_SCOPE="ALL")+(ACT_SKU_SCOPE=$G236)))*(6&gt;ACT_END)*(ACT_END&gt;0)*IFERROR(ACT_POSTLIFT,0))),0)))</f>
        <v/>
      </c>
      <c r="P236" s="10">
        <f>IF(OR($H236&lt;&gt;"Y",7&lt;$I236),0,IF(SUMPRODUCT(((BULK_ENABLED="Y")*((BULK_TIER="ALL")+(BULK_TIER=$F236))*((BULK_SKU="ALL")+(BULK_SKU=$G236))*(BULK_START&lt;=7)*(BULK_END&gt;=7)))&gt;0,IFERROR(SUMPRODUCT(((BULK_ENABLED="Y")*((BULK_TIER="ALL")+(BULK_TIER=$F236))*((BULK_SKU="ALL")+(BULK_SKU=$G236))*(BULK_START&lt;=7)*(BULK_END&gt;=7))*IFERROR(BULK_VALUE,0))/MAX(1,SUMPRODUCT(((BULK_ENABLED="Y")*((BULK_TIER="ALL")+(BULK_TIER=$F236))*((BULK_SKU="ALL")+(BULK_SKU=$G236))*(BULK_START&lt;=7)*(BULK_END&gt;=7)))),0),ROUND((INDEX(VELOCITY_TABLE,MATCH($F236,TIER_LIST,0),1))*(IF((7-$I236+1)&lt;=0,0,IF((7-$I236+1)=1,RAMP_W1,IF((7-$I236+1)=2,RAMP_W2,IF((7-$I236+1)=3,RAMP_W3,RAMP_W4PLUS)))))*(INDEX(ACTIVE_MULT_TABLE,1,1))*(1+SUMPRODUCT(SIGN(((ACT_DOOR_SCOPE="ALL")+(ACT_DOOR_SCOPE="TIER_"&amp;$F236)+(ACT_DOOR_SCOPE=$B236)))*SIGN(((ACT_SKU_SCOPE="ALL")+(ACT_SKU_SCOPE=$G236)))*(ACT_START&lt;=7)*(ACT_END&gt;=7)*IFERROR(ACT_UPLIFT-1,0)))*(1+SUMPRODUCT(SIGN(((ACT_DOOR_SCOPE="ALL")+(ACT_DOOR_SCOPE="TIER_"&amp;$F236)+(ACT_DOOR_SCOPE=$B236)))*SIGN(((ACT_SKU_SCOPE="ALL")+(ACT_SKU_SCOPE=$G236)))*(7&gt;ACT_END)*(ACT_END&gt;0)*IFERROR(ACT_POSTLIFT,0))),0)))</f>
        <v/>
      </c>
      <c r="Q236" s="10">
        <f>IF(OR($H236&lt;&gt;"Y",8&lt;$I236),0,IF(SUMPRODUCT(((BULK_ENABLED="Y")*((BULK_TIER="ALL")+(BULK_TIER=$F236))*((BULK_SKU="ALL")+(BULK_SKU=$G236))*(BULK_START&lt;=8)*(BULK_END&gt;=8)))&gt;0,IFERROR(SUMPRODUCT(((BULK_ENABLED="Y")*((BULK_TIER="ALL")+(BULK_TIER=$F236))*((BULK_SKU="ALL")+(BULK_SKU=$G236))*(BULK_START&lt;=8)*(BULK_END&gt;=8))*IFERROR(BULK_VALUE,0))/MAX(1,SUMPRODUCT(((BULK_ENABLED="Y")*((BULK_TIER="ALL")+(BULK_TIER=$F236))*((BULK_SKU="ALL")+(BULK_SKU=$G236))*(BULK_START&lt;=8)*(BULK_END&gt;=8)))),0),ROUND((INDEX(VELOCITY_TABLE,MATCH($F236,TIER_LIST,0),1))*(IF((8-$I236+1)&lt;=0,0,IF((8-$I236+1)=1,RAMP_W1,IF((8-$I236+1)=2,RAMP_W2,IF((8-$I236+1)=3,RAMP_W3,RAMP_W4PLUS)))))*(INDEX(ACTIVE_MULT_TABLE,1,1))*(1+SUMPRODUCT(SIGN(((ACT_DOOR_SCOPE="ALL")+(ACT_DOOR_SCOPE="TIER_"&amp;$F236)+(ACT_DOOR_SCOPE=$B236)))*SIGN(((ACT_SKU_SCOPE="ALL")+(ACT_SKU_SCOPE=$G236)))*(ACT_START&lt;=8)*(ACT_END&gt;=8)*IFERROR(ACT_UPLIFT-1,0)))*(1+SUMPRODUCT(SIGN(((ACT_DOOR_SCOPE="ALL")+(ACT_DOOR_SCOPE="TIER_"&amp;$F236)+(ACT_DOOR_SCOPE=$B236)))*SIGN(((ACT_SKU_SCOPE="ALL")+(ACT_SKU_SCOPE=$G236)))*(8&gt;ACT_END)*(ACT_END&gt;0)*IFERROR(ACT_POSTLIFT,0))),0)))</f>
        <v/>
      </c>
      <c r="R236" s="10">
        <f>IF(OR($H236&lt;&gt;"Y",9&lt;$I236),0,IF(SUMPRODUCT(((BULK_ENABLED="Y")*((BULK_TIER="ALL")+(BULK_TIER=$F236))*((BULK_SKU="ALL")+(BULK_SKU=$G236))*(BULK_START&lt;=9)*(BULK_END&gt;=9)))&gt;0,IFERROR(SUMPRODUCT(((BULK_ENABLED="Y")*((BULK_TIER="ALL")+(BULK_TIER=$F236))*((BULK_SKU="ALL")+(BULK_SKU=$G236))*(BULK_START&lt;=9)*(BULK_END&gt;=9))*IFERROR(BULK_VALUE,0))/MAX(1,SUMPRODUCT(((BULK_ENABLED="Y")*((BULK_TIER="ALL")+(BULK_TIER=$F236))*((BULK_SKU="ALL")+(BULK_SKU=$G236))*(BULK_START&lt;=9)*(BULK_END&gt;=9)))),0),ROUND((INDEX(VELOCITY_TABLE,MATCH($F236,TIER_LIST,0),1))*(IF((9-$I236+1)&lt;=0,0,IF((9-$I236+1)=1,RAMP_W1,IF((9-$I236+1)=2,RAMP_W2,IF((9-$I236+1)=3,RAMP_W3,RAMP_W4PLUS)))))*(INDEX(ACTIVE_MULT_TABLE,1,1))*(1+SUMPRODUCT(SIGN(((ACT_DOOR_SCOPE="ALL")+(ACT_DOOR_SCOPE="TIER_"&amp;$F236)+(ACT_DOOR_SCOPE=$B236)))*SIGN(((ACT_SKU_SCOPE="ALL")+(ACT_SKU_SCOPE=$G236)))*(ACT_START&lt;=9)*(ACT_END&gt;=9)*IFERROR(ACT_UPLIFT-1,0)))*(1+SUMPRODUCT(SIGN(((ACT_DOOR_SCOPE="ALL")+(ACT_DOOR_SCOPE="TIER_"&amp;$F236)+(ACT_DOOR_SCOPE=$B236)))*SIGN(((ACT_SKU_SCOPE="ALL")+(ACT_SKU_SCOPE=$G236)))*(9&gt;ACT_END)*(ACT_END&gt;0)*IFERROR(ACT_POSTLIFT,0))),0)))</f>
        <v/>
      </c>
      <c r="S236" s="10">
        <f>IF(OR($H236&lt;&gt;"Y",10&lt;$I236),0,IF(SUMPRODUCT(((BULK_ENABLED="Y")*((BULK_TIER="ALL")+(BULK_TIER=$F236))*((BULK_SKU="ALL")+(BULK_SKU=$G236))*(BULK_START&lt;=10)*(BULK_END&gt;=10)))&gt;0,IFERROR(SUMPRODUCT(((BULK_ENABLED="Y")*((BULK_TIER="ALL")+(BULK_TIER=$F236))*((BULK_SKU="ALL")+(BULK_SKU=$G236))*(BULK_START&lt;=10)*(BULK_END&gt;=10))*IFERROR(BULK_VALUE,0))/MAX(1,SUMPRODUCT(((BULK_ENABLED="Y")*((BULK_TIER="ALL")+(BULK_TIER=$F236))*((BULK_SKU="ALL")+(BULK_SKU=$G236))*(BULK_START&lt;=10)*(BULK_END&gt;=10)))),0),ROUND((INDEX(VELOCITY_TABLE,MATCH($F236,TIER_LIST,0),1))*(IF((10-$I236+1)&lt;=0,0,IF((10-$I236+1)=1,RAMP_W1,IF((10-$I236+1)=2,RAMP_W2,IF((10-$I236+1)=3,RAMP_W3,RAMP_W4PLUS)))))*(INDEX(ACTIVE_MULT_TABLE,1,1))*(1+SUMPRODUCT(SIGN(((ACT_DOOR_SCOPE="ALL")+(ACT_DOOR_SCOPE="TIER_"&amp;$F236)+(ACT_DOOR_SCOPE=$B236)))*SIGN(((ACT_SKU_SCOPE="ALL")+(ACT_SKU_SCOPE=$G236)))*(ACT_START&lt;=10)*(ACT_END&gt;=10)*IFERROR(ACT_UPLIFT-1,0)))*(1+SUMPRODUCT(SIGN(((ACT_DOOR_SCOPE="ALL")+(ACT_DOOR_SCOPE="TIER_"&amp;$F236)+(ACT_DOOR_SCOPE=$B236)))*SIGN(((ACT_SKU_SCOPE="ALL")+(ACT_SKU_SCOPE=$G236)))*(10&gt;ACT_END)*(ACT_END&gt;0)*IFERROR(ACT_POSTLIFT,0))),0)))</f>
        <v/>
      </c>
      <c r="T236" s="10">
        <f>IF(OR($H236&lt;&gt;"Y",11&lt;$I236),0,IF(SUMPRODUCT(((BULK_ENABLED="Y")*((BULK_TIER="ALL")+(BULK_TIER=$F236))*((BULK_SKU="ALL")+(BULK_SKU=$G236))*(BULK_START&lt;=11)*(BULK_END&gt;=11)))&gt;0,IFERROR(SUMPRODUCT(((BULK_ENABLED="Y")*((BULK_TIER="ALL")+(BULK_TIER=$F236))*((BULK_SKU="ALL")+(BULK_SKU=$G236))*(BULK_START&lt;=11)*(BULK_END&gt;=11))*IFERROR(BULK_VALUE,0))/MAX(1,SUMPRODUCT(((BULK_ENABLED="Y")*((BULK_TIER="ALL")+(BULK_TIER=$F236))*((BULK_SKU="ALL")+(BULK_SKU=$G236))*(BULK_START&lt;=11)*(BULK_END&gt;=11)))),0),ROUND((INDEX(VELOCITY_TABLE,MATCH($F236,TIER_LIST,0),1))*(IF((11-$I236+1)&lt;=0,0,IF((11-$I236+1)=1,RAMP_W1,IF((11-$I236+1)=2,RAMP_W2,IF((11-$I236+1)=3,RAMP_W3,RAMP_W4PLUS)))))*(INDEX(ACTIVE_MULT_TABLE,1,1))*(1+SUMPRODUCT(SIGN(((ACT_DOOR_SCOPE="ALL")+(ACT_DOOR_SCOPE="TIER_"&amp;$F236)+(ACT_DOOR_SCOPE=$B236)))*SIGN(((ACT_SKU_SCOPE="ALL")+(ACT_SKU_SCOPE=$G236)))*(ACT_START&lt;=11)*(ACT_END&gt;=11)*IFERROR(ACT_UPLIFT-1,0)))*(1+SUMPRODUCT(SIGN(((ACT_DOOR_SCOPE="ALL")+(ACT_DOOR_SCOPE="TIER_"&amp;$F236)+(ACT_DOOR_SCOPE=$B236)))*SIGN(((ACT_SKU_SCOPE="ALL")+(ACT_SKU_SCOPE=$G236)))*(11&gt;ACT_END)*(ACT_END&gt;0)*IFERROR(ACT_POSTLIFT,0))),0)))</f>
        <v/>
      </c>
      <c r="U236" s="10">
        <f>IF(OR($H236&lt;&gt;"Y",12&lt;$I236),0,IF(SUMPRODUCT(((BULK_ENABLED="Y")*((BULK_TIER="ALL")+(BULK_TIER=$F236))*((BULK_SKU="ALL")+(BULK_SKU=$G236))*(BULK_START&lt;=12)*(BULK_END&gt;=12)))&gt;0,IFERROR(SUMPRODUCT(((BULK_ENABLED="Y")*((BULK_TIER="ALL")+(BULK_TIER=$F236))*((BULK_SKU="ALL")+(BULK_SKU=$G236))*(BULK_START&lt;=12)*(BULK_END&gt;=12))*IFERROR(BULK_VALUE,0))/MAX(1,SUMPRODUCT(((BULK_ENABLED="Y")*((BULK_TIER="ALL")+(BULK_TIER=$F236))*((BULK_SKU="ALL")+(BULK_SKU=$G236))*(BULK_START&lt;=12)*(BULK_END&gt;=12)))),0),ROUND((INDEX(VELOCITY_TABLE,MATCH($F236,TIER_LIST,0),1))*(IF((12-$I236+1)&lt;=0,0,IF((12-$I236+1)=1,RAMP_W1,IF((12-$I236+1)=2,RAMP_W2,IF((12-$I236+1)=3,RAMP_W3,RAMP_W4PLUS)))))*(INDEX(ACTIVE_MULT_TABLE,1,1))*(1+SUMPRODUCT(SIGN(((ACT_DOOR_SCOPE="ALL")+(ACT_DOOR_SCOPE="TIER_"&amp;$F236)+(ACT_DOOR_SCOPE=$B236)))*SIGN(((ACT_SKU_SCOPE="ALL")+(ACT_SKU_SCOPE=$G236)))*(ACT_START&lt;=12)*(ACT_END&gt;=12)*IFERROR(ACT_UPLIFT-1,0)))*(1+SUMPRODUCT(SIGN(((ACT_DOOR_SCOPE="ALL")+(ACT_DOOR_SCOPE="TIER_"&amp;$F236)+(ACT_DOOR_SCOPE=$B236)))*SIGN(((ACT_SKU_SCOPE="ALL")+(ACT_SKU_SCOPE=$G236)))*(12&gt;ACT_END)*(ACT_END&gt;0)*IFERROR(ACT_POSTLIFT,0))),0)))</f>
        <v/>
      </c>
      <c r="V236" s="10">
        <f>IF(OR($H236&lt;&gt;"Y",13&lt;$I236),0,IF(SUMPRODUCT(((BULK_ENABLED="Y")*((BULK_TIER="ALL")+(BULK_TIER=$F236))*((BULK_SKU="ALL")+(BULK_SKU=$G236))*(BULK_START&lt;=13)*(BULK_END&gt;=13)))&gt;0,IFERROR(SUMPRODUCT(((BULK_ENABLED="Y")*((BULK_TIER="ALL")+(BULK_TIER=$F236))*((BULK_SKU="ALL")+(BULK_SKU=$G236))*(BULK_START&lt;=13)*(BULK_END&gt;=13))*IFERROR(BULK_VALUE,0))/MAX(1,SUMPRODUCT(((BULK_ENABLED="Y")*((BULK_TIER="ALL")+(BULK_TIER=$F236))*((BULK_SKU="ALL")+(BULK_SKU=$G236))*(BULK_START&lt;=13)*(BULK_END&gt;=13)))),0),ROUND((INDEX(VELOCITY_TABLE,MATCH($F236,TIER_LIST,0),1))*(IF((13-$I236+1)&lt;=0,0,IF((13-$I236+1)=1,RAMP_W1,IF((13-$I236+1)=2,RAMP_W2,IF((13-$I236+1)=3,RAMP_W3,RAMP_W4PLUS)))))*(INDEX(ACTIVE_MULT_TABLE,1,1))*(1+SUMPRODUCT(SIGN(((ACT_DOOR_SCOPE="ALL")+(ACT_DOOR_SCOPE="TIER_"&amp;$F236)+(ACT_DOOR_SCOPE=$B236)))*SIGN(((ACT_SKU_SCOPE="ALL")+(ACT_SKU_SCOPE=$G236)))*(ACT_START&lt;=13)*(ACT_END&gt;=13)*IFERROR(ACT_UPLIFT-1,0)))*(1+SUMPRODUCT(SIGN(((ACT_DOOR_SCOPE="ALL")+(ACT_DOOR_SCOPE="TIER_"&amp;$F236)+(ACT_DOOR_SCOPE=$B236)))*SIGN(((ACT_SKU_SCOPE="ALL")+(ACT_SKU_SCOPE=$G236)))*(13&gt;ACT_END)*(ACT_END&gt;0)*IFERROR(ACT_POSTLIFT,0))),0)))</f>
        <v/>
      </c>
    </row>
    <row r="237">
      <c r="A237" t="inlineStr">
        <is>
          <t>R0233</t>
        </is>
      </c>
      <c r="B237">
        <f>Doors!$A$82</f>
        <v/>
      </c>
      <c r="C237">
        <f>Doors!$C$82</f>
        <v/>
      </c>
      <c r="D237">
        <f>Doors!$B$82</f>
        <v/>
      </c>
      <c r="E237">
        <f>Doors!$E$82</f>
        <v/>
      </c>
      <c r="F237">
        <f>Doors!$F$82</f>
        <v/>
      </c>
      <c r="G237" t="inlineStr">
        <is>
          <t>Pineapple Passion Fruit</t>
        </is>
      </c>
      <c r="H237">
        <f>Doors!$H$82</f>
        <v/>
      </c>
      <c r="I237">
        <f>Doors!$J$82</f>
        <v/>
      </c>
      <c r="J237" s="10">
        <f>IF(OR($H237&lt;&gt;"Y",1&lt;$I237),0,IF(SUMPRODUCT(((BULK_ENABLED="Y")*((BULK_TIER="ALL")+(BULK_TIER=$F237))*((BULK_SKU="ALL")+(BULK_SKU=$G237))*(BULK_START&lt;=1)*(BULK_END&gt;=1)))&gt;0,IFERROR(SUMPRODUCT(((BULK_ENABLED="Y")*((BULK_TIER="ALL")+(BULK_TIER=$F237))*((BULK_SKU="ALL")+(BULK_SKU=$G237))*(BULK_START&lt;=1)*(BULK_END&gt;=1))*IFERROR(BULK_VALUE,0))/MAX(1,SUMPRODUCT(((BULK_ENABLED="Y")*((BULK_TIER="ALL")+(BULK_TIER=$F237))*((BULK_SKU="ALL")+(BULK_SKU=$G237))*(BULK_START&lt;=1)*(BULK_END&gt;=1)))),0),ROUND((INDEX(VELOCITY_TABLE,MATCH($F237,TIER_LIST,0),2))*(IF((1-$I237+1)&lt;=0,0,IF((1-$I237+1)=1,RAMP_W1,IF((1-$I237+1)=2,RAMP_W2,IF((1-$I237+1)=3,RAMP_W3,RAMP_W4PLUS)))))*(INDEX(ACTIVE_MULT_TABLE,2,1))*(1+SUMPRODUCT(SIGN(((ACT_DOOR_SCOPE="ALL")+(ACT_DOOR_SCOPE="TIER_"&amp;$F237)+(ACT_DOOR_SCOPE=$B237)))*SIGN(((ACT_SKU_SCOPE="ALL")+(ACT_SKU_SCOPE=$G237)))*(ACT_START&lt;=1)*(ACT_END&gt;=1)*IFERROR(ACT_UPLIFT-1,0)))*(1+SUMPRODUCT(SIGN(((ACT_DOOR_SCOPE="ALL")+(ACT_DOOR_SCOPE="TIER_"&amp;$F237)+(ACT_DOOR_SCOPE=$B237)))*SIGN(((ACT_SKU_SCOPE="ALL")+(ACT_SKU_SCOPE=$G237)))*(1&gt;ACT_END)*(ACT_END&gt;0)*IFERROR(ACT_POSTLIFT,0))),0)))</f>
        <v/>
      </c>
      <c r="K237" s="10">
        <f>IF(OR($H237&lt;&gt;"Y",2&lt;$I237),0,IF(SUMPRODUCT(((BULK_ENABLED="Y")*((BULK_TIER="ALL")+(BULK_TIER=$F237))*((BULK_SKU="ALL")+(BULK_SKU=$G237))*(BULK_START&lt;=2)*(BULK_END&gt;=2)))&gt;0,IFERROR(SUMPRODUCT(((BULK_ENABLED="Y")*((BULK_TIER="ALL")+(BULK_TIER=$F237))*((BULK_SKU="ALL")+(BULK_SKU=$G237))*(BULK_START&lt;=2)*(BULK_END&gt;=2))*IFERROR(BULK_VALUE,0))/MAX(1,SUMPRODUCT(((BULK_ENABLED="Y")*((BULK_TIER="ALL")+(BULK_TIER=$F237))*((BULK_SKU="ALL")+(BULK_SKU=$G237))*(BULK_START&lt;=2)*(BULK_END&gt;=2)))),0),ROUND((INDEX(VELOCITY_TABLE,MATCH($F237,TIER_LIST,0),2))*(IF((2-$I237+1)&lt;=0,0,IF((2-$I237+1)=1,RAMP_W1,IF((2-$I237+1)=2,RAMP_W2,IF((2-$I237+1)=3,RAMP_W3,RAMP_W4PLUS)))))*(INDEX(ACTIVE_MULT_TABLE,2,1))*(1+SUMPRODUCT(SIGN(((ACT_DOOR_SCOPE="ALL")+(ACT_DOOR_SCOPE="TIER_"&amp;$F237)+(ACT_DOOR_SCOPE=$B237)))*SIGN(((ACT_SKU_SCOPE="ALL")+(ACT_SKU_SCOPE=$G237)))*(ACT_START&lt;=2)*(ACT_END&gt;=2)*IFERROR(ACT_UPLIFT-1,0)))*(1+SUMPRODUCT(SIGN(((ACT_DOOR_SCOPE="ALL")+(ACT_DOOR_SCOPE="TIER_"&amp;$F237)+(ACT_DOOR_SCOPE=$B237)))*SIGN(((ACT_SKU_SCOPE="ALL")+(ACT_SKU_SCOPE=$G237)))*(2&gt;ACT_END)*(ACT_END&gt;0)*IFERROR(ACT_POSTLIFT,0))),0)))</f>
        <v/>
      </c>
      <c r="L237" s="10">
        <f>IF(OR($H237&lt;&gt;"Y",3&lt;$I237),0,IF(SUMPRODUCT(((BULK_ENABLED="Y")*((BULK_TIER="ALL")+(BULK_TIER=$F237))*((BULK_SKU="ALL")+(BULK_SKU=$G237))*(BULK_START&lt;=3)*(BULK_END&gt;=3)))&gt;0,IFERROR(SUMPRODUCT(((BULK_ENABLED="Y")*((BULK_TIER="ALL")+(BULK_TIER=$F237))*((BULK_SKU="ALL")+(BULK_SKU=$G237))*(BULK_START&lt;=3)*(BULK_END&gt;=3))*IFERROR(BULK_VALUE,0))/MAX(1,SUMPRODUCT(((BULK_ENABLED="Y")*((BULK_TIER="ALL")+(BULK_TIER=$F237))*((BULK_SKU="ALL")+(BULK_SKU=$G237))*(BULK_START&lt;=3)*(BULK_END&gt;=3)))),0),ROUND((INDEX(VELOCITY_TABLE,MATCH($F237,TIER_LIST,0),2))*(IF((3-$I237+1)&lt;=0,0,IF((3-$I237+1)=1,RAMP_W1,IF((3-$I237+1)=2,RAMP_W2,IF((3-$I237+1)=3,RAMP_W3,RAMP_W4PLUS)))))*(INDEX(ACTIVE_MULT_TABLE,2,1))*(1+SUMPRODUCT(SIGN(((ACT_DOOR_SCOPE="ALL")+(ACT_DOOR_SCOPE="TIER_"&amp;$F237)+(ACT_DOOR_SCOPE=$B237)))*SIGN(((ACT_SKU_SCOPE="ALL")+(ACT_SKU_SCOPE=$G237)))*(ACT_START&lt;=3)*(ACT_END&gt;=3)*IFERROR(ACT_UPLIFT-1,0)))*(1+SUMPRODUCT(SIGN(((ACT_DOOR_SCOPE="ALL")+(ACT_DOOR_SCOPE="TIER_"&amp;$F237)+(ACT_DOOR_SCOPE=$B237)))*SIGN(((ACT_SKU_SCOPE="ALL")+(ACT_SKU_SCOPE=$G237)))*(3&gt;ACT_END)*(ACT_END&gt;0)*IFERROR(ACT_POSTLIFT,0))),0)))</f>
        <v/>
      </c>
      <c r="M237" s="10">
        <f>IF(OR($H237&lt;&gt;"Y",4&lt;$I237),0,IF(SUMPRODUCT(((BULK_ENABLED="Y")*((BULK_TIER="ALL")+(BULK_TIER=$F237))*((BULK_SKU="ALL")+(BULK_SKU=$G237))*(BULK_START&lt;=4)*(BULK_END&gt;=4)))&gt;0,IFERROR(SUMPRODUCT(((BULK_ENABLED="Y")*((BULK_TIER="ALL")+(BULK_TIER=$F237))*((BULK_SKU="ALL")+(BULK_SKU=$G237))*(BULK_START&lt;=4)*(BULK_END&gt;=4))*IFERROR(BULK_VALUE,0))/MAX(1,SUMPRODUCT(((BULK_ENABLED="Y")*((BULK_TIER="ALL")+(BULK_TIER=$F237))*((BULK_SKU="ALL")+(BULK_SKU=$G237))*(BULK_START&lt;=4)*(BULK_END&gt;=4)))),0),ROUND((INDEX(VELOCITY_TABLE,MATCH($F237,TIER_LIST,0),2))*(IF((4-$I237+1)&lt;=0,0,IF((4-$I237+1)=1,RAMP_W1,IF((4-$I237+1)=2,RAMP_W2,IF((4-$I237+1)=3,RAMP_W3,RAMP_W4PLUS)))))*(INDEX(ACTIVE_MULT_TABLE,2,1))*(1+SUMPRODUCT(SIGN(((ACT_DOOR_SCOPE="ALL")+(ACT_DOOR_SCOPE="TIER_"&amp;$F237)+(ACT_DOOR_SCOPE=$B237)))*SIGN(((ACT_SKU_SCOPE="ALL")+(ACT_SKU_SCOPE=$G237)))*(ACT_START&lt;=4)*(ACT_END&gt;=4)*IFERROR(ACT_UPLIFT-1,0)))*(1+SUMPRODUCT(SIGN(((ACT_DOOR_SCOPE="ALL")+(ACT_DOOR_SCOPE="TIER_"&amp;$F237)+(ACT_DOOR_SCOPE=$B237)))*SIGN(((ACT_SKU_SCOPE="ALL")+(ACT_SKU_SCOPE=$G237)))*(4&gt;ACT_END)*(ACT_END&gt;0)*IFERROR(ACT_POSTLIFT,0))),0)))</f>
        <v/>
      </c>
      <c r="N237" s="10">
        <f>IF(OR($H237&lt;&gt;"Y",5&lt;$I237),0,IF(SUMPRODUCT(((BULK_ENABLED="Y")*((BULK_TIER="ALL")+(BULK_TIER=$F237))*((BULK_SKU="ALL")+(BULK_SKU=$G237))*(BULK_START&lt;=5)*(BULK_END&gt;=5)))&gt;0,IFERROR(SUMPRODUCT(((BULK_ENABLED="Y")*((BULK_TIER="ALL")+(BULK_TIER=$F237))*((BULK_SKU="ALL")+(BULK_SKU=$G237))*(BULK_START&lt;=5)*(BULK_END&gt;=5))*IFERROR(BULK_VALUE,0))/MAX(1,SUMPRODUCT(((BULK_ENABLED="Y")*((BULK_TIER="ALL")+(BULK_TIER=$F237))*((BULK_SKU="ALL")+(BULK_SKU=$G237))*(BULK_START&lt;=5)*(BULK_END&gt;=5)))),0),ROUND((INDEX(VELOCITY_TABLE,MATCH($F237,TIER_LIST,0),2))*(IF((5-$I237+1)&lt;=0,0,IF((5-$I237+1)=1,RAMP_W1,IF((5-$I237+1)=2,RAMP_W2,IF((5-$I237+1)=3,RAMP_W3,RAMP_W4PLUS)))))*(INDEX(ACTIVE_MULT_TABLE,2,1))*(1+SUMPRODUCT(SIGN(((ACT_DOOR_SCOPE="ALL")+(ACT_DOOR_SCOPE="TIER_"&amp;$F237)+(ACT_DOOR_SCOPE=$B237)))*SIGN(((ACT_SKU_SCOPE="ALL")+(ACT_SKU_SCOPE=$G237)))*(ACT_START&lt;=5)*(ACT_END&gt;=5)*IFERROR(ACT_UPLIFT-1,0)))*(1+SUMPRODUCT(SIGN(((ACT_DOOR_SCOPE="ALL")+(ACT_DOOR_SCOPE="TIER_"&amp;$F237)+(ACT_DOOR_SCOPE=$B237)))*SIGN(((ACT_SKU_SCOPE="ALL")+(ACT_SKU_SCOPE=$G237)))*(5&gt;ACT_END)*(ACT_END&gt;0)*IFERROR(ACT_POSTLIFT,0))),0)))</f>
        <v/>
      </c>
      <c r="O237" s="10">
        <f>IF(OR($H237&lt;&gt;"Y",6&lt;$I237),0,IF(SUMPRODUCT(((BULK_ENABLED="Y")*((BULK_TIER="ALL")+(BULK_TIER=$F237))*((BULK_SKU="ALL")+(BULK_SKU=$G237))*(BULK_START&lt;=6)*(BULK_END&gt;=6)))&gt;0,IFERROR(SUMPRODUCT(((BULK_ENABLED="Y")*((BULK_TIER="ALL")+(BULK_TIER=$F237))*((BULK_SKU="ALL")+(BULK_SKU=$G237))*(BULK_START&lt;=6)*(BULK_END&gt;=6))*IFERROR(BULK_VALUE,0))/MAX(1,SUMPRODUCT(((BULK_ENABLED="Y")*((BULK_TIER="ALL")+(BULK_TIER=$F237))*((BULK_SKU="ALL")+(BULK_SKU=$G237))*(BULK_START&lt;=6)*(BULK_END&gt;=6)))),0),ROUND((INDEX(VELOCITY_TABLE,MATCH($F237,TIER_LIST,0),2))*(IF((6-$I237+1)&lt;=0,0,IF((6-$I237+1)=1,RAMP_W1,IF((6-$I237+1)=2,RAMP_W2,IF((6-$I237+1)=3,RAMP_W3,RAMP_W4PLUS)))))*(INDEX(ACTIVE_MULT_TABLE,2,1))*(1+SUMPRODUCT(SIGN(((ACT_DOOR_SCOPE="ALL")+(ACT_DOOR_SCOPE="TIER_"&amp;$F237)+(ACT_DOOR_SCOPE=$B237)))*SIGN(((ACT_SKU_SCOPE="ALL")+(ACT_SKU_SCOPE=$G237)))*(ACT_START&lt;=6)*(ACT_END&gt;=6)*IFERROR(ACT_UPLIFT-1,0)))*(1+SUMPRODUCT(SIGN(((ACT_DOOR_SCOPE="ALL")+(ACT_DOOR_SCOPE="TIER_"&amp;$F237)+(ACT_DOOR_SCOPE=$B237)))*SIGN(((ACT_SKU_SCOPE="ALL")+(ACT_SKU_SCOPE=$G237)))*(6&gt;ACT_END)*(ACT_END&gt;0)*IFERROR(ACT_POSTLIFT,0))),0)))</f>
        <v/>
      </c>
      <c r="P237" s="10">
        <f>IF(OR($H237&lt;&gt;"Y",7&lt;$I237),0,IF(SUMPRODUCT(((BULK_ENABLED="Y")*((BULK_TIER="ALL")+(BULK_TIER=$F237))*((BULK_SKU="ALL")+(BULK_SKU=$G237))*(BULK_START&lt;=7)*(BULK_END&gt;=7)))&gt;0,IFERROR(SUMPRODUCT(((BULK_ENABLED="Y")*((BULK_TIER="ALL")+(BULK_TIER=$F237))*((BULK_SKU="ALL")+(BULK_SKU=$G237))*(BULK_START&lt;=7)*(BULK_END&gt;=7))*IFERROR(BULK_VALUE,0))/MAX(1,SUMPRODUCT(((BULK_ENABLED="Y")*((BULK_TIER="ALL")+(BULK_TIER=$F237))*((BULK_SKU="ALL")+(BULK_SKU=$G237))*(BULK_START&lt;=7)*(BULK_END&gt;=7)))),0),ROUND((INDEX(VELOCITY_TABLE,MATCH($F237,TIER_LIST,0),2))*(IF((7-$I237+1)&lt;=0,0,IF((7-$I237+1)=1,RAMP_W1,IF((7-$I237+1)=2,RAMP_W2,IF((7-$I237+1)=3,RAMP_W3,RAMP_W4PLUS)))))*(INDEX(ACTIVE_MULT_TABLE,2,1))*(1+SUMPRODUCT(SIGN(((ACT_DOOR_SCOPE="ALL")+(ACT_DOOR_SCOPE="TIER_"&amp;$F237)+(ACT_DOOR_SCOPE=$B237)))*SIGN(((ACT_SKU_SCOPE="ALL")+(ACT_SKU_SCOPE=$G237)))*(ACT_START&lt;=7)*(ACT_END&gt;=7)*IFERROR(ACT_UPLIFT-1,0)))*(1+SUMPRODUCT(SIGN(((ACT_DOOR_SCOPE="ALL")+(ACT_DOOR_SCOPE="TIER_"&amp;$F237)+(ACT_DOOR_SCOPE=$B237)))*SIGN(((ACT_SKU_SCOPE="ALL")+(ACT_SKU_SCOPE=$G237)))*(7&gt;ACT_END)*(ACT_END&gt;0)*IFERROR(ACT_POSTLIFT,0))),0)))</f>
        <v/>
      </c>
      <c r="Q237" s="10">
        <f>IF(OR($H237&lt;&gt;"Y",8&lt;$I237),0,IF(SUMPRODUCT(((BULK_ENABLED="Y")*((BULK_TIER="ALL")+(BULK_TIER=$F237))*((BULK_SKU="ALL")+(BULK_SKU=$G237))*(BULK_START&lt;=8)*(BULK_END&gt;=8)))&gt;0,IFERROR(SUMPRODUCT(((BULK_ENABLED="Y")*((BULK_TIER="ALL")+(BULK_TIER=$F237))*((BULK_SKU="ALL")+(BULK_SKU=$G237))*(BULK_START&lt;=8)*(BULK_END&gt;=8))*IFERROR(BULK_VALUE,0))/MAX(1,SUMPRODUCT(((BULK_ENABLED="Y")*((BULK_TIER="ALL")+(BULK_TIER=$F237))*((BULK_SKU="ALL")+(BULK_SKU=$G237))*(BULK_START&lt;=8)*(BULK_END&gt;=8)))),0),ROUND((INDEX(VELOCITY_TABLE,MATCH($F237,TIER_LIST,0),2))*(IF((8-$I237+1)&lt;=0,0,IF((8-$I237+1)=1,RAMP_W1,IF((8-$I237+1)=2,RAMP_W2,IF((8-$I237+1)=3,RAMP_W3,RAMP_W4PLUS)))))*(INDEX(ACTIVE_MULT_TABLE,2,1))*(1+SUMPRODUCT(SIGN(((ACT_DOOR_SCOPE="ALL")+(ACT_DOOR_SCOPE="TIER_"&amp;$F237)+(ACT_DOOR_SCOPE=$B237)))*SIGN(((ACT_SKU_SCOPE="ALL")+(ACT_SKU_SCOPE=$G237)))*(ACT_START&lt;=8)*(ACT_END&gt;=8)*IFERROR(ACT_UPLIFT-1,0)))*(1+SUMPRODUCT(SIGN(((ACT_DOOR_SCOPE="ALL")+(ACT_DOOR_SCOPE="TIER_"&amp;$F237)+(ACT_DOOR_SCOPE=$B237)))*SIGN(((ACT_SKU_SCOPE="ALL")+(ACT_SKU_SCOPE=$G237)))*(8&gt;ACT_END)*(ACT_END&gt;0)*IFERROR(ACT_POSTLIFT,0))),0)))</f>
        <v/>
      </c>
      <c r="R237" s="10">
        <f>IF(OR($H237&lt;&gt;"Y",9&lt;$I237),0,IF(SUMPRODUCT(((BULK_ENABLED="Y")*((BULK_TIER="ALL")+(BULK_TIER=$F237))*((BULK_SKU="ALL")+(BULK_SKU=$G237))*(BULK_START&lt;=9)*(BULK_END&gt;=9)))&gt;0,IFERROR(SUMPRODUCT(((BULK_ENABLED="Y")*((BULK_TIER="ALL")+(BULK_TIER=$F237))*((BULK_SKU="ALL")+(BULK_SKU=$G237))*(BULK_START&lt;=9)*(BULK_END&gt;=9))*IFERROR(BULK_VALUE,0))/MAX(1,SUMPRODUCT(((BULK_ENABLED="Y")*((BULK_TIER="ALL")+(BULK_TIER=$F237))*((BULK_SKU="ALL")+(BULK_SKU=$G237))*(BULK_START&lt;=9)*(BULK_END&gt;=9)))),0),ROUND((INDEX(VELOCITY_TABLE,MATCH($F237,TIER_LIST,0),2))*(IF((9-$I237+1)&lt;=0,0,IF((9-$I237+1)=1,RAMP_W1,IF((9-$I237+1)=2,RAMP_W2,IF((9-$I237+1)=3,RAMP_W3,RAMP_W4PLUS)))))*(INDEX(ACTIVE_MULT_TABLE,2,1))*(1+SUMPRODUCT(SIGN(((ACT_DOOR_SCOPE="ALL")+(ACT_DOOR_SCOPE="TIER_"&amp;$F237)+(ACT_DOOR_SCOPE=$B237)))*SIGN(((ACT_SKU_SCOPE="ALL")+(ACT_SKU_SCOPE=$G237)))*(ACT_START&lt;=9)*(ACT_END&gt;=9)*IFERROR(ACT_UPLIFT-1,0)))*(1+SUMPRODUCT(SIGN(((ACT_DOOR_SCOPE="ALL")+(ACT_DOOR_SCOPE="TIER_"&amp;$F237)+(ACT_DOOR_SCOPE=$B237)))*SIGN(((ACT_SKU_SCOPE="ALL")+(ACT_SKU_SCOPE=$G237)))*(9&gt;ACT_END)*(ACT_END&gt;0)*IFERROR(ACT_POSTLIFT,0))),0)))</f>
        <v/>
      </c>
      <c r="S237" s="10">
        <f>IF(OR($H237&lt;&gt;"Y",10&lt;$I237),0,IF(SUMPRODUCT(((BULK_ENABLED="Y")*((BULK_TIER="ALL")+(BULK_TIER=$F237))*((BULK_SKU="ALL")+(BULK_SKU=$G237))*(BULK_START&lt;=10)*(BULK_END&gt;=10)))&gt;0,IFERROR(SUMPRODUCT(((BULK_ENABLED="Y")*((BULK_TIER="ALL")+(BULK_TIER=$F237))*((BULK_SKU="ALL")+(BULK_SKU=$G237))*(BULK_START&lt;=10)*(BULK_END&gt;=10))*IFERROR(BULK_VALUE,0))/MAX(1,SUMPRODUCT(((BULK_ENABLED="Y")*((BULK_TIER="ALL")+(BULK_TIER=$F237))*((BULK_SKU="ALL")+(BULK_SKU=$G237))*(BULK_START&lt;=10)*(BULK_END&gt;=10)))),0),ROUND((INDEX(VELOCITY_TABLE,MATCH($F237,TIER_LIST,0),2))*(IF((10-$I237+1)&lt;=0,0,IF((10-$I237+1)=1,RAMP_W1,IF((10-$I237+1)=2,RAMP_W2,IF((10-$I237+1)=3,RAMP_W3,RAMP_W4PLUS)))))*(INDEX(ACTIVE_MULT_TABLE,2,1))*(1+SUMPRODUCT(SIGN(((ACT_DOOR_SCOPE="ALL")+(ACT_DOOR_SCOPE="TIER_"&amp;$F237)+(ACT_DOOR_SCOPE=$B237)))*SIGN(((ACT_SKU_SCOPE="ALL")+(ACT_SKU_SCOPE=$G237)))*(ACT_START&lt;=10)*(ACT_END&gt;=10)*IFERROR(ACT_UPLIFT-1,0)))*(1+SUMPRODUCT(SIGN(((ACT_DOOR_SCOPE="ALL")+(ACT_DOOR_SCOPE="TIER_"&amp;$F237)+(ACT_DOOR_SCOPE=$B237)))*SIGN(((ACT_SKU_SCOPE="ALL")+(ACT_SKU_SCOPE=$G237)))*(10&gt;ACT_END)*(ACT_END&gt;0)*IFERROR(ACT_POSTLIFT,0))),0)))</f>
        <v/>
      </c>
      <c r="T237" s="10">
        <f>IF(OR($H237&lt;&gt;"Y",11&lt;$I237),0,IF(SUMPRODUCT(((BULK_ENABLED="Y")*((BULK_TIER="ALL")+(BULK_TIER=$F237))*((BULK_SKU="ALL")+(BULK_SKU=$G237))*(BULK_START&lt;=11)*(BULK_END&gt;=11)))&gt;0,IFERROR(SUMPRODUCT(((BULK_ENABLED="Y")*((BULK_TIER="ALL")+(BULK_TIER=$F237))*((BULK_SKU="ALL")+(BULK_SKU=$G237))*(BULK_START&lt;=11)*(BULK_END&gt;=11))*IFERROR(BULK_VALUE,0))/MAX(1,SUMPRODUCT(((BULK_ENABLED="Y")*((BULK_TIER="ALL")+(BULK_TIER=$F237))*((BULK_SKU="ALL")+(BULK_SKU=$G237))*(BULK_START&lt;=11)*(BULK_END&gt;=11)))),0),ROUND((INDEX(VELOCITY_TABLE,MATCH($F237,TIER_LIST,0),2))*(IF((11-$I237+1)&lt;=0,0,IF((11-$I237+1)=1,RAMP_W1,IF((11-$I237+1)=2,RAMP_W2,IF((11-$I237+1)=3,RAMP_W3,RAMP_W4PLUS)))))*(INDEX(ACTIVE_MULT_TABLE,2,1))*(1+SUMPRODUCT(SIGN(((ACT_DOOR_SCOPE="ALL")+(ACT_DOOR_SCOPE="TIER_"&amp;$F237)+(ACT_DOOR_SCOPE=$B237)))*SIGN(((ACT_SKU_SCOPE="ALL")+(ACT_SKU_SCOPE=$G237)))*(ACT_START&lt;=11)*(ACT_END&gt;=11)*IFERROR(ACT_UPLIFT-1,0)))*(1+SUMPRODUCT(SIGN(((ACT_DOOR_SCOPE="ALL")+(ACT_DOOR_SCOPE="TIER_"&amp;$F237)+(ACT_DOOR_SCOPE=$B237)))*SIGN(((ACT_SKU_SCOPE="ALL")+(ACT_SKU_SCOPE=$G237)))*(11&gt;ACT_END)*(ACT_END&gt;0)*IFERROR(ACT_POSTLIFT,0))),0)))</f>
        <v/>
      </c>
      <c r="U237" s="10">
        <f>IF(OR($H237&lt;&gt;"Y",12&lt;$I237),0,IF(SUMPRODUCT(((BULK_ENABLED="Y")*((BULK_TIER="ALL")+(BULK_TIER=$F237))*((BULK_SKU="ALL")+(BULK_SKU=$G237))*(BULK_START&lt;=12)*(BULK_END&gt;=12)))&gt;0,IFERROR(SUMPRODUCT(((BULK_ENABLED="Y")*((BULK_TIER="ALL")+(BULK_TIER=$F237))*((BULK_SKU="ALL")+(BULK_SKU=$G237))*(BULK_START&lt;=12)*(BULK_END&gt;=12))*IFERROR(BULK_VALUE,0))/MAX(1,SUMPRODUCT(((BULK_ENABLED="Y")*((BULK_TIER="ALL")+(BULK_TIER=$F237))*((BULK_SKU="ALL")+(BULK_SKU=$G237))*(BULK_START&lt;=12)*(BULK_END&gt;=12)))),0),ROUND((INDEX(VELOCITY_TABLE,MATCH($F237,TIER_LIST,0),2))*(IF((12-$I237+1)&lt;=0,0,IF((12-$I237+1)=1,RAMP_W1,IF((12-$I237+1)=2,RAMP_W2,IF((12-$I237+1)=3,RAMP_W3,RAMP_W4PLUS)))))*(INDEX(ACTIVE_MULT_TABLE,2,1))*(1+SUMPRODUCT(SIGN(((ACT_DOOR_SCOPE="ALL")+(ACT_DOOR_SCOPE="TIER_"&amp;$F237)+(ACT_DOOR_SCOPE=$B237)))*SIGN(((ACT_SKU_SCOPE="ALL")+(ACT_SKU_SCOPE=$G237)))*(ACT_START&lt;=12)*(ACT_END&gt;=12)*IFERROR(ACT_UPLIFT-1,0)))*(1+SUMPRODUCT(SIGN(((ACT_DOOR_SCOPE="ALL")+(ACT_DOOR_SCOPE="TIER_"&amp;$F237)+(ACT_DOOR_SCOPE=$B237)))*SIGN(((ACT_SKU_SCOPE="ALL")+(ACT_SKU_SCOPE=$G237)))*(12&gt;ACT_END)*(ACT_END&gt;0)*IFERROR(ACT_POSTLIFT,0))),0)))</f>
        <v/>
      </c>
      <c r="V237" s="10">
        <f>IF(OR($H237&lt;&gt;"Y",13&lt;$I237),0,IF(SUMPRODUCT(((BULK_ENABLED="Y")*((BULK_TIER="ALL")+(BULK_TIER=$F237))*((BULK_SKU="ALL")+(BULK_SKU=$G237))*(BULK_START&lt;=13)*(BULK_END&gt;=13)))&gt;0,IFERROR(SUMPRODUCT(((BULK_ENABLED="Y")*((BULK_TIER="ALL")+(BULK_TIER=$F237))*((BULK_SKU="ALL")+(BULK_SKU=$G237))*(BULK_START&lt;=13)*(BULK_END&gt;=13))*IFERROR(BULK_VALUE,0))/MAX(1,SUMPRODUCT(((BULK_ENABLED="Y")*((BULK_TIER="ALL")+(BULK_TIER=$F237))*((BULK_SKU="ALL")+(BULK_SKU=$G237))*(BULK_START&lt;=13)*(BULK_END&gt;=13)))),0),ROUND((INDEX(VELOCITY_TABLE,MATCH($F237,TIER_LIST,0),2))*(IF((13-$I237+1)&lt;=0,0,IF((13-$I237+1)=1,RAMP_W1,IF((13-$I237+1)=2,RAMP_W2,IF((13-$I237+1)=3,RAMP_W3,RAMP_W4PLUS)))))*(INDEX(ACTIVE_MULT_TABLE,2,1))*(1+SUMPRODUCT(SIGN(((ACT_DOOR_SCOPE="ALL")+(ACT_DOOR_SCOPE="TIER_"&amp;$F237)+(ACT_DOOR_SCOPE=$B237)))*SIGN(((ACT_SKU_SCOPE="ALL")+(ACT_SKU_SCOPE=$G237)))*(ACT_START&lt;=13)*(ACT_END&gt;=13)*IFERROR(ACT_UPLIFT-1,0)))*(1+SUMPRODUCT(SIGN(((ACT_DOOR_SCOPE="ALL")+(ACT_DOOR_SCOPE="TIER_"&amp;$F237)+(ACT_DOOR_SCOPE=$B237)))*SIGN(((ACT_SKU_SCOPE="ALL")+(ACT_SKU_SCOPE=$G237)))*(13&gt;ACT_END)*(ACT_END&gt;0)*IFERROR(ACT_POSTLIFT,0))),0)))</f>
        <v/>
      </c>
    </row>
    <row r="238">
      <c r="A238" t="inlineStr">
        <is>
          <t>R0234</t>
        </is>
      </c>
      <c r="B238">
        <f>Doors!$A$82</f>
        <v/>
      </c>
      <c r="C238">
        <f>Doors!$C$82</f>
        <v/>
      </c>
      <c r="D238">
        <f>Doors!$B$82</f>
        <v/>
      </c>
      <c r="E238">
        <f>Doors!$E$82</f>
        <v/>
      </c>
      <c r="F238">
        <f>Doors!$F$82</f>
        <v/>
      </c>
      <c r="G238" t="inlineStr">
        <is>
          <t>Raspberry</t>
        </is>
      </c>
      <c r="H238">
        <f>Doors!$I$82</f>
        <v/>
      </c>
      <c r="I238">
        <f>Doors!$J$82</f>
        <v/>
      </c>
      <c r="J238" s="10">
        <f>IF(OR($H238&lt;&gt;"Y",1&lt;$I238),0,IF(SUMPRODUCT(((BULK_ENABLED="Y")*((BULK_TIER="ALL")+(BULK_TIER=$F238))*((BULK_SKU="ALL")+(BULK_SKU=$G238))*(BULK_START&lt;=1)*(BULK_END&gt;=1)))&gt;0,IFERROR(SUMPRODUCT(((BULK_ENABLED="Y")*((BULK_TIER="ALL")+(BULK_TIER=$F238))*((BULK_SKU="ALL")+(BULK_SKU=$G238))*(BULK_START&lt;=1)*(BULK_END&gt;=1))*IFERROR(BULK_VALUE,0))/MAX(1,SUMPRODUCT(((BULK_ENABLED="Y")*((BULK_TIER="ALL")+(BULK_TIER=$F238))*((BULK_SKU="ALL")+(BULK_SKU=$G238))*(BULK_START&lt;=1)*(BULK_END&gt;=1)))),0),ROUND((INDEX(VELOCITY_TABLE,MATCH($F238,TIER_LIST,0),3))*(IF((1-$I238+1)&lt;=0,0,IF((1-$I238+1)=1,RAMP_W1,IF((1-$I238+1)=2,RAMP_W2,IF((1-$I238+1)=3,RAMP_W3,RAMP_W4PLUS)))))*(INDEX(ACTIVE_MULT_TABLE,3,1))*(1+SUMPRODUCT(SIGN(((ACT_DOOR_SCOPE="ALL")+(ACT_DOOR_SCOPE="TIER_"&amp;$F238)+(ACT_DOOR_SCOPE=$B238)))*SIGN(((ACT_SKU_SCOPE="ALL")+(ACT_SKU_SCOPE=$G238)))*(ACT_START&lt;=1)*(ACT_END&gt;=1)*IFERROR(ACT_UPLIFT-1,0)))*(1+SUMPRODUCT(SIGN(((ACT_DOOR_SCOPE="ALL")+(ACT_DOOR_SCOPE="TIER_"&amp;$F238)+(ACT_DOOR_SCOPE=$B238)))*SIGN(((ACT_SKU_SCOPE="ALL")+(ACT_SKU_SCOPE=$G238)))*(1&gt;ACT_END)*(ACT_END&gt;0)*IFERROR(ACT_POSTLIFT,0))),0)))</f>
        <v/>
      </c>
      <c r="K238" s="10">
        <f>IF(OR($H238&lt;&gt;"Y",2&lt;$I238),0,IF(SUMPRODUCT(((BULK_ENABLED="Y")*((BULK_TIER="ALL")+(BULK_TIER=$F238))*((BULK_SKU="ALL")+(BULK_SKU=$G238))*(BULK_START&lt;=2)*(BULK_END&gt;=2)))&gt;0,IFERROR(SUMPRODUCT(((BULK_ENABLED="Y")*((BULK_TIER="ALL")+(BULK_TIER=$F238))*((BULK_SKU="ALL")+(BULK_SKU=$G238))*(BULK_START&lt;=2)*(BULK_END&gt;=2))*IFERROR(BULK_VALUE,0))/MAX(1,SUMPRODUCT(((BULK_ENABLED="Y")*((BULK_TIER="ALL")+(BULK_TIER=$F238))*((BULK_SKU="ALL")+(BULK_SKU=$G238))*(BULK_START&lt;=2)*(BULK_END&gt;=2)))),0),ROUND((INDEX(VELOCITY_TABLE,MATCH($F238,TIER_LIST,0),3))*(IF((2-$I238+1)&lt;=0,0,IF((2-$I238+1)=1,RAMP_W1,IF((2-$I238+1)=2,RAMP_W2,IF((2-$I238+1)=3,RAMP_W3,RAMP_W4PLUS)))))*(INDEX(ACTIVE_MULT_TABLE,3,1))*(1+SUMPRODUCT(SIGN(((ACT_DOOR_SCOPE="ALL")+(ACT_DOOR_SCOPE="TIER_"&amp;$F238)+(ACT_DOOR_SCOPE=$B238)))*SIGN(((ACT_SKU_SCOPE="ALL")+(ACT_SKU_SCOPE=$G238)))*(ACT_START&lt;=2)*(ACT_END&gt;=2)*IFERROR(ACT_UPLIFT-1,0)))*(1+SUMPRODUCT(SIGN(((ACT_DOOR_SCOPE="ALL")+(ACT_DOOR_SCOPE="TIER_"&amp;$F238)+(ACT_DOOR_SCOPE=$B238)))*SIGN(((ACT_SKU_SCOPE="ALL")+(ACT_SKU_SCOPE=$G238)))*(2&gt;ACT_END)*(ACT_END&gt;0)*IFERROR(ACT_POSTLIFT,0))),0)))</f>
        <v/>
      </c>
      <c r="L238" s="10">
        <f>IF(OR($H238&lt;&gt;"Y",3&lt;$I238),0,IF(SUMPRODUCT(((BULK_ENABLED="Y")*((BULK_TIER="ALL")+(BULK_TIER=$F238))*((BULK_SKU="ALL")+(BULK_SKU=$G238))*(BULK_START&lt;=3)*(BULK_END&gt;=3)))&gt;0,IFERROR(SUMPRODUCT(((BULK_ENABLED="Y")*((BULK_TIER="ALL")+(BULK_TIER=$F238))*((BULK_SKU="ALL")+(BULK_SKU=$G238))*(BULK_START&lt;=3)*(BULK_END&gt;=3))*IFERROR(BULK_VALUE,0))/MAX(1,SUMPRODUCT(((BULK_ENABLED="Y")*((BULK_TIER="ALL")+(BULK_TIER=$F238))*((BULK_SKU="ALL")+(BULK_SKU=$G238))*(BULK_START&lt;=3)*(BULK_END&gt;=3)))),0),ROUND((INDEX(VELOCITY_TABLE,MATCH($F238,TIER_LIST,0),3))*(IF((3-$I238+1)&lt;=0,0,IF((3-$I238+1)=1,RAMP_W1,IF((3-$I238+1)=2,RAMP_W2,IF((3-$I238+1)=3,RAMP_W3,RAMP_W4PLUS)))))*(INDEX(ACTIVE_MULT_TABLE,3,1))*(1+SUMPRODUCT(SIGN(((ACT_DOOR_SCOPE="ALL")+(ACT_DOOR_SCOPE="TIER_"&amp;$F238)+(ACT_DOOR_SCOPE=$B238)))*SIGN(((ACT_SKU_SCOPE="ALL")+(ACT_SKU_SCOPE=$G238)))*(ACT_START&lt;=3)*(ACT_END&gt;=3)*IFERROR(ACT_UPLIFT-1,0)))*(1+SUMPRODUCT(SIGN(((ACT_DOOR_SCOPE="ALL")+(ACT_DOOR_SCOPE="TIER_"&amp;$F238)+(ACT_DOOR_SCOPE=$B238)))*SIGN(((ACT_SKU_SCOPE="ALL")+(ACT_SKU_SCOPE=$G238)))*(3&gt;ACT_END)*(ACT_END&gt;0)*IFERROR(ACT_POSTLIFT,0))),0)))</f>
        <v/>
      </c>
      <c r="M238" s="10">
        <f>IF(OR($H238&lt;&gt;"Y",4&lt;$I238),0,IF(SUMPRODUCT(((BULK_ENABLED="Y")*((BULK_TIER="ALL")+(BULK_TIER=$F238))*((BULK_SKU="ALL")+(BULK_SKU=$G238))*(BULK_START&lt;=4)*(BULK_END&gt;=4)))&gt;0,IFERROR(SUMPRODUCT(((BULK_ENABLED="Y")*((BULK_TIER="ALL")+(BULK_TIER=$F238))*((BULK_SKU="ALL")+(BULK_SKU=$G238))*(BULK_START&lt;=4)*(BULK_END&gt;=4))*IFERROR(BULK_VALUE,0))/MAX(1,SUMPRODUCT(((BULK_ENABLED="Y")*((BULK_TIER="ALL")+(BULK_TIER=$F238))*((BULK_SKU="ALL")+(BULK_SKU=$G238))*(BULK_START&lt;=4)*(BULK_END&gt;=4)))),0),ROUND((INDEX(VELOCITY_TABLE,MATCH($F238,TIER_LIST,0),3))*(IF((4-$I238+1)&lt;=0,0,IF((4-$I238+1)=1,RAMP_W1,IF((4-$I238+1)=2,RAMP_W2,IF((4-$I238+1)=3,RAMP_W3,RAMP_W4PLUS)))))*(INDEX(ACTIVE_MULT_TABLE,3,1))*(1+SUMPRODUCT(SIGN(((ACT_DOOR_SCOPE="ALL")+(ACT_DOOR_SCOPE="TIER_"&amp;$F238)+(ACT_DOOR_SCOPE=$B238)))*SIGN(((ACT_SKU_SCOPE="ALL")+(ACT_SKU_SCOPE=$G238)))*(ACT_START&lt;=4)*(ACT_END&gt;=4)*IFERROR(ACT_UPLIFT-1,0)))*(1+SUMPRODUCT(SIGN(((ACT_DOOR_SCOPE="ALL")+(ACT_DOOR_SCOPE="TIER_"&amp;$F238)+(ACT_DOOR_SCOPE=$B238)))*SIGN(((ACT_SKU_SCOPE="ALL")+(ACT_SKU_SCOPE=$G238)))*(4&gt;ACT_END)*(ACT_END&gt;0)*IFERROR(ACT_POSTLIFT,0))),0)))</f>
        <v/>
      </c>
      <c r="N238" s="10">
        <f>IF(OR($H238&lt;&gt;"Y",5&lt;$I238),0,IF(SUMPRODUCT(((BULK_ENABLED="Y")*((BULK_TIER="ALL")+(BULK_TIER=$F238))*((BULK_SKU="ALL")+(BULK_SKU=$G238))*(BULK_START&lt;=5)*(BULK_END&gt;=5)))&gt;0,IFERROR(SUMPRODUCT(((BULK_ENABLED="Y")*((BULK_TIER="ALL")+(BULK_TIER=$F238))*((BULK_SKU="ALL")+(BULK_SKU=$G238))*(BULK_START&lt;=5)*(BULK_END&gt;=5))*IFERROR(BULK_VALUE,0))/MAX(1,SUMPRODUCT(((BULK_ENABLED="Y")*((BULK_TIER="ALL")+(BULK_TIER=$F238))*((BULK_SKU="ALL")+(BULK_SKU=$G238))*(BULK_START&lt;=5)*(BULK_END&gt;=5)))),0),ROUND((INDEX(VELOCITY_TABLE,MATCH($F238,TIER_LIST,0),3))*(IF((5-$I238+1)&lt;=0,0,IF((5-$I238+1)=1,RAMP_W1,IF((5-$I238+1)=2,RAMP_W2,IF((5-$I238+1)=3,RAMP_W3,RAMP_W4PLUS)))))*(INDEX(ACTIVE_MULT_TABLE,3,1))*(1+SUMPRODUCT(SIGN(((ACT_DOOR_SCOPE="ALL")+(ACT_DOOR_SCOPE="TIER_"&amp;$F238)+(ACT_DOOR_SCOPE=$B238)))*SIGN(((ACT_SKU_SCOPE="ALL")+(ACT_SKU_SCOPE=$G238)))*(ACT_START&lt;=5)*(ACT_END&gt;=5)*IFERROR(ACT_UPLIFT-1,0)))*(1+SUMPRODUCT(SIGN(((ACT_DOOR_SCOPE="ALL")+(ACT_DOOR_SCOPE="TIER_"&amp;$F238)+(ACT_DOOR_SCOPE=$B238)))*SIGN(((ACT_SKU_SCOPE="ALL")+(ACT_SKU_SCOPE=$G238)))*(5&gt;ACT_END)*(ACT_END&gt;0)*IFERROR(ACT_POSTLIFT,0))),0)))</f>
        <v/>
      </c>
      <c r="O238" s="10">
        <f>IF(OR($H238&lt;&gt;"Y",6&lt;$I238),0,IF(SUMPRODUCT(((BULK_ENABLED="Y")*((BULK_TIER="ALL")+(BULK_TIER=$F238))*((BULK_SKU="ALL")+(BULK_SKU=$G238))*(BULK_START&lt;=6)*(BULK_END&gt;=6)))&gt;0,IFERROR(SUMPRODUCT(((BULK_ENABLED="Y")*((BULK_TIER="ALL")+(BULK_TIER=$F238))*((BULK_SKU="ALL")+(BULK_SKU=$G238))*(BULK_START&lt;=6)*(BULK_END&gt;=6))*IFERROR(BULK_VALUE,0))/MAX(1,SUMPRODUCT(((BULK_ENABLED="Y")*((BULK_TIER="ALL")+(BULK_TIER=$F238))*((BULK_SKU="ALL")+(BULK_SKU=$G238))*(BULK_START&lt;=6)*(BULK_END&gt;=6)))),0),ROUND((INDEX(VELOCITY_TABLE,MATCH($F238,TIER_LIST,0),3))*(IF((6-$I238+1)&lt;=0,0,IF((6-$I238+1)=1,RAMP_W1,IF((6-$I238+1)=2,RAMP_W2,IF((6-$I238+1)=3,RAMP_W3,RAMP_W4PLUS)))))*(INDEX(ACTIVE_MULT_TABLE,3,1))*(1+SUMPRODUCT(SIGN(((ACT_DOOR_SCOPE="ALL")+(ACT_DOOR_SCOPE="TIER_"&amp;$F238)+(ACT_DOOR_SCOPE=$B238)))*SIGN(((ACT_SKU_SCOPE="ALL")+(ACT_SKU_SCOPE=$G238)))*(ACT_START&lt;=6)*(ACT_END&gt;=6)*IFERROR(ACT_UPLIFT-1,0)))*(1+SUMPRODUCT(SIGN(((ACT_DOOR_SCOPE="ALL")+(ACT_DOOR_SCOPE="TIER_"&amp;$F238)+(ACT_DOOR_SCOPE=$B238)))*SIGN(((ACT_SKU_SCOPE="ALL")+(ACT_SKU_SCOPE=$G238)))*(6&gt;ACT_END)*(ACT_END&gt;0)*IFERROR(ACT_POSTLIFT,0))),0)))</f>
        <v/>
      </c>
      <c r="P238" s="10">
        <f>IF(OR($H238&lt;&gt;"Y",7&lt;$I238),0,IF(SUMPRODUCT(((BULK_ENABLED="Y")*((BULK_TIER="ALL")+(BULK_TIER=$F238))*((BULK_SKU="ALL")+(BULK_SKU=$G238))*(BULK_START&lt;=7)*(BULK_END&gt;=7)))&gt;0,IFERROR(SUMPRODUCT(((BULK_ENABLED="Y")*((BULK_TIER="ALL")+(BULK_TIER=$F238))*((BULK_SKU="ALL")+(BULK_SKU=$G238))*(BULK_START&lt;=7)*(BULK_END&gt;=7))*IFERROR(BULK_VALUE,0))/MAX(1,SUMPRODUCT(((BULK_ENABLED="Y")*((BULK_TIER="ALL")+(BULK_TIER=$F238))*((BULK_SKU="ALL")+(BULK_SKU=$G238))*(BULK_START&lt;=7)*(BULK_END&gt;=7)))),0),ROUND((INDEX(VELOCITY_TABLE,MATCH($F238,TIER_LIST,0),3))*(IF((7-$I238+1)&lt;=0,0,IF((7-$I238+1)=1,RAMP_W1,IF((7-$I238+1)=2,RAMP_W2,IF((7-$I238+1)=3,RAMP_W3,RAMP_W4PLUS)))))*(INDEX(ACTIVE_MULT_TABLE,3,1))*(1+SUMPRODUCT(SIGN(((ACT_DOOR_SCOPE="ALL")+(ACT_DOOR_SCOPE="TIER_"&amp;$F238)+(ACT_DOOR_SCOPE=$B238)))*SIGN(((ACT_SKU_SCOPE="ALL")+(ACT_SKU_SCOPE=$G238)))*(ACT_START&lt;=7)*(ACT_END&gt;=7)*IFERROR(ACT_UPLIFT-1,0)))*(1+SUMPRODUCT(SIGN(((ACT_DOOR_SCOPE="ALL")+(ACT_DOOR_SCOPE="TIER_"&amp;$F238)+(ACT_DOOR_SCOPE=$B238)))*SIGN(((ACT_SKU_SCOPE="ALL")+(ACT_SKU_SCOPE=$G238)))*(7&gt;ACT_END)*(ACT_END&gt;0)*IFERROR(ACT_POSTLIFT,0))),0)))</f>
        <v/>
      </c>
      <c r="Q238" s="10">
        <f>IF(OR($H238&lt;&gt;"Y",8&lt;$I238),0,IF(SUMPRODUCT(((BULK_ENABLED="Y")*((BULK_TIER="ALL")+(BULK_TIER=$F238))*((BULK_SKU="ALL")+(BULK_SKU=$G238))*(BULK_START&lt;=8)*(BULK_END&gt;=8)))&gt;0,IFERROR(SUMPRODUCT(((BULK_ENABLED="Y")*((BULK_TIER="ALL")+(BULK_TIER=$F238))*((BULK_SKU="ALL")+(BULK_SKU=$G238))*(BULK_START&lt;=8)*(BULK_END&gt;=8))*IFERROR(BULK_VALUE,0))/MAX(1,SUMPRODUCT(((BULK_ENABLED="Y")*((BULK_TIER="ALL")+(BULK_TIER=$F238))*((BULK_SKU="ALL")+(BULK_SKU=$G238))*(BULK_START&lt;=8)*(BULK_END&gt;=8)))),0),ROUND((INDEX(VELOCITY_TABLE,MATCH($F238,TIER_LIST,0),3))*(IF((8-$I238+1)&lt;=0,0,IF((8-$I238+1)=1,RAMP_W1,IF((8-$I238+1)=2,RAMP_W2,IF((8-$I238+1)=3,RAMP_W3,RAMP_W4PLUS)))))*(INDEX(ACTIVE_MULT_TABLE,3,1))*(1+SUMPRODUCT(SIGN(((ACT_DOOR_SCOPE="ALL")+(ACT_DOOR_SCOPE="TIER_"&amp;$F238)+(ACT_DOOR_SCOPE=$B238)))*SIGN(((ACT_SKU_SCOPE="ALL")+(ACT_SKU_SCOPE=$G238)))*(ACT_START&lt;=8)*(ACT_END&gt;=8)*IFERROR(ACT_UPLIFT-1,0)))*(1+SUMPRODUCT(SIGN(((ACT_DOOR_SCOPE="ALL")+(ACT_DOOR_SCOPE="TIER_"&amp;$F238)+(ACT_DOOR_SCOPE=$B238)))*SIGN(((ACT_SKU_SCOPE="ALL")+(ACT_SKU_SCOPE=$G238)))*(8&gt;ACT_END)*(ACT_END&gt;0)*IFERROR(ACT_POSTLIFT,0))),0)))</f>
        <v/>
      </c>
      <c r="R238" s="10">
        <f>IF(OR($H238&lt;&gt;"Y",9&lt;$I238),0,IF(SUMPRODUCT(((BULK_ENABLED="Y")*((BULK_TIER="ALL")+(BULK_TIER=$F238))*((BULK_SKU="ALL")+(BULK_SKU=$G238))*(BULK_START&lt;=9)*(BULK_END&gt;=9)))&gt;0,IFERROR(SUMPRODUCT(((BULK_ENABLED="Y")*((BULK_TIER="ALL")+(BULK_TIER=$F238))*((BULK_SKU="ALL")+(BULK_SKU=$G238))*(BULK_START&lt;=9)*(BULK_END&gt;=9))*IFERROR(BULK_VALUE,0))/MAX(1,SUMPRODUCT(((BULK_ENABLED="Y")*((BULK_TIER="ALL")+(BULK_TIER=$F238))*((BULK_SKU="ALL")+(BULK_SKU=$G238))*(BULK_START&lt;=9)*(BULK_END&gt;=9)))),0),ROUND((INDEX(VELOCITY_TABLE,MATCH($F238,TIER_LIST,0),3))*(IF((9-$I238+1)&lt;=0,0,IF((9-$I238+1)=1,RAMP_W1,IF((9-$I238+1)=2,RAMP_W2,IF((9-$I238+1)=3,RAMP_W3,RAMP_W4PLUS)))))*(INDEX(ACTIVE_MULT_TABLE,3,1))*(1+SUMPRODUCT(SIGN(((ACT_DOOR_SCOPE="ALL")+(ACT_DOOR_SCOPE="TIER_"&amp;$F238)+(ACT_DOOR_SCOPE=$B238)))*SIGN(((ACT_SKU_SCOPE="ALL")+(ACT_SKU_SCOPE=$G238)))*(ACT_START&lt;=9)*(ACT_END&gt;=9)*IFERROR(ACT_UPLIFT-1,0)))*(1+SUMPRODUCT(SIGN(((ACT_DOOR_SCOPE="ALL")+(ACT_DOOR_SCOPE="TIER_"&amp;$F238)+(ACT_DOOR_SCOPE=$B238)))*SIGN(((ACT_SKU_SCOPE="ALL")+(ACT_SKU_SCOPE=$G238)))*(9&gt;ACT_END)*(ACT_END&gt;0)*IFERROR(ACT_POSTLIFT,0))),0)))</f>
        <v/>
      </c>
      <c r="S238" s="10">
        <f>IF(OR($H238&lt;&gt;"Y",10&lt;$I238),0,IF(SUMPRODUCT(((BULK_ENABLED="Y")*((BULK_TIER="ALL")+(BULK_TIER=$F238))*((BULK_SKU="ALL")+(BULK_SKU=$G238))*(BULK_START&lt;=10)*(BULK_END&gt;=10)))&gt;0,IFERROR(SUMPRODUCT(((BULK_ENABLED="Y")*((BULK_TIER="ALL")+(BULK_TIER=$F238))*((BULK_SKU="ALL")+(BULK_SKU=$G238))*(BULK_START&lt;=10)*(BULK_END&gt;=10))*IFERROR(BULK_VALUE,0))/MAX(1,SUMPRODUCT(((BULK_ENABLED="Y")*((BULK_TIER="ALL")+(BULK_TIER=$F238))*((BULK_SKU="ALL")+(BULK_SKU=$G238))*(BULK_START&lt;=10)*(BULK_END&gt;=10)))),0),ROUND((INDEX(VELOCITY_TABLE,MATCH($F238,TIER_LIST,0),3))*(IF((10-$I238+1)&lt;=0,0,IF((10-$I238+1)=1,RAMP_W1,IF((10-$I238+1)=2,RAMP_W2,IF((10-$I238+1)=3,RAMP_W3,RAMP_W4PLUS)))))*(INDEX(ACTIVE_MULT_TABLE,3,1))*(1+SUMPRODUCT(SIGN(((ACT_DOOR_SCOPE="ALL")+(ACT_DOOR_SCOPE="TIER_"&amp;$F238)+(ACT_DOOR_SCOPE=$B238)))*SIGN(((ACT_SKU_SCOPE="ALL")+(ACT_SKU_SCOPE=$G238)))*(ACT_START&lt;=10)*(ACT_END&gt;=10)*IFERROR(ACT_UPLIFT-1,0)))*(1+SUMPRODUCT(SIGN(((ACT_DOOR_SCOPE="ALL")+(ACT_DOOR_SCOPE="TIER_"&amp;$F238)+(ACT_DOOR_SCOPE=$B238)))*SIGN(((ACT_SKU_SCOPE="ALL")+(ACT_SKU_SCOPE=$G238)))*(10&gt;ACT_END)*(ACT_END&gt;0)*IFERROR(ACT_POSTLIFT,0))),0)))</f>
        <v/>
      </c>
      <c r="T238" s="10">
        <f>IF(OR($H238&lt;&gt;"Y",11&lt;$I238),0,IF(SUMPRODUCT(((BULK_ENABLED="Y")*((BULK_TIER="ALL")+(BULK_TIER=$F238))*((BULK_SKU="ALL")+(BULK_SKU=$G238))*(BULK_START&lt;=11)*(BULK_END&gt;=11)))&gt;0,IFERROR(SUMPRODUCT(((BULK_ENABLED="Y")*((BULK_TIER="ALL")+(BULK_TIER=$F238))*((BULK_SKU="ALL")+(BULK_SKU=$G238))*(BULK_START&lt;=11)*(BULK_END&gt;=11))*IFERROR(BULK_VALUE,0))/MAX(1,SUMPRODUCT(((BULK_ENABLED="Y")*((BULK_TIER="ALL")+(BULK_TIER=$F238))*((BULK_SKU="ALL")+(BULK_SKU=$G238))*(BULK_START&lt;=11)*(BULK_END&gt;=11)))),0),ROUND((INDEX(VELOCITY_TABLE,MATCH($F238,TIER_LIST,0),3))*(IF((11-$I238+1)&lt;=0,0,IF((11-$I238+1)=1,RAMP_W1,IF((11-$I238+1)=2,RAMP_W2,IF((11-$I238+1)=3,RAMP_W3,RAMP_W4PLUS)))))*(INDEX(ACTIVE_MULT_TABLE,3,1))*(1+SUMPRODUCT(SIGN(((ACT_DOOR_SCOPE="ALL")+(ACT_DOOR_SCOPE="TIER_"&amp;$F238)+(ACT_DOOR_SCOPE=$B238)))*SIGN(((ACT_SKU_SCOPE="ALL")+(ACT_SKU_SCOPE=$G238)))*(ACT_START&lt;=11)*(ACT_END&gt;=11)*IFERROR(ACT_UPLIFT-1,0)))*(1+SUMPRODUCT(SIGN(((ACT_DOOR_SCOPE="ALL")+(ACT_DOOR_SCOPE="TIER_"&amp;$F238)+(ACT_DOOR_SCOPE=$B238)))*SIGN(((ACT_SKU_SCOPE="ALL")+(ACT_SKU_SCOPE=$G238)))*(11&gt;ACT_END)*(ACT_END&gt;0)*IFERROR(ACT_POSTLIFT,0))),0)))</f>
        <v/>
      </c>
      <c r="U238" s="10">
        <f>IF(OR($H238&lt;&gt;"Y",12&lt;$I238),0,IF(SUMPRODUCT(((BULK_ENABLED="Y")*((BULK_TIER="ALL")+(BULK_TIER=$F238))*((BULK_SKU="ALL")+(BULK_SKU=$G238))*(BULK_START&lt;=12)*(BULK_END&gt;=12)))&gt;0,IFERROR(SUMPRODUCT(((BULK_ENABLED="Y")*((BULK_TIER="ALL")+(BULK_TIER=$F238))*((BULK_SKU="ALL")+(BULK_SKU=$G238))*(BULK_START&lt;=12)*(BULK_END&gt;=12))*IFERROR(BULK_VALUE,0))/MAX(1,SUMPRODUCT(((BULK_ENABLED="Y")*((BULK_TIER="ALL")+(BULK_TIER=$F238))*((BULK_SKU="ALL")+(BULK_SKU=$G238))*(BULK_START&lt;=12)*(BULK_END&gt;=12)))),0),ROUND((INDEX(VELOCITY_TABLE,MATCH($F238,TIER_LIST,0),3))*(IF((12-$I238+1)&lt;=0,0,IF((12-$I238+1)=1,RAMP_W1,IF((12-$I238+1)=2,RAMP_W2,IF((12-$I238+1)=3,RAMP_W3,RAMP_W4PLUS)))))*(INDEX(ACTIVE_MULT_TABLE,3,1))*(1+SUMPRODUCT(SIGN(((ACT_DOOR_SCOPE="ALL")+(ACT_DOOR_SCOPE="TIER_"&amp;$F238)+(ACT_DOOR_SCOPE=$B238)))*SIGN(((ACT_SKU_SCOPE="ALL")+(ACT_SKU_SCOPE=$G238)))*(ACT_START&lt;=12)*(ACT_END&gt;=12)*IFERROR(ACT_UPLIFT-1,0)))*(1+SUMPRODUCT(SIGN(((ACT_DOOR_SCOPE="ALL")+(ACT_DOOR_SCOPE="TIER_"&amp;$F238)+(ACT_DOOR_SCOPE=$B238)))*SIGN(((ACT_SKU_SCOPE="ALL")+(ACT_SKU_SCOPE=$G238)))*(12&gt;ACT_END)*(ACT_END&gt;0)*IFERROR(ACT_POSTLIFT,0))),0)))</f>
        <v/>
      </c>
      <c r="V238" s="10">
        <f>IF(OR($H238&lt;&gt;"Y",13&lt;$I238),0,IF(SUMPRODUCT(((BULK_ENABLED="Y")*((BULK_TIER="ALL")+(BULK_TIER=$F238))*((BULK_SKU="ALL")+(BULK_SKU=$G238))*(BULK_START&lt;=13)*(BULK_END&gt;=13)))&gt;0,IFERROR(SUMPRODUCT(((BULK_ENABLED="Y")*((BULK_TIER="ALL")+(BULK_TIER=$F238))*((BULK_SKU="ALL")+(BULK_SKU=$G238))*(BULK_START&lt;=13)*(BULK_END&gt;=13))*IFERROR(BULK_VALUE,0))/MAX(1,SUMPRODUCT(((BULK_ENABLED="Y")*((BULK_TIER="ALL")+(BULK_TIER=$F238))*((BULK_SKU="ALL")+(BULK_SKU=$G238))*(BULK_START&lt;=13)*(BULK_END&gt;=13)))),0),ROUND((INDEX(VELOCITY_TABLE,MATCH($F238,TIER_LIST,0),3))*(IF((13-$I238+1)&lt;=0,0,IF((13-$I238+1)=1,RAMP_W1,IF((13-$I238+1)=2,RAMP_W2,IF((13-$I238+1)=3,RAMP_W3,RAMP_W4PLUS)))))*(INDEX(ACTIVE_MULT_TABLE,3,1))*(1+SUMPRODUCT(SIGN(((ACT_DOOR_SCOPE="ALL")+(ACT_DOOR_SCOPE="TIER_"&amp;$F238)+(ACT_DOOR_SCOPE=$B238)))*SIGN(((ACT_SKU_SCOPE="ALL")+(ACT_SKU_SCOPE=$G238)))*(ACT_START&lt;=13)*(ACT_END&gt;=13)*IFERROR(ACT_UPLIFT-1,0)))*(1+SUMPRODUCT(SIGN(((ACT_DOOR_SCOPE="ALL")+(ACT_DOOR_SCOPE="TIER_"&amp;$F238)+(ACT_DOOR_SCOPE=$B238)))*SIGN(((ACT_SKU_SCOPE="ALL")+(ACT_SKU_SCOPE=$G238)))*(13&gt;ACT_END)*(ACT_END&gt;0)*IFERROR(ACT_POSTLIFT,0))),0)))</f>
        <v/>
      </c>
    </row>
    <row r="239">
      <c r="A239" t="inlineStr">
        <is>
          <t>R0235</t>
        </is>
      </c>
      <c r="B239">
        <f>Doors!$A$83</f>
        <v/>
      </c>
      <c r="C239">
        <f>Doors!$C$83</f>
        <v/>
      </c>
      <c r="D239">
        <f>Doors!$B$83</f>
        <v/>
      </c>
      <c r="E239">
        <f>Doors!$E$83</f>
        <v/>
      </c>
      <c r="F239">
        <f>Doors!$F$83</f>
        <v/>
      </c>
      <c r="G239" t="inlineStr">
        <is>
          <t>Lime Lemon</t>
        </is>
      </c>
      <c r="H239">
        <f>Doors!$G$83</f>
        <v/>
      </c>
      <c r="I239">
        <f>Doors!$J$83</f>
        <v/>
      </c>
      <c r="J239" s="10">
        <f>IF(OR($H239&lt;&gt;"Y",1&lt;$I239),0,IF(SUMPRODUCT(((BULK_ENABLED="Y")*((BULK_TIER="ALL")+(BULK_TIER=$F239))*((BULK_SKU="ALL")+(BULK_SKU=$G239))*(BULK_START&lt;=1)*(BULK_END&gt;=1)))&gt;0,IFERROR(SUMPRODUCT(((BULK_ENABLED="Y")*((BULK_TIER="ALL")+(BULK_TIER=$F239))*((BULK_SKU="ALL")+(BULK_SKU=$G239))*(BULK_START&lt;=1)*(BULK_END&gt;=1))*IFERROR(BULK_VALUE,0))/MAX(1,SUMPRODUCT(((BULK_ENABLED="Y")*((BULK_TIER="ALL")+(BULK_TIER=$F239))*((BULK_SKU="ALL")+(BULK_SKU=$G239))*(BULK_START&lt;=1)*(BULK_END&gt;=1)))),0),ROUND((INDEX(VELOCITY_TABLE,MATCH($F239,TIER_LIST,0),1))*(IF((1-$I239+1)&lt;=0,0,IF((1-$I239+1)=1,RAMP_W1,IF((1-$I239+1)=2,RAMP_W2,IF((1-$I239+1)=3,RAMP_W3,RAMP_W4PLUS)))))*(INDEX(ACTIVE_MULT_TABLE,1,1))*(1+SUMPRODUCT(SIGN(((ACT_DOOR_SCOPE="ALL")+(ACT_DOOR_SCOPE="TIER_"&amp;$F239)+(ACT_DOOR_SCOPE=$B239)))*SIGN(((ACT_SKU_SCOPE="ALL")+(ACT_SKU_SCOPE=$G239)))*(ACT_START&lt;=1)*(ACT_END&gt;=1)*IFERROR(ACT_UPLIFT-1,0)))*(1+SUMPRODUCT(SIGN(((ACT_DOOR_SCOPE="ALL")+(ACT_DOOR_SCOPE="TIER_"&amp;$F239)+(ACT_DOOR_SCOPE=$B239)))*SIGN(((ACT_SKU_SCOPE="ALL")+(ACT_SKU_SCOPE=$G239)))*(1&gt;ACT_END)*(ACT_END&gt;0)*IFERROR(ACT_POSTLIFT,0))),0)))</f>
        <v/>
      </c>
      <c r="K239" s="10">
        <f>IF(OR($H239&lt;&gt;"Y",2&lt;$I239),0,IF(SUMPRODUCT(((BULK_ENABLED="Y")*((BULK_TIER="ALL")+(BULK_TIER=$F239))*((BULK_SKU="ALL")+(BULK_SKU=$G239))*(BULK_START&lt;=2)*(BULK_END&gt;=2)))&gt;0,IFERROR(SUMPRODUCT(((BULK_ENABLED="Y")*((BULK_TIER="ALL")+(BULK_TIER=$F239))*((BULK_SKU="ALL")+(BULK_SKU=$G239))*(BULK_START&lt;=2)*(BULK_END&gt;=2))*IFERROR(BULK_VALUE,0))/MAX(1,SUMPRODUCT(((BULK_ENABLED="Y")*((BULK_TIER="ALL")+(BULK_TIER=$F239))*((BULK_SKU="ALL")+(BULK_SKU=$G239))*(BULK_START&lt;=2)*(BULK_END&gt;=2)))),0),ROUND((INDEX(VELOCITY_TABLE,MATCH($F239,TIER_LIST,0),1))*(IF((2-$I239+1)&lt;=0,0,IF((2-$I239+1)=1,RAMP_W1,IF((2-$I239+1)=2,RAMP_W2,IF((2-$I239+1)=3,RAMP_W3,RAMP_W4PLUS)))))*(INDEX(ACTIVE_MULT_TABLE,1,1))*(1+SUMPRODUCT(SIGN(((ACT_DOOR_SCOPE="ALL")+(ACT_DOOR_SCOPE="TIER_"&amp;$F239)+(ACT_DOOR_SCOPE=$B239)))*SIGN(((ACT_SKU_SCOPE="ALL")+(ACT_SKU_SCOPE=$G239)))*(ACT_START&lt;=2)*(ACT_END&gt;=2)*IFERROR(ACT_UPLIFT-1,0)))*(1+SUMPRODUCT(SIGN(((ACT_DOOR_SCOPE="ALL")+(ACT_DOOR_SCOPE="TIER_"&amp;$F239)+(ACT_DOOR_SCOPE=$B239)))*SIGN(((ACT_SKU_SCOPE="ALL")+(ACT_SKU_SCOPE=$G239)))*(2&gt;ACT_END)*(ACT_END&gt;0)*IFERROR(ACT_POSTLIFT,0))),0)))</f>
        <v/>
      </c>
      <c r="L239" s="10">
        <f>IF(OR($H239&lt;&gt;"Y",3&lt;$I239),0,IF(SUMPRODUCT(((BULK_ENABLED="Y")*((BULK_TIER="ALL")+(BULK_TIER=$F239))*((BULK_SKU="ALL")+(BULK_SKU=$G239))*(BULK_START&lt;=3)*(BULK_END&gt;=3)))&gt;0,IFERROR(SUMPRODUCT(((BULK_ENABLED="Y")*((BULK_TIER="ALL")+(BULK_TIER=$F239))*((BULK_SKU="ALL")+(BULK_SKU=$G239))*(BULK_START&lt;=3)*(BULK_END&gt;=3))*IFERROR(BULK_VALUE,0))/MAX(1,SUMPRODUCT(((BULK_ENABLED="Y")*((BULK_TIER="ALL")+(BULK_TIER=$F239))*((BULK_SKU="ALL")+(BULK_SKU=$G239))*(BULK_START&lt;=3)*(BULK_END&gt;=3)))),0),ROUND((INDEX(VELOCITY_TABLE,MATCH($F239,TIER_LIST,0),1))*(IF((3-$I239+1)&lt;=0,0,IF((3-$I239+1)=1,RAMP_W1,IF((3-$I239+1)=2,RAMP_W2,IF((3-$I239+1)=3,RAMP_W3,RAMP_W4PLUS)))))*(INDEX(ACTIVE_MULT_TABLE,1,1))*(1+SUMPRODUCT(SIGN(((ACT_DOOR_SCOPE="ALL")+(ACT_DOOR_SCOPE="TIER_"&amp;$F239)+(ACT_DOOR_SCOPE=$B239)))*SIGN(((ACT_SKU_SCOPE="ALL")+(ACT_SKU_SCOPE=$G239)))*(ACT_START&lt;=3)*(ACT_END&gt;=3)*IFERROR(ACT_UPLIFT-1,0)))*(1+SUMPRODUCT(SIGN(((ACT_DOOR_SCOPE="ALL")+(ACT_DOOR_SCOPE="TIER_"&amp;$F239)+(ACT_DOOR_SCOPE=$B239)))*SIGN(((ACT_SKU_SCOPE="ALL")+(ACT_SKU_SCOPE=$G239)))*(3&gt;ACT_END)*(ACT_END&gt;0)*IFERROR(ACT_POSTLIFT,0))),0)))</f>
        <v/>
      </c>
      <c r="M239" s="10">
        <f>IF(OR($H239&lt;&gt;"Y",4&lt;$I239),0,IF(SUMPRODUCT(((BULK_ENABLED="Y")*((BULK_TIER="ALL")+(BULK_TIER=$F239))*((BULK_SKU="ALL")+(BULK_SKU=$G239))*(BULK_START&lt;=4)*(BULK_END&gt;=4)))&gt;0,IFERROR(SUMPRODUCT(((BULK_ENABLED="Y")*((BULK_TIER="ALL")+(BULK_TIER=$F239))*((BULK_SKU="ALL")+(BULK_SKU=$G239))*(BULK_START&lt;=4)*(BULK_END&gt;=4))*IFERROR(BULK_VALUE,0))/MAX(1,SUMPRODUCT(((BULK_ENABLED="Y")*((BULK_TIER="ALL")+(BULK_TIER=$F239))*((BULK_SKU="ALL")+(BULK_SKU=$G239))*(BULK_START&lt;=4)*(BULK_END&gt;=4)))),0),ROUND((INDEX(VELOCITY_TABLE,MATCH($F239,TIER_LIST,0),1))*(IF((4-$I239+1)&lt;=0,0,IF((4-$I239+1)=1,RAMP_W1,IF((4-$I239+1)=2,RAMP_W2,IF((4-$I239+1)=3,RAMP_W3,RAMP_W4PLUS)))))*(INDEX(ACTIVE_MULT_TABLE,1,1))*(1+SUMPRODUCT(SIGN(((ACT_DOOR_SCOPE="ALL")+(ACT_DOOR_SCOPE="TIER_"&amp;$F239)+(ACT_DOOR_SCOPE=$B239)))*SIGN(((ACT_SKU_SCOPE="ALL")+(ACT_SKU_SCOPE=$G239)))*(ACT_START&lt;=4)*(ACT_END&gt;=4)*IFERROR(ACT_UPLIFT-1,0)))*(1+SUMPRODUCT(SIGN(((ACT_DOOR_SCOPE="ALL")+(ACT_DOOR_SCOPE="TIER_"&amp;$F239)+(ACT_DOOR_SCOPE=$B239)))*SIGN(((ACT_SKU_SCOPE="ALL")+(ACT_SKU_SCOPE=$G239)))*(4&gt;ACT_END)*(ACT_END&gt;0)*IFERROR(ACT_POSTLIFT,0))),0)))</f>
        <v/>
      </c>
      <c r="N239" s="10">
        <f>IF(OR($H239&lt;&gt;"Y",5&lt;$I239),0,IF(SUMPRODUCT(((BULK_ENABLED="Y")*((BULK_TIER="ALL")+(BULK_TIER=$F239))*((BULK_SKU="ALL")+(BULK_SKU=$G239))*(BULK_START&lt;=5)*(BULK_END&gt;=5)))&gt;0,IFERROR(SUMPRODUCT(((BULK_ENABLED="Y")*((BULK_TIER="ALL")+(BULK_TIER=$F239))*((BULK_SKU="ALL")+(BULK_SKU=$G239))*(BULK_START&lt;=5)*(BULK_END&gt;=5))*IFERROR(BULK_VALUE,0))/MAX(1,SUMPRODUCT(((BULK_ENABLED="Y")*((BULK_TIER="ALL")+(BULK_TIER=$F239))*((BULK_SKU="ALL")+(BULK_SKU=$G239))*(BULK_START&lt;=5)*(BULK_END&gt;=5)))),0),ROUND((INDEX(VELOCITY_TABLE,MATCH($F239,TIER_LIST,0),1))*(IF((5-$I239+1)&lt;=0,0,IF((5-$I239+1)=1,RAMP_W1,IF((5-$I239+1)=2,RAMP_W2,IF((5-$I239+1)=3,RAMP_W3,RAMP_W4PLUS)))))*(INDEX(ACTIVE_MULT_TABLE,1,1))*(1+SUMPRODUCT(SIGN(((ACT_DOOR_SCOPE="ALL")+(ACT_DOOR_SCOPE="TIER_"&amp;$F239)+(ACT_DOOR_SCOPE=$B239)))*SIGN(((ACT_SKU_SCOPE="ALL")+(ACT_SKU_SCOPE=$G239)))*(ACT_START&lt;=5)*(ACT_END&gt;=5)*IFERROR(ACT_UPLIFT-1,0)))*(1+SUMPRODUCT(SIGN(((ACT_DOOR_SCOPE="ALL")+(ACT_DOOR_SCOPE="TIER_"&amp;$F239)+(ACT_DOOR_SCOPE=$B239)))*SIGN(((ACT_SKU_SCOPE="ALL")+(ACT_SKU_SCOPE=$G239)))*(5&gt;ACT_END)*(ACT_END&gt;0)*IFERROR(ACT_POSTLIFT,0))),0)))</f>
        <v/>
      </c>
      <c r="O239" s="10">
        <f>IF(OR($H239&lt;&gt;"Y",6&lt;$I239),0,IF(SUMPRODUCT(((BULK_ENABLED="Y")*((BULK_TIER="ALL")+(BULK_TIER=$F239))*((BULK_SKU="ALL")+(BULK_SKU=$G239))*(BULK_START&lt;=6)*(BULK_END&gt;=6)))&gt;0,IFERROR(SUMPRODUCT(((BULK_ENABLED="Y")*((BULK_TIER="ALL")+(BULK_TIER=$F239))*((BULK_SKU="ALL")+(BULK_SKU=$G239))*(BULK_START&lt;=6)*(BULK_END&gt;=6))*IFERROR(BULK_VALUE,0))/MAX(1,SUMPRODUCT(((BULK_ENABLED="Y")*((BULK_TIER="ALL")+(BULK_TIER=$F239))*((BULK_SKU="ALL")+(BULK_SKU=$G239))*(BULK_START&lt;=6)*(BULK_END&gt;=6)))),0),ROUND((INDEX(VELOCITY_TABLE,MATCH($F239,TIER_LIST,0),1))*(IF((6-$I239+1)&lt;=0,0,IF((6-$I239+1)=1,RAMP_W1,IF((6-$I239+1)=2,RAMP_W2,IF((6-$I239+1)=3,RAMP_W3,RAMP_W4PLUS)))))*(INDEX(ACTIVE_MULT_TABLE,1,1))*(1+SUMPRODUCT(SIGN(((ACT_DOOR_SCOPE="ALL")+(ACT_DOOR_SCOPE="TIER_"&amp;$F239)+(ACT_DOOR_SCOPE=$B239)))*SIGN(((ACT_SKU_SCOPE="ALL")+(ACT_SKU_SCOPE=$G239)))*(ACT_START&lt;=6)*(ACT_END&gt;=6)*IFERROR(ACT_UPLIFT-1,0)))*(1+SUMPRODUCT(SIGN(((ACT_DOOR_SCOPE="ALL")+(ACT_DOOR_SCOPE="TIER_"&amp;$F239)+(ACT_DOOR_SCOPE=$B239)))*SIGN(((ACT_SKU_SCOPE="ALL")+(ACT_SKU_SCOPE=$G239)))*(6&gt;ACT_END)*(ACT_END&gt;0)*IFERROR(ACT_POSTLIFT,0))),0)))</f>
        <v/>
      </c>
      <c r="P239" s="10">
        <f>IF(OR($H239&lt;&gt;"Y",7&lt;$I239),0,IF(SUMPRODUCT(((BULK_ENABLED="Y")*((BULK_TIER="ALL")+(BULK_TIER=$F239))*((BULK_SKU="ALL")+(BULK_SKU=$G239))*(BULK_START&lt;=7)*(BULK_END&gt;=7)))&gt;0,IFERROR(SUMPRODUCT(((BULK_ENABLED="Y")*((BULK_TIER="ALL")+(BULK_TIER=$F239))*((BULK_SKU="ALL")+(BULK_SKU=$G239))*(BULK_START&lt;=7)*(BULK_END&gt;=7))*IFERROR(BULK_VALUE,0))/MAX(1,SUMPRODUCT(((BULK_ENABLED="Y")*((BULK_TIER="ALL")+(BULK_TIER=$F239))*((BULK_SKU="ALL")+(BULK_SKU=$G239))*(BULK_START&lt;=7)*(BULK_END&gt;=7)))),0),ROUND((INDEX(VELOCITY_TABLE,MATCH($F239,TIER_LIST,0),1))*(IF((7-$I239+1)&lt;=0,0,IF((7-$I239+1)=1,RAMP_W1,IF((7-$I239+1)=2,RAMP_W2,IF((7-$I239+1)=3,RAMP_W3,RAMP_W4PLUS)))))*(INDEX(ACTIVE_MULT_TABLE,1,1))*(1+SUMPRODUCT(SIGN(((ACT_DOOR_SCOPE="ALL")+(ACT_DOOR_SCOPE="TIER_"&amp;$F239)+(ACT_DOOR_SCOPE=$B239)))*SIGN(((ACT_SKU_SCOPE="ALL")+(ACT_SKU_SCOPE=$G239)))*(ACT_START&lt;=7)*(ACT_END&gt;=7)*IFERROR(ACT_UPLIFT-1,0)))*(1+SUMPRODUCT(SIGN(((ACT_DOOR_SCOPE="ALL")+(ACT_DOOR_SCOPE="TIER_"&amp;$F239)+(ACT_DOOR_SCOPE=$B239)))*SIGN(((ACT_SKU_SCOPE="ALL")+(ACT_SKU_SCOPE=$G239)))*(7&gt;ACT_END)*(ACT_END&gt;0)*IFERROR(ACT_POSTLIFT,0))),0)))</f>
        <v/>
      </c>
      <c r="Q239" s="10">
        <f>IF(OR($H239&lt;&gt;"Y",8&lt;$I239),0,IF(SUMPRODUCT(((BULK_ENABLED="Y")*((BULK_TIER="ALL")+(BULK_TIER=$F239))*((BULK_SKU="ALL")+(BULK_SKU=$G239))*(BULK_START&lt;=8)*(BULK_END&gt;=8)))&gt;0,IFERROR(SUMPRODUCT(((BULK_ENABLED="Y")*((BULK_TIER="ALL")+(BULK_TIER=$F239))*((BULK_SKU="ALL")+(BULK_SKU=$G239))*(BULK_START&lt;=8)*(BULK_END&gt;=8))*IFERROR(BULK_VALUE,0))/MAX(1,SUMPRODUCT(((BULK_ENABLED="Y")*((BULK_TIER="ALL")+(BULK_TIER=$F239))*((BULK_SKU="ALL")+(BULK_SKU=$G239))*(BULK_START&lt;=8)*(BULK_END&gt;=8)))),0),ROUND((INDEX(VELOCITY_TABLE,MATCH($F239,TIER_LIST,0),1))*(IF((8-$I239+1)&lt;=0,0,IF((8-$I239+1)=1,RAMP_W1,IF((8-$I239+1)=2,RAMP_W2,IF((8-$I239+1)=3,RAMP_W3,RAMP_W4PLUS)))))*(INDEX(ACTIVE_MULT_TABLE,1,1))*(1+SUMPRODUCT(SIGN(((ACT_DOOR_SCOPE="ALL")+(ACT_DOOR_SCOPE="TIER_"&amp;$F239)+(ACT_DOOR_SCOPE=$B239)))*SIGN(((ACT_SKU_SCOPE="ALL")+(ACT_SKU_SCOPE=$G239)))*(ACT_START&lt;=8)*(ACT_END&gt;=8)*IFERROR(ACT_UPLIFT-1,0)))*(1+SUMPRODUCT(SIGN(((ACT_DOOR_SCOPE="ALL")+(ACT_DOOR_SCOPE="TIER_"&amp;$F239)+(ACT_DOOR_SCOPE=$B239)))*SIGN(((ACT_SKU_SCOPE="ALL")+(ACT_SKU_SCOPE=$G239)))*(8&gt;ACT_END)*(ACT_END&gt;0)*IFERROR(ACT_POSTLIFT,0))),0)))</f>
        <v/>
      </c>
      <c r="R239" s="10">
        <f>IF(OR($H239&lt;&gt;"Y",9&lt;$I239),0,IF(SUMPRODUCT(((BULK_ENABLED="Y")*((BULK_TIER="ALL")+(BULK_TIER=$F239))*((BULK_SKU="ALL")+(BULK_SKU=$G239))*(BULK_START&lt;=9)*(BULK_END&gt;=9)))&gt;0,IFERROR(SUMPRODUCT(((BULK_ENABLED="Y")*((BULK_TIER="ALL")+(BULK_TIER=$F239))*((BULK_SKU="ALL")+(BULK_SKU=$G239))*(BULK_START&lt;=9)*(BULK_END&gt;=9))*IFERROR(BULK_VALUE,0))/MAX(1,SUMPRODUCT(((BULK_ENABLED="Y")*((BULK_TIER="ALL")+(BULK_TIER=$F239))*((BULK_SKU="ALL")+(BULK_SKU=$G239))*(BULK_START&lt;=9)*(BULK_END&gt;=9)))),0),ROUND((INDEX(VELOCITY_TABLE,MATCH($F239,TIER_LIST,0),1))*(IF((9-$I239+1)&lt;=0,0,IF((9-$I239+1)=1,RAMP_W1,IF((9-$I239+1)=2,RAMP_W2,IF((9-$I239+1)=3,RAMP_W3,RAMP_W4PLUS)))))*(INDEX(ACTIVE_MULT_TABLE,1,1))*(1+SUMPRODUCT(SIGN(((ACT_DOOR_SCOPE="ALL")+(ACT_DOOR_SCOPE="TIER_"&amp;$F239)+(ACT_DOOR_SCOPE=$B239)))*SIGN(((ACT_SKU_SCOPE="ALL")+(ACT_SKU_SCOPE=$G239)))*(ACT_START&lt;=9)*(ACT_END&gt;=9)*IFERROR(ACT_UPLIFT-1,0)))*(1+SUMPRODUCT(SIGN(((ACT_DOOR_SCOPE="ALL")+(ACT_DOOR_SCOPE="TIER_"&amp;$F239)+(ACT_DOOR_SCOPE=$B239)))*SIGN(((ACT_SKU_SCOPE="ALL")+(ACT_SKU_SCOPE=$G239)))*(9&gt;ACT_END)*(ACT_END&gt;0)*IFERROR(ACT_POSTLIFT,0))),0)))</f>
        <v/>
      </c>
      <c r="S239" s="10">
        <f>IF(OR($H239&lt;&gt;"Y",10&lt;$I239),0,IF(SUMPRODUCT(((BULK_ENABLED="Y")*((BULK_TIER="ALL")+(BULK_TIER=$F239))*((BULK_SKU="ALL")+(BULK_SKU=$G239))*(BULK_START&lt;=10)*(BULK_END&gt;=10)))&gt;0,IFERROR(SUMPRODUCT(((BULK_ENABLED="Y")*((BULK_TIER="ALL")+(BULK_TIER=$F239))*((BULK_SKU="ALL")+(BULK_SKU=$G239))*(BULK_START&lt;=10)*(BULK_END&gt;=10))*IFERROR(BULK_VALUE,0))/MAX(1,SUMPRODUCT(((BULK_ENABLED="Y")*((BULK_TIER="ALL")+(BULK_TIER=$F239))*((BULK_SKU="ALL")+(BULK_SKU=$G239))*(BULK_START&lt;=10)*(BULK_END&gt;=10)))),0),ROUND((INDEX(VELOCITY_TABLE,MATCH($F239,TIER_LIST,0),1))*(IF((10-$I239+1)&lt;=0,0,IF((10-$I239+1)=1,RAMP_W1,IF((10-$I239+1)=2,RAMP_W2,IF((10-$I239+1)=3,RAMP_W3,RAMP_W4PLUS)))))*(INDEX(ACTIVE_MULT_TABLE,1,1))*(1+SUMPRODUCT(SIGN(((ACT_DOOR_SCOPE="ALL")+(ACT_DOOR_SCOPE="TIER_"&amp;$F239)+(ACT_DOOR_SCOPE=$B239)))*SIGN(((ACT_SKU_SCOPE="ALL")+(ACT_SKU_SCOPE=$G239)))*(ACT_START&lt;=10)*(ACT_END&gt;=10)*IFERROR(ACT_UPLIFT-1,0)))*(1+SUMPRODUCT(SIGN(((ACT_DOOR_SCOPE="ALL")+(ACT_DOOR_SCOPE="TIER_"&amp;$F239)+(ACT_DOOR_SCOPE=$B239)))*SIGN(((ACT_SKU_SCOPE="ALL")+(ACT_SKU_SCOPE=$G239)))*(10&gt;ACT_END)*(ACT_END&gt;0)*IFERROR(ACT_POSTLIFT,0))),0)))</f>
        <v/>
      </c>
      <c r="T239" s="10">
        <f>IF(OR($H239&lt;&gt;"Y",11&lt;$I239),0,IF(SUMPRODUCT(((BULK_ENABLED="Y")*((BULK_TIER="ALL")+(BULK_TIER=$F239))*((BULK_SKU="ALL")+(BULK_SKU=$G239))*(BULK_START&lt;=11)*(BULK_END&gt;=11)))&gt;0,IFERROR(SUMPRODUCT(((BULK_ENABLED="Y")*((BULK_TIER="ALL")+(BULK_TIER=$F239))*((BULK_SKU="ALL")+(BULK_SKU=$G239))*(BULK_START&lt;=11)*(BULK_END&gt;=11))*IFERROR(BULK_VALUE,0))/MAX(1,SUMPRODUCT(((BULK_ENABLED="Y")*((BULK_TIER="ALL")+(BULK_TIER=$F239))*((BULK_SKU="ALL")+(BULK_SKU=$G239))*(BULK_START&lt;=11)*(BULK_END&gt;=11)))),0),ROUND((INDEX(VELOCITY_TABLE,MATCH($F239,TIER_LIST,0),1))*(IF((11-$I239+1)&lt;=0,0,IF((11-$I239+1)=1,RAMP_W1,IF((11-$I239+1)=2,RAMP_W2,IF((11-$I239+1)=3,RAMP_W3,RAMP_W4PLUS)))))*(INDEX(ACTIVE_MULT_TABLE,1,1))*(1+SUMPRODUCT(SIGN(((ACT_DOOR_SCOPE="ALL")+(ACT_DOOR_SCOPE="TIER_"&amp;$F239)+(ACT_DOOR_SCOPE=$B239)))*SIGN(((ACT_SKU_SCOPE="ALL")+(ACT_SKU_SCOPE=$G239)))*(ACT_START&lt;=11)*(ACT_END&gt;=11)*IFERROR(ACT_UPLIFT-1,0)))*(1+SUMPRODUCT(SIGN(((ACT_DOOR_SCOPE="ALL")+(ACT_DOOR_SCOPE="TIER_"&amp;$F239)+(ACT_DOOR_SCOPE=$B239)))*SIGN(((ACT_SKU_SCOPE="ALL")+(ACT_SKU_SCOPE=$G239)))*(11&gt;ACT_END)*(ACT_END&gt;0)*IFERROR(ACT_POSTLIFT,0))),0)))</f>
        <v/>
      </c>
      <c r="U239" s="10">
        <f>IF(OR($H239&lt;&gt;"Y",12&lt;$I239),0,IF(SUMPRODUCT(((BULK_ENABLED="Y")*((BULK_TIER="ALL")+(BULK_TIER=$F239))*((BULK_SKU="ALL")+(BULK_SKU=$G239))*(BULK_START&lt;=12)*(BULK_END&gt;=12)))&gt;0,IFERROR(SUMPRODUCT(((BULK_ENABLED="Y")*((BULK_TIER="ALL")+(BULK_TIER=$F239))*((BULK_SKU="ALL")+(BULK_SKU=$G239))*(BULK_START&lt;=12)*(BULK_END&gt;=12))*IFERROR(BULK_VALUE,0))/MAX(1,SUMPRODUCT(((BULK_ENABLED="Y")*((BULK_TIER="ALL")+(BULK_TIER=$F239))*((BULK_SKU="ALL")+(BULK_SKU=$G239))*(BULK_START&lt;=12)*(BULK_END&gt;=12)))),0),ROUND((INDEX(VELOCITY_TABLE,MATCH($F239,TIER_LIST,0),1))*(IF((12-$I239+1)&lt;=0,0,IF((12-$I239+1)=1,RAMP_W1,IF((12-$I239+1)=2,RAMP_W2,IF((12-$I239+1)=3,RAMP_W3,RAMP_W4PLUS)))))*(INDEX(ACTIVE_MULT_TABLE,1,1))*(1+SUMPRODUCT(SIGN(((ACT_DOOR_SCOPE="ALL")+(ACT_DOOR_SCOPE="TIER_"&amp;$F239)+(ACT_DOOR_SCOPE=$B239)))*SIGN(((ACT_SKU_SCOPE="ALL")+(ACT_SKU_SCOPE=$G239)))*(ACT_START&lt;=12)*(ACT_END&gt;=12)*IFERROR(ACT_UPLIFT-1,0)))*(1+SUMPRODUCT(SIGN(((ACT_DOOR_SCOPE="ALL")+(ACT_DOOR_SCOPE="TIER_"&amp;$F239)+(ACT_DOOR_SCOPE=$B239)))*SIGN(((ACT_SKU_SCOPE="ALL")+(ACT_SKU_SCOPE=$G239)))*(12&gt;ACT_END)*(ACT_END&gt;0)*IFERROR(ACT_POSTLIFT,0))),0)))</f>
        <v/>
      </c>
      <c r="V239" s="10">
        <f>IF(OR($H239&lt;&gt;"Y",13&lt;$I239),0,IF(SUMPRODUCT(((BULK_ENABLED="Y")*((BULK_TIER="ALL")+(BULK_TIER=$F239))*((BULK_SKU="ALL")+(BULK_SKU=$G239))*(BULK_START&lt;=13)*(BULK_END&gt;=13)))&gt;0,IFERROR(SUMPRODUCT(((BULK_ENABLED="Y")*((BULK_TIER="ALL")+(BULK_TIER=$F239))*((BULK_SKU="ALL")+(BULK_SKU=$G239))*(BULK_START&lt;=13)*(BULK_END&gt;=13))*IFERROR(BULK_VALUE,0))/MAX(1,SUMPRODUCT(((BULK_ENABLED="Y")*((BULK_TIER="ALL")+(BULK_TIER=$F239))*((BULK_SKU="ALL")+(BULK_SKU=$G239))*(BULK_START&lt;=13)*(BULK_END&gt;=13)))),0),ROUND((INDEX(VELOCITY_TABLE,MATCH($F239,TIER_LIST,0),1))*(IF((13-$I239+1)&lt;=0,0,IF((13-$I239+1)=1,RAMP_W1,IF((13-$I239+1)=2,RAMP_W2,IF((13-$I239+1)=3,RAMP_W3,RAMP_W4PLUS)))))*(INDEX(ACTIVE_MULT_TABLE,1,1))*(1+SUMPRODUCT(SIGN(((ACT_DOOR_SCOPE="ALL")+(ACT_DOOR_SCOPE="TIER_"&amp;$F239)+(ACT_DOOR_SCOPE=$B239)))*SIGN(((ACT_SKU_SCOPE="ALL")+(ACT_SKU_SCOPE=$G239)))*(ACT_START&lt;=13)*(ACT_END&gt;=13)*IFERROR(ACT_UPLIFT-1,0)))*(1+SUMPRODUCT(SIGN(((ACT_DOOR_SCOPE="ALL")+(ACT_DOOR_SCOPE="TIER_"&amp;$F239)+(ACT_DOOR_SCOPE=$B239)))*SIGN(((ACT_SKU_SCOPE="ALL")+(ACT_SKU_SCOPE=$G239)))*(13&gt;ACT_END)*(ACT_END&gt;0)*IFERROR(ACT_POSTLIFT,0))),0)))</f>
        <v/>
      </c>
    </row>
    <row r="240">
      <c r="A240" t="inlineStr">
        <is>
          <t>R0236</t>
        </is>
      </c>
      <c r="B240">
        <f>Doors!$A$83</f>
        <v/>
      </c>
      <c r="C240">
        <f>Doors!$C$83</f>
        <v/>
      </c>
      <c r="D240">
        <f>Doors!$B$83</f>
        <v/>
      </c>
      <c r="E240">
        <f>Doors!$E$83</f>
        <v/>
      </c>
      <c r="F240">
        <f>Doors!$F$83</f>
        <v/>
      </c>
      <c r="G240" t="inlineStr">
        <is>
          <t>Pineapple Passion Fruit</t>
        </is>
      </c>
      <c r="H240">
        <f>Doors!$H$83</f>
        <v/>
      </c>
      <c r="I240">
        <f>Doors!$J$83</f>
        <v/>
      </c>
      <c r="J240" s="10">
        <f>IF(OR($H240&lt;&gt;"Y",1&lt;$I240),0,IF(SUMPRODUCT(((BULK_ENABLED="Y")*((BULK_TIER="ALL")+(BULK_TIER=$F240))*((BULK_SKU="ALL")+(BULK_SKU=$G240))*(BULK_START&lt;=1)*(BULK_END&gt;=1)))&gt;0,IFERROR(SUMPRODUCT(((BULK_ENABLED="Y")*((BULK_TIER="ALL")+(BULK_TIER=$F240))*((BULK_SKU="ALL")+(BULK_SKU=$G240))*(BULK_START&lt;=1)*(BULK_END&gt;=1))*IFERROR(BULK_VALUE,0))/MAX(1,SUMPRODUCT(((BULK_ENABLED="Y")*((BULK_TIER="ALL")+(BULK_TIER=$F240))*((BULK_SKU="ALL")+(BULK_SKU=$G240))*(BULK_START&lt;=1)*(BULK_END&gt;=1)))),0),ROUND((INDEX(VELOCITY_TABLE,MATCH($F240,TIER_LIST,0),2))*(IF((1-$I240+1)&lt;=0,0,IF((1-$I240+1)=1,RAMP_W1,IF((1-$I240+1)=2,RAMP_W2,IF((1-$I240+1)=3,RAMP_W3,RAMP_W4PLUS)))))*(INDEX(ACTIVE_MULT_TABLE,2,1))*(1+SUMPRODUCT(SIGN(((ACT_DOOR_SCOPE="ALL")+(ACT_DOOR_SCOPE="TIER_"&amp;$F240)+(ACT_DOOR_SCOPE=$B240)))*SIGN(((ACT_SKU_SCOPE="ALL")+(ACT_SKU_SCOPE=$G240)))*(ACT_START&lt;=1)*(ACT_END&gt;=1)*IFERROR(ACT_UPLIFT-1,0)))*(1+SUMPRODUCT(SIGN(((ACT_DOOR_SCOPE="ALL")+(ACT_DOOR_SCOPE="TIER_"&amp;$F240)+(ACT_DOOR_SCOPE=$B240)))*SIGN(((ACT_SKU_SCOPE="ALL")+(ACT_SKU_SCOPE=$G240)))*(1&gt;ACT_END)*(ACT_END&gt;0)*IFERROR(ACT_POSTLIFT,0))),0)))</f>
        <v/>
      </c>
      <c r="K240" s="10">
        <f>IF(OR($H240&lt;&gt;"Y",2&lt;$I240),0,IF(SUMPRODUCT(((BULK_ENABLED="Y")*((BULK_TIER="ALL")+(BULK_TIER=$F240))*((BULK_SKU="ALL")+(BULK_SKU=$G240))*(BULK_START&lt;=2)*(BULK_END&gt;=2)))&gt;0,IFERROR(SUMPRODUCT(((BULK_ENABLED="Y")*((BULK_TIER="ALL")+(BULK_TIER=$F240))*((BULK_SKU="ALL")+(BULK_SKU=$G240))*(BULK_START&lt;=2)*(BULK_END&gt;=2))*IFERROR(BULK_VALUE,0))/MAX(1,SUMPRODUCT(((BULK_ENABLED="Y")*((BULK_TIER="ALL")+(BULK_TIER=$F240))*((BULK_SKU="ALL")+(BULK_SKU=$G240))*(BULK_START&lt;=2)*(BULK_END&gt;=2)))),0),ROUND((INDEX(VELOCITY_TABLE,MATCH($F240,TIER_LIST,0),2))*(IF((2-$I240+1)&lt;=0,0,IF((2-$I240+1)=1,RAMP_W1,IF((2-$I240+1)=2,RAMP_W2,IF((2-$I240+1)=3,RAMP_W3,RAMP_W4PLUS)))))*(INDEX(ACTIVE_MULT_TABLE,2,1))*(1+SUMPRODUCT(SIGN(((ACT_DOOR_SCOPE="ALL")+(ACT_DOOR_SCOPE="TIER_"&amp;$F240)+(ACT_DOOR_SCOPE=$B240)))*SIGN(((ACT_SKU_SCOPE="ALL")+(ACT_SKU_SCOPE=$G240)))*(ACT_START&lt;=2)*(ACT_END&gt;=2)*IFERROR(ACT_UPLIFT-1,0)))*(1+SUMPRODUCT(SIGN(((ACT_DOOR_SCOPE="ALL")+(ACT_DOOR_SCOPE="TIER_"&amp;$F240)+(ACT_DOOR_SCOPE=$B240)))*SIGN(((ACT_SKU_SCOPE="ALL")+(ACT_SKU_SCOPE=$G240)))*(2&gt;ACT_END)*(ACT_END&gt;0)*IFERROR(ACT_POSTLIFT,0))),0)))</f>
        <v/>
      </c>
      <c r="L240" s="10">
        <f>IF(OR($H240&lt;&gt;"Y",3&lt;$I240),0,IF(SUMPRODUCT(((BULK_ENABLED="Y")*((BULK_TIER="ALL")+(BULK_TIER=$F240))*((BULK_SKU="ALL")+(BULK_SKU=$G240))*(BULK_START&lt;=3)*(BULK_END&gt;=3)))&gt;0,IFERROR(SUMPRODUCT(((BULK_ENABLED="Y")*((BULK_TIER="ALL")+(BULK_TIER=$F240))*((BULK_SKU="ALL")+(BULK_SKU=$G240))*(BULK_START&lt;=3)*(BULK_END&gt;=3))*IFERROR(BULK_VALUE,0))/MAX(1,SUMPRODUCT(((BULK_ENABLED="Y")*((BULK_TIER="ALL")+(BULK_TIER=$F240))*((BULK_SKU="ALL")+(BULK_SKU=$G240))*(BULK_START&lt;=3)*(BULK_END&gt;=3)))),0),ROUND((INDEX(VELOCITY_TABLE,MATCH($F240,TIER_LIST,0),2))*(IF((3-$I240+1)&lt;=0,0,IF((3-$I240+1)=1,RAMP_W1,IF((3-$I240+1)=2,RAMP_W2,IF((3-$I240+1)=3,RAMP_W3,RAMP_W4PLUS)))))*(INDEX(ACTIVE_MULT_TABLE,2,1))*(1+SUMPRODUCT(SIGN(((ACT_DOOR_SCOPE="ALL")+(ACT_DOOR_SCOPE="TIER_"&amp;$F240)+(ACT_DOOR_SCOPE=$B240)))*SIGN(((ACT_SKU_SCOPE="ALL")+(ACT_SKU_SCOPE=$G240)))*(ACT_START&lt;=3)*(ACT_END&gt;=3)*IFERROR(ACT_UPLIFT-1,0)))*(1+SUMPRODUCT(SIGN(((ACT_DOOR_SCOPE="ALL")+(ACT_DOOR_SCOPE="TIER_"&amp;$F240)+(ACT_DOOR_SCOPE=$B240)))*SIGN(((ACT_SKU_SCOPE="ALL")+(ACT_SKU_SCOPE=$G240)))*(3&gt;ACT_END)*(ACT_END&gt;0)*IFERROR(ACT_POSTLIFT,0))),0)))</f>
        <v/>
      </c>
      <c r="M240" s="10">
        <f>IF(OR($H240&lt;&gt;"Y",4&lt;$I240),0,IF(SUMPRODUCT(((BULK_ENABLED="Y")*((BULK_TIER="ALL")+(BULK_TIER=$F240))*((BULK_SKU="ALL")+(BULK_SKU=$G240))*(BULK_START&lt;=4)*(BULK_END&gt;=4)))&gt;0,IFERROR(SUMPRODUCT(((BULK_ENABLED="Y")*((BULK_TIER="ALL")+(BULK_TIER=$F240))*((BULK_SKU="ALL")+(BULK_SKU=$G240))*(BULK_START&lt;=4)*(BULK_END&gt;=4))*IFERROR(BULK_VALUE,0))/MAX(1,SUMPRODUCT(((BULK_ENABLED="Y")*((BULK_TIER="ALL")+(BULK_TIER=$F240))*((BULK_SKU="ALL")+(BULK_SKU=$G240))*(BULK_START&lt;=4)*(BULK_END&gt;=4)))),0),ROUND((INDEX(VELOCITY_TABLE,MATCH($F240,TIER_LIST,0),2))*(IF((4-$I240+1)&lt;=0,0,IF((4-$I240+1)=1,RAMP_W1,IF((4-$I240+1)=2,RAMP_W2,IF((4-$I240+1)=3,RAMP_W3,RAMP_W4PLUS)))))*(INDEX(ACTIVE_MULT_TABLE,2,1))*(1+SUMPRODUCT(SIGN(((ACT_DOOR_SCOPE="ALL")+(ACT_DOOR_SCOPE="TIER_"&amp;$F240)+(ACT_DOOR_SCOPE=$B240)))*SIGN(((ACT_SKU_SCOPE="ALL")+(ACT_SKU_SCOPE=$G240)))*(ACT_START&lt;=4)*(ACT_END&gt;=4)*IFERROR(ACT_UPLIFT-1,0)))*(1+SUMPRODUCT(SIGN(((ACT_DOOR_SCOPE="ALL")+(ACT_DOOR_SCOPE="TIER_"&amp;$F240)+(ACT_DOOR_SCOPE=$B240)))*SIGN(((ACT_SKU_SCOPE="ALL")+(ACT_SKU_SCOPE=$G240)))*(4&gt;ACT_END)*(ACT_END&gt;0)*IFERROR(ACT_POSTLIFT,0))),0)))</f>
        <v/>
      </c>
      <c r="N240" s="10">
        <f>IF(OR($H240&lt;&gt;"Y",5&lt;$I240),0,IF(SUMPRODUCT(((BULK_ENABLED="Y")*((BULK_TIER="ALL")+(BULK_TIER=$F240))*((BULK_SKU="ALL")+(BULK_SKU=$G240))*(BULK_START&lt;=5)*(BULK_END&gt;=5)))&gt;0,IFERROR(SUMPRODUCT(((BULK_ENABLED="Y")*((BULK_TIER="ALL")+(BULK_TIER=$F240))*((BULK_SKU="ALL")+(BULK_SKU=$G240))*(BULK_START&lt;=5)*(BULK_END&gt;=5))*IFERROR(BULK_VALUE,0))/MAX(1,SUMPRODUCT(((BULK_ENABLED="Y")*((BULK_TIER="ALL")+(BULK_TIER=$F240))*((BULK_SKU="ALL")+(BULK_SKU=$G240))*(BULK_START&lt;=5)*(BULK_END&gt;=5)))),0),ROUND((INDEX(VELOCITY_TABLE,MATCH($F240,TIER_LIST,0),2))*(IF((5-$I240+1)&lt;=0,0,IF((5-$I240+1)=1,RAMP_W1,IF((5-$I240+1)=2,RAMP_W2,IF((5-$I240+1)=3,RAMP_W3,RAMP_W4PLUS)))))*(INDEX(ACTIVE_MULT_TABLE,2,1))*(1+SUMPRODUCT(SIGN(((ACT_DOOR_SCOPE="ALL")+(ACT_DOOR_SCOPE="TIER_"&amp;$F240)+(ACT_DOOR_SCOPE=$B240)))*SIGN(((ACT_SKU_SCOPE="ALL")+(ACT_SKU_SCOPE=$G240)))*(ACT_START&lt;=5)*(ACT_END&gt;=5)*IFERROR(ACT_UPLIFT-1,0)))*(1+SUMPRODUCT(SIGN(((ACT_DOOR_SCOPE="ALL")+(ACT_DOOR_SCOPE="TIER_"&amp;$F240)+(ACT_DOOR_SCOPE=$B240)))*SIGN(((ACT_SKU_SCOPE="ALL")+(ACT_SKU_SCOPE=$G240)))*(5&gt;ACT_END)*(ACT_END&gt;0)*IFERROR(ACT_POSTLIFT,0))),0)))</f>
        <v/>
      </c>
      <c r="O240" s="10">
        <f>IF(OR($H240&lt;&gt;"Y",6&lt;$I240),0,IF(SUMPRODUCT(((BULK_ENABLED="Y")*((BULK_TIER="ALL")+(BULK_TIER=$F240))*((BULK_SKU="ALL")+(BULK_SKU=$G240))*(BULK_START&lt;=6)*(BULK_END&gt;=6)))&gt;0,IFERROR(SUMPRODUCT(((BULK_ENABLED="Y")*((BULK_TIER="ALL")+(BULK_TIER=$F240))*((BULK_SKU="ALL")+(BULK_SKU=$G240))*(BULK_START&lt;=6)*(BULK_END&gt;=6))*IFERROR(BULK_VALUE,0))/MAX(1,SUMPRODUCT(((BULK_ENABLED="Y")*((BULK_TIER="ALL")+(BULK_TIER=$F240))*((BULK_SKU="ALL")+(BULK_SKU=$G240))*(BULK_START&lt;=6)*(BULK_END&gt;=6)))),0),ROUND((INDEX(VELOCITY_TABLE,MATCH($F240,TIER_LIST,0),2))*(IF((6-$I240+1)&lt;=0,0,IF((6-$I240+1)=1,RAMP_W1,IF((6-$I240+1)=2,RAMP_W2,IF((6-$I240+1)=3,RAMP_W3,RAMP_W4PLUS)))))*(INDEX(ACTIVE_MULT_TABLE,2,1))*(1+SUMPRODUCT(SIGN(((ACT_DOOR_SCOPE="ALL")+(ACT_DOOR_SCOPE="TIER_"&amp;$F240)+(ACT_DOOR_SCOPE=$B240)))*SIGN(((ACT_SKU_SCOPE="ALL")+(ACT_SKU_SCOPE=$G240)))*(ACT_START&lt;=6)*(ACT_END&gt;=6)*IFERROR(ACT_UPLIFT-1,0)))*(1+SUMPRODUCT(SIGN(((ACT_DOOR_SCOPE="ALL")+(ACT_DOOR_SCOPE="TIER_"&amp;$F240)+(ACT_DOOR_SCOPE=$B240)))*SIGN(((ACT_SKU_SCOPE="ALL")+(ACT_SKU_SCOPE=$G240)))*(6&gt;ACT_END)*(ACT_END&gt;0)*IFERROR(ACT_POSTLIFT,0))),0)))</f>
        <v/>
      </c>
      <c r="P240" s="10">
        <f>IF(OR($H240&lt;&gt;"Y",7&lt;$I240),0,IF(SUMPRODUCT(((BULK_ENABLED="Y")*((BULK_TIER="ALL")+(BULK_TIER=$F240))*((BULK_SKU="ALL")+(BULK_SKU=$G240))*(BULK_START&lt;=7)*(BULK_END&gt;=7)))&gt;0,IFERROR(SUMPRODUCT(((BULK_ENABLED="Y")*((BULK_TIER="ALL")+(BULK_TIER=$F240))*((BULK_SKU="ALL")+(BULK_SKU=$G240))*(BULK_START&lt;=7)*(BULK_END&gt;=7))*IFERROR(BULK_VALUE,0))/MAX(1,SUMPRODUCT(((BULK_ENABLED="Y")*((BULK_TIER="ALL")+(BULK_TIER=$F240))*((BULK_SKU="ALL")+(BULK_SKU=$G240))*(BULK_START&lt;=7)*(BULK_END&gt;=7)))),0),ROUND((INDEX(VELOCITY_TABLE,MATCH($F240,TIER_LIST,0),2))*(IF((7-$I240+1)&lt;=0,0,IF((7-$I240+1)=1,RAMP_W1,IF((7-$I240+1)=2,RAMP_W2,IF((7-$I240+1)=3,RAMP_W3,RAMP_W4PLUS)))))*(INDEX(ACTIVE_MULT_TABLE,2,1))*(1+SUMPRODUCT(SIGN(((ACT_DOOR_SCOPE="ALL")+(ACT_DOOR_SCOPE="TIER_"&amp;$F240)+(ACT_DOOR_SCOPE=$B240)))*SIGN(((ACT_SKU_SCOPE="ALL")+(ACT_SKU_SCOPE=$G240)))*(ACT_START&lt;=7)*(ACT_END&gt;=7)*IFERROR(ACT_UPLIFT-1,0)))*(1+SUMPRODUCT(SIGN(((ACT_DOOR_SCOPE="ALL")+(ACT_DOOR_SCOPE="TIER_"&amp;$F240)+(ACT_DOOR_SCOPE=$B240)))*SIGN(((ACT_SKU_SCOPE="ALL")+(ACT_SKU_SCOPE=$G240)))*(7&gt;ACT_END)*(ACT_END&gt;0)*IFERROR(ACT_POSTLIFT,0))),0)))</f>
        <v/>
      </c>
      <c r="Q240" s="10">
        <f>IF(OR($H240&lt;&gt;"Y",8&lt;$I240),0,IF(SUMPRODUCT(((BULK_ENABLED="Y")*((BULK_TIER="ALL")+(BULK_TIER=$F240))*((BULK_SKU="ALL")+(BULK_SKU=$G240))*(BULK_START&lt;=8)*(BULK_END&gt;=8)))&gt;0,IFERROR(SUMPRODUCT(((BULK_ENABLED="Y")*((BULK_TIER="ALL")+(BULK_TIER=$F240))*((BULK_SKU="ALL")+(BULK_SKU=$G240))*(BULK_START&lt;=8)*(BULK_END&gt;=8))*IFERROR(BULK_VALUE,0))/MAX(1,SUMPRODUCT(((BULK_ENABLED="Y")*((BULK_TIER="ALL")+(BULK_TIER=$F240))*((BULK_SKU="ALL")+(BULK_SKU=$G240))*(BULK_START&lt;=8)*(BULK_END&gt;=8)))),0),ROUND((INDEX(VELOCITY_TABLE,MATCH($F240,TIER_LIST,0),2))*(IF((8-$I240+1)&lt;=0,0,IF((8-$I240+1)=1,RAMP_W1,IF((8-$I240+1)=2,RAMP_W2,IF((8-$I240+1)=3,RAMP_W3,RAMP_W4PLUS)))))*(INDEX(ACTIVE_MULT_TABLE,2,1))*(1+SUMPRODUCT(SIGN(((ACT_DOOR_SCOPE="ALL")+(ACT_DOOR_SCOPE="TIER_"&amp;$F240)+(ACT_DOOR_SCOPE=$B240)))*SIGN(((ACT_SKU_SCOPE="ALL")+(ACT_SKU_SCOPE=$G240)))*(ACT_START&lt;=8)*(ACT_END&gt;=8)*IFERROR(ACT_UPLIFT-1,0)))*(1+SUMPRODUCT(SIGN(((ACT_DOOR_SCOPE="ALL")+(ACT_DOOR_SCOPE="TIER_"&amp;$F240)+(ACT_DOOR_SCOPE=$B240)))*SIGN(((ACT_SKU_SCOPE="ALL")+(ACT_SKU_SCOPE=$G240)))*(8&gt;ACT_END)*(ACT_END&gt;0)*IFERROR(ACT_POSTLIFT,0))),0)))</f>
        <v/>
      </c>
      <c r="R240" s="10">
        <f>IF(OR($H240&lt;&gt;"Y",9&lt;$I240),0,IF(SUMPRODUCT(((BULK_ENABLED="Y")*((BULK_TIER="ALL")+(BULK_TIER=$F240))*((BULK_SKU="ALL")+(BULK_SKU=$G240))*(BULK_START&lt;=9)*(BULK_END&gt;=9)))&gt;0,IFERROR(SUMPRODUCT(((BULK_ENABLED="Y")*((BULK_TIER="ALL")+(BULK_TIER=$F240))*((BULK_SKU="ALL")+(BULK_SKU=$G240))*(BULK_START&lt;=9)*(BULK_END&gt;=9))*IFERROR(BULK_VALUE,0))/MAX(1,SUMPRODUCT(((BULK_ENABLED="Y")*((BULK_TIER="ALL")+(BULK_TIER=$F240))*((BULK_SKU="ALL")+(BULK_SKU=$G240))*(BULK_START&lt;=9)*(BULK_END&gt;=9)))),0),ROUND((INDEX(VELOCITY_TABLE,MATCH($F240,TIER_LIST,0),2))*(IF((9-$I240+1)&lt;=0,0,IF((9-$I240+1)=1,RAMP_W1,IF((9-$I240+1)=2,RAMP_W2,IF((9-$I240+1)=3,RAMP_W3,RAMP_W4PLUS)))))*(INDEX(ACTIVE_MULT_TABLE,2,1))*(1+SUMPRODUCT(SIGN(((ACT_DOOR_SCOPE="ALL")+(ACT_DOOR_SCOPE="TIER_"&amp;$F240)+(ACT_DOOR_SCOPE=$B240)))*SIGN(((ACT_SKU_SCOPE="ALL")+(ACT_SKU_SCOPE=$G240)))*(ACT_START&lt;=9)*(ACT_END&gt;=9)*IFERROR(ACT_UPLIFT-1,0)))*(1+SUMPRODUCT(SIGN(((ACT_DOOR_SCOPE="ALL")+(ACT_DOOR_SCOPE="TIER_"&amp;$F240)+(ACT_DOOR_SCOPE=$B240)))*SIGN(((ACT_SKU_SCOPE="ALL")+(ACT_SKU_SCOPE=$G240)))*(9&gt;ACT_END)*(ACT_END&gt;0)*IFERROR(ACT_POSTLIFT,0))),0)))</f>
        <v/>
      </c>
      <c r="S240" s="10">
        <f>IF(OR($H240&lt;&gt;"Y",10&lt;$I240),0,IF(SUMPRODUCT(((BULK_ENABLED="Y")*((BULK_TIER="ALL")+(BULK_TIER=$F240))*((BULK_SKU="ALL")+(BULK_SKU=$G240))*(BULK_START&lt;=10)*(BULK_END&gt;=10)))&gt;0,IFERROR(SUMPRODUCT(((BULK_ENABLED="Y")*((BULK_TIER="ALL")+(BULK_TIER=$F240))*((BULK_SKU="ALL")+(BULK_SKU=$G240))*(BULK_START&lt;=10)*(BULK_END&gt;=10))*IFERROR(BULK_VALUE,0))/MAX(1,SUMPRODUCT(((BULK_ENABLED="Y")*((BULK_TIER="ALL")+(BULK_TIER=$F240))*((BULK_SKU="ALL")+(BULK_SKU=$G240))*(BULK_START&lt;=10)*(BULK_END&gt;=10)))),0),ROUND((INDEX(VELOCITY_TABLE,MATCH($F240,TIER_LIST,0),2))*(IF((10-$I240+1)&lt;=0,0,IF((10-$I240+1)=1,RAMP_W1,IF((10-$I240+1)=2,RAMP_W2,IF((10-$I240+1)=3,RAMP_W3,RAMP_W4PLUS)))))*(INDEX(ACTIVE_MULT_TABLE,2,1))*(1+SUMPRODUCT(SIGN(((ACT_DOOR_SCOPE="ALL")+(ACT_DOOR_SCOPE="TIER_"&amp;$F240)+(ACT_DOOR_SCOPE=$B240)))*SIGN(((ACT_SKU_SCOPE="ALL")+(ACT_SKU_SCOPE=$G240)))*(ACT_START&lt;=10)*(ACT_END&gt;=10)*IFERROR(ACT_UPLIFT-1,0)))*(1+SUMPRODUCT(SIGN(((ACT_DOOR_SCOPE="ALL")+(ACT_DOOR_SCOPE="TIER_"&amp;$F240)+(ACT_DOOR_SCOPE=$B240)))*SIGN(((ACT_SKU_SCOPE="ALL")+(ACT_SKU_SCOPE=$G240)))*(10&gt;ACT_END)*(ACT_END&gt;0)*IFERROR(ACT_POSTLIFT,0))),0)))</f>
        <v/>
      </c>
      <c r="T240" s="10">
        <f>IF(OR($H240&lt;&gt;"Y",11&lt;$I240),0,IF(SUMPRODUCT(((BULK_ENABLED="Y")*((BULK_TIER="ALL")+(BULK_TIER=$F240))*((BULK_SKU="ALL")+(BULK_SKU=$G240))*(BULK_START&lt;=11)*(BULK_END&gt;=11)))&gt;0,IFERROR(SUMPRODUCT(((BULK_ENABLED="Y")*((BULK_TIER="ALL")+(BULK_TIER=$F240))*((BULK_SKU="ALL")+(BULK_SKU=$G240))*(BULK_START&lt;=11)*(BULK_END&gt;=11))*IFERROR(BULK_VALUE,0))/MAX(1,SUMPRODUCT(((BULK_ENABLED="Y")*((BULK_TIER="ALL")+(BULK_TIER=$F240))*((BULK_SKU="ALL")+(BULK_SKU=$G240))*(BULK_START&lt;=11)*(BULK_END&gt;=11)))),0),ROUND((INDEX(VELOCITY_TABLE,MATCH($F240,TIER_LIST,0),2))*(IF((11-$I240+1)&lt;=0,0,IF((11-$I240+1)=1,RAMP_W1,IF((11-$I240+1)=2,RAMP_W2,IF((11-$I240+1)=3,RAMP_W3,RAMP_W4PLUS)))))*(INDEX(ACTIVE_MULT_TABLE,2,1))*(1+SUMPRODUCT(SIGN(((ACT_DOOR_SCOPE="ALL")+(ACT_DOOR_SCOPE="TIER_"&amp;$F240)+(ACT_DOOR_SCOPE=$B240)))*SIGN(((ACT_SKU_SCOPE="ALL")+(ACT_SKU_SCOPE=$G240)))*(ACT_START&lt;=11)*(ACT_END&gt;=11)*IFERROR(ACT_UPLIFT-1,0)))*(1+SUMPRODUCT(SIGN(((ACT_DOOR_SCOPE="ALL")+(ACT_DOOR_SCOPE="TIER_"&amp;$F240)+(ACT_DOOR_SCOPE=$B240)))*SIGN(((ACT_SKU_SCOPE="ALL")+(ACT_SKU_SCOPE=$G240)))*(11&gt;ACT_END)*(ACT_END&gt;0)*IFERROR(ACT_POSTLIFT,0))),0)))</f>
        <v/>
      </c>
      <c r="U240" s="10">
        <f>IF(OR($H240&lt;&gt;"Y",12&lt;$I240),0,IF(SUMPRODUCT(((BULK_ENABLED="Y")*((BULK_TIER="ALL")+(BULK_TIER=$F240))*((BULK_SKU="ALL")+(BULK_SKU=$G240))*(BULK_START&lt;=12)*(BULK_END&gt;=12)))&gt;0,IFERROR(SUMPRODUCT(((BULK_ENABLED="Y")*((BULK_TIER="ALL")+(BULK_TIER=$F240))*((BULK_SKU="ALL")+(BULK_SKU=$G240))*(BULK_START&lt;=12)*(BULK_END&gt;=12))*IFERROR(BULK_VALUE,0))/MAX(1,SUMPRODUCT(((BULK_ENABLED="Y")*((BULK_TIER="ALL")+(BULK_TIER=$F240))*((BULK_SKU="ALL")+(BULK_SKU=$G240))*(BULK_START&lt;=12)*(BULK_END&gt;=12)))),0),ROUND((INDEX(VELOCITY_TABLE,MATCH($F240,TIER_LIST,0),2))*(IF((12-$I240+1)&lt;=0,0,IF((12-$I240+1)=1,RAMP_W1,IF((12-$I240+1)=2,RAMP_W2,IF((12-$I240+1)=3,RAMP_W3,RAMP_W4PLUS)))))*(INDEX(ACTIVE_MULT_TABLE,2,1))*(1+SUMPRODUCT(SIGN(((ACT_DOOR_SCOPE="ALL")+(ACT_DOOR_SCOPE="TIER_"&amp;$F240)+(ACT_DOOR_SCOPE=$B240)))*SIGN(((ACT_SKU_SCOPE="ALL")+(ACT_SKU_SCOPE=$G240)))*(ACT_START&lt;=12)*(ACT_END&gt;=12)*IFERROR(ACT_UPLIFT-1,0)))*(1+SUMPRODUCT(SIGN(((ACT_DOOR_SCOPE="ALL")+(ACT_DOOR_SCOPE="TIER_"&amp;$F240)+(ACT_DOOR_SCOPE=$B240)))*SIGN(((ACT_SKU_SCOPE="ALL")+(ACT_SKU_SCOPE=$G240)))*(12&gt;ACT_END)*(ACT_END&gt;0)*IFERROR(ACT_POSTLIFT,0))),0)))</f>
        <v/>
      </c>
      <c r="V240" s="10">
        <f>IF(OR($H240&lt;&gt;"Y",13&lt;$I240),0,IF(SUMPRODUCT(((BULK_ENABLED="Y")*((BULK_TIER="ALL")+(BULK_TIER=$F240))*((BULK_SKU="ALL")+(BULK_SKU=$G240))*(BULK_START&lt;=13)*(BULK_END&gt;=13)))&gt;0,IFERROR(SUMPRODUCT(((BULK_ENABLED="Y")*((BULK_TIER="ALL")+(BULK_TIER=$F240))*((BULK_SKU="ALL")+(BULK_SKU=$G240))*(BULK_START&lt;=13)*(BULK_END&gt;=13))*IFERROR(BULK_VALUE,0))/MAX(1,SUMPRODUCT(((BULK_ENABLED="Y")*((BULK_TIER="ALL")+(BULK_TIER=$F240))*((BULK_SKU="ALL")+(BULK_SKU=$G240))*(BULK_START&lt;=13)*(BULK_END&gt;=13)))),0),ROUND((INDEX(VELOCITY_TABLE,MATCH($F240,TIER_LIST,0),2))*(IF((13-$I240+1)&lt;=0,0,IF((13-$I240+1)=1,RAMP_W1,IF((13-$I240+1)=2,RAMP_W2,IF((13-$I240+1)=3,RAMP_W3,RAMP_W4PLUS)))))*(INDEX(ACTIVE_MULT_TABLE,2,1))*(1+SUMPRODUCT(SIGN(((ACT_DOOR_SCOPE="ALL")+(ACT_DOOR_SCOPE="TIER_"&amp;$F240)+(ACT_DOOR_SCOPE=$B240)))*SIGN(((ACT_SKU_SCOPE="ALL")+(ACT_SKU_SCOPE=$G240)))*(ACT_START&lt;=13)*(ACT_END&gt;=13)*IFERROR(ACT_UPLIFT-1,0)))*(1+SUMPRODUCT(SIGN(((ACT_DOOR_SCOPE="ALL")+(ACT_DOOR_SCOPE="TIER_"&amp;$F240)+(ACT_DOOR_SCOPE=$B240)))*SIGN(((ACT_SKU_SCOPE="ALL")+(ACT_SKU_SCOPE=$G240)))*(13&gt;ACT_END)*(ACT_END&gt;0)*IFERROR(ACT_POSTLIFT,0))),0)))</f>
        <v/>
      </c>
    </row>
    <row r="241">
      <c r="A241" t="inlineStr">
        <is>
          <t>R0237</t>
        </is>
      </c>
      <c r="B241">
        <f>Doors!$A$83</f>
        <v/>
      </c>
      <c r="C241">
        <f>Doors!$C$83</f>
        <v/>
      </c>
      <c r="D241">
        <f>Doors!$B$83</f>
        <v/>
      </c>
      <c r="E241">
        <f>Doors!$E$83</f>
        <v/>
      </c>
      <c r="F241">
        <f>Doors!$F$83</f>
        <v/>
      </c>
      <c r="G241" t="inlineStr">
        <is>
          <t>Raspberry</t>
        </is>
      </c>
      <c r="H241">
        <f>Doors!$I$83</f>
        <v/>
      </c>
      <c r="I241">
        <f>Doors!$J$83</f>
        <v/>
      </c>
      <c r="J241" s="10">
        <f>IF(OR($H241&lt;&gt;"Y",1&lt;$I241),0,IF(SUMPRODUCT(((BULK_ENABLED="Y")*((BULK_TIER="ALL")+(BULK_TIER=$F241))*((BULK_SKU="ALL")+(BULK_SKU=$G241))*(BULK_START&lt;=1)*(BULK_END&gt;=1)))&gt;0,IFERROR(SUMPRODUCT(((BULK_ENABLED="Y")*((BULK_TIER="ALL")+(BULK_TIER=$F241))*((BULK_SKU="ALL")+(BULK_SKU=$G241))*(BULK_START&lt;=1)*(BULK_END&gt;=1))*IFERROR(BULK_VALUE,0))/MAX(1,SUMPRODUCT(((BULK_ENABLED="Y")*((BULK_TIER="ALL")+(BULK_TIER=$F241))*((BULK_SKU="ALL")+(BULK_SKU=$G241))*(BULK_START&lt;=1)*(BULK_END&gt;=1)))),0),ROUND((INDEX(VELOCITY_TABLE,MATCH($F241,TIER_LIST,0),3))*(IF((1-$I241+1)&lt;=0,0,IF((1-$I241+1)=1,RAMP_W1,IF((1-$I241+1)=2,RAMP_W2,IF((1-$I241+1)=3,RAMP_W3,RAMP_W4PLUS)))))*(INDEX(ACTIVE_MULT_TABLE,3,1))*(1+SUMPRODUCT(SIGN(((ACT_DOOR_SCOPE="ALL")+(ACT_DOOR_SCOPE="TIER_"&amp;$F241)+(ACT_DOOR_SCOPE=$B241)))*SIGN(((ACT_SKU_SCOPE="ALL")+(ACT_SKU_SCOPE=$G241)))*(ACT_START&lt;=1)*(ACT_END&gt;=1)*IFERROR(ACT_UPLIFT-1,0)))*(1+SUMPRODUCT(SIGN(((ACT_DOOR_SCOPE="ALL")+(ACT_DOOR_SCOPE="TIER_"&amp;$F241)+(ACT_DOOR_SCOPE=$B241)))*SIGN(((ACT_SKU_SCOPE="ALL")+(ACT_SKU_SCOPE=$G241)))*(1&gt;ACT_END)*(ACT_END&gt;0)*IFERROR(ACT_POSTLIFT,0))),0)))</f>
        <v/>
      </c>
      <c r="K241" s="10">
        <f>IF(OR($H241&lt;&gt;"Y",2&lt;$I241),0,IF(SUMPRODUCT(((BULK_ENABLED="Y")*((BULK_TIER="ALL")+(BULK_TIER=$F241))*((BULK_SKU="ALL")+(BULK_SKU=$G241))*(BULK_START&lt;=2)*(BULK_END&gt;=2)))&gt;0,IFERROR(SUMPRODUCT(((BULK_ENABLED="Y")*((BULK_TIER="ALL")+(BULK_TIER=$F241))*((BULK_SKU="ALL")+(BULK_SKU=$G241))*(BULK_START&lt;=2)*(BULK_END&gt;=2))*IFERROR(BULK_VALUE,0))/MAX(1,SUMPRODUCT(((BULK_ENABLED="Y")*((BULK_TIER="ALL")+(BULK_TIER=$F241))*((BULK_SKU="ALL")+(BULK_SKU=$G241))*(BULK_START&lt;=2)*(BULK_END&gt;=2)))),0),ROUND((INDEX(VELOCITY_TABLE,MATCH($F241,TIER_LIST,0),3))*(IF((2-$I241+1)&lt;=0,0,IF((2-$I241+1)=1,RAMP_W1,IF((2-$I241+1)=2,RAMP_W2,IF((2-$I241+1)=3,RAMP_W3,RAMP_W4PLUS)))))*(INDEX(ACTIVE_MULT_TABLE,3,1))*(1+SUMPRODUCT(SIGN(((ACT_DOOR_SCOPE="ALL")+(ACT_DOOR_SCOPE="TIER_"&amp;$F241)+(ACT_DOOR_SCOPE=$B241)))*SIGN(((ACT_SKU_SCOPE="ALL")+(ACT_SKU_SCOPE=$G241)))*(ACT_START&lt;=2)*(ACT_END&gt;=2)*IFERROR(ACT_UPLIFT-1,0)))*(1+SUMPRODUCT(SIGN(((ACT_DOOR_SCOPE="ALL")+(ACT_DOOR_SCOPE="TIER_"&amp;$F241)+(ACT_DOOR_SCOPE=$B241)))*SIGN(((ACT_SKU_SCOPE="ALL")+(ACT_SKU_SCOPE=$G241)))*(2&gt;ACT_END)*(ACT_END&gt;0)*IFERROR(ACT_POSTLIFT,0))),0)))</f>
        <v/>
      </c>
      <c r="L241" s="10">
        <f>IF(OR($H241&lt;&gt;"Y",3&lt;$I241),0,IF(SUMPRODUCT(((BULK_ENABLED="Y")*((BULK_TIER="ALL")+(BULK_TIER=$F241))*((BULK_SKU="ALL")+(BULK_SKU=$G241))*(BULK_START&lt;=3)*(BULK_END&gt;=3)))&gt;0,IFERROR(SUMPRODUCT(((BULK_ENABLED="Y")*((BULK_TIER="ALL")+(BULK_TIER=$F241))*((BULK_SKU="ALL")+(BULK_SKU=$G241))*(BULK_START&lt;=3)*(BULK_END&gt;=3))*IFERROR(BULK_VALUE,0))/MAX(1,SUMPRODUCT(((BULK_ENABLED="Y")*((BULK_TIER="ALL")+(BULK_TIER=$F241))*((BULK_SKU="ALL")+(BULK_SKU=$G241))*(BULK_START&lt;=3)*(BULK_END&gt;=3)))),0),ROUND((INDEX(VELOCITY_TABLE,MATCH($F241,TIER_LIST,0),3))*(IF((3-$I241+1)&lt;=0,0,IF((3-$I241+1)=1,RAMP_W1,IF((3-$I241+1)=2,RAMP_W2,IF((3-$I241+1)=3,RAMP_W3,RAMP_W4PLUS)))))*(INDEX(ACTIVE_MULT_TABLE,3,1))*(1+SUMPRODUCT(SIGN(((ACT_DOOR_SCOPE="ALL")+(ACT_DOOR_SCOPE="TIER_"&amp;$F241)+(ACT_DOOR_SCOPE=$B241)))*SIGN(((ACT_SKU_SCOPE="ALL")+(ACT_SKU_SCOPE=$G241)))*(ACT_START&lt;=3)*(ACT_END&gt;=3)*IFERROR(ACT_UPLIFT-1,0)))*(1+SUMPRODUCT(SIGN(((ACT_DOOR_SCOPE="ALL")+(ACT_DOOR_SCOPE="TIER_"&amp;$F241)+(ACT_DOOR_SCOPE=$B241)))*SIGN(((ACT_SKU_SCOPE="ALL")+(ACT_SKU_SCOPE=$G241)))*(3&gt;ACT_END)*(ACT_END&gt;0)*IFERROR(ACT_POSTLIFT,0))),0)))</f>
        <v/>
      </c>
      <c r="M241" s="10">
        <f>IF(OR($H241&lt;&gt;"Y",4&lt;$I241),0,IF(SUMPRODUCT(((BULK_ENABLED="Y")*((BULK_TIER="ALL")+(BULK_TIER=$F241))*((BULK_SKU="ALL")+(BULK_SKU=$G241))*(BULK_START&lt;=4)*(BULK_END&gt;=4)))&gt;0,IFERROR(SUMPRODUCT(((BULK_ENABLED="Y")*((BULK_TIER="ALL")+(BULK_TIER=$F241))*((BULK_SKU="ALL")+(BULK_SKU=$G241))*(BULK_START&lt;=4)*(BULK_END&gt;=4))*IFERROR(BULK_VALUE,0))/MAX(1,SUMPRODUCT(((BULK_ENABLED="Y")*((BULK_TIER="ALL")+(BULK_TIER=$F241))*((BULK_SKU="ALL")+(BULK_SKU=$G241))*(BULK_START&lt;=4)*(BULK_END&gt;=4)))),0),ROUND((INDEX(VELOCITY_TABLE,MATCH($F241,TIER_LIST,0),3))*(IF((4-$I241+1)&lt;=0,0,IF((4-$I241+1)=1,RAMP_W1,IF((4-$I241+1)=2,RAMP_W2,IF((4-$I241+1)=3,RAMP_W3,RAMP_W4PLUS)))))*(INDEX(ACTIVE_MULT_TABLE,3,1))*(1+SUMPRODUCT(SIGN(((ACT_DOOR_SCOPE="ALL")+(ACT_DOOR_SCOPE="TIER_"&amp;$F241)+(ACT_DOOR_SCOPE=$B241)))*SIGN(((ACT_SKU_SCOPE="ALL")+(ACT_SKU_SCOPE=$G241)))*(ACT_START&lt;=4)*(ACT_END&gt;=4)*IFERROR(ACT_UPLIFT-1,0)))*(1+SUMPRODUCT(SIGN(((ACT_DOOR_SCOPE="ALL")+(ACT_DOOR_SCOPE="TIER_"&amp;$F241)+(ACT_DOOR_SCOPE=$B241)))*SIGN(((ACT_SKU_SCOPE="ALL")+(ACT_SKU_SCOPE=$G241)))*(4&gt;ACT_END)*(ACT_END&gt;0)*IFERROR(ACT_POSTLIFT,0))),0)))</f>
        <v/>
      </c>
      <c r="N241" s="10">
        <f>IF(OR($H241&lt;&gt;"Y",5&lt;$I241),0,IF(SUMPRODUCT(((BULK_ENABLED="Y")*((BULK_TIER="ALL")+(BULK_TIER=$F241))*((BULK_SKU="ALL")+(BULK_SKU=$G241))*(BULK_START&lt;=5)*(BULK_END&gt;=5)))&gt;0,IFERROR(SUMPRODUCT(((BULK_ENABLED="Y")*((BULK_TIER="ALL")+(BULK_TIER=$F241))*((BULK_SKU="ALL")+(BULK_SKU=$G241))*(BULK_START&lt;=5)*(BULK_END&gt;=5))*IFERROR(BULK_VALUE,0))/MAX(1,SUMPRODUCT(((BULK_ENABLED="Y")*((BULK_TIER="ALL")+(BULK_TIER=$F241))*((BULK_SKU="ALL")+(BULK_SKU=$G241))*(BULK_START&lt;=5)*(BULK_END&gt;=5)))),0),ROUND((INDEX(VELOCITY_TABLE,MATCH($F241,TIER_LIST,0),3))*(IF((5-$I241+1)&lt;=0,0,IF((5-$I241+1)=1,RAMP_W1,IF((5-$I241+1)=2,RAMP_W2,IF((5-$I241+1)=3,RAMP_W3,RAMP_W4PLUS)))))*(INDEX(ACTIVE_MULT_TABLE,3,1))*(1+SUMPRODUCT(SIGN(((ACT_DOOR_SCOPE="ALL")+(ACT_DOOR_SCOPE="TIER_"&amp;$F241)+(ACT_DOOR_SCOPE=$B241)))*SIGN(((ACT_SKU_SCOPE="ALL")+(ACT_SKU_SCOPE=$G241)))*(ACT_START&lt;=5)*(ACT_END&gt;=5)*IFERROR(ACT_UPLIFT-1,0)))*(1+SUMPRODUCT(SIGN(((ACT_DOOR_SCOPE="ALL")+(ACT_DOOR_SCOPE="TIER_"&amp;$F241)+(ACT_DOOR_SCOPE=$B241)))*SIGN(((ACT_SKU_SCOPE="ALL")+(ACT_SKU_SCOPE=$G241)))*(5&gt;ACT_END)*(ACT_END&gt;0)*IFERROR(ACT_POSTLIFT,0))),0)))</f>
        <v/>
      </c>
      <c r="O241" s="10">
        <f>IF(OR($H241&lt;&gt;"Y",6&lt;$I241),0,IF(SUMPRODUCT(((BULK_ENABLED="Y")*((BULK_TIER="ALL")+(BULK_TIER=$F241))*((BULK_SKU="ALL")+(BULK_SKU=$G241))*(BULK_START&lt;=6)*(BULK_END&gt;=6)))&gt;0,IFERROR(SUMPRODUCT(((BULK_ENABLED="Y")*((BULK_TIER="ALL")+(BULK_TIER=$F241))*((BULK_SKU="ALL")+(BULK_SKU=$G241))*(BULK_START&lt;=6)*(BULK_END&gt;=6))*IFERROR(BULK_VALUE,0))/MAX(1,SUMPRODUCT(((BULK_ENABLED="Y")*((BULK_TIER="ALL")+(BULK_TIER=$F241))*((BULK_SKU="ALL")+(BULK_SKU=$G241))*(BULK_START&lt;=6)*(BULK_END&gt;=6)))),0),ROUND((INDEX(VELOCITY_TABLE,MATCH($F241,TIER_LIST,0),3))*(IF((6-$I241+1)&lt;=0,0,IF((6-$I241+1)=1,RAMP_W1,IF((6-$I241+1)=2,RAMP_W2,IF((6-$I241+1)=3,RAMP_W3,RAMP_W4PLUS)))))*(INDEX(ACTIVE_MULT_TABLE,3,1))*(1+SUMPRODUCT(SIGN(((ACT_DOOR_SCOPE="ALL")+(ACT_DOOR_SCOPE="TIER_"&amp;$F241)+(ACT_DOOR_SCOPE=$B241)))*SIGN(((ACT_SKU_SCOPE="ALL")+(ACT_SKU_SCOPE=$G241)))*(ACT_START&lt;=6)*(ACT_END&gt;=6)*IFERROR(ACT_UPLIFT-1,0)))*(1+SUMPRODUCT(SIGN(((ACT_DOOR_SCOPE="ALL")+(ACT_DOOR_SCOPE="TIER_"&amp;$F241)+(ACT_DOOR_SCOPE=$B241)))*SIGN(((ACT_SKU_SCOPE="ALL")+(ACT_SKU_SCOPE=$G241)))*(6&gt;ACT_END)*(ACT_END&gt;0)*IFERROR(ACT_POSTLIFT,0))),0)))</f>
        <v/>
      </c>
      <c r="P241" s="10">
        <f>IF(OR($H241&lt;&gt;"Y",7&lt;$I241),0,IF(SUMPRODUCT(((BULK_ENABLED="Y")*((BULK_TIER="ALL")+(BULK_TIER=$F241))*((BULK_SKU="ALL")+(BULK_SKU=$G241))*(BULK_START&lt;=7)*(BULK_END&gt;=7)))&gt;0,IFERROR(SUMPRODUCT(((BULK_ENABLED="Y")*((BULK_TIER="ALL")+(BULK_TIER=$F241))*((BULK_SKU="ALL")+(BULK_SKU=$G241))*(BULK_START&lt;=7)*(BULK_END&gt;=7))*IFERROR(BULK_VALUE,0))/MAX(1,SUMPRODUCT(((BULK_ENABLED="Y")*((BULK_TIER="ALL")+(BULK_TIER=$F241))*((BULK_SKU="ALL")+(BULK_SKU=$G241))*(BULK_START&lt;=7)*(BULK_END&gt;=7)))),0),ROUND((INDEX(VELOCITY_TABLE,MATCH($F241,TIER_LIST,0),3))*(IF((7-$I241+1)&lt;=0,0,IF((7-$I241+1)=1,RAMP_W1,IF((7-$I241+1)=2,RAMP_W2,IF((7-$I241+1)=3,RAMP_W3,RAMP_W4PLUS)))))*(INDEX(ACTIVE_MULT_TABLE,3,1))*(1+SUMPRODUCT(SIGN(((ACT_DOOR_SCOPE="ALL")+(ACT_DOOR_SCOPE="TIER_"&amp;$F241)+(ACT_DOOR_SCOPE=$B241)))*SIGN(((ACT_SKU_SCOPE="ALL")+(ACT_SKU_SCOPE=$G241)))*(ACT_START&lt;=7)*(ACT_END&gt;=7)*IFERROR(ACT_UPLIFT-1,0)))*(1+SUMPRODUCT(SIGN(((ACT_DOOR_SCOPE="ALL")+(ACT_DOOR_SCOPE="TIER_"&amp;$F241)+(ACT_DOOR_SCOPE=$B241)))*SIGN(((ACT_SKU_SCOPE="ALL")+(ACT_SKU_SCOPE=$G241)))*(7&gt;ACT_END)*(ACT_END&gt;0)*IFERROR(ACT_POSTLIFT,0))),0)))</f>
        <v/>
      </c>
      <c r="Q241" s="10">
        <f>IF(OR($H241&lt;&gt;"Y",8&lt;$I241),0,IF(SUMPRODUCT(((BULK_ENABLED="Y")*((BULK_TIER="ALL")+(BULK_TIER=$F241))*((BULK_SKU="ALL")+(BULK_SKU=$G241))*(BULK_START&lt;=8)*(BULK_END&gt;=8)))&gt;0,IFERROR(SUMPRODUCT(((BULK_ENABLED="Y")*((BULK_TIER="ALL")+(BULK_TIER=$F241))*((BULK_SKU="ALL")+(BULK_SKU=$G241))*(BULK_START&lt;=8)*(BULK_END&gt;=8))*IFERROR(BULK_VALUE,0))/MAX(1,SUMPRODUCT(((BULK_ENABLED="Y")*((BULK_TIER="ALL")+(BULK_TIER=$F241))*((BULK_SKU="ALL")+(BULK_SKU=$G241))*(BULK_START&lt;=8)*(BULK_END&gt;=8)))),0),ROUND((INDEX(VELOCITY_TABLE,MATCH($F241,TIER_LIST,0),3))*(IF((8-$I241+1)&lt;=0,0,IF((8-$I241+1)=1,RAMP_W1,IF((8-$I241+1)=2,RAMP_W2,IF((8-$I241+1)=3,RAMP_W3,RAMP_W4PLUS)))))*(INDEX(ACTIVE_MULT_TABLE,3,1))*(1+SUMPRODUCT(SIGN(((ACT_DOOR_SCOPE="ALL")+(ACT_DOOR_SCOPE="TIER_"&amp;$F241)+(ACT_DOOR_SCOPE=$B241)))*SIGN(((ACT_SKU_SCOPE="ALL")+(ACT_SKU_SCOPE=$G241)))*(ACT_START&lt;=8)*(ACT_END&gt;=8)*IFERROR(ACT_UPLIFT-1,0)))*(1+SUMPRODUCT(SIGN(((ACT_DOOR_SCOPE="ALL")+(ACT_DOOR_SCOPE="TIER_"&amp;$F241)+(ACT_DOOR_SCOPE=$B241)))*SIGN(((ACT_SKU_SCOPE="ALL")+(ACT_SKU_SCOPE=$G241)))*(8&gt;ACT_END)*(ACT_END&gt;0)*IFERROR(ACT_POSTLIFT,0))),0)))</f>
        <v/>
      </c>
      <c r="R241" s="10">
        <f>IF(OR($H241&lt;&gt;"Y",9&lt;$I241),0,IF(SUMPRODUCT(((BULK_ENABLED="Y")*((BULK_TIER="ALL")+(BULK_TIER=$F241))*((BULK_SKU="ALL")+(BULK_SKU=$G241))*(BULK_START&lt;=9)*(BULK_END&gt;=9)))&gt;0,IFERROR(SUMPRODUCT(((BULK_ENABLED="Y")*((BULK_TIER="ALL")+(BULK_TIER=$F241))*((BULK_SKU="ALL")+(BULK_SKU=$G241))*(BULK_START&lt;=9)*(BULK_END&gt;=9))*IFERROR(BULK_VALUE,0))/MAX(1,SUMPRODUCT(((BULK_ENABLED="Y")*((BULK_TIER="ALL")+(BULK_TIER=$F241))*((BULK_SKU="ALL")+(BULK_SKU=$G241))*(BULK_START&lt;=9)*(BULK_END&gt;=9)))),0),ROUND((INDEX(VELOCITY_TABLE,MATCH($F241,TIER_LIST,0),3))*(IF((9-$I241+1)&lt;=0,0,IF((9-$I241+1)=1,RAMP_W1,IF((9-$I241+1)=2,RAMP_W2,IF((9-$I241+1)=3,RAMP_W3,RAMP_W4PLUS)))))*(INDEX(ACTIVE_MULT_TABLE,3,1))*(1+SUMPRODUCT(SIGN(((ACT_DOOR_SCOPE="ALL")+(ACT_DOOR_SCOPE="TIER_"&amp;$F241)+(ACT_DOOR_SCOPE=$B241)))*SIGN(((ACT_SKU_SCOPE="ALL")+(ACT_SKU_SCOPE=$G241)))*(ACT_START&lt;=9)*(ACT_END&gt;=9)*IFERROR(ACT_UPLIFT-1,0)))*(1+SUMPRODUCT(SIGN(((ACT_DOOR_SCOPE="ALL")+(ACT_DOOR_SCOPE="TIER_"&amp;$F241)+(ACT_DOOR_SCOPE=$B241)))*SIGN(((ACT_SKU_SCOPE="ALL")+(ACT_SKU_SCOPE=$G241)))*(9&gt;ACT_END)*(ACT_END&gt;0)*IFERROR(ACT_POSTLIFT,0))),0)))</f>
        <v/>
      </c>
      <c r="S241" s="10">
        <f>IF(OR($H241&lt;&gt;"Y",10&lt;$I241),0,IF(SUMPRODUCT(((BULK_ENABLED="Y")*((BULK_TIER="ALL")+(BULK_TIER=$F241))*((BULK_SKU="ALL")+(BULK_SKU=$G241))*(BULK_START&lt;=10)*(BULK_END&gt;=10)))&gt;0,IFERROR(SUMPRODUCT(((BULK_ENABLED="Y")*((BULK_TIER="ALL")+(BULK_TIER=$F241))*((BULK_SKU="ALL")+(BULK_SKU=$G241))*(BULK_START&lt;=10)*(BULK_END&gt;=10))*IFERROR(BULK_VALUE,0))/MAX(1,SUMPRODUCT(((BULK_ENABLED="Y")*((BULK_TIER="ALL")+(BULK_TIER=$F241))*((BULK_SKU="ALL")+(BULK_SKU=$G241))*(BULK_START&lt;=10)*(BULK_END&gt;=10)))),0),ROUND((INDEX(VELOCITY_TABLE,MATCH($F241,TIER_LIST,0),3))*(IF((10-$I241+1)&lt;=0,0,IF((10-$I241+1)=1,RAMP_W1,IF((10-$I241+1)=2,RAMP_W2,IF((10-$I241+1)=3,RAMP_W3,RAMP_W4PLUS)))))*(INDEX(ACTIVE_MULT_TABLE,3,1))*(1+SUMPRODUCT(SIGN(((ACT_DOOR_SCOPE="ALL")+(ACT_DOOR_SCOPE="TIER_"&amp;$F241)+(ACT_DOOR_SCOPE=$B241)))*SIGN(((ACT_SKU_SCOPE="ALL")+(ACT_SKU_SCOPE=$G241)))*(ACT_START&lt;=10)*(ACT_END&gt;=10)*IFERROR(ACT_UPLIFT-1,0)))*(1+SUMPRODUCT(SIGN(((ACT_DOOR_SCOPE="ALL")+(ACT_DOOR_SCOPE="TIER_"&amp;$F241)+(ACT_DOOR_SCOPE=$B241)))*SIGN(((ACT_SKU_SCOPE="ALL")+(ACT_SKU_SCOPE=$G241)))*(10&gt;ACT_END)*(ACT_END&gt;0)*IFERROR(ACT_POSTLIFT,0))),0)))</f>
        <v/>
      </c>
      <c r="T241" s="10">
        <f>IF(OR($H241&lt;&gt;"Y",11&lt;$I241),0,IF(SUMPRODUCT(((BULK_ENABLED="Y")*((BULK_TIER="ALL")+(BULK_TIER=$F241))*((BULK_SKU="ALL")+(BULK_SKU=$G241))*(BULK_START&lt;=11)*(BULK_END&gt;=11)))&gt;0,IFERROR(SUMPRODUCT(((BULK_ENABLED="Y")*((BULK_TIER="ALL")+(BULK_TIER=$F241))*((BULK_SKU="ALL")+(BULK_SKU=$G241))*(BULK_START&lt;=11)*(BULK_END&gt;=11))*IFERROR(BULK_VALUE,0))/MAX(1,SUMPRODUCT(((BULK_ENABLED="Y")*((BULK_TIER="ALL")+(BULK_TIER=$F241))*((BULK_SKU="ALL")+(BULK_SKU=$G241))*(BULK_START&lt;=11)*(BULK_END&gt;=11)))),0),ROUND((INDEX(VELOCITY_TABLE,MATCH($F241,TIER_LIST,0),3))*(IF((11-$I241+1)&lt;=0,0,IF((11-$I241+1)=1,RAMP_W1,IF((11-$I241+1)=2,RAMP_W2,IF((11-$I241+1)=3,RAMP_W3,RAMP_W4PLUS)))))*(INDEX(ACTIVE_MULT_TABLE,3,1))*(1+SUMPRODUCT(SIGN(((ACT_DOOR_SCOPE="ALL")+(ACT_DOOR_SCOPE="TIER_"&amp;$F241)+(ACT_DOOR_SCOPE=$B241)))*SIGN(((ACT_SKU_SCOPE="ALL")+(ACT_SKU_SCOPE=$G241)))*(ACT_START&lt;=11)*(ACT_END&gt;=11)*IFERROR(ACT_UPLIFT-1,0)))*(1+SUMPRODUCT(SIGN(((ACT_DOOR_SCOPE="ALL")+(ACT_DOOR_SCOPE="TIER_"&amp;$F241)+(ACT_DOOR_SCOPE=$B241)))*SIGN(((ACT_SKU_SCOPE="ALL")+(ACT_SKU_SCOPE=$G241)))*(11&gt;ACT_END)*(ACT_END&gt;0)*IFERROR(ACT_POSTLIFT,0))),0)))</f>
        <v/>
      </c>
      <c r="U241" s="10">
        <f>IF(OR($H241&lt;&gt;"Y",12&lt;$I241),0,IF(SUMPRODUCT(((BULK_ENABLED="Y")*((BULK_TIER="ALL")+(BULK_TIER=$F241))*((BULK_SKU="ALL")+(BULK_SKU=$G241))*(BULK_START&lt;=12)*(BULK_END&gt;=12)))&gt;0,IFERROR(SUMPRODUCT(((BULK_ENABLED="Y")*((BULK_TIER="ALL")+(BULK_TIER=$F241))*((BULK_SKU="ALL")+(BULK_SKU=$G241))*(BULK_START&lt;=12)*(BULK_END&gt;=12))*IFERROR(BULK_VALUE,0))/MAX(1,SUMPRODUCT(((BULK_ENABLED="Y")*((BULK_TIER="ALL")+(BULK_TIER=$F241))*((BULK_SKU="ALL")+(BULK_SKU=$G241))*(BULK_START&lt;=12)*(BULK_END&gt;=12)))),0),ROUND((INDEX(VELOCITY_TABLE,MATCH($F241,TIER_LIST,0),3))*(IF((12-$I241+1)&lt;=0,0,IF((12-$I241+1)=1,RAMP_W1,IF((12-$I241+1)=2,RAMP_W2,IF((12-$I241+1)=3,RAMP_W3,RAMP_W4PLUS)))))*(INDEX(ACTIVE_MULT_TABLE,3,1))*(1+SUMPRODUCT(SIGN(((ACT_DOOR_SCOPE="ALL")+(ACT_DOOR_SCOPE="TIER_"&amp;$F241)+(ACT_DOOR_SCOPE=$B241)))*SIGN(((ACT_SKU_SCOPE="ALL")+(ACT_SKU_SCOPE=$G241)))*(ACT_START&lt;=12)*(ACT_END&gt;=12)*IFERROR(ACT_UPLIFT-1,0)))*(1+SUMPRODUCT(SIGN(((ACT_DOOR_SCOPE="ALL")+(ACT_DOOR_SCOPE="TIER_"&amp;$F241)+(ACT_DOOR_SCOPE=$B241)))*SIGN(((ACT_SKU_SCOPE="ALL")+(ACT_SKU_SCOPE=$G241)))*(12&gt;ACT_END)*(ACT_END&gt;0)*IFERROR(ACT_POSTLIFT,0))),0)))</f>
        <v/>
      </c>
      <c r="V241" s="10">
        <f>IF(OR($H241&lt;&gt;"Y",13&lt;$I241),0,IF(SUMPRODUCT(((BULK_ENABLED="Y")*((BULK_TIER="ALL")+(BULK_TIER=$F241))*((BULK_SKU="ALL")+(BULK_SKU=$G241))*(BULK_START&lt;=13)*(BULK_END&gt;=13)))&gt;0,IFERROR(SUMPRODUCT(((BULK_ENABLED="Y")*((BULK_TIER="ALL")+(BULK_TIER=$F241))*((BULK_SKU="ALL")+(BULK_SKU=$G241))*(BULK_START&lt;=13)*(BULK_END&gt;=13))*IFERROR(BULK_VALUE,0))/MAX(1,SUMPRODUCT(((BULK_ENABLED="Y")*((BULK_TIER="ALL")+(BULK_TIER=$F241))*((BULK_SKU="ALL")+(BULK_SKU=$G241))*(BULK_START&lt;=13)*(BULK_END&gt;=13)))),0),ROUND((INDEX(VELOCITY_TABLE,MATCH($F241,TIER_LIST,0),3))*(IF((13-$I241+1)&lt;=0,0,IF((13-$I241+1)=1,RAMP_W1,IF((13-$I241+1)=2,RAMP_W2,IF((13-$I241+1)=3,RAMP_W3,RAMP_W4PLUS)))))*(INDEX(ACTIVE_MULT_TABLE,3,1))*(1+SUMPRODUCT(SIGN(((ACT_DOOR_SCOPE="ALL")+(ACT_DOOR_SCOPE="TIER_"&amp;$F241)+(ACT_DOOR_SCOPE=$B241)))*SIGN(((ACT_SKU_SCOPE="ALL")+(ACT_SKU_SCOPE=$G241)))*(ACT_START&lt;=13)*(ACT_END&gt;=13)*IFERROR(ACT_UPLIFT-1,0)))*(1+SUMPRODUCT(SIGN(((ACT_DOOR_SCOPE="ALL")+(ACT_DOOR_SCOPE="TIER_"&amp;$F241)+(ACT_DOOR_SCOPE=$B241)))*SIGN(((ACT_SKU_SCOPE="ALL")+(ACT_SKU_SCOPE=$G241)))*(13&gt;ACT_END)*(ACT_END&gt;0)*IFERROR(ACT_POSTLIFT,0))),0)))</f>
        <v/>
      </c>
    </row>
    <row r="242">
      <c r="A242" t="inlineStr">
        <is>
          <t>R0238</t>
        </is>
      </c>
      <c r="B242">
        <f>Doors!$A$84</f>
        <v/>
      </c>
      <c r="C242">
        <f>Doors!$C$84</f>
        <v/>
      </c>
      <c r="D242">
        <f>Doors!$B$84</f>
        <v/>
      </c>
      <c r="E242">
        <f>Doors!$E$84</f>
        <v/>
      </c>
      <c r="F242">
        <f>Doors!$F$84</f>
        <v/>
      </c>
      <c r="G242" t="inlineStr">
        <is>
          <t>Lime Lemon</t>
        </is>
      </c>
      <c r="H242">
        <f>Doors!$G$84</f>
        <v/>
      </c>
      <c r="I242">
        <f>Doors!$J$84</f>
        <v/>
      </c>
      <c r="J242" s="10">
        <f>IF(OR($H242&lt;&gt;"Y",1&lt;$I242),0,IF(SUMPRODUCT(((BULK_ENABLED="Y")*((BULK_TIER="ALL")+(BULK_TIER=$F242))*((BULK_SKU="ALL")+(BULK_SKU=$G242))*(BULK_START&lt;=1)*(BULK_END&gt;=1)))&gt;0,IFERROR(SUMPRODUCT(((BULK_ENABLED="Y")*((BULK_TIER="ALL")+(BULK_TIER=$F242))*((BULK_SKU="ALL")+(BULK_SKU=$G242))*(BULK_START&lt;=1)*(BULK_END&gt;=1))*IFERROR(BULK_VALUE,0))/MAX(1,SUMPRODUCT(((BULK_ENABLED="Y")*((BULK_TIER="ALL")+(BULK_TIER=$F242))*((BULK_SKU="ALL")+(BULK_SKU=$G242))*(BULK_START&lt;=1)*(BULK_END&gt;=1)))),0),ROUND((INDEX(VELOCITY_TABLE,MATCH($F242,TIER_LIST,0),1))*(IF((1-$I242+1)&lt;=0,0,IF((1-$I242+1)=1,RAMP_W1,IF((1-$I242+1)=2,RAMP_W2,IF((1-$I242+1)=3,RAMP_W3,RAMP_W4PLUS)))))*(INDEX(ACTIVE_MULT_TABLE,1,1))*(1+SUMPRODUCT(SIGN(((ACT_DOOR_SCOPE="ALL")+(ACT_DOOR_SCOPE="TIER_"&amp;$F242)+(ACT_DOOR_SCOPE=$B242)))*SIGN(((ACT_SKU_SCOPE="ALL")+(ACT_SKU_SCOPE=$G242)))*(ACT_START&lt;=1)*(ACT_END&gt;=1)*IFERROR(ACT_UPLIFT-1,0)))*(1+SUMPRODUCT(SIGN(((ACT_DOOR_SCOPE="ALL")+(ACT_DOOR_SCOPE="TIER_"&amp;$F242)+(ACT_DOOR_SCOPE=$B242)))*SIGN(((ACT_SKU_SCOPE="ALL")+(ACT_SKU_SCOPE=$G242)))*(1&gt;ACT_END)*(ACT_END&gt;0)*IFERROR(ACT_POSTLIFT,0))),0)))</f>
        <v/>
      </c>
      <c r="K242" s="10">
        <f>IF(OR($H242&lt;&gt;"Y",2&lt;$I242),0,IF(SUMPRODUCT(((BULK_ENABLED="Y")*((BULK_TIER="ALL")+(BULK_TIER=$F242))*((BULK_SKU="ALL")+(BULK_SKU=$G242))*(BULK_START&lt;=2)*(BULK_END&gt;=2)))&gt;0,IFERROR(SUMPRODUCT(((BULK_ENABLED="Y")*((BULK_TIER="ALL")+(BULK_TIER=$F242))*((BULK_SKU="ALL")+(BULK_SKU=$G242))*(BULK_START&lt;=2)*(BULK_END&gt;=2))*IFERROR(BULK_VALUE,0))/MAX(1,SUMPRODUCT(((BULK_ENABLED="Y")*((BULK_TIER="ALL")+(BULK_TIER=$F242))*((BULK_SKU="ALL")+(BULK_SKU=$G242))*(BULK_START&lt;=2)*(BULK_END&gt;=2)))),0),ROUND((INDEX(VELOCITY_TABLE,MATCH($F242,TIER_LIST,0),1))*(IF((2-$I242+1)&lt;=0,0,IF((2-$I242+1)=1,RAMP_W1,IF((2-$I242+1)=2,RAMP_W2,IF((2-$I242+1)=3,RAMP_W3,RAMP_W4PLUS)))))*(INDEX(ACTIVE_MULT_TABLE,1,1))*(1+SUMPRODUCT(SIGN(((ACT_DOOR_SCOPE="ALL")+(ACT_DOOR_SCOPE="TIER_"&amp;$F242)+(ACT_DOOR_SCOPE=$B242)))*SIGN(((ACT_SKU_SCOPE="ALL")+(ACT_SKU_SCOPE=$G242)))*(ACT_START&lt;=2)*(ACT_END&gt;=2)*IFERROR(ACT_UPLIFT-1,0)))*(1+SUMPRODUCT(SIGN(((ACT_DOOR_SCOPE="ALL")+(ACT_DOOR_SCOPE="TIER_"&amp;$F242)+(ACT_DOOR_SCOPE=$B242)))*SIGN(((ACT_SKU_SCOPE="ALL")+(ACT_SKU_SCOPE=$G242)))*(2&gt;ACT_END)*(ACT_END&gt;0)*IFERROR(ACT_POSTLIFT,0))),0)))</f>
        <v/>
      </c>
      <c r="L242" s="10">
        <f>IF(OR($H242&lt;&gt;"Y",3&lt;$I242),0,IF(SUMPRODUCT(((BULK_ENABLED="Y")*((BULK_TIER="ALL")+(BULK_TIER=$F242))*((BULK_SKU="ALL")+(BULK_SKU=$G242))*(BULK_START&lt;=3)*(BULK_END&gt;=3)))&gt;0,IFERROR(SUMPRODUCT(((BULK_ENABLED="Y")*((BULK_TIER="ALL")+(BULK_TIER=$F242))*((BULK_SKU="ALL")+(BULK_SKU=$G242))*(BULK_START&lt;=3)*(BULK_END&gt;=3))*IFERROR(BULK_VALUE,0))/MAX(1,SUMPRODUCT(((BULK_ENABLED="Y")*((BULK_TIER="ALL")+(BULK_TIER=$F242))*((BULK_SKU="ALL")+(BULK_SKU=$G242))*(BULK_START&lt;=3)*(BULK_END&gt;=3)))),0),ROUND((INDEX(VELOCITY_TABLE,MATCH($F242,TIER_LIST,0),1))*(IF((3-$I242+1)&lt;=0,0,IF((3-$I242+1)=1,RAMP_W1,IF((3-$I242+1)=2,RAMP_W2,IF((3-$I242+1)=3,RAMP_W3,RAMP_W4PLUS)))))*(INDEX(ACTIVE_MULT_TABLE,1,1))*(1+SUMPRODUCT(SIGN(((ACT_DOOR_SCOPE="ALL")+(ACT_DOOR_SCOPE="TIER_"&amp;$F242)+(ACT_DOOR_SCOPE=$B242)))*SIGN(((ACT_SKU_SCOPE="ALL")+(ACT_SKU_SCOPE=$G242)))*(ACT_START&lt;=3)*(ACT_END&gt;=3)*IFERROR(ACT_UPLIFT-1,0)))*(1+SUMPRODUCT(SIGN(((ACT_DOOR_SCOPE="ALL")+(ACT_DOOR_SCOPE="TIER_"&amp;$F242)+(ACT_DOOR_SCOPE=$B242)))*SIGN(((ACT_SKU_SCOPE="ALL")+(ACT_SKU_SCOPE=$G242)))*(3&gt;ACT_END)*(ACT_END&gt;0)*IFERROR(ACT_POSTLIFT,0))),0)))</f>
        <v/>
      </c>
      <c r="M242" s="10">
        <f>IF(OR($H242&lt;&gt;"Y",4&lt;$I242),0,IF(SUMPRODUCT(((BULK_ENABLED="Y")*((BULK_TIER="ALL")+(BULK_TIER=$F242))*((BULK_SKU="ALL")+(BULK_SKU=$G242))*(BULK_START&lt;=4)*(BULK_END&gt;=4)))&gt;0,IFERROR(SUMPRODUCT(((BULK_ENABLED="Y")*((BULK_TIER="ALL")+(BULK_TIER=$F242))*((BULK_SKU="ALL")+(BULK_SKU=$G242))*(BULK_START&lt;=4)*(BULK_END&gt;=4))*IFERROR(BULK_VALUE,0))/MAX(1,SUMPRODUCT(((BULK_ENABLED="Y")*((BULK_TIER="ALL")+(BULK_TIER=$F242))*((BULK_SKU="ALL")+(BULK_SKU=$G242))*(BULK_START&lt;=4)*(BULK_END&gt;=4)))),0),ROUND((INDEX(VELOCITY_TABLE,MATCH($F242,TIER_LIST,0),1))*(IF((4-$I242+1)&lt;=0,0,IF((4-$I242+1)=1,RAMP_W1,IF((4-$I242+1)=2,RAMP_W2,IF((4-$I242+1)=3,RAMP_W3,RAMP_W4PLUS)))))*(INDEX(ACTIVE_MULT_TABLE,1,1))*(1+SUMPRODUCT(SIGN(((ACT_DOOR_SCOPE="ALL")+(ACT_DOOR_SCOPE="TIER_"&amp;$F242)+(ACT_DOOR_SCOPE=$B242)))*SIGN(((ACT_SKU_SCOPE="ALL")+(ACT_SKU_SCOPE=$G242)))*(ACT_START&lt;=4)*(ACT_END&gt;=4)*IFERROR(ACT_UPLIFT-1,0)))*(1+SUMPRODUCT(SIGN(((ACT_DOOR_SCOPE="ALL")+(ACT_DOOR_SCOPE="TIER_"&amp;$F242)+(ACT_DOOR_SCOPE=$B242)))*SIGN(((ACT_SKU_SCOPE="ALL")+(ACT_SKU_SCOPE=$G242)))*(4&gt;ACT_END)*(ACT_END&gt;0)*IFERROR(ACT_POSTLIFT,0))),0)))</f>
        <v/>
      </c>
      <c r="N242" s="10">
        <f>IF(OR($H242&lt;&gt;"Y",5&lt;$I242),0,IF(SUMPRODUCT(((BULK_ENABLED="Y")*((BULK_TIER="ALL")+(BULK_TIER=$F242))*((BULK_SKU="ALL")+(BULK_SKU=$G242))*(BULK_START&lt;=5)*(BULK_END&gt;=5)))&gt;0,IFERROR(SUMPRODUCT(((BULK_ENABLED="Y")*((BULK_TIER="ALL")+(BULK_TIER=$F242))*((BULK_SKU="ALL")+(BULK_SKU=$G242))*(BULK_START&lt;=5)*(BULK_END&gt;=5))*IFERROR(BULK_VALUE,0))/MAX(1,SUMPRODUCT(((BULK_ENABLED="Y")*((BULK_TIER="ALL")+(BULK_TIER=$F242))*((BULK_SKU="ALL")+(BULK_SKU=$G242))*(BULK_START&lt;=5)*(BULK_END&gt;=5)))),0),ROUND((INDEX(VELOCITY_TABLE,MATCH($F242,TIER_LIST,0),1))*(IF((5-$I242+1)&lt;=0,0,IF((5-$I242+1)=1,RAMP_W1,IF((5-$I242+1)=2,RAMP_W2,IF((5-$I242+1)=3,RAMP_W3,RAMP_W4PLUS)))))*(INDEX(ACTIVE_MULT_TABLE,1,1))*(1+SUMPRODUCT(SIGN(((ACT_DOOR_SCOPE="ALL")+(ACT_DOOR_SCOPE="TIER_"&amp;$F242)+(ACT_DOOR_SCOPE=$B242)))*SIGN(((ACT_SKU_SCOPE="ALL")+(ACT_SKU_SCOPE=$G242)))*(ACT_START&lt;=5)*(ACT_END&gt;=5)*IFERROR(ACT_UPLIFT-1,0)))*(1+SUMPRODUCT(SIGN(((ACT_DOOR_SCOPE="ALL")+(ACT_DOOR_SCOPE="TIER_"&amp;$F242)+(ACT_DOOR_SCOPE=$B242)))*SIGN(((ACT_SKU_SCOPE="ALL")+(ACT_SKU_SCOPE=$G242)))*(5&gt;ACT_END)*(ACT_END&gt;0)*IFERROR(ACT_POSTLIFT,0))),0)))</f>
        <v/>
      </c>
      <c r="O242" s="10">
        <f>IF(OR($H242&lt;&gt;"Y",6&lt;$I242),0,IF(SUMPRODUCT(((BULK_ENABLED="Y")*((BULK_TIER="ALL")+(BULK_TIER=$F242))*((BULK_SKU="ALL")+(BULK_SKU=$G242))*(BULK_START&lt;=6)*(BULK_END&gt;=6)))&gt;0,IFERROR(SUMPRODUCT(((BULK_ENABLED="Y")*((BULK_TIER="ALL")+(BULK_TIER=$F242))*((BULK_SKU="ALL")+(BULK_SKU=$G242))*(BULK_START&lt;=6)*(BULK_END&gt;=6))*IFERROR(BULK_VALUE,0))/MAX(1,SUMPRODUCT(((BULK_ENABLED="Y")*((BULK_TIER="ALL")+(BULK_TIER=$F242))*((BULK_SKU="ALL")+(BULK_SKU=$G242))*(BULK_START&lt;=6)*(BULK_END&gt;=6)))),0),ROUND((INDEX(VELOCITY_TABLE,MATCH($F242,TIER_LIST,0),1))*(IF((6-$I242+1)&lt;=0,0,IF((6-$I242+1)=1,RAMP_W1,IF((6-$I242+1)=2,RAMP_W2,IF((6-$I242+1)=3,RAMP_W3,RAMP_W4PLUS)))))*(INDEX(ACTIVE_MULT_TABLE,1,1))*(1+SUMPRODUCT(SIGN(((ACT_DOOR_SCOPE="ALL")+(ACT_DOOR_SCOPE="TIER_"&amp;$F242)+(ACT_DOOR_SCOPE=$B242)))*SIGN(((ACT_SKU_SCOPE="ALL")+(ACT_SKU_SCOPE=$G242)))*(ACT_START&lt;=6)*(ACT_END&gt;=6)*IFERROR(ACT_UPLIFT-1,0)))*(1+SUMPRODUCT(SIGN(((ACT_DOOR_SCOPE="ALL")+(ACT_DOOR_SCOPE="TIER_"&amp;$F242)+(ACT_DOOR_SCOPE=$B242)))*SIGN(((ACT_SKU_SCOPE="ALL")+(ACT_SKU_SCOPE=$G242)))*(6&gt;ACT_END)*(ACT_END&gt;0)*IFERROR(ACT_POSTLIFT,0))),0)))</f>
        <v/>
      </c>
      <c r="P242" s="10">
        <f>IF(OR($H242&lt;&gt;"Y",7&lt;$I242),0,IF(SUMPRODUCT(((BULK_ENABLED="Y")*((BULK_TIER="ALL")+(BULK_TIER=$F242))*((BULK_SKU="ALL")+(BULK_SKU=$G242))*(BULK_START&lt;=7)*(BULK_END&gt;=7)))&gt;0,IFERROR(SUMPRODUCT(((BULK_ENABLED="Y")*((BULK_TIER="ALL")+(BULK_TIER=$F242))*((BULK_SKU="ALL")+(BULK_SKU=$G242))*(BULK_START&lt;=7)*(BULK_END&gt;=7))*IFERROR(BULK_VALUE,0))/MAX(1,SUMPRODUCT(((BULK_ENABLED="Y")*((BULK_TIER="ALL")+(BULK_TIER=$F242))*((BULK_SKU="ALL")+(BULK_SKU=$G242))*(BULK_START&lt;=7)*(BULK_END&gt;=7)))),0),ROUND((INDEX(VELOCITY_TABLE,MATCH($F242,TIER_LIST,0),1))*(IF((7-$I242+1)&lt;=0,0,IF((7-$I242+1)=1,RAMP_W1,IF((7-$I242+1)=2,RAMP_W2,IF((7-$I242+1)=3,RAMP_W3,RAMP_W4PLUS)))))*(INDEX(ACTIVE_MULT_TABLE,1,1))*(1+SUMPRODUCT(SIGN(((ACT_DOOR_SCOPE="ALL")+(ACT_DOOR_SCOPE="TIER_"&amp;$F242)+(ACT_DOOR_SCOPE=$B242)))*SIGN(((ACT_SKU_SCOPE="ALL")+(ACT_SKU_SCOPE=$G242)))*(ACT_START&lt;=7)*(ACT_END&gt;=7)*IFERROR(ACT_UPLIFT-1,0)))*(1+SUMPRODUCT(SIGN(((ACT_DOOR_SCOPE="ALL")+(ACT_DOOR_SCOPE="TIER_"&amp;$F242)+(ACT_DOOR_SCOPE=$B242)))*SIGN(((ACT_SKU_SCOPE="ALL")+(ACT_SKU_SCOPE=$G242)))*(7&gt;ACT_END)*(ACT_END&gt;0)*IFERROR(ACT_POSTLIFT,0))),0)))</f>
        <v/>
      </c>
      <c r="Q242" s="10">
        <f>IF(OR($H242&lt;&gt;"Y",8&lt;$I242),0,IF(SUMPRODUCT(((BULK_ENABLED="Y")*((BULK_TIER="ALL")+(BULK_TIER=$F242))*((BULK_SKU="ALL")+(BULK_SKU=$G242))*(BULK_START&lt;=8)*(BULK_END&gt;=8)))&gt;0,IFERROR(SUMPRODUCT(((BULK_ENABLED="Y")*((BULK_TIER="ALL")+(BULK_TIER=$F242))*((BULK_SKU="ALL")+(BULK_SKU=$G242))*(BULK_START&lt;=8)*(BULK_END&gt;=8))*IFERROR(BULK_VALUE,0))/MAX(1,SUMPRODUCT(((BULK_ENABLED="Y")*((BULK_TIER="ALL")+(BULK_TIER=$F242))*((BULK_SKU="ALL")+(BULK_SKU=$G242))*(BULK_START&lt;=8)*(BULK_END&gt;=8)))),0),ROUND((INDEX(VELOCITY_TABLE,MATCH($F242,TIER_LIST,0),1))*(IF((8-$I242+1)&lt;=0,0,IF((8-$I242+1)=1,RAMP_W1,IF((8-$I242+1)=2,RAMP_W2,IF((8-$I242+1)=3,RAMP_W3,RAMP_W4PLUS)))))*(INDEX(ACTIVE_MULT_TABLE,1,1))*(1+SUMPRODUCT(SIGN(((ACT_DOOR_SCOPE="ALL")+(ACT_DOOR_SCOPE="TIER_"&amp;$F242)+(ACT_DOOR_SCOPE=$B242)))*SIGN(((ACT_SKU_SCOPE="ALL")+(ACT_SKU_SCOPE=$G242)))*(ACT_START&lt;=8)*(ACT_END&gt;=8)*IFERROR(ACT_UPLIFT-1,0)))*(1+SUMPRODUCT(SIGN(((ACT_DOOR_SCOPE="ALL")+(ACT_DOOR_SCOPE="TIER_"&amp;$F242)+(ACT_DOOR_SCOPE=$B242)))*SIGN(((ACT_SKU_SCOPE="ALL")+(ACT_SKU_SCOPE=$G242)))*(8&gt;ACT_END)*(ACT_END&gt;0)*IFERROR(ACT_POSTLIFT,0))),0)))</f>
        <v/>
      </c>
      <c r="R242" s="10">
        <f>IF(OR($H242&lt;&gt;"Y",9&lt;$I242),0,IF(SUMPRODUCT(((BULK_ENABLED="Y")*((BULK_TIER="ALL")+(BULK_TIER=$F242))*((BULK_SKU="ALL")+(BULK_SKU=$G242))*(BULK_START&lt;=9)*(BULK_END&gt;=9)))&gt;0,IFERROR(SUMPRODUCT(((BULK_ENABLED="Y")*((BULK_TIER="ALL")+(BULK_TIER=$F242))*((BULK_SKU="ALL")+(BULK_SKU=$G242))*(BULK_START&lt;=9)*(BULK_END&gt;=9))*IFERROR(BULK_VALUE,0))/MAX(1,SUMPRODUCT(((BULK_ENABLED="Y")*((BULK_TIER="ALL")+(BULK_TIER=$F242))*((BULK_SKU="ALL")+(BULK_SKU=$G242))*(BULK_START&lt;=9)*(BULK_END&gt;=9)))),0),ROUND((INDEX(VELOCITY_TABLE,MATCH($F242,TIER_LIST,0),1))*(IF((9-$I242+1)&lt;=0,0,IF((9-$I242+1)=1,RAMP_W1,IF((9-$I242+1)=2,RAMP_W2,IF((9-$I242+1)=3,RAMP_W3,RAMP_W4PLUS)))))*(INDEX(ACTIVE_MULT_TABLE,1,1))*(1+SUMPRODUCT(SIGN(((ACT_DOOR_SCOPE="ALL")+(ACT_DOOR_SCOPE="TIER_"&amp;$F242)+(ACT_DOOR_SCOPE=$B242)))*SIGN(((ACT_SKU_SCOPE="ALL")+(ACT_SKU_SCOPE=$G242)))*(ACT_START&lt;=9)*(ACT_END&gt;=9)*IFERROR(ACT_UPLIFT-1,0)))*(1+SUMPRODUCT(SIGN(((ACT_DOOR_SCOPE="ALL")+(ACT_DOOR_SCOPE="TIER_"&amp;$F242)+(ACT_DOOR_SCOPE=$B242)))*SIGN(((ACT_SKU_SCOPE="ALL")+(ACT_SKU_SCOPE=$G242)))*(9&gt;ACT_END)*(ACT_END&gt;0)*IFERROR(ACT_POSTLIFT,0))),0)))</f>
        <v/>
      </c>
      <c r="S242" s="10">
        <f>IF(OR($H242&lt;&gt;"Y",10&lt;$I242),0,IF(SUMPRODUCT(((BULK_ENABLED="Y")*((BULK_TIER="ALL")+(BULK_TIER=$F242))*((BULK_SKU="ALL")+(BULK_SKU=$G242))*(BULK_START&lt;=10)*(BULK_END&gt;=10)))&gt;0,IFERROR(SUMPRODUCT(((BULK_ENABLED="Y")*((BULK_TIER="ALL")+(BULK_TIER=$F242))*((BULK_SKU="ALL")+(BULK_SKU=$G242))*(BULK_START&lt;=10)*(BULK_END&gt;=10))*IFERROR(BULK_VALUE,0))/MAX(1,SUMPRODUCT(((BULK_ENABLED="Y")*((BULK_TIER="ALL")+(BULK_TIER=$F242))*((BULK_SKU="ALL")+(BULK_SKU=$G242))*(BULK_START&lt;=10)*(BULK_END&gt;=10)))),0),ROUND((INDEX(VELOCITY_TABLE,MATCH($F242,TIER_LIST,0),1))*(IF((10-$I242+1)&lt;=0,0,IF((10-$I242+1)=1,RAMP_W1,IF((10-$I242+1)=2,RAMP_W2,IF((10-$I242+1)=3,RAMP_W3,RAMP_W4PLUS)))))*(INDEX(ACTIVE_MULT_TABLE,1,1))*(1+SUMPRODUCT(SIGN(((ACT_DOOR_SCOPE="ALL")+(ACT_DOOR_SCOPE="TIER_"&amp;$F242)+(ACT_DOOR_SCOPE=$B242)))*SIGN(((ACT_SKU_SCOPE="ALL")+(ACT_SKU_SCOPE=$G242)))*(ACT_START&lt;=10)*(ACT_END&gt;=10)*IFERROR(ACT_UPLIFT-1,0)))*(1+SUMPRODUCT(SIGN(((ACT_DOOR_SCOPE="ALL")+(ACT_DOOR_SCOPE="TIER_"&amp;$F242)+(ACT_DOOR_SCOPE=$B242)))*SIGN(((ACT_SKU_SCOPE="ALL")+(ACT_SKU_SCOPE=$G242)))*(10&gt;ACT_END)*(ACT_END&gt;0)*IFERROR(ACT_POSTLIFT,0))),0)))</f>
        <v/>
      </c>
      <c r="T242" s="10">
        <f>IF(OR($H242&lt;&gt;"Y",11&lt;$I242),0,IF(SUMPRODUCT(((BULK_ENABLED="Y")*((BULK_TIER="ALL")+(BULK_TIER=$F242))*((BULK_SKU="ALL")+(BULK_SKU=$G242))*(BULK_START&lt;=11)*(BULK_END&gt;=11)))&gt;0,IFERROR(SUMPRODUCT(((BULK_ENABLED="Y")*((BULK_TIER="ALL")+(BULK_TIER=$F242))*((BULK_SKU="ALL")+(BULK_SKU=$G242))*(BULK_START&lt;=11)*(BULK_END&gt;=11))*IFERROR(BULK_VALUE,0))/MAX(1,SUMPRODUCT(((BULK_ENABLED="Y")*((BULK_TIER="ALL")+(BULK_TIER=$F242))*((BULK_SKU="ALL")+(BULK_SKU=$G242))*(BULK_START&lt;=11)*(BULK_END&gt;=11)))),0),ROUND((INDEX(VELOCITY_TABLE,MATCH($F242,TIER_LIST,0),1))*(IF((11-$I242+1)&lt;=0,0,IF((11-$I242+1)=1,RAMP_W1,IF((11-$I242+1)=2,RAMP_W2,IF((11-$I242+1)=3,RAMP_W3,RAMP_W4PLUS)))))*(INDEX(ACTIVE_MULT_TABLE,1,1))*(1+SUMPRODUCT(SIGN(((ACT_DOOR_SCOPE="ALL")+(ACT_DOOR_SCOPE="TIER_"&amp;$F242)+(ACT_DOOR_SCOPE=$B242)))*SIGN(((ACT_SKU_SCOPE="ALL")+(ACT_SKU_SCOPE=$G242)))*(ACT_START&lt;=11)*(ACT_END&gt;=11)*IFERROR(ACT_UPLIFT-1,0)))*(1+SUMPRODUCT(SIGN(((ACT_DOOR_SCOPE="ALL")+(ACT_DOOR_SCOPE="TIER_"&amp;$F242)+(ACT_DOOR_SCOPE=$B242)))*SIGN(((ACT_SKU_SCOPE="ALL")+(ACT_SKU_SCOPE=$G242)))*(11&gt;ACT_END)*(ACT_END&gt;0)*IFERROR(ACT_POSTLIFT,0))),0)))</f>
        <v/>
      </c>
      <c r="U242" s="10">
        <f>IF(OR($H242&lt;&gt;"Y",12&lt;$I242),0,IF(SUMPRODUCT(((BULK_ENABLED="Y")*((BULK_TIER="ALL")+(BULK_TIER=$F242))*((BULK_SKU="ALL")+(BULK_SKU=$G242))*(BULK_START&lt;=12)*(BULK_END&gt;=12)))&gt;0,IFERROR(SUMPRODUCT(((BULK_ENABLED="Y")*((BULK_TIER="ALL")+(BULK_TIER=$F242))*((BULK_SKU="ALL")+(BULK_SKU=$G242))*(BULK_START&lt;=12)*(BULK_END&gt;=12))*IFERROR(BULK_VALUE,0))/MAX(1,SUMPRODUCT(((BULK_ENABLED="Y")*((BULK_TIER="ALL")+(BULK_TIER=$F242))*((BULK_SKU="ALL")+(BULK_SKU=$G242))*(BULK_START&lt;=12)*(BULK_END&gt;=12)))),0),ROUND((INDEX(VELOCITY_TABLE,MATCH($F242,TIER_LIST,0),1))*(IF((12-$I242+1)&lt;=0,0,IF((12-$I242+1)=1,RAMP_W1,IF((12-$I242+1)=2,RAMP_W2,IF((12-$I242+1)=3,RAMP_W3,RAMP_W4PLUS)))))*(INDEX(ACTIVE_MULT_TABLE,1,1))*(1+SUMPRODUCT(SIGN(((ACT_DOOR_SCOPE="ALL")+(ACT_DOOR_SCOPE="TIER_"&amp;$F242)+(ACT_DOOR_SCOPE=$B242)))*SIGN(((ACT_SKU_SCOPE="ALL")+(ACT_SKU_SCOPE=$G242)))*(ACT_START&lt;=12)*(ACT_END&gt;=12)*IFERROR(ACT_UPLIFT-1,0)))*(1+SUMPRODUCT(SIGN(((ACT_DOOR_SCOPE="ALL")+(ACT_DOOR_SCOPE="TIER_"&amp;$F242)+(ACT_DOOR_SCOPE=$B242)))*SIGN(((ACT_SKU_SCOPE="ALL")+(ACT_SKU_SCOPE=$G242)))*(12&gt;ACT_END)*(ACT_END&gt;0)*IFERROR(ACT_POSTLIFT,0))),0)))</f>
        <v/>
      </c>
      <c r="V242" s="10">
        <f>IF(OR($H242&lt;&gt;"Y",13&lt;$I242),0,IF(SUMPRODUCT(((BULK_ENABLED="Y")*((BULK_TIER="ALL")+(BULK_TIER=$F242))*((BULK_SKU="ALL")+(BULK_SKU=$G242))*(BULK_START&lt;=13)*(BULK_END&gt;=13)))&gt;0,IFERROR(SUMPRODUCT(((BULK_ENABLED="Y")*((BULK_TIER="ALL")+(BULK_TIER=$F242))*((BULK_SKU="ALL")+(BULK_SKU=$G242))*(BULK_START&lt;=13)*(BULK_END&gt;=13))*IFERROR(BULK_VALUE,0))/MAX(1,SUMPRODUCT(((BULK_ENABLED="Y")*((BULK_TIER="ALL")+(BULK_TIER=$F242))*((BULK_SKU="ALL")+(BULK_SKU=$G242))*(BULK_START&lt;=13)*(BULK_END&gt;=13)))),0),ROUND((INDEX(VELOCITY_TABLE,MATCH($F242,TIER_LIST,0),1))*(IF((13-$I242+1)&lt;=0,0,IF((13-$I242+1)=1,RAMP_W1,IF((13-$I242+1)=2,RAMP_W2,IF((13-$I242+1)=3,RAMP_W3,RAMP_W4PLUS)))))*(INDEX(ACTIVE_MULT_TABLE,1,1))*(1+SUMPRODUCT(SIGN(((ACT_DOOR_SCOPE="ALL")+(ACT_DOOR_SCOPE="TIER_"&amp;$F242)+(ACT_DOOR_SCOPE=$B242)))*SIGN(((ACT_SKU_SCOPE="ALL")+(ACT_SKU_SCOPE=$G242)))*(ACT_START&lt;=13)*(ACT_END&gt;=13)*IFERROR(ACT_UPLIFT-1,0)))*(1+SUMPRODUCT(SIGN(((ACT_DOOR_SCOPE="ALL")+(ACT_DOOR_SCOPE="TIER_"&amp;$F242)+(ACT_DOOR_SCOPE=$B242)))*SIGN(((ACT_SKU_SCOPE="ALL")+(ACT_SKU_SCOPE=$G242)))*(13&gt;ACT_END)*(ACT_END&gt;0)*IFERROR(ACT_POSTLIFT,0))),0)))</f>
        <v/>
      </c>
    </row>
    <row r="243">
      <c r="A243" t="inlineStr">
        <is>
          <t>R0239</t>
        </is>
      </c>
      <c r="B243">
        <f>Doors!$A$84</f>
        <v/>
      </c>
      <c r="C243">
        <f>Doors!$C$84</f>
        <v/>
      </c>
      <c r="D243">
        <f>Doors!$B$84</f>
        <v/>
      </c>
      <c r="E243">
        <f>Doors!$E$84</f>
        <v/>
      </c>
      <c r="F243">
        <f>Doors!$F$84</f>
        <v/>
      </c>
      <c r="G243" t="inlineStr">
        <is>
          <t>Pineapple Passion Fruit</t>
        </is>
      </c>
      <c r="H243">
        <f>Doors!$H$84</f>
        <v/>
      </c>
      <c r="I243">
        <f>Doors!$J$84</f>
        <v/>
      </c>
      <c r="J243" s="10">
        <f>IF(OR($H243&lt;&gt;"Y",1&lt;$I243),0,IF(SUMPRODUCT(((BULK_ENABLED="Y")*((BULK_TIER="ALL")+(BULK_TIER=$F243))*((BULK_SKU="ALL")+(BULK_SKU=$G243))*(BULK_START&lt;=1)*(BULK_END&gt;=1)))&gt;0,IFERROR(SUMPRODUCT(((BULK_ENABLED="Y")*((BULK_TIER="ALL")+(BULK_TIER=$F243))*((BULK_SKU="ALL")+(BULK_SKU=$G243))*(BULK_START&lt;=1)*(BULK_END&gt;=1))*IFERROR(BULK_VALUE,0))/MAX(1,SUMPRODUCT(((BULK_ENABLED="Y")*((BULK_TIER="ALL")+(BULK_TIER=$F243))*((BULK_SKU="ALL")+(BULK_SKU=$G243))*(BULK_START&lt;=1)*(BULK_END&gt;=1)))),0),ROUND((INDEX(VELOCITY_TABLE,MATCH($F243,TIER_LIST,0),2))*(IF((1-$I243+1)&lt;=0,0,IF((1-$I243+1)=1,RAMP_W1,IF((1-$I243+1)=2,RAMP_W2,IF((1-$I243+1)=3,RAMP_W3,RAMP_W4PLUS)))))*(INDEX(ACTIVE_MULT_TABLE,2,1))*(1+SUMPRODUCT(SIGN(((ACT_DOOR_SCOPE="ALL")+(ACT_DOOR_SCOPE="TIER_"&amp;$F243)+(ACT_DOOR_SCOPE=$B243)))*SIGN(((ACT_SKU_SCOPE="ALL")+(ACT_SKU_SCOPE=$G243)))*(ACT_START&lt;=1)*(ACT_END&gt;=1)*IFERROR(ACT_UPLIFT-1,0)))*(1+SUMPRODUCT(SIGN(((ACT_DOOR_SCOPE="ALL")+(ACT_DOOR_SCOPE="TIER_"&amp;$F243)+(ACT_DOOR_SCOPE=$B243)))*SIGN(((ACT_SKU_SCOPE="ALL")+(ACT_SKU_SCOPE=$G243)))*(1&gt;ACT_END)*(ACT_END&gt;0)*IFERROR(ACT_POSTLIFT,0))),0)))</f>
        <v/>
      </c>
      <c r="K243" s="10">
        <f>IF(OR($H243&lt;&gt;"Y",2&lt;$I243),0,IF(SUMPRODUCT(((BULK_ENABLED="Y")*((BULK_TIER="ALL")+(BULK_TIER=$F243))*((BULK_SKU="ALL")+(BULK_SKU=$G243))*(BULK_START&lt;=2)*(BULK_END&gt;=2)))&gt;0,IFERROR(SUMPRODUCT(((BULK_ENABLED="Y")*((BULK_TIER="ALL")+(BULK_TIER=$F243))*((BULK_SKU="ALL")+(BULK_SKU=$G243))*(BULK_START&lt;=2)*(BULK_END&gt;=2))*IFERROR(BULK_VALUE,0))/MAX(1,SUMPRODUCT(((BULK_ENABLED="Y")*((BULK_TIER="ALL")+(BULK_TIER=$F243))*((BULK_SKU="ALL")+(BULK_SKU=$G243))*(BULK_START&lt;=2)*(BULK_END&gt;=2)))),0),ROUND((INDEX(VELOCITY_TABLE,MATCH($F243,TIER_LIST,0),2))*(IF((2-$I243+1)&lt;=0,0,IF((2-$I243+1)=1,RAMP_W1,IF((2-$I243+1)=2,RAMP_W2,IF((2-$I243+1)=3,RAMP_W3,RAMP_W4PLUS)))))*(INDEX(ACTIVE_MULT_TABLE,2,1))*(1+SUMPRODUCT(SIGN(((ACT_DOOR_SCOPE="ALL")+(ACT_DOOR_SCOPE="TIER_"&amp;$F243)+(ACT_DOOR_SCOPE=$B243)))*SIGN(((ACT_SKU_SCOPE="ALL")+(ACT_SKU_SCOPE=$G243)))*(ACT_START&lt;=2)*(ACT_END&gt;=2)*IFERROR(ACT_UPLIFT-1,0)))*(1+SUMPRODUCT(SIGN(((ACT_DOOR_SCOPE="ALL")+(ACT_DOOR_SCOPE="TIER_"&amp;$F243)+(ACT_DOOR_SCOPE=$B243)))*SIGN(((ACT_SKU_SCOPE="ALL")+(ACT_SKU_SCOPE=$G243)))*(2&gt;ACT_END)*(ACT_END&gt;0)*IFERROR(ACT_POSTLIFT,0))),0)))</f>
        <v/>
      </c>
      <c r="L243" s="10">
        <f>IF(OR($H243&lt;&gt;"Y",3&lt;$I243),0,IF(SUMPRODUCT(((BULK_ENABLED="Y")*((BULK_TIER="ALL")+(BULK_TIER=$F243))*((BULK_SKU="ALL")+(BULK_SKU=$G243))*(BULK_START&lt;=3)*(BULK_END&gt;=3)))&gt;0,IFERROR(SUMPRODUCT(((BULK_ENABLED="Y")*((BULK_TIER="ALL")+(BULK_TIER=$F243))*((BULK_SKU="ALL")+(BULK_SKU=$G243))*(BULK_START&lt;=3)*(BULK_END&gt;=3))*IFERROR(BULK_VALUE,0))/MAX(1,SUMPRODUCT(((BULK_ENABLED="Y")*((BULK_TIER="ALL")+(BULK_TIER=$F243))*((BULK_SKU="ALL")+(BULK_SKU=$G243))*(BULK_START&lt;=3)*(BULK_END&gt;=3)))),0),ROUND((INDEX(VELOCITY_TABLE,MATCH($F243,TIER_LIST,0),2))*(IF((3-$I243+1)&lt;=0,0,IF((3-$I243+1)=1,RAMP_W1,IF((3-$I243+1)=2,RAMP_W2,IF((3-$I243+1)=3,RAMP_W3,RAMP_W4PLUS)))))*(INDEX(ACTIVE_MULT_TABLE,2,1))*(1+SUMPRODUCT(SIGN(((ACT_DOOR_SCOPE="ALL")+(ACT_DOOR_SCOPE="TIER_"&amp;$F243)+(ACT_DOOR_SCOPE=$B243)))*SIGN(((ACT_SKU_SCOPE="ALL")+(ACT_SKU_SCOPE=$G243)))*(ACT_START&lt;=3)*(ACT_END&gt;=3)*IFERROR(ACT_UPLIFT-1,0)))*(1+SUMPRODUCT(SIGN(((ACT_DOOR_SCOPE="ALL")+(ACT_DOOR_SCOPE="TIER_"&amp;$F243)+(ACT_DOOR_SCOPE=$B243)))*SIGN(((ACT_SKU_SCOPE="ALL")+(ACT_SKU_SCOPE=$G243)))*(3&gt;ACT_END)*(ACT_END&gt;0)*IFERROR(ACT_POSTLIFT,0))),0)))</f>
        <v/>
      </c>
      <c r="M243" s="10">
        <f>IF(OR($H243&lt;&gt;"Y",4&lt;$I243),0,IF(SUMPRODUCT(((BULK_ENABLED="Y")*((BULK_TIER="ALL")+(BULK_TIER=$F243))*((BULK_SKU="ALL")+(BULK_SKU=$G243))*(BULK_START&lt;=4)*(BULK_END&gt;=4)))&gt;0,IFERROR(SUMPRODUCT(((BULK_ENABLED="Y")*((BULK_TIER="ALL")+(BULK_TIER=$F243))*((BULK_SKU="ALL")+(BULK_SKU=$G243))*(BULK_START&lt;=4)*(BULK_END&gt;=4))*IFERROR(BULK_VALUE,0))/MAX(1,SUMPRODUCT(((BULK_ENABLED="Y")*((BULK_TIER="ALL")+(BULK_TIER=$F243))*((BULK_SKU="ALL")+(BULK_SKU=$G243))*(BULK_START&lt;=4)*(BULK_END&gt;=4)))),0),ROUND((INDEX(VELOCITY_TABLE,MATCH($F243,TIER_LIST,0),2))*(IF((4-$I243+1)&lt;=0,0,IF((4-$I243+1)=1,RAMP_W1,IF((4-$I243+1)=2,RAMP_W2,IF((4-$I243+1)=3,RAMP_W3,RAMP_W4PLUS)))))*(INDEX(ACTIVE_MULT_TABLE,2,1))*(1+SUMPRODUCT(SIGN(((ACT_DOOR_SCOPE="ALL")+(ACT_DOOR_SCOPE="TIER_"&amp;$F243)+(ACT_DOOR_SCOPE=$B243)))*SIGN(((ACT_SKU_SCOPE="ALL")+(ACT_SKU_SCOPE=$G243)))*(ACT_START&lt;=4)*(ACT_END&gt;=4)*IFERROR(ACT_UPLIFT-1,0)))*(1+SUMPRODUCT(SIGN(((ACT_DOOR_SCOPE="ALL")+(ACT_DOOR_SCOPE="TIER_"&amp;$F243)+(ACT_DOOR_SCOPE=$B243)))*SIGN(((ACT_SKU_SCOPE="ALL")+(ACT_SKU_SCOPE=$G243)))*(4&gt;ACT_END)*(ACT_END&gt;0)*IFERROR(ACT_POSTLIFT,0))),0)))</f>
        <v/>
      </c>
      <c r="N243" s="10">
        <f>IF(OR($H243&lt;&gt;"Y",5&lt;$I243),0,IF(SUMPRODUCT(((BULK_ENABLED="Y")*((BULK_TIER="ALL")+(BULK_TIER=$F243))*((BULK_SKU="ALL")+(BULK_SKU=$G243))*(BULK_START&lt;=5)*(BULK_END&gt;=5)))&gt;0,IFERROR(SUMPRODUCT(((BULK_ENABLED="Y")*((BULK_TIER="ALL")+(BULK_TIER=$F243))*((BULK_SKU="ALL")+(BULK_SKU=$G243))*(BULK_START&lt;=5)*(BULK_END&gt;=5))*IFERROR(BULK_VALUE,0))/MAX(1,SUMPRODUCT(((BULK_ENABLED="Y")*((BULK_TIER="ALL")+(BULK_TIER=$F243))*((BULK_SKU="ALL")+(BULK_SKU=$G243))*(BULK_START&lt;=5)*(BULK_END&gt;=5)))),0),ROUND((INDEX(VELOCITY_TABLE,MATCH($F243,TIER_LIST,0),2))*(IF((5-$I243+1)&lt;=0,0,IF((5-$I243+1)=1,RAMP_W1,IF((5-$I243+1)=2,RAMP_W2,IF((5-$I243+1)=3,RAMP_W3,RAMP_W4PLUS)))))*(INDEX(ACTIVE_MULT_TABLE,2,1))*(1+SUMPRODUCT(SIGN(((ACT_DOOR_SCOPE="ALL")+(ACT_DOOR_SCOPE="TIER_"&amp;$F243)+(ACT_DOOR_SCOPE=$B243)))*SIGN(((ACT_SKU_SCOPE="ALL")+(ACT_SKU_SCOPE=$G243)))*(ACT_START&lt;=5)*(ACT_END&gt;=5)*IFERROR(ACT_UPLIFT-1,0)))*(1+SUMPRODUCT(SIGN(((ACT_DOOR_SCOPE="ALL")+(ACT_DOOR_SCOPE="TIER_"&amp;$F243)+(ACT_DOOR_SCOPE=$B243)))*SIGN(((ACT_SKU_SCOPE="ALL")+(ACT_SKU_SCOPE=$G243)))*(5&gt;ACT_END)*(ACT_END&gt;0)*IFERROR(ACT_POSTLIFT,0))),0)))</f>
        <v/>
      </c>
      <c r="O243" s="10">
        <f>IF(OR($H243&lt;&gt;"Y",6&lt;$I243),0,IF(SUMPRODUCT(((BULK_ENABLED="Y")*((BULK_TIER="ALL")+(BULK_TIER=$F243))*((BULK_SKU="ALL")+(BULK_SKU=$G243))*(BULK_START&lt;=6)*(BULK_END&gt;=6)))&gt;0,IFERROR(SUMPRODUCT(((BULK_ENABLED="Y")*((BULK_TIER="ALL")+(BULK_TIER=$F243))*((BULK_SKU="ALL")+(BULK_SKU=$G243))*(BULK_START&lt;=6)*(BULK_END&gt;=6))*IFERROR(BULK_VALUE,0))/MAX(1,SUMPRODUCT(((BULK_ENABLED="Y")*((BULK_TIER="ALL")+(BULK_TIER=$F243))*((BULK_SKU="ALL")+(BULK_SKU=$G243))*(BULK_START&lt;=6)*(BULK_END&gt;=6)))),0),ROUND((INDEX(VELOCITY_TABLE,MATCH($F243,TIER_LIST,0),2))*(IF((6-$I243+1)&lt;=0,0,IF((6-$I243+1)=1,RAMP_W1,IF((6-$I243+1)=2,RAMP_W2,IF((6-$I243+1)=3,RAMP_W3,RAMP_W4PLUS)))))*(INDEX(ACTIVE_MULT_TABLE,2,1))*(1+SUMPRODUCT(SIGN(((ACT_DOOR_SCOPE="ALL")+(ACT_DOOR_SCOPE="TIER_"&amp;$F243)+(ACT_DOOR_SCOPE=$B243)))*SIGN(((ACT_SKU_SCOPE="ALL")+(ACT_SKU_SCOPE=$G243)))*(ACT_START&lt;=6)*(ACT_END&gt;=6)*IFERROR(ACT_UPLIFT-1,0)))*(1+SUMPRODUCT(SIGN(((ACT_DOOR_SCOPE="ALL")+(ACT_DOOR_SCOPE="TIER_"&amp;$F243)+(ACT_DOOR_SCOPE=$B243)))*SIGN(((ACT_SKU_SCOPE="ALL")+(ACT_SKU_SCOPE=$G243)))*(6&gt;ACT_END)*(ACT_END&gt;0)*IFERROR(ACT_POSTLIFT,0))),0)))</f>
        <v/>
      </c>
      <c r="P243" s="10">
        <f>IF(OR($H243&lt;&gt;"Y",7&lt;$I243),0,IF(SUMPRODUCT(((BULK_ENABLED="Y")*((BULK_TIER="ALL")+(BULK_TIER=$F243))*((BULK_SKU="ALL")+(BULK_SKU=$G243))*(BULK_START&lt;=7)*(BULK_END&gt;=7)))&gt;0,IFERROR(SUMPRODUCT(((BULK_ENABLED="Y")*((BULK_TIER="ALL")+(BULK_TIER=$F243))*((BULK_SKU="ALL")+(BULK_SKU=$G243))*(BULK_START&lt;=7)*(BULK_END&gt;=7))*IFERROR(BULK_VALUE,0))/MAX(1,SUMPRODUCT(((BULK_ENABLED="Y")*((BULK_TIER="ALL")+(BULK_TIER=$F243))*((BULK_SKU="ALL")+(BULK_SKU=$G243))*(BULK_START&lt;=7)*(BULK_END&gt;=7)))),0),ROUND((INDEX(VELOCITY_TABLE,MATCH($F243,TIER_LIST,0),2))*(IF((7-$I243+1)&lt;=0,0,IF((7-$I243+1)=1,RAMP_W1,IF((7-$I243+1)=2,RAMP_W2,IF((7-$I243+1)=3,RAMP_W3,RAMP_W4PLUS)))))*(INDEX(ACTIVE_MULT_TABLE,2,1))*(1+SUMPRODUCT(SIGN(((ACT_DOOR_SCOPE="ALL")+(ACT_DOOR_SCOPE="TIER_"&amp;$F243)+(ACT_DOOR_SCOPE=$B243)))*SIGN(((ACT_SKU_SCOPE="ALL")+(ACT_SKU_SCOPE=$G243)))*(ACT_START&lt;=7)*(ACT_END&gt;=7)*IFERROR(ACT_UPLIFT-1,0)))*(1+SUMPRODUCT(SIGN(((ACT_DOOR_SCOPE="ALL")+(ACT_DOOR_SCOPE="TIER_"&amp;$F243)+(ACT_DOOR_SCOPE=$B243)))*SIGN(((ACT_SKU_SCOPE="ALL")+(ACT_SKU_SCOPE=$G243)))*(7&gt;ACT_END)*(ACT_END&gt;0)*IFERROR(ACT_POSTLIFT,0))),0)))</f>
        <v/>
      </c>
      <c r="Q243" s="10">
        <f>IF(OR($H243&lt;&gt;"Y",8&lt;$I243),0,IF(SUMPRODUCT(((BULK_ENABLED="Y")*((BULK_TIER="ALL")+(BULK_TIER=$F243))*((BULK_SKU="ALL")+(BULK_SKU=$G243))*(BULK_START&lt;=8)*(BULK_END&gt;=8)))&gt;0,IFERROR(SUMPRODUCT(((BULK_ENABLED="Y")*((BULK_TIER="ALL")+(BULK_TIER=$F243))*((BULK_SKU="ALL")+(BULK_SKU=$G243))*(BULK_START&lt;=8)*(BULK_END&gt;=8))*IFERROR(BULK_VALUE,0))/MAX(1,SUMPRODUCT(((BULK_ENABLED="Y")*((BULK_TIER="ALL")+(BULK_TIER=$F243))*((BULK_SKU="ALL")+(BULK_SKU=$G243))*(BULK_START&lt;=8)*(BULK_END&gt;=8)))),0),ROUND((INDEX(VELOCITY_TABLE,MATCH($F243,TIER_LIST,0),2))*(IF((8-$I243+1)&lt;=0,0,IF((8-$I243+1)=1,RAMP_W1,IF((8-$I243+1)=2,RAMP_W2,IF((8-$I243+1)=3,RAMP_W3,RAMP_W4PLUS)))))*(INDEX(ACTIVE_MULT_TABLE,2,1))*(1+SUMPRODUCT(SIGN(((ACT_DOOR_SCOPE="ALL")+(ACT_DOOR_SCOPE="TIER_"&amp;$F243)+(ACT_DOOR_SCOPE=$B243)))*SIGN(((ACT_SKU_SCOPE="ALL")+(ACT_SKU_SCOPE=$G243)))*(ACT_START&lt;=8)*(ACT_END&gt;=8)*IFERROR(ACT_UPLIFT-1,0)))*(1+SUMPRODUCT(SIGN(((ACT_DOOR_SCOPE="ALL")+(ACT_DOOR_SCOPE="TIER_"&amp;$F243)+(ACT_DOOR_SCOPE=$B243)))*SIGN(((ACT_SKU_SCOPE="ALL")+(ACT_SKU_SCOPE=$G243)))*(8&gt;ACT_END)*(ACT_END&gt;0)*IFERROR(ACT_POSTLIFT,0))),0)))</f>
        <v/>
      </c>
      <c r="R243" s="10">
        <f>IF(OR($H243&lt;&gt;"Y",9&lt;$I243),0,IF(SUMPRODUCT(((BULK_ENABLED="Y")*((BULK_TIER="ALL")+(BULK_TIER=$F243))*((BULK_SKU="ALL")+(BULK_SKU=$G243))*(BULK_START&lt;=9)*(BULK_END&gt;=9)))&gt;0,IFERROR(SUMPRODUCT(((BULK_ENABLED="Y")*((BULK_TIER="ALL")+(BULK_TIER=$F243))*((BULK_SKU="ALL")+(BULK_SKU=$G243))*(BULK_START&lt;=9)*(BULK_END&gt;=9))*IFERROR(BULK_VALUE,0))/MAX(1,SUMPRODUCT(((BULK_ENABLED="Y")*((BULK_TIER="ALL")+(BULK_TIER=$F243))*((BULK_SKU="ALL")+(BULK_SKU=$G243))*(BULK_START&lt;=9)*(BULK_END&gt;=9)))),0),ROUND((INDEX(VELOCITY_TABLE,MATCH($F243,TIER_LIST,0),2))*(IF((9-$I243+1)&lt;=0,0,IF((9-$I243+1)=1,RAMP_W1,IF((9-$I243+1)=2,RAMP_W2,IF((9-$I243+1)=3,RAMP_W3,RAMP_W4PLUS)))))*(INDEX(ACTIVE_MULT_TABLE,2,1))*(1+SUMPRODUCT(SIGN(((ACT_DOOR_SCOPE="ALL")+(ACT_DOOR_SCOPE="TIER_"&amp;$F243)+(ACT_DOOR_SCOPE=$B243)))*SIGN(((ACT_SKU_SCOPE="ALL")+(ACT_SKU_SCOPE=$G243)))*(ACT_START&lt;=9)*(ACT_END&gt;=9)*IFERROR(ACT_UPLIFT-1,0)))*(1+SUMPRODUCT(SIGN(((ACT_DOOR_SCOPE="ALL")+(ACT_DOOR_SCOPE="TIER_"&amp;$F243)+(ACT_DOOR_SCOPE=$B243)))*SIGN(((ACT_SKU_SCOPE="ALL")+(ACT_SKU_SCOPE=$G243)))*(9&gt;ACT_END)*(ACT_END&gt;0)*IFERROR(ACT_POSTLIFT,0))),0)))</f>
        <v/>
      </c>
      <c r="S243" s="10">
        <f>IF(OR($H243&lt;&gt;"Y",10&lt;$I243),0,IF(SUMPRODUCT(((BULK_ENABLED="Y")*((BULK_TIER="ALL")+(BULK_TIER=$F243))*((BULK_SKU="ALL")+(BULK_SKU=$G243))*(BULK_START&lt;=10)*(BULK_END&gt;=10)))&gt;0,IFERROR(SUMPRODUCT(((BULK_ENABLED="Y")*((BULK_TIER="ALL")+(BULK_TIER=$F243))*((BULK_SKU="ALL")+(BULK_SKU=$G243))*(BULK_START&lt;=10)*(BULK_END&gt;=10))*IFERROR(BULK_VALUE,0))/MAX(1,SUMPRODUCT(((BULK_ENABLED="Y")*((BULK_TIER="ALL")+(BULK_TIER=$F243))*((BULK_SKU="ALL")+(BULK_SKU=$G243))*(BULK_START&lt;=10)*(BULK_END&gt;=10)))),0),ROUND((INDEX(VELOCITY_TABLE,MATCH($F243,TIER_LIST,0),2))*(IF((10-$I243+1)&lt;=0,0,IF((10-$I243+1)=1,RAMP_W1,IF((10-$I243+1)=2,RAMP_W2,IF((10-$I243+1)=3,RAMP_W3,RAMP_W4PLUS)))))*(INDEX(ACTIVE_MULT_TABLE,2,1))*(1+SUMPRODUCT(SIGN(((ACT_DOOR_SCOPE="ALL")+(ACT_DOOR_SCOPE="TIER_"&amp;$F243)+(ACT_DOOR_SCOPE=$B243)))*SIGN(((ACT_SKU_SCOPE="ALL")+(ACT_SKU_SCOPE=$G243)))*(ACT_START&lt;=10)*(ACT_END&gt;=10)*IFERROR(ACT_UPLIFT-1,0)))*(1+SUMPRODUCT(SIGN(((ACT_DOOR_SCOPE="ALL")+(ACT_DOOR_SCOPE="TIER_"&amp;$F243)+(ACT_DOOR_SCOPE=$B243)))*SIGN(((ACT_SKU_SCOPE="ALL")+(ACT_SKU_SCOPE=$G243)))*(10&gt;ACT_END)*(ACT_END&gt;0)*IFERROR(ACT_POSTLIFT,0))),0)))</f>
        <v/>
      </c>
      <c r="T243" s="10">
        <f>IF(OR($H243&lt;&gt;"Y",11&lt;$I243),0,IF(SUMPRODUCT(((BULK_ENABLED="Y")*((BULK_TIER="ALL")+(BULK_TIER=$F243))*((BULK_SKU="ALL")+(BULK_SKU=$G243))*(BULK_START&lt;=11)*(BULK_END&gt;=11)))&gt;0,IFERROR(SUMPRODUCT(((BULK_ENABLED="Y")*((BULK_TIER="ALL")+(BULK_TIER=$F243))*((BULK_SKU="ALL")+(BULK_SKU=$G243))*(BULK_START&lt;=11)*(BULK_END&gt;=11))*IFERROR(BULK_VALUE,0))/MAX(1,SUMPRODUCT(((BULK_ENABLED="Y")*((BULK_TIER="ALL")+(BULK_TIER=$F243))*((BULK_SKU="ALL")+(BULK_SKU=$G243))*(BULK_START&lt;=11)*(BULK_END&gt;=11)))),0),ROUND((INDEX(VELOCITY_TABLE,MATCH($F243,TIER_LIST,0),2))*(IF((11-$I243+1)&lt;=0,0,IF((11-$I243+1)=1,RAMP_W1,IF((11-$I243+1)=2,RAMP_W2,IF((11-$I243+1)=3,RAMP_W3,RAMP_W4PLUS)))))*(INDEX(ACTIVE_MULT_TABLE,2,1))*(1+SUMPRODUCT(SIGN(((ACT_DOOR_SCOPE="ALL")+(ACT_DOOR_SCOPE="TIER_"&amp;$F243)+(ACT_DOOR_SCOPE=$B243)))*SIGN(((ACT_SKU_SCOPE="ALL")+(ACT_SKU_SCOPE=$G243)))*(ACT_START&lt;=11)*(ACT_END&gt;=11)*IFERROR(ACT_UPLIFT-1,0)))*(1+SUMPRODUCT(SIGN(((ACT_DOOR_SCOPE="ALL")+(ACT_DOOR_SCOPE="TIER_"&amp;$F243)+(ACT_DOOR_SCOPE=$B243)))*SIGN(((ACT_SKU_SCOPE="ALL")+(ACT_SKU_SCOPE=$G243)))*(11&gt;ACT_END)*(ACT_END&gt;0)*IFERROR(ACT_POSTLIFT,0))),0)))</f>
        <v/>
      </c>
      <c r="U243" s="10">
        <f>IF(OR($H243&lt;&gt;"Y",12&lt;$I243),0,IF(SUMPRODUCT(((BULK_ENABLED="Y")*((BULK_TIER="ALL")+(BULK_TIER=$F243))*((BULK_SKU="ALL")+(BULK_SKU=$G243))*(BULK_START&lt;=12)*(BULK_END&gt;=12)))&gt;0,IFERROR(SUMPRODUCT(((BULK_ENABLED="Y")*((BULK_TIER="ALL")+(BULK_TIER=$F243))*((BULK_SKU="ALL")+(BULK_SKU=$G243))*(BULK_START&lt;=12)*(BULK_END&gt;=12))*IFERROR(BULK_VALUE,0))/MAX(1,SUMPRODUCT(((BULK_ENABLED="Y")*((BULK_TIER="ALL")+(BULK_TIER=$F243))*((BULK_SKU="ALL")+(BULK_SKU=$G243))*(BULK_START&lt;=12)*(BULK_END&gt;=12)))),0),ROUND((INDEX(VELOCITY_TABLE,MATCH($F243,TIER_LIST,0),2))*(IF((12-$I243+1)&lt;=0,0,IF((12-$I243+1)=1,RAMP_W1,IF((12-$I243+1)=2,RAMP_W2,IF((12-$I243+1)=3,RAMP_W3,RAMP_W4PLUS)))))*(INDEX(ACTIVE_MULT_TABLE,2,1))*(1+SUMPRODUCT(SIGN(((ACT_DOOR_SCOPE="ALL")+(ACT_DOOR_SCOPE="TIER_"&amp;$F243)+(ACT_DOOR_SCOPE=$B243)))*SIGN(((ACT_SKU_SCOPE="ALL")+(ACT_SKU_SCOPE=$G243)))*(ACT_START&lt;=12)*(ACT_END&gt;=12)*IFERROR(ACT_UPLIFT-1,0)))*(1+SUMPRODUCT(SIGN(((ACT_DOOR_SCOPE="ALL")+(ACT_DOOR_SCOPE="TIER_"&amp;$F243)+(ACT_DOOR_SCOPE=$B243)))*SIGN(((ACT_SKU_SCOPE="ALL")+(ACT_SKU_SCOPE=$G243)))*(12&gt;ACT_END)*(ACT_END&gt;0)*IFERROR(ACT_POSTLIFT,0))),0)))</f>
        <v/>
      </c>
      <c r="V243" s="10">
        <f>IF(OR($H243&lt;&gt;"Y",13&lt;$I243),0,IF(SUMPRODUCT(((BULK_ENABLED="Y")*((BULK_TIER="ALL")+(BULK_TIER=$F243))*((BULK_SKU="ALL")+(BULK_SKU=$G243))*(BULK_START&lt;=13)*(BULK_END&gt;=13)))&gt;0,IFERROR(SUMPRODUCT(((BULK_ENABLED="Y")*((BULK_TIER="ALL")+(BULK_TIER=$F243))*((BULK_SKU="ALL")+(BULK_SKU=$G243))*(BULK_START&lt;=13)*(BULK_END&gt;=13))*IFERROR(BULK_VALUE,0))/MAX(1,SUMPRODUCT(((BULK_ENABLED="Y")*((BULK_TIER="ALL")+(BULK_TIER=$F243))*((BULK_SKU="ALL")+(BULK_SKU=$G243))*(BULK_START&lt;=13)*(BULK_END&gt;=13)))),0),ROUND((INDEX(VELOCITY_TABLE,MATCH($F243,TIER_LIST,0),2))*(IF((13-$I243+1)&lt;=0,0,IF((13-$I243+1)=1,RAMP_W1,IF((13-$I243+1)=2,RAMP_W2,IF((13-$I243+1)=3,RAMP_W3,RAMP_W4PLUS)))))*(INDEX(ACTIVE_MULT_TABLE,2,1))*(1+SUMPRODUCT(SIGN(((ACT_DOOR_SCOPE="ALL")+(ACT_DOOR_SCOPE="TIER_"&amp;$F243)+(ACT_DOOR_SCOPE=$B243)))*SIGN(((ACT_SKU_SCOPE="ALL")+(ACT_SKU_SCOPE=$G243)))*(ACT_START&lt;=13)*(ACT_END&gt;=13)*IFERROR(ACT_UPLIFT-1,0)))*(1+SUMPRODUCT(SIGN(((ACT_DOOR_SCOPE="ALL")+(ACT_DOOR_SCOPE="TIER_"&amp;$F243)+(ACT_DOOR_SCOPE=$B243)))*SIGN(((ACT_SKU_SCOPE="ALL")+(ACT_SKU_SCOPE=$G243)))*(13&gt;ACT_END)*(ACT_END&gt;0)*IFERROR(ACT_POSTLIFT,0))),0)))</f>
        <v/>
      </c>
    </row>
    <row r="244">
      <c r="A244" t="inlineStr">
        <is>
          <t>R0240</t>
        </is>
      </c>
      <c r="B244">
        <f>Doors!$A$84</f>
        <v/>
      </c>
      <c r="C244">
        <f>Doors!$C$84</f>
        <v/>
      </c>
      <c r="D244">
        <f>Doors!$B$84</f>
        <v/>
      </c>
      <c r="E244">
        <f>Doors!$E$84</f>
        <v/>
      </c>
      <c r="F244">
        <f>Doors!$F$84</f>
        <v/>
      </c>
      <c r="G244" t="inlineStr">
        <is>
          <t>Raspberry</t>
        </is>
      </c>
      <c r="H244">
        <f>Doors!$I$84</f>
        <v/>
      </c>
      <c r="I244">
        <f>Doors!$J$84</f>
        <v/>
      </c>
      <c r="J244" s="10">
        <f>IF(OR($H244&lt;&gt;"Y",1&lt;$I244),0,IF(SUMPRODUCT(((BULK_ENABLED="Y")*((BULK_TIER="ALL")+(BULK_TIER=$F244))*((BULK_SKU="ALL")+(BULK_SKU=$G244))*(BULK_START&lt;=1)*(BULK_END&gt;=1)))&gt;0,IFERROR(SUMPRODUCT(((BULK_ENABLED="Y")*((BULK_TIER="ALL")+(BULK_TIER=$F244))*((BULK_SKU="ALL")+(BULK_SKU=$G244))*(BULK_START&lt;=1)*(BULK_END&gt;=1))*IFERROR(BULK_VALUE,0))/MAX(1,SUMPRODUCT(((BULK_ENABLED="Y")*((BULK_TIER="ALL")+(BULK_TIER=$F244))*((BULK_SKU="ALL")+(BULK_SKU=$G244))*(BULK_START&lt;=1)*(BULK_END&gt;=1)))),0),ROUND((INDEX(VELOCITY_TABLE,MATCH($F244,TIER_LIST,0),3))*(IF((1-$I244+1)&lt;=0,0,IF((1-$I244+1)=1,RAMP_W1,IF((1-$I244+1)=2,RAMP_W2,IF((1-$I244+1)=3,RAMP_W3,RAMP_W4PLUS)))))*(INDEX(ACTIVE_MULT_TABLE,3,1))*(1+SUMPRODUCT(SIGN(((ACT_DOOR_SCOPE="ALL")+(ACT_DOOR_SCOPE="TIER_"&amp;$F244)+(ACT_DOOR_SCOPE=$B244)))*SIGN(((ACT_SKU_SCOPE="ALL")+(ACT_SKU_SCOPE=$G244)))*(ACT_START&lt;=1)*(ACT_END&gt;=1)*IFERROR(ACT_UPLIFT-1,0)))*(1+SUMPRODUCT(SIGN(((ACT_DOOR_SCOPE="ALL")+(ACT_DOOR_SCOPE="TIER_"&amp;$F244)+(ACT_DOOR_SCOPE=$B244)))*SIGN(((ACT_SKU_SCOPE="ALL")+(ACT_SKU_SCOPE=$G244)))*(1&gt;ACT_END)*(ACT_END&gt;0)*IFERROR(ACT_POSTLIFT,0))),0)))</f>
        <v/>
      </c>
      <c r="K244" s="10">
        <f>IF(OR($H244&lt;&gt;"Y",2&lt;$I244),0,IF(SUMPRODUCT(((BULK_ENABLED="Y")*((BULK_TIER="ALL")+(BULK_TIER=$F244))*((BULK_SKU="ALL")+(BULK_SKU=$G244))*(BULK_START&lt;=2)*(BULK_END&gt;=2)))&gt;0,IFERROR(SUMPRODUCT(((BULK_ENABLED="Y")*((BULK_TIER="ALL")+(BULK_TIER=$F244))*((BULK_SKU="ALL")+(BULK_SKU=$G244))*(BULK_START&lt;=2)*(BULK_END&gt;=2))*IFERROR(BULK_VALUE,0))/MAX(1,SUMPRODUCT(((BULK_ENABLED="Y")*((BULK_TIER="ALL")+(BULK_TIER=$F244))*((BULK_SKU="ALL")+(BULK_SKU=$G244))*(BULK_START&lt;=2)*(BULK_END&gt;=2)))),0),ROUND((INDEX(VELOCITY_TABLE,MATCH($F244,TIER_LIST,0),3))*(IF((2-$I244+1)&lt;=0,0,IF((2-$I244+1)=1,RAMP_W1,IF((2-$I244+1)=2,RAMP_W2,IF((2-$I244+1)=3,RAMP_W3,RAMP_W4PLUS)))))*(INDEX(ACTIVE_MULT_TABLE,3,1))*(1+SUMPRODUCT(SIGN(((ACT_DOOR_SCOPE="ALL")+(ACT_DOOR_SCOPE="TIER_"&amp;$F244)+(ACT_DOOR_SCOPE=$B244)))*SIGN(((ACT_SKU_SCOPE="ALL")+(ACT_SKU_SCOPE=$G244)))*(ACT_START&lt;=2)*(ACT_END&gt;=2)*IFERROR(ACT_UPLIFT-1,0)))*(1+SUMPRODUCT(SIGN(((ACT_DOOR_SCOPE="ALL")+(ACT_DOOR_SCOPE="TIER_"&amp;$F244)+(ACT_DOOR_SCOPE=$B244)))*SIGN(((ACT_SKU_SCOPE="ALL")+(ACT_SKU_SCOPE=$G244)))*(2&gt;ACT_END)*(ACT_END&gt;0)*IFERROR(ACT_POSTLIFT,0))),0)))</f>
        <v/>
      </c>
      <c r="L244" s="10">
        <f>IF(OR($H244&lt;&gt;"Y",3&lt;$I244),0,IF(SUMPRODUCT(((BULK_ENABLED="Y")*((BULK_TIER="ALL")+(BULK_TIER=$F244))*((BULK_SKU="ALL")+(BULK_SKU=$G244))*(BULK_START&lt;=3)*(BULK_END&gt;=3)))&gt;0,IFERROR(SUMPRODUCT(((BULK_ENABLED="Y")*((BULK_TIER="ALL")+(BULK_TIER=$F244))*((BULK_SKU="ALL")+(BULK_SKU=$G244))*(BULK_START&lt;=3)*(BULK_END&gt;=3))*IFERROR(BULK_VALUE,0))/MAX(1,SUMPRODUCT(((BULK_ENABLED="Y")*((BULK_TIER="ALL")+(BULK_TIER=$F244))*((BULK_SKU="ALL")+(BULK_SKU=$G244))*(BULK_START&lt;=3)*(BULK_END&gt;=3)))),0),ROUND((INDEX(VELOCITY_TABLE,MATCH($F244,TIER_LIST,0),3))*(IF((3-$I244+1)&lt;=0,0,IF((3-$I244+1)=1,RAMP_W1,IF((3-$I244+1)=2,RAMP_W2,IF((3-$I244+1)=3,RAMP_W3,RAMP_W4PLUS)))))*(INDEX(ACTIVE_MULT_TABLE,3,1))*(1+SUMPRODUCT(SIGN(((ACT_DOOR_SCOPE="ALL")+(ACT_DOOR_SCOPE="TIER_"&amp;$F244)+(ACT_DOOR_SCOPE=$B244)))*SIGN(((ACT_SKU_SCOPE="ALL")+(ACT_SKU_SCOPE=$G244)))*(ACT_START&lt;=3)*(ACT_END&gt;=3)*IFERROR(ACT_UPLIFT-1,0)))*(1+SUMPRODUCT(SIGN(((ACT_DOOR_SCOPE="ALL")+(ACT_DOOR_SCOPE="TIER_"&amp;$F244)+(ACT_DOOR_SCOPE=$B244)))*SIGN(((ACT_SKU_SCOPE="ALL")+(ACT_SKU_SCOPE=$G244)))*(3&gt;ACT_END)*(ACT_END&gt;0)*IFERROR(ACT_POSTLIFT,0))),0)))</f>
        <v/>
      </c>
      <c r="M244" s="10">
        <f>IF(OR($H244&lt;&gt;"Y",4&lt;$I244),0,IF(SUMPRODUCT(((BULK_ENABLED="Y")*((BULK_TIER="ALL")+(BULK_TIER=$F244))*((BULK_SKU="ALL")+(BULK_SKU=$G244))*(BULK_START&lt;=4)*(BULK_END&gt;=4)))&gt;0,IFERROR(SUMPRODUCT(((BULK_ENABLED="Y")*((BULK_TIER="ALL")+(BULK_TIER=$F244))*((BULK_SKU="ALL")+(BULK_SKU=$G244))*(BULK_START&lt;=4)*(BULK_END&gt;=4))*IFERROR(BULK_VALUE,0))/MAX(1,SUMPRODUCT(((BULK_ENABLED="Y")*((BULK_TIER="ALL")+(BULK_TIER=$F244))*((BULK_SKU="ALL")+(BULK_SKU=$G244))*(BULK_START&lt;=4)*(BULK_END&gt;=4)))),0),ROUND((INDEX(VELOCITY_TABLE,MATCH($F244,TIER_LIST,0),3))*(IF((4-$I244+1)&lt;=0,0,IF((4-$I244+1)=1,RAMP_W1,IF((4-$I244+1)=2,RAMP_W2,IF((4-$I244+1)=3,RAMP_W3,RAMP_W4PLUS)))))*(INDEX(ACTIVE_MULT_TABLE,3,1))*(1+SUMPRODUCT(SIGN(((ACT_DOOR_SCOPE="ALL")+(ACT_DOOR_SCOPE="TIER_"&amp;$F244)+(ACT_DOOR_SCOPE=$B244)))*SIGN(((ACT_SKU_SCOPE="ALL")+(ACT_SKU_SCOPE=$G244)))*(ACT_START&lt;=4)*(ACT_END&gt;=4)*IFERROR(ACT_UPLIFT-1,0)))*(1+SUMPRODUCT(SIGN(((ACT_DOOR_SCOPE="ALL")+(ACT_DOOR_SCOPE="TIER_"&amp;$F244)+(ACT_DOOR_SCOPE=$B244)))*SIGN(((ACT_SKU_SCOPE="ALL")+(ACT_SKU_SCOPE=$G244)))*(4&gt;ACT_END)*(ACT_END&gt;0)*IFERROR(ACT_POSTLIFT,0))),0)))</f>
        <v/>
      </c>
      <c r="N244" s="10">
        <f>IF(OR($H244&lt;&gt;"Y",5&lt;$I244),0,IF(SUMPRODUCT(((BULK_ENABLED="Y")*((BULK_TIER="ALL")+(BULK_TIER=$F244))*((BULK_SKU="ALL")+(BULK_SKU=$G244))*(BULK_START&lt;=5)*(BULK_END&gt;=5)))&gt;0,IFERROR(SUMPRODUCT(((BULK_ENABLED="Y")*((BULK_TIER="ALL")+(BULK_TIER=$F244))*((BULK_SKU="ALL")+(BULK_SKU=$G244))*(BULK_START&lt;=5)*(BULK_END&gt;=5))*IFERROR(BULK_VALUE,0))/MAX(1,SUMPRODUCT(((BULK_ENABLED="Y")*((BULK_TIER="ALL")+(BULK_TIER=$F244))*((BULK_SKU="ALL")+(BULK_SKU=$G244))*(BULK_START&lt;=5)*(BULK_END&gt;=5)))),0),ROUND((INDEX(VELOCITY_TABLE,MATCH($F244,TIER_LIST,0),3))*(IF((5-$I244+1)&lt;=0,0,IF((5-$I244+1)=1,RAMP_W1,IF((5-$I244+1)=2,RAMP_W2,IF((5-$I244+1)=3,RAMP_W3,RAMP_W4PLUS)))))*(INDEX(ACTIVE_MULT_TABLE,3,1))*(1+SUMPRODUCT(SIGN(((ACT_DOOR_SCOPE="ALL")+(ACT_DOOR_SCOPE="TIER_"&amp;$F244)+(ACT_DOOR_SCOPE=$B244)))*SIGN(((ACT_SKU_SCOPE="ALL")+(ACT_SKU_SCOPE=$G244)))*(ACT_START&lt;=5)*(ACT_END&gt;=5)*IFERROR(ACT_UPLIFT-1,0)))*(1+SUMPRODUCT(SIGN(((ACT_DOOR_SCOPE="ALL")+(ACT_DOOR_SCOPE="TIER_"&amp;$F244)+(ACT_DOOR_SCOPE=$B244)))*SIGN(((ACT_SKU_SCOPE="ALL")+(ACT_SKU_SCOPE=$G244)))*(5&gt;ACT_END)*(ACT_END&gt;0)*IFERROR(ACT_POSTLIFT,0))),0)))</f>
        <v/>
      </c>
      <c r="O244" s="10">
        <f>IF(OR($H244&lt;&gt;"Y",6&lt;$I244),0,IF(SUMPRODUCT(((BULK_ENABLED="Y")*((BULK_TIER="ALL")+(BULK_TIER=$F244))*((BULK_SKU="ALL")+(BULK_SKU=$G244))*(BULK_START&lt;=6)*(BULK_END&gt;=6)))&gt;0,IFERROR(SUMPRODUCT(((BULK_ENABLED="Y")*((BULK_TIER="ALL")+(BULK_TIER=$F244))*((BULK_SKU="ALL")+(BULK_SKU=$G244))*(BULK_START&lt;=6)*(BULK_END&gt;=6))*IFERROR(BULK_VALUE,0))/MAX(1,SUMPRODUCT(((BULK_ENABLED="Y")*((BULK_TIER="ALL")+(BULK_TIER=$F244))*((BULK_SKU="ALL")+(BULK_SKU=$G244))*(BULK_START&lt;=6)*(BULK_END&gt;=6)))),0),ROUND((INDEX(VELOCITY_TABLE,MATCH($F244,TIER_LIST,0),3))*(IF((6-$I244+1)&lt;=0,0,IF((6-$I244+1)=1,RAMP_W1,IF((6-$I244+1)=2,RAMP_W2,IF((6-$I244+1)=3,RAMP_W3,RAMP_W4PLUS)))))*(INDEX(ACTIVE_MULT_TABLE,3,1))*(1+SUMPRODUCT(SIGN(((ACT_DOOR_SCOPE="ALL")+(ACT_DOOR_SCOPE="TIER_"&amp;$F244)+(ACT_DOOR_SCOPE=$B244)))*SIGN(((ACT_SKU_SCOPE="ALL")+(ACT_SKU_SCOPE=$G244)))*(ACT_START&lt;=6)*(ACT_END&gt;=6)*IFERROR(ACT_UPLIFT-1,0)))*(1+SUMPRODUCT(SIGN(((ACT_DOOR_SCOPE="ALL")+(ACT_DOOR_SCOPE="TIER_"&amp;$F244)+(ACT_DOOR_SCOPE=$B244)))*SIGN(((ACT_SKU_SCOPE="ALL")+(ACT_SKU_SCOPE=$G244)))*(6&gt;ACT_END)*(ACT_END&gt;0)*IFERROR(ACT_POSTLIFT,0))),0)))</f>
        <v/>
      </c>
      <c r="P244" s="10">
        <f>IF(OR($H244&lt;&gt;"Y",7&lt;$I244),0,IF(SUMPRODUCT(((BULK_ENABLED="Y")*((BULK_TIER="ALL")+(BULK_TIER=$F244))*((BULK_SKU="ALL")+(BULK_SKU=$G244))*(BULK_START&lt;=7)*(BULK_END&gt;=7)))&gt;0,IFERROR(SUMPRODUCT(((BULK_ENABLED="Y")*((BULK_TIER="ALL")+(BULK_TIER=$F244))*((BULK_SKU="ALL")+(BULK_SKU=$G244))*(BULK_START&lt;=7)*(BULK_END&gt;=7))*IFERROR(BULK_VALUE,0))/MAX(1,SUMPRODUCT(((BULK_ENABLED="Y")*((BULK_TIER="ALL")+(BULK_TIER=$F244))*((BULK_SKU="ALL")+(BULK_SKU=$G244))*(BULK_START&lt;=7)*(BULK_END&gt;=7)))),0),ROUND((INDEX(VELOCITY_TABLE,MATCH($F244,TIER_LIST,0),3))*(IF((7-$I244+1)&lt;=0,0,IF((7-$I244+1)=1,RAMP_W1,IF((7-$I244+1)=2,RAMP_W2,IF((7-$I244+1)=3,RAMP_W3,RAMP_W4PLUS)))))*(INDEX(ACTIVE_MULT_TABLE,3,1))*(1+SUMPRODUCT(SIGN(((ACT_DOOR_SCOPE="ALL")+(ACT_DOOR_SCOPE="TIER_"&amp;$F244)+(ACT_DOOR_SCOPE=$B244)))*SIGN(((ACT_SKU_SCOPE="ALL")+(ACT_SKU_SCOPE=$G244)))*(ACT_START&lt;=7)*(ACT_END&gt;=7)*IFERROR(ACT_UPLIFT-1,0)))*(1+SUMPRODUCT(SIGN(((ACT_DOOR_SCOPE="ALL")+(ACT_DOOR_SCOPE="TIER_"&amp;$F244)+(ACT_DOOR_SCOPE=$B244)))*SIGN(((ACT_SKU_SCOPE="ALL")+(ACT_SKU_SCOPE=$G244)))*(7&gt;ACT_END)*(ACT_END&gt;0)*IFERROR(ACT_POSTLIFT,0))),0)))</f>
        <v/>
      </c>
      <c r="Q244" s="10">
        <f>IF(OR($H244&lt;&gt;"Y",8&lt;$I244),0,IF(SUMPRODUCT(((BULK_ENABLED="Y")*((BULK_TIER="ALL")+(BULK_TIER=$F244))*((BULK_SKU="ALL")+(BULK_SKU=$G244))*(BULK_START&lt;=8)*(BULK_END&gt;=8)))&gt;0,IFERROR(SUMPRODUCT(((BULK_ENABLED="Y")*((BULK_TIER="ALL")+(BULK_TIER=$F244))*((BULK_SKU="ALL")+(BULK_SKU=$G244))*(BULK_START&lt;=8)*(BULK_END&gt;=8))*IFERROR(BULK_VALUE,0))/MAX(1,SUMPRODUCT(((BULK_ENABLED="Y")*((BULK_TIER="ALL")+(BULK_TIER=$F244))*((BULK_SKU="ALL")+(BULK_SKU=$G244))*(BULK_START&lt;=8)*(BULK_END&gt;=8)))),0),ROUND((INDEX(VELOCITY_TABLE,MATCH($F244,TIER_LIST,0),3))*(IF((8-$I244+1)&lt;=0,0,IF((8-$I244+1)=1,RAMP_W1,IF((8-$I244+1)=2,RAMP_W2,IF((8-$I244+1)=3,RAMP_W3,RAMP_W4PLUS)))))*(INDEX(ACTIVE_MULT_TABLE,3,1))*(1+SUMPRODUCT(SIGN(((ACT_DOOR_SCOPE="ALL")+(ACT_DOOR_SCOPE="TIER_"&amp;$F244)+(ACT_DOOR_SCOPE=$B244)))*SIGN(((ACT_SKU_SCOPE="ALL")+(ACT_SKU_SCOPE=$G244)))*(ACT_START&lt;=8)*(ACT_END&gt;=8)*IFERROR(ACT_UPLIFT-1,0)))*(1+SUMPRODUCT(SIGN(((ACT_DOOR_SCOPE="ALL")+(ACT_DOOR_SCOPE="TIER_"&amp;$F244)+(ACT_DOOR_SCOPE=$B244)))*SIGN(((ACT_SKU_SCOPE="ALL")+(ACT_SKU_SCOPE=$G244)))*(8&gt;ACT_END)*(ACT_END&gt;0)*IFERROR(ACT_POSTLIFT,0))),0)))</f>
        <v/>
      </c>
      <c r="R244" s="10">
        <f>IF(OR($H244&lt;&gt;"Y",9&lt;$I244),0,IF(SUMPRODUCT(((BULK_ENABLED="Y")*((BULK_TIER="ALL")+(BULK_TIER=$F244))*((BULK_SKU="ALL")+(BULK_SKU=$G244))*(BULK_START&lt;=9)*(BULK_END&gt;=9)))&gt;0,IFERROR(SUMPRODUCT(((BULK_ENABLED="Y")*((BULK_TIER="ALL")+(BULK_TIER=$F244))*((BULK_SKU="ALL")+(BULK_SKU=$G244))*(BULK_START&lt;=9)*(BULK_END&gt;=9))*IFERROR(BULK_VALUE,0))/MAX(1,SUMPRODUCT(((BULK_ENABLED="Y")*((BULK_TIER="ALL")+(BULK_TIER=$F244))*((BULK_SKU="ALL")+(BULK_SKU=$G244))*(BULK_START&lt;=9)*(BULK_END&gt;=9)))),0),ROUND((INDEX(VELOCITY_TABLE,MATCH($F244,TIER_LIST,0),3))*(IF((9-$I244+1)&lt;=0,0,IF((9-$I244+1)=1,RAMP_W1,IF((9-$I244+1)=2,RAMP_W2,IF((9-$I244+1)=3,RAMP_W3,RAMP_W4PLUS)))))*(INDEX(ACTIVE_MULT_TABLE,3,1))*(1+SUMPRODUCT(SIGN(((ACT_DOOR_SCOPE="ALL")+(ACT_DOOR_SCOPE="TIER_"&amp;$F244)+(ACT_DOOR_SCOPE=$B244)))*SIGN(((ACT_SKU_SCOPE="ALL")+(ACT_SKU_SCOPE=$G244)))*(ACT_START&lt;=9)*(ACT_END&gt;=9)*IFERROR(ACT_UPLIFT-1,0)))*(1+SUMPRODUCT(SIGN(((ACT_DOOR_SCOPE="ALL")+(ACT_DOOR_SCOPE="TIER_"&amp;$F244)+(ACT_DOOR_SCOPE=$B244)))*SIGN(((ACT_SKU_SCOPE="ALL")+(ACT_SKU_SCOPE=$G244)))*(9&gt;ACT_END)*(ACT_END&gt;0)*IFERROR(ACT_POSTLIFT,0))),0)))</f>
        <v/>
      </c>
      <c r="S244" s="10">
        <f>IF(OR($H244&lt;&gt;"Y",10&lt;$I244),0,IF(SUMPRODUCT(((BULK_ENABLED="Y")*((BULK_TIER="ALL")+(BULK_TIER=$F244))*((BULK_SKU="ALL")+(BULK_SKU=$G244))*(BULK_START&lt;=10)*(BULK_END&gt;=10)))&gt;0,IFERROR(SUMPRODUCT(((BULK_ENABLED="Y")*((BULK_TIER="ALL")+(BULK_TIER=$F244))*((BULK_SKU="ALL")+(BULK_SKU=$G244))*(BULK_START&lt;=10)*(BULK_END&gt;=10))*IFERROR(BULK_VALUE,0))/MAX(1,SUMPRODUCT(((BULK_ENABLED="Y")*((BULK_TIER="ALL")+(BULK_TIER=$F244))*((BULK_SKU="ALL")+(BULK_SKU=$G244))*(BULK_START&lt;=10)*(BULK_END&gt;=10)))),0),ROUND((INDEX(VELOCITY_TABLE,MATCH($F244,TIER_LIST,0),3))*(IF((10-$I244+1)&lt;=0,0,IF((10-$I244+1)=1,RAMP_W1,IF((10-$I244+1)=2,RAMP_W2,IF((10-$I244+1)=3,RAMP_W3,RAMP_W4PLUS)))))*(INDEX(ACTIVE_MULT_TABLE,3,1))*(1+SUMPRODUCT(SIGN(((ACT_DOOR_SCOPE="ALL")+(ACT_DOOR_SCOPE="TIER_"&amp;$F244)+(ACT_DOOR_SCOPE=$B244)))*SIGN(((ACT_SKU_SCOPE="ALL")+(ACT_SKU_SCOPE=$G244)))*(ACT_START&lt;=10)*(ACT_END&gt;=10)*IFERROR(ACT_UPLIFT-1,0)))*(1+SUMPRODUCT(SIGN(((ACT_DOOR_SCOPE="ALL")+(ACT_DOOR_SCOPE="TIER_"&amp;$F244)+(ACT_DOOR_SCOPE=$B244)))*SIGN(((ACT_SKU_SCOPE="ALL")+(ACT_SKU_SCOPE=$G244)))*(10&gt;ACT_END)*(ACT_END&gt;0)*IFERROR(ACT_POSTLIFT,0))),0)))</f>
        <v/>
      </c>
      <c r="T244" s="10">
        <f>IF(OR($H244&lt;&gt;"Y",11&lt;$I244),0,IF(SUMPRODUCT(((BULK_ENABLED="Y")*((BULK_TIER="ALL")+(BULK_TIER=$F244))*((BULK_SKU="ALL")+(BULK_SKU=$G244))*(BULK_START&lt;=11)*(BULK_END&gt;=11)))&gt;0,IFERROR(SUMPRODUCT(((BULK_ENABLED="Y")*((BULK_TIER="ALL")+(BULK_TIER=$F244))*((BULK_SKU="ALL")+(BULK_SKU=$G244))*(BULK_START&lt;=11)*(BULK_END&gt;=11))*IFERROR(BULK_VALUE,0))/MAX(1,SUMPRODUCT(((BULK_ENABLED="Y")*((BULK_TIER="ALL")+(BULK_TIER=$F244))*((BULK_SKU="ALL")+(BULK_SKU=$G244))*(BULK_START&lt;=11)*(BULK_END&gt;=11)))),0),ROUND((INDEX(VELOCITY_TABLE,MATCH($F244,TIER_LIST,0),3))*(IF((11-$I244+1)&lt;=0,0,IF((11-$I244+1)=1,RAMP_W1,IF((11-$I244+1)=2,RAMP_W2,IF((11-$I244+1)=3,RAMP_W3,RAMP_W4PLUS)))))*(INDEX(ACTIVE_MULT_TABLE,3,1))*(1+SUMPRODUCT(SIGN(((ACT_DOOR_SCOPE="ALL")+(ACT_DOOR_SCOPE="TIER_"&amp;$F244)+(ACT_DOOR_SCOPE=$B244)))*SIGN(((ACT_SKU_SCOPE="ALL")+(ACT_SKU_SCOPE=$G244)))*(ACT_START&lt;=11)*(ACT_END&gt;=11)*IFERROR(ACT_UPLIFT-1,0)))*(1+SUMPRODUCT(SIGN(((ACT_DOOR_SCOPE="ALL")+(ACT_DOOR_SCOPE="TIER_"&amp;$F244)+(ACT_DOOR_SCOPE=$B244)))*SIGN(((ACT_SKU_SCOPE="ALL")+(ACT_SKU_SCOPE=$G244)))*(11&gt;ACT_END)*(ACT_END&gt;0)*IFERROR(ACT_POSTLIFT,0))),0)))</f>
        <v/>
      </c>
      <c r="U244" s="10">
        <f>IF(OR($H244&lt;&gt;"Y",12&lt;$I244),0,IF(SUMPRODUCT(((BULK_ENABLED="Y")*((BULK_TIER="ALL")+(BULK_TIER=$F244))*((BULK_SKU="ALL")+(BULK_SKU=$G244))*(BULK_START&lt;=12)*(BULK_END&gt;=12)))&gt;0,IFERROR(SUMPRODUCT(((BULK_ENABLED="Y")*((BULK_TIER="ALL")+(BULK_TIER=$F244))*((BULK_SKU="ALL")+(BULK_SKU=$G244))*(BULK_START&lt;=12)*(BULK_END&gt;=12))*IFERROR(BULK_VALUE,0))/MAX(1,SUMPRODUCT(((BULK_ENABLED="Y")*((BULK_TIER="ALL")+(BULK_TIER=$F244))*((BULK_SKU="ALL")+(BULK_SKU=$G244))*(BULK_START&lt;=12)*(BULK_END&gt;=12)))),0),ROUND((INDEX(VELOCITY_TABLE,MATCH($F244,TIER_LIST,0),3))*(IF((12-$I244+1)&lt;=0,0,IF((12-$I244+1)=1,RAMP_W1,IF((12-$I244+1)=2,RAMP_W2,IF((12-$I244+1)=3,RAMP_W3,RAMP_W4PLUS)))))*(INDEX(ACTIVE_MULT_TABLE,3,1))*(1+SUMPRODUCT(SIGN(((ACT_DOOR_SCOPE="ALL")+(ACT_DOOR_SCOPE="TIER_"&amp;$F244)+(ACT_DOOR_SCOPE=$B244)))*SIGN(((ACT_SKU_SCOPE="ALL")+(ACT_SKU_SCOPE=$G244)))*(ACT_START&lt;=12)*(ACT_END&gt;=12)*IFERROR(ACT_UPLIFT-1,0)))*(1+SUMPRODUCT(SIGN(((ACT_DOOR_SCOPE="ALL")+(ACT_DOOR_SCOPE="TIER_"&amp;$F244)+(ACT_DOOR_SCOPE=$B244)))*SIGN(((ACT_SKU_SCOPE="ALL")+(ACT_SKU_SCOPE=$G244)))*(12&gt;ACT_END)*(ACT_END&gt;0)*IFERROR(ACT_POSTLIFT,0))),0)))</f>
        <v/>
      </c>
      <c r="V244" s="10">
        <f>IF(OR($H244&lt;&gt;"Y",13&lt;$I244),0,IF(SUMPRODUCT(((BULK_ENABLED="Y")*((BULK_TIER="ALL")+(BULK_TIER=$F244))*((BULK_SKU="ALL")+(BULK_SKU=$G244))*(BULK_START&lt;=13)*(BULK_END&gt;=13)))&gt;0,IFERROR(SUMPRODUCT(((BULK_ENABLED="Y")*((BULK_TIER="ALL")+(BULK_TIER=$F244))*((BULK_SKU="ALL")+(BULK_SKU=$G244))*(BULK_START&lt;=13)*(BULK_END&gt;=13))*IFERROR(BULK_VALUE,0))/MAX(1,SUMPRODUCT(((BULK_ENABLED="Y")*((BULK_TIER="ALL")+(BULK_TIER=$F244))*((BULK_SKU="ALL")+(BULK_SKU=$G244))*(BULK_START&lt;=13)*(BULK_END&gt;=13)))),0),ROUND((INDEX(VELOCITY_TABLE,MATCH($F244,TIER_LIST,0),3))*(IF((13-$I244+1)&lt;=0,0,IF((13-$I244+1)=1,RAMP_W1,IF((13-$I244+1)=2,RAMP_W2,IF((13-$I244+1)=3,RAMP_W3,RAMP_W4PLUS)))))*(INDEX(ACTIVE_MULT_TABLE,3,1))*(1+SUMPRODUCT(SIGN(((ACT_DOOR_SCOPE="ALL")+(ACT_DOOR_SCOPE="TIER_"&amp;$F244)+(ACT_DOOR_SCOPE=$B244)))*SIGN(((ACT_SKU_SCOPE="ALL")+(ACT_SKU_SCOPE=$G244)))*(ACT_START&lt;=13)*(ACT_END&gt;=13)*IFERROR(ACT_UPLIFT-1,0)))*(1+SUMPRODUCT(SIGN(((ACT_DOOR_SCOPE="ALL")+(ACT_DOOR_SCOPE="TIER_"&amp;$F244)+(ACT_DOOR_SCOPE=$B244)))*SIGN(((ACT_SKU_SCOPE="ALL")+(ACT_SKU_SCOPE=$G244)))*(13&gt;ACT_END)*(ACT_END&gt;0)*IFERROR(ACT_POSTLIFT,0))),0)))</f>
        <v/>
      </c>
    </row>
    <row r="245">
      <c r="A245" t="inlineStr">
        <is>
          <t>R0241</t>
        </is>
      </c>
      <c r="B245">
        <f>Doors!$A$85</f>
        <v/>
      </c>
      <c r="C245">
        <f>Doors!$C$85</f>
        <v/>
      </c>
      <c r="D245">
        <f>Doors!$B$85</f>
        <v/>
      </c>
      <c r="E245">
        <f>Doors!$E$85</f>
        <v/>
      </c>
      <c r="F245">
        <f>Doors!$F$85</f>
        <v/>
      </c>
      <c r="G245" t="inlineStr">
        <is>
          <t>Lime Lemon</t>
        </is>
      </c>
      <c r="H245">
        <f>Doors!$G$85</f>
        <v/>
      </c>
      <c r="I245">
        <f>Doors!$J$85</f>
        <v/>
      </c>
      <c r="J245" s="10">
        <f>IF(OR($H245&lt;&gt;"Y",1&lt;$I245),0,IF(SUMPRODUCT(((BULK_ENABLED="Y")*((BULK_TIER="ALL")+(BULK_TIER=$F245))*((BULK_SKU="ALL")+(BULK_SKU=$G245))*(BULK_START&lt;=1)*(BULK_END&gt;=1)))&gt;0,IFERROR(SUMPRODUCT(((BULK_ENABLED="Y")*((BULK_TIER="ALL")+(BULK_TIER=$F245))*((BULK_SKU="ALL")+(BULK_SKU=$G245))*(BULK_START&lt;=1)*(BULK_END&gt;=1))*IFERROR(BULK_VALUE,0))/MAX(1,SUMPRODUCT(((BULK_ENABLED="Y")*((BULK_TIER="ALL")+(BULK_TIER=$F245))*((BULK_SKU="ALL")+(BULK_SKU=$G245))*(BULK_START&lt;=1)*(BULK_END&gt;=1)))),0),ROUND((INDEX(VELOCITY_TABLE,MATCH($F245,TIER_LIST,0),1))*(IF((1-$I245+1)&lt;=0,0,IF((1-$I245+1)=1,RAMP_W1,IF((1-$I245+1)=2,RAMP_W2,IF((1-$I245+1)=3,RAMP_W3,RAMP_W4PLUS)))))*(INDEX(ACTIVE_MULT_TABLE,1,1))*(1+SUMPRODUCT(SIGN(((ACT_DOOR_SCOPE="ALL")+(ACT_DOOR_SCOPE="TIER_"&amp;$F245)+(ACT_DOOR_SCOPE=$B245)))*SIGN(((ACT_SKU_SCOPE="ALL")+(ACT_SKU_SCOPE=$G245)))*(ACT_START&lt;=1)*(ACT_END&gt;=1)*IFERROR(ACT_UPLIFT-1,0)))*(1+SUMPRODUCT(SIGN(((ACT_DOOR_SCOPE="ALL")+(ACT_DOOR_SCOPE="TIER_"&amp;$F245)+(ACT_DOOR_SCOPE=$B245)))*SIGN(((ACT_SKU_SCOPE="ALL")+(ACT_SKU_SCOPE=$G245)))*(1&gt;ACT_END)*(ACT_END&gt;0)*IFERROR(ACT_POSTLIFT,0))),0)))</f>
        <v/>
      </c>
      <c r="K245" s="10">
        <f>IF(OR($H245&lt;&gt;"Y",2&lt;$I245),0,IF(SUMPRODUCT(((BULK_ENABLED="Y")*((BULK_TIER="ALL")+(BULK_TIER=$F245))*((BULK_SKU="ALL")+(BULK_SKU=$G245))*(BULK_START&lt;=2)*(BULK_END&gt;=2)))&gt;0,IFERROR(SUMPRODUCT(((BULK_ENABLED="Y")*((BULK_TIER="ALL")+(BULK_TIER=$F245))*((BULK_SKU="ALL")+(BULK_SKU=$G245))*(BULK_START&lt;=2)*(BULK_END&gt;=2))*IFERROR(BULK_VALUE,0))/MAX(1,SUMPRODUCT(((BULK_ENABLED="Y")*((BULK_TIER="ALL")+(BULK_TIER=$F245))*((BULK_SKU="ALL")+(BULK_SKU=$G245))*(BULK_START&lt;=2)*(BULK_END&gt;=2)))),0),ROUND((INDEX(VELOCITY_TABLE,MATCH($F245,TIER_LIST,0),1))*(IF((2-$I245+1)&lt;=0,0,IF((2-$I245+1)=1,RAMP_W1,IF((2-$I245+1)=2,RAMP_W2,IF((2-$I245+1)=3,RAMP_W3,RAMP_W4PLUS)))))*(INDEX(ACTIVE_MULT_TABLE,1,1))*(1+SUMPRODUCT(SIGN(((ACT_DOOR_SCOPE="ALL")+(ACT_DOOR_SCOPE="TIER_"&amp;$F245)+(ACT_DOOR_SCOPE=$B245)))*SIGN(((ACT_SKU_SCOPE="ALL")+(ACT_SKU_SCOPE=$G245)))*(ACT_START&lt;=2)*(ACT_END&gt;=2)*IFERROR(ACT_UPLIFT-1,0)))*(1+SUMPRODUCT(SIGN(((ACT_DOOR_SCOPE="ALL")+(ACT_DOOR_SCOPE="TIER_"&amp;$F245)+(ACT_DOOR_SCOPE=$B245)))*SIGN(((ACT_SKU_SCOPE="ALL")+(ACT_SKU_SCOPE=$G245)))*(2&gt;ACT_END)*(ACT_END&gt;0)*IFERROR(ACT_POSTLIFT,0))),0)))</f>
        <v/>
      </c>
      <c r="L245" s="10">
        <f>IF(OR($H245&lt;&gt;"Y",3&lt;$I245),0,IF(SUMPRODUCT(((BULK_ENABLED="Y")*((BULK_TIER="ALL")+(BULK_TIER=$F245))*((BULK_SKU="ALL")+(BULK_SKU=$G245))*(BULK_START&lt;=3)*(BULK_END&gt;=3)))&gt;0,IFERROR(SUMPRODUCT(((BULK_ENABLED="Y")*((BULK_TIER="ALL")+(BULK_TIER=$F245))*((BULK_SKU="ALL")+(BULK_SKU=$G245))*(BULK_START&lt;=3)*(BULK_END&gt;=3))*IFERROR(BULK_VALUE,0))/MAX(1,SUMPRODUCT(((BULK_ENABLED="Y")*((BULK_TIER="ALL")+(BULK_TIER=$F245))*((BULK_SKU="ALL")+(BULK_SKU=$G245))*(BULK_START&lt;=3)*(BULK_END&gt;=3)))),0),ROUND((INDEX(VELOCITY_TABLE,MATCH($F245,TIER_LIST,0),1))*(IF((3-$I245+1)&lt;=0,0,IF((3-$I245+1)=1,RAMP_W1,IF((3-$I245+1)=2,RAMP_W2,IF((3-$I245+1)=3,RAMP_W3,RAMP_W4PLUS)))))*(INDEX(ACTIVE_MULT_TABLE,1,1))*(1+SUMPRODUCT(SIGN(((ACT_DOOR_SCOPE="ALL")+(ACT_DOOR_SCOPE="TIER_"&amp;$F245)+(ACT_DOOR_SCOPE=$B245)))*SIGN(((ACT_SKU_SCOPE="ALL")+(ACT_SKU_SCOPE=$G245)))*(ACT_START&lt;=3)*(ACT_END&gt;=3)*IFERROR(ACT_UPLIFT-1,0)))*(1+SUMPRODUCT(SIGN(((ACT_DOOR_SCOPE="ALL")+(ACT_DOOR_SCOPE="TIER_"&amp;$F245)+(ACT_DOOR_SCOPE=$B245)))*SIGN(((ACT_SKU_SCOPE="ALL")+(ACT_SKU_SCOPE=$G245)))*(3&gt;ACT_END)*(ACT_END&gt;0)*IFERROR(ACT_POSTLIFT,0))),0)))</f>
        <v/>
      </c>
      <c r="M245" s="10">
        <f>IF(OR($H245&lt;&gt;"Y",4&lt;$I245),0,IF(SUMPRODUCT(((BULK_ENABLED="Y")*((BULK_TIER="ALL")+(BULK_TIER=$F245))*((BULK_SKU="ALL")+(BULK_SKU=$G245))*(BULK_START&lt;=4)*(BULK_END&gt;=4)))&gt;0,IFERROR(SUMPRODUCT(((BULK_ENABLED="Y")*((BULK_TIER="ALL")+(BULK_TIER=$F245))*((BULK_SKU="ALL")+(BULK_SKU=$G245))*(BULK_START&lt;=4)*(BULK_END&gt;=4))*IFERROR(BULK_VALUE,0))/MAX(1,SUMPRODUCT(((BULK_ENABLED="Y")*((BULK_TIER="ALL")+(BULK_TIER=$F245))*((BULK_SKU="ALL")+(BULK_SKU=$G245))*(BULK_START&lt;=4)*(BULK_END&gt;=4)))),0),ROUND((INDEX(VELOCITY_TABLE,MATCH($F245,TIER_LIST,0),1))*(IF((4-$I245+1)&lt;=0,0,IF((4-$I245+1)=1,RAMP_W1,IF((4-$I245+1)=2,RAMP_W2,IF((4-$I245+1)=3,RAMP_W3,RAMP_W4PLUS)))))*(INDEX(ACTIVE_MULT_TABLE,1,1))*(1+SUMPRODUCT(SIGN(((ACT_DOOR_SCOPE="ALL")+(ACT_DOOR_SCOPE="TIER_"&amp;$F245)+(ACT_DOOR_SCOPE=$B245)))*SIGN(((ACT_SKU_SCOPE="ALL")+(ACT_SKU_SCOPE=$G245)))*(ACT_START&lt;=4)*(ACT_END&gt;=4)*IFERROR(ACT_UPLIFT-1,0)))*(1+SUMPRODUCT(SIGN(((ACT_DOOR_SCOPE="ALL")+(ACT_DOOR_SCOPE="TIER_"&amp;$F245)+(ACT_DOOR_SCOPE=$B245)))*SIGN(((ACT_SKU_SCOPE="ALL")+(ACT_SKU_SCOPE=$G245)))*(4&gt;ACT_END)*(ACT_END&gt;0)*IFERROR(ACT_POSTLIFT,0))),0)))</f>
        <v/>
      </c>
      <c r="N245" s="10">
        <f>IF(OR($H245&lt;&gt;"Y",5&lt;$I245),0,IF(SUMPRODUCT(((BULK_ENABLED="Y")*((BULK_TIER="ALL")+(BULK_TIER=$F245))*((BULK_SKU="ALL")+(BULK_SKU=$G245))*(BULK_START&lt;=5)*(BULK_END&gt;=5)))&gt;0,IFERROR(SUMPRODUCT(((BULK_ENABLED="Y")*((BULK_TIER="ALL")+(BULK_TIER=$F245))*((BULK_SKU="ALL")+(BULK_SKU=$G245))*(BULK_START&lt;=5)*(BULK_END&gt;=5))*IFERROR(BULK_VALUE,0))/MAX(1,SUMPRODUCT(((BULK_ENABLED="Y")*((BULK_TIER="ALL")+(BULK_TIER=$F245))*((BULK_SKU="ALL")+(BULK_SKU=$G245))*(BULK_START&lt;=5)*(BULK_END&gt;=5)))),0),ROUND((INDEX(VELOCITY_TABLE,MATCH($F245,TIER_LIST,0),1))*(IF((5-$I245+1)&lt;=0,0,IF((5-$I245+1)=1,RAMP_W1,IF((5-$I245+1)=2,RAMP_W2,IF((5-$I245+1)=3,RAMP_W3,RAMP_W4PLUS)))))*(INDEX(ACTIVE_MULT_TABLE,1,1))*(1+SUMPRODUCT(SIGN(((ACT_DOOR_SCOPE="ALL")+(ACT_DOOR_SCOPE="TIER_"&amp;$F245)+(ACT_DOOR_SCOPE=$B245)))*SIGN(((ACT_SKU_SCOPE="ALL")+(ACT_SKU_SCOPE=$G245)))*(ACT_START&lt;=5)*(ACT_END&gt;=5)*IFERROR(ACT_UPLIFT-1,0)))*(1+SUMPRODUCT(SIGN(((ACT_DOOR_SCOPE="ALL")+(ACT_DOOR_SCOPE="TIER_"&amp;$F245)+(ACT_DOOR_SCOPE=$B245)))*SIGN(((ACT_SKU_SCOPE="ALL")+(ACT_SKU_SCOPE=$G245)))*(5&gt;ACT_END)*(ACT_END&gt;0)*IFERROR(ACT_POSTLIFT,0))),0)))</f>
        <v/>
      </c>
      <c r="O245" s="10">
        <f>IF(OR($H245&lt;&gt;"Y",6&lt;$I245),0,IF(SUMPRODUCT(((BULK_ENABLED="Y")*((BULK_TIER="ALL")+(BULK_TIER=$F245))*((BULK_SKU="ALL")+(BULK_SKU=$G245))*(BULK_START&lt;=6)*(BULK_END&gt;=6)))&gt;0,IFERROR(SUMPRODUCT(((BULK_ENABLED="Y")*((BULK_TIER="ALL")+(BULK_TIER=$F245))*((BULK_SKU="ALL")+(BULK_SKU=$G245))*(BULK_START&lt;=6)*(BULK_END&gt;=6))*IFERROR(BULK_VALUE,0))/MAX(1,SUMPRODUCT(((BULK_ENABLED="Y")*((BULK_TIER="ALL")+(BULK_TIER=$F245))*((BULK_SKU="ALL")+(BULK_SKU=$G245))*(BULK_START&lt;=6)*(BULK_END&gt;=6)))),0),ROUND((INDEX(VELOCITY_TABLE,MATCH($F245,TIER_LIST,0),1))*(IF((6-$I245+1)&lt;=0,0,IF((6-$I245+1)=1,RAMP_W1,IF((6-$I245+1)=2,RAMP_W2,IF((6-$I245+1)=3,RAMP_W3,RAMP_W4PLUS)))))*(INDEX(ACTIVE_MULT_TABLE,1,1))*(1+SUMPRODUCT(SIGN(((ACT_DOOR_SCOPE="ALL")+(ACT_DOOR_SCOPE="TIER_"&amp;$F245)+(ACT_DOOR_SCOPE=$B245)))*SIGN(((ACT_SKU_SCOPE="ALL")+(ACT_SKU_SCOPE=$G245)))*(ACT_START&lt;=6)*(ACT_END&gt;=6)*IFERROR(ACT_UPLIFT-1,0)))*(1+SUMPRODUCT(SIGN(((ACT_DOOR_SCOPE="ALL")+(ACT_DOOR_SCOPE="TIER_"&amp;$F245)+(ACT_DOOR_SCOPE=$B245)))*SIGN(((ACT_SKU_SCOPE="ALL")+(ACT_SKU_SCOPE=$G245)))*(6&gt;ACT_END)*(ACT_END&gt;0)*IFERROR(ACT_POSTLIFT,0))),0)))</f>
        <v/>
      </c>
      <c r="P245" s="10">
        <f>IF(OR($H245&lt;&gt;"Y",7&lt;$I245),0,IF(SUMPRODUCT(((BULK_ENABLED="Y")*((BULK_TIER="ALL")+(BULK_TIER=$F245))*((BULK_SKU="ALL")+(BULK_SKU=$G245))*(BULK_START&lt;=7)*(BULK_END&gt;=7)))&gt;0,IFERROR(SUMPRODUCT(((BULK_ENABLED="Y")*((BULK_TIER="ALL")+(BULK_TIER=$F245))*((BULK_SKU="ALL")+(BULK_SKU=$G245))*(BULK_START&lt;=7)*(BULK_END&gt;=7))*IFERROR(BULK_VALUE,0))/MAX(1,SUMPRODUCT(((BULK_ENABLED="Y")*((BULK_TIER="ALL")+(BULK_TIER=$F245))*((BULK_SKU="ALL")+(BULK_SKU=$G245))*(BULK_START&lt;=7)*(BULK_END&gt;=7)))),0),ROUND((INDEX(VELOCITY_TABLE,MATCH($F245,TIER_LIST,0),1))*(IF((7-$I245+1)&lt;=0,0,IF((7-$I245+1)=1,RAMP_W1,IF((7-$I245+1)=2,RAMP_W2,IF((7-$I245+1)=3,RAMP_W3,RAMP_W4PLUS)))))*(INDEX(ACTIVE_MULT_TABLE,1,1))*(1+SUMPRODUCT(SIGN(((ACT_DOOR_SCOPE="ALL")+(ACT_DOOR_SCOPE="TIER_"&amp;$F245)+(ACT_DOOR_SCOPE=$B245)))*SIGN(((ACT_SKU_SCOPE="ALL")+(ACT_SKU_SCOPE=$G245)))*(ACT_START&lt;=7)*(ACT_END&gt;=7)*IFERROR(ACT_UPLIFT-1,0)))*(1+SUMPRODUCT(SIGN(((ACT_DOOR_SCOPE="ALL")+(ACT_DOOR_SCOPE="TIER_"&amp;$F245)+(ACT_DOOR_SCOPE=$B245)))*SIGN(((ACT_SKU_SCOPE="ALL")+(ACT_SKU_SCOPE=$G245)))*(7&gt;ACT_END)*(ACT_END&gt;0)*IFERROR(ACT_POSTLIFT,0))),0)))</f>
        <v/>
      </c>
      <c r="Q245" s="10">
        <f>IF(OR($H245&lt;&gt;"Y",8&lt;$I245),0,IF(SUMPRODUCT(((BULK_ENABLED="Y")*((BULK_TIER="ALL")+(BULK_TIER=$F245))*((BULK_SKU="ALL")+(BULK_SKU=$G245))*(BULK_START&lt;=8)*(BULK_END&gt;=8)))&gt;0,IFERROR(SUMPRODUCT(((BULK_ENABLED="Y")*((BULK_TIER="ALL")+(BULK_TIER=$F245))*((BULK_SKU="ALL")+(BULK_SKU=$G245))*(BULK_START&lt;=8)*(BULK_END&gt;=8))*IFERROR(BULK_VALUE,0))/MAX(1,SUMPRODUCT(((BULK_ENABLED="Y")*((BULK_TIER="ALL")+(BULK_TIER=$F245))*((BULK_SKU="ALL")+(BULK_SKU=$G245))*(BULK_START&lt;=8)*(BULK_END&gt;=8)))),0),ROUND((INDEX(VELOCITY_TABLE,MATCH($F245,TIER_LIST,0),1))*(IF((8-$I245+1)&lt;=0,0,IF((8-$I245+1)=1,RAMP_W1,IF((8-$I245+1)=2,RAMP_W2,IF((8-$I245+1)=3,RAMP_W3,RAMP_W4PLUS)))))*(INDEX(ACTIVE_MULT_TABLE,1,1))*(1+SUMPRODUCT(SIGN(((ACT_DOOR_SCOPE="ALL")+(ACT_DOOR_SCOPE="TIER_"&amp;$F245)+(ACT_DOOR_SCOPE=$B245)))*SIGN(((ACT_SKU_SCOPE="ALL")+(ACT_SKU_SCOPE=$G245)))*(ACT_START&lt;=8)*(ACT_END&gt;=8)*IFERROR(ACT_UPLIFT-1,0)))*(1+SUMPRODUCT(SIGN(((ACT_DOOR_SCOPE="ALL")+(ACT_DOOR_SCOPE="TIER_"&amp;$F245)+(ACT_DOOR_SCOPE=$B245)))*SIGN(((ACT_SKU_SCOPE="ALL")+(ACT_SKU_SCOPE=$G245)))*(8&gt;ACT_END)*(ACT_END&gt;0)*IFERROR(ACT_POSTLIFT,0))),0)))</f>
        <v/>
      </c>
      <c r="R245" s="10">
        <f>IF(OR($H245&lt;&gt;"Y",9&lt;$I245),0,IF(SUMPRODUCT(((BULK_ENABLED="Y")*((BULK_TIER="ALL")+(BULK_TIER=$F245))*((BULK_SKU="ALL")+(BULK_SKU=$G245))*(BULK_START&lt;=9)*(BULK_END&gt;=9)))&gt;0,IFERROR(SUMPRODUCT(((BULK_ENABLED="Y")*((BULK_TIER="ALL")+(BULK_TIER=$F245))*((BULK_SKU="ALL")+(BULK_SKU=$G245))*(BULK_START&lt;=9)*(BULK_END&gt;=9))*IFERROR(BULK_VALUE,0))/MAX(1,SUMPRODUCT(((BULK_ENABLED="Y")*((BULK_TIER="ALL")+(BULK_TIER=$F245))*((BULK_SKU="ALL")+(BULK_SKU=$G245))*(BULK_START&lt;=9)*(BULK_END&gt;=9)))),0),ROUND((INDEX(VELOCITY_TABLE,MATCH($F245,TIER_LIST,0),1))*(IF((9-$I245+1)&lt;=0,0,IF((9-$I245+1)=1,RAMP_W1,IF((9-$I245+1)=2,RAMP_W2,IF((9-$I245+1)=3,RAMP_W3,RAMP_W4PLUS)))))*(INDEX(ACTIVE_MULT_TABLE,1,1))*(1+SUMPRODUCT(SIGN(((ACT_DOOR_SCOPE="ALL")+(ACT_DOOR_SCOPE="TIER_"&amp;$F245)+(ACT_DOOR_SCOPE=$B245)))*SIGN(((ACT_SKU_SCOPE="ALL")+(ACT_SKU_SCOPE=$G245)))*(ACT_START&lt;=9)*(ACT_END&gt;=9)*IFERROR(ACT_UPLIFT-1,0)))*(1+SUMPRODUCT(SIGN(((ACT_DOOR_SCOPE="ALL")+(ACT_DOOR_SCOPE="TIER_"&amp;$F245)+(ACT_DOOR_SCOPE=$B245)))*SIGN(((ACT_SKU_SCOPE="ALL")+(ACT_SKU_SCOPE=$G245)))*(9&gt;ACT_END)*(ACT_END&gt;0)*IFERROR(ACT_POSTLIFT,0))),0)))</f>
        <v/>
      </c>
      <c r="S245" s="10">
        <f>IF(OR($H245&lt;&gt;"Y",10&lt;$I245),0,IF(SUMPRODUCT(((BULK_ENABLED="Y")*((BULK_TIER="ALL")+(BULK_TIER=$F245))*((BULK_SKU="ALL")+(BULK_SKU=$G245))*(BULK_START&lt;=10)*(BULK_END&gt;=10)))&gt;0,IFERROR(SUMPRODUCT(((BULK_ENABLED="Y")*((BULK_TIER="ALL")+(BULK_TIER=$F245))*((BULK_SKU="ALL")+(BULK_SKU=$G245))*(BULK_START&lt;=10)*(BULK_END&gt;=10))*IFERROR(BULK_VALUE,0))/MAX(1,SUMPRODUCT(((BULK_ENABLED="Y")*((BULK_TIER="ALL")+(BULK_TIER=$F245))*((BULK_SKU="ALL")+(BULK_SKU=$G245))*(BULK_START&lt;=10)*(BULK_END&gt;=10)))),0),ROUND((INDEX(VELOCITY_TABLE,MATCH($F245,TIER_LIST,0),1))*(IF((10-$I245+1)&lt;=0,0,IF((10-$I245+1)=1,RAMP_W1,IF((10-$I245+1)=2,RAMP_W2,IF((10-$I245+1)=3,RAMP_W3,RAMP_W4PLUS)))))*(INDEX(ACTIVE_MULT_TABLE,1,1))*(1+SUMPRODUCT(SIGN(((ACT_DOOR_SCOPE="ALL")+(ACT_DOOR_SCOPE="TIER_"&amp;$F245)+(ACT_DOOR_SCOPE=$B245)))*SIGN(((ACT_SKU_SCOPE="ALL")+(ACT_SKU_SCOPE=$G245)))*(ACT_START&lt;=10)*(ACT_END&gt;=10)*IFERROR(ACT_UPLIFT-1,0)))*(1+SUMPRODUCT(SIGN(((ACT_DOOR_SCOPE="ALL")+(ACT_DOOR_SCOPE="TIER_"&amp;$F245)+(ACT_DOOR_SCOPE=$B245)))*SIGN(((ACT_SKU_SCOPE="ALL")+(ACT_SKU_SCOPE=$G245)))*(10&gt;ACT_END)*(ACT_END&gt;0)*IFERROR(ACT_POSTLIFT,0))),0)))</f>
        <v/>
      </c>
      <c r="T245" s="10">
        <f>IF(OR($H245&lt;&gt;"Y",11&lt;$I245),0,IF(SUMPRODUCT(((BULK_ENABLED="Y")*((BULK_TIER="ALL")+(BULK_TIER=$F245))*((BULK_SKU="ALL")+(BULK_SKU=$G245))*(BULK_START&lt;=11)*(BULK_END&gt;=11)))&gt;0,IFERROR(SUMPRODUCT(((BULK_ENABLED="Y")*((BULK_TIER="ALL")+(BULK_TIER=$F245))*((BULK_SKU="ALL")+(BULK_SKU=$G245))*(BULK_START&lt;=11)*(BULK_END&gt;=11))*IFERROR(BULK_VALUE,0))/MAX(1,SUMPRODUCT(((BULK_ENABLED="Y")*((BULK_TIER="ALL")+(BULK_TIER=$F245))*((BULK_SKU="ALL")+(BULK_SKU=$G245))*(BULK_START&lt;=11)*(BULK_END&gt;=11)))),0),ROUND((INDEX(VELOCITY_TABLE,MATCH($F245,TIER_LIST,0),1))*(IF((11-$I245+1)&lt;=0,0,IF((11-$I245+1)=1,RAMP_W1,IF((11-$I245+1)=2,RAMP_W2,IF((11-$I245+1)=3,RAMP_W3,RAMP_W4PLUS)))))*(INDEX(ACTIVE_MULT_TABLE,1,1))*(1+SUMPRODUCT(SIGN(((ACT_DOOR_SCOPE="ALL")+(ACT_DOOR_SCOPE="TIER_"&amp;$F245)+(ACT_DOOR_SCOPE=$B245)))*SIGN(((ACT_SKU_SCOPE="ALL")+(ACT_SKU_SCOPE=$G245)))*(ACT_START&lt;=11)*(ACT_END&gt;=11)*IFERROR(ACT_UPLIFT-1,0)))*(1+SUMPRODUCT(SIGN(((ACT_DOOR_SCOPE="ALL")+(ACT_DOOR_SCOPE="TIER_"&amp;$F245)+(ACT_DOOR_SCOPE=$B245)))*SIGN(((ACT_SKU_SCOPE="ALL")+(ACT_SKU_SCOPE=$G245)))*(11&gt;ACT_END)*(ACT_END&gt;0)*IFERROR(ACT_POSTLIFT,0))),0)))</f>
        <v/>
      </c>
      <c r="U245" s="10">
        <f>IF(OR($H245&lt;&gt;"Y",12&lt;$I245),0,IF(SUMPRODUCT(((BULK_ENABLED="Y")*((BULK_TIER="ALL")+(BULK_TIER=$F245))*((BULK_SKU="ALL")+(BULK_SKU=$G245))*(BULK_START&lt;=12)*(BULK_END&gt;=12)))&gt;0,IFERROR(SUMPRODUCT(((BULK_ENABLED="Y")*((BULK_TIER="ALL")+(BULK_TIER=$F245))*((BULK_SKU="ALL")+(BULK_SKU=$G245))*(BULK_START&lt;=12)*(BULK_END&gt;=12))*IFERROR(BULK_VALUE,0))/MAX(1,SUMPRODUCT(((BULK_ENABLED="Y")*((BULK_TIER="ALL")+(BULK_TIER=$F245))*((BULK_SKU="ALL")+(BULK_SKU=$G245))*(BULK_START&lt;=12)*(BULK_END&gt;=12)))),0),ROUND((INDEX(VELOCITY_TABLE,MATCH($F245,TIER_LIST,0),1))*(IF((12-$I245+1)&lt;=0,0,IF((12-$I245+1)=1,RAMP_W1,IF((12-$I245+1)=2,RAMP_W2,IF((12-$I245+1)=3,RAMP_W3,RAMP_W4PLUS)))))*(INDEX(ACTIVE_MULT_TABLE,1,1))*(1+SUMPRODUCT(SIGN(((ACT_DOOR_SCOPE="ALL")+(ACT_DOOR_SCOPE="TIER_"&amp;$F245)+(ACT_DOOR_SCOPE=$B245)))*SIGN(((ACT_SKU_SCOPE="ALL")+(ACT_SKU_SCOPE=$G245)))*(ACT_START&lt;=12)*(ACT_END&gt;=12)*IFERROR(ACT_UPLIFT-1,0)))*(1+SUMPRODUCT(SIGN(((ACT_DOOR_SCOPE="ALL")+(ACT_DOOR_SCOPE="TIER_"&amp;$F245)+(ACT_DOOR_SCOPE=$B245)))*SIGN(((ACT_SKU_SCOPE="ALL")+(ACT_SKU_SCOPE=$G245)))*(12&gt;ACT_END)*(ACT_END&gt;0)*IFERROR(ACT_POSTLIFT,0))),0)))</f>
        <v/>
      </c>
      <c r="V245" s="10">
        <f>IF(OR($H245&lt;&gt;"Y",13&lt;$I245),0,IF(SUMPRODUCT(((BULK_ENABLED="Y")*((BULK_TIER="ALL")+(BULK_TIER=$F245))*((BULK_SKU="ALL")+(BULK_SKU=$G245))*(BULK_START&lt;=13)*(BULK_END&gt;=13)))&gt;0,IFERROR(SUMPRODUCT(((BULK_ENABLED="Y")*((BULK_TIER="ALL")+(BULK_TIER=$F245))*((BULK_SKU="ALL")+(BULK_SKU=$G245))*(BULK_START&lt;=13)*(BULK_END&gt;=13))*IFERROR(BULK_VALUE,0))/MAX(1,SUMPRODUCT(((BULK_ENABLED="Y")*((BULK_TIER="ALL")+(BULK_TIER=$F245))*((BULK_SKU="ALL")+(BULK_SKU=$G245))*(BULK_START&lt;=13)*(BULK_END&gt;=13)))),0),ROUND((INDEX(VELOCITY_TABLE,MATCH($F245,TIER_LIST,0),1))*(IF((13-$I245+1)&lt;=0,0,IF((13-$I245+1)=1,RAMP_W1,IF((13-$I245+1)=2,RAMP_W2,IF((13-$I245+1)=3,RAMP_W3,RAMP_W4PLUS)))))*(INDEX(ACTIVE_MULT_TABLE,1,1))*(1+SUMPRODUCT(SIGN(((ACT_DOOR_SCOPE="ALL")+(ACT_DOOR_SCOPE="TIER_"&amp;$F245)+(ACT_DOOR_SCOPE=$B245)))*SIGN(((ACT_SKU_SCOPE="ALL")+(ACT_SKU_SCOPE=$G245)))*(ACT_START&lt;=13)*(ACT_END&gt;=13)*IFERROR(ACT_UPLIFT-1,0)))*(1+SUMPRODUCT(SIGN(((ACT_DOOR_SCOPE="ALL")+(ACT_DOOR_SCOPE="TIER_"&amp;$F245)+(ACT_DOOR_SCOPE=$B245)))*SIGN(((ACT_SKU_SCOPE="ALL")+(ACT_SKU_SCOPE=$G245)))*(13&gt;ACT_END)*(ACT_END&gt;0)*IFERROR(ACT_POSTLIFT,0))),0)))</f>
        <v/>
      </c>
    </row>
    <row r="246">
      <c r="A246" t="inlineStr">
        <is>
          <t>R0242</t>
        </is>
      </c>
      <c r="B246">
        <f>Doors!$A$85</f>
        <v/>
      </c>
      <c r="C246">
        <f>Doors!$C$85</f>
        <v/>
      </c>
      <c r="D246">
        <f>Doors!$B$85</f>
        <v/>
      </c>
      <c r="E246">
        <f>Doors!$E$85</f>
        <v/>
      </c>
      <c r="F246">
        <f>Doors!$F$85</f>
        <v/>
      </c>
      <c r="G246" t="inlineStr">
        <is>
          <t>Pineapple Passion Fruit</t>
        </is>
      </c>
      <c r="H246">
        <f>Doors!$H$85</f>
        <v/>
      </c>
      <c r="I246">
        <f>Doors!$J$85</f>
        <v/>
      </c>
      <c r="J246" s="10">
        <f>IF(OR($H246&lt;&gt;"Y",1&lt;$I246),0,IF(SUMPRODUCT(((BULK_ENABLED="Y")*((BULK_TIER="ALL")+(BULK_TIER=$F246))*((BULK_SKU="ALL")+(BULK_SKU=$G246))*(BULK_START&lt;=1)*(BULK_END&gt;=1)))&gt;0,IFERROR(SUMPRODUCT(((BULK_ENABLED="Y")*((BULK_TIER="ALL")+(BULK_TIER=$F246))*((BULK_SKU="ALL")+(BULK_SKU=$G246))*(BULK_START&lt;=1)*(BULK_END&gt;=1))*IFERROR(BULK_VALUE,0))/MAX(1,SUMPRODUCT(((BULK_ENABLED="Y")*((BULK_TIER="ALL")+(BULK_TIER=$F246))*((BULK_SKU="ALL")+(BULK_SKU=$G246))*(BULK_START&lt;=1)*(BULK_END&gt;=1)))),0),ROUND((INDEX(VELOCITY_TABLE,MATCH($F246,TIER_LIST,0),2))*(IF((1-$I246+1)&lt;=0,0,IF((1-$I246+1)=1,RAMP_W1,IF((1-$I246+1)=2,RAMP_W2,IF((1-$I246+1)=3,RAMP_W3,RAMP_W4PLUS)))))*(INDEX(ACTIVE_MULT_TABLE,2,1))*(1+SUMPRODUCT(SIGN(((ACT_DOOR_SCOPE="ALL")+(ACT_DOOR_SCOPE="TIER_"&amp;$F246)+(ACT_DOOR_SCOPE=$B246)))*SIGN(((ACT_SKU_SCOPE="ALL")+(ACT_SKU_SCOPE=$G246)))*(ACT_START&lt;=1)*(ACT_END&gt;=1)*IFERROR(ACT_UPLIFT-1,0)))*(1+SUMPRODUCT(SIGN(((ACT_DOOR_SCOPE="ALL")+(ACT_DOOR_SCOPE="TIER_"&amp;$F246)+(ACT_DOOR_SCOPE=$B246)))*SIGN(((ACT_SKU_SCOPE="ALL")+(ACT_SKU_SCOPE=$G246)))*(1&gt;ACT_END)*(ACT_END&gt;0)*IFERROR(ACT_POSTLIFT,0))),0)))</f>
        <v/>
      </c>
      <c r="K246" s="10">
        <f>IF(OR($H246&lt;&gt;"Y",2&lt;$I246),0,IF(SUMPRODUCT(((BULK_ENABLED="Y")*((BULK_TIER="ALL")+(BULK_TIER=$F246))*((BULK_SKU="ALL")+(BULK_SKU=$G246))*(BULK_START&lt;=2)*(BULK_END&gt;=2)))&gt;0,IFERROR(SUMPRODUCT(((BULK_ENABLED="Y")*((BULK_TIER="ALL")+(BULK_TIER=$F246))*((BULK_SKU="ALL")+(BULK_SKU=$G246))*(BULK_START&lt;=2)*(BULK_END&gt;=2))*IFERROR(BULK_VALUE,0))/MAX(1,SUMPRODUCT(((BULK_ENABLED="Y")*((BULK_TIER="ALL")+(BULK_TIER=$F246))*((BULK_SKU="ALL")+(BULK_SKU=$G246))*(BULK_START&lt;=2)*(BULK_END&gt;=2)))),0),ROUND((INDEX(VELOCITY_TABLE,MATCH($F246,TIER_LIST,0),2))*(IF((2-$I246+1)&lt;=0,0,IF((2-$I246+1)=1,RAMP_W1,IF((2-$I246+1)=2,RAMP_W2,IF((2-$I246+1)=3,RAMP_W3,RAMP_W4PLUS)))))*(INDEX(ACTIVE_MULT_TABLE,2,1))*(1+SUMPRODUCT(SIGN(((ACT_DOOR_SCOPE="ALL")+(ACT_DOOR_SCOPE="TIER_"&amp;$F246)+(ACT_DOOR_SCOPE=$B246)))*SIGN(((ACT_SKU_SCOPE="ALL")+(ACT_SKU_SCOPE=$G246)))*(ACT_START&lt;=2)*(ACT_END&gt;=2)*IFERROR(ACT_UPLIFT-1,0)))*(1+SUMPRODUCT(SIGN(((ACT_DOOR_SCOPE="ALL")+(ACT_DOOR_SCOPE="TIER_"&amp;$F246)+(ACT_DOOR_SCOPE=$B246)))*SIGN(((ACT_SKU_SCOPE="ALL")+(ACT_SKU_SCOPE=$G246)))*(2&gt;ACT_END)*(ACT_END&gt;0)*IFERROR(ACT_POSTLIFT,0))),0)))</f>
        <v/>
      </c>
      <c r="L246" s="10">
        <f>IF(OR($H246&lt;&gt;"Y",3&lt;$I246),0,IF(SUMPRODUCT(((BULK_ENABLED="Y")*((BULK_TIER="ALL")+(BULK_TIER=$F246))*((BULK_SKU="ALL")+(BULK_SKU=$G246))*(BULK_START&lt;=3)*(BULK_END&gt;=3)))&gt;0,IFERROR(SUMPRODUCT(((BULK_ENABLED="Y")*((BULK_TIER="ALL")+(BULK_TIER=$F246))*((BULK_SKU="ALL")+(BULK_SKU=$G246))*(BULK_START&lt;=3)*(BULK_END&gt;=3))*IFERROR(BULK_VALUE,0))/MAX(1,SUMPRODUCT(((BULK_ENABLED="Y")*((BULK_TIER="ALL")+(BULK_TIER=$F246))*((BULK_SKU="ALL")+(BULK_SKU=$G246))*(BULK_START&lt;=3)*(BULK_END&gt;=3)))),0),ROUND((INDEX(VELOCITY_TABLE,MATCH($F246,TIER_LIST,0),2))*(IF((3-$I246+1)&lt;=0,0,IF((3-$I246+1)=1,RAMP_W1,IF((3-$I246+1)=2,RAMP_W2,IF((3-$I246+1)=3,RAMP_W3,RAMP_W4PLUS)))))*(INDEX(ACTIVE_MULT_TABLE,2,1))*(1+SUMPRODUCT(SIGN(((ACT_DOOR_SCOPE="ALL")+(ACT_DOOR_SCOPE="TIER_"&amp;$F246)+(ACT_DOOR_SCOPE=$B246)))*SIGN(((ACT_SKU_SCOPE="ALL")+(ACT_SKU_SCOPE=$G246)))*(ACT_START&lt;=3)*(ACT_END&gt;=3)*IFERROR(ACT_UPLIFT-1,0)))*(1+SUMPRODUCT(SIGN(((ACT_DOOR_SCOPE="ALL")+(ACT_DOOR_SCOPE="TIER_"&amp;$F246)+(ACT_DOOR_SCOPE=$B246)))*SIGN(((ACT_SKU_SCOPE="ALL")+(ACT_SKU_SCOPE=$G246)))*(3&gt;ACT_END)*(ACT_END&gt;0)*IFERROR(ACT_POSTLIFT,0))),0)))</f>
        <v/>
      </c>
      <c r="M246" s="10">
        <f>IF(OR($H246&lt;&gt;"Y",4&lt;$I246),0,IF(SUMPRODUCT(((BULK_ENABLED="Y")*((BULK_TIER="ALL")+(BULK_TIER=$F246))*((BULK_SKU="ALL")+(BULK_SKU=$G246))*(BULK_START&lt;=4)*(BULK_END&gt;=4)))&gt;0,IFERROR(SUMPRODUCT(((BULK_ENABLED="Y")*((BULK_TIER="ALL")+(BULK_TIER=$F246))*((BULK_SKU="ALL")+(BULK_SKU=$G246))*(BULK_START&lt;=4)*(BULK_END&gt;=4))*IFERROR(BULK_VALUE,0))/MAX(1,SUMPRODUCT(((BULK_ENABLED="Y")*((BULK_TIER="ALL")+(BULK_TIER=$F246))*((BULK_SKU="ALL")+(BULK_SKU=$G246))*(BULK_START&lt;=4)*(BULK_END&gt;=4)))),0),ROUND((INDEX(VELOCITY_TABLE,MATCH($F246,TIER_LIST,0),2))*(IF((4-$I246+1)&lt;=0,0,IF((4-$I246+1)=1,RAMP_W1,IF((4-$I246+1)=2,RAMP_W2,IF((4-$I246+1)=3,RAMP_W3,RAMP_W4PLUS)))))*(INDEX(ACTIVE_MULT_TABLE,2,1))*(1+SUMPRODUCT(SIGN(((ACT_DOOR_SCOPE="ALL")+(ACT_DOOR_SCOPE="TIER_"&amp;$F246)+(ACT_DOOR_SCOPE=$B246)))*SIGN(((ACT_SKU_SCOPE="ALL")+(ACT_SKU_SCOPE=$G246)))*(ACT_START&lt;=4)*(ACT_END&gt;=4)*IFERROR(ACT_UPLIFT-1,0)))*(1+SUMPRODUCT(SIGN(((ACT_DOOR_SCOPE="ALL")+(ACT_DOOR_SCOPE="TIER_"&amp;$F246)+(ACT_DOOR_SCOPE=$B246)))*SIGN(((ACT_SKU_SCOPE="ALL")+(ACT_SKU_SCOPE=$G246)))*(4&gt;ACT_END)*(ACT_END&gt;0)*IFERROR(ACT_POSTLIFT,0))),0)))</f>
        <v/>
      </c>
      <c r="N246" s="10">
        <f>IF(OR($H246&lt;&gt;"Y",5&lt;$I246),0,IF(SUMPRODUCT(((BULK_ENABLED="Y")*((BULK_TIER="ALL")+(BULK_TIER=$F246))*((BULK_SKU="ALL")+(BULK_SKU=$G246))*(BULK_START&lt;=5)*(BULK_END&gt;=5)))&gt;0,IFERROR(SUMPRODUCT(((BULK_ENABLED="Y")*((BULK_TIER="ALL")+(BULK_TIER=$F246))*((BULK_SKU="ALL")+(BULK_SKU=$G246))*(BULK_START&lt;=5)*(BULK_END&gt;=5))*IFERROR(BULK_VALUE,0))/MAX(1,SUMPRODUCT(((BULK_ENABLED="Y")*((BULK_TIER="ALL")+(BULK_TIER=$F246))*((BULK_SKU="ALL")+(BULK_SKU=$G246))*(BULK_START&lt;=5)*(BULK_END&gt;=5)))),0),ROUND((INDEX(VELOCITY_TABLE,MATCH($F246,TIER_LIST,0),2))*(IF((5-$I246+1)&lt;=0,0,IF((5-$I246+1)=1,RAMP_W1,IF((5-$I246+1)=2,RAMP_W2,IF((5-$I246+1)=3,RAMP_W3,RAMP_W4PLUS)))))*(INDEX(ACTIVE_MULT_TABLE,2,1))*(1+SUMPRODUCT(SIGN(((ACT_DOOR_SCOPE="ALL")+(ACT_DOOR_SCOPE="TIER_"&amp;$F246)+(ACT_DOOR_SCOPE=$B246)))*SIGN(((ACT_SKU_SCOPE="ALL")+(ACT_SKU_SCOPE=$G246)))*(ACT_START&lt;=5)*(ACT_END&gt;=5)*IFERROR(ACT_UPLIFT-1,0)))*(1+SUMPRODUCT(SIGN(((ACT_DOOR_SCOPE="ALL")+(ACT_DOOR_SCOPE="TIER_"&amp;$F246)+(ACT_DOOR_SCOPE=$B246)))*SIGN(((ACT_SKU_SCOPE="ALL")+(ACT_SKU_SCOPE=$G246)))*(5&gt;ACT_END)*(ACT_END&gt;0)*IFERROR(ACT_POSTLIFT,0))),0)))</f>
        <v/>
      </c>
      <c r="O246" s="10">
        <f>IF(OR($H246&lt;&gt;"Y",6&lt;$I246),0,IF(SUMPRODUCT(((BULK_ENABLED="Y")*((BULK_TIER="ALL")+(BULK_TIER=$F246))*((BULK_SKU="ALL")+(BULK_SKU=$G246))*(BULK_START&lt;=6)*(BULK_END&gt;=6)))&gt;0,IFERROR(SUMPRODUCT(((BULK_ENABLED="Y")*((BULK_TIER="ALL")+(BULK_TIER=$F246))*((BULK_SKU="ALL")+(BULK_SKU=$G246))*(BULK_START&lt;=6)*(BULK_END&gt;=6))*IFERROR(BULK_VALUE,0))/MAX(1,SUMPRODUCT(((BULK_ENABLED="Y")*((BULK_TIER="ALL")+(BULK_TIER=$F246))*((BULK_SKU="ALL")+(BULK_SKU=$G246))*(BULK_START&lt;=6)*(BULK_END&gt;=6)))),0),ROUND((INDEX(VELOCITY_TABLE,MATCH($F246,TIER_LIST,0),2))*(IF((6-$I246+1)&lt;=0,0,IF((6-$I246+1)=1,RAMP_W1,IF((6-$I246+1)=2,RAMP_W2,IF((6-$I246+1)=3,RAMP_W3,RAMP_W4PLUS)))))*(INDEX(ACTIVE_MULT_TABLE,2,1))*(1+SUMPRODUCT(SIGN(((ACT_DOOR_SCOPE="ALL")+(ACT_DOOR_SCOPE="TIER_"&amp;$F246)+(ACT_DOOR_SCOPE=$B246)))*SIGN(((ACT_SKU_SCOPE="ALL")+(ACT_SKU_SCOPE=$G246)))*(ACT_START&lt;=6)*(ACT_END&gt;=6)*IFERROR(ACT_UPLIFT-1,0)))*(1+SUMPRODUCT(SIGN(((ACT_DOOR_SCOPE="ALL")+(ACT_DOOR_SCOPE="TIER_"&amp;$F246)+(ACT_DOOR_SCOPE=$B246)))*SIGN(((ACT_SKU_SCOPE="ALL")+(ACT_SKU_SCOPE=$G246)))*(6&gt;ACT_END)*(ACT_END&gt;0)*IFERROR(ACT_POSTLIFT,0))),0)))</f>
        <v/>
      </c>
      <c r="P246" s="10">
        <f>IF(OR($H246&lt;&gt;"Y",7&lt;$I246),0,IF(SUMPRODUCT(((BULK_ENABLED="Y")*((BULK_TIER="ALL")+(BULK_TIER=$F246))*((BULK_SKU="ALL")+(BULK_SKU=$G246))*(BULK_START&lt;=7)*(BULK_END&gt;=7)))&gt;0,IFERROR(SUMPRODUCT(((BULK_ENABLED="Y")*((BULK_TIER="ALL")+(BULK_TIER=$F246))*((BULK_SKU="ALL")+(BULK_SKU=$G246))*(BULK_START&lt;=7)*(BULK_END&gt;=7))*IFERROR(BULK_VALUE,0))/MAX(1,SUMPRODUCT(((BULK_ENABLED="Y")*((BULK_TIER="ALL")+(BULK_TIER=$F246))*((BULK_SKU="ALL")+(BULK_SKU=$G246))*(BULK_START&lt;=7)*(BULK_END&gt;=7)))),0),ROUND((INDEX(VELOCITY_TABLE,MATCH($F246,TIER_LIST,0),2))*(IF((7-$I246+1)&lt;=0,0,IF((7-$I246+1)=1,RAMP_W1,IF((7-$I246+1)=2,RAMP_W2,IF((7-$I246+1)=3,RAMP_W3,RAMP_W4PLUS)))))*(INDEX(ACTIVE_MULT_TABLE,2,1))*(1+SUMPRODUCT(SIGN(((ACT_DOOR_SCOPE="ALL")+(ACT_DOOR_SCOPE="TIER_"&amp;$F246)+(ACT_DOOR_SCOPE=$B246)))*SIGN(((ACT_SKU_SCOPE="ALL")+(ACT_SKU_SCOPE=$G246)))*(ACT_START&lt;=7)*(ACT_END&gt;=7)*IFERROR(ACT_UPLIFT-1,0)))*(1+SUMPRODUCT(SIGN(((ACT_DOOR_SCOPE="ALL")+(ACT_DOOR_SCOPE="TIER_"&amp;$F246)+(ACT_DOOR_SCOPE=$B246)))*SIGN(((ACT_SKU_SCOPE="ALL")+(ACT_SKU_SCOPE=$G246)))*(7&gt;ACT_END)*(ACT_END&gt;0)*IFERROR(ACT_POSTLIFT,0))),0)))</f>
        <v/>
      </c>
      <c r="Q246" s="10">
        <f>IF(OR($H246&lt;&gt;"Y",8&lt;$I246),0,IF(SUMPRODUCT(((BULK_ENABLED="Y")*((BULK_TIER="ALL")+(BULK_TIER=$F246))*((BULK_SKU="ALL")+(BULK_SKU=$G246))*(BULK_START&lt;=8)*(BULK_END&gt;=8)))&gt;0,IFERROR(SUMPRODUCT(((BULK_ENABLED="Y")*((BULK_TIER="ALL")+(BULK_TIER=$F246))*((BULK_SKU="ALL")+(BULK_SKU=$G246))*(BULK_START&lt;=8)*(BULK_END&gt;=8))*IFERROR(BULK_VALUE,0))/MAX(1,SUMPRODUCT(((BULK_ENABLED="Y")*((BULK_TIER="ALL")+(BULK_TIER=$F246))*((BULK_SKU="ALL")+(BULK_SKU=$G246))*(BULK_START&lt;=8)*(BULK_END&gt;=8)))),0),ROUND((INDEX(VELOCITY_TABLE,MATCH($F246,TIER_LIST,0),2))*(IF((8-$I246+1)&lt;=0,0,IF((8-$I246+1)=1,RAMP_W1,IF((8-$I246+1)=2,RAMP_W2,IF((8-$I246+1)=3,RAMP_W3,RAMP_W4PLUS)))))*(INDEX(ACTIVE_MULT_TABLE,2,1))*(1+SUMPRODUCT(SIGN(((ACT_DOOR_SCOPE="ALL")+(ACT_DOOR_SCOPE="TIER_"&amp;$F246)+(ACT_DOOR_SCOPE=$B246)))*SIGN(((ACT_SKU_SCOPE="ALL")+(ACT_SKU_SCOPE=$G246)))*(ACT_START&lt;=8)*(ACT_END&gt;=8)*IFERROR(ACT_UPLIFT-1,0)))*(1+SUMPRODUCT(SIGN(((ACT_DOOR_SCOPE="ALL")+(ACT_DOOR_SCOPE="TIER_"&amp;$F246)+(ACT_DOOR_SCOPE=$B246)))*SIGN(((ACT_SKU_SCOPE="ALL")+(ACT_SKU_SCOPE=$G246)))*(8&gt;ACT_END)*(ACT_END&gt;0)*IFERROR(ACT_POSTLIFT,0))),0)))</f>
        <v/>
      </c>
      <c r="R246" s="10">
        <f>IF(OR($H246&lt;&gt;"Y",9&lt;$I246),0,IF(SUMPRODUCT(((BULK_ENABLED="Y")*((BULK_TIER="ALL")+(BULK_TIER=$F246))*((BULK_SKU="ALL")+(BULK_SKU=$G246))*(BULK_START&lt;=9)*(BULK_END&gt;=9)))&gt;0,IFERROR(SUMPRODUCT(((BULK_ENABLED="Y")*((BULK_TIER="ALL")+(BULK_TIER=$F246))*((BULK_SKU="ALL")+(BULK_SKU=$G246))*(BULK_START&lt;=9)*(BULK_END&gt;=9))*IFERROR(BULK_VALUE,0))/MAX(1,SUMPRODUCT(((BULK_ENABLED="Y")*((BULK_TIER="ALL")+(BULK_TIER=$F246))*((BULK_SKU="ALL")+(BULK_SKU=$G246))*(BULK_START&lt;=9)*(BULK_END&gt;=9)))),0),ROUND((INDEX(VELOCITY_TABLE,MATCH($F246,TIER_LIST,0),2))*(IF((9-$I246+1)&lt;=0,0,IF((9-$I246+1)=1,RAMP_W1,IF((9-$I246+1)=2,RAMP_W2,IF((9-$I246+1)=3,RAMP_W3,RAMP_W4PLUS)))))*(INDEX(ACTIVE_MULT_TABLE,2,1))*(1+SUMPRODUCT(SIGN(((ACT_DOOR_SCOPE="ALL")+(ACT_DOOR_SCOPE="TIER_"&amp;$F246)+(ACT_DOOR_SCOPE=$B246)))*SIGN(((ACT_SKU_SCOPE="ALL")+(ACT_SKU_SCOPE=$G246)))*(ACT_START&lt;=9)*(ACT_END&gt;=9)*IFERROR(ACT_UPLIFT-1,0)))*(1+SUMPRODUCT(SIGN(((ACT_DOOR_SCOPE="ALL")+(ACT_DOOR_SCOPE="TIER_"&amp;$F246)+(ACT_DOOR_SCOPE=$B246)))*SIGN(((ACT_SKU_SCOPE="ALL")+(ACT_SKU_SCOPE=$G246)))*(9&gt;ACT_END)*(ACT_END&gt;0)*IFERROR(ACT_POSTLIFT,0))),0)))</f>
        <v/>
      </c>
      <c r="S246" s="10">
        <f>IF(OR($H246&lt;&gt;"Y",10&lt;$I246),0,IF(SUMPRODUCT(((BULK_ENABLED="Y")*((BULK_TIER="ALL")+(BULK_TIER=$F246))*((BULK_SKU="ALL")+(BULK_SKU=$G246))*(BULK_START&lt;=10)*(BULK_END&gt;=10)))&gt;0,IFERROR(SUMPRODUCT(((BULK_ENABLED="Y")*((BULK_TIER="ALL")+(BULK_TIER=$F246))*((BULK_SKU="ALL")+(BULK_SKU=$G246))*(BULK_START&lt;=10)*(BULK_END&gt;=10))*IFERROR(BULK_VALUE,0))/MAX(1,SUMPRODUCT(((BULK_ENABLED="Y")*((BULK_TIER="ALL")+(BULK_TIER=$F246))*((BULK_SKU="ALL")+(BULK_SKU=$G246))*(BULK_START&lt;=10)*(BULK_END&gt;=10)))),0),ROUND((INDEX(VELOCITY_TABLE,MATCH($F246,TIER_LIST,0),2))*(IF((10-$I246+1)&lt;=0,0,IF((10-$I246+1)=1,RAMP_W1,IF((10-$I246+1)=2,RAMP_W2,IF((10-$I246+1)=3,RAMP_W3,RAMP_W4PLUS)))))*(INDEX(ACTIVE_MULT_TABLE,2,1))*(1+SUMPRODUCT(SIGN(((ACT_DOOR_SCOPE="ALL")+(ACT_DOOR_SCOPE="TIER_"&amp;$F246)+(ACT_DOOR_SCOPE=$B246)))*SIGN(((ACT_SKU_SCOPE="ALL")+(ACT_SKU_SCOPE=$G246)))*(ACT_START&lt;=10)*(ACT_END&gt;=10)*IFERROR(ACT_UPLIFT-1,0)))*(1+SUMPRODUCT(SIGN(((ACT_DOOR_SCOPE="ALL")+(ACT_DOOR_SCOPE="TIER_"&amp;$F246)+(ACT_DOOR_SCOPE=$B246)))*SIGN(((ACT_SKU_SCOPE="ALL")+(ACT_SKU_SCOPE=$G246)))*(10&gt;ACT_END)*(ACT_END&gt;0)*IFERROR(ACT_POSTLIFT,0))),0)))</f>
        <v/>
      </c>
      <c r="T246" s="10">
        <f>IF(OR($H246&lt;&gt;"Y",11&lt;$I246),0,IF(SUMPRODUCT(((BULK_ENABLED="Y")*((BULK_TIER="ALL")+(BULK_TIER=$F246))*((BULK_SKU="ALL")+(BULK_SKU=$G246))*(BULK_START&lt;=11)*(BULK_END&gt;=11)))&gt;0,IFERROR(SUMPRODUCT(((BULK_ENABLED="Y")*((BULK_TIER="ALL")+(BULK_TIER=$F246))*((BULK_SKU="ALL")+(BULK_SKU=$G246))*(BULK_START&lt;=11)*(BULK_END&gt;=11))*IFERROR(BULK_VALUE,0))/MAX(1,SUMPRODUCT(((BULK_ENABLED="Y")*((BULK_TIER="ALL")+(BULK_TIER=$F246))*((BULK_SKU="ALL")+(BULK_SKU=$G246))*(BULK_START&lt;=11)*(BULK_END&gt;=11)))),0),ROUND((INDEX(VELOCITY_TABLE,MATCH($F246,TIER_LIST,0),2))*(IF((11-$I246+1)&lt;=0,0,IF((11-$I246+1)=1,RAMP_W1,IF((11-$I246+1)=2,RAMP_W2,IF((11-$I246+1)=3,RAMP_W3,RAMP_W4PLUS)))))*(INDEX(ACTIVE_MULT_TABLE,2,1))*(1+SUMPRODUCT(SIGN(((ACT_DOOR_SCOPE="ALL")+(ACT_DOOR_SCOPE="TIER_"&amp;$F246)+(ACT_DOOR_SCOPE=$B246)))*SIGN(((ACT_SKU_SCOPE="ALL")+(ACT_SKU_SCOPE=$G246)))*(ACT_START&lt;=11)*(ACT_END&gt;=11)*IFERROR(ACT_UPLIFT-1,0)))*(1+SUMPRODUCT(SIGN(((ACT_DOOR_SCOPE="ALL")+(ACT_DOOR_SCOPE="TIER_"&amp;$F246)+(ACT_DOOR_SCOPE=$B246)))*SIGN(((ACT_SKU_SCOPE="ALL")+(ACT_SKU_SCOPE=$G246)))*(11&gt;ACT_END)*(ACT_END&gt;0)*IFERROR(ACT_POSTLIFT,0))),0)))</f>
        <v/>
      </c>
      <c r="U246" s="10">
        <f>IF(OR($H246&lt;&gt;"Y",12&lt;$I246),0,IF(SUMPRODUCT(((BULK_ENABLED="Y")*((BULK_TIER="ALL")+(BULK_TIER=$F246))*((BULK_SKU="ALL")+(BULK_SKU=$G246))*(BULK_START&lt;=12)*(BULK_END&gt;=12)))&gt;0,IFERROR(SUMPRODUCT(((BULK_ENABLED="Y")*((BULK_TIER="ALL")+(BULK_TIER=$F246))*((BULK_SKU="ALL")+(BULK_SKU=$G246))*(BULK_START&lt;=12)*(BULK_END&gt;=12))*IFERROR(BULK_VALUE,0))/MAX(1,SUMPRODUCT(((BULK_ENABLED="Y")*((BULK_TIER="ALL")+(BULK_TIER=$F246))*((BULK_SKU="ALL")+(BULK_SKU=$G246))*(BULK_START&lt;=12)*(BULK_END&gt;=12)))),0),ROUND((INDEX(VELOCITY_TABLE,MATCH($F246,TIER_LIST,0),2))*(IF((12-$I246+1)&lt;=0,0,IF((12-$I246+1)=1,RAMP_W1,IF((12-$I246+1)=2,RAMP_W2,IF((12-$I246+1)=3,RAMP_W3,RAMP_W4PLUS)))))*(INDEX(ACTIVE_MULT_TABLE,2,1))*(1+SUMPRODUCT(SIGN(((ACT_DOOR_SCOPE="ALL")+(ACT_DOOR_SCOPE="TIER_"&amp;$F246)+(ACT_DOOR_SCOPE=$B246)))*SIGN(((ACT_SKU_SCOPE="ALL")+(ACT_SKU_SCOPE=$G246)))*(ACT_START&lt;=12)*(ACT_END&gt;=12)*IFERROR(ACT_UPLIFT-1,0)))*(1+SUMPRODUCT(SIGN(((ACT_DOOR_SCOPE="ALL")+(ACT_DOOR_SCOPE="TIER_"&amp;$F246)+(ACT_DOOR_SCOPE=$B246)))*SIGN(((ACT_SKU_SCOPE="ALL")+(ACT_SKU_SCOPE=$G246)))*(12&gt;ACT_END)*(ACT_END&gt;0)*IFERROR(ACT_POSTLIFT,0))),0)))</f>
        <v/>
      </c>
      <c r="V246" s="10">
        <f>IF(OR($H246&lt;&gt;"Y",13&lt;$I246),0,IF(SUMPRODUCT(((BULK_ENABLED="Y")*((BULK_TIER="ALL")+(BULK_TIER=$F246))*((BULK_SKU="ALL")+(BULK_SKU=$G246))*(BULK_START&lt;=13)*(BULK_END&gt;=13)))&gt;0,IFERROR(SUMPRODUCT(((BULK_ENABLED="Y")*((BULK_TIER="ALL")+(BULK_TIER=$F246))*((BULK_SKU="ALL")+(BULK_SKU=$G246))*(BULK_START&lt;=13)*(BULK_END&gt;=13))*IFERROR(BULK_VALUE,0))/MAX(1,SUMPRODUCT(((BULK_ENABLED="Y")*((BULK_TIER="ALL")+(BULK_TIER=$F246))*((BULK_SKU="ALL")+(BULK_SKU=$G246))*(BULK_START&lt;=13)*(BULK_END&gt;=13)))),0),ROUND((INDEX(VELOCITY_TABLE,MATCH($F246,TIER_LIST,0),2))*(IF((13-$I246+1)&lt;=0,0,IF((13-$I246+1)=1,RAMP_W1,IF((13-$I246+1)=2,RAMP_W2,IF((13-$I246+1)=3,RAMP_W3,RAMP_W4PLUS)))))*(INDEX(ACTIVE_MULT_TABLE,2,1))*(1+SUMPRODUCT(SIGN(((ACT_DOOR_SCOPE="ALL")+(ACT_DOOR_SCOPE="TIER_"&amp;$F246)+(ACT_DOOR_SCOPE=$B246)))*SIGN(((ACT_SKU_SCOPE="ALL")+(ACT_SKU_SCOPE=$G246)))*(ACT_START&lt;=13)*(ACT_END&gt;=13)*IFERROR(ACT_UPLIFT-1,0)))*(1+SUMPRODUCT(SIGN(((ACT_DOOR_SCOPE="ALL")+(ACT_DOOR_SCOPE="TIER_"&amp;$F246)+(ACT_DOOR_SCOPE=$B246)))*SIGN(((ACT_SKU_SCOPE="ALL")+(ACT_SKU_SCOPE=$G246)))*(13&gt;ACT_END)*(ACT_END&gt;0)*IFERROR(ACT_POSTLIFT,0))),0)))</f>
        <v/>
      </c>
    </row>
    <row r="247">
      <c r="A247" t="inlineStr">
        <is>
          <t>R0243</t>
        </is>
      </c>
      <c r="B247">
        <f>Doors!$A$85</f>
        <v/>
      </c>
      <c r="C247">
        <f>Doors!$C$85</f>
        <v/>
      </c>
      <c r="D247">
        <f>Doors!$B$85</f>
        <v/>
      </c>
      <c r="E247">
        <f>Doors!$E$85</f>
        <v/>
      </c>
      <c r="F247">
        <f>Doors!$F$85</f>
        <v/>
      </c>
      <c r="G247" t="inlineStr">
        <is>
          <t>Raspberry</t>
        </is>
      </c>
      <c r="H247">
        <f>Doors!$I$85</f>
        <v/>
      </c>
      <c r="I247">
        <f>Doors!$J$85</f>
        <v/>
      </c>
      <c r="J247" s="10">
        <f>IF(OR($H247&lt;&gt;"Y",1&lt;$I247),0,IF(SUMPRODUCT(((BULK_ENABLED="Y")*((BULK_TIER="ALL")+(BULK_TIER=$F247))*((BULK_SKU="ALL")+(BULK_SKU=$G247))*(BULK_START&lt;=1)*(BULK_END&gt;=1)))&gt;0,IFERROR(SUMPRODUCT(((BULK_ENABLED="Y")*((BULK_TIER="ALL")+(BULK_TIER=$F247))*((BULK_SKU="ALL")+(BULK_SKU=$G247))*(BULK_START&lt;=1)*(BULK_END&gt;=1))*IFERROR(BULK_VALUE,0))/MAX(1,SUMPRODUCT(((BULK_ENABLED="Y")*((BULK_TIER="ALL")+(BULK_TIER=$F247))*((BULK_SKU="ALL")+(BULK_SKU=$G247))*(BULK_START&lt;=1)*(BULK_END&gt;=1)))),0),ROUND((INDEX(VELOCITY_TABLE,MATCH($F247,TIER_LIST,0),3))*(IF((1-$I247+1)&lt;=0,0,IF((1-$I247+1)=1,RAMP_W1,IF((1-$I247+1)=2,RAMP_W2,IF((1-$I247+1)=3,RAMP_W3,RAMP_W4PLUS)))))*(INDEX(ACTIVE_MULT_TABLE,3,1))*(1+SUMPRODUCT(SIGN(((ACT_DOOR_SCOPE="ALL")+(ACT_DOOR_SCOPE="TIER_"&amp;$F247)+(ACT_DOOR_SCOPE=$B247)))*SIGN(((ACT_SKU_SCOPE="ALL")+(ACT_SKU_SCOPE=$G247)))*(ACT_START&lt;=1)*(ACT_END&gt;=1)*IFERROR(ACT_UPLIFT-1,0)))*(1+SUMPRODUCT(SIGN(((ACT_DOOR_SCOPE="ALL")+(ACT_DOOR_SCOPE="TIER_"&amp;$F247)+(ACT_DOOR_SCOPE=$B247)))*SIGN(((ACT_SKU_SCOPE="ALL")+(ACT_SKU_SCOPE=$G247)))*(1&gt;ACT_END)*(ACT_END&gt;0)*IFERROR(ACT_POSTLIFT,0))),0)))</f>
        <v/>
      </c>
      <c r="K247" s="10">
        <f>IF(OR($H247&lt;&gt;"Y",2&lt;$I247),0,IF(SUMPRODUCT(((BULK_ENABLED="Y")*((BULK_TIER="ALL")+(BULK_TIER=$F247))*((BULK_SKU="ALL")+(BULK_SKU=$G247))*(BULK_START&lt;=2)*(BULK_END&gt;=2)))&gt;0,IFERROR(SUMPRODUCT(((BULK_ENABLED="Y")*((BULK_TIER="ALL")+(BULK_TIER=$F247))*((BULK_SKU="ALL")+(BULK_SKU=$G247))*(BULK_START&lt;=2)*(BULK_END&gt;=2))*IFERROR(BULK_VALUE,0))/MAX(1,SUMPRODUCT(((BULK_ENABLED="Y")*((BULK_TIER="ALL")+(BULK_TIER=$F247))*((BULK_SKU="ALL")+(BULK_SKU=$G247))*(BULK_START&lt;=2)*(BULK_END&gt;=2)))),0),ROUND((INDEX(VELOCITY_TABLE,MATCH($F247,TIER_LIST,0),3))*(IF((2-$I247+1)&lt;=0,0,IF((2-$I247+1)=1,RAMP_W1,IF((2-$I247+1)=2,RAMP_W2,IF((2-$I247+1)=3,RAMP_W3,RAMP_W4PLUS)))))*(INDEX(ACTIVE_MULT_TABLE,3,1))*(1+SUMPRODUCT(SIGN(((ACT_DOOR_SCOPE="ALL")+(ACT_DOOR_SCOPE="TIER_"&amp;$F247)+(ACT_DOOR_SCOPE=$B247)))*SIGN(((ACT_SKU_SCOPE="ALL")+(ACT_SKU_SCOPE=$G247)))*(ACT_START&lt;=2)*(ACT_END&gt;=2)*IFERROR(ACT_UPLIFT-1,0)))*(1+SUMPRODUCT(SIGN(((ACT_DOOR_SCOPE="ALL")+(ACT_DOOR_SCOPE="TIER_"&amp;$F247)+(ACT_DOOR_SCOPE=$B247)))*SIGN(((ACT_SKU_SCOPE="ALL")+(ACT_SKU_SCOPE=$G247)))*(2&gt;ACT_END)*(ACT_END&gt;0)*IFERROR(ACT_POSTLIFT,0))),0)))</f>
        <v/>
      </c>
      <c r="L247" s="10">
        <f>IF(OR($H247&lt;&gt;"Y",3&lt;$I247),0,IF(SUMPRODUCT(((BULK_ENABLED="Y")*((BULK_TIER="ALL")+(BULK_TIER=$F247))*((BULK_SKU="ALL")+(BULK_SKU=$G247))*(BULK_START&lt;=3)*(BULK_END&gt;=3)))&gt;0,IFERROR(SUMPRODUCT(((BULK_ENABLED="Y")*((BULK_TIER="ALL")+(BULK_TIER=$F247))*((BULK_SKU="ALL")+(BULK_SKU=$G247))*(BULK_START&lt;=3)*(BULK_END&gt;=3))*IFERROR(BULK_VALUE,0))/MAX(1,SUMPRODUCT(((BULK_ENABLED="Y")*((BULK_TIER="ALL")+(BULK_TIER=$F247))*((BULK_SKU="ALL")+(BULK_SKU=$G247))*(BULK_START&lt;=3)*(BULK_END&gt;=3)))),0),ROUND((INDEX(VELOCITY_TABLE,MATCH($F247,TIER_LIST,0),3))*(IF((3-$I247+1)&lt;=0,0,IF((3-$I247+1)=1,RAMP_W1,IF((3-$I247+1)=2,RAMP_W2,IF((3-$I247+1)=3,RAMP_W3,RAMP_W4PLUS)))))*(INDEX(ACTIVE_MULT_TABLE,3,1))*(1+SUMPRODUCT(SIGN(((ACT_DOOR_SCOPE="ALL")+(ACT_DOOR_SCOPE="TIER_"&amp;$F247)+(ACT_DOOR_SCOPE=$B247)))*SIGN(((ACT_SKU_SCOPE="ALL")+(ACT_SKU_SCOPE=$G247)))*(ACT_START&lt;=3)*(ACT_END&gt;=3)*IFERROR(ACT_UPLIFT-1,0)))*(1+SUMPRODUCT(SIGN(((ACT_DOOR_SCOPE="ALL")+(ACT_DOOR_SCOPE="TIER_"&amp;$F247)+(ACT_DOOR_SCOPE=$B247)))*SIGN(((ACT_SKU_SCOPE="ALL")+(ACT_SKU_SCOPE=$G247)))*(3&gt;ACT_END)*(ACT_END&gt;0)*IFERROR(ACT_POSTLIFT,0))),0)))</f>
        <v/>
      </c>
      <c r="M247" s="10">
        <f>IF(OR($H247&lt;&gt;"Y",4&lt;$I247),0,IF(SUMPRODUCT(((BULK_ENABLED="Y")*((BULK_TIER="ALL")+(BULK_TIER=$F247))*((BULK_SKU="ALL")+(BULK_SKU=$G247))*(BULK_START&lt;=4)*(BULK_END&gt;=4)))&gt;0,IFERROR(SUMPRODUCT(((BULK_ENABLED="Y")*((BULK_TIER="ALL")+(BULK_TIER=$F247))*((BULK_SKU="ALL")+(BULK_SKU=$G247))*(BULK_START&lt;=4)*(BULK_END&gt;=4))*IFERROR(BULK_VALUE,0))/MAX(1,SUMPRODUCT(((BULK_ENABLED="Y")*((BULK_TIER="ALL")+(BULK_TIER=$F247))*((BULK_SKU="ALL")+(BULK_SKU=$G247))*(BULK_START&lt;=4)*(BULK_END&gt;=4)))),0),ROUND((INDEX(VELOCITY_TABLE,MATCH($F247,TIER_LIST,0),3))*(IF((4-$I247+1)&lt;=0,0,IF((4-$I247+1)=1,RAMP_W1,IF((4-$I247+1)=2,RAMP_W2,IF((4-$I247+1)=3,RAMP_W3,RAMP_W4PLUS)))))*(INDEX(ACTIVE_MULT_TABLE,3,1))*(1+SUMPRODUCT(SIGN(((ACT_DOOR_SCOPE="ALL")+(ACT_DOOR_SCOPE="TIER_"&amp;$F247)+(ACT_DOOR_SCOPE=$B247)))*SIGN(((ACT_SKU_SCOPE="ALL")+(ACT_SKU_SCOPE=$G247)))*(ACT_START&lt;=4)*(ACT_END&gt;=4)*IFERROR(ACT_UPLIFT-1,0)))*(1+SUMPRODUCT(SIGN(((ACT_DOOR_SCOPE="ALL")+(ACT_DOOR_SCOPE="TIER_"&amp;$F247)+(ACT_DOOR_SCOPE=$B247)))*SIGN(((ACT_SKU_SCOPE="ALL")+(ACT_SKU_SCOPE=$G247)))*(4&gt;ACT_END)*(ACT_END&gt;0)*IFERROR(ACT_POSTLIFT,0))),0)))</f>
        <v/>
      </c>
      <c r="N247" s="10">
        <f>IF(OR($H247&lt;&gt;"Y",5&lt;$I247),0,IF(SUMPRODUCT(((BULK_ENABLED="Y")*((BULK_TIER="ALL")+(BULK_TIER=$F247))*((BULK_SKU="ALL")+(BULK_SKU=$G247))*(BULK_START&lt;=5)*(BULK_END&gt;=5)))&gt;0,IFERROR(SUMPRODUCT(((BULK_ENABLED="Y")*((BULK_TIER="ALL")+(BULK_TIER=$F247))*((BULK_SKU="ALL")+(BULK_SKU=$G247))*(BULK_START&lt;=5)*(BULK_END&gt;=5))*IFERROR(BULK_VALUE,0))/MAX(1,SUMPRODUCT(((BULK_ENABLED="Y")*((BULK_TIER="ALL")+(BULK_TIER=$F247))*((BULK_SKU="ALL")+(BULK_SKU=$G247))*(BULK_START&lt;=5)*(BULK_END&gt;=5)))),0),ROUND((INDEX(VELOCITY_TABLE,MATCH($F247,TIER_LIST,0),3))*(IF((5-$I247+1)&lt;=0,0,IF((5-$I247+1)=1,RAMP_W1,IF((5-$I247+1)=2,RAMP_W2,IF((5-$I247+1)=3,RAMP_W3,RAMP_W4PLUS)))))*(INDEX(ACTIVE_MULT_TABLE,3,1))*(1+SUMPRODUCT(SIGN(((ACT_DOOR_SCOPE="ALL")+(ACT_DOOR_SCOPE="TIER_"&amp;$F247)+(ACT_DOOR_SCOPE=$B247)))*SIGN(((ACT_SKU_SCOPE="ALL")+(ACT_SKU_SCOPE=$G247)))*(ACT_START&lt;=5)*(ACT_END&gt;=5)*IFERROR(ACT_UPLIFT-1,0)))*(1+SUMPRODUCT(SIGN(((ACT_DOOR_SCOPE="ALL")+(ACT_DOOR_SCOPE="TIER_"&amp;$F247)+(ACT_DOOR_SCOPE=$B247)))*SIGN(((ACT_SKU_SCOPE="ALL")+(ACT_SKU_SCOPE=$G247)))*(5&gt;ACT_END)*(ACT_END&gt;0)*IFERROR(ACT_POSTLIFT,0))),0)))</f>
        <v/>
      </c>
      <c r="O247" s="10">
        <f>IF(OR($H247&lt;&gt;"Y",6&lt;$I247),0,IF(SUMPRODUCT(((BULK_ENABLED="Y")*((BULK_TIER="ALL")+(BULK_TIER=$F247))*((BULK_SKU="ALL")+(BULK_SKU=$G247))*(BULK_START&lt;=6)*(BULK_END&gt;=6)))&gt;0,IFERROR(SUMPRODUCT(((BULK_ENABLED="Y")*((BULK_TIER="ALL")+(BULK_TIER=$F247))*((BULK_SKU="ALL")+(BULK_SKU=$G247))*(BULK_START&lt;=6)*(BULK_END&gt;=6))*IFERROR(BULK_VALUE,0))/MAX(1,SUMPRODUCT(((BULK_ENABLED="Y")*((BULK_TIER="ALL")+(BULK_TIER=$F247))*((BULK_SKU="ALL")+(BULK_SKU=$G247))*(BULK_START&lt;=6)*(BULK_END&gt;=6)))),0),ROUND((INDEX(VELOCITY_TABLE,MATCH($F247,TIER_LIST,0),3))*(IF((6-$I247+1)&lt;=0,0,IF((6-$I247+1)=1,RAMP_W1,IF((6-$I247+1)=2,RAMP_W2,IF((6-$I247+1)=3,RAMP_W3,RAMP_W4PLUS)))))*(INDEX(ACTIVE_MULT_TABLE,3,1))*(1+SUMPRODUCT(SIGN(((ACT_DOOR_SCOPE="ALL")+(ACT_DOOR_SCOPE="TIER_"&amp;$F247)+(ACT_DOOR_SCOPE=$B247)))*SIGN(((ACT_SKU_SCOPE="ALL")+(ACT_SKU_SCOPE=$G247)))*(ACT_START&lt;=6)*(ACT_END&gt;=6)*IFERROR(ACT_UPLIFT-1,0)))*(1+SUMPRODUCT(SIGN(((ACT_DOOR_SCOPE="ALL")+(ACT_DOOR_SCOPE="TIER_"&amp;$F247)+(ACT_DOOR_SCOPE=$B247)))*SIGN(((ACT_SKU_SCOPE="ALL")+(ACT_SKU_SCOPE=$G247)))*(6&gt;ACT_END)*(ACT_END&gt;0)*IFERROR(ACT_POSTLIFT,0))),0)))</f>
        <v/>
      </c>
      <c r="P247" s="10">
        <f>IF(OR($H247&lt;&gt;"Y",7&lt;$I247),0,IF(SUMPRODUCT(((BULK_ENABLED="Y")*((BULK_TIER="ALL")+(BULK_TIER=$F247))*((BULK_SKU="ALL")+(BULK_SKU=$G247))*(BULK_START&lt;=7)*(BULK_END&gt;=7)))&gt;0,IFERROR(SUMPRODUCT(((BULK_ENABLED="Y")*((BULK_TIER="ALL")+(BULK_TIER=$F247))*((BULK_SKU="ALL")+(BULK_SKU=$G247))*(BULK_START&lt;=7)*(BULK_END&gt;=7))*IFERROR(BULK_VALUE,0))/MAX(1,SUMPRODUCT(((BULK_ENABLED="Y")*((BULK_TIER="ALL")+(BULK_TIER=$F247))*((BULK_SKU="ALL")+(BULK_SKU=$G247))*(BULK_START&lt;=7)*(BULK_END&gt;=7)))),0),ROUND((INDEX(VELOCITY_TABLE,MATCH($F247,TIER_LIST,0),3))*(IF((7-$I247+1)&lt;=0,0,IF((7-$I247+1)=1,RAMP_W1,IF((7-$I247+1)=2,RAMP_W2,IF((7-$I247+1)=3,RAMP_W3,RAMP_W4PLUS)))))*(INDEX(ACTIVE_MULT_TABLE,3,1))*(1+SUMPRODUCT(SIGN(((ACT_DOOR_SCOPE="ALL")+(ACT_DOOR_SCOPE="TIER_"&amp;$F247)+(ACT_DOOR_SCOPE=$B247)))*SIGN(((ACT_SKU_SCOPE="ALL")+(ACT_SKU_SCOPE=$G247)))*(ACT_START&lt;=7)*(ACT_END&gt;=7)*IFERROR(ACT_UPLIFT-1,0)))*(1+SUMPRODUCT(SIGN(((ACT_DOOR_SCOPE="ALL")+(ACT_DOOR_SCOPE="TIER_"&amp;$F247)+(ACT_DOOR_SCOPE=$B247)))*SIGN(((ACT_SKU_SCOPE="ALL")+(ACT_SKU_SCOPE=$G247)))*(7&gt;ACT_END)*(ACT_END&gt;0)*IFERROR(ACT_POSTLIFT,0))),0)))</f>
        <v/>
      </c>
      <c r="Q247" s="10">
        <f>IF(OR($H247&lt;&gt;"Y",8&lt;$I247),0,IF(SUMPRODUCT(((BULK_ENABLED="Y")*((BULK_TIER="ALL")+(BULK_TIER=$F247))*((BULK_SKU="ALL")+(BULK_SKU=$G247))*(BULK_START&lt;=8)*(BULK_END&gt;=8)))&gt;0,IFERROR(SUMPRODUCT(((BULK_ENABLED="Y")*((BULK_TIER="ALL")+(BULK_TIER=$F247))*((BULK_SKU="ALL")+(BULK_SKU=$G247))*(BULK_START&lt;=8)*(BULK_END&gt;=8))*IFERROR(BULK_VALUE,0))/MAX(1,SUMPRODUCT(((BULK_ENABLED="Y")*((BULK_TIER="ALL")+(BULK_TIER=$F247))*((BULK_SKU="ALL")+(BULK_SKU=$G247))*(BULK_START&lt;=8)*(BULK_END&gt;=8)))),0),ROUND((INDEX(VELOCITY_TABLE,MATCH($F247,TIER_LIST,0),3))*(IF((8-$I247+1)&lt;=0,0,IF((8-$I247+1)=1,RAMP_W1,IF((8-$I247+1)=2,RAMP_W2,IF((8-$I247+1)=3,RAMP_W3,RAMP_W4PLUS)))))*(INDEX(ACTIVE_MULT_TABLE,3,1))*(1+SUMPRODUCT(SIGN(((ACT_DOOR_SCOPE="ALL")+(ACT_DOOR_SCOPE="TIER_"&amp;$F247)+(ACT_DOOR_SCOPE=$B247)))*SIGN(((ACT_SKU_SCOPE="ALL")+(ACT_SKU_SCOPE=$G247)))*(ACT_START&lt;=8)*(ACT_END&gt;=8)*IFERROR(ACT_UPLIFT-1,0)))*(1+SUMPRODUCT(SIGN(((ACT_DOOR_SCOPE="ALL")+(ACT_DOOR_SCOPE="TIER_"&amp;$F247)+(ACT_DOOR_SCOPE=$B247)))*SIGN(((ACT_SKU_SCOPE="ALL")+(ACT_SKU_SCOPE=$G247)))*(8&gt;ACT_END)*(ACT_END&gt;0)*IFERROR(ACT_POSTLIFT,0))),0)))</f>
        <v/>
      </c>
      <c r="R247" s="10">
        <f>IF(OR($H247&lt;&gt;"Y",9&lt;$I247),0,IF(SUMPRODUCT(((BULK_ENABLED="Y")*((BULK_TIER="ALL")+(BULK_TIER=$F247))*((BULK_SKU="ALL")+(BULK_SKU=$G247))*(BULK_START&lt;=9)*(BULK_END&gt;=9)))&gt;0,IFERROR(SUMPRODUCT(((BULK_ENABLED="Y")*((BULK_TIER="ALL")+(BULK_TIER=$F247))*((BULK_SKU="ALL")+(BULK_SKU=$G247))*(BULK_START&lt;=9)*(BULK_END&gt;=9))*IFERROR(BULK_VALUE,0))/MAX(1,SUMPRODUCT(((BULK_ENABLED="Y")*((BULK_TIER="ALL")+(BULK_TIER=$F247))*((BULK_SKU="ALL")+(BULK_SKU=$G247))*(BULK_START&lt;=9)*(BULK_END&gt;=9)))),0),ROUND((INDEX(VELOCITY_TABLE,MATCH($F247,TIER_LIST,0),3))*(IF((9-$I247+1)&lt;=0,0,IF((9-$I247+1)=1,RAMP_W1,IF((9-$I247+1)=2,RAMP_W2,IF((9-$I247+1)=3,RAMP_W3,RAMP_W4PLUS)))))*(INDEX(ACTIVE_MULT_TABLE,3,1))*(1+SUMPRODUCT(SIGN(((ACT_DOOR_SCOPE="ALL")+(ACT_DOOR_SCOPE="TIER_"&amp;$F247)+(ACT_DOOR_SCOPE=$B247)))*SIGN(((ACT_SKU_SCOPE="ALL")+(ACT_SKU_SCOPE=$G247)))*(ACT_START&lt;=9)*(ACT_END&gt;=9)*IFERROR(ACT_UPLIFT-1,0)))*(1+SUMPRODUCT(SIGN(((ACT_DOOR_SCOPE="ALL")+(ACT_DOOR_SCOPE="TIER_"&amp;$F247)+(ACT_DOOR_SCOPE=$B247)))*SIGN(((ACT_SKU_SCOPE="ALL")+(ACT_SKU_SCOPE=$G247)))*(9&gt;ACT_END)*(ACT_END&gt;0)*IFERROR(ACT_POSTLIFT,0))),0)))</f>
        <v/>
      </c>
      <c r="S247" s="10">
        <f>IF(OR($H247&lt;&gt;"Y",10&lt;$I247),0,IF(SUMPRODUCT(((BULK_ENABLED="Y")*((BULK_TIER="ALL")+(BULK_TIER=$F247))*((BULK_SKU="ALL")+(BULK_SKU=$G247))*(BULK_START&lt;=10)*(BULK_END&gt;=10)))&gt;0,IFERROR(SUMPRODUCT(((BULK_ENABLED="Y")*((BULK_TIER="ALL")+(BULK_TIER=$F247))*((BULK_SKU="ALL")+(BULK_SKU=$G247))*(BULK_START&lt;=10)*(BULK_END&gt;=10))*IFERROR(BULK_VALUE,0))/MAX(1,SUMPRODUCT(((BULK_ENABLED="Y")*((BULK_TIER="ALL")+(BULK_TIER=$F247))*((BULK_SKU="ALL")+(BULK_SKU=$G247))*(BULK_START&lt;=10)*(BULK_END&gt;=10)))),0),ROUND((INDEX(VELOCITY_TABLE,MATCH($F247,TIER_LIST,0),3))*(IF((10-$I247+1)&lt;=0,0,IF((10-$I247+1)=1,RAMP_W1,IF((10-$I247+1)=2,RAMP_W2,IF((10-$I247+1)=3,RAMP_W3,RAMP_W4PLUS)))))*(INDEX(ACTIVE_MULT_TABLE,3,1))*(1+SUMPRODUCT(SIGN(((ACT_DOOR_SCOPE="ALL")+(ACT_DOOR_SCOPE="TIER_"&amp;$F247)+(ACT_DOOR_SCOPE=$B247)))*SIGN(((ACT_SKU_SCOPE="ALL")+(ACT_SKU_SCOPE=$G247)))*(ACT_START&lt;=10)*(ACT_END&gt;=10)*IFERROR(ACT_UPLIFT-1,0)))*(1+SUMPRODUCT(SIGN(((ACT_DOOR_SCOPE="ALL")+(ACT_DOOR_SCOPE="TIER_"&amp;$F247)+(ACT_DOOR_SCOPE=$B247)))*SIGN(((ACT_SKU_SCOPE="ALL")+(ACT_SKU_SCOPE=$G247)))*(10&gt;ACT_END)*(ACT_END&gt;0)*IFERROR(ACT_POSTLIFT,0))),0)))</f>
        <v/>
      </c>
      <c r="T247" s="10">
        <f>IF(OR($H247&lt;&gt;"Y",11&lt;$I247),0,IF(SUMPRODUCT(((BULK_ENABLED="Y")*((BULK_TIER="ALL")+(BULK_TIER=$F247))*((BULK_SKU="ALL")+(BULK_SKU=$G247))*(BULK_START&lt;=11)*(BULK_END&gt;=11)))&gt;0,IFERROR(SUMPRODUCT(((BULK_ENABLED="Y")*((BULK_TIER="ALL")+(BULK_TIER=$F247))*((BULK_SKU="ALL")+(BULK_SKU=$G247))*(BULK_START&lt;=11)*(BULK_END&gt;=11))*IFERROR(BULK_VALUE,0))/MAX(1,SUMPRODUCT(((BULK_ENABLED="Y")*((BULK_TIER="ALL")+(BULK_TIER=$F247))*((BULK_SKU="ALL")+(BULK_SKU=$G247))*(BULK_START&lt;=11)*(BULK_END&gt;=11)))),0),ROUND((INDEX(VELOCITY_TABLE,MATCH($F247,TIER_LIST,0),3))*(IF((11-$I247+1)&lt;=0,0,IF((11-$I247+1)=1,RAMP_W1,IF((11-$I247+1)=2,RAMP_W2,IF((11-$I247+1)=3,RAMP_W3,RAMP_W4PLUS)))))*(INDEX(ACTIVE_MULT_TABLE,3,1))*(1+SUMPRODUCT(SIGN(((ACT_DOOR_SCOPE="ALL")+(ACT_DOOR_SCOPE="TIER_"&amp;$F247)+(ACT_DOOR_SCOPE=$B247)))*SIGN(((ACT_SKU_SCOPE="ALL")+(ACT_SKU_SCOPE=$G247)))*(ACT_START&lt;=11)*(ACT_END&gt;=11)*IFERROR(ACT_UPLIFT-1,0)))*(1+SUMPRODUCT(SIGN(((ACT_DOOR_SCOPE="ALL")+(ACT_DOOR_SCOPE="TIER_"&amp;$F247)+(ACT_DOOR_SCOPE=$B247)))*SIGN(((ACT_SKU_SCOPE="ALL")+(ACT_SKU_SCOPE=$G247)))*(11&gt;ACT_END)*(ACT_END&gt;0)*IFERROR(ACT_POSTLIFT,0))),0)))</f>
        <v/>
      </c>
      <c r="U247" s="10">
        <f>IF(OR($H247&lt;&gt;"Y",12&lt;$I247),0,IF(SUMPRODUCT(((BULK_ENABLED="Y")*((BULK_TIER="ALL")+(BULK_TIER=$F247))*((BULK_SKU="ALL")+(BULK_SKU=$G247))*(BULK_START&lt;=12)*(BULK_END&gt;=12)))&gt;0,IFERROR(SUMPRODUCT(((BULK_ENABLED="Y")*((BULK_TIER="ALL")+(BULK_TIER=$F247))*((BULK_SKU="ALL")+(BULK_SKU=$G247))*(BULK_START&lt;=12)*(BULK_END&gt;=12))*IFERROR(BULK_VALUE,0))/MAX(1,SUMPRODUCT(((BULK_ENABLED="Y")*((BULK_TIER="ALL")+(BULK_TIER=$F247))*((BULK_SKU="ALL")+(BULK_SKU=$G247))*(BULK_START&lt;=12)*(BULK_END&gt;=12)))),0),ROUND((INDEX(VELOCITY_TABLE,MATCH($F247,TIER_LIST,0),3))*(IF((12-$I247+1)&lt;=0,0,IF((12-$I247+1)=1,RAMP_W1,IF((12-$I247+1)=2,RAMP_W2,IF((12-$I247+1)=3,RAMP_W3,RAMP_W4PLUS)))))*(INDEX(ACTIVE_MULT_TABLE,3,1))*(1+SUMPRODUCT(SIGN(((ACT_DOOR_SCOPE="ALL")+(ACT_DOOR_SCOPE="TIER_"&amp;$F247)+(ACT_DOOR_SCOPE=$B247)))*SIGN(((ACT_SKU_SCOPE="ALL")+(ACT_SKU_SCOPE=$G247)))*(ACT_START&lt;=12)*(ACT_END&gt;=12)*IFERROR(ACT_UPLIFT-1,0)))*(1+SUMPRODUCT(SIGN(((ACT_DOOR_SCOPE="ALL")+(ACT_DOOR_SCOPE="TIER_"&amp;$F247)+(ACT_DOOR_SCOPE=$B247)))*SIGN(((ACT_SKU_SCOPE="ALL")+(ACT_SKU_SCOPE=$G247)))*(12&gt;ACT_END)*(ACT_END&gt;0)*IFERROR(ACT_POSTLIFT,0))),0)))</f>
        <v/>
      </c>
      <c r="V247" s="10">
        <f>IF(OR($H247&lt;&gt;"Y",13&lt;$I247),0,IF(SUMPRODUCT(((BULK_ENABLED="Y")*((BULK_TIER="ALL")+(BULK_TIER=$F247))*((BULK_SKU="ALL")+(BULK_SKU=$G247))*(BULK_START&lt;=13)*(BULK_END&gt;=13)))&gt;0,IFERROR(SUMPRODUCT(((BULK_ENABLED="Y")*((BULK_TIER="ALL")+(BULK_TIER=$F247))*((BULK_SKU="ALL")+(BULK_SKU=$G247))*(BULK_START&lt;=13)*(BULK_END&gt;=13))*IFERROR(BULK_VALUE,0))/MAX(1,SUMPRODUCT(((BULK_ENABLED="Y")*((BULK_TIER="ALL")+(BULK_TIER=$F247))*((BULK_SKU="ALL")+(BULK_SKU=$G247))*(BULK_START&lt;=13)*(BULK_END&gt;=13)))),0),ROUND((INDEX(VELOCITY_TABLE,MATCH($F247,TIER_LIST,0),3))*(IF((13-$I247+1)&lt;=0,0,IF((13-$I247+1)=1,RAMP_W1,IF((13-$I247+1)=2,RAMP_W2,IF((13-$I247+1)=3,RAMP_W3,RAMP_W4PLUS)))))*(INDEX(ACTIVE_MULT_TABLE,3,1))*(1+SUMPRODUCT(SIGN(((ACT_DOOR_SCOPE="ALL")+(ACT_DOOR_SCOPE="TIER_"&amp;$F247)+(ACT_DOOR_SCOPE=$B247)))*SIGN(((ACT_SKU_SCOPE="ALL")+(ACT_SKU_SCOPE=$G247)))*(ACT_START&lt;=13)*(ACT_END&gt;=13)*IFERROR(ACT_UPLIFT-1,0)))*(1+SUMPRODUCT(SIGN(((ACT_DOOR_SCOPE="ALL")+(ACT_DOOR_SCOPE="TIER_"&amp;$F247)+(ACT_DOOR_SCOPE=$B247)))*SIGN(((ACT_SKU_SCOPE="ALL")+(ACT_SKU_SCOPE=$G247)))*(13&gt;ACT_END)*(ACT_END&gt;0)*IFERROR(ACT_POSTLIFT,0))),0)))</f>
        <v/>
      </c>
    </row>
    <row r="248">
      <c r="A248" t="inlineStr">
        <is>
          <t>R0244</t>
        </is>
      </c>
      <c r="B248">
        <f>Doors!$A$86</f>
        <v/>
      </c>
      <c r="C248">
        <f>Doors!$C$86</f>
        <v/>
      </c>
      <c r="D248">
        <f>Doors!$B$86</f>
        <v/>
      </c>
      <c r="E248">
        <f>Doors!$E$86</f>
        <v/>
      </c>
      <c r="F248">
        <f>Doors!$F$86</f>
        <v/>
      </c>
      <c r="G248" t="inlineStr">
        <is>
          <t>Lime Lemon</t>
        </is>
      </c>
      <c r="H248">
        <f>Doors!$G$86</f>
        <v/>
      </c>
      <c r="I248">
        <f>Doors!$J$86</f>
        <v/>
      </c>
      <c r="J248" s="10">
        <f>IF(OR($H248&lt;&gt;"Y",1&lt;$I248),0,IF(SUMPRODUCT(((BULK_ENABLED="Y")*((BULK_TIER="ALL")+(BULK_TIER=$F248))*((BULK_SKU="ALL")+(BULK_SKU=$G248))*(BULK_START&lt;=1)*(BULK_END&gt;=1)))&gt;0,IFERROR(SUMPRODUCT(((BULK_ENABLED="Y")*((BULK_TIER="ALL")+(BULK_TIER=$F248))*((BULK_SKU="ALL")+(BULK_SKU=$G248))*(BULK_START&lt;=1)*(BULK_END&gt;=1))*IFERROR(BULK_VALUE,0))/MAX(1,SUMPRODUCT(((BULK_ENABLED="Y")*((BULK_TIER="ALL")+(BULK_TIER=$F248))*((BULK_SKU="ALL")+(BULK_SKU=$G248))*(BULK_START&lt;=1)*(BULK_END&gt;=1)))),0),ROUND((INDEX(VELOCITY_TABLE,MATCH($F248,TIER_LIST,0),1))*(IF((1-$I248+1)&lt;=0,0,IF((1-$I248+1)=1,RAMP_W1,IF((1-$I248+1)=2,RAMP_W2,IF((1-$I248+1)=3,RAMP_W3,RAMP_W4PLUS)))))*(INDEX(ACTIVE_MULT_TABLE,1,1))*(1+SUMPRODUCT(SIGN(((ACT_DOOR_SCOPE="ALL")+(ACT_DOOR_SCOPE="TIER_"&amp;$F248)+(ACT_DOOR_SCOPE=$B248)))*SIGN(((ACT_SKU_SCOPE="ALL")+(ACT_SKU_SCOPE=$G248)))*(ACT_START&lt;=1)*(ACT_END&gt;=1)*IFERROR(ACT_UPLIFT-1,0)))*(1+SUMPRODUCT(SIGN(((ACT_DOOR_SCOPE="ALL")+(ACT_DOOR_SCOPE="TIER_"&amp;$F248)+(ACT_DOOR_SCOPE=$B248)))*SIGN(((ACT_SKU_SCOPE="ALL")+(ACT_SKU_SCOPE=$G248)))*(1&gt;ACT_END)*(ACT_END&gt;0)*IFERROR(ACT_POSTLIFT,0))),0)))</f>
        <v/>
      </c>
      <c r="K248" s="10">
        <f>IF(OR($H248&lt;&gt;"Y",2&lt;$I248),0,IF(SUMPRODUCT(((BULK_ENABLED="Y")*((BULK_TIER="ALL")+(BULK_TIER=$F248))*((BULK_SKU="ALL")+(BULK_SKU=$G248))*(BULK_START&lt;=2)*(BULK_END&gt;=2)))&gt;0,IFERROR(SUMPRODUCT(((BULK_ENABLED="Y")*((BULK_TIER="ALL")+(BULK_TIER=$F248))*((BULK_SKU="ALL")+(BULK_SKU=$G248))*(BULK_START&lt;=2)*(BULK_END&gt;=2))*IFERROR(BULK_VALUE,0))/MAX(1,SUMPRODUCT(((BULK_ENABLED="Y")*((BULK_TIER="ALL")+(BULK_TIER=$F248))*((BULK_SKU="ALL")+(BULK_SKU=$G248))*(BULK_START&lt;=2)*(BULK_END&gt;=2)))),0),ROUND((INDEX(VELOCITY_TABLE,MATCH($F248,TIER_LIST,0),1))*(IF((2-$I248+1)&lt;=0,0,IF((2-$I248+1)=1,RAMP_W1,IF((2-$I248+1)=2,RAMP_W2,IF((2-$I248+1)=3,RAMP_W3,RAMP_W4PLUS)))))*(INDEX(ACTIVE_MULT_TABLE,1,1))*(1+SUMPRODUCT(SIGN(((ACT_DOOR_SCOPE="ALL")+(ACT_DOOR_SCOPE="TIER_"&amp;$F248)+(ACT_DOOR_SCOPE=$B248)))*SIGN(((ACT_SKU_SCOPE="ALL")+(ACT_SKU_SCOPE=$G248)))*(ACT_START&lt;=2)*(ACT_END&gt;=2)*IFERROR(ACT_UPLIFT-1,0)))*(1+SUMPRODUCT(SIGN(((ACT_DOOR_SCOPE="ALL")+(ACT_DOOR_SCOPE="TIER_"&amp;$F248)+(ACT_DOOR_SCOPE=$B248)))*SIGN(((ACT_SKU_SCOPE="ALL")+(ACT_SKU_SCOPE=$G248)))*(2&gt;ACT_END)*(ACT_END&gt;0)*IFERROR(ACT_POSTLIFT,0))),0)))</f>
        <v/>
      </c>
      <c r="L248" s="10">
        <f>IF(OR($H248&lt;&gt;"Y",3&lt;$I248),0,IF(SUMPRODUCT(((BULK_ENABLED="Y")*((BULK_TIER="ALL")+(BULK_TIER=$F248))*((BULK_SKU="ALL")+(BULK_SKU=$G248))*(BULK_START&lt;=3)*(BULK_END&gt;=3)))&gt;0,IFERROR(SUMPRODUCT(((BULK_ENABLED="Y")*((BULK_TIER="ALL")+(BULK_TIER=$F248))*((BULK_SKU="ALL")+(BULK_SKU=$G248))*(BULK_START&lt;=3)*(BULK_END&gt;=3))*IFERROR(BULK_VALUE,0))/MAX(1,SUMPRODUCT(((BULK_ENABLED="Y")*((BULK_TIER="ALL")+(BULK_TIER=$F248))*((BULK_SKU="ALL")+(BULK_SKU=$G248))*(BULK_START&lt;=3)*(BULK_END&gt;=3)))),0),ROUND((INDEX(VELOCITY_TABLE,MATCH($F248,TIER_LIST,0),1))*(IF((3-$I248+1)&lt;=0,0,IF((3-$I248+1)=1,RAMP_W1,IF((3-$I248+1)=2,RAMP_W2,IF((3-$I248+1)=3,RAMP_W3,RAMP_W4PLUS)))))*(INDEX(ACTIVE_MULT_TABLE,1,1))*(1+SUMPRODUCT(SIGN(((ACT_DOOR_SCOPE="ALL")+(ACT_DOOR_SCOPE="TIER_"&amp;$F248)+(ACT_DOOR_SCOPE=$B248)))*SIGN(((ACT_SKU_SCOPE="ALL")+(ACT_SKU_SCOPE=$G248)))*(ACT_START&lt;=3)*(ACT_END&gt;=3)*IFERROR(ACT_UPLIFT-1,0)))*(1+SUMPRODUCT(SIGN(((ACT_DOOR_SCOPE="ALL")+(ACT_DOOR_SCOPE="TIER_"&amp;$F248)+(ACT_DOOR_SCOPE=$B248)))*SIGN(((ACT_SKU_SCOPE="ALL")+(ACT_SKU_SCOPE=$G248)))*(3&gt;ACT_END)*(ACT_END&gt;0)*IFERROR(ACT_POSTLIFT,0))),0)))</f>
        <v/>
      </c>
      <c r="M248" s="10">
        <f>IF(OR($H248&lt;&gt;"Y",4&lt;$I248),0,IF(SUMPRODUCT(((BULK_ENABLED="Y")*((BULK_TIER="ALL")+(BULK_TIER=$F248))*((BULK_SKU="ALL")+(BULK_SKU=$G248))*(BULK_START&lt;=4)*(BULK_END&gt;=4)))&gt;0,IFERROR(SUMPRODUCT(((BULK_ENABLED="Y")*((BULK_TIER="ALL")+(BULK_TIER=$F248))*((BULK_SKU="ALL")+(BULK_SKU=$G248))*(BULK_START&lt;=4)*(BULK_END&gt;=4))*IFERROR(BULK_VALUE,0))/MAX(1,SUMPRODUCT(((BULK_ENABLED="Y")*((BULK_TIER="ALL")+(BULK_TIER=$F248))*((BULK_SKU="ALL")+(BULK_SKU=$G248))*(BULK_START&lt;=4)*(BULK_END&gt;=4)))),0),ROUND((INDEX(VELOCITY_TABLE,MATCH($F248,TIER_LIST,0),1))*(IF((4-$I248+1)&lt;=0,0,IF((4-$I248+1)=1,RAMP_W1,IF((4-$I248+1)=2,RAMP_W2,IF((4-$I248+1)=3,RAMP_W3,RAMP_W4PLUS)))))*(INDEX(ACTIVE_MULT_TABLE,1,1))*(1+SUMPRODUCT(SIGN(((ACT_DOOR_SCOPE="ALL")+(ACT_DOOR_SCOPE="TIER_"&amp;$F248)+(ACT_DOOR_SCOPE=$B248)))*SIGN(((ACT_SKU_SCOPE="ALL")+(ACT_SKU_SCOPE=$G248)))*(ACT_START&lt;=4)*(ACT_END&gt;=4)*IFERROR(ACT_UPLIFT-1,0)))*(1+SUMPRODUCT(SIGN(((ACT_DOOR_SCOPE="ALL")+(ACT_DOOR_SCOPE="TIER_"&amp;$F248)+(ACT_DOOR_SCOPE=$B248)))*SIGN(((ACT_SKU_SCOPE="ALL")+(ACT_SKU_SCOPE=$G248)))*(4&gt;ACT_END)*(ACT_END&gt;0)*IFERROR(ACT_POSTLIFT,0))),0)))</f>
        <v/>
      </c>
      <c r="N248" s="10">
        <f>IF(OR($H248&lt;&gt;"Y",5&lt;$I248),0,IF(SUMPRODUCT(((BULK_ENABLED="Y")*((BULK_TIER="ALL")+(BULK_TIER=$F248))*((BULK_SKU="ALL")+(BULK_SKU=$G248))*(BULK_START&lt;=5)*(BULK_END&gt;=5)))&gt;0,IFERROR(SUMPRODUCT(((BULK_ENABLED="Y")*((BULK_TIER="ALL")+(BULK_TIER=$F248))*((BULK_SKU="ALL")+(BULK_SKU=$G248))*(BULK_START&lt;=5)*(BULK_END&gt;=5))*IFERROR(BULK_VALUE,0))/MAX(1,SUMPRODUCT(((BULK_ENABLED="Y")*((BULK_TIER="ALL")+(BULK_TIER=$F248))*((BULK_SKU="ALL")+(BULK_SKU=$G248))*(BULK_START&lt;=5)*(BULK_END&gt;=5)))),0),ROUND((INDEX(VELOCITY_TABLE,MATCH($F248,TIER_LIST,0),1))*(IF((5-$I248+1)&lt;=0,0,IF((5-$I248+1)=1,RAMP_W1,IF((5-$I248+1)=2,RAMP_W2,IF((5-$I248+1)=3,RAMP_W3,RAMP_W4PLUS)))))*(INDEX(ACTIVE_MULT_TABLE,1,1))*(1+SUMPRODUCT(SIGN(((ACT_DOOR_SCOPE="ALL")+(ACT_DOOR_SCOPE="TIER_"&amp;$F248)+(ACT_DOOR_SCOPE=$B248)))*SIGN(((ACT_SKU_SCOPE="ALL")+(ACT_SKU_SCOPE=$G248)))*(ACT_START&lt;=5)*(ACT_END&gt;=5)*IFERROR(ACT_UPLIFT-1,0)))*(1+SUMPRODUCT(SIGN(((ACT_DOOR_SCOPE="ALL")+(ACT_DOOR_SCOPE="TIER_"&amp;$F248)+(ACT_DOOR_SCOPE=$B248)))*SIGN(((ACT_SKU_SCOPE="ALL")+(ACT_SKU_SCOPE=$G248)))*(5&gt;ACT_END)*(ACT_END&gt;0)*IFERROR(ACT_POSTLIFT,0))),0)))</f>
        <v/>
      </c>
      <c r="O248" s="10">
        <f>IF(OR($H248&lt;&gt;"Y",6&lt;$I248),0,IF(SUMPRODUCT(((BULK_ENABLED="Y")*((BULK_TIER="ALL")+(BULK_TIER=$F248))*((BULK_SKU="ALL")+(BULK_SKU=$G248))*(BULK_START&lt;=6)*(BULK_END&gt;=6)))&gt;0,IFERROR(SUMPRODUCT(((BULK_ENABLED="Y")*((BULK_TIER="ALL")+(BULK_TIER=$F248))*((BULK_SKU="ALL")+(BULK_SKU=$G248))*(BULK_START&lt;=6)*(BULK_END&gt;=6))*IFERROR(BULK_VALUE,0))/MAX(1,SUMPRODUCT(((BULK_ENABLED="Y")*((BULK_TIER="ALL")+(BULK_TIER=$F248))*((BULK_SKU="ALL")+(BULK_SKU=$G248))*(BULK_START&lt;=6)*(BULK_END&gt;=6)))),0),ROUND((INDEX(VELOCITY_TABLE,MATCH($F248,TIER_LIST,0),1))*(IF((6-$I248+1)&lt;=0,0,IF((6-$I248+1)=1,RAMP_W1,IF((6-$I248+1)=2,RAMP_W2,IF((6-$I248+1)=3,RAMP_W3,RAMP_W4PLUS)))))*(INDEX(ACTIVE_MULT_TABLE,1,1))*(1+SUMPRODUCT(SIGN(((ACT_DOOR_SCOPE="ALL")+(ACT_DOOR_SCOPE="TIER_"&amp;$F248)+(ACT_DOOR_SCOPE=$B248)))*SIGN(((ACT_SKU_SCOPE="ALL")+(ACT_SKU_SCOPE=$G248)))*(ACT_START&lt;=6)*(ACT_END&gt;=6)*IFERROR(ACT_UPLIFT-1,0)))*(1+SUMPRODUCT(SIGN(((ACT_DOOR_SCOPE="ALL")+(ACT_DOOR_SCOPE="TIER_"&amp;$F248)+(ACT_DOOR_SCOPE=$B248)))*SIGN(((ACT_SKU_SCOPE="ALL")+(ACT_SKU_SCOPE=$G248)))*(6&gt;ACT_END)*(ACT_END&gt;0)*IFERROR(ACT_POSTLIFT,0))),0)))</f>
        <v/>
      </c>
      <c r="P248" s="10">
        <f>IF(OR($H248&lt;&gt;"Y",7&lt;$I248),0,IF(SUMPRODUCT(((BULK_ENABLED="Y")*((BULK_TIER="ALL")+(BULK_TIER=$F248))*((BULK_SKU="ALL")+(BULK_SKU=$G248))*(BULK_START&lt;=7)*(BULK_END&gt;=7)))&gt;0,IFERROR(SUMPRODUCT(((BULK_ENABLED="Y")*((BULK_TIER="ALL")+(BULK_TIER=$F248))*((BULK_SKU="ALL")+(BULK_SKU=$G248))*(BULK_START&lt;=7)*(BULK_END&gt;=7))*IFERROR(BULK_VALUE,0))/MAX(1,SUMPRODUCT(((BULK_ENABLED="Y")*((BULK_TIER="ALL")+(BULK_TIER=$F248))*((BULK_SKU="ALL")+(BULK_SKU=$G248))*(BULK_START&lt;=7)*(BULK_END&gt;=7)))),0),ROUND((INDEX(VELOCITY_TABLE,MATCH($F248,TIER_LIST,0),1))*(IF((7-$I248+1)&lt;=0,0,IF((7-$I248+1)=1,RAMP_W1,IF((7-$I248+1)=2,RAMP_W2,IF((7-$I248+1)=3,RAMP_W3,RAMP_W4PLUS)))))*(INDEX(ACTIVE_MULT_TABLE,1,1))*(1+SUMPRODUCT(SIGN(((ACT_DOOR_SCOPE="ALL")+(ACT_DOOR_SCOPE="TIER_"&amp;$F248)+(ACT_DOOR_SCOPE=$B248)))*SIGN(((ACT_SKU_SCOPE="ALL")+(ACT_SKU_SCOPE=$G248)))*(ACT_START&lt;=7)*(ACT_END&gt;=7)*IFERROR(ACT_UPLIFT-1,0)))*(1+SUMPRODUCT(SIGN(((ACT_DOOR_SCOPE="ALL")+(ACT_DOOR_SCOPE="TIER_"&amp;$F248)+(ACT_DOOR_SCOPE=$B248)))*SIGN(((ACT_SKU_SCOPE="ALL")+(ACT_SKU_SCOPE=$G248)))*(7&gt;ACT_END)*(ACT_END&gt;0)*IFERROR(ACT_POSTLIFT,0))),0)))</f>
        <v/>
      </c>
      <c r="Q248" s="10">
        <f>IF(OR($H248&lt;&gt;"Y",8&lt;$I248),0,IF(SUMPRODUCT(((BULK_ENABLED="Y")*((BULK_TIER="ALL")+(BULK_TIER=$F248))*((BULK_SKU="ALL")+(BULK_SKU=$G248))*(BULK_START&lt;=8)*(BULK_END&gt;=8)))&gt;0,IFERROR(SUMPRODUCT(((BULK_ENABLED="Y")*((BULK_TIER="ALL")+(BULK_TIER=$F248))*((BULK_SKU="ALL")+(BULK_SKU=$G248))*(BULK_START&lt;=8)*(BULK_END&gt;=8))*IFERROR(BULK_VALUE,0))/MAX(1,SUMPRODUCT(((BULK_ENABLED="Y")*((BULK_TIER="ALL")+(BULK_TIER=$F248))*((BULK_SKU="ALL")+(BULK_SKU=$G248))*(BULK_START&lt;=8)*(BULK_END&gt;=8)))),0),ROUND((INDEX(VELOCITY_TABLE,MATCH($F248,TIER_LIST,0),1))*(IF((8-$I248+1)&lt;=0,0,IF((8-$I248+1)=1,RAMP_W1,IF((8-$I248+1)=2,RAMP_W2,IF((8-$I248+1)=3,RAMP_W3,RAMP_W4PLUS)))))*(INDEX(ACTIVE_MULT_TABLE,1,1))*(1+SUMPRODUCT(SIGN(((ACT_DOOR_SCOPE="ALL")+(ACT_DOOR_SCOPE="TIER_"&amp;$F248)+(ACT_DOOR_SCOPE=$B248)))*SIGN(((ACT_SKU_SCOPE="ALL")+(ACT_SKU_SCOPE=$G248)))*(ACT_START&lt;=8)*(ACT_END&gt;=8)*IFERROR(ACT_UPLIFT-1,0)))*(1+SUMPRODUCT(SIGN(((ACT_DOOR_SCOPE="ALL")+(ACT_DOOR_SCOPE="TIER_"&amp;$F248)+(ACT_DOOR_SCOPE=$B248)))*SIGN(((ACT_SKU_SCOPE="ALL")+(ACT_SKU_SCOPE=$G248)))*(8&gt;ACT_END)*(ACT_END&gt;0)*IFERROR(ACT_POSTLIFT,0))),0)))</f>
        <v/>
      </c>
      <c r="R248" s="10">
        <f>IF(OR($H248&lt;&gt;"Y",9&lt;$I248),0,IF(SUMPRODUCT(((BULK_ENABLED="Y")*((BULK_TIER="ALL")+(BULK_TIER=$F248))*((BULK_SKU="ALL")+(BULK_SKU=$G248))*(BULK_START&lt;=9)*(BULK_END&gt;=9)))&gt;0,IFERROR(SUMPRODUCT(((BULK_ENABLED="Y")*((BULK_TIER="ALL")+(BULK_TIER=$F248))*((BULK_SKU="ALL")+(BULK_SKU=$G248))*(BULK_START&lt;=9)*(BULK_END&gt;=9))*IFERROR(BULK_VALUE,0))/MAX(1,SUMPRODUCT(((BULK_ENABLED="Y")*((BULK_TIER="ALL")+(BULK_TIER=$F248))*((BULK_SKU="ALL")+(BULK_SKU=$G248))*(BULK_START&lt;=9)*(BULK_END&gt;=9)))),0),ROUND((INDEX(VELOCITY_TABLE,MATCH($F248,TIER_LIST,0),1))*(IF((9-$I248+1)&lt;=0,0,IF((9-$I248+1)=1,RAMP_W1,IF((9-$I248+1)=2,RAMP_W2,IF((9-$I248+1)=3,RAMP_W3,RAMP_W4PLUS)))))*(INDEX(ACTIVE_MULT_TABLE,1,1))*(1+SUMPRODUCT(SIGN(((ACT_DOOR_SCOPE="ALL")+(ACT_DOOR_SCOPE="TIER_"&amp;$F248)+(ACT_DOOR_SCOPE=$B248)))*SIGN(((ACT_SKU_SCOPE="ALL")+(ACT_SKU_SCOPE=$G248)))*(ACT_START&lt;=9)*(ACT_END&gt;=9)*IFERROR(ACT_UPLIFT-1,0)))*(1+SUMPRODUCT(SIGN(((ACT_DOOR_SCOPE="ALL")+(ACT_DOOR_SCOPE="TIER_"&amp;$F248)+(ACT_DOOR_SCOPE=$B248)))*SIGN(((ACT_SKU_SCOPE="ALL")+(ACT_SKU_SCOPE=$G248)))*(9&gt;ACT_END)*(ACT_END&gt;0)*IFERROR(ACT_POSTLIFT,0))),0)))</f>
        <v/>
      </c>
      <c r="S248" s="10">
        <f>IF(OR($H248&lt;&gt;"Y",10&lt;$I248),0,IF(SUMPRODUCT(((BULK_ENABLED="Y")*((BULK_TIER="ALL")+(BULK_TIER=$F248))*((BULK_SKU="ALL")+(BULK_SKU=$G248))*(BULK_START&lt;=10)*(BULK_END&gt;=10)))&gt;0,IFERROR(SUMPRODUCT(((BULK_ENABLED="Y")*((BULK_TIER="ALL")+(BULK_TIER=$F248))*((BULK_SKU="ALL")+(BULK_SKU=$G248))*(BULK_START&lt;=10)*(BULK_END&gt;=10))*IFERROR(BULK_VALUE,0))/MAX(1,SUMPRODUCT(((BULK_ENABLED="Y")*((BULK_TIER="ALL")+(BULK_TIER=$F248))*((BULK_SKU="ALL")+(BULK_SKU=$G248))*(BULK_START&lt;=10)*(BULK_END&gt;=10)))),0),ROUND((INDEX(VELOCITY_TABLE,MATCH($F248,TIER_LIST,0),1))*(IF((10-$I248+1)&lt;=0,0,IF((10-$I248+1)=1,RAMP_W1,IF((10-$I248+1)=2,RAMP_W2,IF((10-$I248+1)=3,RAMP_W3,RAMP_W4PLUS)))))*(INDEX(ACTIVE_MULT_TABLE,1,1))*(1+SUMPRODUCT(SIGN(((ACT_DOOR_SCOPE="ALL")+(ACT_DOOR_SCOPE="TIER_"&amp;$F248)+(ACT_DOOR_SCOPE=$B248)))*SIGN(((ACT_SKU_SCOPE="ALL")+(ACT_SKU_SCOPE=$G248)))*(ACT_START&lt;=10)*(ACT_END&gt;=10)*IFERROR(ACT_UPLIFT-1,0)))*(1+SUMPRODUCT(SIGN(((ACT_DOOR_SCOPE="ALL")+(ACT_DOOR_SCOPE="TIER_"&amp;$F248)+(ACT_DOOR_SCOPE=$B248)))*SIGN(((ACT_SKU_SCOPE="ALL")+(ACT_SKU_SCOPE=$G248)))*(10&gt;ACT_END)*(ACT_END&gt;0)*IFERROR(ACT_POSTLIFT,0))),0)))</f>
        <v/>
      </c>
      <c r="T248" s="10">
        <f>IF(OR($H248&lt;&gt;"Y",11&lt;$I248),0,IF(SUMPRODUCT(((BULK_ENABLED="Y")*((BULK_TIER="ALL")+(BULK_TIER=$F248))*((BULK_SKU="ALL")+(BULK_SKU=$G248))*(BULK_START&lt;=11)*(BULK_END&gt;=11)))&gt;0,IFERROR(SUMPRODUCT(((BULK_ENABLED="Y")*((BULK_TIER="ALL")+(BULK_TIER=$F248))*((BULK_SKU="ALL")+(BULK_SKU=$G248))*(BULK_START&lt;=11)*(BULK_END&gt;=11))*IFERROR(BULK_VALUE,0))/MAX(1,SUMPRODUCT(((BULK_ENABLED="Y")*((BULK_TIER="ALL")+(BULK_TIER=$F248))*((BULK_SKU="ALL")+(BULK_SKU=$G248))*(BULK_START&lt;=11)*(BULK_END&gt;=11)))),0),ROUND((INDEX(VELOCITY_TABLE,MATCH($F248,TIER_LIST,0),1))*(IF((11-$I248+1)&lt;=0,0,IF((11-$I248+1)=1,RAMP_W1,IF((11-$I248+1)=2,RAMP_W2,IF((11-$I248+1)=3,RAMP_W3,RAMP_W4PLUS)))))*(INDEX(ACTIVE_MULT_TABLE,1,1))*(1+SUMPRODUCT(SIGN(((ACT_DOOR_SCOPE="ALL")+(ACT_DOOR_SCOPE="TIER_"&amp;$F248)+(ACT_DOOR_SCOPE=$B248)))*SIGN(((ACT_SKU_SCOPE="ALL")+(ACT_SKU_SCOPE=$G248)))*(ACT_START&lt;=11)*(ACT_END&gt;=11)*IFERROR(ACT_UPLIFT-1,0)))*(1+SUMPRODUCT(SIGN(((ACT_DOOR_SCOPE="ALL")+(ACT_DOOR_SCOPE="TIER_"&amp;$F248)+(ACT_DOOR_SCOPE=$B248)))*SIGN(((ACT_SKU_SCOPE="ALL")+(ACT_SKU_SCOPE=$G248)))*(11&gt;ACT_END)*(ACT_END&gt;0)*IFERROR(ACT_POSTLIFT,0))),0)))</f>
        <v/>
      </c>
      <c r="U248" s="10">
        <f>IF(OR($H248&lt;&gt;"Y",12&lt;$I248),0,IF(SUMPRODUCT(((BULK_ENABLED="Y")*((BULK_TIER="ALL")+(BULK_TIER=$F248))*((BULK_SKU="ALL")+(BULK_SKU=$G248))*(BULK_START&lt;=12)*(BULK_END&gt;=12)))&gt;0,IFERROR(SUMPRODUCT(((BULK_ENABLED="Y")*((BULK_TIER="ALL")+(BULK_TIER=$F248))*((BULK_SKU="ALL")+(BULK_SKU=$G248))*(BULK_START&lt;=12)*(BULK_END&gt;=12))*IFERROR(BULK_VALUE,0))/MAX(1,SUMPRODUCT(((BULK_ENABLED="Y")*((BULK_TIER="ALL")+(BULK_TIER=$F248))*((BULK_SKU="ALL")+(BULK_SKU=$G248))*(BULK_START&lt;=12)*(BULK_END&gt;=12)))),0),ROUND((INDEX(VELOCITY_TABLE,MATCH($F248,TIER_LIST,0),1))*(IF((12-$I248+1)&lt;=0,0,IF((12-$I248+1)=1,RAMP_W1,IF((12-$I248+1)=2,RAMP_W2,IF((12-$I248+1)=3,RAMP_W3,RAMP_W4PLUS)))))*(INDEX(ACTIVE_MULT_TABLE,1,1))*(1+SUMPRODUCT(SIGN(((ACT_DOOR_SCOPE="ALL")+(ACT_DOOR_SCOPE="TIER_"&amp;$F248)+(ACT_DOOR_SCOPE=$B248)))*SIGN(((ACT_SKU_SCOPE="ALL")+(ACT_SKU_SCOPE=$G248)))*(ACT_START&lt;=12)*(ACT_END&gt;=12)*IFERROR(ACT_UPLIFT-1,0)))*(1+SUMPRODUCT(SIGN(((ACT_DOOR_SCOPE="ALL")+(ACT_DOOR_SCOPE="TIER_"&amp;$F248)+(ACT_DOOR_SCOPE=$B248)))*SIGN(((ACT_SKU_SCOPE="ALL")+(ACT_SKU_SCOPE=$G248)))*(12&gt;ACT_END)*(ACT_END&gt;0)*IFERROR(ACT_POSTLIFT,0))),0)))</f>
        <v/>
      </c>
      <c r="V248" s="10">
        <f>IF(OR($H248&lt;&gt;"Y",13&lt;$I248),0,IF(SUMPRODUCT(((BULK_ENABLED="Y")*((BULK_TIER="ALL")+(BULK_TIER=$F248))*((BULK_SKU="ALL")+(BULK_SKU=$G248))*(BULK_START&lt;=13)*(BULK_END&gt;=13)))&gt;0,IFERROR(SUMPRODUCT(((BULK_ENABLED="Y")*((BULK_TIER="ALL")+(BULK_TIER=$F248))*((BULK_SKU="ALL")+(BULK_SKU=$G248))*(BULK_START&lt;=13)*(BULK_END&gt;=13))*IFERROR(BULK_VALUE,0))/MAX(1,SUMPRODUCT(((BULK_ENABLED="Y")*((BULK_TIER="ALL")+(BULK_TIER=$F248))*((BULK_SKU="ALL")+(BULK_SKU=$G248))*(BULK_START&lt;=13)*(BULK_END&gt;=13)))),0),ROUND((INDEX(VELOCITY_TABLE,MATCH($F248,TIER_LIST,0),1))*(IF((13-$I248+1)&lt;=0,0,IF((13-$I248+1)=1,RAMP_W1,IF((13-$I248+1)=2,RAMP_W2,IF((13-$I248+1)=3,RAMP_W3,RAMP_W4PLUS)))))*(INDEX(ACTIVE_MULT_TABLE,1,1))*(1+SUMPRODUCT(SIGN(((ACT_DOOR_SCOPE="ALL")+(ACT_DOOR_SCOPE="TIER_"&amp;$F248)+(ACT_DOOR_SCOPE=$B248)))*SIGN(((ACT_SKU_SCOPE="ALL")+(ACT_SKU_SCOPE=$G248)))*(ACT_START&lt;=13)*(ACT_END&gt;=13)*IFERROR(ACT_UPLIFT-1,0)))*(1+SUMPRODUCT(SIGN(((ACT_DOOR_SCOPE="ALL")+(ACT_DOOR_SCOPE="TIER_"&amp;$F248)+(ACT_DOOR_SCOPE=$B248)))*SIGN(((ACT_SKU_SCOPE="ALL")+(ACT_SKU_SCOPE=$G248)))*(13&gt;ACT_END)*(ACT_END&gt;0)*IFERROR(ACT_POSTLIFT,0))),0)))</f>
        <v/>
      </c>
    </row>
    <row r="249">
      <c r="A249" t="inlineStr">
        <is>
          <t>R0245</t>
        </is>
      </c>
      <c r="B249">
        <f>Doors!$A$86</f>
        <v/>
      </c>
      <c r="C249">
        <f>Doors!$C$86</f>
        <v/>
      </c>
      <c r="D249">
        <f>Doors!$B$86</f>
        <v/>
      </c>
      <c r="E249">
        <f>Doors!$E$86</f>
        <v/>
      </c>
      <c r="F249">
        <f>Doors!$F$86</f>
        <v/>
      </c>
      <c r="G249" t="inlineStr">
        <is>
          <t>Pineapple Passion Fruit</t>
        </is>
      </c>
      <c r="H249">
        <f>Doors!$H$86</f>
        <v/>
      </c>
      <c r="I249">
        <f>Doors!$J$86</f>
        <v/>
      </c>
      <c r="J249" s="10">
        <f>IF(OR($H249&lt;&gt;"Y",1&lt;$I249),0,IF(SUMPRODUCT(((BULK_ENABLED="Y")*((BULK_TIER="ALL")+(BULK_TIER=$F249))*((BULK_SKU="ALL")+(BULK_SKU=$G249))*(BULK_START&lt;=1)*(BULK_END&gt;=1)))&gt;0,IFERROR(SUMPRODUCT(((BULK_ENABLED="Y")*((BULK_TIER="ALL")+(BULK_TIER=$F249))*((BULK_SKU="ALL")+(BULK_SKU=$G249))*(BULK_START&lt;=1)*(BULK_END&gt;=1))*IFERROR(BULK_VALUE,0))/MAX(1,SUMPRODUCT(((BULK_ENABLED="Y")*((BULK_TIER="ALL")+(BULK_TIER=$F249))*((BULK_SKU="ALL")+(BULK_SKU=$G249))*(BULK_START&lt;=1)*(BULK_END&gt;=1)))),0),ROUND((INDEX(VELOCITY_TABLE,MATCH($F249,TIER_LIST,0),2))*(IF((1-$I249+1)&lt;=0,0,IF((1-$I249+1)=1,RAMP_W1,IF((1-$I249+1)=2,RAMP_W2,IF((1-$I249+1)=3,RAMP_W3,RAMP_W4PLUS)))))*(INDEX(ACTIVE_MULT_TABLE,2,1))*(1+SUMPRODUCT(SIGN(((ACT_DOOR_SCOPE="ALL")+(ACT_DOOR_SCOPE="TIER_"&amp;$F249)+(ACT_DOOR_SCOPE=$B249)))*SIGN(((ACT_SKU_SCOPE="ALL")+(ACT_SKU_SCOPE=$G249)))*(ACT_START&lt;=1)*(ACT_END&gt;=1)*IFERROR(ACT_UPLIFT-1,0)))*(1+SUMPRODUCT(SIGN(((ACT_DOOR_SCOPE="ALL")+(ACT_DOOR_SCOPE="TIER_"&amp;$F249)+(ACT_DOOR_SCOPE=$B249)))*SIGN(((ACT_SKU_SCOPE="ALL")+(ACT_SKU_SCOPE=$G249)))*(1&gt;ACT_END)*(ACT_END&gt;0)*IFERROR(ACT_POSTLIFT,0))),0)))</f>
        <v/>
      </c>
      <c r="K249" s="10">
        <f>IF(OR($H249&lt;&gt;"Y",2&lt;$I249),0,IF(SUMPRODUCT(((BULK_ENABLED="Y")*((BULK_TIER="ALL")+(BULK_TIER=$F249))*((BULK_SKU="ALL")+(BULK_SKU=$G249))*(BULK_START&lt;=2)*(BULK_END&gt;=2)))&gt;0,IFERROR(SUMPRODUCT(((BULK_ENABLED="Y")*((BULK_TIER="ALL")+(BULK_TIER=$F249))*((BULK_SKU="ALL")+(BULK_SKU=$G249))*(BULK_START&lt;=2)*(BULK_END&gt;=2))*IFERROR(BULK_VALUE,0))/MAX(1,SUMPRODUCT(((BULK_ENABLED="Y")*((BULK_TIER="ALL")+(BULK_TIER=$F249))*((BULK_SKU="ALL")+(BULK_SKU=$G249))*(BULK_START&lt;=2)*(BULK_END&gt;=2)))),0),ROUND((INDEX(VELOCITY_TABLE,MATCH($F249,TIER_LIST,0),2))*(IF((2-$I249+1)&lt;=0,0,IF((2-$I249+1)=1,RAMP_W1,IF((2-$I249+1)=2,RAMP_W2,IF((2-$I249+1)=3,RAMP_W3,RAMP_W4PLUS)))))*(INDEX(ACTIVE_MULT_TABLE,2,1))*(1+SUMPRODUCT(SIGN(((ACT_DOOR_SCOPE="ALL")+(ACT_DOOR_SCOPE="TIER_"&amp;$F249)+(ACT_DOOR_SCOPE=$B249)))*SIGN(((ACT_SKU_SCOPE="ALL")+(ACT_SKU_SCOPE=$G249)))*(ACT_START&lt;=2)*(ACT_END&gt;=2)*IFERROR(ACT_UPLIFT-1,0)))*(1+SUMPRODUCT(SIGN(((ACT_DOOR_SCOPE="ALL")+(ACT_DOOR_SCOPE="TIER_"&amp;$F249)+(ACT_DOOR_SCOPE=$B249)))*SIGN(((ACT_SKU_SCOPE="ALL")+(ACT_SKU_SCOPE=$G249)))*(2&gt;ACT_END)*(ACT_END&gt;0)*IFERROR(ACT_POSTLIFT,0))),0)))</f>
        <v/>
      </c>
      <c r="L249" s="10">
        <f>IF(OR($H249&lt;&gt;"Y",3&lt;$I249),0,IF(SUMPRODUCT(((BULK_ENABLED="Y")*((BULK_TIER="ALL")+(BULK_TIER=$F249))*((BULK_SKU="ALL")+(BULK_SKU=$G249))*(BULK_START&lt;=3)*(BULK_END&gt;=3)))&gt;0,IFERROR(SUMPRODUCT(((BULK_ENABLED="Y")*((BULK_TIER="ALL")+(BULK_TIER=$F249))*((BULK_SKU="ALL")+(BULK_SKU=$G249))*(BULK_START&lt;=3)*(BULK_END&gt;=3))*IFERROR(BULK_VALUE,0))/MAX(1,SUMPRODUCT(((BULK_ENABLED="Y")*((BULK_TIER="ALL")+(BULK_TIER=$F249))*((BULK_SKU="ALL")+(BULK_SKU=$G249))*(BULK_START&lt;=3)*(BULK_END&gt;=3)))),0),ROUND((INDEX(VELOCITY_TABLE,MATCH($F249,TIER_LIST,0),2))*(IF((3-$I249+1)&lt;=0,0,IF((3-$I249+1)=1,RAMP_W1,IF((3-$I249+1)=2,RAMP_W2,IF((3-$I249+1)=3,RAMP_W3,RAMP_W4PLUS)))))*(INDEX(ACTIVE_MULT_TABLE,2,1))*(1+SUMPRODUCT(SIGN(((ACT_DOOR_SCOPE="ALL")+(ACT_DOOR_SCOPE="TIER_"&amp;$F249)+(ACT_DOOR_SCOPE=$B249)))*SIGN(((ACT_SKU_SCOPE="ALL")+(ACT_SKU_SCOPE=$G249)))*(ACT_START&lt;=3)*(ACT_END&gt;=3)*IFERROR(ACT_UPLIFT-1,0)))*(1+SUMPRODUCT(SIGN(((ACT_DOOR_SCOPE="ALL")+(ACT_DOOR_SCOPE="TIER_"&amp;$F249)+(ACT_DOOR_SCOPE=$B249)))*SIGN(((ACT_SKU_SCOPE="ALL")+(ACT_SKU_SCOPE=$G249)))*(3&gt;ACT_END)*(ACT_END&gt;0)*IFERROR(ACT_POSTLIFT,0))),0)))</f>
        <v/>
      </c>
      <c r="M249" s="10">
        <f>IF(OR($H249&lt;&gt;"Y",4&lt;$I249),0,IF(SUMPRODUCT(((BULK_ENABLED="Y")*((BULK_TIER="ALL")+(BULK_TIER=$F249))*((BULK_SKU="ALL")+(BULK_SKU=$G249))*(BULK_START&lt;=4)*(BULK_END&gt;=4)))&gt;0,IFERROR(SUMPRODUCT(((BULK_ENABLED="Y")*((BULK_TIER="ALL")+(BULK_TIER=$F249))*((BULK_SKU="ALL")+(BULK_SKU=$G249))*(BULK_START&lt;=4)*(BULK_END&gt;=4))*IFERROR(BULK_VALUE,0))/MAX(1,SUMPRODUCT(((BULK_ENABLED="Y")*((BULK_TIER="ALL")+(BULK_TIER=$F249))*((BULK_SKU="ALL")+(BULK_SKU=$G249))*(BULK_START&lt;=4)*(BULK_END&gt;=4)))),0),ROUND((INDEX(VELOCITY_TABLE,MATCH($F249,TIER_LIST,0),2))*(IF((4-$I249+1)&lt;=0,0,IF((4-$I249+1)=1,RAMP_W1,IF((4-$I249+1)=2,RAMP_W2,IF((4-$I249+1)=3,RAMP_W3,RAMP_W4PLUS)))))*(INDEX(ACTIVE_MULT_TABLE,2,1))*(1+SUMPRODUCT(SIGN(((ACT_DOOR_SCOPE="ALL")+(ACT_DOOR_SCOPE="TIER_"&amp;$F249)+(ACT_DOOR_SCOPE=$B249)))*SIGN(((ACT_SKU_SCOPE="ALL")+(ACT_SKU_SCOPE=$G249)))*(ACT_START&lt;=4)*(ACT_END&gt;=4)*IFERROR(ACT_UPLIFT-1,0)))*(1+SUMPRODUCT(SIGN(((ACT_DOOR_SCOPE="ALL")+(ACT_DOOR_SCOPE="TIER_"&amp;$F249)+(ACT_DOOR_SCOPE=$B249)))*SIGN(((ACT_SKU_SCOPE="ALL")+(ACT_SKU_SCOPE=$G249)))*(4&gt;ACT_END)*(ACT_END&gt;0)*IFERROR(ACT_POSTLIFT,0))),0)))</f>
        <v/>
      </c>
      <c r="N249" s="10">
        <f>IF(OR($H249&lt;&gt;"Y",5&lt;$I249),0,IF(SUMPRODUCT(((BULK_ENABLED="Y")*((BULK_TIER="ALL")+(BULK_TIER=$F249))*((BULK_SKU="ALL")+(BULK_SKU=$G249))*(BULK_START&lt;=5)*(BULK_END&gt;=5)))&gt;0,IFERROR(SUMPRODUCT(((BULK_ENABLED="Y")*((BULK_TIER="ALL")+(BULK_TIER=$F249))*((BULK_SKU="ALL")+(BULK_SKU=$G249))*(BULK_START&lt;=5)*(BULK_END&gt;=5))*IFERROR(BULK_VALUE,0))/MAX(1,SUMPRODUCT(((BULK_ENABLED="Y")*((BULK_TIER="ALL")+(BULK_TIER=$F249))*((BULK_SKU="ALL")+(BULK_SKU=$G249))*(BULK_START&lt;=5)*(BULK_END&gt;=5)))),0),ROUND((INDEX(VELOCITY_TABLE,MATCH($F249,TIER_LIST,0),2))*(IF((5-$I249+1)&lt;=0,0,IF((5-$I249+1)=1,RAMP_W1,IF((5-$I249+1)=2,RAMP_W2,IF((5-$I249+1)=3,RAMP_W3,RAMP_W4PLUS)))))*(INDEX(ACTIVE_MULT_TABLE,2,1))*(1+SUMPRODUCT(SIGN(((ACT_DOOR_SCOPE="ALL")+(ACT_DOOR_SCOPE="TIER_"&amp;$F249)+(ACT_DOOR_SCOPE=$B249)))*SIGN(((ACT_SKU_SCOPE="ALL")+(ACT_SKU_SCOPE=$G249)))*(ACT_START&lt;=5)*(ACT_END&gt;=5)*IFERROR(ACT_UPLIFT-1,0)))*(1+SUMPRODUCT(SIGN(((ACT_DOOR_SCOPE="ALL")+(ACT_DOOR_SCOPE="TIER_"&amp;$F249)+(ACT_DOOR_SCOPE=$B249)))*SIGN(((ACT_SKU_SCOPE="ALL")+(ACT_SKU_SCOPE=$G249)))*(5&gt;ACT_END)*(ACT_END&gt;0)*IFERROR(ACT_POSTLIFT,0))),0)))</f>
        <v/>
      </c>
      <c r="O249" s="10">
        <f>IF(OR($H249&lt;&gt;"Y",6&lt;$I249),0,IF(SUMPRODUCT(((BULK_ENABLED="Y")*((BULK_TIER="ALL")+(BULK_TIER=$F249))*((BULK_SKU="ALL")+(BULK_SKU=$G249))*(BULK_START&lt;=6)*(BULK_END&gt;=6)))&gt;0,IFERROR(SUMPRODUCT(((BULK_ENABLED="Y")*((BULK_TIER="ALL")+(BULK_TIER=$F249))*((BULK_SKU="ALL")+(BULK_SKU=$G249))*(BULK_START&lt;=6)*(BULK_END&gt;=6))*IFERROR(BULK_VALUE,0))/MAX(1,SUMPRODUCT(((BULK_ENABLED="Y")*((BULK_TIER="ALL")+(BULK_TIER=$F249))*((BULK_SKU="ALL")+(BULK_SKU=$G249))*(BULK_START&lt;=6)*(BULK_END&gt;=6)))),0),ROUND((INDEX(VELOCITY_TABLE,MATCH($F249,TIER_LIST,0),2))*(IF((6-$I249+1)&lt;=0,0,IF((6-$I249+1)=1,RAMP_W1,IF((6-$I249+1)=2,RAMP_W2,IF((6-$I249+1)=3,RAMP_W3,RAMP_W4PLUS)))))*(INDEX(ACTIVE_MULT_TABLE,2,1))*(1+SUMPRODUCT(SIGN(((ACT_DOOR_SCOPE="ALL")+(ACT_DOOR_SCOPE="TIER_"&amp;$F249)+(ACT_DOOR_SCOPE=$B249)))*SIGN(((ACT_SKU_SCOPE="ALL")+(ACT_SKU_SCOPE=$G249)))*(ACT_START&lt;=6)*(ACT_END&gt;=6)*IFERROR(ACT_UPLIFT-1,0)))*(1+SUMPRODUCT(SIGN(((ACT_DOOR_SCOPE="ALL")+(ACT_DOOR_SCOPE="TIER_"&amp;$F249)+(ACT_DOOR_SCOPE=$B249)))*SIGN(((ACT_SKU_SCOPE="ALL")+(ACT_SKU_SCOPE=$G249)))*(6&gt;ACT_END)*(ACT_END&gt;0)*IFERROR(ACT_POSTLIFT,0))),0)))</f>
        <v/>
      </c>
      <c r="P249" s="10">
        <f>IF(OR($H249&lt;&gt;"Y",7&lt;$I249),0,IF(SUMPRODUCT(((BULK_ENABLED="Y")*((BULK_TIER="ALL")+(BULK_TIER=$F249))*((BULK_SKU="ALL")+(BULK_SKU=$G249))*(BULK_START&lt;=7)*(BULK_END&gt;=7)))&gt;0,IFERROR(SUMPRODUCT(((BULK_ENABLED="Y")*((BULK_TIER="ALL")+(BULK_TIER=$F249))*((BULK_SKU="ALL")+(BULK_SKU=$G249))*(BULK_START&lt;=7)*(BULK_END&gt;=7))*IFERROR(BULK_VALUE,0))/MAX(1,SUMPRODUCT(((BULK_ENABLED="Y")*((BULK_TIER="ALL")+(BULK_TIER=$F249))*((BULK_SKU="ALL")+(BULK_SKU=$G249))*(BULK_START&lt;=7)*(BULK_END&gt;=7)))),0),ROUND((INDEX(VELOCITY_TABLE,MATCH($F249,TIER_LIST,0),2))*(IF((7-$I249+1)&lt;=0,0,IF((7-$I249+1)=1,RAMP_W1,IF((7-$I249+1)=2,RAMP_W2,IF((7-$I249+1)=3,RAMP_W3,RAMP_W4PLUS)))))*(INDEX(ACTIVE_MULT_TABLE,2,1))*(1+SUMPRODUCT(SIGN(((ACT_DOOR_SCOPE="ALL")+(ACT_DOOR_SCOPE="TIER_"&amp;$F249)+(ACT_DOOR_SCOPE=$B249)))*SIGN(((ACT_SKU_SCOPE="ALL")+(ACT_SKU_SCOPE=$G249)))*(ACT_START&lt;=7)*(ACT_END&gt;=7)*IFERROR(ACT_UPLIFT-1,0)))*(1+SUMPRODUCT(SIGN(((ACT_DOOR_SCOPE="ALL")+(ACT_DOOR_SCOPE="TIER_"&amp;$F249)+(ACT_DOOR_SCOPE=$B249)))*SIGN(((ACT_SKU_SCOPE="ALL")+(ACT_SKU_SCOPE=$G249)))*(7&gt;ACT_END)*(ACT_END&gt;0)*IFERROR(ACT_POSTLIFT,0))),0)))</f>
        <v/>
      </c>
      <c r="Q249" s="10">
        <f>IF(OR($H249&lt;&gt;"Y",8&lt;$I249),0,IF(SUMPRODUCT(((BULK_ENABLED="Y")*((BULK_TIER="ALL")+(BULK_TIER=$F249))*((BULK_SKU="ALL")+(BULK_SKU=$G249))*(BULK_START&lt;=8)*(BULK_END&gt;=8)))&gt;0,IFERROR(SUMPRODUCT(((BULK_ENABLED="Y")*((BULK_TIER="ALL")+(BULK_TIER=$F249))*((BULK_SKU="ALL")+(BULK_SKU=$G249))*(BULK_START&lt;=8)*(BULK_END&gt;=8))*IFERROR(BULK_VALUE,0))/MAX(1,SUMPRODUCT(((BULK_ENABLED="Y")*((BULK_TIER="ALL")+(BULK_TIER=$F249))*((BULK_SKU="ALL")+(BULK_SKU=$G249))*(BULK_START&lt;=8)*(BULK_END&gt;=8)))),0),ROUND((INDEX(VELOCITY_TABLE,MATCH($F249,TIER_LIST,0),2))*(IF((8-$I249+1)&lt;=0,0,IF((8-$I249+1)=1,RAMP_W1,IF((8-$I249+1)=2,RAMP_W2,IF((8-$I249+1)=3,RAMP_W3,RAMP_W4PLUS)))))*(INDEX(ACTIVE_MULT_TABLE,2,1))*(1+SUMPRODUCT(SIGN(((ACT_DOOR_SCOPE="ALL")+(ACT_DOOR_SCOPE="TIER_"&amp;$F249)+(ACT_DOOR_SCOPE=$B249)))*SIGN(((ACT_SKU_SCOPE="ALL")+(ACT_SKU_SCOPE=$G249)))*(ACT_START&lt;=8)*(ACT_END&gt;=8)*IFERROR(ACT_UPLIFT-1,0)))*(1+SUMPRODUCT(SIGN(((ACT_DOOR_SCOPE="ALL")+(ACT_DOOR_SCOPE="TIER_"&amp;$F249)+(ACT_DOOR_SCOPE=$B249)))*SIGN(((ACT_SKU_SCOPE="ALL")+(ACT_SKU_SCOPE=$G249)))*(8&gt;ACT_END)*(ACT_END&gt;0)*IFERROR(ACT_POSTLIFT,0))),0)))</f>
        <v/>
      </c>
      <c r="R249" s="10">
        <f>IF(OR($H249&lt;&gt;"Y",9&lt;$I249),0,IF(SUMPRODUCT(((BULK_ENABLED="Y")*((BULK_TIER="ALL")+(BULK_TIER=$F249))*((BULK_SKU="ALL")+(BULK_SKU=$G249))*(BULK_START&lt;=9)*(BULK_END&gt;=9)))&gt;0,IFERROR(SUMPRODUCT(((BULK_ENABLED="Y")*((BULK_TIER="ALL")+(BULK_TIER=$F249))*((BULK_SKU="ALL")+(BULK_SKU=$G249))*(BULK_START&lt;=9)*(BULK_END&gt;=9))*IFERROR(BULK_VALUE,0))/MAX(1,SUMPRODUCT(((BULK_ENABLED="Y")*((BULK_TIER="ALL")+(BULK_TIER=$F249))*((BULK_SKU="ALL")+(BULK_SKU=$G249))*(BULK_START&lt;=9)*(BULK_END&gt;=9)))),0),ROUND((INDEX(VELOCITY_TABLE,MATCH($F249,TIER_LIST,0),2))*(IF((9-$I249+1)&lt;=0,0,IF((9-$I249+1)=1,RAMP_W1,IF((9-$I249+1)=2,RAMP_W2,IF((9-$I249+1)=3,RAMP_W3,RAMP_W4PLUS)))))*(INDEX(ACTIVE_MULT_TABLE,2,1))*(1+SUMPRODUCT(SIGN(((ACT_DOOR_SCOPE="ALL")+(ACT_DOOR_SCOPE="TIER_"&amp;$F249)+(ACT_DOOR_SCOPE=$B249)))*SIGN(((ACT_SKU_SCOPE="ALL")+(ACT_SKU_SCOPE=$G249)))*(ACT_START&lt;=9)*(ACT_END&gt;=9)*IFERROR(ACT_UPLIFT-1,0)))*(1+SUMPRODUCT(SIGN(((ACT_DOOR_SCOPE="ALL")+(ACT_DOOR_SCOPE="TIER_"&amp;$F249)+(ACT_DOOR_SCOPE=$B249)))*SIGN(((ACT_SKU_SCOPE="ALL")+(ACT_SKU_SCOPE=$G249)))*(9&gt;ACT_END)*(ACT_END&gt;0)*IFERROR(ACT_POSTLIFT,0))),0)))</f>
        <v/>
      </c>
      <c r="S249" s="10">
        <f>IF(OR($H249&lt;&gt;"Y",10&lt;$I249),0,IF(SUMPRODUCT(((BULK_ENABLED="Y")*((BULK_TIER="ALL")+(BULK_TIER=$F249))*((BULK_SKU="ALL")+(BULK_SKU=$G249))*(BULK_START&lt;=10)*(BULK_END&gt;=10)))&gt;0,IFERROR(SUMPRODUCT(((BULK_ENABLED="Y")*((BULK_TIER="ALL")+(BULK_TIER=$F249))*((BULK_SKU="ALL")+(BULK_SKU=$G249))*(BULK_START&lt;=10)*(BULK_END&gt;=10))*IFERROR(BULK_VALUE,0))/MAX(1,SUMPRODUCT(((BULK_ENABLED="Y")*((BULK_TIER="ALL")+(BULK_TIER=$F249))*((BULK_SKU="ALL")+(BULK_SKU=$G249))*(BULK_START&lt;=10)*(BULK_END&gt;=10)))),0),ROUND((INDEX(VELOCITY_TABLE,MATCH($F249,TIER_LIST,0),2))*(IF((10-$I249+1)&lt;=0,0,IF((10-$I249+1)=1,RAMP_W1,IF((10-$I249+1)=2,RAMP_W2,IF((10-$I249+1)=3,RAMP_W3,RAMP_W4PLUS)))))*(INDEX(ACTIVE_MULT_TABLE,2,1))*(1+SUMPRODUCT(SIGN(((ACT_DOOR_SCOPE="ALL")+(ACT_DOOR_SCOPE="TIER_"&amp;$F249)+(ACT_DOOR_SCOPE=$B249)))*SIGN(((ACT_SKU_SCOPE="ALL")+(ACT_SKU_SCOPE=$G249)))*(ACT_START&lt;=10)*(ACT_END&gt;=10)*IFERROR(ACT_UPLIFT-1,0)))*(1+SUMPRODUCT(SIGN(((ACT_DOOR_SCOPE="ALL")+(ACT_DOOR_SCOPE="TIER_"&amp;$F249)+(ACT_DOOR_SCOPE=$B249)))*SIGN(((ACT_SKU_SCOPE="ALL")+(ACT_SKU_SCOPE=$G249)))*(10&gt;ACT_END)*(ACT_END&gt;0)*IFERROR(ACT_POSTLIFT,0))),0)))</f>
        <v/>
      </c>
      <c r="T249" s="10">
        <f>IF(OR($H249&lt;&gt;"Y",11&lt;$I249),0,IF(SUMPRODUCT(((BULK_ENABLED="Y")*((BULK_TIER="ALL")+(BULK_TIER=$F249))*((BULK_SKU="ALL")+(BULK_SKU=$G249))*(BULK_START&lt;=11)*(BULK_END&gt;=11)))&gt;0,IFERROR(SUMPRODUCT(((BULK_ENABLED="Y")*((BULK_TIER="ALL")+(BULK_TIER=$F249))*((BULK_SKU="ALL")+(BULK_SKU=$G249))*(BULK_START&lt;=11)*(BULK_END&gt;=11))*IFERROR(BULK_VALUE,0))/MAX(1,SUMPRODUCT(((BULK_ENABLED="Y")*((BULK_TIER="ALL")+(BULK_TIER=$F249))*((BULK_SKU="ALL")+(BULK_SKU=$G249))*(BULK_START&lt;=11)*(BULK_END&gt;=11)))),0),ROUND((INDEX(VELOCITY_TABLE,MATCH($F249,TIER_LIST,0),2))*(IF((11-$I249+1)&lt;=0,0,IF((11-$I249+1)=1,RAMP_W1,IF((11-$I249+1)=2,RAMP_W2,IF((11-$I249+1)=3,RAMP_W3,RAMP_W4PLUS)))))*(INDEX(ACTIVE_MULT_TABLE,2,1))*(1+SUMPRODUCT(SIGN(((ACT_DOOR_SCOPE="ALL")+(ACT_DOOR_SCOPE="TIER_"&amp;$F249)+(ACT_DOOR_SCOPE=$B249)))*SIGN(((ACT_SKU_SCOPE="ALL")+(ACT_SKU_SCOPE=$G249)))*(ACT_START&lt;=11)*(ACT_END&gt;=11)*IFERROR(ACT_UPLIFT-1,0)))*(1+SUMPRODUCT(SIGN(((ACT_DOOR_SCOPE="ALL")+(ACT_DOOR_SCOPE="TIER_"&amp;$F249)+(ACT_DOOR_SCOPE=$B249)))*SIGN(((ACT_SKU_SCOPE="ALL")+(ACT_SKU_SCOPE=$G249)))*(11&gt;ACT_END)*(ACT_END&gt;0)*IFERROR(ACT_POSTLIFT,0))),0)))</f>
        <v/>
      </c>
      <c r="U249" s="10">
        <f>IF(OR($H249&lt;&gt;"Y",12&lt;$I249),0,IF(SUMPRODUCT(((BULK_ENABLED="Y")*((BULK_TIER="ALL")+(BULK_TIER=$F249))*((BULK_SKU="ALL")+(BULK_SKU=$G249))*(BULK_START&lt;=12)*(BULK_END&gt;=12)))&gt;0,IFERROR(SUMPRODUCT(((BULK_ENABLED="Y")*((BULK_TIER="ALL")+(BULK_TIER=$F249))*((BULK_SKU="ALL")+(BULK_SKU=$G249))*(BULK_START&lt;=12)*(BULK_END&gt;=12))*IFERROR(BULK_VALUE,0))/MAX(1,SUMPRODUCT(((BULK_ENABLED="Y")*((BULK_TIER="ALL")+(BULK_TIER=$F249))*((BULK_SKU="ALL")+(BULK_SKU=$G249))*(BULK_START&lt;=12)*(BULK_END&gt;=12)))),0),ROUND((INDEX(VELOCITY_TABLE,MATCH($F249,TIER_LIST,0),2))*(IF((12-$I249+1)&lt;=0,0,IF((12-$I249+1)=1,RAMP_W1,IF((12-$I249+1)=2,RAMP_W2,IF((12-$I249+1)=3,RAMP_W3,RAMP_W4PLUS)))))*(INDEX(ACTIVE_MULT_TABLE,2,1))*(1+SUMPRODUCT(SIGN(((ACT_DOOR_SCOPE="ALL")+(ACT_DOOR_SCOPE="TIER_"&amp;$F249)+(ACT_DOOR_SCOPE=$B249)))*SIGN(((ACT_SKU_SCOPE="ALL")+(ACT_SKU_SCOPE=$G249)))*(ACT_START&lt;=12)*(ACT_END&gt;=12)*IFERROR(ACT_UPLIFT-1,0)))*(1+SUMPRODUCT(SIGN(((ACT_DOOR_SCOPE="ALL")+(ACT_DOOR_SCOPE="TIER_"&amp;$F249)+(ACT_DOOR_SCOPE=$B249)))*SIGN(((ACT_SKU_SCOPE="ALL")+(ACT_SKU_SCOPE=$G249)))*(12&gt;ACT_END)*(ACT_END&gt;0)*IFERROR(ACT_POSTLIFT,0))),0)))</f>
        <v/>
      </c>
      <c r="V249" s="10">
        <f>IF(OR($H249&lt;&gt;"Y",13&lt;$I249),0,IF(SUMPRODUCT(((BULK_ENABLED="Y")*((BULK_TIER="ALL")+(BULK_TIER=$F249))*((BULK_SKU="ALL")+(BULK_SKU=$G249))*(BULK_START&lt;=13)*(BULK_END&gt;=13)))&gt;0,IFERROR(SUMPRODUCT(((BULK_ENABLED="Y")*((BULK_TIER="ALL")+(BULK_TIER=$F249))*((BULK_SKU="ALL")+(BULK_SKU=$G249))*(BULK_START&lt;=13)*(BULK_END&gt;=13))*IFERROR(BULK_VALUE,0))/MAX(1,SUMPRODUCT(((BULK_ENABLED="Y")*((BULK_TIER="ALL")+(BULK_TIER=$F249))*((BULK_SKU="ALL")+(BULK_SKU=$G249))*(BULK_START&lt;=13)*(BULK_END&gt;=13)))),0),ROUND((INDEX(VELOCITY_TABLE,MATCH($F249,TIER_LIST,0),2))*(IF((13-$I249+1)&lt;=0,0,IF((13-$I249+1)=1,RAMP_W1,IF((13-$I249+1)=2,RAMP_W2,IF((13-$I249+1)=3,RAMP_W3,RAMP_W4PLUS)))))*(INDEX(ACTIVE_MULT_TABLE,2,1))*(1+SUMPRODUCT(SIGN(((ACT_DOOR_SCOPE="ALL")+(ACT_DOOR_SCOPE="TIER_"&amp;$F249)+(ACT_DOOR_SCOPE=$B249)))*SIGN(((ACT_SKU_SCOPE="ALL")+(ACT_SKU_SCOPE=$G249)))*(ACT_START&lt;=13)*(ACT_END&gt;=13)*IFERROR(ACT_UPLIFT-1,0)))*(1+SUMPRODUCT(SIGN(((ACT_DOOR_SCOPE="ALL")+(ACT_DOOR_SCOPE="TIER_"&amp;$F249)+(ACT_DOOR_SCOPE=$B249)))*SIGN(((ACT_SKU_SCOPE="ALL")+(ACT_SKU_SCOPE=$G249)))*(13&gt;ACT_END)*(ACT_END&gt;0)*IFERROR(ACT_POSTLIFT,0))),0)))</f>
        <v/>
      </c>
    </row>
    <row r="250">
      <c r="A250" t="inlineStr">
        <is>
          <t>R0246</t>
        </is>
      </c>
      <c r="B250">
        <f>Doors!$A$86</f>
        <v/>
      </c>
      <c r="C250">
        <f>Doors!$C$86</f>
        <v/>
      </c>
      <c r="D250">
        <f>Doors!$B$86</f>
        <v/>
      </c>
      <c r="E250">
        <f>Doors!$E$86</f>
        <v/>
      </c>
      <c r="F250">
        <f>Doors!$F$86</f>
        <v/>
      </c>
      <c r="G250" t="inlineStr">
        <is>
          <t>Raspberry</t>
        </is>
      </c>
      <c r="H250">
        <f>Doors!$I$86</f>
        <v/>
      </c>
      <c r="I250">
        <f>Doors!$J$86</f>
        <v/>
      </c>
      <c r="J250" s="10">
        <f>IF(OR($H250&lt;&gt;"Y",1&lt;$I250),0,IF(SUMPRODUCT(((BULK_ENABLED="Y")*((BULK_TIER="ALL")+(BULK_TIER=$F250))*((BULK_SKU="ALL")+(BULK_SKU=$G250))*(BULK_START&lt;=1)*(BULK_END&gt;=1)))&gt;0,IFERROR(SUMPRODUCT(((BULK_ENABLED="Y")*((BULK_TIER="ALL")+(BULK_TIER=$F250))*((BULK_SKU="ALL")+(BULK_SKU=$G250))*(BULK_START&lt;=1)*(BULK_END&gt;=1))*IFERROR(BULK_VALUE,0))/MAX(1,SUMPRODUCT(((BULK_ENABLED="Y")*((BULK_TIER="ALL")+(BULK_TIER=$F250))*((BULK_SKU="ALL")+(BULK_SKU=$G250))*(BULK_START&lt;=1)*(BULK_END&gt;=1)))),0),ROUND((INDEX(VELOCITY_TABLE,MATCH($F250,TIER_LIST,0),3))*(IF((1-$I250+1)&lt;=0,0,IF((1-$I250+1)=1,RAMP_W1,IF((1-$I250+1)=2,RAMP_W2,IF((1-$I250+1)=3,RAMP_W3,RAMP_W4PLUS)))))*(INDEX(ACTIVE_MULT_TABLE,3,1))*(1+SUMPRODUCT(SIGN(((ACT_DOOR_SCOPE="ALL")+(ACT_DOOR_SCOPE="TIER_"&amp;$F250)+(ACT_DOOR_SCOPE=$B250)))*SIGN(((ACT_SKU_SCOPE="ALL")+(ACT_SKU_SCOPE=$G250)))*(ACT_START&lt;=1)*(ACT_END&gt;=1)*IFERROR(ACT_UPLIFT-1,0)))*(1+SUMPRODUCT(SIGN(((ACT_DOOR_SCOPE="ALL")+(ACT_DOOR_SCOPE="TIER_"&amp;$F250)+(ACT_DOOR_SCOPE=$B250)))*SIGN(((ACT_SKU_SCOPE="ALL")+(ACT_SKU_SCOPE=$G250)))*(1&gt;ACT_END)*(ACT_END&gt;0)*IFERROR(ACT_POSTLIFT,0))),0)))</f>
        <v/>
      </c>
      <c r="K250" s="10">
        <f>IF(OR($H250&lt;&gt;"Y",2&lt;$I250),0,IF(SUMPRODUCT(((BULK_ENABLED="Y")*((BULK_TIER="ALL")+(BULK_TIER=$F250))*((BULK_SKU="ALL")+(BULK_SKU=$G250))*(BULK_START&lt;=2)*(BULK_END&gt;=2)))&gt;0,IFERROR(SUMPRODUCT(((BULK_ENABLED="Y")*((BULK_TIER="ALL")+(BULK_TIER=$F250))*((BULK_SKU="ALL")+(BULK_SKU=$G250))*(BULK_START&lt;=2)*(BULK_END&gt;=2))*IFERROR(BULK_VALUE,0))/MAX(1,SUMPRODUCT(((BULK_ENABLED="Y")*((BULK_TIER="ALL")+(BULK_TIER=$F250))*((BULK_SKU="ALL")+(BULK_SKU=$G250))*(BULK_START&lt;=2)*(BULK_END&gt;=2)))),0),ROUND((INDEX(VELOCITY_TABLE,MATCH($F250,TIER_LIST,0),3))*(IF((2-$I250+1)&lt;=0,0,IF((2-$I250+1)=1,RAMP_W1,IF((2-$I250+1)=2,RAMP_W2,IF((2-$I250+1)=3,RAMP_W3,RAMP_W4PLUS)))))*(INDEX(ACTIVE_MULT_TABLE,3,1))*(1+SUMPRODUCT(SIGN(((ACT_DOOR_SCOPE="ALL")+(ACT_DOOR_SCOPE="TIER_"&amp;$F250)+(ACT_DOOR_SCOPE=$B250)))*SIGN(((ACT_SKU_SCOPE="ALL")+(ACT_SKU_SCOPE=$G250)))*(ACT_START&lt;=2)*(ACT_END&gt;=2)*IFERROR(ACT_UPLIFT-1,0)))*(1+SUMPRODUCT(SIGN(((ACT_DOOR_SCOPE="ALL")+(ACT_DOOR_SCOPE="TIER_"&amp;$F250)+(ACT_DOOR_SCOPE=$B250)))*SIGN(((ACT_SKU_SCOPE="ALL")+(ACT_SKU_SCOPE=$G250)))*(2&gt;ACT_END)*(ACT_END&gt;0)*IFERROR(ACT_POSTLIFT,0))),0)))</f>
        <v/>
      </c>
      <c r="L250" s="10">
        <f>IF(OR($H250&lt;&gt;"Y",3&lt;$I250),0,IF(SUMPRODUCT(((BULK_ENABLED="Y")*((BULK_TIER="ALL")+(BULK_TIER=$F250))*((BULK_SKU="ALL")+(BULK_SKU=$G250))*(BULK_START&lt;=3)*(BULK_END&gt;=3)))&gt;0,IFERROR(SUMPRODUCT(((BULK_ENABLED="Y")*((BULK_TIER="ALL")+(BULK_TIER=$F250))*((BULK_SKU="ALL")+(BULK_SKU=$G250))*(BULK_START&lt;=3)*(BULK_END&gt;=3))*IFERROR(BULK_VALUE,0))/MAX(1,SUMPRODUCT(((BULK_ENABLED="Y")*((BULK_TIER="ALL")+(BULK_TIER=$F250))*((BULK_SKU="ALL")+(BULK_SKU=$G250))*(BULK_START&lt;=3)*(BULK_END&gt;=3)))),0),ROUND((INDEX(VELOCITY_TABLE,MATCH($F250,TIER_LIST,0),3))*(IF((3-$I250+1)&lt;=0,0,IF((3-$I250+1)=1,RAMP_W1,IF((3-$I250+1)=2,RAMP_W2,IF((3-$I250+1)=3,RAMP_W3,RAMP_W4PLUS)))))*(INDEX(ACTIVE_MULT_TABLE,3,1))*(1+SUMPRODUCT(SIGN(((ACT_DOOR_SCOPE="ALL")+(ACT_DOOR_SCOPE="TIER_"&amp;$F250)+(ACT_DOOR_SCOPE=$B250)))*SIGN(((ACT_SKU_SCOPE="ALL")+(ACT_SKU_SCOPE=$G250)))*(ACT_START&lt;=3)*(ACT_END&gt;=3)*IFERROR(ACT_UPLIFT-1,0)))*(1+SUMPRODUCT(SIGN(((ACT_DOOR_SCOPE="ALL")+(ACT_DOOR_SCOPE="TIER_"&amp;$F250)+(ACT_DOOR_SCOPE=$B250)))*SIGN(((ACT_SKU_SCOPE="ALL")+(ACT_SKU_SCOPE=$G250)))*(3&gt;ACT_END)*(ACT_END&gt;0)*IFERROR(ACT_POSTLIFT,0))),0)))</f>
        <v/>
      </c>
      <c r="M250" s="10">
        <f>IF(OR($H250&lt;&gt;"Y",4&lt;$I250),0,IF(SUMPRODUCT(((BULK_ENABLED="Y")*((BULK_TIER="ALL")+(BULK_TIER=$F250))*((BULK_SKU="ALL")+(BULK_SKU=$G250))*(BULK_START&lt;=4)*(BULK_END&gt;=4)))&gt;0,IFERROR(SUMPRODUCT(((BULK_ENABLED="Y")*((BULK_TIER="ALL")+(BULK_TIER=$F250))*((BULK_SKU="ALL")+(BULK_SKU=$G250))*(BULK_START&lt;=4)*(BULK_END&gt;=4))*IFERROR(BULK_VALUE,0))/MAX(1,SUMPRODUCT(((BULK_ENABLED="Y")*((BULK_TIER="ALL")+(BULK_TIER=$F250))*((BULK_SKU="ALL")+(BULK_SKU=$G250))*(BULK_START&lt;=4)*(BULK_END&gt;=4)))),0),ROUND((INDEX(VELOCITY_TABLE,MATCH($F250,TIER_LIST,0),3))*(IF((4-$I250+1)&lt;=0,0,IF((4-$I250+1)=1,RAMP_W1,IF((4-$I250+1)=2,RAMP_W2,IF((4-$I250+1)=3,RAMP_W3,RAMP_W4PLUS)))))*(INDEX(ACTIVE_MULT_TABLE,3,1))*(1+SUMPRODUCT(SIGN(((ACT_DOOR_SCOPE="ALL")+(ACT_DOOR_SCOPE="TIER_"&amp;$F250)+(ACT_DOOR_SCOPE=$B250)))*SIGN(((ACT_SKU_SCOPE="ALL")+(ACT_SKU_SCOPE=$G250)))*(ACT_START&lt;=4)*(ACT_END&gt;=4)*IFERROR(ACT_UPLIFT-1,0)))*(1+SUMPRODUCT(SIGN(((ACT_DOOR_SCOPE="ALL")+(ACT_DOOR_SCOPE="TIER_"&amp;$F250)+(ACT_DOOR_SCOPE=$B250)))*SIGN(((ACT_SKU_SCOPE="ALL")+(ACT_SKU_SCOPE=$G250)))*(4&gt;ACT_END)*(ACT_END&gt;0)*IFERROR(ACT_POSTLIFT,0))),0)))</f>
        <v/>
      </c>
      <c r="N250" s="10">
        <f>IF(OR($H250&lt;&gt;"Y",5&lt;$I250),0,IF(SUMPRODUCT(((BULK_ENABLED="Y")*((BULK_TIER="ALL")+(BULK_TIER=$F250))*((BULK_SKU="ALL")+(BULK_SKU=$G250))*(BULK_START&lt;=5)*(BULK_END&gt;=5)))&gt;0,IFERROR(SUMPRODUCT(((BULK_ENABLED="Y")*((BULK_TIER="ALL")+(BULK_TIER=$F250))*((BULK_SKU="ALL")+(BULK_SKU=$G250))*(BULK_START&lt;=5)*(BULK_END&gt;=5))*IFERROR(BULK_VALUE,0))/MAX(1,SUMPRODUCT(((BULK_ENABLED="Y")*((BULK_TIER="ALL")+(BULK_TIER=$F250))*((BULK_SKU="ALL")+(BULK_SKU=$G250))*(BULK_START&lt;=5)*(BULK_END&gt;=5)))),0),ROUND((INDEX(VELOCITY_TABLE,MATCH($F250,TIER_LIST,0),3))*(IF((5-$I250+1)&lt;=0,0,IF((5-$I250+1)=1,RAMP_W1,IF((5-$I250+1)=2,RAMP_W2,IF((5-$I250+1)=3,RAMP_W3,RAMP_W4PLUS)))))*(INDEX(ACTIVE_MULT_TABLE,3,1))*(1+SUMPRODUCT(SIGN(((ACT_DOOR_SCOPE="ALL")+(ACT_DOOR_SCOPE="TIER_"&amp;$F250)+(ACT_DOOR_SCOPE=$B250)))*SIGN(((ACT_SKU_SCOPE="ALL")+(ACT_SKU_SCOPE=$G250)))*(ACT_START&lt;=5)*(ACT_END&gt;=5)*IFERROR(ACT_UPLIFT-1,0)))*(1+SUMPRODUCT(SIGN(((ACT_DOOR_SCOPE="ALL")+(ACT_DOOR_SCOPE="TIER_"&amp;$F250)+(ACT_DOOR_SCOPE=$B250)))*SIGN(((ACT_SKU_SCOPE="ALL")+(ACT_SKU_SCOPE=$G250)))*(5&gt;ACT_END)*(ACT_END&gt;0)*IFERROR(ACT_POSTLIFT,0))),0)))</f>
        <v/>
      </c>
      <c r="O250" s="10">
        <f>IF(OR($H250&lt;&gt;"Y",6&lt;$I250),0,IF(SUMPRODUCT(((BULK_ENABLED="Y")*((BULK_TIER="ALL")+(BULK_TIER=$F250))*((BULK_SKU="ALL")+(BULK_SKU=$G250))*(BULK_START&lt;=6)*(BULK_END&gt;=6)))&gt;0,IFERROR(SUMPRODUCT(((BULK_ENABLED="Y")*((BULK_TIER="ALL")+(BULK_TIER=$F250))*((BULK_SKU="ALL")+(BULK_SKU=$G250))*(BULK_START&lt;=6)*(BULK_END&gt;=6))*IFERROR(BULK_VALUE,0))/MAX(1,SUMPRODUCT(((BULK_ENABLED="Y")*((BULK_TIER="ALL")+(BULK_TIER=$F250))*((BULK_SKU="ALL")+(BULK_SKU=$G250))*(BULK_START&lt;=6)*(BULK_END&gt;=6)))),0),ROUND((INDEX(VELOCITY_TABLE,MATCH($F250,TIER_LIST,0),3))*(IF((6-$I250+1)&lt;=0,0,IF((6-$I250+1)=1,RAMP_W1,IF((6-$I250+1)=2,RAMP_W2,IF((6-$I250+1)=3,RAMP_W3,RAMP_W4PLUS)))))*(INDEX(ACTIVE_MULT_TABLE,3,1))*(1+SUMPRODUCT(SIGN(((ACT_DOOR_SCOPE="ALL")+(ACT_DOOR_SCOPE="TIER_"&amp;$F250)+(ACT_DOOR_SCOPE=$B250)))*SIGN(((ACT_SKU_SCOPE="ALL")+(ACT_SKU_SCOPE=$G250)))*(ACT_START&lt;=6)*(ACT_END&gt;=6)*IFERROR(ACT_UPLIFT-1,0)))*(1+SUMPRODUCT(SIGN(((ACT_DOOR_SCOPE="ALL")+(ACT_DOOR_SCOPE="TIER_"&amp;$F250)+(ACT_DOOR_SCOPE=$B250)))*SIGN(((ACT_SKU_SCOPE="ALL")+(ACT_SKU_SCOPE=$G250)))*(6&gt;ACT_END)*(ACT_END&gt;0)*IFERROR(ACT_POSTLIFT,0))),0)))</f>
        <v/>
      </c>
      <c r="P250" s="10">
        <f>IF(OR($H250&lt;&gt;"Y",7&lt;$I250),0,IF(SUMPRODUCT(((BULK_ENABLED="Y")*((BULK_TIER="ALL")+(BULK_TIER=$F250))*((BULK_SKU="ALL")+(BULK_SKU=$G250))*(BULK_START&lt;=7)*(BULK_END&gt;=7)))&gt;0,IFERROR(SUMPRODUCT(((BULK_ENABLED="Y")*((BULK_TIER="ALL")+(BULK_TIER=$F250))*((BULK_SKU="ALL")+(BULK_SKU=$G250))*(BULK_START&lt;=7)*(BULK_END&gt;=7))*IFERROR(BULK_VALUE,0))/MAX(1,SUMPRODUCT(((BULK_ENABLED="Y")*((BULK_TIER="ALL")+(BULK_TIER=$F250))*((BULK_SKU="ALL")+(BULK_SKU=$G250))*(BULK_START&lt;=7)*(BULK_END&gt;=7)))),0),ROUND((INDEX(VELOCITY_TABLE,MATCH($F250,TIER_LIST,0),3))*(IF((7-$I250+1)&lt;=0,0,IF((7-$I250+1)=1,RAMP_W1,IF((7-$I250+1)=2,RAMP_W2,IF((7-$I250+1)=3,RAMP_W3,RAMP_W4PLUS)))))*(INDEX(ACTIVE_MULT_TABLE,3,1))*(1+SUMPRODUCT(SIGN(((ACT_DOOR_SCOPE="ALL")+(ACT_DOOR_SCOPE="TIER_"&amp;$F250)+(ACT_DOOR_SCOPE=$B250)))*SIGN(((ACT_SKU_SCOPE="ALL")+(ACT_SKU_SCOPE=$G250)))*(ACT_START&lt;=7)*(ACT_END&gt;=7)*IFERROR(ACT_UPLIFT-1,0)))*(1+SUMPRODUCT(SIGN(((ACT_DOOR_SCOPE="ALL")+(ACT_DOOR_SCOPE="TIER_"&amp;$F250)+(ACT_DOOR_SCOPE=$B250)))*SIGN(((ACT_SKU_SCOPE="ALL")+(ACT_SKU_SCOPE=$G250)))*(7&gt;ACT_END)*(ACT_END&gt;0)*IFERROR(ACT_POSTLIFT,0))),0)))</f>
        <v/>
      </c>
      <c r="Q250" s="10">
        <f>IF(OR($H250&lt;&gt;"Y",8&lt;$I250),0,IF(SUMPRODUCT(((BULK_ENABLED="Y")*((BULK_TIER="ALL")+(BULK_TIER=$F250))*((BULK_SKU="ALL")+(BULK_SKU=$G250))*(BULK_START&lt;=8)*(BULK_END&gt;=8)))&gt;0,IFERROR(SUMPRODUCT(((BULK_ENABLED="Y")*((BULK_TIER="ALL")+(BULK_TIER=$F250))*((BULK_SKU="ALL")+(BULK_SKU=$G250))*(BULK_START&lt;=8)*(BULK_END&gt;=8))*IFERROR(BULK_VALUE,0))/MAX(1,SUMPRODUCT(((BULK_ENABLED="Y")*((BULK_TIER="ALL")+(BULK_TIER=$F250))*((BULK_SKU="ALL")+(BULK_SKU=$G250))*(BULK_START&lt;=8)*(BULK_END&gt;=8)))),0),ROUND((INDEX(VELOCITY_TABLE,MATCH($F250,TIER_LIST,0),3))*(IF((8-$I250+1)&lt;=0,0,IF((8-$I250+1)=1,RAMP_W1,IF((8-$I250+1)=2,RAMP_W2,IF((8-$I250+1)=3,RAMP_W3,RAMP_W4PLUS)))))*(INDEX(ACTIVE_MULT_TABLE,3,1))*(1+SUMPRODUCT(SIGN(((ACT_DOOR_SCOPE="ALL")+(ACT_DOOR_SCOPE="TIER_"&amp;$F250)+(ACT_DOOR_SCOPE=$B250)))*SIGN(((ACT_SKU_SCOPE="ALL")+(ACT_SKU_SCOPE=$G250)))*(ACT_START&lt;=8)*(ACT_END&gt;=8)*IFERROR(ACT_UPLIFT-1,0)))*(1+SUMPRODUCT(SIGN(((ACT_DOOR_SCOPE="ALL")+(ACT_DOOR_SCOPE="TIER_"&amp;$F250)+(ACT_DOOR_SCOPE=$B250)))*SIGN(((ACT_SKU_SCOPE="ALL")+(ACT_SKU_SCOPE=$G250)))*(8&gt;ACT_END)*(ACT_END&gt;0)*IFERROR(ACT_POSTLIFT,0))),0)))</f>
        <v/>
      </c>
      <c r="R250" s="10">
        <f>IF(OR($H250&lt;&gt;"Y",9&lt;$I250),0,IF(SUMPRODUCT(((BULK_ENABLED="Y")*((BULK_TIER="ALL")+(BULK_TIER=$F250))*((BULK_SKU="ALL")+(BULK_SKU=$G250))*(BULK_START&lt;=9)*(BULK_END&gt;=9)))&gt;0,IFERROR(SUMPRODUCT(((BULK_ENABLED="Y")*((BULK_TIER="ALL")+(BULK_TIER=$F250))*((BULK_SKU="ALL")+(BULK_SKU=$G250))*(BULK_START&lt;=9)*(BULK_END&gt;=9))*IFERROR(BULK_VALUE,0))/MAX(1,SUMPRODUCT(((BULK_ENABLED="Y")*((BULK_TIER="ALL")+(BULK_TIER=$F250))*((BULK_SKU="ALL")+(BULK_SKU=$G250))*(BULK_START&lt;=9)*(BULK_END&gt;=9)))),0),ROUND((INDEX(VELOCITY_TABLE,MATCH($F250,TIER_LIST,0),3))*(IF((9-$I250+1)&lt;=0,0,IF((9-$I250+1)=1,RAMP_W1,IF((9-$I250+1)=2,RAMP_W2,IF((9-$I250+1)=3,RAMP_W3,RAMP_W4PLUS)))))*(INDEX(ACTIVE_MULT_TABLE,3,1))*(1+SUMPRODUCT(SIGN(((ACT_DOOR_SCOPE="ALL")+(ACT_DOOR_SCOPE="TIER_"&amp;$F250)+(ACT_DOOR_SCOPE=$B250)))*SIGN(((ACT_SKU_SCOPE="ALL")+(ACT_SKU_SCOPE=$G250)))*(ACT_START&lt;=9)*(ACT_END&gt;=9)*IFERROR(ACT_UPLIFT-1,0)))*(1+SUMPRODUCT(SIGN(((ACT_DOOR_SCOPE="ALL")+(ACT_DOOR_SCOPE="TIER_"&amp;$F250)+(ACT_DOOR_SCOPE=$B250)))*SIGN(((ACT_SKU_SCOPE="ALL")+(ACT_SKU_SCOPE=$G250)))*(9&gt;ACT_END)*(ACT_END&gt;0)*IFERROR(ACT_POSTLIFT,0))),0)))</f>
        <v/>
      </c>
      <c r="S250" s="10">
        <f>IF(OR($H250&lt;&gt;"Y",10&lt;$I250),0,IF(SUMPRODUCT(((BULK_ENABLED="Y")*((BULK_TIER="ALL")+(BULK_TIER=$F250))*((BULK_SKU="ALL")+(BULK_SKU=$G250))*(BULK_START&lt;=10)*(BULK_END&gt;=10)))&gt;0,IFERROR(SUMPRODUCT(((BULK_ENABLED="Y")*((BULK_TIER="ALL")+(BULK_TIER=$F250))*((BULK_SKU="ALL")+(BULK_SKU=$G250))*(BULK_START&lt;=10)*(BULK_END&gt;=10))*IFERROR(BULK_VALUE,0))/MAX(1,SUMPRODUCT(((BULK_ENABLED="Y")*((BULK_TIER="ALL")+(BULK_TIER=$F250))*((BULK_SKU="ALL")+(BULK_SKU=$G250))*(BULK_START&lt;=10)*(BULK_END&gt;=10)))),0),ROUND((INDEX(VELOCITY_TABLE,MATCH($F250,TIER_LIST,0),3))*(IF((10-$I250+1)&lt;=0,0,IF((10-$I250+1)=1,RAMP_W1,IF((10-$I250+1)=2,RAMP_W2,IF((10-$I250+1)=3,RAMP_W3,RAMP_W4PLUS)))))*(INDEX(ACTIVE_MULT_TABLE,3,1))*(1+SUMPRODUCT(SIGN(((ACT_DOOR_SCOPE="ALL")+(ACT_DOOR_SCOPE="TIER_"&amp;$F250)+(ACT_DOOR_SCOPE=$B250)))*SIGN(((ACT_SKU_SCOPE="ALL")+(ACT_SKU_SCOPE=$G250)))*(ACT_START&lt;=10)*(ACT_END&gt;=10)*IFERROR(ACT_UPLIFT-1,0)))*(1+SUMPRODUCT(SIGN(((ACT_DOOR_SCOPE="ALL")+(ACT_DOOR_SCOPE="TIER_"&amp;$F250)+(ACT_DOOR_SCOPE=$B250)))*SIGN(((ACT_SKU_SCOPE="ALL")+(ACT_SKU_SCOPE=$G250)))*(10&gt;ACT_END)*(ACT_END&gt;0)*IFERROR(ACT_POSTLIFT,0))),0)))</f>
        <v/>
      </c>
      <c r="T250" s="10">
        <f>IF(OR($H250&lt;&gt;"Y",11&lt;$I250),0,IF(SUMPRODUCT(((BULK_ENABLED="Y")*((BULK_TIER="ALL")+(BULK_TIER=$F250))*((BULK_SKU="ALL")+(BULK_SKU=$G250))*(BULK_START&lt;=11)*(BULK_END&gt;=11)))&gt;0,IFERROR(SUMPRODUCT(((BULK_ENABLED="Y")*((BULK_TIER="ALL")+(BULK_TIER=$F250))*((BULK_SKU="ALL")+(BULK_SKU=$G250))*(BULK_START&lt;=11)*(BULK_END&gt;=11))*IFERROR(BULK_VALUE,0))/MAX(1,SUMPRODUCT(((BULK_ENABLED="Y")*((BULK_TIER="ALL")+(BULK_TIER=$F250))*((BULK_SKU="ALL")+(BULK_SKU=$G250))*(BULK_START&lt;=11)*(BULK_END&gt;=11)))),0),ROUND((INDEX(VELOCITY_TABLE,MATCH($F250,TIER_LIST,0),3))*(IF((11-$I250+1)&lt;=0,0,IF((11-$I250+1)=1,RAMP_W1,IF((11-$I250+1)=2,RAMP_W2,IF((11-$I250+1)=3,RAMP_W3,RAMP_W4PLUS)))))*(INDEX(ACTIVE_MULT_TABLE,3,1))*(1+SUMPRODUCT(SIGN(((ACT_DOOR_SCOPE="ALL")+(ACT_DOOR_SCOPE="TIER_"&amp;$F250)+(ACT_DOOR_SCOPE=$B250)))*SIGN(((ACT_SKU_SCOPE="ALL")+(ACT_SKU_SCOPE=$G250)))*(ACT_START&lt;=11)*(ACT_END&gt;=11)*IFERROR(ACT_UPLIFT-1,0)))*(1+SUMPRODUCT(SIGN(((ACT_DOOR_SCOPE="ALL")+(ACT_DOOR_SCOPE="TIER_"&amp;$F250)+(ACT_DOOR_SCOPE=$B250)))*SIGN(((ACT_SKU_SCOPE="ALL")+(ACT_SKU_SCOPE=$G250)))*(11&gt;ACT_END)*(ACT_END&gt;0)*IFERROR(ACT_POSTLIFT,0))),0)))</f>
        <v/>
      </c>
      <c r="U250" s="10">
        <f>IF(OR($H250&lt;&gt;"Y",12&lt;$I250),0,IF(SUMPRODUCT(((BULK_ENABLED="Y")*((BULK_TIER="ALL")+(BULK_TIER=$F250))*((BULK_SKU="ALL")+(BULK_SKU=$G250))*(BULK_START&lt;=12)*(BULK_END&gt;=12)))&gt;0,IFERROR(SUMPRODUCT(((BULK_ENABLED="Y")*((BULK_TIER="ALL")+(BULK_TIER=$F250))*((BULK_SKU="ALL")+(BULK_SKU=$G250))*(BULK_START&lt;=12)*(BULK_END&gt;=12))*IFERROR(BULK_VALUE,0))/MAX(1,SUMPRODUCT(((BULK_ENABLED="Y")*((BULK_TIER="ALL")+(BULK_TIER=$F250))*((BULK_SKU="ALL")+(BULK_SKU=$G250))*(BULK_START&lt;=12)*(BULK_END&gt;=12)))),0),ROUND((INDEX(VELOCITY_TABLE,MATCH($F250,TIER_LIST,0),3))*(IF((12-$I250+1)&lt;=0,0,IF((12-$I250+1)=1,RAMP_W1,IF((12-$I250+1)=2,RAMP_W2,IF((12-$I250+1)=3,RAMP_W3,RAMP_W4PLUS)))))*(INDEX(ACTIVE_MULT_TABLE,3,1))*(1+SUMPRODUCT(SIGN(((ACT_DOOR_SCOPE="ALL")+(ACT_DOOR_SCOPE="TIER_"&amp;$F250)+(ACT_DOOR_SCOPE=$B250)))*SIGN(((ACT_SKU_SCOPE="ALL")+(ACT_SKU_SCOPE=$G250)))*(ACT_START&lt;=12)*(ACT_END&gt;=12)*IFERROR(ACT_UPLIFT-1,0)))*(1+SUMPRODUCT(SIGN(((ACT_DOOR_SCOPE="ALL")+(ACT_DOOR_SCOPE="TIER_"&amp;$F250)+(ACT_DOOR_SCOPE=$B250)))*SIGN(((ACT_SKU_SCOPE="ALL")+(ACT_SKU_SCOPE=$G250)))*(12&gt;ACT_END)*(ACT_END&gt;0)*IFERROR(ACT_POSTLIFT,0))),0)))</f>
        <v/>
      </c>
      <c r="V250" s="10">
        <f>IF(OR($H250&lt;&gt;"Y",13&lt;$I250),0,IF(SUMPRODUCT(((BULK_ENABLED="Y")*((BULK_TIER="ALL")+(BULK_TIER=$F250))*((BULK_SKU="ALL")+(BULK_SKU=$G250))*(BULK_START&lt;=13)*(BULK_END&gt;=13)))&gt;0,IFERROR(SUMPRODUCT(((BULK_ENABLED="Y")*((BULK_TIER="ALL")+(BULK_TIER=$F250))*((BULK_SKU="ALL")+(BULK_SKU=$G250))*(BULK_START&lt;=13)*(BULK_END&gt;=13))*IFERROR(BULK_VALUE,0))/MAX(1,SUMPRODUCT(((BULK_ENABLED="Y")*((BULK_TIER="ALL")+(BULK_TIER=$F250))*((BULK_SKU="ALL")+(BULK_SKU=$G250))*(BULK_START&lt;=13)*(BULK_END&gt;=13)))),0),ROUND((INDEX(VELOCITY_TABLE,MATCH($F250,TIER_LIST,0),3))*(IF((13-$I250+1)&lt;=0,0,IF((13-$I250+1)=1,RAMP_W1,IF((13-$I250+1)=2,RAMP_W2,IF((13-$I250+1)=3,RAMP_W3,RAMP_W4PLUS)))))*(INDEX(ACTIVE_MULT_TABLE,3,1))*(1+SUMPRODUCT(SIGN(((ACT_DOOR_SCOPE="ALL")+(ACT_DOOR_SCOPE="TIER_"&amp;$F250)+(ACT_DOOR_SCOPE=$B250)))*SIGN(((ACT_SKU_SCOPE="ALL")+(ACT_SKU_SCOPE=$G250)))*(ACT_START&lt;=13)*(ACT_END&gt;=13)*IFERROR(ACT_UPLIFT-1,0)))*(1+SUMPRODUCT(SIGN(((ACT_DOOR_SCOPE="ALL")+(ACT_DOOR_SCOPE="TIER_"&amp;$F250)+(ACT_DOOR_SCOPE=$B250)))*SIGN(((ACT_SKU_SCOPE="ALL")+(ACT_SKU_SCOPE=$G250)))*(13&gt;ACT_END)*(ACT_END&gt;0)*IFERROR(ACT_POSTLIFT,0))),0)))</f>
        <v/>
      </c>
    </row>
    <row r="251">
      <c r="A251" t="inlineStr">
        <is>
          <t>R0247</t>
        </is>
      </c>
      <c r="B251">
        <f>Doors!$A$87</f>
        <v/>
      </c>
      <c r="C251">
        <f>Doors!$C$87</f>
        <v/>
      </c>
      <c r="D251">
        <f>Doors!$B$87</f>
        <v/>
      </c>
      <c r="E251">
        <f>Doors!$E$87</f>
        <v/>
      </c>
      <c r="F251">
        <f>Doors!$F$87</f>
        <v/>
      </c>
      <c r="G251" t="inlineStr">
        <is>
          <t>Lime Lemon</t>
        </is>
      </c>
      <c r="H251">
        <f>Doors!$G$87</f>
        <v/>
      </c>
      <c r="I251">
        <f>Doors!$J$87</f>
        <v/>
      </c>
      <c r="J251" s="10">
        <f>IF(OR($H251&lt;&gt;"Y",1&lt;$I251),0,IF(SUMPRODUCT(((BULK_ENABLED="Y")*((BULK_TIER="ALL")+(BULK_TIER=$F251))*((BULK_SKU="ALL")+(BULK_SKU=$G251))*(BULK_START&lt;=1)*(BULK_END&gt;=1)))&gt;0,IFERROR(SUMPRODUCT(((BULK_ENABLED="Y")*((BULK_TIER="ALL")+(BULK_TIER=$F251))*((BULK_SKU="ALL")+(BULK_SKU=$G251))*(BULK_START&lt;=1)*(BULK_END&gt;=1))*IFERROR(BULK_VALUE,0))/MAX(1,SUMPRODUCT(((BULK_ENABLED="Y")*((BULK_TIER="ALL")+(BULK_TIER=$F251))*((BULK_SKU="ALL")+(BULK_SKU=$G251))*(BULK_START&lt;=1)*(BULK_END&gt;=1)))),0),ROUND((INDEX(VELOCITY_TABLE,MATCH($F251,TIER_LIST,0),1))*(IF((1-$I251+1)&lt;=0,0,IF((1-$I251+1)=1,RAMP_W1,IF((1-$I251+1)=2,RAMP_W2,IF((1-$I251+1)=3,RAMP_W3,RAMP_W4PLUS)))))*(INDEX(ACTIVE_MULT_TABLE,1,1))*(1+SUMPRODUCT(SIGN(((ACT_DOOR_SCOPE="ALL")+(ACT_DOOR_SCOPE="TIER_"&amp;$F251)+(ACT_DOOR_SCOPE=$B251)))*SIGN(((ACT_SKU_SCOPE="ALL")+(ACT_SKU_SCOPE=$G251)))*(ACT_START&lt;=1)*(ACT_END&gt;=1)*IFERROR(ACT_UPLIFT-1,0)))*(1+SUMPRODUCT(SIGN(((ACT_DOOR_SCOPE="ALL")+(ACT_DOOR_SCOPE="TIER_"&amp;$F251)+(ACT_DOOR_SCOPE=$B251)))*SIGN(((ACT_SKU_SCOPE="ALL")+(ACT_SKU_SCOPE=$G251)))*(1&gt;ACT_END)*(ACT_END&gt;0)*IFERROR(ACT_POSTLIFT,0))),0)))</f>
        <v/>
      </c>
      <c r="K251" s="10">
        <f>IF(OR($H251&lt;&gt;"Y",2&lt;$I251),0,IF(SUMPRODUCT(((BULK_ENABLED="Y")*((BULK_TIER="ALL")+(BULK_TIER=$F251))*((BULK_SKU="ALL")+(BULK_SKU=$G251))*(BULK_START&lt;=2)*(BULK_END&gt;=2)))&gt;0,IFERROR(SUMPRODUCT(((BULK_ENABLED="Y")*((BULK_TIER="ALL")+(BULK_TIER=$F251))*((BULK_SKU="ALL")+(BULK_SKU=$G251))*(BULK_START&lt;=2)*(BULK_END&gt;=2))*IFERROR(BULK_VALUE,0))/MAX(1,SUMPRODUCT(((BULK_ENABLED="Y")*((BULK_TIER="ALL")+(BULK_TIER=$F251))*((BULK_SKU="ALL")+(BULK_SKU=$G251))*(BULK_START&lt;=2)*(BULK_END&gt;=2)))),0),ROUND((INDEX(VELOCITY_TABLE,MATCH($F251,TIER_LIST,0),1))*(IF((2-$I251+1)&lt;=0,0,IF((2-$I251+1)=1,RAMP_W1,IF((2-$I251+1)=2,RAMP_W2,IF((2-$I251+1)=3,RAMP_W3,RAMP_W4PLUS)))))*(INDEX(ACTIVE_MULT_TABLE,1,1))*(1+SUMPRODUCT(SIGN(((ACT_DOOR_SCOPE="ALL")+(ACT_DOOR_SCOPE="TIER_"&amp;$F251)+(ACT_DOOR_SCOPE=$B251)))*SIGN(((ACT_SKU_SCOPE="ALL")+(ACT_SKU_SCOPE=$G251)))*(ACT_START&lt;=2)*(ACT_END&gt;=2)*IFERROR(ACT_UPLIFT-1,0)))*(1+SUMPRODUCT(SIGN(((ACT_DOOR_SCOPE="ALL")+(ACT_DOOR_SCOPE="TIER_"&amp;$F251)+(ACT_DOOR_SCOPE=$B251)))*SIGN(((ACT_SKU_SCOPE="ALL")+(ACT_SKU_SCOPE=$G251)))*(2&gt;ACT_END)*(ACT_END&gt;0)*IFERROR(ACT_POSTLIFT,0))),0)))</f>
        <v/>
      </c>
      <c r="L251" s="10">
        <f>IF(OR($H251&lt;&gt;"Y",3&lt;$I251),0,IF(SUMPRODUCT(((BULK_ENABLED="Y")*((BULK_TIER="ALL")+(BULK_TIER=$F251))*((BULK_SKU="ALL")+(BULK_SKU=$G251))*(BULK_START&lt;=3)*(BULK_END&gt;=3)))&gt;0,IFERROR(SUMPRODUCT(((BULK_ENABLED="Y")*((BULK_TIER="ALL")+(BULK_TIER=$F251))*((BULK_SKU="ALL")+(BULK_SKU=$G251))*(BULK_START&lt;=3)*(BULK_END&gt;=3))*IFERROR(BULK_VALUE,0))/MAX(1,SUMPRODUCT(((BULK_ENABLED="Y")*((BULK_TIER="ALL")+(BULK_TIER=$F251))*((BULK_SKU="ALL")+(BULK_SKU=$G251))*(BULK_START&lt;=3)*(BULK_END&gt;=3)))),0),ROUND((INDEX(VELOCITY_TABLE,MATCH($F251,TIER_LIST,0),1))*(IF((3-$I251+1)&lt;=0,0,IF((3-$I251+1)=1,RAMP_W1,IF((3-$I251+1)=2,RAMP_W2,IF((3-$I251+1)=3,RAMP_W3,RAMP_W4PLUS)))))*(INDEX(ACTIVE_MULT_TABLE,1,1))*(1+SUMPRODUCT(SIGN(((ACT_DOOR_SCOPE="ALL")+(ACT_DOOR_SCOPE="TIER_"&amp;$F251)+(ACT_DOOR_SCOPE=$B251)))*SIGN(((ACT_SKU_SCOPE="ALL")+(ACT_SKU_SCOPE=$G251)))*(ACT_START&lt;=3)*(ACT_END&gt;=3)*IFERROR(ACT_UPLIFT-1,0)))*(1+SUMPRODUCT(SIGN(((ACT_DOOR_SCOPE="ALL")+(ACT_DOOR_SCOPE="TIER_"&amp;$F251)+(ACT_DOOR_SCOPE=$B251)))*SIGN(((ACT_SKU_SCOPE="ALL")+(ACT_SKU_SCOPE=$G251)))*(3&gt;ACT_END)*(ACT_END&gt;0)*IFERROR(ACT_POSTLIFT,0))),0)))</f>
        <v/>
      </c>
      <c r="M251" s="10">
        <f>IF(OR($H251&lt;&gt;"Y",4&lt;$I251),0,IF(SUMPRODUCT(((BULK_ENABLED="Y")*((BULK_TIER="ALL")+(BULK_TIER=$F251))*((BULK_SKU="ALL")+(BULK_SKU=$G251))*(BULK_START&lt;=4)*(BULK_END&gt;=4)))&gt;0,IFERROR(SUMPRODUCT(((BULK_ENABLED="Y")*((BULK_TIER="ALL")+(BULK_TIER=$F251))*((BULK_SKU="ALL")+(BULK_SKU=$G251))*(BULK_START&lt;=4)*(BULK_END&gt;=4))*IFERROR(BULK_VALUE,0))/MAX(1,SUMPRODUCT(((BULK_ENABLED="Y")*((BULK_TIER="ALL")+(BULK_TIER=$F251))*((BULK_SKU="ALL")+(BULK_SKU=$G251))*(BULK_START&lt;=4)*(BULK_END&gt;=4)))),0),ROUND((INDEX(VELOCITY_TABLE,MATCH($F251,TIER_LIST,0),1))*(IF((4-$I251+1)&lt;=0,0,IF((4-$I251+1)=1,RAMP_W1,IF((4-$I251+1)=2,RAMP_W2,IF((4-$I251+1)=3,RAMP_W3,RAMP_W4PLUS)))))*(INDEX(ACTIVE_MULT_TABLE,1,1))*(1+SUMPRODUCT(SIGN(((ACT_DOOR_SCOPE="ALL")+(ACT_DOOR_SCOPE="TIER_"&amp;$F251)+(ACT_DOOR_SCOPE=$B251)))*SIGN(((ACT_SKU_SCOPE="ALL")+(ACT_SKU_SCOPE=$G251)))*(ACT_START&lt;=4)*(ACT_END&gt;=4)*IFERROR(ACT_UPLIFT-1,0)))*(1+SUMPRODUCT(SIGN(((ACT_DOOR_SCOPE="ALL")+(ACT_DOOR_SCOPE="TIER_"&amp;$F251)+(ACT_DOOR_SCOPE=$B251)))*SIGN(((ACT_SKU_SCOPE="ALL")+(ACT_SKU_SCOPE=$G251)))*(4&gt;ACT_END)*(ACT_END&gt;0)*IFERROR(ACT_POSTLIFT,0))),0)))</f>
        <v/>
      </c>
      <c r="N251" s="10">
        <f>IF(OR($H251&lt;&gt;"Y",5&lt;$I251),0,IF(SUMPRODUCT(((BULK_ENABLED="Y")*((BULK_TIER="ALL")+(BULK_TIER=$F251))*((BULK_SKU="ALL")+(BULK_SKU=$G251))*(BULK_START&lt;=5)*(BULK_END&gt;=5)))&gt;0,IFERROR(SUMPRODUCT(((BULK_ENABLED="Y")*((BULK_TIER="ALL")+(BULK_TIER=$F251))*((BULK_SKU="ALL")+(BULK_SKU=$G251))*(BULK_START&lt;=5)*(BULK_END&gt;=5))*IFERROR(BULK_VALUE,0))/MAX(1,SUMPRODUCT(((BULK_ENABLED="Y")*((BULK_TIER="ALL")+(BULK_TIER=$F251))*((BULK_SKU="ALL")+(BULK_SKU=$G251))*(BULK_START&lt;=5)*(BULK_END&gt;=5)))),0),ROUND((INDEX(VELOCITY_TABLE,MATCH($F251,TIER_LIST,0),1))*(IF((5-$I251+1)&lt;=0,0,IF((5-$I251+1)=1,RAMP_W1,IF((5-$I251+1)=2,RAMP_W2,IF((5-$I251+1)=3,RAMP_W3,RAMP_W4PLUS)))))*(INDEX(ACTIVE_MULT_TABLE,1,1))*(1+SUMPRODUCT(SIGN(((ACT_DOOR_SCOPE="ALL")+(ACT_DOOR_SCOPE="TIER_"&amp;$F251)+(ACT_DOOR_SCOPE=$B251)))*SIGN(((ACT_SKU_SCOPE="ALL")+(ACT_SKU_SCOPE=$G251)))*(ACT_START&lt;=5)*(ACT_END&gt;=5)*IFERROR(ACT_UPLIFT-1,0)))*(1+SUMPRODUCT(SIGN(((ACT_DOOR_SCOPE="ALL")+(ACT_DOOR_SCOPE="TIER_"&amp;$F251)+(ACT_DOOR_SCOPE=$B251)))*SIGN(((ACT_SKU_SCOPE="ALL")+(ACT_SKU_SCOPE=$G251)))*(5&gt;ACT_END)*(ACT_END&gt;0)*IFERROR(ACT_POSTLIFT,0))),0)))</f>
        <v/>
      </c>
      <c r="O251" s="10">
        <f>IF(OR($H251&lt;&gt;"Y",6&lt;$I251),0,IF(SUMPRODUCT(((BULK_ENABLED="Y")*((BULK_TIER="ALL")+(BULK_TIER=$F251))*((BULK_SKU="ALL")+(BULK_SKU=$G251))*(BULK_START&lt;=6)*(BULK_END&gt;=6)))&gt;0,IFERROR(SUMPRODUCT(((BULK_ENABLED="Y")*((BULK_TIER="ALL")+(BULK_TIER=$F251))*((BULK_SKU="ALL")+(BULK_SKU=$G251))*(BULK_START&lt;=6)*(BULK_END&gt;=6))*IFERROR(BULK_VALUE,0))/MAX(1,SUMPRODUCT(((BULK_ENABLED="Y")*((BULK_TIER="ALL")+(BULK_TIER=$F251))*((BULK_SKU="ALL")+(BULK_SKU=$G251))*(BULK_START&lt;=6)*(BULK_END&gt;=6)))),0),ROUND((INDEX(VELOCITY_TABLE,MATCH($F251,TIER_LIST,0),1))*(IF((6-$I251+1)&lt;=0,0,IF((6-$I251+1)=1,RAMP_W1,IF((6-$I251+1)=2,RAMP_W2,IF((6-$I251+1)=3,RAMP_W3,RAMP_W4PLUS)))))*(INDEX(ACTIVE_MULT_TABLE,1,1))*(1+SUMPRODUCT(SIGN(((ACT_DOOR_SCOPE="ALL")+(ACT_DOOR_SCOPE="TIER_"&amp;$F251)+(ACT_DOOR_SCOPE=$B251)))*SIGN(((ACT_SKU_SCOPE="ALL")+(ACT_SKU_SCOPE=$G251)))*(ACT_START&lt;=6)*(ACT_END&gt;=6)*IFERROR(ACT_UPLIFT-1,0)))*(1+SUMPRODUCT(SIGN(((ACT_DOOR_SCOPE="ALL")+(ACT_DOOR_SCOPE="TIER_"&amp;$F251)+(ACT_DOOR_SCOPE=$B251)))*SIGN(((ACT_SKU_SCOPE="ALL")+(ACT_SKU_SCOPE=$G251)))*(6&gt;ACT_END)*(ACT_END&gt;0)*IFERROR(ACT_POSTLIFT,0))),0)))</f>
        <v/>
      </c>
      <c r="P251" s="10">
        <f>IF(OR($H251&lt;&gt;"Y",7&lt;$I251),0,IF(SUMPRODUCT(((BULK_ENABLED="Y")*((BULK_TIER="ALL")+(BULK_TIER=$F251))*((BULK_SKU="ALL")+(BULK_SKU=$G251))*(BULK_START&lt;=7)*(BULK_END&gt;=7)))&gt;0,IFERROR(SUMPRODUCT(((BULK_ENABLED="Y")*((BULK_TIER="ALL")+(BULK_TIER=$F251))*((BULK_SKU="ALL")+(BULK_SKU=$G251))*(BULK_START&lt;=7)*(BULK_END&gt;=7))*IFERROR(BULK_VALUE,0))/MAX(1,SUMPRODUCT(((BULK_ENABLED="Y")*((BULK_TIER="ALL")+(BULK_TIER=$F251))*((BULK_SKU="ALL")+(BULK_SKU=$G251))*(BULK_START&lt;=7)*(BULK_END&gt;=7)))),0),ROUND((INDEX(VELOCITY_TABLE,MATCH($F251,TIER_LIST,0),1))*(IF((7-$I251+1)&lt;=0,0,IF((7-$I251+1)=1,RAMP_W1,IF((7-$I251+1)=2,RAMP_W2,IF((7-$I251+1)=3,RAMP_W3,RAMP_W4PLUS)))))*(INDEX(ACTIVE_MULT_TABLE,1,1))*(1+SUMPRODUCT(SIGN(((ACT_DOOR_SCOPE="ALL")+(ACT_DOOR_SCOPE="TIER_"&amp;$F251)+(ACT_DOOR_SCOPE=$B251)))*SIGN(((ACT_SKU_SCOPE="ALL")+(ACT_SKU_SCOPE=$G251)))*(ACT_START&lt;=7)*(ACT_END&gt;=7)*IFERROR(ACT_UPLIFT-1,0)))*(1+SUMPRODUCT(SIGN(((ACT_DOOR_SCOPE="ALL")+(ACT_DOOR_SCOPE="TIER_"&amp;$F251)+(ACT_DOOR_SCOPE=$B251)))*SIGN(((ACT_SKU_SCOPE="ALL")+(ACT_SKU_SCOPE=$G251)))*(7&gt;ACT_END)*(ACT_END&gt;0)*IFERROR(ACT_POSTLIFT,0))),0)))</f>
        <v/>
      </c>
      <c r="Q251" s="10">
        <f>IF(OR($H251&lt;&gt;"Y",8&lt;$I251),0,IF(SUMPRODUCT(((BULK_ENABLED="Y")*((BULK_TIER="ALL")+(BULK_TIER=$F251))*((BULK_SKU="ALL")+(BULK_SKU=$G251))*(BULK_START&lt;=8)*(BULK_END&gt;=8)))&gt;0,IFERROR(SUMPRODUCT(((BULK_ENABLED="Y")*((BULK_TIER="ALL")+(BULK_TIER=$F251))*((BULK_SKU="ALL")+(BULK_SKU=$G251))*(BULK_START&lt;=8)*(BULK_END&gt;=8))*IFERROR(BULK_VALUE,0))/MAX(1,SUMPRODUCT(((BULK_ENABLED="Y")*((BULK_TIER="ALL")+(BULK_TIER=$F251))*((BULK_SKU="ALL")+(BULK_SKU=$G251))*(BULK_START&lt;=8)*(BULK_END&gt;=8)))),0),ROUND((INDEX(VELOCITY_TABLE,MATCH($F251,TIER_LIST,0),1))*(IF((8-$I251+1)&lt;=0,0,IF((8-$I251+1)=1,RAMP_W1,IF((8-$I251+1)=2,RAMP_W2,IF((8-$I251+1)=3,RAMP_W3,RAMP_W4PLUS)))))*(INDEX(ACTIVE_MULT_TABLE,1,1))*(1+SUMPRODUCT(SIGN(((ACT_DOOR_SCOPE="ALL")+(ACT_DOOR_SCOPE="TIER_"&amp;$F251)+(ACT_DOOR_SCOPE=$B251)))*SIGN(((ACT_SKU_SCOPE="ALL")+(ACT_SKU_SCOPE=$G251)))*(ACT_START&lt;=8)*(ACT_END&gt;=8)*IFERROR(ACT_UPLIFT-1,0)))*(1+SUMPRODUCT(SIGN(((ACT_DOOR_SCOPE="ALL")+(ACT_DOOR_SCOPE="TIER_"&amp;$F251)+(ACT_DOOR_SCOPE=$B251)))*SIGN(((ACT_SKU_SCOPE="ALL")+(ACT_SKU_SCOPE=$G251)))*(8&gt;ACT_END)*(ACT_END&gt;0)*IFERROR(ACT_POSTLIFT,0))),0)))</f>
        <v/>
      </c>
      <c r="R251" s="10">
        <f>IF(OR($H251&lt;&gt;"Y",9&lt;$I251),0,IF(SUMPRODUCT(((BULK_ENABLED="Y")*((BULK_TIER="ALL")+(BULK_TIER=$F251))*((BULK_SKU="ALL")+(BULK_SKU=$G251))*(BULK_START&lt;=9)*(BULK_END&gt;=9)))&gt;0,IFERROR(SUMPRODUCT(((BULK_ENABLED="Y")*((BULK_TIER="ALL")+(BULK_TIER=$F251))*((BULK_SKU="ALL")+(BULK_SKU=$G251))*(BULK_START&lt;=9)*(BULK_END&gt;=9))*IFERROR(BULK_VALUE,0))/MAX(1,SUMPRODUCT(((BULK_ENABLED="Y")*((BULK_TIER="ALL")+(BULK_TIER=$F251))*((BULK_SKU="ALL")+(BULK_SKU=$G251))*(BULK_START&lt;=9)*(BULK_END&gt;=9)))),0),ROUND((INDEX(VELOCITY_TABLE,MATCH($F251,TIER_LIST,0),1))*(IF((9-$I251+1)&lt;=0,0,IF((9-$I251+1)=1,RAMP_W1,IF((9-$I251+1)=2,RAMP_W2,IF((9-$I251+1)=3,RAMP_W3,RAMP_W4PLUS)))))*(INDEX(ACTIVE_MULT_TABLE,1,1))*(1+SUMPRODUCT(SIGN(((ACT_DOOR_SCOPE="ALL")+(ACT_DOOR_SCOPE="TIER_"&amp;$F251)+(ACT_DOOR_SCOPE=$B251)))*SIGN(((ACT_SKU_SCOPE="ALL")+(ACT_SKU_SCOPE=$G251)))*(ACT_START&lt;=9)*(ACT_END&gt;=9)*IFERROR(ACT_UPLIFT-1,0)))*(1+SUMPRODUCT(SIGN(((ACT_DOOR_SCOPE="ALL")+(ACT_DOOR_SCOPE="TIER_"&amp;$F251)+(ACT_DOOR_SCOPE=$B251)))*SIGN(((ACT_SKU_SCOPE="ALL")+(ACT_SKU_SCOPE=$G251)))*(9&gt;ACT_END)*(ACT_END&gt;0)*IFERROR(ACT_POSTLIFT,0))),0)))</f>
        <v/>
      </c>
      <c r="S251" s="10">
        <f>IF(OR($H251&lt;&gt;"Y",10&lt;$I251),0,IF(SUMPRODUCT(((BULK_ENABLED="Y")*((BULK_TIER="ALL")+(BULK_TIER=$F251))*((BULK_SKU="ALL")+(BULK_SKU=$G251))*(BULK_START&lt;=10)*(BULK_END&gt;=10)))&gt;0,IFERROR(SUMPRODUCT(((BULK_ENABLED="Y")*((BULK_TIER="ALL")+(BULK_TIER=$F251))*((BULK_SKU="ALL")+(BULK_SKU=$G251))*(BULK_START&lt;=10)*(BULK_END&gt;=10))*IFERROR(BULK_VALUE,0))/MAX(1,SUMPRODUCT(((BULK_ENABLED="Y")*((BULK_TIER="ALL")+(BULK_TIER=$F251))*((BULK_SKU="ALL")+(BULK_SKU=$G251))*(BULK_START&lt;=10)*(BULK_END&gt;=10)))),0),ROUND((INDEX(VELOCITY_TABLE,MATCH($F251,TIER_LIST,0),1))*(IF((10-$I251+1)&lt;=0,0,IF((10-$I251+1)=1,RAMP_W1,IF((10-$I251+1)=2,RAMP_W2,IF((10-$I251+1)=3,RAMP_W3,RAMP_W4PLUS)))))*(INDEX(ACTIVE_MULT_TABLE,1,1))*(1+SUMPRODUCT(SIGN(((ACT_DOOR_SCOPE="ALL")+(ACT_DOOR_SCOPE="TIER_"&amp;$F251)+(ACT_DOOR_SCOPE=$B251)))*SIGN(((ACT_SKU_SCOPE="ALL")+(ACT_SKU_SCOPE=$G251)))*(ACT_START&lt;=10)*(ACT_END&gt;=10)*IFERROR(ACT_UPLIFT-1,0)))*(1+SUMPRODUCT(SIGN(((ACT_DOOR_SCOPE="ALL")+(ACT_DOOR_SCOPE="TIER_"&amp;$F251)+(ACT_DOOR_SCOPE=$B251)))*SIGN(((ACT_SKU_SCOPE="ALL")+(ACT_SKU_SCOPE=$G251)))*(10&gt;ACT_END)*(ACT_END&gt;0)*IFERROR(ACT_POSTLIFT,0))),0)))</f>
        <v/>
      </c>
      <c r="T251" s="10">
        <f>IF(OR($H251&lt;&gt;"Y",11&lt;$I251),0,IF(SUMPRODUCT(((BULK_ENABLED="Y")*((BULK_TIER="ALL")+(BULK_TIER=$F251))*((BULK_SKU="ALL")+(BULK_SKU=$G251))*(BULK_START&lt;=11)*(BULK_END&gt;=11)))&gt;0,IFERROR(SUMPRODUCT(((BULK_ENABLED="Y")*((BULK_TIER="ALL")+(BULK_TIER=$F251))*((BULK_SKU="ALL")+(BULK_SKU=$G251))*(BULK_START&lt;=11)*(BULK_END&gt;=11))*IFERROR(BULK_VALUE,0))/MAX(1,SUMPRODUCT(((BULK_ENABLED="Y")*((BULK_TIER="ALL")+(BULK_TIER=$F251))*((BULK_SKU="ALL")+(BULK_SKU=$G251))*(BULK_START&lt;=11)*(BULK_END&gt;=11)))),0),ROUND((INDEX(VELOCITY_TABLE,MATCH($F251,TIER_LIST,0),1))*(IF((11-$I251+1)&lt;=0,0,IF((11-$I251+1)=1,RAMP_W1,IF((11-$I251+1)=2,RAMP_W2,IF((11-$I251+1)=3,RAMP_W3,RAMP_W4PLUS)))))*(INDEX(ACTIVE_MULT_TABLE,1,1))*(1+SUMPRODUCT(SIGN(((ACT_DOOR_SCOPE="ALL")+(ACT_DOOR_SCOPE="TIER_"&amp;$F251)+(ACT_DOOR_SCOPE=$B251)))*SIGN(((ACT_SKU_SCOPE="ALL")+(ACT_SKU_SCOPE=$G251)))*(ACT_START&lt;=11)*(ACT_END&gt;=11)*IFERROR(ACT_UPLIFT-1,0)))*(1+SUMPRODUCT(SIGN(((ACT_DOOR_SCOPE="ALL")+(ACT_DOOR_SCOPE="TIER_"&amp;$F251)+(ACT_DOOR_SCOPE=$B251)))*SIGN(((ACT_SKU_SCOPE="ALL")+(ACT_SKU_SCOPE=$G251)))*(11&gt;ACT_END)*(ACT_END&gt;0)*IFERROR(ACT_POSTLIFT,0))),0)))</f>
        <v/>
      </c>
      <c r="U251" s="10">
        <f>IF(OR($H251&lt;&gt;"Y",12&lt;$I251),0,IF(SUMPRODUCT(((BULK_ENABLED="Y")*((BULK_TIER="ALL")+(BULK_TIER=$F251))*((BULK_SKU="ALL")+(BULK_SKU=$G251))*(BULK_START&lt;=12)*(BULK_END&gt;=12)))&gt;0,IFERROR(SUMPRODUCT(((BULK_ENABLED="Y")*((BULK_TIER="ALL")+(BULK_TIER=$F251))*((BULK_SKU="ALL")+(BULK_SKU=$G251))*(BULK_START&lt;=12)*(BULK_END&gt;=12))*IFERROR(BULK_VALUE,0))/MAX(1,SUMPRODUCT(((BULK_ENABLED="Y")*((BULK_TIER="ALL")+(BULK_TIER=$F251))*((BULK_SKU="ALL")+(BULK_SKU=$G251))*(BULK_START&lt;=12)*(BULK_END&gt;=12)))),0),ROUND((INDEX(VELOCITY_TABLE,MATCH($F251,TIER_LIST,0),1))*(IF((12-$I251+1)&lt;=0,0,IF((12-$I251+1)=1,RAMP_W1,IF((12-$I251+1)=2,RAMP_W2,IF((12-$I251+1)=3,RAMP_W3,RAMP_W4PLUS)))))*(INDEX(ACTIVE_MULT_TABLE,1,1))*(1+SUMPRODUCT(SIGN(((ACT_DOOR_SCOPE="ALL")+(ACT_DOOR_SCOPE="TIER_"&amp;$F251)+(ACT_DOOR_SCOPE=$B251)))*SIGN(((ACT_SKU_SCOPE="ALL")+(ACT_SKU_SCOPE=$G251)))*(ACT_START&lt;=12)*(ACT_END&gt;=12)*IFERROR(ACT_UPLIFT-1,0)))*(1+SUMPRODUCT(SIGN(((ACT_DOOR_SCOPE="ALL")+(ACT_DOOR_SCOPE="TIER_"&amp;$F251)+(ACT_DOOR_SCOPE=$B251)))*SIGN(((ACT_SKU_SCOPE="ALL")+(ACT_SKU_SCOPE=$G251)))*(12&gt;ACT_END)*(ACT_END&gt;0)*IFERROR(ACT_POSTLIFT,0))),0)))</f>
        <v/>
      </c>
      <c r="V251" s="10">
        <f>IF(OR($H251&lt;&gt;"Y",13&lt;$I251),0,IF(SUMPRODUCT(((BULK_ENABLED="Y")*((BULK_TIER="ALL")+(BULK_TIER=$F251))*((BULK_SKU="ALL")+(BULK_SKU=$G251))*(BULK_START&lt;=13)*(BULK_END&gt;=13)))&gt;0,IFERROR(SUMPRODUCT(((BULK_ENABLED="Y")*((BULK_TIER="ALL")+(BULK_TIER=$F251))*((BULK_SKU="ALL")+(BULK_SKU=$G251))*(BULK_START&lt;=13)*(BULK_END&gt;=13))*IFERROR(BULK_VALUE,0))/MAX(1,SUMPRODUCT(((BULK_ENABLED="Y")*((BULK_TIER="ALL")+(BULK_TIER=$F251))*((BULK_SKU="ALL")+(BULK_SKU=$G251))*(BULK_START&lt;=13)*(BULK_END&gt;=13)))),0),ROUND((INDEX(VELOCITY_TABLE,MATCH($F251,TIER_LIST,0),1))*(IF((13-$I251+1)&lt;=0,0,IF((13-$I251+1)=1,RAMP_W1,IF((13-$I251+1)=2,RAMP_W2,IF((13-$I251+1)=3,RAMP_W3,RAMP_W4PLUS)))))*(INDEX(ACTIVE_MULT_TABLE,1,1))*(1+SUMPRODUCT(SIGN(((ACT_DOOR_SCOPE="ALL")+(ACT_DOOR_SCOPE="TIER_"&amp;$F251)+(ACT_DOOR_SCOPE=$B251)))*SIGN(((ACT_SKU_SCOPE="ALL")+(ACT_SKU_SCOPE=$G251)))*(ACT_START&lt;=13)*(ACT_END&gt;=13)*IFERROR(ACT_UPLIFT-1,0)))*(1+SUMPRODUCT(SIGN(((ACT_DOOR_SCOPE="ALL")+(ACT_DOOR_SCOPE="TIER_"&amp;$F251)+(ACT_DOOR_SCOPE=$B251)))*SIGN(((ACT_SKU_SCOPE="ALL")+(ACT_SKU_SCOPE=$G251)))*(13&gt;ACT_END)*(ACT_END&gt;0)*IFERROR(ACT_POSTLIFT,0))),0)))</f>
        <v/>
      </c>
    </row>
    <row r="252">
      <c r="A252" t="inlineStr">
        <is>
          <t>R0248</t>
        </is>
      </c>
      <c r="B252">
        <f>Doors!$A$87</f>
        <v/>
      </c>
      <c r="C252">
        <f>Doors!$C$87</f>
        <v/>
      </c>
      <c r="D252">
        <f>Doors!$B$87</f>
        <v/>
      </c>
      <c r="E252">
        <f>Doors!$E$87</f>
        <v/>
      </c>
      <c r="F252">
        <f>Doors!$F$87</f>
        <v/>
      </c>
      <c r="G252" t="inlineStr">
        <is>
          <t>Pineapple Passion Fruit</t>
        </is>
      </c>
      <c r="H252">
        <f>Doors!$H$87</f>
        <v/>
      </c>
      <c r="I252">
        <f>Doors!$J$87</f>
        <v/>
      </c>
      <c r="J252" s="10">
        <f>IF(OR($H252&lt;&gt;"Y",1&lt;$I252),0,IF(SUMPRODUCT(((BULK_ENABLED="Y")*((BULK_TIER="ALL")+(BULK_TIER=$F252))*((BULK_SKU="ALL")+(BULK_SKU=$G252))*(BULK_START&lt;=1)*(BULK_END&gt;=1)))&gt;0,IFERROR(SUMPRODUCT(((BULK_ENABLED="Y")*((BULK_TIER="ALL")+(BULK_TIER=$F252))*((BULK_SKU="ALL")+(BULK_SKU=$G252))*(BULK_START&lt;=1)*(BULK_END&gt;=1))*IFERROR(BULK_VALUE,0))/MAX(1,SUMPRODUCT(((BULK_ENABLED="Y")*((BULK_TIER="ALL")+(BULK_TIER=$F252))*((BULK_SKU="ALL")+(BULK_SKU=$G252))*(BULK_START&lt;=1)*(BULK_END&gt;=1)))),0),ROUND((INDEX(VELOCITY_TABLE,MATCH($F252,TIER_LIST,0),2))*(IF((1-$I252+1)&lt;=0,0,IF((1-$I252+1)=1,RAMP_W1,IF((1-$I252+1)=2,RAMP_W2,IF((1-$I252+1)=3,RAMP_W3,RAMP_W4PLUS)))))*(INDEX(ACTIVE_MULT_TABLE,2,1))*(1+SUMPRODUCT(SIGN(((ACT_DOOR_SCOPE="ALL")+(ACT_DOOR_SCOPE="TIER_"&amp;$F252)+(ACT_DOOR_SCOPE=$B252)))*SIGN(((ACT_SKU_SCOPE="ALL")+(ACT_SKU_SCOPE=$G252)))*(ACT_START&lt;=1)*(ACT_END&gt;=1)*IFERROR(ACT_UPLIFT-1,0)))*(1+SUMPRODUCT(SIGN(((ACT_DOOR_SCOPE="ALL")+(ACT_DOOR_SCOPE="TIER_"&amp;$F252)+(ACT_DOOR_SCOPE=$B252)))*SIGN(((ACT_SKU_SCOPE="ALL")+(ACT_SKU_SCOPE=$G252)))*(1&gt;ACT_END)*(ACT_END&gt;0)*IFERROR(ACT_POSTLIFT,0))),0)))</f>
        <v/>
      </c>
      <c r="K252" s="10">
        <f>IF(OR($H252&lt;&gt;"Y",2&lt;$I252),0,IF(SUMPRODUCT(((BULK_ENABLED="Y")*((BULK_TIER="ALL")+(BULK_TIER=$F252))*((BULK_SKU="ALL")+(BULK_SKU=$G252))*(BULK_START&lt;=2)*(BULK_END&gt;=2)))&gt;0,IFERROR(SUMPRODUCT(((BULK_ENABLED="Y")*((BULK_TIER="ALL")+(BULK_TIER=$F252))*((BULK_SKU="ALL")+(BULK_SKU=$G252))*(BULK_START&lt;=2)*(BULK_END&gt;=2))*IFERROR(BULK_VALUE,0))/MAX(1,SUMPRODUCT(((BULK_ENABLED="Y")*((BULK_TIER="ALL")+(BULK_TIER=$F252))*((BULK_SKU="ALL")+(BULK_SKU=$G252))*(BULK_START&lt;=2)*(BULK_END&gt;=2)))),0),ROUND((INDEX(VELOCITY_TABLE,MATCH($F252,TIER_LIST,0),2))*(IF((2-$I252+1)&lt;=0,0,IF((2-$I252+1)=1,RAMP_W1,IF((2-$I252+1)=2,RAMP_W2,IF((2-$I252+1)=3,RAMP_W3,RAMP_W4PLUS)))))*(INDEX(ACTIVE_MULT_TABLE,2,1))*(1+SUMPRODUCT(SIGN(((ACT_DOOR_SCOPE="ALL")+(ACT_DOOR_SCOPE="TIER_"&amp;$F252)+(ACT_DOOR_SCOPE=$B252)))*SIGN(((ACT_SKU_SCOPE="ALL")+(ACT_SKU_SCOPE=$G252)))*(ACT_START&lt;=2)*(ACT_END&gt;=2)*IFERROR(ACT_UPLIFT-1,0)))*(1+SUMPRODUCT(SIGN(((ACT_DOOR_SCOPE="ALL")+(ACT_DOOR_SCOPE="TIER_"&amp;$F252)+(ACT_DOOR_SCOPE=$B252)))*SIGN(((ACT_SKU_SCOPE="ALL")+(ACT_SKU_SCOPE=$G252)))*(2&gt;ACT_END)*(ACT_END&gt;0)*IFERROR(ACT_POSTLIFT,0))),0)))</f>
        <v/>
      </c>
      <c r="L252" s="10">
        <f>IF(OR($H252&lt;&gt;"Y",3&lt;$I252),0,IF(SUMPRODUCT(((BULK_ENABLED="Y")*((BULK_TIER="ALL")+(BULK_TIER=$F252))*((BULK_SKU="ALL")+(BULK_SKU=$G252))*(BULK_START&lt;=3)*(BULK_END&gt;=3)))&gt;0,IFERROR(SUMPRODUCT(((BULK_ENABLED="Y")*((BULK_TIER="ALL")+(BULK_TIER=$F252))*((BULK_SKU="ALL")+(BULK_SKU=$G252))*(BULK_START&lt;=3)*(BULK_END&gt;=3))*IFERROR(BULK_VALUE,0))/MAX(1,SUMPRODUCT(((BULK_ENABLED="Y")*((BULK_TIER="ALL")+(BULK_TIER=$F252))*((BULK_SKU="ALL")+(BULK_SKU=$G252))*(BULK_START&lt;=3)*(BULK_END&gt;=3)))),0),ROUND((INDEX(VELOCITY_TABLE,MATCH($F252,TIER_LIST,0),2))*(IF((3-$I252+1)&lt;=0,0,IF((3-$I252+1)=1,RAMP_W1,IF((3-$I252+1)=2,RAMP_W2,IF((3-$I252+1)=3,RAMP_W3,RAMP_W4PLUS)))))*(INDEX(ACTIVE_MULT_TABLE,2,1))*(1+SUMPRODUCT(SIGN(((ACT_DOOR_SCOPE="ALL")+(ACT_DOOR_SCOPE="TIER_"&amp;$F252)+(ACT_DOOR_SCOPE=$B252)))*SIGN(((ACT_SKU_SCOPE="ALL")+(ACT_SKU_SCOPE=$G252)))*(ACT_START&lt;=3)*(ACT_END&gt;=3)*IFERROR(ACT_UPLIFT-1,0)))*(1+SUMPRODUCT(SIGN(((ACT_DOOR_SCOPE="ALL")+(ACT_DOOR_SCOPE="TIER_"&amp;$F252)+(ACT_DOOR_SCOPE=$B252)))*SIGN(((ACT_SKU_SCOPE="ALL")+(ACT_SKU_SCOPE=$G252)))*(3&gt;ACT_END)*(ACT_END&gt;0)*IFERROR(ACT_POSTLIFT,0))),0)))</f>
        <v/>
      </c>
      <c r="M252" s="10">
        <f>IF(OR($H252&lt;&gt;"Y",4&lt;$I252),0,IF(SUMPRODUCT(((BULK_ENABLED="Y")*((BULK_TIER="ALL")+(BULK_TIER=$F252))*((BULK_SKU="ALL")+(BULK_SKU=$G252))*(BULK_START&lt;=4)*(BULK_END&gt;=4)))&gt;0,IFERROR(SUMPRODUCT(((BULK_ENABLED="Y")*((BULK_TIER="ALL")+(BULK_TIER=$F252))*((BULK_SKU="ALL")+(BULK_SKU=$G252))*(BULK_START&lt;=4)*(BULK_END&gt;=4))*IFERROR(BULK_VALUE,0))/MAX(1,SUMPRODUCT(((BULK_ENABLED="Y")*((BULK_TIER="ALL")+(BULK_TIER=$F252))*((BULK_SKU="ALL")+(BULK_SKU=$G252))*(BULK_START&lt;=4)*(BULK_END&gt;=4)))),0),ROUND((INDEX(VELOCITY_TABLE,MATCH($F252,TIER_LIST,0),2))*(IF((4-$I252+1)&lt;=0,0,IF((4-$I252+1)=1,RAMP_W1,IF((4-$I252+1)=2,RAMP_W2,IF((4-$I252+1)=3,RAMP_W3,RAMP_W4PLUS)))))*(INDEX(ACTIVE_MULT_TABLE,2,1))*(1+SUMPRODUCT(SIGN(((ACT_DOOR_SCOPE="ALL")+(ACT_DOOR_SCOPE="TIER_"&amp;$F252)+(ACT_DOOR_SCOPE=$B252)))*SIGN(((ACT_SKU_SCOPE="ALL")+(ACT_SKU_SCOPE=$G252)))*(ACT_START&lt;=4)*(ACT_END&gt;=4)*IFERROR(ACT_UPLIFT-1,0)))*(1+SUMPRODUCT(SIGN(((ACT_DOOR_SCOPE="ALL")+(ACT_DOOR_SCOPE="TIER_"&amp;$F252)+(ACT_DOOR_SCOPE=$B252)))*SIGN(((ACT_SKU_SCOPE="ALL")+(ACT_SKU_SCOPE=$G252)))*(4&gt;ACT_END)*(ACT_END&gt;0)*IFERROR(ACT_POSTLIFT,0))),0)))</f>
        <v/>
      </c>
      <c r="N252" s="10">
        <f>IF(OR($H252&lt;&gt;"Y",5&lt;$I252),0,IF(SUMPRODUCT(((BULK_ENABLED="Y")*((BULK_TIER="ALL")+(BULK_TIER=$F252))*((BULK_SKU="ALL")+(BULK_SKU=$G252))*(BULK_START&lt;=5)*(BULK_END&gt;=5)))&gt;0,IFERROR(SUMPRODUCT(((BULK_ENABLED="Y")*((BULK_TIER="ALL")+(BULK_TIER=$F252))*((BULK_SKU="ALL")+(BULK_SKU=$G252))*(BULK_START&lt;=5)*(BULK_END&gt;=5))*IFERROR(BULK_VALUE,0))/MAX(1,SUMPRODUCT(((BULK_ENABLED="Y")*((BULK_TIER="ALL")+(BULK_TIER=$F252))*((BULK_SKU="ALL")+(BULK_SKU=$G252))*(BULK_START&lt;=5)*(BULK_END&gt;=5)))),0),ROUND((INDEX(VELOCITY_TABLE,MATCH($F252,TIER_LIST,0),2))*(IF((5-$I252+1)&lt;=0,0,IF((5-$I252+1)=1,RAMP_W1,IF((5-$I252+1)=2,RAMP_W2,IF((5-$I252+1)=3,RAMP_W3,RAMP_W4PLUS)))))*(INDEX(ACTIVE_MULT_TABLE,2,1))*(1+SUMPRODUCT(SIGN(((ACT_DOOR_SCOPE="ALL")+(ACT_DOOR_SCOPE="TIER_"&amp;$F252)+(ACT_DOOR_SCOPE=$B252)))*SIGN(((ACT_SKU_SCOPE="ALL")+(ACT_SKU_SCOPE=$G252)))*(ACT_START&lt;=5)*(ACT_END&gt;=5)*IFERROR(ACT_UPLIFT-1,0)))*(1+SUMPRODUCT(SIGN(((ACT_DOOR_SCOPE="ALL")+(ACT_DOOR_SCOPE="TIER_"&amp;$F252)+(ACT_DOOR_SCOPE=$B252)))*SIGN(((ACT_SKU_SCOPE="ALL")+(ACT_SKU_SCOPE=$G252)))*(5&gt;ACT_END)*(ACT_END&gt;0)*IFERROR(ACT_POSTLIFT,0))),0)))</f>
        <v/>
      </c>
      <c r="O252" s="10">
        <f>IF(OR($H252&lt;&gt;"Y",6&lt;$I252),0,IF(SUMPRODUCT(((BULK_ENABLED="Y")*((BULK_TIER="ALL")+(BULK_TIER=$F252))*((BULK_SKU="ALL")+(BULK_SKU=$G252))*(BULK_START&lt;=6)*(BULK_END&gt;=6)))&gt;0,IFERROR(SUMPRODUCT(((BULK_ENABLED="Y")*((BULK_TIER="ALL")+(BULK_TIER=$F252))*((BULK_SKU="ALL")+(BULK_SKU=$G252))*(BULK_START&lt;=6)*(BULK_END&gt;=6))*IFERROR(BULK_VALUE,0))/MAX(1,SUMPRODUCT(((BULK_ENABLED="Y")*((BULK_TIER="ALL")+(BULK_TIER=$F252))*((BULK_SKU="ALL")+(BULK_SKU=$G252))*(BULK_START&lt;=6)*(BULK_END&gt;=6)))),0),ROUND((INDEX(VELOCITY_TABLE,MATCH($F252,TIER_LIST,0),2))*(IF((6-$I252+1)&lt;=0,0,IF((6-$I252+1)=1,RAMP_W1,IF((6-$I252+1)=2,RAMP_W2,IF((6-$I252+1)=3,RAMP_W3,RAMP_W4PLUS)))))*(INDEX(ACTIVE_MULT_TABLE,2,1))*(1+SUMPRODUCT(SIGN(((ACT_DOOR_SCOPE="ALL")+(ACT_DOOR_SCOPE="TIER_"&amp;$F252)+(ACT_DOOR_SCOPE=$B252)))*SIGN(((ACT_SKU_SCOPE="ALL")+(ACT_SKU_SCOPE=$G252)))*(ACT_START&lt;=6)*(ACT_END&gt;=6)*IFERROR(ACT_UPLIFT-1,0)))*(1+SUMPRODUCT(SIGN(((ACT_DOOR_SCOPE="ALL")+(ACT_DOOR_SCOPE="TIER_"&amp;$F252)+(ACT_DOOR_SCOPE=$B252)))*SIGN(((ACT_SKU_SCOPE="ALL")+(ACT_SKU_SCOPE=$G252)))*(6&gt;ACT_END)*(ACT_END&gt;0)*IFERROR(ACT_POSTLIFT,0))),0)))</f>
        <v/>
      </c>
      <c r="P252" s="10">
        <f>IF(OR($H252&lt;&gt;"Y",7&lt;$I252),0,IF(SUMPRODUCT(((BULK_ENABLED="Y")*((BULK_TIER="ALL")+(BULK_TIER=$F252))*((BULK_SKU="ALL")+(BULK_SKU=$G252))*(BULK_START&lt;=7)*(BULK_END&gt;=7)))&gt;0,IFERROR(SUMPRODUCT(((BULK_ENABLED="Y")*((BULK_TIER="ALL")+(BULK_TIER=$F252))*((BULK_SKU="ALL")+(BULK_SKU=$G252))*(BULK_START&lt;=7)*(BULK_END&gt;=7))*IFERROR(BULK_VALUE,0))/MAX(1,SUMPRODUCT(((BULK_ENABLED="Y")*((BULK_TIER="ALL")+(BULK_TIER=$F252))*((BULK_SKU="ALL")+(BULK_SKU=$G252))*(BULK_START&lt;=7)*(BULK_END&gt;=7)))),0),ROUND((INDEX(VELOCITY_TABLE,MATCH($F252,TIER_LIST,0),2))*(IF((7-$I252+1)&lt;=0,0,IF((7-$I252+1)=1,RAMP_W1,IF((7-$I252+1)=2,RAMP_W2,IF((7-$I252+1)=3,RAMP_W3,RAMP_W4PLUS)))))*(INDEX(ACTIVE_MULT_TABLE,2,1))*(1+SUMPRODUCT(SIGN(((ACT_DOOR_SCOPE="ALL")+(ACT_DOOR_SCOPE="TIER_"&amp;$F252)+(ACT_DOOR_SCOPE=$B252)))*SIGN(((ACT_SKU_SCOPE="ALL")+(ACT_SKU_SCOPE=$G252)))*(ACT_START&lt;=7)*(ACT_END&gt;=7)*IFERROR(ACT_UPLIFT-1,0)))*(1+SUMPRODUCT(SIGN(((ACT_DOOR_SCOPE="ALL")+(ACT_DOOR_SCOPE="TIER_"&amp;$F252)+(ACT_DOOR_SCOPE=$B252)))*SIGN(((ACT_SKU_SCOPE="ALL")+(ACT_SKU_SCOPE=$G252)))*(7&gt;ACT_END)*(ACT_END&gt;0)*IFERROR(ACT_POSTLIFT,0))),0)))</f>
        <v/>
      </c>
      <c r="Q252" s="10">
        <f>IF(OR($H252&lt;&gt;"Y",8&lt;$I252),0,IF(SUMPRODUCT(((BULK_ENABLED="Y")*((BULK_TIER="ALL")+(BULK_TIER=$F252))*((BULK_SKU="ALL")+(BULK_SKU=$G252))*(BULK_START&lt;=8)*(BULK_END&gt;=8)))&gt;0,IFERROR(SUMPRODUCT(((BULK_ENABLED="Y")*((BULK_TIER="ALL")+(BULK_TIER=$F252))*((BULK_SKU="ALL")+(BULK_SKU=$G252))*(BULK_START&lt;=8)*(BULK_END&gt;=8))*IFERROR(BULK_VALUE,0))/MAX(1,SUMPRODUCT(((BULK_ENABLED="Y")*((BULK_TIER="ALL")+(BULK_TIER=$F252))*((BULK_SKU="ALL")+(BULK_SKU=$G252))*(BULK_START&lt;=8)*(BULK_END&gt;=8)))),0),ROUND((INDEX(VELOCITY_TABLE,MATCH($F252,TIER_LIST,0),2))*(IF((8-$I252+1)&lt;=0,0,IF((8-$I252+1)=1,RAMP_W1,IF((8-$I252+1)=2,RAMP_W2,IF((8-$I252+1)=3,RAMP_W3,RAMP_W4PLUS)))))*(INDEX(ACTIVE_MULT_TABLE,2,1))*(1+SUMPRODUCT(SIGN(((ACT_DOOR_SCOPE="ALL")+(ACT_DOOR_SCOPE="TIER_"&amp;$F252)+(ACT_DOOR_SCOPE=$B252)))*SIGN(((ACT_SKU_SCOPE="ALL")+(ACT_SKU_SCOPE=$G252)))*(ACT_START&lt;=8)*(ACT_END&gt;=8)*IFERROR(ACT_UPLIFT-1,0)))*(1+SUMPRODUCT(SIGN(((ACT_DOOR_SCOPE="ALL")+(ACT_DOOR_SCOPE="TIER_"&amp;$F252)+(ACT_DOOR_SCOPE=$B252)))*SIGN(((ACT_SKU_SCOPE="ALL")+(ACT_SKU_SCOPE=$G252)))*(8&gt;ACT_END)*(ACT_END&gt;0)*IFERROR(ACT_POSTLIFT,0))),0)))</f>
        <v/>
      </c>
      <c r="R252" s="10">
        <f>IF(OR($H252&lt;&gt;"Y",9&lt;$I252),0,IF(SUMPRODUCT(((BULK_ENABLED="Y")*((BULK_TIER="ALL")+(BULK_TIER=$F252))*((BULK_SKU="ALL")+(BULK_SKU=$G252))*(BULK_START&lt;=9)*(BULK_END&gt;=9)))&gt;0,IFERROR(SUMPRODUCT(((BULK_ENABLED="Y")*((BULK_TIER="ALL")+(BULK_TIER=$F252))*((BULK_SKU="ALL")+(BULK_SKU=$G252))*(BULK_START&lt;=9)*(BULK_END&gt;=9))*IFERROR(BULK_VALUE,0))/MAX(1,SUMPRODUCT(((BULK_ENABLED="Y")*((BULK_TIER="ALL")+(BULK_TIER=$F252))*((BULK_SKU="ALL")+(BULK_SKU=$G252))*(BULK_START&lt;=9)*(BULK_END&gt;=9)))),0),ROUND((INDEX(VELOCITY_TABLE,MATCH($F252,TIER_LIST,0),2))*(IF((9-$I252+1)&lt;=0,0,IF((9-$I252+1)=1,RAMP_W1,IF((9-$I252+1)=2,RAMP_W2,IF((9-$I252+1)=3,RAMP_W3,RAMP_W4PLUS)))))*(INDEX(ACTIVE_MULT_TABLE,2,1))*(1+SUMPRODUCT(SIGN(((ACT_DOOR_SCOPE="ALL")+(ACT_DOOR_SCOPE="TIER_"&amp;$F252)+(ACT_DOOR_SCOPE=$B252)))*SIGN(((ACT_SKU_SCOPE="ALL")+(ACT_SKU_SCOPE=$G252)))*(ACT_START&lt;=9)*(ACT_END&gt;=9)*IFERROR(ACT_UPLIFT-1,0)))*(1+SUMPRODUCT(SIGN(((ACT_DOOR_SCOPE="ALL")+(ACT_DOOR_SCOPE="TIER_"&amp;$F252)+(ACT_DOOR_SCOPE=$B252)))*SIGN(((ACT_SKU_SCOPE="ALL")+(ACT_SKU_SCOPE=$G252)))*(9&gt;ACT_END)*(ACT_END&gt;0)*IFERROR(ACT_POSTLIFT,0))),0)))</f>
        <v/>
      </c>
      <c r="S252" s="10">
        <f>IF(OR($H252&lt;&gt;"Y",10&lt;$I252),0,IF(SUMPRODUCT(((BULK_ENABLED="Y")*((BULK_TIER="ALL")+(BULK_TIER=$F252))*((BULK_SKU="ALL")+(BULK_SKU=$G252))*(BULK_START&lt;=10)*(BULK_END&gt;=10)))&gt;0,IFERROR(SUMPRODUCT(((BULK_ENABLED="Y")*((BULK_TIER="ALL")+(BULK_TIER=$F252))*((BULK_SKU="ALL")+(BULK_SKU=$G252))*(BULK_START&lt;=10)*(BULK_END&gt;=10))*IFERROR(BULK_VALUE,0))/MAX(1,SUMPRODUCT(((BULK_ENABLED="Y")*((BULK_TIER="ALL")+(BULK_TIER=$F252))*((BULK_SKU="ALL")+(BULK_SKU=$G252))*(BULK_START&lt;=10)*(BULK_END&gt;=10)))),0),ROUND((INDEX(VELOCITY_TABLE,MATCH($F252,TIER_LIST,0),2))*(IF((10-$I252+1)&lt;=0,0,IF((10-$I252+1)=1,RAMP_W1,IF((10-$I252+1)=2,RAMP_W2,IF((10-$I252+1)=3,RAMP_W3,RAMP_W4PLUS)))))*(INDEX(ACTIVE_MULT_TABLE,2,1))*(1+SUMPRODUCT(SIGN(((ACT_DOOR_SCOPE="ALL")+(ACT_DOOR_SCOPE="TIER_"&amp;$F252)+(ACT_DOOR_SCOPE=$B252)))*SIGN(((ACT_SKU_SCOPE="ALL")+(ACT_SKU_SCOPE=$G252)))*(ACT_START&lt;=10)*(ACT_END&gt;=10)*IFERROR(ACT_UPLIFT-1,0)))*(1+SUMPRODUCT(SIGN(((ACT_DOOR_SCOPE="ALL")+(ACT_DOOR_SCOPE="TIER_"&amp;$F252)+(ACT_DOOR_SCOPE=$B252)))*SIGN(((ACT_SKU_SCOPE="ALL")+(ACT_SKU_SCOPE=$G252)))*(10&gt;ACT_END)*(ACT_END&gt;0)*IFERROR(ACT_POSTLIFT,0))),0)))</f>
        <v/>
      </c>
      <c r="T252" s="10">
        <f>IF(OR($H252&lt;&gt;"Y",11&lt;$I252),0,IF(SUMPRODUCT(((BULK_ENABLED="Y")*((BULK_TIER="ALL")+(BULK_TIER=$F252))*((BULK_SKU="ALL")+(BULK_SKU=$G252))*(BULK_START&lt;=11)*(BULK_END&gt;=11)))&gt;0,IFERROR(SUMPRODUCT(((BULK_ENABLED="Y")*((BULK_TIER="ALL")+(BULK_TIER=$F252))*((BULK_SKU="ALL")+(BULK_SKU=$G252))*(BULK_START&lt;=11)*(BULK_END&gt;=11))*IFERROR(BULK_VALUE,0))/MAX(1,SUMPRODUCT(((BULK_ENABLED="Y")*((BULK_TIER="ALL")+(BULK_TIER=$F252))*((BULK_SKU="ALL")+(BULK_SKU=$G252))*(BULK_START&lt;=11)*(BULK_END&gt;=11)))),0),ROUND((INDEX(VELOCITY_TABLE,MATCH($F252,TIER_LIST,0),2))*(IF((11-$I252+1)&lt;=0,0,IF((11-$I252+1)=1,RAMP_W1,IF((11-$I252+1)=2,RAMP_W2,IF((11-$I252+1)=3,RAMP_W3,RAMP_W4PLUS)))))*(INDEX(ACTIVE_MULT_TABLE,2,1))*(1+SUMPRODUCT(SIGN(((ACT_DOOR_SCOPE="ALL")+(ACT_DOOR_SCOPE="TIER_"&amp;$F252)+(ACT_DOOR_SCOPE=$B252)))*SIGN(((ACT_SKU_SCOPE="ALL")+(ACT_SKU_SCOPE=$G252)))*(ACT_START&lt;=11)*(ACT_END&gt;=11)*IFERROR(ACT_UPLIFT-1,0)))*(1+SUMPRODUCT(SIGN(((ACT_DOOR_SCOPE="ALL")+(ACT_DOOR_SCOPE="TIER_"&amp;$F252)+(ACT_DOOR_SCOPE=$B252)))*SIGN(((ACT_SKU_SCOPE="ALL")+(ACT_SKU_SCOPE=$G252)))*(11&gt;ACT_END)*(ACT_END&gt;0)*IFERROR(ACT_POSTLIFT,0))),0)))</f>
        <v/>
      </c>
      <c r="U252" s="10">
        <f>IF(OR($H252&lt;&gt;"Y",12&lt;$I252),0,IF(SUMPRODUCT(((BULK_ENABLED="Y")*((BULK_TIER="ALL")+(BULK_TIER=$F252))*((BULK_SKU="ALL")+(BULK_SKU=$G252))*(BULK_START&lt;=12)*(BULK_END&gt;=12)))&gt;0,IFERROR(SUMPRODUCT(((BULK_ENABLED="Y")*((BULK_TIER="ALL")+(BULK_TIER=$F252))*((BULK_SKU="ALL")+(BULK_SKU=$G252))*(BULK_START&lt;=12)*(BULK_END&gt;=12))*IFERROR(BULK_VALUE,0))/MAX(1,SUMPRODUCT(((BULK_ENABLED="Y")*((BULK_TIER="ALL")+(BULK_TIER=$F252))*((BULK_SKU="ALL")+(BULK_SKU=$G252))*(BULK_START&lt;=12)*(BULK_END&gt;=12)))),0),ROUND((INDEX(VELOCITY_TABLE,MATCH($F252,TIER_LIST,0),2))*(IF((12-$I252+1)&lt;=0,0,IF((12-$I252+1)=1,RAMP_W1,IF((12-$I252+1)=2,RAMP_W2,IF((12-$I252+1)=3,RAMP_W3,RAMP_W4PLUS)))))*(INDEX(ACTIVE_MULT_TABLE,2,1))*(1+SUMPRODUCT(SIGN(((ACT_DOOR_SCOPE="ALL")+(ACT_DOOR_SCOPE="TIER_"&amp;$F252)+(ACT_DOOR_SCOPE=$B252)))*SIGN(((ACT_SKU_SCOPE="ALL")+(ACT_SKU_SCOPE=$G252)))*(ACT_START&lt;=12)*(ACT_END&gt;=12)*IFERROR(ACT_UPLIFT-1,0)))*(1+SUMPRODUCT(SIGN(((ACT_DOOR_SCOPE="ALL")+(ACT_DOOR_SCOPE="TIER_"&amp;$F252)+(ACT_DOOR_SCOPE=$B252)))*SIGN(((ACT_SKU_SCOPE="ALL")+(ACT_SKU_SCOPE=$G252)))*(12&gt;ACT_END)*(ACT_END&gt;0)*IFERROR(ACT_POSTLIFT,0))),0)))</f>
        <v/>
      </c>
      <c r="V252" s="10">
        <f>IF(OR($H252&lt;&gt;"Y",13&lt;$I252),0,IF(SUMPRODUCT(((BULK_ENABLED="Y")*((BULK_TIER="ALL")+(BULK_TIER=$F252))*((BULK_SKU="ALL")+(BULK_SKU=$G252))*(BULK_START&lt;=13)*(BULK_END&gt;=13)))&gt;0,IFERROR(SUMPRODUCT(((BULK_ENABLED="Y")*((BULK_TIER="ALL")+(BULK_TIER=$F252))*((BULK_SKU="ALL")+(BULK_SKU=$G252))*(BULK_START&lt;=13)*(BULK_END&gt;=13))*IFERROR(BULK_VALUE,0))/MAX(1,SUMPRODUCT(((BULK_ENABLED="Y")*((BULK_TIER="ALL")+(BULK_TIER=$F252))*((BULK_SKU="ALL")+(BULK_SKU=$G252))*(BULK_START&lt;=13)*(BULK_END&gt;=13)))),0),ROUND((INDEX(VELOCITY_TABLE,MATCH($F252,TIER_LIST,0),2))*(IF((13-$I252+1)&lt;=0,0,IF((13-$I252+1)=1,RAMP_W1,IF((13-$I252+1)=2,RAMP_W2,IF((13-$I252+1)=3,RAMP_W3,RAMP_W4PLUS)))))*(INDEX(ACTIVE_MULT_TABLE,2,1))*(1+SUMPRODUCT(SIGN(((ACT_DOOR_SCOPE="ALL")+(ACT_DOOR_SCOPE="TIER_"&amp;$F252)+(ACT_DOOR_SCOPE=$B252)))*SIGN(((ACT_SKU_SCOPE="ALL")+(ACT_SKU_SCOPE=$G252)))*(ACT_START&lt;=13)*(ACT_END&gt;=13)*IFERROR(ACT_UPLIFT-1,0)))*(1+SUMPRODUCT(SIGN(((ACT_DOOR_SCOPE="ALL")+(ACT_DOOR_SCOPE="TIER_"&amp;$F252)+(ACT_DOOR_SCOPE=$B252)))*SIGN(((ACT_SKU_SCOPE="ALL")+(ACT_SKU_SCOPE=$G252)))*(13&gt;ACT_END)*(ACT_END&gt;0)*IFERROR(ACT_POSTLIFT,0))),0)))</f>
        <v/>
      </c>
    </row>
    <row r="253">
      <c r="A253" t="inlineStr">
        <is>
          <t>R0249</t>
        </is>
      </c>
      <c r="B253">
        <f>Doors!$A$87</f>
        <v/>
      </c>
      <c r="C253">
        <f>Doors!$C$87</f>
        <v/>
      </c>
      <c r="D253">
        <f>Doors!$B$87</f>
        <v/>
      </c>
      <c r="E253">
        <f>Doors!$E$87</f>
        <v/>
      </c>
      <c r="F253">
        <f>Doors!$F$87</f>
        <v/>
      </c>
      <c r="G253" t="inlineStr">
        <is>
          <t>Raspberry</t>
        </is>
      </c>
      <c r="H253">
        <f>Doors!$I$87</f>
        <v/>
      </c>
      <c r="I253">
        <f>Doors!$J$87</f>
        <v/>
      </c>
      <c r="J253" s="10">
        <f>IF(OR($H253&lt;&gt;"Y",1&lt;$I253),0,IF(SUMPRODUCT(((BULK_ENABLED="Y")*((BULK_TIER="ALL")+(BULK_TIER=$F253))*((BULK_SKU="ALL")+(BULK_SKU=$G253))*(BULK_START&lt;=1)*(BULK_END&gt;=1)))&gt;0,IFERROR(SUMPRODUCT(((BULK_ENABLED="Y")*((BULK_TIER="ALL")+(BULK_TIER=$F253))*((BULK_SKU="ALL")+(BULK_SKU=$G253))*(BULK_START&lt;=1)*(BULK_END&gt;=1))*IFERROR(BULK_VALUE,0))/MAX(1,SUMPRODUCT(((BULK_ENABLED="Y")*((BULK_TIER="ALL")+(BULK_TIER=$F253))*((BULK_SKU="ALL")+(BULK_SKU=$G253))*(BULK_START&lt;=1)*(BULK_END&gt;=1)))),0),ROUND((INDEX(VELOCITY_TABLE,MATCH($F253,TIER_LIST,0),3))*(IF((1-$I253+1)&lt;=0,0,IF((1-$I253+1)=1,RAMP_W1,IF((1-$I253+1)=2,RAMP_W2,IF((1-$I253+1)=3,RAMP_W3,RAMP_W4PLUS)))))*(INDEX(ACTIVE_MULT_TABLE,3,1))*(1+SUMPRODUCT(SIGN(((ACT_DOOR_SCOPE="ALL")+(ACT_DOOR_SCOPE="TIER_"&amp;$F253)+(ACT_DOOR_SCOPE=$B253)))*SIGN(((ACT_SKU_SCOPE="ALL")+(ACT_SKU_SCOPE=$G253)))*(ACT_START&lt;=1)*(ACT_END&gt;=1)*IFERROR(ACT_UPLIFT-1,0)))*(1+SUMPRODUCT(SIGN(((ACT_DOOR_SCOPE="ALL")+(ACT_DOOR_SCOPE="TIER_"&amp;$F253)+(ACT_DOOR_SCOPE=$B253)))*SIGN(((ACT_SKU_SCOPE="ALL")+(ACT_SKU_SCOPE=$G253)))*(1&gt;ACT_END)*(ACT_END&gt;0)*IFERROR(ACT_POSTLIFT,0))),0)))</f>
        <v/>
      </c>
      <c r="K253" s="10">
        <f>IF(OR($H253&lt;&gt;"Y",2&lt;$I253),0,IF(SUMPRODUCT(((BULK_ENABLED="Y")*((BULK_TIER="ALL")+(BULK_TIER=$F253))*((BULK_SKU="ALL")+(BULK_SKU=$G253))*(BULK_START&lt;=2)*(BULK_END&gt;=2)))&gt;0,IFERROR(SUMPRODUCT(((BULK_ENABLED="Y")*((BULK_TIER="ALL")+(BULK_TIER=$F253))*((BULK_SKU="ALL")+(BULK_SKU=$G253))*(BULK_START&lt;=2)*(BULK_END&gt;=2))*IFERROR(BULK_VALUE,0))/MAX(1,SUMPRODUCT(((BULK_ENABLED="Y")*((BULK_TIER="ALL")+(BULK_TIER=$F253))*((BULK_SKU="ALL")+(BULK_SKU=$G253))*(BULK_START&lt;=2)*(BULK_END&gt;=2)))),0),ROUND((INDEX(VELOCITY_TABLE,MATCH($F253,TIER_LIST,0),3))*(IF((2-$I253+1)&lt;=0,0,IF((2-$I253+1)=1,RAMP_W1,IF((2-$I253+1)=2,RAMP_W2,IF((2-$I253+1)=3,RAMP_W3,RAMP_W4PLUS)))))*(INDEX(ACTIVE_MULT_TABLE,3,1))*(1+SUMPRODUCT(SIGN(((ACT_DOOR_SCOPE="ALL")+(ACT_DOOR_SCOPE="TIER_"&amp;$F253)+(ACT_DOOR_SCOPE=$B253)))*SIGN(((ACT_SKU_SCOPE="ALL")+(ACT_SKU_SCOPE=$G253)))*(ACT_START&lt;=2)*(ACT_END&gt;=2)*IFERROR(ACT_UPLIFT-1,0)))*(1+SUMPRODUCT(SIGN(((ACT_DOOR_SCOPE="ALL")+(ACT_DOOR_SCOPE="TIER_"&amp;$F253)+(ACT_DOOR_SCOPE=$B253)))*SIGN(((ACT_SKU_SCOPE="ALL")+(ACT_SKU_SCOPE=$G253)))*(2&gt;ACT_END)*(ACT_END&gt;0)*IFERROR(ACT_POSTLIFT,0))),0)))</f>
        <v/>
      </c>
      <c r="L253" s="10">
        <f>IF(OR($H253&lt;&gt;"Y",3&lt;$I253),0,IF(SUMPRODUCT(((BULK_ENABLED="Y")*((BULK_TIER="ALL")+(BULK_TIER=$F253))*((BULK_SKU="ALL")+(BULK_SKU=$G253))*(BULK_START&lt;=3)*(BULK_END&gt;=3)))&gt;0,IFERROR(SUMPRODUCT(((BULK_ENABLED="Y")*((BULK_TIER="ALL")+(BULK_TIER=$F253))*((BULK_SKU="ALL")+(BULK_SKU=$G253))*(BULK_START&lt;=3)*(BULK_END&gt;=3))*IFERROR(BULK_VALUE,0))/MAX(1,SUMPRODUCT(((BULK_ENABLED="Y")*((BULK_TIER="ALL")+(BULK_TIER=$F253))*((BULK_SKU="ALL")+(BULK_SKU=$G253))*(BULK_START&lt;=3)*(BULK_END&gt;=3)))),0),ROUND((INDEX(VELOCITY_TABLE,MATCH($F253,TIER_LIST,0),3))*(IF((3-$I253+1)&lt;=0,0,IF((3-$I253+1)=1,RAMP_W1,IF((3-$I253+1)=2,RAMP_W2,IF((3-$I253+1)=3,RAMP_W3,RAMP_W4PLUS)))))*(INDEX(ACTIVE_MULT_TABLE,3,1))*(1+SUMPRODUCT(SIGN(((ACT_DOOR_SCOPE="ALL")+(ACT_DOOR_SCOPE="TIER_"&amp;$F253)+(ACT_DOOR_SCOPE=$B253)))*SIGN(((ACT_SKU_SCOPE="ALL")+(ACT_SKU_SCOPE=$G253)))*(ACT_START&lt;=3)*(ACT_END&gt;=3)*IFERROR(ACT_UPLIFT-1,0)))*(1+SUMPRODUCT(SIGN(((ACT_DOOR_SCOPE="ALL")+(ACT_DOOR_SCOPE="TIER_"&amp;$F253)+(ACT_DOOR_SCOPE=$B253)))*SIGN(((ACT_SKU_SCOPE="ALL")+(ACT_SKU_SCOPE=$G253)))*(3&gt;ACT_END)*(ACT_END&gt;0)*IFERROR(ACT_POSTLIFT,0))),0)))</f>
        <v/>
      </c>
      <c r="M253" s="10">
        <f>IF(OR($H253&lt;&gt;"Y",4&lt;$I253),0,IF(SUMPRODUCT(((BULK_ENABLED="Y")*((BULK_TIER="ALL")+(BULK_TIER=$F253))*((BULK_SKU="ALL")+(BULK_SKU=$G253))*(BULK_START&lt;=4)*(BULK_END&gt;=4)))&gt;0,IFERROR(SUMPRODUCT(((BULK_ENABLED="Y")*((BULK_TIER="ALL")+(BULK_TIER=$F253))*((BULK_SKU="ALL")+(BULK_SKU=$G253))*(BULK_START&lt;=4)*(BULK_END&gt;=4))*IFERROR(BULK_VALUE,0))/MAX(1,SUMPRODUCT(((BULK_ENABLED="Y")*((BULK_TIER="ALL")+(BULK_TIER=$F253))*((BULK_SKU="ALL")+(BULK_SKU=$G253))*(BULK_START&lt;=4)*(BULK_END&gt;=4)))),0),ROUND((INDEX(VELOCITY_TABLE,MATCH($F253,TIER_LIST,0),3))*(IF((4-$I253+1)&lt;=0,0,IF((4-$I253+1)=1,RAMP_W1,IF((4-$I253+1)=2,RAMP_W2,IF((4-$I253+1)=3,RAMP_W3,RAMP_W4PLUS)))))*(INDEX(ACTIVE_MULT_TABLE,3,1))*(1+SUMPRODUCT(SIGN(((ACT_DOOR_SCOPE="ALL")+(ACT_DOOR_SCOPE="TIER_"&amp;$F253)+(ACT_DOOR_SCOPE=$B253)))*SIGN(((ACT_SKU_SCOPE="ALL")+(ACT_SKU_SCOPE=$G253)))*(ACT_START&lt;=4)*(ACT_END&gt;=4)*IFERROR(ACT_UPLIFT-1,0)))*(1+SUMPRODUCT(SIGN(((ACT_DOOR_SCOPE="ALL")+(ACT_DOOR_SCOPE="TIER_"&amp;$F253)+(ACT_DOOR_SCOPE=$B253)))*SIGN(((ACT_SKU_SCOPE="ALL")+(ACT_SKU_SCOPE=$G253)))*(4&gt;ACT_END)*(ACT_END&gt;0)*IFERROR(ACT_POSTLIFT,0))),0)))</f>
        <v/>
      </c>
      <c r="N253" s="10">
        <f>IF(OR($H253&lt;&gt;"Y",5&lt;$I253),0,IF(SUMPRODUCT(((BULK_ENABLED="Y")*((BULK_TIER="ALL")+(BULK_TIER=$F253))*((BULK_SKU="ALL")+(BULK_SKU=$G253))*(BULK_START&lt;=5)*(BULK_END&gt;=5)))&gt;0,IFERROR(SUMPRODUCT(((BULK_ENABLED="Y")*((BULK_TIER="ALL")+(BULK_TIER=$F253))*((BULK_SKU="ALL")+(BULK_SKU=$G253))*(BULK_START&lt;=5)*(BULK_END&gt;=5))*IFERROR(BULK_VALUE,0))/MAX(1,SUMPRODUCT(((BULK_ENABLED="Y")*((BULK_TIER="ALL")+(BULK_TIER=$F253))*((BULK_SKU="ALL")+(BULK_SKU=$G253))*(BULK_START&lt;=5)*(BULK_END&gt;=5)))),0),ROUND((INDEX(VELOCITY_TABLE,MATCH($F253,TIER_LIST,0),3))*(IF((5-$I253+1)&lt;=0,0,IF((5-$I253+1)=1,RAMP_W1,IF((5-$I253+1)=2,RAMP_W2,IF((5-$I253+1)=3,RAMP_W3,RAMP_W4PLUS)))))*(INDEX(ACTIVE_MULT_TABLE,3,1))*(1+SUMPRODUCT(SIGN(((ACT_DOOR_SCOPE="ALL")+(ACT_DOOR_SCOPE="TIER_"&amp;$F253)+(ACT_DOOR_SCOPE=$B253)))*SIGN(((ACT_SKU_SCOPE="ALL")+(ACT_SKU_SCOPE=$G253)))*(ACT_START&lt;=5)*(ACT_END&gt;=5)*IFERROR(ACT_UPLIFT-1,0)))*(1+SUMPRODUCT(SIGN(((ACT_DOOR_SCOPE="ALL")+(ACT_DOOR_SCOPE="TIER_"&amp;$F253)+(ACT_DOOR_SCOPE=$B253)))*SIGN(((ACT_SKU_SCOPE="ALL")+(ACT_SKU_SCOPE=$G253)))*(5&gt;ACT_END)*(ACT_END&gt;0)*IFERROR(ACT_POSTLIFT,0))),0)))</f>
        <v/>
      </c>
      <c r="O253" s="10">
        <f>IF(OR($H253&lt;&gt;"Y",6&lt;$I253),0,IF(SUMPRODUCT(((BULK_ENABLED="Y")*((BULK_TIER="ALL")+(BULK_TIER=$F253))*((BULK_SKU="ALL")+(BULK_SKU=$G253))*(BULK_START&lt;=6)*(BULK_END&gt;=6)))&gt;0,IFERROR(SUMPRODUCT(((BULK_ENABLED="Y")*((BULK_TIER="ALL")+(BULK_TIER=$F253))*((BULK_SKU="ALL")+(BULK_SKU=$G253))*(BULK_START&lt;=6)*(BULK_END&gt;=6))*IFERROR(BULK_VALUE,0))/MAX(1,SUMPRODUCT(((BULK_ENABLED="Y")*((BULK_TIER="ALL")+(BULK_TIER=$F253))*((BULK_SKU="ALL")+(BULK_SKU=$G253))*(BULK_START&lt;=6)*(BULK_END&gt;=6)))),0),ROUND((INDEX(VELOCITY_TABLE,MATCH($F253,TIER_LIST,0),3))*(IF((6-$I253+1)&lt;=0,0,IF((6-$I253+1)=1,RAMP_W1,IF((6-$I253+1)=2,RAMP_W2,IF((6-$I253+1)=3,RAMP_W3,RAMP_W4PLUS)))))*(INDEX(ACTIVE_MULT_TABLE,3,1))*(1+SUMPRODUCT(SIGN(((ACT_DOOR_SCOPE="ALL")+(ACT_DOOR_SCOPE="TIER_"&amp;$F253)+(ACT_DOOR_SCOPE=$B253)))*SIGN(((ACT_SKU_SCOPE="ALL")+(ACT_SKU_SCOPE=$G253)))*(ACT_START&lt;=6)*(ACT_END&gt;=6)*IFERROR(ACT_UPLIFT-1,0)))*(1+SUMPRODUCT(SIGN(((ACT_DOOR_SCOPE="ALL")+(ACT_DOOR_SCOPE="TIER_"&amp;$F253)+(ACT_DOOR_SCOPE=$B253)))*SIGN(((ACT_SKU_SCOPE="ALL")+(ACT_SKU_SCOPE=$G253)))*(6&gt;ACT_END)*(ACT_END&gt;0)*IFERROR(ACT_POSTLIFT,0))),0)))</f>
        <v/>
      </c>
      <c r="P253" s="10">
        <f>IF(OR($H253&lt;&gt;"Y",7&lt;$I253),0,IF(SUMPRODUCT(((BULK_ENABLED="Y")*((BULK_TIER="ALL")+(BULK_TIER=$F253))*((BULK_SKU="ALL")+(BULK_SKU=$G253))*(BULK_START&lt;=7)*(BULK_END&gt;=7)))&gt;0,IFERROR(SUMPRODUCT(((BULK_ENABLED="Y")*((BULK_TIER="ALL")+(BULK_TIER=$F253))*((BULK_SKU="ALL")+(BULK_SKU=$G253))*(BULK_START&lt;=7)*(BULK_END&gt;=7))*IFERROR(BULK_VALUE,0))/MAX(1,SUMPRODUCT(((BULK_ENABLED="Y")*((BULK_TIER="ALL")+(BULK_TIER=$F253))*((BULK_SKU="ALL")+(BULK_SKU=$G253))*(BULK_START&lt;=7)*(BULK_END&gt;=7)))),0),ROUND((INDEX(VELOCITY_TABLE,MATCH($F253,TIER_LIST,0),3))*(IF((7-$I253+1)&lt;=0,0,IF((7-$I253+1)=1,RAMP_W1,IF((7-$I253+1)=2,RAMP_W2,IF((7-$I253+1)=3,RAMP_W3,RAMP_W4PLUS)))))*(INDEX(ACTIVE_MULT_TABLE,3,1))*(1+SUMPRODUCT(SIGN(((ACT_DOOR_SCOPE="ALL")+(ACT_DOOR_SCOPE="TIER_"&amp;$F253)+(ACT_DOOR_SCOPE=$B253)))*SIGN(((ACT_SKU_SCOPE="ALL")+(ACT_SKU_SCOPE=$G253)))*(ACT_START&lt;=7)*(ACT_END&gt;=7)*IFERROR(ACT_UPLIFT-1,0)))*(1+SUMPRODUCT(SIGN(((ACT_DOOR_SCOPE="ALL")+(ACT_DOOR_SCOPE="TIER_"&amp;$F253)+(ACT_DOOR_SCOPE=$B253)))*SIGN(((ACT_SKU_SCOPE="ALL")+(ACT_SKU_SCOPE=$G253)))*(7&gt;ACT_END)*(ACT_END&gt;0)*IFERROR(ACT_POSTLIFT,0))),0)))</f>
        <v/>
      </c>
      <c r="Q253" s="10">
        <f>IF(OR($H253&lt;&gt;"Y",8&lt;$I253),0,IF(SUMPRODUCT(((BULK_ENABLED="Y")*((BULK_TIER="ALL")+(BULK_TIER=$F253))*((BULK_SKU="ALL")+(BULK_SKU=$G253))*(BULK_START&lt;=8)*(BULK_END&gt;=8)))&gt;0,IFERROR(SUMPRODUCT(((BULK_ENABLED="Y")*((BULK_TIER="ALL")+(BULK_TIER=$F253))*((BULK_SKU="ALL")+(BULK_SKU=$G253))*(BULK_START&lt;=8)*(BULK_END&gt;=8))*IFERROR(BULK_VALUE,0))/MAX(1,SUMPRODUCT(((BULK_ENABLED="Y")*((BULK_TIER="ALL")+(BULK_TIER=$F253))*((BULK_SKU="ALL")+(BULK_SKU=$G253))*(BULK_START&lt;=8)*(BULK_END&gt;=8)))),0),ROUND((INDEX(VELOCITY_TABLE,MATCH($F253,TIER_LIST,0),3))*(IF((8-$I253+1)&lt;=0,0,IF((8-$I253+1)=1,RAMP_W1,IF((8-$I253+1)=2,RAMP_W2,IF((8-$I253+1)=3,RAMP_W3,RAMP_W4PLUS)))))*(INDEX(ACTIVE_MULT_TABLE,3,1))*(1+SUMPRODUCT(SIGN(((ACT_DOOR_SCOPE="ALL")+(ACT_DOOR_SCOPE="TIER_"&amp;$F253)+(ACT_DOOR_SCOPE=$B253)))*SIGN(((ACT_SKU_SCOPE="ALL")+(ACT_SKU_SCOPE=$G253)))*(ACT_START&lt;=8)*(ACT_END&gt;=8)*IFERROR(ACT_UPLIFT-1,0)))*(1+SUMPRODUCT(SIGN(((ACT_DOOR_SCOPE="ALL")+(ACT_DOOR_SCOPE="TIER_"&amp;$F253)+(ACT_DOOR_SCOPE=$B253)))*SIGN(((ACT_SKU_SCOPE="ALL")+(ACT_SKU_SCOPE=$G253)))*(8&gt;ACT_END)*(ACT_END&gt;0)*IFERROR(ACT_POSTLIFT,0))),0)))</f>
        <v/>
      </c>
      <c r="R253" s="10">
        <f>IF(OR($H253&lt;&gt;"Y",9&lt;$I253),0,IF(SUMPRODUCT(((BULK_ENABLED="Y")*((BULK_TIER="ALL")+(BULK_TIER=$F253))*((BULK_SKU="ALL")+(BULK_SKU=$G253))*(BULK_START&lt;=9)*(BULK_END&gt;=9)))&gt;0,IFERROR(SUMPRODUCT(((BULK_ENABLED="Y")*((BULK_TIER="ALL")+(BULK_TIER=$F253))*((BULK_SKU="ALL")+(BULK_SKU=$G253))*(BULK_START&lt;=9)*(BULK_END&gt;=9))*IFERROR(BULK_VALUE,0))/MAX(1,SUMPRODUCT(((BULK_ENABLED="Y")*((BULK_TIER="ALL")+(BULK_TIER=$F253))*((BULK_SKU="ALL")+(BULK_SKU=$G253))*(BULK_START&lt;=9)*(BULK_END&gt;=9)))),0),ROUND((INDEX(VELOCITY_TABLE,MATCH($F253,TIER_LIST,0),3))*(IF((9-$I253+1)&lt;=0,0,IF((9-$I253+1)=1,RAMP_W1,IF((9-$I253+1)=2,RAMP_W2,IF((9-$I253+1)=3,RAMP_W3,RAMP_W4PLUS)))))*(INDEX(ACTIVE_MULT_TABLE,3,1))*(1+SUMPRODUCT(SIGN(((ACT_DOOR_SCOPE="ALL")+(ACT_DOOR_SCOPE="TIER_"&amp;$F253)+(ACT_DOOR_SCOPE=$B253)))*SIGN(((ACT_SKU_SCOPE="ALL")+(ACT_SKU_SCOPE=$G253)))*(ACT_START&lt;=9)*(ACT_END&gt;=9)*IFERROR(ACT_UPLIFT-1,0)))*(1+SUMPRODUCT(SIGN(((ACT_DOOR_SCOPE="ALL")+(ACT_DOOR_SCOPE="TIER_"&amp;$F253)+(ACT_DOOR_SCOPE=$B253)))*SIGN(((ACT_SKU_SCOPE="ALL")+(ACT_SKU_SCOPE=$G253)))*(9&gt;ACT_END)*(ACT_END&gt;0)*IFERROR(ACT_POSTLIFT,0))),0)))</f>
        <v/>
      </c>
      <c r="S253" s="10">
        <f>IF(OR($H253&lt;&gt;"Y",10&lt;$I253),0,IF(SUMPRODUCT(((BULK_ENABLED="Y")*((BULK_TIER="ALL")+(BULK_TIER=$F253))*((BULK_SKU="ALL")+(BULK_SKU=$G253))*(BULK_START&lt;=10)*(BULK_END&gt;=10)))&gt;0,IFERROR(SUMPRODUCT(((BULK_ENABLED="Y")*((BULK_TIER="ALL")+(BULK_TIER=$F253))*((BULK_SKU="ALL")+(BULK_SKU=$G253))*(BULK_START&lt;=10)*(BULK_END&gt;=10))*IFERROR(BULK_VALUE,0))/MAX(1,SUMPRODUCT(((BULK_ENABLED="Y")*((BULK_TIER="ALL")+(BULK_TIER=$F253))*((BULK_SKU="ALL")+(BULK_SKU=$G253))*(BULK_START&lt;=10)*(BULK_END&gt;=10)))),0),ROUND((INDEX(VELOCITY_TABLE,MATCH($F253,TIER_LIST,0),3))*(IF((10-$I253+1)&lt;=0,0,IF((10-$I253+1)=1,RAMP_W1,IF((10-$I253+1)=2,RAMP_W2,IF((10-$I253+1)=3,RAMP_W3,RAMP_W4PLUS)))))*(INDEX(ACTIVE_MULT_TABLE,3,1))*(1+SUMPRODUCT(SIGN(((ACT_DOOR_SCOPE="ALL")+(ACT_DOOR_SCOPE="TIER_"&amp;$F253)+(ACT_DOOR_SCOPE=$B253)))*SIGN(((ACT_SKU_SCOPE="ALL")+(ACT_SKU_SCOPE=$G253)))*(ACT_START&lt;=10)*(ACT_END&gt;=10)*IFERROR(ACT_UPLIFT-1,0)))*(1+SUMPRODUCT(SIGN(((ACT_DOOR_SCOPE="ALL")+(ACT_DOOR_SCOPE="TIER_"&amp;$F253)+(ACT_DOOR_SCOPE=$B253)))*SIGN(((ACT_SKU_SCOPE="ALL")+(ACT_SKU_SCOPE=$G253)))*(10&gt;ACT_END)*(ACT_END&gt;0)*IFERROR(ACT_POSTLIFT,0))),0)))</f>
        <v/>
      </c>
      <c r="T253" s="10">
        <f>IF(OR($H253&lt;&gt;"Y",11&lt;$I253),0,IF(SUMPRODUCT(((BULK_ENABLED="Y")*((BULK_TIER="ALL")+(BULK_TIER=$F253))*((BULK_SKU="ALL")+(BULK_SKU=$G253))*(BULK_START&lt;=11)*(BULK_END&gt;=11)))&gt;0,IFERROR(SUMPRODUCT(((BULK_ENABLED="Y")*((BULK_TIER="ALL")+(BULK_TIER=$F253))*((BULK_SKU="ALL")+(BULK_SKU=$G253))*(BULK_START&lt;=11)*(BULK_END&gt;=11))*IFERROR(BULK_VALUE,0))/MAX(1,SUMPRODUCT(((BULK_ENABLED="Y")*((BULK_TIER="ALL")+(BULK_TIER=$F253))*((BULK_SKU="ALL")+(BULK_SKU=$G253))*(BULK_START&lt;=11)*(BULK_END&gt;=11)))),0),ROUND((INDEX(VELOCITY_TABLE,MATCH($F253,TIER_LIST,0),3))*(IF((11-$I253+1)&lt;=0,0,IF((11-$I253+1)=1,RAMP_W1,IF((11-$I253+1)=2,RAMP_W2,IF((11-$I253+1)=3,RAMP_W3,RAMP_W4PLUS)))))*(INDEX(ACTIVE_MULT_TABLE,3,1))*(1+SUMPRODUCT(SIGN(((ACT_DOOR_SCOPE="ALL")+(ACT_DOOR_SCOPE="TIER_"&amp;$F253)+(ACT_DOOR_SCOPE=$B253)))*SIGN(((ACT_SKU_SCOPE="ALL")+(ACT_SKU_SCOPE=$G253)))*(ACT_START&lt;=11)*(ACT_END&gt;=11)*IFERROR(ACT_UPLIFT-1,0)))*(1+SUMPRODUCT(SIGN(((ACT_DOOR_SCOPE="ALL")+(ACT_DOOR_SCOPE="TIER_"&amp;$F253)+(ACT_DOOR_SCOPE=$B253)))*SIGN(((ACT_SKU_SCOPE="ALL")+(ACT_SKU_SCOPE=$G253)))*(11&gt;ACT_END)*(ACT_END&gt;0)*IFERROR(ACT_POSTLIFT,0))),0)))</f>
        <v/>
      </c>
      <c r="U253" s="10">
        <f>IF(OR($H253&lt;&gt;"Y",12&lt;$I253),0,IF(SUMPRODUCT(((BULK_ENABLED="Y")*((BULK_TIER="ALL")+(BULK_TIER=$F253))*((BULK_SKU="ALL")+(BULK_SKU=$G253))*(BULK_START&lt;=12)*(BULK_END&gt;=12)))&gt;0,IFERROR(SUMPRODUCT(((BULK_ENABLED="Y")*((BULK_TIER="ALL")+(BULK_TIER=$F253))*((BULK_SKU="ALL")+(BULK_SKU=$G253))*(BULK_START&lt;=12)*(BULK_END&gt;=12))*IFERROR(BULK_VALUE,0))/MAX(1,SUMPRODUCT(((BULK_ENABLED="Y")*((BULK_TIER="ALL")+(BULK_TIER=$F253))*((BULK_SKU="ALL")+(BULK_SKU=$G253))*(BULK_START&lt;=12)*(BULK_END&gt;=12)))),0),ROUND((INDEX(VELOCITY_TABLE,MATCH($F253,TIER_LIST,0),3))*(IF((12-$I253+1)&lt;=0,0,IF((12-$I253+1)=1,RAMP_W1,IF((12-$I253+1)=2,RAMP_W2,IF((12-$I253+1)=3,RAMP_W3,RAMP_W4PLUS)))))*(INDEX(ACTIVE_MULT_TABLE,3,1))*(1+SUMPRODUCT(SIGN(((ACT_DOOR_SCOPE="ALL")+(ACT_DOOR_SCOPE="TIER_"&amp;$F253)+(ACT_DOOR_SCOPE=$B253)))*SIGN(((ACT_SKU_SCOPE="ALL")+(ACT_SKU_SCOPE=$G253)))*(ACT_START&lt;=12)*(ACT_END&gt;=12)*IFERROR(ACT_UPLIFT-1,0)))*(1+SUMPRODUCT(SIGN(((ACT_DOOR_SCOPE="ALL")+(ACT_DOOR_SCOPE="TIER_"&amp;$F253)+(ACT_DOOR_SCOPE=$B253)))*SIGN(((ACT_SKU_SCOPE="ALL")+(ACT_SKU_SCOPE=$G253)))*(12&gt;ACT_END)*(ACT_END&gt;0)*IFERROR(ACT_POSTLIFT,0))),0)))</f>
        <v/>
      </c>
      <c r="V253" s="10">
        <f>IF(OR($H253&lt;&gt;"Y",13&lt;$I253),0,IF(SUMPRODUCT(((BULK_ENABLED="Y")*((BULK_TIER="ALL")+(BULK_TIER=$F253))*((BULK_SKU="ALL")+(BULK_SKU=$G253))*(BULK_START&lt;=13)*(BULK_END&gt;=13)))&gt;0,IFERROR(SUMPRODUCT(((BULK_ENABLED="Y")*((BULK_TIER="ALL")+(BULK_TIER=$F253))*((BULK_SKU="ALL")+(BULK_SKU=$G253))*(BULK_START&lt;=13)*(BULK_END&gt;=13))*IFERROR(BULK_VALUE,0))/MAX(1,SUMPRODUCT(((BULK_ENABLED="Y")*((BULK_TIER="ALL")+(BULK_TIER=$F253))*((BULK_SKU="ALL")+(BULK_SKU=$G253))*(BULK_START&lt;=13)*(BULK_END&gt;=13)))),0),ROUND((INDEX(VELOCITY_TABLE,MATCH($F253,TIER_LIST,0),3))*(IF((13-$I253+1)&lt;=0,0,IF((13-$I253+1)=1,RAMP_W1,IF((13-$I253+1)=2,RAMP_W2,IF((13-$I253+1)=3,RAMP_W3,RAMP_W4PLUS)))))*(INDEX(ACTIVE_MULT_TABLE,3,1))*(1+SUMPRODUCT(SIGN(((ACT_DOOR_SCOPE="ALL")+(ACT_DOOR_SCOPE="TIER_"&amp;$F253)+(ACT_DOOR_SCOPE=$B253)))*SIGN(((ACT_SKU_SCOPE="ALL")+(ACT_SKU_SCOPE=$G253)))*(ACT_START&lt;=13)*(ACT_END&gt;=13)*IFERROR(ACT_UPLIFT-1,0)))*(1+SUMPRODUCT(SIGN(((ACT_DOOR_SCOPE="ALL")+(ACT_DOOR_SCOPE="TIER_"&amp;$F253)+(ACT_DOOR_SCOPE=$B253)))*SIGN(((ACT_SKU_SCOPE="ALL")+(ACT_SKU_SCOPE=$G253)))*(13&gt;ACT_END)*(ACT_END&gt;0)*IFERROR(ACT_POSTLIFT,0))),0)))</f>
        <v/>
      </c>
    </row>
    <row r="254">
      <c r="A254" t="inlineStr">
        <is>
          <t>R0250</t>
        </is>
      </c>
      <c r="B254">
        <f>Doors!$A$88</f>
        <v/>
      </c>
      <c r="C254">
        <f>Doors!$C$88</f>
        <v/>
      </c>
      <c r="D254">
        <f>Doors!$B$88</f>
        <v/>
      </c>
      <c r="E254">
        <f>Doors!$E$88</f>
        <v/>
      </c>
      <c r="F254">
        <f>Doors!$F$88</f>
        <v/>
      </c>
      <c r="G254" t="inlineStr">
        <is>
          <t>Lime Lemon</t>
        </is>
      </c>
      <c r="H254">
        <f>Doors!$G$88</f>
        <v/>
      </c>
      <c r="I254">
        <f>Doors!$J$88</f>
        <v/>
      </c>
      <c r="J254" s="10">
        <f>IF(OR($H254&lt;&gt;"Y",1&lt;$I254),0,IF(SUMPRODUCT(((BULK_ENABLED="Y")*((BULK_TIER="ALL")+(BULK_TIER=$F254))*((BULK_SKU="ALL")+(BULK_SKU=$G254))*(BULK_START&lt;=1)*(BULK_END&gt;=1)))&gt;0,IFERROR(SUMPRODUCT(((BULK_ENABLED="Y")*((BULK_TIER="ALL")+(BULK_TIER=$F254))*((BULK_SKU="ALL")+(BULK_SKU=$G254))*(BULK_START&lt;=1)*(BULK_END&gt;=1))*IFERROR(BULK_VALUE,0))/MAX(1,SUMPRODUCT(((BULK_ENABLED="Y")*((BULK_TIER="ALL")+(BULK_TIER=$F254))*((BULK_SKU="ALL")+(BULK_SKU=$G254))*(BULK_START&lt;=1)*(BULK_END&gt;=1)))),0),ROUND((INDEX(VELOCITY_TABLE,MATCH($F254,TIER_LIST,0),1))*(IF((1-$I254+1)&lt;=0,0,IF((1-$I254+1)=1,RAMP_W1,IF((1-$I254+1)=2,RAMP_W2,IF((1-$I254+1)=3,RAMP_W3,RAMP_W4PLUS)))))*(INDEX(ACTIVE_MULT_TABLE,1,1))*(1+SUMPRODUCT(SIGN(((ACT_DOOR_SCOPE="ALL")+(ACT_DOOR_SCOPE="TIER_"&amp;$F254)+(ACT_DOOR_SCOPE=$B254)))*SIGN(((ACT_SKU_SCOPE="ALL")+(ACT_SKU_SCOPE=$G254)))*(ACT_START&lt;=1)*(ACT_END&gt;=1)*IFERROR(ACT_UPLIFT-1,0)))*(1+SUMPRODUCT(SIGN(((ACT_DOOR_SCOPE="ALL")+(ACT_DOOR_SCOPE="TIER_"&amp;$F254)+(ACT_DOOR_SCOPE=$B254)))*SIGN(((ACT_SKU_SCOPE="ALL")+(ACT_SKU_SCOPE=$G254)))*(1&gt;ACT_END)*(ACT_END&gt;0)*IFERROR(ACT_POSTLIFT,0))),0)))</f>
        <v/>
      </c>
      <c r="K254" s="10">
        <f>IF(OR($H254&lt;&gt;"Y",2&lt;$I254),0,IF(SUMPRODUCT(((BULK_ENABLED="Y")*((BULK_TIER="ALL")+(BULK_TIER=$F254))*((BULK_SKU="ALL")+(BULK_SKU=$G254))*(BULK_START&lt;=2)*(BULK_END&gt;=2)))&gt;0,IFERROR(SUMPRODUCT(((BULK_ENABLED="Y")*((BULK_TIER="ALL")+(BULK_TIER=$F254))*((BULK_SKU="ALL")+(BULK_SKU=$G254))*(BULK_START&lt;=2)*(BULK_END&gt;=2))*IFERROR(BULK_VALUE,0))/MAX(1,SUMPRODUCT(((BULK_ENABLED="Y")*((BULK_TIER="ALL")+(BULK_TIER=$F254))*((BULK_SKU="ALL")+(BULK_SKU=$G254))*(BULK_START&lt;=2)*(BULK_END&gt;=2)))),0),ROUND((INDEX(VELOCITY_TABLE,MATCH($F254,TIER_LIST,0),1))*(IF((2-$I254+1)&lt;=0,0,IF((2-$I254+1)=1,RAMP_W1,IF((2-$I254+1)=2,RAMP_W2,IF((2-$I254+1)=3,RAMP_W3,RAMP_W4PLUS)))))*(INDEX(ACTIVE_MULT_TABLE,1,1))*(1+SUMPRODUCT(SIGN(((ACT_DOOR_SCOPE="ALL")+(ACT_DOOR_SCOPE="TIER_"&amp;$F254)+(ACT_DOOR_SCOPE=$B254)))*SIGN(((ACT_SKU_SCOPE="ALL")+(ACT_SKU_SCOPE=$G254)))*(ACT_START&lt;=2)*(ACT_END&gt;=2)*IFERROR(ACT_UPLIFT-1,0)))*(1+SUMPRODUCT(SIGN(((ACT_DOOR_SCOPE="ALL")+(ACT_DOOR_SCOPE="TIER_"&amp;$F254)+(ACT_DOOR_SCOPE=$B254)))*SIGN(((ACT_SKU_SCOPE="ALL")+(ACT_SKU_SCOPE=$G254)))*(2&gt;ACT_END)*(ACT_END&gt;0)*IFERROR(ACT_POSTLIFT,0))),0)))</f>
        <v/>
      </c>
      <c r="L254" s="10">
        <f>IF(OR($H254&lt;&gt;"Y",3&lt;$I254),0,IF(SUMPRODUCT(((BULK_ENABLED="Y")*((BULK_TIER="ALL")+(BULK_TIER=$F254))*((BULK_SKU="ALL")+(BULK_SKU=$G254))*(BULK_START&lt;=3)*(BULK_END&gt;=3)))&gt;0,IFERROR(SUMPRODUCT(((BULK_ENABLED="Y")*((BULK_TIER="ALL")+(BULK_TIER=$F254))*((BULK_SKU="ALL")+(BULK_SKU=$G254))*(BULK_START&lt;=3)*(BULK_END&gt;=3))*IFERROR(BULK_VALUE,0))/MAX(1,SUMPRODUCT(((BULK_ENABLED="Y")*((BULK_TIER="ALL")+(BULK_TIER=$F254))*((BULK_SKU="ALL")+(BULK_SKU=$G254))*(BULK_START&lt;=3)*(BULK_END&gt;=3)))),0),ROUND((INDEX(VELOCITY_TABLE,MATCH($F254,TIER_LIST,0),1))*(IF((3-$I254+1)&lt;=0,0,IF((3-$I254+1)=1,RAMP_W1,IF((3-$I254+1)=2,RAMP_W2,IF((3-$I254+1)=3,RAMP_W3,RAMP_W4PLUS)))))*(INDEX(ACTIVE_MULT_TABLE,1,1))*(1+SUMPRODUCT(SIGN(((ACT_DOOR_SCOPE="ALL")+(ACT_DOOR_SCOPE="TIER_"&amp;$F254)+(ACT_DOOR_SCOPE=$B254)))*SIGN(((ACT_SKU_SCOPE="ALL")+(ACT_SKU_SCOPE=$G254)))*(ACT_START&lt;=3)*(ACT_END&gt;=3)*IFERROR(ACT_UPLIFT-1,0)))*(1+SUMPRODUCT(SIGN(((ACT_DOOR_SCOPE="ALL")+(ACT_DOOR_SCOPE="TIER_"&amp;$F254)+(ACT_DOOR_SCOPE=$B254)))*SIGN(((ACT_SKU_SCOPE="ALL")+(ACT_SKU_SCOPE=$G254)))*(3&gt;ACT_END)*(ACT_END&gt;0)*IFERROR(ACT_POSTLIFT,0))),0)))</f>
        <v/>
      </c>
      <c r="M254" s="10">
        <f>IF(OR($H254&lt;&gt;"Y",4&lt;$I254),0,IF(SUMPRODUCT(((BULK_ENABLED="Y")*((BULK_TIER="ALL")+(BULK_TIER=$F254))*((BULK_SKU="ALL")+(BULK_SKU=$G254))*(BULK_START&lt;=4)*(BULK_END&gt;=4)))&gt;0,IFERROR(SUMPRODUCT(((BULK_ENABLED="Y")*((BULK_TIER="ALL")+(BULK_TIER=$F254))*((BULK_SKU="ALL")+(BULK_SKU=$G254))*(BULK_START&lt;=4)*(BULK_END&gt;=4))*IFERROR(BULK_VALUE,0))/MAX(1,SUMPRODUCT(((BULK_ENABLED="Y")*((BULK_TIER="ALL")+(BULK_TIER=$F254))*((BULK_SKU="ALL")+(BULK_SKU=$G254))*(BULK_START&lt;=4)*(BULK_END&gt;=4)))),0),ROUND((INDEX(VELOCITY_TABLE,MATCH($F254,TIER_LIST,0),1))*(IF((4-$I254+1)&lt;=0,0,IF((4-$I254+1)=1,RAMP_W1,IF((4-$I254+1)=2,RAMP_W2,IF((4-$I254+1)=3,RAMP_W3,RAMP_W4PLUS)))))*(INDEX(ACTIVE_MULT_TABLE,1,1))*(1+SUMPRODUCT(SIGN(((ACT_DOOR_SCOPE="ALL")+(ACT_DOOR_SCOPE="TIER_"&amp;$F254)+(ACT_DOOR_SCOPE=$B254)))*SIGN(((ACT_SKU_SCOPE="ALL")+(ACT_SKU_SCOPE=$G254)))*(ACT_START&lt;=4)*(ACT_END&gt;=4)*IFERROR(ACT_UPLIFT-1,0)))*(1+SUMPRODUCT(SIGN(((ACT_DOOR_SCOPE="ALL")+(ACT_DOOR_SCOPE="TIER_"&amp;$F254)+(ACT_DOOR_SCOPE=$B254)))*SIGN(((ACT_SKU_SCOPE="ALL")+(ACT_SKU_SCOPE=$G254)))*(4&gt;ACT_END)*(ACT_END&gt;0)*IFERROR(ACT_POSTLIFT,0))),0)))</f>
        <v/>
      </c>
      <c r="N254" s="10">
        <f>IF(OR($H254&lt;&gt;"Y",5&lt;$I254),0,IF(SUMPRODUCT(((BULK_ENABLED="Y")*((BULK_TIER="ALL")+(BULK_TIER=$F254))*((BULK_SKU="ALL")+(BULK_SKU=$G254))*(BULK_START&lt;=5)*(BULK_END&gt;=5)))&gt;0,IFERROR(SUMPRODUCT(((BULK_ENABLED="Y")*((BULK_TIER="ALL")+(BULK_TIER=$F254))*((BULK_SKU="ALL")+(BULK_SKU=$G254))*(BULK_START&lt;=5)*(BULK_END&gt;=5))*IFERROR(BULK_VALUE,0))/MAX(1,SUMPRODUCT(((BULK_ENABLED="Y")*((BULK_TIER="ALL")+(BULK_TIER=$F254))*((BULK_SKU="ALL")+(BULK_SKU=$G254))*(BULK_START&lt;=5)*(BULK_END&gt;=5)))),0),ROUND((INDEX(VELOCITY_TABLE,MATCH($F254,TIER_LIST,0),1))*(IF((5-$I254+1)&lt;=0,0,IF((5-$I254+1)=1,RAMP_W1,IF((5-$I254+1)=2,RAMP_W2,IF((5-$I254+1)=3,RAMP_W3,RAMP_W4PLUS)))))*(INDEX(ACTIVE_MULT_TABLE,1,1))*(1+SUMPRODUCT(SIGN(((ACT_DOOR_SCOPE="ALL")+(ACT_DOOR_SCOPE="TIER_"&amp;$F254)+(ACT_DOOR_SCOPE=$B254)))*SIGN(((ACT_SKU_SCOPE="ALL")+(ACT_SKU_SCOPE=$G254)))*(ACT_START&lt;=5)*(ACT_END&gt;=5)*IFERROR(ACT_UPLIFT-1,0)))*(1+SUMPRODUCT(SIGN(((ACT_DOOR_SCOPE="ALL")+(ACT_DOOR_SCOPE="TIER_"&amp;$F254)+(ACT_DOOR_SCOPE=$B254)))*SIGN(((ACT_SKU_SCOPE="ALL")+(ACT_SKU_SCOPE=$G254)))*(5&gt;ACT_END)*(ACT_END&gt;0)*IFERROR(ACT_POSTLIFT,0))),0)))</f>
        <v/>
      </c>
      <c r="O254" s="10">
        <f>IF(OR($H254&lt;&gt;"Y",6&lt;$I254),0,IF(SUMPRODUCT(((BULK_ENABLED="Y")*((BULK_TIER="ALL")+(BULK_TIER=$F254))*((BULK_SKU="ALL")+(BULK_SKU=$G254))*(BULK_START&lt;=6)*(BULK_END&gt;=6)))&gt;0,IFERROR(SUMPRODUCT(((BULK_ENABLED="Y")*((BULK_TIER="ALL")+(BULK_TIER=$F254))*((BULK_SKU="ALL")+(BULK_SKU=$G254))*(BULK_START&lt;=6)*(BULK_END&gt;=6))*IFERROR(BULK_VALUE,0))/MAX(1,SUMPRODUCT(((BULK_ENABLED="Y")*((BULK_TIER="ALL")+(BULK_TIER=$F254))*((BULK_SKU="ALL")+(BULK_SKU=$G254))*(BULK_START&lt;=6)*(BULK_END&gt;=6)))),0),ROUND((INDEX(VELOCITY_TABLE,MATCH($F254,TIER_LIST,0),1))*(IF((6-$I254+1)&lt;=0,0,IF((6-$I254+1)=1,RAMP_W1,IF((6-$I254+1)=2,RAMP_W2,IF((6-$I254+1)=3,RAMP_W3,RAMP_W4PLUS)))))*(INDEX(ACTIVE_MULT_TABLE,1,1))*(1+SUMPRODUCT(SIGN(((ACT_DOOR_SCOPE="ALL")+(ACT_DOOR_SCOPE="TIER_"&amp;$F254)+(ACT_DOOR_SCOPE=$B254)))*SIGN(((ACT_SKU_SCOPE="ALL")+(ACT_SKU_SCOPE=$G254)))*(ACT_START&lt;=6)*(ACT_END&gt;=6)*IFERROR(ACT_UPLIFT-1,0)))*(1+SUMPRODUCT(SIGN(((ACT_DOOR_SCOPE="ALL")+(ACT_DOOR_SCOPE="TIER_"&amp;$F254)+(ACT_DOOR_SCOPE=$B254)))*SIGN(((ACT_SKU_SCOPE="ALL")+(ACT_SKU_SCOPE=$G254)))*(6&gt;ACT_END)*(ACT_END&gt;0)*IFERROR(ACT_POSTLIFT,0))),0)))</f>
        <v/>
      </c>
      <c r="P254" s="10">
        <f>IF(OR($H254&lt;&gt;"Y",7&lt;$I254),0,IF(SUMPRODUCT(((BULK_ENABLED="Y")*((BULK_TIER="ALL")+(BULK_TIER=$F254))*((BULK_SKU="ALL")+(BULK_SKU=$G254))*(BULK_START&lt;=7)*(BULK_END&gt;=7)))&gt;0,IFERROR(SUMPRODUCT(((BULK_ENABLED="Y")*((BULK_TIER="ALL")+(BULK_TIER=$F254))*((BULK_SKU="ALL")+(BULK_SKU=$G254))*(BULK_START&lt;=7)*(BULK_END&gt;=7))*IFERROR(BULK_VALUE,0))/MAX(1,SUMPRODUCT(((BULK_ENABLED="Y")*((BULK_TIER="ALL")+(BULK_TIER=$F254))*((BULK_SKU="ALL")+(BULK_SKU=$G254))*(BULK_START&lt;=7)*(BULK_END&gt;=7)))),0),ROUND((INDEX(VELOCITY_TABLE,MATCH($F254,TIER_LIST,0),1))*(IF((7-$I254+1)&lt;=0,0,IF((7-$I254+1)=1,RAMP_W1,IF((7-$I254+1)=2,RAMP_W2,IF((7-$I254+1)=3,RAMP_W3,RAMP_W4PLUS)))))*(INDEX(ACTIVE_MULT_TABLE,1,1))*(1+SUMPRODUCT(SIGN(((ACT_DOOR_SCOPE="ALL")+(ACT_DOOR_SCOPE="TIER_"&amp;$F254)+(ACT_DOOR_SCOPE=$B254)))*SIGN(((ACT_SKU_SCOPE="ALL")+(ACT_SKU_SCOPE=$G254)))*(ACT_START&lt;=7)*(ACT_END&gt;=7)*IFERROR(ACT_UPLIFT-1,0)))*(1+SUMPRODUCT(SIGN(((ACT_DOOR_SCOPE="ALL")+(ACT_DOOR_SCOPE="TIER_"&amp;$F254)+(ACT_DOOR_SCOPE=$B254)))*SIGN(((ACT_SKU_SCOPE="ALL")+(ACT_SKU_SCOPE=$G254)))*(7&gt;ACT_END)*(ACT_END&gt;0)*IFERROR(ACT_POSTLIFT,0))),0)))</f>
        <v/>
      </c>
      <c r="Q254" s="10">
        <f>IF(OR($H254&lt;&gt;"Y",8&lt;$I254),0,IF(SUMPRODUCT(((BULK_ENABLED="Y")*((BULK_TIER="ALL")+(BULK_TIER=$F254))*((BULK_SKU="ALL")+(BULK_SKU=$G254))*(BULK_START&lt;=8)*(BULK_END&gt;=8)))&gt;0,IFERROR(SUMPRODUCT(((BULK_ENABLED="Y")*((BULK_TIER="ALL")+(BULK_TIER=$F254))*((BULK_SKU="ALL")+(BULK_SKU=$G254))*(BULK_START&lt;=8)*(BULK_END&gt;=8))*IFERROR(BULK_VALUE,0))/MAX(1,SUMPRODUCT(((BULK_ENABLED="Y")*((BULK_TIER="ALL")+(BULK_TIER=$F254))*((BULK_SKU="ALL")+(BULK_SKU=$G254))*(BULK_START&lt;=8)*(BULK_END&gt;=8)))),0),ROUND((INDEX(VELOCITY_TABLE,MATCH($F254,TIER_LIST,0),1))*(IF((8-$I254+1)&lt;=0,0,IF((8-$I254+1)=1,RAMP_W1,IF((8-$I254+1)=2,RAMP_W2,IF((8-$I254+1)=3,RAMP_W3,RAMP_W4PLUS)))))*(INDEX(ACTIVE_MULT_TABLE,1,1))*(1+SUMPRODUCT(SIGN(((ACT_DOOR_SCOPE="ALL")+(ACT_DOOR_SCOPE="TIER_"&amp;$F254)+(ACT_DOOR_SCOPE=$B254)))*SIGN(((ACT_SKU_SCOPE="ALL")+(ACT_SKU_SCOPE=$G254)))*(ACT_START&lt;=8)*(ACT_END&gt;=8)*IFERROR(ACT_UPLIFT-1,0)))*(1+SUMPRODUCT(SIGN(((ACT_DOOR_SCOPE="ALL")+(ACT_DOOR_SCOPE="TIER_"&amp;$F254)+(ACT_DOOR_SCOPE=$B254)))*SIGN(((ACT_SKU_SCOPE="ALL")+(ACT_SKU_SCOPE=$G254)))*(8&gt;ACT_END)*(ACT_END&gt;0)*IFERROR(ACT_POSTLIFT,0))),0)))</f>
        <v/>
      </c>
      <c r="R254" s="10">
        <f>IF(OR($H254&lt;&gt;"Y",9&lt;$I254),0,IF(SUMPRODUCT(((BULK_ENABLED="Y")*((BULK_TIER="ALL")+(BULK_TIER=$F254))*((BULK_SKU="ALL")+(BULK_SKU=$G254))*(BULK_START&lt;=9)*(BULK_END&gt;=9)))&gt;0,IFERROR(SUMPRODUCT(((BULK_ENABLED="Y")*((BULK_TIER="ALL")+(BULK_TIER=$F254))*((BULK_SKU="ALL")+(BULK_SKU=$G254))*(BULK_START&lt;=9)*(BULK_END&gt;=9))*IFERROR(BULK_VALUE,0))/MAX(1,SUMPRODUCT(((BULK_ENABLED="Y")*((BULK_TIER="ALL")+(BULK_TIER=$F254))*((BULK_SKU="ALL")+(BULK_SKU=$G254))*(BULK_START&lt;=9)*(BULK_END&gt;=9)))),0),ROUND((INDEX(VELOCITY_TABLE,MATCH($F254,TIER_LIST,0),1))*(IF((9-$I254+1)&lt;=0,0,IF((9-$I254+1)=1,RAMP_W1,IF((9-$I254+1)=2,RAMP_W2,IF((9-$I254+1)=3,RAMP_W3,RAMP_W4PLUS)))))*(INDEX(ACTIVE_MULT_TABLE,1,1))*(1+SUMPRODUCT(SIGN(((ACT_DOOR_SCOPE="ALL")+(ACT_DOOR_SCOPE="TIER_"&amp;$F254)+(ACT_DOOR_SCOPE=$B254)))*SIGN(((ACT_SKU_SCOPE="ALL")+(ACT_SKU_SCOPE=$G254)))*(ACT_START&lt;=9)*(ACT_END&gt;=9)*IFERROR(ACT_UPLIFT-1,0)))*(1+SUMPRODUCT(SIGN(((ACT_DOOR_SCOPE="ALL")+(ACT_DOOR_SCOPE="TIER_"&amp;$F254)+(ACT_DOOR_SCOPE=$B254)))*SIGN(((ACT_SKU_SCOPE="ALL")+(ACT_SKU_SCOPE=$G254)))*(9&gt;ACT_END)*(ACT_END&gt;0)*IFERROR(ACT_POSTLIFT,0))),0)))</f>
        <v/>
      </c>
      <c r="S254" s="10">
        <f>IF(OR($H254&lt;&gt;"Y",10&lt;$I254),0,IF(SUMPRODUCT(((BULK_ENABLED="Y")*((BULK_TIER="ALL")+(BULK_TIER=$F254))*((BULK_SKU="ALL")+(BULK_SKU=$G254))*(BULK_START&lt;=10)*(BULK_END&gt;=10)))&gt;0,IFERROR(SUMPRODUCT(((BULK_ENABLED="Y")*((BULK_TIER="ALL")+(BULK_TIER=$F254))*((BULK_SKU="ALL")+(BULK_SKU=$G254))*(BULK_START&lt;=10)*(BULK_END&gt;=10))*IFERROR(BULK_VALUE,0))/MAX(1,SUMPRODUCT(((BULK_ENABLED="Y")*((BULK_TIER="ALL")+(BULK_TIER=$F254))*((BULK_SKU="ALL")+(BULK_SKU=$G254))*(BULK_START&lt;=10)*(BULK_END&gt;=10)))),0),ROUND((INDEX(VELOCITY_TABLE,MATCH($F254,TIER_LIST,0),1))*(IF((10-$I254+1)&lt;=0,0,IF((10-$I254+1)=1,RAMP_W1,IF((10-$I254+1)=2,RAMP_W2,IF((10-$I254+1)=3,RAMP_W3,RAMP_W4PLUS)))))*(INDEX(ACTIVE_MULT_TABLE,1,1))*(1+SUMPRODUCT(SIGN(((ACT_DOOR_SCOPE="ALL")+(ACT_DOOR_SCOPE="TIER_"&amp;$F254)+(ACT_DOOR_SCOPE=$B254)))*SIGN(((ACT_SKU_SCOPE="ALL")+(ACT_SKU_SCOPE=$G254)))*(ACT_START&lt;=10)*(ACT_END&gt;=10)*IFERROR(ACT_UPLIFT-1,0)))*(1+SUMPRODUCT(SIGN(((ACT_DOOR_SCOPE="ALL")+(ACT_DOOR_SCOPE="TIER_"&amp;$F254)+(ACT_DOOR_SCOPE=$B254)))*SIGN(((ACT_SKU_SCOPE="ALL")+(ACT_SKU_SCOPE=$G254)))*(10&gt;ACT_END)*(ACT_END&gt;0)*IFERROR(ACT_POSTLIFT,0))),0)))</f>
        <v/>
      </c>
      <c r="T254" s="10">
        <f>IF(OR($H254&lt;&gt;"Y",11&lt;$I254),0,IF(SUMPRODUCT(((BULK_ENABLED="Y")*((BULK_TIER="ALL")+(BULK_TIER=$F254))*((BULK_SKU="ALL")+(BULK_SKU=$G254))*(BULK_START&lt;=11)*(BULK_END&gt;=11)))&gt;0,IFERROR(SUMPRODUCT(((BULK_ENABLED="Y")*((BULK_TIER="ALL")+(BULK_TIER=$F254))*((BULK_SKU="ALL")+(BULK_SKU=$G254))*(BULK_START&lt;=11)*(BULK_END&gt;=11))*IFERROR(BULK_VALUE,0))/MAX(1,SUMPRODUCT(((BULK_ENABLED="Y")*((BULK_TIER="ALL")+(BULK_TIER=$F254))*((BULK_SKU="ALL")+(BULK_SKU=$G254))*(BULK_START&lt;=11)*(BULK_END&gt;=11)))),0),ROUND((INDEX(VELOCITY_TABLE,MATCH($F254,TIER_LIST,0),1))*(IF((11-$I254+1)&lt;=0,0,IF((11-$I254+1)=1,RAMP_W1,IF((11-$I254+1)=2,RAMP_W2,IF((11-$I254+1)=3,RAMP_W3,RAMP_W4PLUS)))))*(INDEX(ACTIVE_MULT_TABLE,1,1))*(1+SUMPRODUCT(SIGN(((ACT_DOOR_SCOPE="ALL")+(ACT_DOOR_SCOPE="TIER_"&amp;$F254)+(ACT_DOOR_SCOPE=$B254)))*SIGN(((ACT_SKU_SCOPE="ALL")+(ACT_SKU_SCOPE=$G254)))*(ACT_START&lt;=11)*(ACT_END&gt;=11)*IFERROR(ACT_UPLIFT-1,0)))*(1+SUMPRODUCT(SIGN(((ACT_DOOR_SCOPE="ALL")+(ACT_DOOR_SCOPE="TIER_"&amp;$F254)+(ACT_DOOR_SCOPE=$B254)))*SIGN(((ACT_SKU_SCOPE="ALL")+(ACT_SKU_SCOPE=$G254)))*(11&gt;ACT_END)*(ACT_END&gt;0)*IFERROR(ACT_POSTLIFT,0))),0)))</f>
        <v/>
      </c>
      <c r="U254" s="10">
        <f>IF(OR($H254&lt;&gt;"Y",12&lt;$I254),0,IF(SUMPRODUCT(((BULK_ENABLED="Y")*((BULK_TIER="ALL")+(BULK_TIER=$F254))*((BULK_SKU="ALL")+(BULK_SKU=$G254))*(BULK_START&lt;=12)*(BULK_END&gt;=12)))&gt;0,IFERROR(SUMPRODUCT(((BULK_ENABLED="Y")*((BULK_TIER="ALL")+(BULK_TIER=$F254))*((BULK_SKU="ALL")+(BULK_SKU=$G254))*(BULK_START&lt;=12)*(BULK_END&gt;=12))*IFERROR(BULK_VALUE,0))/MAX(1,SUMPRODUCT(((BULK_ENABLED="Y")*((BULK_TIER="ALL")+(BULK_TIER=$F254))*((BULK_SKU="ALL")+(BULK_SKU=$G254))*(BULK_START&lt;=12)*(BULK_END&gt;=12)))),0),ROUND((INDEX(VELOCITY_TABLE,MATCH($F254,TIER_LIST,0),1))*(IF((12-$I254+1)&lt;=0,0,IF((12-$I254+1)=1,RAMP_W1,IF((12-$I254+1)=2,RAMP_W2,IF((12-$I254+1)=3,RAMP_W3,RAMP_W4PLUS)))))*(INDEX(ACTIVE_MULT_TABLE,1,1))*(1+SUMPRODUCT(SIGN(((ACT_DOOR_SCOPE="ALL")+(ACT_DOOR_SCOPE="TIER_"&amp;$F254)+(ACT_DOOR_SCOPE=$B254)))*SIGN(((ACT_SKU_SCOPE="ALL")+(ACT_SKU_SCOPE=$G254)))*(ACT_START&lt;=12)*(ACT_END&gt;=12)*IFERROR(ACT_UPLIFT-1,0)))*(1+SUMPRODUCT(SIGN(((ACT_DOOR_SCOPE="ALL")+(ACT_DOOR_SCOPE="TIER_"&amp;$F254)+(ACT_DOOR_SCOPE=$B254)))*SIGN(((ACT_SKU_SCOPE="ALL")+(ACT_SKU_SCOPE=$G254)))*(12&gt;ACT_END)*(ACT_END&gt;0)*IFERROR(ACT_POSTLIFT,0))),0)))</f>
        <v/>
      </c>
      <c r="V254" s="10">
        <f>IF(OR($H254&lt;&gt;"Y",13&lt;$I254),0,IF(SUMPRODUCT(((BULK_ENABLED="Y")*((BULK_TIER="ALL")+(BULK_TIER=$F254))*((BULK_SKU="ALL")+(BULK_SKU=$G254))*(BULK_START&lt;=13)*(BULK_END&gt;=13)))&gt;0,IFERROR(SUMPRODUCT(((BULK_ENABLED="Y")*((BULK_TIER="ALL")+(BULK_TIER=$F254))*((BULK_SKU="ALL")+(BULK_SKU=$G254))*(BULK_START&lt;=13)*(BULK_END&gt;=13))*IFERROR(BULK_VALUE,0))/MAX(1,SUMPRODUCT(((BULK_ENABLED="Y")*((BULK_TIER="ALL")+(BULK_TIER=$F254))*((BULK_SKU="ALL")+(BULK_SKU=$G254))*(BULK_START&lt;=13)*(BULK_END&gt;=13)))),0),ROUND((INDEX(VELOCITY_TABLE,MATCH($F254,TIER_LIST,0),1))*(IF((13-$I254+1)&lt;=0,0,IF((13-$I254+1)=1,RAMP_W1,IF((13-$I254+1)=2,RAMP_W2,IF((13-$I254+1)=3,RAMP_W3,RAMP_W4PLUS)))))*(INDEX(ACTIVE_MULT_TABLE,1,1))*(1+SUMPRODUCT(SIGN(((ACT_DOOR_SCOPE="ALL")+(ACT_DOOR_SCOPE="TIER_"&amp;$F254)+(ACT_DOOR_SCOPE=$B254)))*SIGN(((ACT_SKU_SCOPE="ALL")+(ACT_SKU_SCOPE=$G254)))*(ACT_START&lt;=13)*(ACT_END&gt;=13)*IFERROR(ACT_UPLIFT-1,0)))*(1+SUMPRODUCT(SIGN(((ACT_DOOR_SCOPE="ALL")+(ACT_DOOR_SCOPE="TIER_"&amp;$F254)+(ACT_DOOR_SCOPE=$B254)))*SIGN(((ACT_SKU_SCOPE="ALL")+(ACT_SKU_SCOPE=$G254)))*(13&gt;ACT_END)*(ACT_END&gt;0)*IFERROR(ACT_POSTLIFT,0))),0)))</f>
        <v/>
      </c>
    </row>
    <row r="255">
      <c r="A255" t="inlineStr">
        <is>
          <t>R0251</t>
        </is>
      </c>
      <c r="B255">
        <f>Doors!$A$88</f>
        <v/>
      </c>
      <c r="C255">
        <f>Doors!$C$88</f>
        <v/>
      </c>
      <c r="D255">
        <f>Doors!$B$88</f>
        <v/>
      </c>
      <c r="E255">
        <f>Doors!$E$88</f>
        <v/>
      </c>
      <c r="F255">
        <f>Doors!$F$88</f>
        <v/>
      </c>
      <c r="G255" t="inlineStr">
        <is>
          <t>Pineapple Passion Fruit</t>
        </is>
      </c>
      <c r="H255">
        <f>Doors!$H$88</f>
        <v/>
      </c>
      <c r="I255">
        <f>Doors!$J$88</f>
        <v/>
      </c>
      <c r="J255" s="10">
        <f>IF(OR($H255&lt;&gt;"Y",1&lt;$I255),0,IF(SUMPRODUCT(((BULK_ENABLED="Y")*((BULK_TIER="ALL")+(BULK_TIER=$F255))*((BULK_SKU="ALL")+(BULK_SKU=$G255))*(BULK_START&lt;=1)*(BULK_END&gt;=1)))&gt;0,IFERROR(SUMPRODUCT(((BULK_ENABLED="Y")*((BULK_TIER="ALL")+(BULK_TIER=$F255))*((BULK_SKU="ALL")+(BULK_SKU=$G255))*(BULK_START&lt;=1)*(BULK_END&gt;=1))*IFERROR(BULK_VALUE,0))/MAX(1,SUMPRODUCT(((BULK_ENABLED="Y")*((BULK_TIER="ALL")+(BULK_TIER=$F255))*((BULK_SKU="ALL")+(BULK_SKU=$G255))*(BULK_START&lt;=1)*(BULK_END&gt;=1)))),0),ROUND((INDEX(VELOCITY_TABLE,MATCH($F255,TIER_LIST,0),2))*(IF((1-$I255+1)&lt;=0,0,IF((1-$I255+1)=1,RAMP_W1,IF((1-$I255+1)=2,RAMP_W2,IF((1-$I255+1)=3,RAMP_W3,RAMP_W4PLUS)))))*(INDEX(ACTIVE_MULT_TABLE,2,1))*(1+SUMPRODUCT(SIGN(((ACT_DOOR_SCOPE="ALL")+(ACT_DOOR_SCOPE="TIER_"&amp;$F255)+(ACT_DOOR_SCOPE=$B255)))*SIGN(((ACT_SKU_SCOPE="ALL")+(ACT_SKU_SCOPE=$G255)))*(ACT_START&lt;=1)*(ACT_END&gt;=1)*IFERROR(ACT_UPLIFT-1,0)))*(1+SUMPRODUCT(SIGN(((ACT_DOOR_SCOPE="ALL")+(ACT_DOOR_SCOPE="TIER_"&amp;$F255)+(ACT_DOOR_SCOPE=$B255)))*SIGN(((ACT_SKU_SCOPE="ALL")+(ACT_SKU_SCOPE=$G255)))*(1&gt;ACT_END)*(ACT_END&gt;0)*IFERROR(ACT_POSTLIFT,0))),0)))</f>
        <v/>
      </c>
      <c r="K255" s="10">
        <f>IF(OR($H255&lt;&gt;"Y",2&lt;$I255),0,IF(SUMPRODUCT(((BULK_ENABLED="Y")*((BULK_TIER="ALL")+(BULK_TIER=$F255))*((BULK_SKU="ALL")+(BULK_SKU=$G255))*(BULK_START&lt;=2)*(BULK_END&gt;=2)))&gt;0,IFERROR(SUMPRODUCT(((BULK_ENABLED="Y")*((BULK_TIER="ALL")+(BULK_TIER=$F255))*((BULK_SKU="ALL")+(BULK_SKU=$G255))*(BULK_START&lt;=2)*(BULK_END&gt;=2))*IFERROR(BULK_VALUE,0))/MAX(1,SUMPRODUCT(((BULK_ENABLED="Y")*((BULK_TIER="ALL")+(BULK_TIER=$F255))*((BULK_SKU="ALL")+(BULK_SKU=$G255))*(BULK_START&lt;=2)*(BULK_END&gt;=2)))),0),ROUND((INDEX(VELOCITY_TABLE,MATCH($F255,TIER_LIST,0),2))*(IF((2-$I255+1)&lt;=0,0,IF((2-$I255+1)=1,RAMP_W1,IF((2-$I255+1)=2,RAMP_W2,IF((2-$I255+1)=3,RAMP_W3,RAMP_W4PLUS)))))*(INDEX(ACTIVE_MULT_TABLE,2,1))*(1+SUMPRODUCT(SIGN(((ACT_DOOR_SCOPE="ALL")+(ACT_DOOR_SCOPE="TIER_"&amp;$F255)+(ACT_DOOR_SCOPE=$B255)))*SIGN(((ACT_SKU_SCOPE="ALL")+(ACT_SKU_SCOPE=$G255)))*(ACT_START&lt;=2)*(ACT_END&gt;=2)*IFERROR(ACT_UPLIFT-1,0)))*(1+SUMPRODUCT(SIGN(((ACT_DOOR_SCOPE="ALL")+(ACT_DOOR_SCOPE="TIER_"&amp;$F255)+(ACT_DOOR_SCOPE=$B255)))*SIGN(((ACT_SKU_SCOPE="ALL")+(ACT_SKU_SCOPE=$G255)))*(2&gt;ACT_END)*(ACT_END&gt;0)*IFERROR(ACT_POSTLIFT,0))),0)))</f>
        <v/>
      </c>
      <c r="L255" s="10">
        <f>IF(OR($H255&lt;&gt;"Y",3&lt;$I255),0,IF(SUMPRODUCT(((BULK_ENABLED="Y")*((BULK_TIER="ALL")+(BULK_TIER=$F255))*((BULK_SKU="ALL")+(BULK_SKU=$G255))*(BULK_START&lt;=3)*(BULK_END&gt;=3)))&gt;0,IFERROR(SUMPRODUCT(((BULK_ENABLED="Y")*((BULK_TIER="ALL")+(BULK_TIER=$F255))*((BULK_SKU="ALL")+(BULK_SKU=$G255))*(BULK_START&lt;=3)*(BULK_END&gt;=3))*IFERROR(BULK_VALUE,0))/MAX(1,SUMPRODUCT(((BULK_ENABLED="Y")*((BULK_TIER="ALL")+(BULK_TIER=$F255))*((BULK_SKU="ALL")+(BULK_SKU=$G255))*(BULK_START&lt;=3)*(BULK_END&gt;=3)))),0),ROUND((INDEX(VELOCITY_TABLE,MATCH($F255,TIER_LIST,0),2))*(IF((3-$I255+1)&lt;=0,0,IF((3-$I255+1)=1,RAMP_W1,IF((3-$I255+1)=2,RAMP_W2,IF((3-$I255+1)=3,RAMP_W3,RAMP_W4PLUS)))))*(INDEX(ACTIVE_MULT_TABLE,2,1))*(1+SUMPRODUCT(SIGN(((ACT_DOOR_SCOPE="ALL")+(ACT_DOOR_SCOPE="TIER_"&amp;$F255)+(ACT_DOOR_SCOPE=$B255)))*SIGN(((ACT_SKU_SCOPE="ALL")+(ACT_SKU_SCOPE=$G255)))*(ACT_START&lt;=3)*(ACT_END&gt;=3)*IFERROR(ACT_UPLIFT-1,0)))*(1+SUMPRODUCT(SIGN(((ACT_DOOR_SCOPE="ALL")+(ACT_DOOR_SCOPE="TIER_"&amp;$F255)+(ACT_DOOR_SCOPE=$B255)))*SIGN(((ACT_SKU_SCOPE="ALL")+(ACT_SKU_SCOPE=$G255)))*(3&gt;ACT_END)*(ACT_END&gt;0)*IFERROR(ACT_POSTLIFT,0))),0)))</f>
        <v/>
      </c>
      <c r="M255" s="10">
        <f>IF(OR($H255&lt;&gt;"Y",4&lt;$I255),0,IF(SUMPRODUCT(((BULK_ENABLED="Y")*((BULK_TIER="ALL")+(BULK_TIER=$F255))*((BULK_SKU="ALL")+(BULK_SKU=$G255))*(BULK_START&lt;=4)*(BULK_END&gt;=4)))&gt;0,IFERROR(SUMPRODUCT(((BULK_ENABLED="Y")*((BULK_TIER="ALL")+(BULK_TIER=$F255))*((BULK_SKU="ALL")+(BULK_SKU=$G255))*(BULK_START&lt;=4)*(BULK_END&gt;=4))*IFERROR(BULK_VALUE,0))/MAX(1,SUMPRODUCT(((BULK_ENABLED="Y")*((BULK_TIER="ALL")+(BULK_TIER=$F255))*((BULK_SKU="ALL")+(BULK_SKU=$G255))*(BULK_START&lt;=4)*(BULK_END&gt;=4)))),0),ROUND((INDEX(VELOCITY_TABLE,MATCH($F255,TIER_LIST,0),2))*(IF((4-$I255+1)&lt;=0,0,IF((4-$I255+1)=1,RAMP_W1,IF((4-$I255+1)=2,RAMP_W2,IF((4-$I255+1)=3,RAMP_W3,RAMP_W4PLUS)))))*(INDEX(ACTIVE_MULT_TABLE,2,1))*(1+SUMPRODUCT(SIGN(((ACT_DOOR_SCOPE="ALL")+(ACT_DOOR_SCOPE="TIER_"&amp;$F255)+(ACT_DOOR_SCOPE=$B255)))*SIGN(((ACT_SKU_SCOPE="ALL")+(ACT_SKU_SCOPE=$G255)))*(ACT_START&lt;=4)*(ACT_END&gt;=4)*IFERROR(ACT_UPLIFT-1,0)))*(1+SUMPRODUCT(SIGN(((ACT_DOOR_SCOPE="ALL")+(ACT_DOOR_SCOPE="TIER_"&amp;$F255)+(ACT_DOOR_SCOPE=$B255)))*SIGN(((ACT_SKU_SCOPE="ALL")+(ACT_SKU_SCOPE=$G255)))*(4&gt;ACT_END)*(ACT_END&gt;0)*IFERROR(ACT_POSTLIFT,0))),0)))</f>
        <v/>
      </c>
      <c r="N255" s="10">
        <f>IF(OR($H255&lt;&gt;"Y",5&lt;$I255),0,IF(SUMPRODUCT(((BULK_ENABLED="Y")*((BULK_TIER="ALL")+(BULK_TIER=$F255))*((BULK_SKU="ALL")+(BULK_SKU=$G255))*(BULK_START&lt;=5)*(BULK_END&gt;=5)))&gt;0,IFERROR(SUMPRODUCT(((BULK_ENABLED="Y")*((BULK_TIER="ALL")+(BULK_TIER=$F255))*((BULK_SKU="ALL")+(BULK_SKU=$G255))*(BULK_START&lt;=5)*(BULK_END&gt;=5))*IFERROR(BULK_VALUE,0))/MAX(1,SUMPRODUCT(((BULK_ENABLED="Y")*((BULK_TIER="ALL")+(BULK_TIER=$F255))*((BULK_SKU="ALL")+(BULK_SKU=$G255))*(BULK_START&lt;=5)*(BULK_END&gt;=5)))),0),ROUND((INDEX(VELOCITY_TABLE,MATCH($F255,TIER_LIST,0),2))*(IF((5-$I255+1)&lt;=0,0,IF((5-$I255+1)=1,RAMP_W1,IF((5-$I255+1)=2,RAMP_W2,IF((5-$I255+1)=3,RAMP_W3,RAMP_W4PLUS)))))*(INDEX(ACTIVE_MULT_TABLE,2,1))*(1+SUMPRODUCT(SIGN(((ACT_DOOR_SCOPE="ALL")+(ACT_DOOR_SCOPE="TIER_"&amp;$F255)+(ACT_DOOR_SCOPE=$B255)))*SIGN(((ACT_SKU_SCOPE="ALL")+(ACT_SKU_SCOPE=$G255)))*(ACT_START&lt;=5)*(ACT_END&gt;=5)*IFERROR(ACT_UPLIFT-1,0)))*(1+SUMPRODUCT(SIGN(((ACT_DOOR_SCOPE="ALL")+(ACT_DOOR_SCOPE="TIER_"&amp;$F255)+(ACT_DOOR_SCOPE=$B255)))*SIGN(((ACT_SKU_SCOPE="ALL")+(ACT_SKU_SCOPE=$G255)))*(5&gt;ACT_END)*(ACT_END&gt;0)*IFERROR(ACT_POSTLIFT,0))),0)))</f>
        <v/>
      </c>
      <c r="O255" s="10">
        <f>IF(OR($H255&lt;&gt;"Y",6&lt;$I255),0,IF(SUMPRODUCT(((BULK_ENABLED="Y")*((BULK_TIER="ALL")+(BULK_TIER=$F255))*((BULK_SKU="ALL")+(BULK_SKU=$G255))*(BULK_START&lt;=6)*(BULK_END&gt;=6)))&gt;0,IFERROR(SUMPRODUCT(((BULK_ENABLED="Y")*((BULK_TIER="ALL")+(BULK_TIER=$F255))*((BULK_SKU="ALL")+(BULK_SKU=$G255))*(BULK_START&lt;=6)*(BULK_END&gt;=6))*IFERROR(BULK_VALUE,0))/MAX(1,SUMPRODUCT(((BULK_ENABLED="Y")*((BULK_TIER="ALL")+(BULK_TIER=$F255))*((BULK_SKU="ALL")+(BULK_SKU=$G255))*(BULK_START&lt;=6)*(BULK_END&gt;=6)))),0),ROUND((INDEX(VELOCITY_TABLE,MATCH($F255,TIER_LIST,0),2))*(IF((6-$I255+1)&lt;=0,0,IF((6-$I255+1)=1,RAMP_W1,IF((6-$I255+1)=2,RAMP_W2,IF((6-$I255+1)=3,RAMP_W3,RAMP_W4PLUS)))))*(INDEX(ACTIVE_MULT_TABLE,2,1))*(1+SUMPRODUCT(SIGN(((ACT_DOOR_SCOPE="ALL")+(ACT_DOOR_SCOPE="TIER_"&amp;$F255)+(ACT_DOOR_SCOPE=$B255)))*SIGN(((ACT_SKU_SCOPE="ALL")+(ACT_SKU_SCOPE=$G255)))*(ACT_START&lt;=6)*(ACT_END&gt;=6)*IFERROR(ACT_UPLIFT-1,0)))*(1+SUMPRODUCT(SIGN(((ACT_DOOR_SCOPE="ALL")+(ACT_DOOR_SCOPE="TIER_"&amp;$F255)+(ACT_DOOR_SCOPE=$B255)))*SIGN(((ACT_SKU_SCOPE="ALL")+(ACT_SKU_SCOPE=$G255)))*(6&gt;ACT_END)*(ACT_END&gt;0)*IFERROR(ACT_POSTLIFT,0))),0)))</f>
        <v/>
      </c>
      <c r="P255" s="10">
        <f>IF(OR($H255&lt;&gt;"Y",7&lt;$I255),0,IF(SUMPRODUCT(((BULK_ENABLED="Y")*((BULK_TIER="ALL")+(BULK_TIER=$F255))*((BULK_SKU="ALL")+(BULK_SKU=$G255))*(BULK_START&lt;=7)*(BULK_END&gt;=7)))&gt;0,IFERROR(SUMPRODUCT(((BULK_ENABLED="Y")*((BULK_TIER="ALL")+(BULK_TIER=$F255))*((BULK_SKU="ALL")+(BULK_SKU=$G255))*(BULK_START&lt;=7)*(BULK_END&gt;=7))*IFERROR(BULK_VALUE,0))/MAX(1,SUMPRODUCT(((BULK_ENABLED="Y")*((BULK_TIER="ALL")+(BULK_TIER=$F255))*((BULK_SKU="ALL")+(BULK_SKU=$G255))*(BULK_START&lt;=7)*(BULK_END&gt;=7)))),0),ROUND((INDEX(VELOCITY_TABLE,MATCH($F255,TIER_LIST,0),2))*(IF((7-$I255+1)&lt;=0,0,IF((7-$I255+1)=1,RAMP_W1,IF((7-$I255+1)=2,RAMP_W2,IF((7-$I255+1)=3,RAMP_W3,RAMP_W4PLUS)))))*(INDEX(ACTIVE_MULT_TABLE,2,1))*(1+SUMPRODUCT(SIGN(((ACT_DOOR_SCOPE="ALL")+(ACT_DOOR_SCOPE="TIER_"&amp;$F255)+(ACT_DOOR_SCOPE=$B255)))*SIGN(((ACT_SKU_SCOPE="ALL")+(ACT_SKU_SCOPE=$G255)))*(ACT_START&lt;=7)*(ACT_END&gt;=7)*IFERROR(ACT_UPLIFT-1,0)))*(1+SUMPRODUCT(SIGN(((ACT_DOOR_SCOPE="ALL")+(ACT_DOOR_SCOPE="TIER_"&amp;$F255)+(ACT_DOOR_SCOPE=$B255)))*SIGN(((ACT_SKU_SCOPE="ALL")+(ACT_SKU_SCOPE=$G255)))*(7&gt;ACT_END)*(ACT_END&gt;0)*IFERROR(ACT_POSTLIFT,0))),0)))</f>
        <v/>
      </c>
      <c r="Q255" s="10">
        <f>IF(OR($H255&lt;&gt;"Y",8&lt;$I255),0,IF(SUMPRODUCT(((BULK_ENABLED="Y")*((BULK_TIER="ALL")+(BULK_TIER=$F255))*((BULK_SKU="ALL")+(BULK_SKU=$G255))*(BULK_START&lt;=8)*(BULK_END&gt;=8)))&gt;0,IFERROR(SUMPRODUCT(((BULK_ENABLED="Y")*((BULK_TIER="ALL")+(BULK_TIER=$F255))*((BULK_SKU="ALL")+(BULK_SKU=$G255))*(BULK_START&lt;=8)*(BULK_END&gt;=8))*IFERROR(BULK_VALUE,0))/MAX(1,SUMPRODUCT(((BULK_ENABLED="Y")*((BULK_TIER="ALL")+(BULK_TIER=$F255))*((BULK_SKU="ALL")+(BULK_SKU=$G255))*(BULK_START&lt;=8)*(BULK_END&gt;=8)))),0),ROUND((INDEX(VELOCITY_TABLE,MATCH($F255,TIER_LIST,0),2))*(IF((8-$I255+1)&lt;=0,0,IF((8-$I255+1)=1,RAMP_W1,IF((8-$I255+1)=2,RAMP_W2,IF((8-$I255+1)=3,RAMP_W3,RAMP_W4PLUS)))))*(INDEX(ACTIVE_MULT_TABLE,2,1))*(1+SUMPRODUCT(SIGN(((ACT_DOOR_SCOPE="ALL")+(ACT_DOOR_SCOPE="TIER_"&amp;$F255)+(ACT_DOOR_SCOPE=$B255)))*SIGN(((ACT_SKU_SCOPE="ALL")+(ACT_SKU_SCOPE=$G255)))*(ACT_START&lt;=8)*(ACT_END&gt;=8)*IFERROR(ACT_UPLIFT-1,0)))*(1+SUMPRODUCT(SIGN(((ACT_DOOR_SCOPE="ALL")+(ACT_DOOR_SCOPE="TIER_"&amp;$F255)+(ACT_DOOR_SCOPE=$B255)))*SIGN(((ACT_SKU_SCOPE="ALL")+(ACT_SKU_SCOPE=$G255)))*(8&gt;ACT_END)*(ACT_END&gt;0)*IFERROR(ACT_POSTLIFT,0))),0)))</f>
        <v/>
      </c>
      <c r="R255" s="10">
        <f>IF(OR($H255&lt;&gt;"Y",9&lt;$I255),0,IF(SUMPRODUCT(((BULK_ENABLED="Y")*((BULK_TIER="ALL")+(BULK_TIER=$F255))*((BULK_SKU="ALL")+(BULK_SKU=$G255))*(BULK_START&lt;=9)*(BULK_END&gt;=9)))&gt;0,IFERROR(SUMPRODUCT(((BULK_ENABLED="Y")*((BULK_TIER="ALL")+(BULK_TIER=$F255))*((BULK_SKU="ALL")+(BULK_SKU=$G255))*(BULK_START&lt;=9)*(BULK_END&gt;=9))*IFERROR(BULK_VALUE,0))/MAX(1,SUMPRODUCT(((BULK_ENABLED="Y")*((BULK_TIER="ALL")+(BULK_TIER=$F255))*((BULK_SKU="ALL")+(BULK_SKU=$G255))*(BULK_START&lt;=9)*(BULK_END&gt;=9)))),0),ROUND((INDEX(VELOCITY_TABLE,MATCH($F255,TIER_LIST,0),2))*(IF((9-$I255+1)&lt;=0,0,IF((9-$I255+1)=1,RAMP_W1,IF((9-$I255+1)=2,RAMP_W2,IF((9-$I255+1)=3,RAMP_W3,RAMP_W4PLUS)))))*(INDEX(ACTIVE_MULT_TABLE,2,1))*(1+SUMPRODUCT(SIGN(((ACT_DOOR_SCOPE="ALL")+(ACT_DOOR_SCOPE="TIER_"&amp;$F255)+(ACT_DOOR_SCOPE=$B255)))*SIGN(((ACT_SKU_SCOPE="ALL")+(ACT_SKU_SCOPE=$G255)))*(ACT_START&lt;=9)*(ACT_END&gt;=9)*IFERROR(ACT_UPLIFT-1,0)))*(1+SUMPRODUCT(SIGN(((ACT_DOOR_SCOPE="ALL")+(ACT_DOOR_SCOPE="TIER_"&amp;$F255)+(ACT_DOOR_SCOPE=$B255)))*SIGN(((ACT_SKU_SCOPE="ALL")+(ACT_SKU_SCOPE=$G255)))*(9&gt;ACT_END)*(ACT_END&gt;0)*IFERROR(ACT_POSTLIFT,0))),0)))</f>
        <v/>
      </c>
      <c r="S255" s="10">
        <f>IF(OR($H255&lt;&gt;"Y",10&lt;$I255),0,IF(SUMPRODUCT(((BULK_ENABLED="Y")*((BULK_TIER="ALL")+(BULK_TIER=$F255))*((BULK_SKU="ALL")+(BULK_SKU=$G255))*(BULK_START&lt;=10)*(BULK_END&gt;=10)))&gt;0,IFERROR(SUMPRODUCT(((BULK_ENABLED="Y")*((BULK_TIER="ALL")+(BULK_TIER=$F255))*((BULK_SKU="ALL")+(BULK_SKU=$G255))*(BULK_START&lt;=10)*(BULK_END&gt;=10))*IFERROR(BULK_VALUE,0))/MAX(1,SUMPRODUCT(((BULK_ENABLED="Y")*((BULK_TIER="ALL")+(BULK_TIER=$F255))*((BULK_SKU="ALL")+(BULK_SKU=$G255))*(BULK_START&lt;=10)*(BULK_END&gt;=10)))),0),ROUND((INDEX(VELOCITY_TABLE,MATCH($F255,TIER_LIST,0),2))*(IF((10-$I255+1)&lt;=0,0,IF((10-$I255+1)=1,RAMP_W1,IF((10-$I255+1)=2,RAMP_W2,IF((10-$I255+1)=3,RAMP_W3,RAMP_W4PLUS)))))*(INDEX(ACTIVE_MULT_TABLE,2,1))*(1+SUMPRODUCT(SIGN(((ACT_DOOR_SCOPE="ALL")+(ACT_DOOR_SCOPE="TIER_"&amp;$F255)+(ACT_DOOR_SCOPE=$B255)))*SIGN(((ACT_SKU_SCOPE="ALL")+(ACT_SKU_SCOPE=$G255)))*(ACT_START&lt;=10)*(ACT_END&gt;=10)*IFERROR(ACT_UPLIFT-1,0)))*(1+SUMPRODUCT(SIGN(((ACT_DOOR_SCOPE="ALL")+(ACT_DOOR_SCOPE="TIER_"&amp;$F255)+(ACT_DOOR_SCOPE=$B255)))*SIGN(((ACT_SKU_SCOPE="ALL")+(ACT_SKU_SCOPE=$G255)))*(10&gt;ACT_END)*(ACT_END&gt;0)*IFERROR(ACT_POSTLIFT,0))),0)))</f>
        <v/>
      </c>
      <c r="T255" s="10">
        <f>IF(OR($H255&lt;&gt;"Y",11&lt;$I255),0,IF(SUMPRODUCT(((BULK_ENABLED="Y")*((BULK_TIER="ALL")+(BULK_TIER=$F255))*((BULK_SKU="ALL")+(BULK_SKU=$G255))*(BULK_START&lt;=11)*(BULK_END&gt;=11)))&gt;0,IFERROR(SUMPRODUCT(((BULK_ENABLED="Y")*((BULK_TIER="ALL")+(BULK_TIER=$F255))*((BULK_SKU="ALL")+(BULK_SKU=$G255))*(BULK_START&lt;=11)*(BULK_END&gt;=11))*IFERROR(BULK_VALUE,0))/MAX(1,SUMPRODUCT(((BULK_ENABLED="Y")*((BULK_TIER="ALL")+(BULK_TIER=$F255))*((BULK_SKU="ALL")+(BULK_SKU=$G255))*(BULK_START&lt;=11)*(BULK_END&gt;=11)))),0),ROUND((INDEX(VELOCITY_TABLE,MATCH($F255,TIER_LIST,0),2))*(IF((11-$I255+1)&lt;=0,0,IF((11-$I255+1)=1,RAMP_W1,IF((11-$I255+1)=2,RAMP_W2,IF((11-$I255+1)=3,RAMP_W3,RAMP_W4PLUS)))))*(INDEX(ACTIVE_MULT_TABLE,2,1))*(1+SUMPRODUCT(SIGN(((ACT_DOOR_SCOPE="ALL")+(ACT_DOOR_SCOPE="TIER_"&amp;$F255)+(ACT_DOOR_SCOPE=$B255)))*SIGN(((ACT_SKU_SCOPE="ALL")+(ACT_SKU_SCOPE=$G255)))*(ACT_START&lt;=11)*(ACT_END&gt;=11)*IFERROR(ACT_UPLIFT-1,0)))*(1+SUMPRODUCT(SIGN(((ACT_DOOR_SCOPE="ALL")+(ACT_DOOR_SCOPE="TIER_"&amp;$F255)+(ACT_DOOR_SCOPE=$B255)))*SIGN(((ACT_SKU_SCOPE="ALL")+(ACT_SKU_SCOPE=$G255)))*(11&gt;ACT_END)*(ACT_END&gt;0)*IFERROR(ACT_POSTLIFT,0))),0)))</f>
        <v/>
      </c>
      <c r="U255" s="10">
        <f>IF(OR($H255&lt;&gt;"Y",12&lt;$I255),0,IF(SUMPRODUCT(((BULK_ENABLED="Y")*((BULK_TIER="ALL")+(BULK_TIER=$F255))*((BULK_SKU="ALL")+(BULK_SKU=$G255))*(BULK_START&lt;=12)*(BULK_END&gt;=12)))&gt;0,IFERROR(SUMPRODUCT(((BULK_ENABLED="Y")*((BULK_TIER="ALL")+(BULK_TIER=$F255))*((BULK_SKU="ALL")+(BULK_SKU=$G255))*(BULK_START&lt;=12)*(BULK_END&gt;=12))*IFERROR(BULK_VALUE,0))/MAX(1,SUMPRODUCT(((BULK_ENABLED="Y")*((BULK_TIER="ALL")+(BULK_TIER=$F255))*((BULK_SKU="ALL")+(BULK_SKU=$G255))*(BULK_START&lt;=12)*(BULK_END&gt;=12)))),0),ROUND((INDEX(VELOCITY_TABLE,MATCH($F255,TIER_LIST,0),2))*(IF((12-$I255+1)&lt;=0,0,IF((12-$I255+1)=1,RAMP_W1,IF((12-$I255+1)=2,RAMP_W2,IF((12-$I255+1)=3,RAMP_W3,RAMP_W4PLUS)))))*(INDEX(ACTIVE_MULT_TABLE,2,1))*(1+SUMPRODUCT(SIGN(((ACT_DOOR_SCOPE="ALL")+(ACT_DOOR_SCOPE="TIER_"&amp;$F255)+(ACT_DOOR_SCOPE=$B255)))*SIGN(((ACT_SKU_SCOPE="ALL")+(ACT_SKU_SCOPE=$G255)))*(ACT_START&lt;=12)*(ACT_END&gt;=12)*IFERROR(ACT_UPLIFT-1,0)))*(1+SUMPRODUCT(SIGN(((ACT_DOOR_SCOPE="ALL")+(ACT_DOOR_SCOPE="TIER_"&amp;$F255)+(ACT_DOOR_SCOPE=$B255)))*SIGN(((ACT_SKU_SCOPE="ALL")+(ACT_SKU_SCOPE=$G255)))*(12&gt;ACT_END)*(ACT_END&gt;0)*IFERROR(ACT_POSTLIFT,0))),0)))</f>
        <v/>
      </c>
      <c r="V255" s="10">
        <f>IF(OR($H255&lt;&gt;"Y",13&lt;$I255),0,IF(SUMPRODUCT(((BULK_ENABLED="Y")*((BULK_TIER="ALL")+(BULK_TIER=$F255))*((BULK_SKU="ALL")+(BULK_SKU=$G255))*(BULK_START&lt;=13)*(BULK_END&gt;=13)))&gt;0,IFERROR(SUMPRODUCT(((BULK_ENABLED="Y")*((BULK_TIER="ALL")+(BULK_TIER=$F255))*((BULK_SKU="ALL")+(BULK_SKU=$G255))*(BULK_START&lt;=13)*(BULK_END&gt;=13))*IFERROR(BULK_VALUE,0))/MAX(1,SUMPRODUCT(((BULK_ENABLED="Y")*((BULK_TIER="ALL")+(BULK_TIER=$F255))*((BULK_SKU="ALL")+(BULK_SKU=$G255))*(BULK_START&lt;=13)*(BULK_END&gt;=13)))),0),ROUND((INDEX(VELOCITY_TABLE,MATCH($F255,TIER_LIST,0),2))*(IF((13-$I255+1)&lt;=0,0,IF((13-$I255+1)=1,RAMP_W1,IF((13-$I255+1)=2,RAMP_W2,IF((13-$I255+1)=3,RAMP_W3,RAMP_W4PLUS)))))*(INDEX(ACTIVE_MULT_TABLE,2,1))*(1+SUMPRODUCT(SIGN(((ACT_DOOR_SCOPE="ALL")+(ACT_DOOR_SCOPE="TIER_"&amp;$F255)+(ACT_DOOR_SCOPE=$B255)))*SIGN(((ACT_SKU_SCOPE="ALL")+(ACT_SKU_SCOPE=$G255)))*(ACT_START&lt;=13)*(ACT_END&gt;=13)*IFERROR(ACT_UPLIFT-1,0)))*(1+SUMPRODUCT(SIGN(((ACT_DOOR_SCOPE="ALL")+(ACT_DOOR_SCOPE="TIER_"&amp;$F255)+(ACT_DOOR_SCOPE=$B255)))*SIGN(((ACT_SKU_SCOPE="ALL")+(ACT_SKU_SCOPE=$G255)))*(13&gt;ACT_END)*(ACT_END&gt;0)*IFERROR(ACT_POSTLIFT,0))),0)))</f>
        <v/>
      </c>
    </row>
    <row r="256">
      <c r="A256" t="inlineStr">
        <is>
          <t>R0252</t>
        </is>
      </c>
      <c r="B256">
        <f>Doors!$A$88</f>
        <v/>
      </c>
      <c r="C256">
        <f>Doors!$C$88</f>
        <v/>
      </c>
      <c r="D256">
        <f>Doors!$B$88</f>
        <v/>
      </c>
      <c r="E256">
        <f>Doors!$E$88</f>
        <v/>
      </c>
      <c r="F256">
        <f>Doors!$F$88</f>
        <v/>
      </c>
      <c r="G256" t="inlineStr">
        <is>
          <t>Raspberry</t>
        </is>
      </c>
      <c r="H256">
        <f>Doors!$I$88</f>
        <v/>
      </c>
      <c r="I256">
        <f>Doors!$J$88</f>
        <v/>
      </c>
      <c r="J256" s="10">
        <f>IF(OR($H256&lt;&gt;"Y",1&lt;$I256),0,IF(SUMPRODUCT(((BULK_ENABLED="Y")*((BULK_TIER="ALL")+(BULK_TIER=$F256))*((BULK_SKU="ALL")+(BULK_SKU=$G256))*(BULK_START&lt;=1)*(BULK_END&gt;=1)))&gt;0,IFERROR(SUMPRODUCT(((BULK_ENABLED="Y")*((BULK_TIER="ALL")+(BULK_TIER=$F256))*((BULK_SKU="ALL")+(BULK_SKU=$G256))*(BULK_START&lt;=1)*(BULK_END&gt;=1))*IFERROR(BULK_VALUE,0))/MAX(1,SUMPRODUCT(((BULK_ENABLED="Y")*((BULK_TIER="ALL")+(BULK_TIER=$F256))*((BULK_SKU="ALL")+(BULK_SKU=$G256))*(BULK_START&lt;=1)*(BULK_END&gt;=1)))),0),ROUND((INDEX(VELOCITY_TABLE,MATCH($F256,TIER_LIST,0),3))*(IF((1-$I256+1)&lt;=0,0,IF((1-$I256+1)=1,RAMP_W1,IF((1-$I256+1)=2,RAMP_W2,IF((1-$I256+1)=3,RAMP_W3,RAMP_W4PLUS)))))*(INDEX(ACTIVE_MULT_TABLE,3,1))*(1+SUMPRODUCT(SIGN(((ACT_DOOR_SCOPE="ALL")+(ACT_DOOR_SCOPE="TIER_"&amp;$F256)+(ACT_DOOR_SCOPE=$B256)))*SIGN(((ACT_SKU_SCOPE="ALL")+(ACT_SKU_SCOPE=$G256)))*(ACT_START&lt;=1)*(ACT_END&gt;=1)*IFERROR(ACT_UPLIFT-1,0)))*(1+SUMPRODUCT(SIGN(((ACT_DOOR_SCOPE="ALL")+(ACT_DOOR_SCOPE="TIER_"&amp;$F256)+(ACT_DOOR_SCOPE=$B256)))*SIGN(((ACT_SKU_SCOPE="ALL")+(ACT_SKU_SCOPE=$G256)))*(1&gt;ACT_END)*(ACT_END&gt;0)*IFERROR(ACT_POSTLIFT,0))),0)))</f>
        <v/>
      </c>
      <c r="K256" s="10">
        <f>IF(OR($H256&lt;&gt;"Y",2&lt;$I256),0,IF(SUMPRODUCT(((BULK_ENABLED="Y")*((BULK_TIER="ALL")+(BULK_TIER=$F256))*((BULK_SKU="ALL")+(BULK_SKU=$G256))*(BULK_START&lt;=2)*(BULK_END&gt;=2)))&gt;0,IFERROR(SUMPRODUCT(((BULK_ENABLED="Y")*((BULK_TIER="ALL")+(BULK_TIER=$F256))*((BULK_SKU="ALL")+(BULK_SKU=$G256))*(BULK_START&lt;=2)*(BULK_END&gt;=2))*IFERROR(BULK_VALUE,0))/MAX(1,SUMPRODUCT(((BULK_ENABLED="Y")*((BULK_TIER="ALL")+(BULK_TIER=$F256))*((BULK_SKU="ALL")+(BULK_SKU=$G256))*(BULK_START&lt;=2)*(BULK_END&gt;=2)))),0),ROUND((INDEX(VELOCITY_TABLE,MATCH($F256,TIER_LIST,0),3))*(IF((2-$I256+1)&lt;=0,0,IF((2-$I256+1)=1,RAMP_W1,IF((2-$I256+1)=2,RAMP_W2,IF((2-$I256+1)=3,RAMP_W3,RAMP_W4PLUS)))))*(INDEX(ACTIVE_MULT_TABLE,3,1))*(1+SUMPRODUCT(SIGN(((ACT_DOOR_SCOPE="ALL")+(ACT_DOOR_SCOPE="TIER_"&amp;$F256)+(ACT_DOOR_SCOPE=$B256)))*SIGN(((ACT_SKU_SCOPE="ALL")+(ACT_SKU_SCOPE=$G256)))*(ACT_START&lt;=2)*(ACT_END&gt;=2)*IFERROR(ACT_UPLIFT-1,0)))*(1+SUMPRODUCT(SIGN(((ACT_DOOR_SCOPE="ALL")+(ACT_DOOR_SCOPE="TIER_"&amp;$F256)+(ACT_DOOR_SCOPE=$B256)))*SIGN(((ACT_SKU_SCOPE="ALL")+(ACT_SKU_SCOPE=$G256)))*(2&gt;ACT_END)*(ACT_END&gt;0)*IFERROR(ACT_POSTLIFT,0))),0)))</f>
        <v/>
      </c>
      <c r="L256" s="10">
        <f>IF(OR($H256&lt;&gt;"Y",3&lt;$I256),0,IF(SUMPRODUCT(((BULK_ENABLED="Y")*((BULK_TIER="ALL")+(BULK_TIER=$F256))*((BULK_SKU="ALL")+(BULK_SKU=$G256))*(BULK_START&lt;=3)*(BULK_END&gt;=3)))&gt;0,IFERROR(SUMPRODUCT(((BULK_ENABLED="Y")*((BULK_TIER="ALL")+(BULK_TIER=$F256))*((BULK_SKU="ALL")+(BULK_SKU=$G256))*(BULK_START&lt;=3)*(BULK_END&gt;=3))*IFERROR(BULK_VALUE,0))/MAX(1,SUMPRODUCT(((BULK_ENABLED="Y")*((BULK_TIER="ALL")+(BULK_TIER=$F256))*((BULK_SKU="ALL")+(BULK_SKU=$G256))*(BULK_START&lt;=3)*(BULK_END&gt;=3)))),0),ROUND((INDEX(VELOCITY_TABLE,MATCH($F256,TIER_LIST,0),3))*(IF((3-$I256+1)&lt;=0,0,IF((3-$I256+1)=1,RAMP_W1,IF((3-$I256+1)=2,RAMP_W2,IF((3-$I256+1)=3,RAMP_W3,RAMP_W4PLUS)))))*(INDEX(ACTIVE_MULT_TABLE,3,1))*(1+SUMPRODUCT(SIGN(((ACT_DOOR_SCOPE="ALL")+(ACT_DOOR_SCOPE="TIER_"&amp;$F256)+(ACT_DOOR_SCOPE=$B256)))*SIGN(((ACT_SKU_SCOPE="ALL")+(ACT_SKU_SCOPE=$G256)))*(ACT_START&lt;=3)*(ACT_END&gt;=3)*IFERROR(ACT_UPLIFT-1,0)))*(1+SUMPRODUCT(SIGN(((ACT_DOOR_SCOPE="ALL")+(ACT_DOOR_SCOPE="TIER_"&amp;$F256)+(ACT_DOOR_SCOPE=$B256)))*SIGN(((ACT_SKU_SCOPE="ALL")+(ACT_SKU_SCOPE=$G256)))*(3&gt;ACT_END)*(ACT_END&gt;0)*IFERROR(ACT_POSTLIFT,0))),0)))</f>
        <v/>
      </c>
      <c r="M256" s="10">
        <f>IF(OR($H256&lt;&gt;"Y",4&lt;$I256),0,IF(SUMPRODUCT(((BULK_ENABLED="Y")*((BULK_TIER="ALL")+(BULK_TIER=$F256))*((BULK_SKU="ALL")+(BULK_SKU=$G256))*(BULK_START&lt;=4)*(BULK_END&gt;=4)))&gt;0,IFERROR(SUMPRODUCT(((BULK_ENABLED="Y")*((BULK_TIER="ALL")+(BULK_TIER=$F256))*((BULK_SKU="ALL")+(BULK_SKU=$G256))*(BULK_START&lt;=4)*(BULK_END&gt;=4))*IFERROR(BULK_VALUE,0))/MAX(1,SUMPRODUCT(((BULK_ENABLED="Y")*((BULK_TIER="ALL")+(BULK_TIER=$F256))*((BULK_SKU="ALL")+(BULK_SKU=$G256))*(BULK_START&lt;=4)*(BULK_END&gt;=4)))),0),ROUND((INDEX(VELOCITY_TABLE,MATCH($F256,TIER_LIST,0),3))*(IF((4-$I256+1)&lt;=0,0,IF((4-$I256+1)=1,RAMP_W1,IF((4-$I256+1)=2,RAMP_W2,IF((4-$I256+1)=3,RAMP_W3,RAMP_W4PLUS)))))*(INDEX(ACTIVE_MULT_TABLE,3,1))*(1+SUMPRODUCT(SIGN(((ACT_DOOR_SCOPE="ALL")+(ACT_DOOR_SCOPE="TIER_"&amp;$F256)+(ACT_DOOR_SCOPE=$B256)))*SIGN(((ACT_SKU_SCOPE="ALL")+(ACT_SKU_SCOPE=$G256)))*(ACT_START&lt;=4)*(ACT_END&gt;=4)*IFERROR(ACT_UPLIFT-1,0)))*(1+SUMPRODUCT(SIGN(((ACT_DOOR_SCOPE="ALL")+(ACT_DOOR_SCOPE="TIER_"&amp;$F256)+(ACT_DOOR_SCOPE=$B256)))*SIGN(((ACT_SKU_SCOPE="ALL")+(ACT_SKU_SCOPE=$G256)))*(4&gt;ACT_END)*(ACT_END&gt;0)*IFERROR(ACT_POSTLIFT,0))),0)))</f>
        <v/>
      </c>
      <c r="N256" s="10">
        <f>IF(OR($H256&lt;&gt;"Y",5&lt;$I256),0,IF(SUMPRODUCT(((BULK_ENABLED="Y")*((BULK_TIER="ALL")+(BULK_TIER=$F256))*((BULK_SKU="ALL")+(BULK_SKU=$G256))*(BULK_START&lt;=5)*(BULK_END&gt;=5)))&gt;0,IFERROR(SUMPRODUCT(((BULK_ENABLED="Y")*((BULK_TIER="ALL")+(BULK_TIER=$F256))*((BULK_SKU="ALL")+(BULK_SKU=$G256))*(BULK_START&lt;=5)*(BULK_END&gt;=5))*IFERROR(BULK_VALUE,0))/MAX(1,SUMPRODUCT(((BULK_ENABLED="Y")*((BULK_TIER="ALL")+(BULK_TIER=$F256))*((BULK_SKU="ALL")+(BULK_SKU=$G256))*(BULK_START&lt;=5)*(BULK_END&gt;=5)))),0),ROUND((INDEX(VELOCITY_TABLE,MATCH($F256,TIER_LIST,0),3))*(IF((5-$I256+1)&lt;=0,0,IF((5-$I256+1)=1,RAMP_W1,IF((5-$I256+1)=2,RAMP_W2,IF((5-$I256+1)=3,RAMP_W3,RAMP_W4PLUS)))))*(INDEX(ACTIVE_MULT_TABLE,3,1))*(1+SUMPRODUCT(SIGN(((ACT_DOOR_SCOPE="ALL")+(ACT_DOOR_SCOPE="TIER_"&amp;$F256)+(ACT_DOOR_SCOPE=$B256)))*SIGN(((ACT_SKU_SCOPE="ALL")+(ACT_SKU_SCOPE=$G256)))*(ACT_START&lt;=5)*(ACT_END&gt;=5)*IFERROR(ACT_UPLIFT-1,0)))*(1+SUMPRODUCT(SIGN(((ACT_DOOR_SCOPE="ALL")+(ACT_DOOR_SCOPE="TIER_"&amp;$F256)+(ACT_DOOR_SCOPE=$B256)))*SIGN(((ACT_SKU_SCOPE="ALL")+(ACT_SKU_SCOPE=$G256)))*(5&gt;ACT_END)*(ACT_END&gt;0)*IFERROR(ACT_POSTLIFT,0))),0)))</f>
        <v/>
      </c>
      <c r="O256" s="10">
        <f>IF(OR($H256&lt;&gt;"Y",6&lt;$I256),0,IF(SUMPRODUCT(((BULK_ENABLED="Y")*((BULK_TIER="ALL")+(BULK_TIER=$F256))*((BULK_SKU="ALL")+(BULK_SKU=$G256))*(BULK_START&lt;=6)*(BULK_END&gt;=6)))&gt;0,IFERROR(SUMPRODUCT(((BULK_ENABLED="Y")*((BULK_TIER="ALL")+(BULK_TIER=$F256))*((BULK_SKU="ALL")+(BULK_SKU=$G256))*(BULK_START&lt;=6)*(BULK_END&gt;=6))*IFERROR(BULK_VALUE,0))/MAX(1,SUMPRODUCT(((BULK_ENABLED="Y")*((BULK_TIER="ALL")+(BULK_TIER=$F256))*((BULK_SKU="ALL")+(BULK_SKU=$G256))*(BULK_START&lt;=6)*(BULK_END&gt;=6)))),0),ROUND((INDEX(VELOCITY_TABLE,MATCH($F256,TIER_LIST,0),3))*(IF((6-$I256+1)&lt;=0,0,IF((6-$I256+1)=1,RAMP_W1,IF((6-$I256+1)=2,RAMP_W2,IF((6-$I256+1)=3,RAMP_W3,RAMP_W4PLUS)))))*(INDEX(ACTIVE_MULT_TABLE,3,1))*(1+SUMPRODUCT(SIGN(((ACT_DOOR_SCOPE="ALL")+(ACT_DOOR_SCOPE="TIER_"&amp;$F256)+(ACT_DOOR_SCOPE=$B256)))*SIGN(((ACT_SKU_SCOPE="ALL")+(ACT_SKU_SCOPE=$G256)))*(ACT_START&lt;=6)*(ACT_END&gt;=6)*IFERROR(ACT_UPLIFT-1,0)))*(1+SUMPRODUCT(SIGN(((ACT_DOOR_SCOPE="ALL")+(ACT_DOOR_SCOPE="TIER_"&amp;$F256)+(ACT_DOOR_SCOPE=$B256)))*SIGN(((ACT_SKU_SCOPE="ALL")+(ACT_SKU_SCOPE=$G256)))*(6&gt;ACT_END)*(ACT_END&gt;0)*IFERROR(ACT_POSTLIFT,0))),0)))</f>
        <v/>
      </c>
      <c r="P256" s="10">
        <f>IF(OR($H256&lt;&gt;"Y",7&lt;$I256),0,IF(SUMPRODUCT(((BULK_ENABLED="Y")*((BULK_TIER="ALL")+(BULK_TIER=$F256))*((BULK_SKU="ALL")+(BULK_SKU=$G256))*(BULK_START&lt;=7)*(BULK_END&gt;=7)))&gt;0,IFERROR(SUMPRODUCT(((BULK_ENABLED="Y")*((BULK_TIER="ALL")+(BULK_TIER=$F256))*((BULK_SKU="ALL")+(BULK_SKU=$G256))*(BULK_START&lt;=7)*(BULK_END&gt;=7))*IFERROR(BULK_VALUE,0))/MAX(1,SUMPRODUCT(((BULK_ENABLED="Y")*((BULK_TIER="ALL")+(BULK_TIER=$F256))*((BULK_SKU="ALL")+(BULK_SKU=$G256))*(BULK_START&lt;=7)*(BULK_END&gt;=7)))),0),ROUND((INDEX(VELOCITY_TABLE,MATCH($F256,TIER_LIST,0),3))*(IF((7-$I256+1)&lt;=0,0,IF((7-$I256+1)=1,RAMP_W1,IF((7-$I256+1)=2,RAMP_W2,IF((7-$I256+1)=3,RAMP_W3,RAMP_W4PLUS)))))*(INDEX(ACTIVE_MULT_TABLE,3,1))*(1+SUMPRODUCT(SIGN(((ACT_DOOR_SCOPE="ALL")+(ACT_DOOR_SCOPE="TIER_"&amp;$F256)+(ACT_DOOR_SCOPE=$B256)))*SIGN(((ACT_SKU_SCOPE="ALL")+(ACT_SKU_SCOPE=$G256)))*(ACT_START&lt;=7)*(ACT_END&gt;=7)*IFERROR(ACT_UPLIFT-1,0)))*(1+SUMPRODUCT(SIGN(((ACT_DOOR_SCOPE="ALL")+(ACT_DOOR_SCOPE="TIER_"&amp;$F256)+(ACT_DOOR_SCOPE=$B256)))*SIGN(((ACT_SKU_SCOPE="ALL")+(ACT_SKU_SCOPE=$G256)))*(7&gt;ACT_END)*(ACT_END&gt;0)*IFERROR(ACT_POSTLIFT,0))),0)))</f>
        <v/>
      </c>
      <c r="Q256" s="10">
        <f>IF(OR($H256&lt;&gt;"Y",8&lt;$I256),0,IF(SUMPRODUCT(((BULK_ENABLED="Y")*((BULK_TIER="ALL")+(BULK_TIER=$F256))*((BULK_SKU="ALL")+(BULK_SKU=$G256))*(BULK_START&lt;=8)*(BULK_END&gt;=8)))&gt;0,IFERROR(SUMPRODUCT(((BULK_ENABLED="Y")*((BULK_TIER="ALL")+(BULK_TIER=$F256))*((BULK_SKU="ALL")+(BULK_SKU=$G256))*(BULK_START&lt;=8)*(BULK_END&gt;=8))*IFERROR(BULK_VALUE,0))/MAX(1,SUMPRODUCT(((BULK_ENABLED="Y")*((BULK_TIER="ALL")+(BULK_TIER=$F256))*((BULK_SKU="ALL")+(BULK_SKU=$G256))*(BULK_START&lt;=8)*(BULK_END&gt;=8)))),0),ROUND((INDEX(VELOCITY_TABLE,MATCH($F256,TIER_LIST,0),3))*(IF((8-$I256+1)&lt;=0,0,IF((8-$I256+1)=1,RAMP_W1,IF((8-$I256+1)=2,RAMP_W2,IF((8-$I256+1)=3,RAMP_W3,RAMP_W4PLUS)))))*(INDEX(ACTIVE_MULT_TABLE,3,1))*(1+SUMPRODUCT(SIGN(((ACT_DOOR_SCOPE="ALL")+(ACT_DOOR_SCOPE="TIER_"&amp;$F256)+(ACT_DOOR_SCOPE=$B256)))*SIGN(((ACT_SKU_SCOPE="ALL")+(ACT_SKU_SCOPE=$G256)))*(ACT_START&lt;=8)*(ACT_END&gt;=8)*IFERROR(ACT_UPLIFT-1,0)))*(1+SUMPRODUCT(SIGN(((ACT_DOOR_SCOPE="ALL")+(ACT_DOOR_SCOPE="TIER_"&amp;$F256)+(ACT_DOOR_SCOPE=$B256)))*SIGN(((ACT_SKU_SCOPE="ALL")+(ACT_SKU_SCOPE=$G256)))*(8&gt;ACT_END)*(ACT_END&gt;0)*IFERROR(ACT_POSTLIFT,0))),0)))</f>
        <v/>
      </c>
      <c r="R256" s="10">
        <f>IF(OR($H256&lt;&gt;"Y",9&lt;$I256),0,IF(SUMPRODUCT(((BULK_ENABLED="Y")*((BULK_TIER="ALL")+(BULK_TIER=$F256))*((BULK_SKU="ALL")+(BULK_SKU=$G256))*(BULK_START&lt;=9)*(BULK_END&gt;=9)))&gt;0,IFERROR(SUMPRODUCT(((BULK_ENABLED="Y")*((BULK_TIER="ALL")+(BULK_TIER=$F256))*((BULK_SKU="ALL")+(BULK_SKU=$G256))*(BULK_START&lt;=9)*(BULK_END&gt;=9))*IFERROR(BULK_VALUE,0))/MAX(1,SUMPRODUCT(((BULK_ENABLED="Y")*((BULK_TIER="ALL")+(BULK_TIER=$F256))*((BULK_SKU="ALL")+(BULK_SKU=$G256))*(BULK_START&lt;=9)*(BULK_END&gt;=9)))),0),ROUND((INDEX(VELOCITY_TABLE,MATCH($F256,TIER_LIST,0),3))*(IF((9-$I256+1)&lt;=0,0,IF((9-$I256+1)=1,RAMP_W1,IF((9-$I256+1)=2,RAMP_W2,IF((9-$I256+1)=3,RAMP_W3,RAMP_W4PLUS)))))*(INDEX(ACTIVE_MULT_TABLE,3,1))*(1+SUMPRODUCT(SIGN(((ACT_DOOR_SCOPE="ALL")+(ACT_DOOR_SCOPE="TIER_"&amp;$F256)+(ACT_DOOR_SCOPE=$B256)))*SIGN(((ACT_SKU_SCOPE="ALL")+(ACT_SKU_SCOPE=$G256)))*(ACT_START&lt;=9)*(ACT_END&gt;=9)*IFERROR(ACT_UPLIFT-1,0)))*(1+SUMPRODUCT(SIGN(((ACT_DOOR_SCOPE="ALL")+(ACT_DOOR_SCOPE="TIER_"&amp;$F256)+(ACT_DOOR_SCOPE=$B256)))*SIGN(((ACT_SKU_SCOPE="ALL")+(ACT_SKU_SCOPE=$G256)))*(9&gt;ACT_END)*(ACT_END&gt;0)*IFERROR(ACT_POSTLIFT,0))),0)))</f>
        <v/>
      </c>
      <c r="S256" s="10">
        <f>IF(OR($H256&lt;&gt;"Y",10&lt;$I256),0,IF(SUMPRODUCT(((BULK_ENABLED="Y")*((BULK_TIER="ALL")+(BULK_TIER=$F256))*((BULK_SKU="ALL")+(BULK_SKU=$G256))*(BULK_START&lt;=10)*(BULK_END&gt;=10)))&gt;0,IFERROR(SUMPRODUCT(((BULK_ENABLED="Y")*((BULK_TIER="ALL")+(BULK_TIER=$F256))*((BULK_SKU="ALL")+(BULK_SKU=$G256))*(BULK_START&lt;=10)*(BULK_END&gt;=10))*IFERROR(BULK_VALUE,0))/MAX(1,SUMPRODUCT(((BULK_ENABLED="Y")*((BULK_TIER="ALL")+(BULK_TIER=$F256))*((BULK_SKU="ALL")+(BULK_SKU=$G256))*(BULK_START&lt;=10)*(BULK_END&gt;=10)))),0),ROUND((INDEX(VELOCITY_TABLE,MATCH($F256,TIER_LIST,0),3))*(IF((10-$I256+1)&lt;=0,0,IF((10-$I256+1)=1,RAMP_W1,IF((10-$I256+1)=2,RAMP_W2,IF((10-$I256+1)=3,RAMP_W3,RAMP_W4PLUS)))))*(INDEX(ACTIVE_MULT_TABLE,3,1))*(1+SUMPRODUCT(SIGN(((ACT_DOOR_SCOPE="ALL")+(ACT_DOOR_SCOPE="TIER_"&amp;$F256)+(ACT_DOOR_SCOPE=$B256)))*SIGN(((ACT_SKU_SCOPE="ALL")+(ACT_SKU_SCOPE=$G256)))*(ACT_START&lt;=10)*(ACT_END&gt;=10)*IFERROR(ACT_UPLIFT-1,0)))*(1+SUMPRODUCT(SIGN(((ACT_DOOR_SCOPE="ALL")+(ACT_DOOR_SCOPE="TIER_"&amp;$F256)+(ACT_DOOR_SCOPE=$B256)))*SIGN(((ACT_SKU_SCOPE="ALL")+(ACT_SKU_SCOPE=$G256)))*(10&gt;ACT_END)*(ACT_END&gt;0)*IFERROR(ACT_POSTLIFT,0))),0)))</f>
        <v/>
      </c>
      <c r="T256" s="10">
        <f>IF(OR($H256&lt;&gt;"Y",11&lt;$I256),0,IF(SUMPRODUCT(((BULK_ENABLED="Y")*((BULK_TIER="ALL")+(BULK_TIER=$F256))*((BULK_SKU="ALL")+(BULK_SKU=$G256))*(BULK_START&lt;=11)*(BULK_END&gt;=11)))&gt;0,IFERROR(SUMPRODUCT(((BULK_ENABLED="Y")*((BULK_TIER="ALL")+(BULK_TIER=$F256))*((BULK_SKU="ALL")+(BULK_SKU=$G256))*(BULK_START&lt;=11)*(BULK_END&gt;=11))*IFERROR(BULK_VALUE,0))/MAX(1,SUMPRODUCT(((BULK_ENABLED="Y")*((BULK_TIER="ALL")+(BULK_TIER=$F256))*((BULK_SKU="ALL")+(BULK_SKU=$G256))*(BULK_START&lt;=11)*(BULK_END&gt;=11)))),0),ROUND((INDEX(VELOCITY_TABLE,MATCH($F256,TIER_LIST,0),3))*(IF((11-$I256+1)&lt;=0,0,IF((11-$I256+1)=1,RAMP_W1,IF((11-$I256+1)=2,RAMP_W2,IF((11-$I256+1)=3,RAMP_W3,RAMP_W4PLUS)))))*(INDEX(ACTIVE_MULT_TABLE,3,1))*(1+SUMPRODUCT(SIGN(((ACT_DOOR_SCOPE="ALL")+(ACT_DOOR_SCOPE="TIER_"&amp;$F256)+(ACT_DOOR_SCOPE=$B256)))*SIGN(((ACT_SKU_SCOPE="ALL")+(ACT_SKU_SCOPE=$G256)))*(ACT_START&lt;=11)*(ACT_END&gt;=11)*IFERROR(ACT_UPLIFT-1,0)))*(1+SUMPRODUCT(SIGN(((ACT_DOOR_SCOPE="ALL")+(ACT_DOOR_SCOPE="TIER_"&amp;$F256)+(ACT_DOOR_SCOPE=$B256)))*SIGN(((ACT_SKU_SCOPE="ALL")+(ACT_SKU_SCOPE=$G256)))*(11&gt;ACT_END)*(ACT_END&gt;0)*IFERROR(ACT_POSTLIFT,0))),0)))</f>
        <v/>
      </c>
      <c r="U256" s="10">
        <f>IF(OR($H256&lt;&gt;"Y",12&lt;$I256),0,IF(SUMPRODUCT(((BULK_ENABLED="Y")*((BULK_TIER="ALL")+(BULK_TIER=$F256))*((BULK_SKU="ALL")+(BULK_SKU=$G256))*(BULK_START&lt;=12)*(BULK_END&gt;=12)))&gt;0,IFERROR(SUMPRODUCT(((BULK_ENABLED="Y")*((BULK_TIER="ALL")+(BULK_TIER=$F256))*((BULK_SKU="ALL")+(BULK_SKU=$G256))*(BULK_START&lt;=12)*(BULK_END&gt;=12))*IFERROR(BULK_VALUE,0))/MAX(1,SUMPRODUCT(((BULK_ENABLED="Y")*((BULK_TIER="ALL")+(BULK_TIER=$F256))*((BULK_SKU="ALL")+(BULK_SKU=$G256))*(BULK_START&lt;=12)*(BULK_END&gt;=12)))),0),ROUND((INDEX(VELOCITY_TABLE,MATCH($F256,TIER_LIST,0),3))*(IF((12-$I256+1)&lt;=0,0,IF((12-$I256+1)=1,RAMP_W1,IF((12-$I256+1)=2,RAMP_W2,IF((12-$I256+1)=3,RAMP_W3,RAMP_W4PLUS)))))*(INDEX(ACTIVE_MULT_TABLE,3,1))*(1+SUMPRODUCT(SIGN(((ACT_DOOR_SCOPE="ALL")+(ACT_DOOR_SCOPE="TIER_"&amp;$F256)+(ACT_DOOR_SCOPE=$B256)))*SIGN(((ACT_SKU_SCOPE="ALL")+(ACT_SKU_SCOPE=$G256)))*(ACT_START&lt;=12)*(ACT_END&gt;=12)*IFERROR(ACT_UPLIFT-1,0)))*(1+SUMPRODUCT(SIGN(((ACT_DOOR_SCOPE="ALL")+(ACT_DOOR_SCOPE="TIER_"&amp;$F256)+(ACT_DOOR_SCOPE=$B256)))*SIGN(((ACT_SKU_SCOPE="ALL")+(ACT_SKU_SCOPE=$G256)))*(12&gt;ACT_END)*(ACT_END&gt;0)*IFERROR(ACT_POSTLIFT,0))),0)))</f>
        <v/>
      </c>
      <c r="V256" s="10">
        <f>IF(OR($H256&lt;&gt;"Y",13&lt;$I256),0,IF(SUMPRODUCT(((BULK_ENABLED="Y")*((BULK_TIER="ALL")+(BULK_TIER=$F256))*((BULK_SKU="ALL")+(BULK_SKU=$G256))*(BULK_START&lt;=13)*(BULK_END&gt;=13)))&gt;0,IFERROR(SUMPRODUCT(((BULK_ENABLED="Y")*((BULK_TIER="ALL")+(BULK_TIER=$F256))*((BULK_SKU="ALL")+(BULK_SKU=$G256))*(BULK_START&lt;=13)*(BULK_END&gt;=13))*IFERROR(BULK_VALUE,0))/MAX(1,SUMPRODUCT(((BULK_ENABLED="Y")*((BULK_TIER="ALL")+(BULK_TIER=$F256))*((BULK_SKU="ALL")+(BULK_SKU=$G256))*(BULK_START&lt;=13)*(BULK_END&gt;=13)))),0),ROUND((INDEX(VELOCITY_TABLE,MATCH($F256,TIER_LIST,0),3))*(IF((13-$I256+1)&lt;=0,0,IF((13-$I256+1)=1,RAMP_W1,IF((13-$I256+1)=2,RAMP_W2,IF((13-$I256+1)=3,RAMP_W3,RAMP_W4PLUS)))))*(INDEX(ACTIVE_MULT_TABLE,3,1))*(1+SUMPRODUCT(SIGN(((ACT_DOOR_SCOPE="ALL")+(ACT_DOOR_SCOPE="TIER_"&amp;$F256)+(ACT_DOOR_SCOPE=$B256)))*SIGN(((ACT_SKU_SCOPE="ALL")+(ACT_SKU_SCOPE=$G256)))*(ACT_START&lt;=13)*(ACT_END&gt;=13)*IFERROR(ACT_UPLIFT-1,0)))*(1+SUMPRODUCT(SIGN(((ACT_DOOR_SCOPE="ALL")+(ACT_DOOR_SCOPE="TIER_"&amp;$F256)+(ACT_DOOR_SCOPE=$B256)))*SIGN(((ACT_SKU_SCOPE="ALL")+(ACT_SKU_SCOPE=$G256)))*(13&gt;ACT_END)*(ACT_END&gt;0)*IFERROR(ACT_POSTLIFT,0))),0)))</f>
        <v/>
      </c>
    </row>
    <row r="257">
      <c r="A257" t="inlineStr">
        <is>
          <t>R0253</t>
        </is>
      </c>
      <c r="B257">
        <f>Doors!$A$89</f>
        <v/>
      </c>
      <c r="C257">
        <f>Doors!$C$89</f>
        <v/>
      </c>
      <c r="D257">
        <f>Doors!$B$89</f>
        <v/>
      </c>
      <c r="E257">
        <f>Doors!$E$89</f>
        <v/>
      </c>
      <c r="F257">
        <f>Doors!$F$89</f>
        <v/>
      </c>
      <c r="G257" t="inlineStr">
        <is>
          <t>Lime Lemon</t>
        </is>
      </c>
      <c r="H257">
        <f>Doors!$G$89</f>
        <v/>
      </c>
      <c r="I257">
        <f>Doors!$J$89</f>
        <v/>
      </c>
      <c r="J257" s="10">
        <f>IF(OR($H257&lt;&gt;"Y",1&lt;$I257),0,IF(SUMPRODUCT(((BULK_ENABLED="Y")*((BULK_TIER="ALL")+(BULK_TIER=$F257))*((BULK_SKU="ALL")+(BULK_SKU=$G257))*(BULK_START&lt;=1)*(BULK_END&gt;=1)))&gt;0,IFERROR(SUMPRODUCT(((BULK_ENABLED="Y")*((BULK_TIER="ALL")+(BULK_TIER=$F257))*((BULK_SKU="ALL")+(BULK_SKU=$G257))*(BULK_START&lt;=1)*(BULK_END&gt;=1))*IFERROR(BULK_VALUE,0))/MAX(1,SUMPRODUCT(((BULK_ENABLED="Y")*((BULK_TIER="ALL")+(BULK_TIER=$F257))*((BULK_SKU="ALL")+(BULK_SKU=$G257))*(BULK_START&lt;=1)*(BULK_END&gt;=1)))),0),ROUND((INDEX(VELOCITY_TABLE,MATCH($F257,TIER_LIST,0),1))*(IF((1-$I257+1)&lt;=0,0,IF((1-$I257+1)=1,RAMP_W1,IF((1-$I257+1)=2,RAMP_W2,IF((1-$I257+1)=3,RAMP_W3,RAMP_W4PLUS)))))*(INDEX(ACTIVE_MULT_TABLE,1,1))*(1+SUMPRODUCT(SIGN(((ACT_DOOR_SCOPE="ALL")+(ACT_DOOR_SCOPE="TIER_"&amp;$F257)+(ACT_DOOR_SCOPE=$B257)))*SIGN(((ACT_SKU_SCOPE="ALL")+(ACT_SKU_SCOPE=$G257)))*(ACT_START&lt;=1)*(ACT_END&gt;=1)*IFERROR(ACT_UPLIFT-1,0)))*(1+SUMPRODUCT(SIGN(((ACT_DOOR_SCOPE="ALL")+(ACT_DOOR_SCOPE="TIER_"&amp;$F257)+(ACT_DOOR_SCOPE=$B257)))*SIGN(((ACT_SKU_SCOPE="ALL")+(ACT_SKU_SCOPE=$G257)))*(1&gt;ACT_END)*(ACT_END&gt;0)*IFERROR(ACT_POSTLIFT,0))),0)))</f>
        <v/>
      </c>
      <c r="K257" s="10">
        <f>IF(OR($H257&lt;&gt;"Y",2&lt;$I257),0,IF(SUMPRODUCT(((BULK_ENABLED="Y")*((BULK_TIER="ALL")+(BULK_TIER=$F257))*((BULK_SKU="ALL")+(BULK_SKU=$G257))*(BULK_START&lt;=2)*(BULK_END&gt;=2)))&gt;0,IFERROR(SUMPRODUCT(((BULK_ENABLED="Y")*((BULK_TIER="ALL")+(BULK_TIER=$F257))*((BULK_SKU="ALL")+(BULK_SKU=$G257))*(BULK_START&lt;=2)*(BULK_END&gt;=2))*IFERROR(BULK_VALUE,0))/MAX(1,SUMPRODUCT(((BULK_ENABLED="Y")*((BULK_TIER="ALL")+(BULK_TIER=$F257))*((BULK_SKU="ALL")+(BULK_SKU=$G257))*(BULK_START&lt;=2)*(BULK_END&gt;=2)))),0),ROUND((INDEX(VELOCITY_TABLE,MATCH($F257,TIER_LIST,0),1))*(IF((2-$I257+1)&lt;=0,0,IF((2-$I257+1)=1,RAMP_W1,IF((2-$I257+1)=2,RAMP_W2,IF((2-$I257+1)=3,RAMP_W3,RAMP_W4PLUS)))))*(INDEX(ACTIVE_MULT_TABLE,1,1))*(1+SUMPRODUCT(SIGN(((ACT_DOOR_SCOPE="ALL")+(ACT_DOOR_SCOPE="TIER_"&amp;$F257)+(ACT_DOOR_SCOPE=$B257)))*SIGN(((ACT_SKU_SCOPE="ALL")+(ACT_SKU_SCOPE=$G257)))*(ACT_START&lt;=2)*(ACT_END&gt;=2)*IFERROR(ACT_UPLIFT-1,0)))*(1+SUMPRODUCT(SIGN(((ACT_DOOR_SCOPE="ALL")+(ACT_DOOR_SCOPE="TIER_"&amp;$F257)+(ACT_DOOR_SCOPE=$B257)))*SIGN(((ACT_SKU_SCOPE="ALL")+(ACT_SKU_SCOPE=$G257)))*(2&gt;ACT_END)*(ACT_END&gt;0)*IFERROR(ACT_POSTLIFT,0))),0)))</f>
        <v/>
      </c>
      <c r="L257" s="10">
        <f>IF(OR($H257&lt;&gt;"Y",3&lt;$I257),0,IF(SUMPRODUCT(((BULK_ENABLED="Y")*((BULK_TIER="ALL")+(BULK_TIER=$F257))*((BULK_SKU="ALL")+(BULK_SKU=$G257))*(BULK_START&lt;=3)*(BULK_END&gt;=3)))&gt;0,IFERROR(SUMPRODUCT(((BULK_ENABLED="Y")*((BULK_TIER="ALL")+(BULK_TIER=$F257))*((BULK_SKU="ALL")+(BULK_SKU=$G257))*(BULK_START&lt;=3)*(BULK_END&gt;=3))*IFERROR(BULK_VALUE,0))/MAX(1,SUMPRODUCT(((BULK_ENABLED="Y")*((BULK_TIER="ALL")+(BULK_TIER=$F257))*((BULK_SKU="ALL")+(BULK_SKU=$G257))*(BULK_START&lt;=3)*(BULK_END&gt;=3)))),0),ROUND((INDEX(VELOCITY_TABLE,MATCH($F257,TIER_LIST,0),1))*(IF((3-$I257+1)&lt;=0,0,IF((3-$I257+1)=1,RAMP_W1,IF((3-$I257+1)=2,RAMP_W2,IF((3-$I257+1)=3,RAMP_W3,RAMP_W4PLUS)))))*(INDEX(ACTIVE_MULT_TABLE,1,1))*(1+SUMPRODUCT(SIGN(((ACT_DOOR_SCOPE="ALL")+(ACT_DOOR_SCOPE="TIER_"&amp;$F257)+(ACT_DOOR_SCOPE=$B257)))*SIGN(((ACT_SKU_SCOPE="ALL")+(ACT_SKU_SCOPE=$G257)))*(ACT_START&lt;=3)*(ACT_END&gt;=3)*IFERROR(ACT_UPLIFT-1,0)))*(1+SUMPRODUCT(SIGN(((ACT_DOOR_SCOPE="ALL")+(ACT_DOOR_SCOPE="TIER_"&amp;$F257)+(ACT_DOOR_SCOPE=$B257)))*SIGN(((ACT_SKU_SCOPE="ALL")+(ACT_SKU_SCOPE=$G257)))*(3&gt;ACT_END)*(ACT_END&gt;0)*IFERROR(ACT_POSTLIFT,0))),0)))</f>
        <v/>
      </c>
      <c r="M257" s="10">
        <f>IF(OR($H257&lt;&gt;"Y",4&lt;$I257),0,IF(SUMPRODUCT(((BULK_ENABLED="Y")*((BULK_TIER="ALL")+(BULK_TIER=$F257))*((BULK_SKU="ALL")+(BULK_SKU=$G257))*(BULK_START&lt;=4)*(BULK_END&gt;=4)))&gt;0,IFERROR(SUMPRODUCT(((BULK_ENABLED="Y")*((BULK_TIER="ALL")+(BULK_TIER=$F257))*((BULK_SKU="ALL")+(BULK_SKU=$G257))*(BULK_START&lt;=4)*(BULK_END&gt;=4))*IFERROR(BULK_VALUE,0))/MAX(1,SUMPRODUCT(((BULK_ENABLED="Y")*((BULK_TIER="ALL")+(BULK_TIER=$F257))*((BULK_SKU="ALL")+(BULK_SKU=$G257))*(BULK_START&lt;=4)*(BULK_END&gt;=4)))),0),ROUND((INDEX(VELOCITY_TABLE,MATCH($F257,TIER_LIST,0),1))*(IF((4-$I257+1)&lt;=0,0,IF((4-$I257+1)=1,RAMP_W1,IF((4-$I257+1)=2,RAMP_W2,IF((4-$I257+1)=3,RAMP_W3,RAMP_W4PLUS)))))*(INDEX(ACTIVE_MULT_TABLE,1,1))*(1+SUMPRODUCT(SIGN(((ACT_DOOR_SCOPE="ALL")+(ACT_DOOR_SCOPE="TIER_"&amp;$F257)+(ACT_DOOR_SCOPE=$B257)))*SIGN(((ACT_SKU_SCOPE="ALL")+(ACT_SKU_SCOPE=$G257)))*(ACT_START&lt;=4)*(ACT_END&gt;=4)*IFERROR(ACT_UPLIFT-1,0)))*(1+SUMPRODUCT(SIGN(((ACT_DOOR_SCOPE="ALL")+(ACT_DOOR_SCOPE="TIER_"&amp;$F257)+(ACT_DOOR_SCOPE=$B257)))*SIGN(((ACT_SKU_SCOPE="ALL")+(ACT_SKU_SCOPE=$G257)))*(4&gt;ACT_END)*(ACT_END&gt;0)*IFERROR(ACT_POSTLIFT,0))),0)))</f>
        <v/>
      </c>
      <c r="N257" s="10">
        <f>IF(OR($H257&lt;&gt;"Y",5&lt;$I257),0,IF(SUMPRODUCT(((BULK_ENABLED="Y")*((BULK_TIER="ALL")+(BULK_TIER=$F257))*((BULK_SKU="ALL")+(BULK_SKU=$G257))*(BULK_START&lt;=5)*(BULK_END&gt;=5)))&gt;0,IFERROR(SUMPRODUCT(((BULK_ENABLED="Y")*((BULK_TIER="ALL")+(BULK_TIER=$F257))*((BULK_SKU="ALL")+(BULK_SKU=$G257))*(BULK_START&lt;=5)*(BULK_END&gt;=5))*IFERROR(BULK_VALUE,0))/MAX(1,SUMPRODUCT(((BULK_ENABLED="Y")*((BULK_TIER="ALL")+(BULK_TIER=$F257))*((BULK_SKU="ALL")+(BULK_SKU=$G257))*(BULK_START&lt;=5)*(BULK_END&gt;=5)))),0),ROUND((INDEX(VELOCITY_TABLE,MATCH($F257,TIER_LIST,0),1))*(IF((5-$I257+1)&lt;=0,0,IF((5-$I257+1)=1,RAMP_W1,IF((5-$I257+1)=2,RAMP_W2,IF((5-$I257+1)=3,RAMP_W3,RAMP_W4PLUS)))))*(INDEX(ACTIVE_MULT_TABLE,1,1))*(1+SUMPRODUCT(SIGN(((ACT_DOOR_SCOPE="ALL")+(ACT_DOOR_SCOPE="TIER_"&amp;$F257)+(ACT_DOOR_SCOPE=$B257)))*SIGN(((ACT_SKU_SCOPE="ALL")+(ACT_SKU_SCOPE=$G257)))*(ACT_START&lt;=5)*(ACT_END&gt;=5)*IFERROR(ACT_UPLIFT-1,0)))*(1+SUMPRODUCT(SIGN(((ACT_DOOR_SCOPE="ALL")+(ACT_DOOR_SCOPE="TIER_"&amp;$F257)+(ACT_DOOR_SCOPE=$B257)))*SIGN(((ACT_SKU_SCOPE="ALL")+(ACT_SKU_SCOPE=$G257)))*(5&gt;ACT_END)*(ACT_END&gt;0)*IFERROR(ACT_POSTLIFT,0))),0)))</f>
        <v/>
      </c>
      <c r="O257" s="10">
        <f>IF(OR($H257&lt;&gt;"Y",6&lt;$I257),0,IF(SUMPRODUCT(((BULK_ENABLED="Y")*((BULK_TIER="ALL")+(BULK_TIER=$F257))*((BULK_SKU="ALL")+(BULK_SKU=$G257))*(BULK_START&lt;=6)*(BULK_END&gt;=6)))&gt;0,IFERROR(SUMPRODUCT(((BULK_ENABLED="Y")*((BULK_TIER="ALL")+(BULK_TIER=$F257))*((BULK_SKU="ALL")+(BULK_SKU=$G257))*(BULK_START&lt;=6)*(BULK_END&gt;=6))*IFERROR(BULK_VALUE,0))/MAX(1,SUMPRODUCT(((BULK_ENABLED="Y")*((BULK_TIER="ALL")+(BULK_TIER=$F257))*((BULK_SKU="ALL")+(BULK_SKU=$G257))*(BULK_START&lt;=6)*(BULK_END&gt;=6)))),0),ROUND((INDEX(VELOCITY_TABLE,MATCH($F257,TIER_LIST,0),1))*(IF((6-$I257+1)&lt;=0,0,IF((6-$I257+1)=1,RAMP_W1,IF((6-$I257+1)=2,RAMP_W2,IF((6-$I257+1)=3,RAMP_W3,RAMP_W4PLUS)))))*(INDEX(ACTIVE_MULT_TABLE,1,1))*(1+SUMPRODUCT(SIGN(((ACT_DOOR_SCOPE="ALL")+(ACT_DOOR_SCOPE="TIER_"&amp;$F257)+(ACT_DOOR_SCOPE=$B257)))*SIGN(((ACT_SKU_SCOPE="ALL")+(ACT_SKU_SCOPE=$G257)))*(ACT_START&lt;=6)*(ACT_END&gt;=6)*IFERROR(ACT_UPLIFT-1,0)))*(1+SUMPRODUCT(SIGN(((ACT_DOOR_SCOPE="ALL")+(ACT_DOOR_SCOPE="TIER_"&amp;$F257)+(ACT_DOOR_SCOPE=$B257)))*SIGN(((ACT_SKU_SCOPE="ALL")+(ACT_SKU_SCOPE=$G257)))*(6&gt;ACT_END)*(ACT_END&gt;0)*IFERROR(ACT_POSTLIFT,0))),0)))</f>
        <v/>
      </c>
      <c r="P257" s="10">
        <f>IF(OR($H257&lt;&gt;"Y",7&lt;$I257),0,IF(SUMPRODUCT(((BULK_ENABLED="Y")*((BULK_TIER="ALL")+(BULK_TIER=$F257))*((BULK_SKU="ALL")+(BULK_SKU=$G257))*(BULK_START&lt;=7)*(BULK_END&gt;=7)))&gt;0,IFERROR(SUMPRODUCT(((BULK_ENABLED="Y")*((BULK_TIER="ALL")+(BULK_TIER=$F257))*((BULK_SKU="ALL")+(BULK_SKU=$G257))*(BULK_START&lt;=7)*(BULK_END&gt;=7))*IFERROR(BULK_VALUE,0))/MAX(1,SUMPRODUCT(((BULK_ENABLED="Y")*((BULK_TIER="ALL")+(BULK_TIER=$F257))*((BULK_SKU="ALL")+(BULK_SKU=$G257))*(BULK_START&lt;=7)*(BULK_END&gt;=7)))),0),ROUND((INDEX(VELOCITY_TABLE,MATCH($F257,TIER_LIST,0),1))*(IF((7-$I257+1)&lt;=0,0,IF((7-$I257+1)=1,RAMP_W1,IF((7-$I257+1)=2,RAMP_W2,IF((7-$I257+1)=3,RAMP_W3,RAMP_W4PLUS)))))*(INDEX(ACTIVE_MULT_TABLE,1,1))*(1+SUMPRODUCT(SIGN(((ACT_DOOR_SCOPE="ALL")+(ACT_DOOR_SCOPE="TIER_"&amp;$F257)+(ACT_DOOR_SCOPE=$B257)))*SIGN(((ACT_SKU_SCOPE="ALL")+(ACT_SKU_SCOPE=$G257)))*(ACT_START&lt;=7)*(ACT_END&gt;=7)*IFERROR(ACT_UPLIFT-1,0)))*(1+SUMPRODUCT(SIGN(((ACT_DOOR_SCOPE="ALL")+(ACT_DOOR_SCOPE="TIER_"&amp;$F257)+(ACT_DOOR_SCOPE=$B257)))*SIGN(((ACT_SKU_SCOPE="ALL")+(ACT_SKU_SCOPE=$G257)))*(7&gt;ACT_END)*(ACT_END&gt;0)*IFERROR(ACT_POSTLIFT,0))),0)))</f>
        <v/>
      </c>
      <c r="Q257" s="10">
        <f>IF(OR($H257&lt;&gt;"Y",8&lt;$I257),0,IF(SUMPRODUCT(((BULK_ENABLED="Y")*((BULK_TIER="ALL")+(BULK_TIER=$F257))*((BULK_SKU="ALL")+(BULK_SKU=$G257))*(BULK_START&lt;=8)*(BULK_END&gt;=8)))&gt;0,IFERROR(SUMPRODUCT(((BULK_ENABLED="Y")*((BULK_TIER="ALL")+(BULK_TIER=$F257))*((BULK_SKU="ALL")+(BULK_SKU=$G257))*(BULK_START&lt;=8)*(BULK_END&gt;=8))*IFERROR(BULK_VALUE,0))/MAX(1,SUMPRODUCT(((BULK_ENABLED="Y")*((BULK_TIER="ALL")+(BULK_TIER=$F257))*((BULK_SKU="ALL")+(BULK_SKU=$G257))*(BULK_START&lt;=8)*(BULK_END&gt;=8)))),0),ROUND((INDEX(VELOCITY_TABLE,MATCH($F257,TIER_LIST,0),1))*(IF((8-$I257+1)&lt;=0,0,IF((8-$I257+1)=1,RAMP_W1,IF((8-$I257+1)=2,RAMP_W2,IF((8-$I257+1)=3,RAMP_W3,RAMP_W4PLUS)))))*(INDEX(ACTIVE_MULT_TABLE,1,1))*(1+SUMPRODUCT(SIGN(((ACT_DOOR_SCOPE="ALL")+(ACT_DOOR_SCOPE="TIER_"&amp;$F257)+(ACT_DOOR_SCOPE=$B257)))*SIGN(((ACT_SKU_SCOPE="ALL")+(ACT_SKU_SCOPE=$G257)))*(ACT_START&lt;=8)*(ACT_END&gt;=8)*IFERROR(ACT_UPLIFT-1,0)))*(1+SUMPRODUCT(SIGN(((ACT_DOOR_SCOPE="ALL")+(ACT_DOOR_SCOPE="TIER_"&amp;$F257)+(ACT_DOOR_SCOPE=$B257)))*SIGN(((ACT_SKU_SCOPE="ALL")+(ACT_SKU_SCOPE=$G257)))*(8&gt;ACT_END)*(ACT_END&gt;0)*IFERROR(ACT_POSTLIFT,0))),0)))</f>
        <v/>
      </c>
      <c r="R257" s="10">
        <f>IF(OR($H257&lt;&gt;"Y",9&lt;$I257),0,IF(SUMPRODUCT(((BULK_ENABLED="Y")*((BULK_TIER="ALL")+(BULK_TIER=$F257))*((BULK_SKU="ALL")+(BULK_SKU=$G257))*(BULK_START&lt;=9)*(BULK_END&gt;=9)))&gt;0,IFERROR(SUMPRODUCT(((BULK_ENABLED="Y")*((BULK_TIER="ALL")+(BULK_TIER=$F257))*((BULK_SKU="ALL")+(BULK_SKU=$G257))*(BULK_START&lt;=9)*(BULK_END&gt;=9))*IFERROR(BULK_VALUE,0))/MAX(1,SUMPRODUCT(((BULK_ENABLED="Y")*((BULK_TIER="ALL")+(BULK_TIER=$F257))*((BULK_SKU="ALL")+(BULK_SKU=$G257))*(BULK_START&lt;=9)*(BULK_END&gt;=9)))),0),ROUND((INDEX(VELOCITY_TABLE,MATCH($F257,TIER_LIST,0),1))*(IF((9-$I257+1)&lt;=0,0,IF((9-$I257+1)=1,RAMP_W1,IF((9-$I257+1)=2,RAMP_W2,IF((9-$I257+1)=3,RAMP_W3,RAMP_W4PLUS)))))*(INDEX(ACTIVE_MULT_TABLE,1,1))*(1+SUMPRODUCT(SIGN(((ACT_DOOR_SCOPE="ALL")+(ACT_DOOR_SCOPE="TIER_"&amp;$F257)+(ACT_DOOR_SCOPE=$B257)))*SIGN(((ACT_SKU_SCOPE="ALL")+(ACT_SKU_SCOPE=$G257)))*(ACT_START&lt;=9)*(ACT_END&gt;=9)*IFERROR(ACT_UPLIFT-1,0)))*(1+SUMPRODUCT(SIGN(((ACT_DOOR_SCOPE="ALL")+(ACT_DOOR_SCOPE="TIER_"&amp;$F257)+(ACT_DOOR_SCOPE=$B257)))*SIGN(((ACT_SKU_SCOPE="ALL")+(ACT_SKU_SCOPE=$G257)))*(9&gt;ACT_END)*(ACT_END&gt;0)*IFERROR(ACT_POSTLIFT,0))),0)))</f>
        <v/>
      </c>
      <c r="S257" s="10">
        <f>IF(OR($H257&lt;&gt;"Y",10&lt;$I257),0,IF(SUMPRODUCT(((BULK_ENABLED="Y")*((BULK_TIER="ALL")+(BULK_TIER=$F257))*((BULK_SKU="ALL")+(BULK_SKU=$G257))*(BULK_START&lt;=10)*(BULK_END&gt;=10)))&gt;0,IFERROR(SUMPRODUCT(((BULK_ENABLED="Y")*((BULK_TIER="ALL")+(BULK_TIER=$F257))*((BULK_SKU="ALL")+(BULK_SKU=$G257))*(BULK_START&lt;=10)*(BULK_END&gt;=10))*IFERROR(BULK_VALUE,0))/MAX(1,SUMPRODUCT(((BULK_ENABLED="Y")*((BULK_TIER="ALL")+(BULK_TIER=$F257))*((BULK_SKU="ALL")+(BULK_SKU=$G257))*(BULK_START&lt;=10)*(BULK_END&gt;=10)))),0),ROUND((INDEX(VELOCITY_TABLE,MATCH($F257,TIER_LIST,0),1))*(IF((10-$I257+1)&lt;=0,0,IF((10-$I257+1)=1,RAMP_W1,IF((10-$I257+1)=2,RAMP_W2,IF((10-$I257+1)=3,RAMP_W3,RAMP_W4PLUS)))))*(INDEX(ACTIVE_MULT_TABLE,1,1))*(1+SUMPRODUCT(SIGN(((ACT_DOOR_SCOPE="ALL")+(ACT_DOOR_SCOPE="TIER_"&amp;$F257)+(ACT_DOOR_SCOPE=$B257)))*SIGN(((ACT_SKU_SCOPE="ALL")+(ACT_SKU_SCOPE=$G257)))*(ACT_START&lt;=10)*(ACT_END&gt;=10)*IFERROR(ACT_UPLIFT-1,0)))*(1+SUMPRODUCT(SIGN(((ACT_DOOR_SCOPE="ALL")+(ACT_DOOR_SCOPE="TIER_"&amp;$F257)+(ACT_DOOR_SCOPE=$B257)))*SIGN(((ACT_SKU_SCOPE="ALL")+(ACT_SKU_SCOPE=$G257)))*(10&gt;ACT_END)*(ACT_END&gt;0)*IFERROR(ACT_POSTLIFT,0))),0)))</f>
        <v/>
      </c>
      <c r="T257" s="10">
        <f>IF(OR($H257&lt;&gt;"Y",11&lt;$I257),0,IF(SUMPRODUCT(((BULK_ENABLED="Y")*((BULK_TIER="ALL")+(BULK_TIER=$F257))*((BULK_SKU="ALL")+(BULK_SKU=$G257))*(BULK_START&lt;=11)*(BULK_END&gt;=11)))&gt;0,IFERROR(SUMPRODUCT(((BULK_ENABLED="Y")*((BULK_TIER="ALL")+(BULK_TIER=$F257))*((BULK_SKU="ALL")+(BULK_SKU=$G257))*(BULK_START&lt;=11)*(BULK_END&gt;=11))*IFERROR(BULK_VALUE,0))/MAX(1,SUMPRODUCT(((BULK_ENABLED="Y")*((BULK_TIER="ALL")+(BULK_TIER=$F257))*((BULK_SKU="ALL")+(BULK_SKU=$G257))*(BULK_START&lt;=11)*(BULK_END&gt;=11)))),0),ROUND((INDEX(VELOCITY_TABLE,MATCH($F257,TIER_LIST,0),1))*(IF((11-$I257+1)&lt;=0,0,IF((11-$I257+1)=1,RAMP_W1,IF((11-$I257+1)=2,RAMP_W2,IF((11-$I257+1)=3,RAMP_W3,RAMP_W4PLUS)))))*(INDEX(ACTIVE_MULT_TABLE,1,1))*(1+SUMPRODUCT(SIGN(((ACT_DOOR_SCOPE="ALL")+(ACT_DOOR_SCOPE="TIER_"&amp;$F257)+(ACT_DOOR_SCOPE=$B257)))*SIGN(((ACT_SKU_SCOPE="ALL")+(ACT_SKU_SCOPE=$G257)))*(ACT_START&lt;=11)*(ACT_END&gt;=11)*IFERROR(ACT_UPLIFT-1,0)))*(1+SUMPRODUCT(SIGN(((ACT_DOOR_SCOPE="ALL")+(ACT_DOOR_SCOPE="TIER_"&amp;$F257)+(ACT_DOOR_SCOPE=$B257)))*SIGN(((ACT_SKU_SCOPE="ALL")+(ACT_SKU_SCOPE=$G257)))*(11&gt;ACT_END)*(ACT_END&gt;0)*IFERROR(ACT_POSTLIFT,0))),0)))</f>
        <v/>
      </c>
      <c r="U257" s="10">
        <f>IF(OR($H257&lt;&gt;"Y",12&lt;$I257),0,IF(SUMPRODUCT(((BULK_ENABLED="Y")*((BULK_TIER="ALL")+(BULK_TIER=$F257))*((BULK_SKU="ALL")+(BULK_SKU=$G257))*(BULK_START&lt;=12)*(BULK_END&gt;=12)))&gt;0,IFERROR(SUMPRODUCT(((BULK_ENABLED="Y")*((BULK_TIER="ALL")+(BULK_TIER=$F257))*((BULK_SKU="ALL")+(BULK_SKU=$G257))*(BULK_START&lt;=12)*(BULK_END&gt;=12))*IFERROR(BULK_VALUE,0))/MAX(1,SUMPRODUCT(((BULK_ENABLED="Y")*((BULK_TIER="ALL")+(BULK_TIER=$F257))*((BULK_SKU="ALL")+(BULK_SKU=$G257))*(BULK_START&lt;=12)*(BULK_END&gt;=12)))),0),ROUND((INDEX(VELOCITY_TABLE,MATCH($F257,TIER_LIST,0),1))*(IF((12-$I257+1)&lt;=0,0,IF((12-$I257+1)=1,RAMP_W1,IF((12-$I257+1)=2,RAMP_W2,IF((12-$I257+1)=3,RAMP_W3,RAMP_W4PLUS)))))*(INDEX(ACTIVE_MULT_TABLE,1,1))*(1+SUMPRODUCT(SIGN(((ACT_DOOR_SCOPE="ALL")+(ACT_DOOR_SCOPE="TIER_"&amp;$F257)+(ACT_DOOR_SCOPE=$B257)))*SIGN(((ACT_SKU_SCOPE="ALL")+(ACT_SKU_SCOPE=$G257)))*(ACT_START&lt;=12)*(ACT_END&gt;=12)*IFERROR(ACT_UPLIFT-1,0)))*(1+SUMPRODUCT(SIGN(((ACT_DOOR_SCOPE="ALL")+(ACT_DOOR_SCOPE="TIER_"&amp;$F257)+(ACT_DOOR_SCOPE=$B257)))*SIGN(((ACT_SKU_SCOPE="ALL")+(ACT_SKU_SCOPE=$G257)))*(12&gt;ACT_END)*(ACT_END&gt;0)*IFERROR(ACT_POSTLIFT,0))),0)))</f>
        <v/>
      </c>
      <c r="V257" s="10">
        <f>IF(OR($H257&lt;&gt;"Y",13&lt;$I257),0,IF(SUMPRODUCT(((BULK_ENABLED="Y")*((BULK_TIER="ALL")+(BULK_TIER=$F257))*((BULK_SKU="ALL")+(BULK_SKU=$G257))*(BULK_START&lt;=13)*(BULK_END&gt;=13)))&gt;0,IFERROR(SUMPRODUCT(((BULK_ENABLED="Y")*((BULK_TIER="ALL")+(BULK_TIER=$F257))*((BULK_SKU="ALL")+(BULK_SKU=$G257))*(BULK_START&lt;=13)*(BULK_END&gt;=13))*IFERROR(BULK_VALUE,0))/MAX(1,SUMPRODUCT(((BULK_ENABLED="Y")*((BULK_TIER="ALL")+(BULK_TIER=$F257))*((BULK_SKU="ALL")+(BULK_SKU=$G257))*(BULK_START&lt;=13)*(BULK_END&gt;=13)))),0),ROUND((INDEX(VELOCITY_TABLE,MATCH($F257,TIER_LIST,0),1))*(IF((13-$I257+1)&lt;=0,0,IF((13-$I257+1)=1,RAMP_W1,IF((13-$I257+1)=2,RAMP_W2,IF((13-$I257+1)=3,RAMP_W3,RAMP_W4PLUS)))))*(INDEX(ACTIVE_MULT_TABLE,1,1))*(1+SUMPRODUCT(SIGN(((ACT_DOOR_SCOPE="ALL")+(ACT_DOOR_SCOPE="TIER_"&amp;$F257)+(ACT_DOOR_SCOPE=$B257)))*SIGN(((ACT_SKU_SCOPE="ALL")+(ACT_SKU_SCOPE=$G257)))*(ACT_START&lt;=13)*(ACT_END&gt;=13)*IFERROR(ACT_UPLIFT-1,0)))*(1+SUMPRODUCT(SIGN(((ACT_DOOR_SCOPE="ALL")+(ACT_DOOR_SCOPE="TIER_"&amp;$F257)+(ACT_DOOR_SCOPE=$B257)))*SIGN(((ACT_SKU_SCOPE="ALL")+(ACT_SKU_SCOPE=$G257)))*(13&gt;ACT_END)*(ACT_END&gt;0)*IFERROR(ACT_POSTLIFT,0))),0)))</f>
        <v/>
      </c>
    </row>
    <row r="258">
      <c r="A258" t="inlineStr">
        <is>
          <t>R0254</t>
        </is>
      </c>
      <c r="B258">
        <f>Doors!$A$89</f>
        <v/>
      </c>
      <c r="C258">
        <f>Doors!$C$89</f>
        <v/>
      </c>
      <c r="D258">
        <f>Doors!$B$89</f>
        <v/>
      </c>
      <c r="E258">
        <f>Doors!$E$89</f>
        <v/>
      </c>
      <c r="F258">
        <f>Doors!$F$89</f>
        <v/>
      </c>
      <c r="G258" t="inlineStr">
        <is>
          <t>Pineapple Passion Fruit</t>
        </is>
      </c>
      <c r="H258">
        <f>Doors!$H$89</f>
        <v/>
      </c>
      <c r="I258">
        <f>Doors!$J$89</f>
        <v/>
      </c>
      <c r="J258" s="10">
        <f>IF(OR($H258&lt;&gt;"Y",1&lt;$I258),0,IF(SUMPRODUCT(((BULK_ENABLED="Y")*((BULK_TIER="ALL")+(BULK_TIER=$F258))*((BULK_SKU="ALL")+(BULK_SKU=$G258))*(BULK_START&lt;=1)*(BULK_END&gt;=1)))&gt;0,IFERROR(SUMPRODUCT(((BULK_ENABLED="Y")*((BULK_TIER="ALL")+(BULK_TIER=$F258))*((BULK_SKU="ALL")+(BULK_SKU=$G258))*(BULK_START&lt;=1)*(BULK_END&gt;=1))*IFERROR(BULK_VALUE,0))/MAX(1,SUMPRODUCT(((BULK_ENABLED="Y")*((BULK_TIER="ALL")+(BULK_TIER=$F258))*((BULK_SKU="ALL")+(BULK_SKU=$G258))*(BULK_START&lt;=1)*(BULK_END&gt;=1)))),0),ROUND((INDEX(VELOCITY_TABLE,MATCH($F258,TIER_LIST,0),2))*(IF((1-$I258+1)&lt;=0,0,IF((1-$I258+1)=1,RAMP_W1,IF((1-$I258+1)=2,RAMP_W2,IF((1-$I258+1)=3,RAMP_W3,RAMP_W4PLUS)))))*(INDEX(ACTIVE_MULT_TABLE,2,1))*(1+SUMPRODUCT(SIGN(((ACT_DOOR_SCOPE="ALL")+(ACT_DOOR_SCOPE="TIER_"&amp;$F258)+(ACT_DOOR_SCOPE=$B258)))*SIGN(((ACT_SKU_SCOPE="ALL")+(ACT_SKU_SCOPE=$G258)))*(ACT_START&lt;=1)*(ACT_END&gt;=1)*IFERROR(ACT_UPLIFT-1,0)))*(1+SUMPRODUCT(SIGN(((ACT_DOOR_SCOPE="ALL")+(ACT_DOOR_SCOPE="TIER_"&amp;$F258)+(ACT_DOOR_SCOPE=$B258)))*SIGN(((ACT_SKU_SCOPE="ALL")+(ACT_SKU_SCOPE=$G258)))*(1&gt;ACT_END)*(ACT_END&gt;0)*IFERROR(ACT_POSTLIFT,0))),0)))</f>
        <v/>
      </c>
      <c r="K258" s="10">
        <f>IF(OR($H258&lt;&gt;"Y",2&lt;$I258),0,IF(SUMPRODUCT(((BULK_ENABLED="Y")*((BULK_TIER="ALL")+(BULK_TIER=$F258))*((BULK_SKU="ALL")+(BULK_SKU=$G258))*(BULK_START&lt;=2)*(BULK_END&gt;=2)))&gt;0,IFERROR(SUMPRODUCT(((BULK_ENABLED="Y")*((BULK_TIER="ALL")+(BULK_TIER=$F258))*((BULK_SKU="ALL")+(BULK_SKU=$G258))*(BULK_START&lt;=2)*(BULK_END&gt;=2))*IFERROR(BULK_VALUE,0))/MAX(1,SUMPRODUCT(((BULK_ENABLED="Y")*((BULK_TIER="ALL")+(BULK_TIER=$F258))*((BULK_SKU="ALL")+(BULK_SKU=$G258))*(BULK_START&lt;=2)*(BULK_END&gt;=2)))),0),ROUND((INDEX(VELOCITY_TABLE,MATCH($F258,TIER_LIST,0),2))*(IF((2-$I258+1)&lt;=0,0,IF((2-$I258+1)=1,RAMP_W1,IF((2-$I258+1)=2,RAMP_W2,IF((2-$I258+1)=3,RAMP_W3,RAMP_W4PLUS)))))*(INDEX(ACTIVE_MULT_TABLE,2,1))*(1+SUMPRODUCT(SIGN(((ACT_DOOR_SCOPE="ALL")+(ACT_DOOR_SCOPE="TIER_"&amp;$F258)+(ACT_DOOR_SCOPE=$B258)))*SIGN(((ACT_SKU_SCOPE="ALL")+(ACT_SKU_SCOPE=$G258)))*(ACT_START&lt;=2)*(ACT_END&gt;=2)*IFERROR(ACT_UPLIFT-1,0)))*(1+SUMPRODUCT(SIGN(((ACT_DOOR_SCOPE="ALL")+(ACT_DOOR_SCOPE="TIER_"&amp;$F258)+(ACT_DOOR_SCOPE=$B258)))*SIGN(((ACT_SKU_SCOPE="ALL")+(ACT_SKU_SCOPE=$G258)))*(2&gt;ACT_END)*(ACT_END&gt;0)*IFERROR(ACT_POSTLIFT,0))),0)))</f>
        <v/>
      </c>
      <c r="L258" s="10">
        <f>IF(OR($H258&lt;&gt;"Y",3&lt;$I258),0,IF(SUMPRODUCT(((BULK_ENABLED="Y")*((BULK_TIER="ALL")+(BULK_TIER=$F258))*((BULK_SKU="ALL")+(BULK_SKU=$G258))*(BULK_START&lt;=3)*(BULK_END&gt;=3)))&gt;0,IFERROR(SUMPRODUCT(((BULK_ENABLED="Y")*((BULK_TIER="ALL")+(BULK_TIER=$F258))*((BULK_SKU="ALL")+(BULK_SKU=$G258))*(BULK_START&lt;=3)*(BULK_END&gt;=3))*IFERROR(BULK_VALUE,0))/MAX(1,SUMPRODUCT(((BULK_ENABLED="Y")*((BULK_TIER="ALL")+(BULK_TIER=$F258))*((BULK_SKU="ALL")+(BULK_SKU=$G258))*(BULK_START&lt;=3)*(BULK_END&gt;=3)))),0),ROUND((INDEX(VELOCITY_TABLE,MATCH($F258,TIER_LIST,0),2))*(IF((3-$I258+1)&lt;=0,0,IF((3-$I258+1)=1,RAMP_W1,IF((3-$I258+1)=2,RAMP_W2,IF((3-$I258+1)=3,RAMP_W3,RAMP_W4PLUS)))))*(INDEX(ACTIVE_MULT_TABLE,2,1))*(1+SUMPRODUCT(SIGN(((ACT_DOOR_SCOPE="ALL")+(ACT_DOOR_SCOPE="TIER_"&amp;$F258)+(ACT_DOOR_SCOPE=$B258)))*SIGN(((ACT_SKU_SCOPE="ALL")+(ACT_SKU_SCOPE=$G258)))*(ACT_START&lt;=3)*(ACT_END&gt;=3)*IFERROR(ACT_UPLIFT-1,0)))*(1+SUMPRODUCT(SIGN(((ACT_DOOR_SCOPE="ALL")+(ACT_DOOR_SCOPE="TIER_"&amp;$F258)+(ACT_DOOR_SCOPE=$B258)))*SIGN(((ACT_SKU_SCOPE="ALL")+(ACT_SKU_SCOPE=$G258)))*(3&gt;ACT_END)*(ACT_END&gt;0)*IFERROR(ACT_POSTLIFT,0))),0)))</f>
        <v/>
      </c>
      <c r="M258" s="10">
        <f>IF(OR($H258&lt;&gt;"Y",4&lt;$I258),0,IF(SUMPRODUCT(((BULK_ENABLED="Y")*((BULK_TIER="ALL")+(BULK_TIER=$F258))*((BULK_SKU="ALL")+(BULK_SKU=$G258))*(BULK_START&lt;=4)*(BULK_END&gt;=4)))&gt;0,IFERROR(SUMPRODUCT(((BULK_ENABLED="Y")*((BULK_TIER="ALL")+(BULK_TIER=$F258))*((BULK_SKU="ALL")+(BULK_SKU=$G258))*(BULK_START&lt;=4)*(BULK_END&gt;=4))*IFERROR(BULK_VALUE,0))/MAX(1,SUMPRODUCT(((BULK_ENABLED="Y")*((BULK_TIER="ALL")+(BULK_TIER=$F258))*((BULK_SKU="ALL")+(BULK_SKU=$G258))*(BULK_START&lt;=4)*(BULK_END&gt;=4)))),0),ROUND((INDEX(VELOCITY_TABLE,MATCH($F258,TIER_LIST,0),2))*(IF((4-$I258+1)&lt;=0,0,IF((4-$I258+1)=1,RAMP_W1,IF((4-$I258+1)=2,RAMP_W2,IF((4-$I258+1)=3,RAMP_W3,RAMP_W4PLUS)))))*(INDEX(ACTIVE_MULT_TABLE,2,1))*(1+SUMPRODUCT(SIGN(((ACT_DOOR_SCOPE="ALL")+(ACT_DOOR_SCOPE="TIER_"&amp;$F258)+(ACT_DOOR_SCOPE=$B258)))*SIGN(((ACT_SKU_SCOPE="ALL")+(ACT_SKU_SCOPE=$G258)))*(ACT_START&lt;=4)*(ACT_END&gt;=4)*IFERROR(ACT_UPLIFT-1,0)))*(1+SUMPRODUCT(SIGN(((ACT_DOOR_SCOPE="ALL")+(ACT_DOOR_SCOPE="TIER_"&amp;$F258)+(ACT_DOOR_SCOPE=$B258)))*SIGN(((ACT_SKU_SCOPE="ALL")+(ACT_SKU_SCOPE=$G258)))*(4&gt;ACT_END)*(ACT_END&gt;0)*IFERROR(ACT_POSTLIFT,0))),0)))</f>
        <v/>
      </c>
      <c r="N258" s="10">
        <f>IF(OR($H258&lt;&gt;"Y",5&lt;$I258),0,IF(SUMPRODUCT(((BULK_ENABLED="Y")*((BULK_TIER="ALL")+(BULK_TIER=$F258))*((BULK_SKU="ALL")+(BULK_SKU=$G258))*(BULK_START&lt;=5)*(BULK_END&gt;=5)))&gt;0,IFERROR(SUMPRODUCT(((BULK_ENABLED="Y")*((BULK_TIER="ALL")+(BULK_TIER=$F258))*((BULK_SKU="ALL")+(BULK_SKU=$G258))*(BULK_START&lt;=5)*(BULK_END&gt;=5))*IFERROR(BULK_VALUE,0))/MAX(1,SUMPRODUCT(((BULK_ENABLED="Y")*((BULK_TIER="ALL")+(BULK_TIER=$F258))*((BULK_SKU="ALL")+(BULK_SKU=$G258))*(BULK_START&lt;=5)*(BULK_END&gt;=5)))),0),ROUND((INDEX(VELOCITY_TABLE,MATCH($F258,TIER_LIST,0),2))*(IF((5-$I258+1)&lt;=0,0,IF((5-$I258+1)=1,RAMP_W1,IF((5-$I258+1)=2,RAMP_W2,IF((5-$I258+1)=3,RAMP_W3,RAMP_W4PLUS)))))*(INDEX(ACTIVE_MULT_TABLE,2,1))*(1+SUMPRODUCT(SIGN(((ACT_DOOR_SCOPE="ALL")+(ACT_DOOR_SCOPE="TIER_"&amp;$F258)+(ACT_DOOR_SCOPE=$B258)))*SIGN(((ACT_SKU_SCOPE="ALL")+(ACT_SKU_SCOPE=$G258)))*(ACT_START&lt;=5)*(ACT_END&gt;=5)*IFERROR(ACT_UPLIFT-1,0)))*(1+SUMPRODUCT(SIGN(((ACT_DOOR_SCOPE="ALL")+(ACT_DOOR_SCOPE="TIER_"&amp;$F258)+(ACT_DOOR_SCOPE=$B258)))*SIGN(((ACT_SKU_SCOPE="ALL")+(ACT_SKU_SCOPE=$G258)))*(5&gt;ACT_END)*(ACT_END&gt;0)*IFERROR(ACT_POSTLIFT,0))),0)))</f>
        <v/>
      </c>
      <c r="O258" s="10">
        <f>IF(OR($H258&lt;&gt;"Y",6&lt;$I258),0,IF(SUMPRODUCT(((BULK_ENABLED="Y")*((BULK_TIER="ALL")+(BULK_TIER=$F258))*((BULK_SKU="ALL")+(BULK_SKU=$G258))*(BULK_START&lt;=6)*(BULK_END&gt;=6)))&gt;0,IFERROR(SUMPRODUCT(((BULK_ENABLED="Y")*((BULK_TIER="ALL")+(BULK_TIER=$F258))*((BULK_SKU="ALL")+(BULK_SKU=$G258))*(BULK_START&lt;=6)*(BULK_END&gt;=6))*IFERROR(BULK_VALUE,0))/MAX(1,SUMPRODUCT(((BULK_ENABLED="Y")*((BULK_TIER="ALL")+(BULK_TIER=$F258))*((BULK_SKU="ALL")+(BULK_SKU=$G258))*(BULK_START&lt;=6)*(BULK_END&gt;=6)))),0),ROUND((INDEX(VELOCITY_TABLE,MATCH($F258,TIER_LIST,0),2))*(IF((6-$I258+1)&lt;=0,0,IF((6-$I258+1)=1,RAMP_W1,IF((6-$I258+1)=2,RAMP_W2,IF((6-$I258+1)=3,RAMP_W3,RAMP_W4PLUS)))))*(INDEX(ACTIVE_MULT_TABLE,2,1))*(1+SUMPRODUCT(SIGN(((ACT_DOOR_SCOPE="ALL")+(ACT_DOOR_SCOPE="TIER_"&amp;$F258)+(ACT_DOOR_SCOPE=$B258)))*SIGN(((ACT_SKU_SCOPE="ALL")+(ACT_SKU_SCOPE=$G258)))*(ACT_START&lt;=6)*(ACT_END&gt;=6)*IFERROR(ACT_UPLIFT-1,0)))*(1+SUMPRODUCT(SIGN(((ACT_DOOR_SCOPE="ALL")+(ACT_DOOR_SCOPE="TIER_"&amp;$F258)+(ACT_DOOR_SCOPE=$B258)))*SIGN(((ACT_SKU_SCOPE="ALL")+(ACT_SKU_SCOPE=$G258)))*(6&gt;ACT_END)*(ACT_END&gt;0)*IFERROR(ACT_POSTLIFT,0))),0)))</f>
        <v/>
      </c>
      <c r="P258" s="10">
        <f>IF(OR($H258&lt;&gt;"Y",7&lt;$I258),0,IF(SUMPRODUCT(((BULK_ENABLED="Y")*((BULK_TIER="ALL")+(BULK_TIER=$F258))*((BULK_SKU="ALL")+(BULK_SKU=$G258))*(BULK_START&lt;=7)*(BULK_END&gt;=7)))&gt;0,IFERROR(SUMPRODUCT(((BULK_ENABLED="Y")*((BULK_TIER="ALL")+(BULK_TIER=$F258))*((BULK_SKU="ALL")+(BULK_SKU=$G258))*(BULK_START&lt;=7)*(BULK_END&gt;=7))*IFERROR(BULK_VALUE,0))/MAX(1,SUMPRODUCT(((BULK_ENABLED="Y")*((BULK_TIER="ALL")+(BULK_TIER=$F258))*((BULK_SKU="ALL")+(BULK_SKU=$G258))*(BULK_START&lt;=7)*(BULK_END&gt;=7)))),0),ROUND((INDEX(VELOCITY_TABLE,MATCH($F258,TIER_LIST,0),2))*(IF((7-$I258+1)&lt;=0,0,IF((7-$I258+1)=1,RAMP_W1,IF((7-$I258+1)=2,RAMP_W2,IF((7-$I258+1)=3,RAMP_W3,RAMP_W4PLUS)))))*(INDEX(ACTIVE_MULT_TABLE,2,1))*(1+SUMPRODUCT(SIGN(((ACT_DOOR_SCOPE="ALL")+(ACT_DOOR_SCOPE="TIER_"&amp;$F258)+(ACT_DOOR_SCOPE=$B258)))*SIGN(((ACT_SKU_SCOPE="ALL")+(ACT_SKU_SCOPE=$G258)))*(ACT_START&lt;=7)*(ACT_END&gt;=7)*IFERROR(ACT_UPLIFT-1,0)))*(1+SUMPRODUCT(SIGN(((ACT_DOOR_SCOPE="ALL")+(ACT_DOOR_SCOPE="TIER_"&amp;$F258)+(ACT_DOOR_SCOPE=$B258)))*SIGN(((ACT_SKU_SCOPE="ALL")+(ACT_SKU_SCOPE=$G258)))*(7&gt;ACT_END)*(ACT_END&gt;0)*IFERROR(ACT_POSTLIFT,0))),0)))</f>
        <v/>
      </c>
      <c r="Q258" s="10">
        <f>IF(OR($H258&lt;&gt;"Y",8&lt;$I258),0,IF(SUMPRODUCT(((BULK_ENABLED="Y")*((BULK_TIER="ALL")+(BULK_TIER=$F258))*((BULK_SKU="ALL")+(BULK_SKU=$G258))*(BULK_START&lt;=8)*(BULK_END&gt;=8)))&gt;0,IFERROR(SUMPRODUCT(((BULK_ENABLED="Y")*((BULK_TIER="ALL")+(BULK_TIER=$F258))*((BULK_SKU="ALL")+(BULK_SKU=$G258))*(BULK_START&lt;=8)*(BULK_END&gt;=8))*IFERROR(BULK_VALUE,0))/MAX(1,SUMPRODUCT(((BULK_ENABLED="Y")*((BULK_TIER="ALL")+(BULK_TIER=$F258))*((BULK_SKU="ALL")+(BULK_SKU=$G258))*(BULK_START&lt;=8)*(BULK_END&gt;=8)))),0),ROUND((INDEX(VELOCITY_TABLE,MATCH($F258,TIER_LIST,0),2))*(IF((8-$I258+1)&lt;=0,0,IF((8-$I258+1)=1,RAMP_W1,IF((8-$I258+1)=2,RAMP_W2,IF((8-$I258+1)=3,RAMP_W3,RAMP_W4PLUS)))))*(INDEX(ACTIVE_MULT_TABLE,2,1))*(1+SUMPRODUCT(SIGN(((ACT_DOOR_SCOPE="ALL")+(ACT_DOOR_SCOPE="TIER_"&amp;$F258)+(ACT_DOOR_SCOPE=$B258)))*SIGN(((ACT_SKU_SCOPE="ALL")+(ACT_SKU_SCOPE=$G258)))*(ACT_START&lt;=8)*(ACT_END&gt;=8)*IFERROR(ACT_UPLIFT-1,0)))*(1+SUMPRODUCT(SIGN(((ACT_DOOR_SCOPE="ALL")+(ACT_DOOR_SCOPE="TIER_"&amp;$F258)+(ACT_DOOR_SCOPE=$B258)))*SIGN(((ACT_SKU_SCOPE="ALL")+(ACT_SKU_SCOPE=$G258)))*(8&gt;ACT_END)*(ACT_END&gt;0)*IFERROR(ACT_POSTLIFT,0))),0)))</f>
        <v/>
      </c>
      <c r="R258" s="10">
        <f>IF(OR($H258&lt;&gt;"Y",9&lt;$I258),0,IF(SUMPRODUCT(((BULK_ENABLED="Y")*((BULK_TIER="ALL")+(BULK_TIER=$F258))*((BULK_SKU="ALL")+(BULK_SKU=$G258))*(BULK_START&lt;=9)*(BULK_END&gt;=9)))&gt;0,IFERROR(SUMPRODUCT(((BULK_ENABLED="Y")*((BULK_TIER="ALL")+(BULK_TIER=$F258))*((BULK_SKU="ALL")+(BULK_SKU=$G258))*(BULK_START&lt;=9)*(BULK_END&gt;=9))*IFERROR(BULK_VALUE,0))/MAX(1,SUMPRODUCT(((BULK_ENABLED="Y")*((BULK_TIER="ALL")+(BULK_TIER=$F258))*((BULK_SKU="ALL")+(BULK_SKU=$G258))*(BULK_START&lt;=9)*(BULK_END&gt;=9)))),0),ROUND((INDEX(VELOCITY_TABLE,MATCH($F258,TIER_LIST,0),2))*(IF((9-$I258+1)&lt;=0,0,IF((9-$I258+1)=1,RAMP_W1,IF((9-$I258+1)=2,RAMP_W2,IF((9-$I258+1)=3,RAMP_W3,RAMP_W4PLUS)))))*(INDEX(ACTIVE_MULT_TABLE,2,1))*(1+SUMPRODUCT(SIGN(((ACT_DOOR_SCOPE="ALL")+(ACT_DOOR_SCOPE="TIER_"&amp;$F258)+(ACT_DOOR_SCOPE=$B258)))*SIGN(((ACT_SKU_SCOPE="ALL")+(ACT_SKU_SCOPE=$G258)))*(ACT_START&lt;=9)*(ACT_END&gt;=9)*IFERROR(ACT_UPLIFT-1,0)))*(1+SUMPRODUCT(SIGN(((ACT_DOOR_SCOPE="ALL")+(ACT_DOOR_SCOPE="TIER_"&amp;$F258)+(ACT_DOOR_SCOPE=$B258)))*SIGN(((ACT_SKU_SCOPE="ALL")+(ACT_SKU_SCOPE=$G258)))*(9&gt;ACT_END)*(ACT_END&gt;0)*IFERROR(ACT_POSTLIFT,0))),0)))</f>
        <v/>
      </c>
      <c r="S258" s="10">
        <f>IF(OR($H258&lt;&gt;"Y",10&lt;$I258),0,IF(SUMPRODUCT(((BULK_ENABLED="Y")*((BULK_TIER="ALL")+(BULK_TIER=$F258))*((BULK_SKU="ALL")+(BULK_SKU=$G258))*(BULK_START&lt;=10)*(BULK_END&gt;=10)))&gt;0,IFERROR(SUMPRODUCT(((BULK_ENABLED="Y")*((BULK_TIER="ALL")+(BULK_TIER=$F258))*((BULK_SKU="ALL")+(BULK_SKU=$G258))*(BULK_START&lt;=10)*(BULK_END&gt;=10))*IFERROR(BULK_VALUE,0))/MAX(1,SUMPRODUCT(((BULK_ENABLED="Y")*((BULK_TIER="ALL")+(BULK_TIER=$F258))*((BULK_SKU="ALL")+(BULK_SKU=$G258))*(BULK_START&lt;=10)*(BULK_END&gt;=10)))),0),ROUND((INDEX(VELOCITY_TABLE,MATCH($F258,TIER_LIST,0),2))*(IF((10-$I258+1)&lt;=0,0,IF((10-$I258+1)=1,RAMP_W1,IF((10-$I258+1)=2,RAMP_W2,IF((10-$I258+1)=3,RAMP_W3,RAMP_W4PLUS)))))*(INDEX(ACTIVE_MULT_TABLE,2,1))*(1+SUMPRODUCT(SIGN(((ACT_DOOR_SCOPE="ALL")+(ACT_DOOR_SCOPE="TIER_"&amp;$F258)+(ACT_DOOR_SCOPE=$B258)))*SIGN(((ACT_SKU_SCOPE="ALL")+(ACT_SKU_SCOPE=$G258)))*(ACT_START&lt;=10)*(ACT_END&gt;=10)*IFERROR(ACT_UPLIFT-1,0)))*(1+SUMPRODUCT(SIGN(((ACT_DOOR_SCOPE="ALL")+(ACT_DOOR_SCOPE="TIER_"&amp;$F258)+(ACT_DOOR_SCOPE=$B258)))*SIGN(((ACT_SKU_SCOPE="ALL")+(ACT_SKU_SCOPE=$G258)))*(10&gt;ACT_END)*(ACT_END&gt;0)*IFERROR(ACT_POSTLIFT,0))),0)))</f>
        <v/>
      </c>
      <c r="T258" s="10">
        <f>IF(OR($H258&lt;&gt;"Y",11&lt;$I258),0,IF(SUMPRODUCT(((BULK_ENABLED="Y")*((BULK_TIER="ALL")+(BULK_TIER=$F258))*((BULK_SKU="ALL")+(BULK_SKU=$G258))*(BULK_START&lt;=11)*(BULK_END&gt;=11)))&gt;0,IFERROR(SUMPRODUCT(((BULK_ENABLED="Y")*((BULK_TIER="ALL")+(BULK_TIER=$F258))*((BULK_SKU="ALL")+(BULK_SKU=$G258))*(BULK_START&lt;=11)*(BULK_END&gt;=11))*IFERROR(BULK_VALUE,0))/MAX(1,SUMPRODUCT(((BULK_ENABLED="Y")*((BULK_TIER="ALL")+(BULK_TIER=$F258))*((BULK_SKU="ALL")+(BULK_SKU=$G258))*(BULK_START&lt;=11)*(BULK_END&gt;=11)))),0),ROUND((INDEX(VELOCITY_TABLE,MATCH($F258,TIER_LIST,0),2))*(IF((11-$I258+1)&lt;=0,0,IF((11-$I258+1)=1,RAMP_W1,IF((11-$I258+1)=2,RAMP_W2,IF((11-$I258+1)=3,RAMP_W3,RAMP_W4PLUS)))))*(INDEX(ACTIVE_MULT_TABLE,2,1))*(1+SUMPRODUCT(SIGN(((ACT_DOOR_SCOPE="ALL")+(ACT_DOOR_SCOPE="TIER_"&amp;$F258)+(ACT_DOOR_SCOPE=$B258)))*SIGN(((ACT_SKU_SCOPE="ALL")+(ACT_SKU_SCOPE=$G258)))*(ACT_START&lt;=11)*(ACT_END&gt;=11)*IFERROR(ACT_UPLIFT-1,0)))*(1+SUMPRODUCT(SIGN(((ACT_DOOR_SCOPE="ALL")+(ACT_DOOR_SCOPE="TIER_"&amp;$F258)+(ACT_DOOR_SCOPE=$B258)))*SIGN(((ACT_SKU_SCOPE="ALL")+(ACT_SKU_SCOPE=$G258)))*(11&gt;ACT_END)*(ACT_END&gt;0)*IFERROR(ACT_POSTLIFT,0))),0)))</f>
        <v/>
      </c>
      <c r="U258" s="10">
        <f>IF(OR($H258&lt;&gt;"Y",12&lt;$I258),0,IF(SUMPRODUCT(((BULK_ENABLED="Y")*((BULK_TIER="ALL")+(BULK_TIER=$F258))*((BULK_SKU="ALL")+(BULK_SKU=$G258))*(BULK_START&lt;=12)*(BULK_END&gt;=12)))&gt;0,IFERROR(SUMPRODUCT(((BULK_ENABLED="Y")*((BULK_TIER="ALL")+(BULK_TIER=$F258))*((BULK_SKU="ALL")+(BULK_SKU=$G258))*(BULK_START&lt;=12)*(BULK_END&gt;=12))*IFERROR(BULK_VALUE,0))/MAX(1,SUMPRODUCT(((BULK_ENABLED="Y")*((BULK_TIER="ALL")+(BULK_TIER=$F258))*((BULK_SKU="ALL")+(BULK_SKU=$G258))*(BULK_START&lt;=12)*(BULK_END&gt;=12)))),0),ROUND((INDEX(VELOCITY_TABLE,MATCH($F258,TIER_LIST,0),2))*(IF((12-$I258+1)&lt;=0,0,IF((12-$I258+1)=1,RAMP_W1,IF((12-$I258+1)=2,RAMP_W2,IF((12-$I258+1)=3,RAMP_W3,RAMP_W4PLUS)))))*(INDEX(ACTIVE_MULT_TABLE,2,1))*(1+SUMPRODUCT(SIGN(((ACT_DOOR_SCOPE="ALL")+(ACT_DOOR_SCOPE="TIER_"&amp;$F258)+(ACT_DOOR_SCOPE=$B258)))*SIGN(((ACT_SKU_SCOPE="ALL")+(ACT_SKU_SCOPE=$G258)))*(ACT_START&lt;=12)*(ACT_END&gt;=12)*IFERROR(ACT_UPLIFT-1,0)))*(1+SUMPRODUCT(SIGN(((ACT_DOOR_SCOPE="ALL")+(ACT_DOOR_SCOPE="TIER_"&amp;$F258)+(ACT_DOOR_SCOPE=$B258)))*SIGN(((ACT_SKU_SCOPE="ALL")+(ACT_SKU_SCOPE=$G258)))*(12&gt;ACT_END)*(ACT_END&gt;0)*IFERROR(ACT_POSTLIFT,0))),0)))</f>
        <v/>
      </c>
      <c r="V258" s="10">
        <f>IF(OR($H258&lt;&gt;"Y",13&lt;$I258),0,IF(SUMPRODUCT(((BULK_ENABLED="Y")*((BULK_TIER="ALL")+(BULK_TIER=$F258))*((BULK_SKU="ALL")+(BULK_SKU=$G258))*(BULK_START&lt;=13)*(BULK_END&gt;=13)))&gt;0,IFERROR(SUMPRODUCT(((BULK_ENABLED="Y")*((BULK_TIER="ALL")+(BULK_TIER=$F258))*((BULK_SKU="ALL")+(BULK_SKU=$G258))*(BULK_START&lt;=13)*(BULK_END&gt;=13))*IFERROR(BULK_VALUE,0))/MAX(1,SUMPRODUCT(((BULK_ENABLED="Y")*((BULK_TIER="ALL")+(BULK_TIER=$F258))*((BULK_SKU="ALL")+(BULK_SKU=$G258))*(BULK_START&lt;=13)*(BULK_END&gt;=13)))),0),ROUND((INDEX(VELOCITY_TABLE,MATCH($F258,TIER_LIST,0),2))*(IF((13-$I258+1)&lt;=0,0,IF((13-$I258+1)=1,RAMP_W1,IF((13-$I258+1)=2,RAMP_W2,IF((13-$I258+1)=3,RAMP_W3,RAMP_W4PLUS)))))*(INDEX(ACTIVE_MULT_TABLE,2,1))*(1+SUMPRODUCT(SIGN(((ACT_DOOR_SCOPE="ALL")+(ACT_DOOR_SCOPE="TIER_"&amp;$F258)+(ACT_DOOR_SCOPE=$B258)))*SIGN(((ACT_SKU_SCOPE="ALL")+(ACT_SKU_SCOPE=$G258)))*(ACT_START&lt;=13)*(ACT_END&gt;=13)*IFERROR(ACT_UPLIFT-1,0)))*(1+SUMPRODUCT(SIGN(((ACT_DOOR_SCOPE="ALL")+(ACT_DOOR_SCOPE="TIER_"&amp;$F258)+(ACT_DOOR_SCOPE=$B258)))*SIGN(((ACT_SKU_SCOPE="ALL")+(ACT_SKU_SCOPE=$G258)))*(13&gt;ACT_END)*(ACT_END&gt;0)*IFERROR(ACT_POSTLIFT,0))),0)))</f>
        <v/>
      </c>
    </row>
    <row r="259">
      <c r="A259" t="inlineStr">
        <is>
          <t>R0255</t>
        </is>
      </c>
      <c r="B259">
        <f>Doors!$A$89</f>
        <v/>
      </c>
      <c r="C259">
        <f>Doors!$C$89</f>
        <v/>
      </c>
      <c r="D259">
        <f>Doors!$B$89</f>
        <v/>
      </c>
      <c r="E259">
        <f>Doors!$E$89</f>
        <v/>
      </c>
      <c r="F259">
        <f>Doors!$F$89</f>
        <v/>
      </c>
      <c r="G259" t="inlineStr">
        <is>
          <t>Raspberry</t>
        </is>
      </c>
      <c r="H259">
        <f>Doors!$I$89</f>
        <v/>
      </c>
      <c r="I259">
        <f>Doors!$J$89</f>
        <v/>
      </c>
      <c r="J259" s="10">
        <f>IF(OR($H259&lt;&gt;"Y",1&lt;$I259),0,IF(SUMPRODUCT(((BULK_ENABLED="Y")*((BULK_TIER="ALL")+(BULK_TIER=$F259))*((BULK_SKU="ALL")+(BULK_SKU=$G259))*(BULK_START&lt;=1)*(BULK_END&gt;=1)))&gt;0,IFERROR(SUMPRODUCT(((BULK_ENABLED="Y")*((BULK_TIER="ALL")+(BULK_TIER=$F259))*((BULK_SKU="ALL")+(BULK_SKU=$G259))*(BULK_START&lt;=1)*(BULK_END&gt;=1))*IFERROR(BULK_VALUE,0))/MAX(1,SUMPRODUCT(((BULK_ENABLED="Y")*((BULK_TIER="ALL")+(BULK_TIER=$F259))*((BULK_SKU="ALL")+(BULK_SKU=$G259))*(BULK_START&lt;=1)*(BULK_END&gt;=1)))),0),ROUND((INDEX(VELOCITY_TABLE,MATCH($F259,TIER_LIST,0),3))*(IF((1-$I259+1)&lt;=0,0,IF((1-$I259+1)=1,RAMP_W1,IF((1-$I259+1)=2,RAMP_W2,IF((1-$I259+1)=3,RAMP_W3,RAMP_W4PLUS)))))*(INDEX(ACTIVE_MULT_TABLE,3,1))*(1+SUMPRODUCT(SIGN(((ACT_DOOR_SCOPE="ALL")+(ACT_DOOR_SCOPE="TIER_"&amp;$F259)+(ACT_DOOR_SCOPE=$B259)))*SIGN(((ACT_SKU_SCOPE="ALL")+(ACT_SKU_SCOPE=$G259)))*(ACT_START&lt;=1)*(ACT_END&gt;=1)*IFERROR(ACT_UPLIFT-1,0)))*(1+SUMPRODUCT(SIGN(((ACT_DOOR_SCOPE="ALL")+(ACT_DOOR_SCOPE="TIER_"&amp;$F259)+(ACT_DOOR_SCOPE=$B259)))*SIGN(((ACT_SKU_SCOPE="ALL")+(ACT_SKU_SCOPE=$G259)))*(1&gt;ACT_END)*(ACT_END&gt;0)*IFERROR(ACT_POSTLIFT,0))),0)))</f>
        <v/>
      </c>
      <c r="K259" s="10">
        <f>IF(OR($H259&lt;&gt;"Y",2&lt;$I259),0,IF(SUMPRODUCT(((BULK_ENABLED="Y")*((BULK_TIER="ALL")+(BULK_TIER=$F259))*((BULK_SKU="ALL")+(BULK_SKU=$G259))*(BULK_START&lt;=2)*(BULK_END&gt;=2)))&gt;0,IFERROR(SUMPRODUCT(((BULK_ENABLED="Y")*((BULK_TIER="ALL")+(BULK_TIER=$F259))*((BULK_SKU="ALL")+(BULK_SKU=$G259))*(BULK_START&lt;=2)*(BULK_END&gt;=2))*IFERROR(BULK_VALUE,0))/MAX(1,SUMPRODUCT(((BULK_ENABLED="Y")*((BULK_TIER="ALL")+(BULK_TIER=$F259))*((BULK_SKU="ALL")+(BULK_SKU=$G259))*(BULK_START&lt;=2)*(BULK_END&gt;=2)))),0),ROUND((INDEX(VELOCITY_TABLE,MATCH($F259,TIER_LIST,0),3))*(IF((2-$I259+1)&lt;=0,0,IF((2-$I259+1)=1,RAMP_W1,IF((2-$I259+1)=2,RAMP_W2,IF((2-$I259+1)=3,RAMP_W3,RAMP_W4PLUS)))))*(INDEX(ACTIVE_MULT_TABLE,3,1))*(1+SUMPRODUCT(SIGN(((ACT_DOOR_SCOPE="ALL")+(ACT_DOOR_SCOPE="TIER_"&amp;$F259)+(ACT_DOOR_SCOPE=$B259)))*SIGN(((ACT_SKU_SCOPE="ALL")+(ACT_SKU_SCOPE=$G259)))*(ACT_START&lt;=2)*(ACT_END&gt;=2)*IFERROR(ACT_UPLIFT-1,0)))*(1+SUMPRODUCT(SIGN(((ACT_DOOR_SCOPE="ALL")+(ACT_DOOR_SCOPE="TIER_"&amp;$F259)+(ACT_DOOR_SCOPE=$B259)))*SIGN(((ACT_SKU_SCOPE="ALL")+(ACT_SKU_SCOPE=$G259)))*(2&gt;ACT_END)*(ACT_END&gt;0)*IFERROR(ACT_POSTLIFT,0))),0)))</f>
        <v/>
      </c>
      <c r="L259" s="10">
        <f>IF(OR($H259&lt;&gt;"Y",3&lt;$I259),0,IF(SUMPRODUCT(((BULK_ENABLED="Y")*((BULK_TIER="ALL")+(BULK_TIER=$F259))*((BULK_SKU="ALL")+(BULK_SKU=$G259))*(BULK_START&lt;=3)*(BULK_END&gt;=3)))&gt;0,IFERROR(SUMPRODUCT(((BULK_ENABLED="Y")*((BULK_TIER="ALL")+(BULK_TIER=$F259))*((BULK_SKU="ALL")+(BULK_SKU=$G259))*(BULK_START&lt;=3)*(BULK_END&gt;=3))*IFERROR(BULK_VALUE,0))/MAX(1,SUMPRODUCT(((BULK_ENABLED="Y")*((BULK_TIER="ALL")+(BULK_TIER=$F259))*((BULK_SKU="ALL")+(BULK_SKU=$G259))*(BULK_START&lt;=3)*(BULK_END&gt;=3)))),0),ROUND((INDEX(VELOCITY_TABLE,MATCH($F259,TIER_LIST,0),3))*(IF((3-$I259+1)&lt;=0,0,IF((3-$I259+1)=1,RAMP_W1,IF((3-$I259+1)=2,RAMP_W2,IF((3-$I259+1)=3,RAMP_W3,RAMP_W4PLUS)))))*(INDEX(ACTIVE_MULT_TABLE,3,1))*(1+SUMPRODUCT(SIGN(((ACT_DOOR_SCOPE="ALL")+(ACT_DOOR_SCOPE="TIER_"&amp;$F259)+(ACT_DOOR_SCOPE=$B259)))*SIGN(((ACT_SKU_SCOPE="ALL")+(ACT_SKU_SCOPE=$G259)))*(ACT_START&lt;=3)*(ACT_END&gt;=3)*IFERROR(ACT_UPLIFT-1,0)))*(1+SUMPRODUCT(SIGN(((ACT_DOOR_SCOPE="ALL")+(ACT_DOOR_SCOPE="TIER_"&amp;$F259)+(ACT_DOOR_SCOPE=$B259)))*SIGN(((ACT_SKU_SCOPE="ALL")+(ACT_SKU_SCOPE=$G259)))*(3&gt;ACT_END)*(ACT_END&gt;0)*IFERROR(ACT_POSTLIFT,0))),0)))</f>
        <v/>
      </c>
      <c r="M259" s="10">
        <f>IF(OR($H259&lt;&gt;"Y",4&lt;$I259),0,IF(SUMPRODUCT(((BULK_ENABLED="Y")*((BULK_TIER="ALL")+(BULK_TIER=$F259))*((BULK_SKU="ALL")+(BULK_SKU=$G259))*(BULK_START&lt;=4)*(BULK_END&gt;=4)))&gt;0,IFERROR(SUMPRODUCT(((BULK_ENABLED="Y")*((BULK_TIER="ALL")+(BULK_TIER=$F259))*((BULK_SKU="ALL")+(BULK_SKU=$G259))*(BULK_START&lt;=4)*(BULK_END&gt;=4))*IFERROR(BULK_VALUE,0))/MAX(1,SUMPRODUCT(((BULK_ENABLED="Y")*((BULK_TIER="ALL")+(BULK_TIER=$F259))*((BULK_SKU="ALL")+(BULK_SKU=$G259))*(BULK_START&lt;=4)*(BULK_END&gt;=4)))),0),ROUND((INDEX(VELOCITY_TABLE,MATCH($F259,TIER_LIST,0),3))*(IF((4-$I259+1)&lt;=0,0,IF((4-$I259+1)=1,RAMP_W1,IF((4-$I259+1)=2,RAMP_W2,IF((4-$I259+1)=3,RAMP_W3,RAMP_W4PLUS)))))*(INDEX(ACTIVE_MULT_TABLE,3,1))*(1+SUMPRODUCT(SIGN(((ACT_DOOR_SCOPE="ALL")+(ACT_DOOR_SCOPE="TIER_"&amp;$F259)+(ACT_DOOR_SCOPE=$B259)))*SIGN(((ACT_SKU_SCOPE="ALL")+(ACT_SKU_SCOPE=$G259)))*(ACT_START&lt;=4)*(ACT_END&gt;=4)*IFERROR(ACT_UPLIFT-1,0)))*(1+SUMPRODUCT(SIGN(((ACT_DOOR_SCOPE="ALL")+(ACT_DOOR_SCOPE="TIER_"&amp;$F259)+(ACT_DOOR_SCOPE=$B259)))*SIGN(((ACT_SKU_SCOPE="ALL")+(ACT_SKU_SCOPE=$G259)))*(4&gt;ACT_END)*(ACT_END&gt;0)*IFERROR(ACT_POSTLIFT,0))),0)))</f>
        <v/>
      </c>
      <c r="N259" s="10">
        <f>IF(OR($H259&lt;&gt;"Y",5&lt;$I259),0,IF(SUMPRODUCT(((BULK_ENABLED="Y")*((BULK_TIER="ALL")+(BULK_TIER=$F259))*((BULK_SKU="ALL")+(BULK_SKU=$G259))*(BULK_START&lt;=5)*(BULK_END&gt;=5)))&gt;0,IFERROR(SUMPRODUCT(((BULK_ENABLED="Y")*((BULK_TIER="ALL")+(BULK_TIER=$F259))*((BULK_SKU="ALL")+(BULK_SKU=$G259))*(BULK_START&lt;=5)*(BULK_END&gt;=5))*IFERROR(BULK_VALUE,0))/MAX(1,SUMPRODUCT(((BULK_ENABLED="Y")*((BULK_TIER="ALL")+(BULK_TIER=$F259))*((BULK_SKU="ALL")+(BULK_SKU=$G259))*(BULK_START&lt;=5)*(BULK_END&gt;=5)))),0),ROUND((INDEX(VELOCITY_TABLE,MATCH($F259,TIER_LIST,0),3))*(IF((5-$I259+1)&lt;=0,0,IF((5-$I259+1)=1,RAMP_W1,IF((5-$I259+1)=2,RAMP_W2,IF((5-$I259+1)=3,RAMP_W3,RAMP_W4PLUS)))))*(INDEX(ACTIVE_MULT_TABLE,3,1))*(1+SUMPRODUCT(SIGN(((ACT_DOOR_SCOPE="ALL")+(ACT_DOOR_SCOPE="TIER_"&amp;$F259)+(ACT_DOOR_SCOPE=$B259)))*SIGN(((ACT_SKU_SCOPE="ALL")+(ACT_SKU_SCOPE=$G259)))*(ACT_START&lt;=5)*(ACT_END&gt;=5)*IFERROR(ACT_UPLIFT-1,0)))*(1+SUMPRODUCT(SIGN(((ACT_DOOR_SCOPE="ALL")+(ACT_DOOR_SCOPE="TIER_"&amp;$F259)+(ACT_DOOR_SCOPE=$B259)))*SIGN(((ACT_SKU_SCOPE="ALL")+(ACT_SKU_SCOPE=$G259)))*(5&gt;ACT_END)*(ACT_END&gt;0)*IFERROR(ACT_POSTLIFT,0))),0)))</f>
        <v/>
      </c>
      <c r="O259" s="10">
        <f>IF(OR($H259&lt;&gt;"Y",6&lt;$I259),0,IF(SUMPRODUCT(((BULK_ENABLED="Y")*((BULK_TIER="ALL")+(BULK_TIER=$F259))*((BULK_SKU="ALL")+(BULK_SKU=$G259))*(BULK_START&lt;=6)*(BULK_END&gt;=6)))&gt;0,IFERROR(SUMPRODUCT(((BULK_ENABLED="Y")*((BULK_TIER="ALL")+(BULK_TIER=$F259))*((BULK_SKU="ALL")+(BULK_SKU=$G259))*(BULK_START&lt;=6)*(BULK_END&gt;=6))*IFERROR(BULK_VALUE,0))/MAX(1,SUMPRODUCT(((BULK_ENABLED="Y")*((BULK_TIER="ALL")+(BULK_TIER=$F259))*((BULK_SKU="ALL")+(BULK_SKU=$G259))*(BULK_START&lt;=6)*(BULK_END&gt;=6)))),0),ROUND((INDEX(VELOCITY_TABLE,MATCH($F259,TIER_LIST,0),3))*(IF((6-$I259+1)&lt;=0,0,IF((6-$I259+1)=1,RAMP_W1,IF((6-$I259+1)=2,RAMP_W2,IF((6-$I259+1)=3,RAMP_W3,RAMP_W4PLUS)))))*(INDEX(ACTIVE_MULT_TABLE,3,1))*(1+SUMPRODUCT(SIGN(((ACT_DOOR_SCOPE="ALL")+(ACT_DOOR_SCOPE="TIER_"&amp;$F259)+(ACT_DOOR_SCOPE=$B259)))*SIGN(((ACT_SKU_SCOPE="ALL")+(ACT_SKU_SCOPE=$G259)))*(ACT_START&lt;=6)*(ACT_END&gt;=6)*IFERROR(ACT_UPLIFT-1,0)))*(1+SUMPRODUCT(SIGN(((ACT_DOOR_SCOPE="ALL")+(ACT_DOOR_SCOPE="TIER_"&amp;$F259)+(ACT_DOOR_SCOPE=$B259)))*SIGN(((ACT_SKU_SCOPE="ALL")+(ACT_SKU_SCOPE=$G259)))*(6&gt;ACT_END)*(ACT_END&gt;0)*IFERROR(ACT_POSTLIFT,0))),0)))</f>
        <v/>
      </c>
      <c r="P259" s="10">
        <f>IF(OR($H259&lt;&gt;"Y",7&lt;$I259),0,IF(SUMPRODUCT(((BULK_ENABLED="Y")*((BULK_TIER="ALL")+(BULK_TIER=$F259))*((BULK_SKU="ALL")+(BULK_SKU=$G259))*(BULK_START&lt;=7)*(BULK_END&gt;=7)))&gt;0,IFERROR(SUMPRODUCT(((BULK_ENABLED="Y")*((BULK_TIER="ALL")+(BULK_TIER=$F259))*((BULK_SKU="ALL")+(BULK_SKU=$G259))*(BULK_START&lt;=7)*(BULK_END&gt;=7))*IFERROR(BULK_VALUE,0))/MAX(1,SUMPRODUCT(((BULK_ENABLED="Y")*((BULK_TIER="ALL")+(BULK_TIER=$F259))*((BULK_SKU="ALL")+(BULK_SKU=$G259))*(BULK_START&lt;=7)*(BULK_END&gt;=7)))),0),ROUND((INDEX(VELOCITY_TABLE,MATCH($F259,TIER_LIST,0),3))*(IF((7-$I259+1)&lt;=0,0,IF((7-$I259+1)=1,RAMP_W1,IF((7-$I259+1)=2,RAMP_W2,IF((7-$I259+1)=3,RAMP_W3,RAMP_W4PLUS)))))*(INDEX(ACTIVE_MULT_TABLE,3,1))*(1+SUMPRODUCT(SIGN(((ACT_DOOR_SCOPE="ALL")+(ACT_DOOR_SCOPE="TIER_"&amp;$F259)+(ACT_DOOR_SCOPE=$B259)))*SIGN(((ACT_SKU_SCOPE="ALL")+(ACT_SKU_SCOPE=$G259)))*(ACT_START&lt;=7)*(ACT_END&gt;=7)*IFERROR(ACT_UPLIFT-1,0)))*(1+SUMPRODUCT(SIGN(((ACT_DOOR_SCOPE="ALL")+(ACT_DOOR_SCOPE="TIER_"&amp;$F259)+(ACT_DOOR_SCOPE=$B259)))*SIGN(((ACT_SKU_SCOPE="ALL")+(ACT_SKU_SCOPE=$G259)))*(7&gt;ACT_END)*(ACT_END&gt;0)*IFERROR(ACT_POSTLIFT,0))),0)))</f>
        <v/>
      </c>
      <c r="Q259" s="10">
        <f>IF(OR($H259&lt;&gt;"Y",8&lt;$I259),0,IF(SUMPRODUCT(((BULK_ENABLED="Y")*((BULK_TIER="ALL")+(BULK_TIER=$F259))*((BULK_SKU="ALL")+(BULK_SKU=$G259))*(BULK_START&lt;=8)*(BULK_END&gt;=8)))&gt;0,IFERROR(SUMPRODUCT(((BULK_ENABLED="Y")*((BULK_TIER="ALL")+(BULK_TIER=$F259))*((BULK_SKU="ALL")+(BULK_SKU=$G259))*(BULK_START&lt;=8)*(BULK_END&gt;=8))*IFERROR(BULK_VALUE,0))/MAX(1,SUMPRODUCT(((BULK_ENABLED="Y")*((BULK_TIER="ALL")+(BULK_TIER=$F259))*((BULK_SKU="ALL")+(BULK_SKU=$G259))*(BULK_START&lt;=8)*(BULK_END&gt;=8)))),0),ROUND((INDEX(VELOCITY_TABLE,MATCH($F259,TIER_LIST,0),3))*(IF((8-$I259+1)&lt;=0,0,IF((8-$I259+1)=1,RAMP_W1,IF((8-$I259+1)=2,RAMP_W2,IF((8-$I259+1)=3,RAMP_W3,RAMP_W4PLUS)))))*(INDEX(ACTIVE_MULT_TABLE,3,1))*(1+SUMPRODUCT(SIGN(((ACT_DOOR_SCOPE="ALL")+(ACT_DOOR_SCOPE="TIER_"&amp;$F259)+(ACT_DOOR_SCOPE=$B259)))*SIGN(((ACT_SKU_SCOPE="ALL")+(ACT_SKU_SCOPE=$G259)))*(ACT_START&lt;=8)*(ACT_END&gt;=8)*IFERROR(ACT_UPLIFT-1,0)))*(1+SUMPRODUCT(SIGN(((ACT_DOOR_SCOPE="ALL")+(ACT_DOOR_SCOPE="TIER_"&amp;$F259)+(ACT_DOOR_SCOPE=$B259)))*SIGN(((ACT_SKU_SCOPE="ALL")+(ACT_SKU_SCOPE=$G259)))*(8&gt;ACT_END)*(ACT_END&gt;0)*IFERROR(ACT_POSTLIFT,0))),0)))</f>
        <v/>
      </c>
      <c r="R259" s="10">
        <f>IF(OR($H259&lt;&gt;"Y",9&lt;$I259),0,IF(SUMPRODUCT(((BULK_ENABLED="Y")*((BULK_TIER="ALL")+(BULK_TIER=$F259))*((BULK_SKU="ALL")+(BULK_SKU=$G259))*(BULK_START&lt;=9)*(BULK_END&gt;=9)))&gt;0,IFERROR(SUMPRODUCT(((BULK_ENABLED="Y")*((BULK_TIER="ALL")+(BULK_TIER=$F259))*((BULK_SKU="ALL")+(BULK_SKU=$G259))*(BULK_START&lt;=9)*(BULK_END&gt;=9))*IFERROR(BULK_VALUE,0))/MAX(1,SUMPRODUCT(((BULK_ENABLED="Y")*((BULK_TIER="ALL")+(BULK_TIER=$F259))*((BULK_SKU="ALL")+(BULK_SKU=$G259))*(BULK_START&lt;=9)*(BULK_END&gt;=9)))),0),ROUND((INDEX(VELOCITY_TABLE,MATCH($F259,TIER_LIST,0),3))*(IF((9-$I259+1)&lt;=0,0,IF((9-$I259+1)=1,RAMP_W1,IF((9-$I259+1)=2,RAMP_W2,IF((9-$I259+1)=3,RAMP_W3,RAMP_W4PLUS)))))*(INDEX(ACTIVE_MULT_TABLE,3,1))*(1+SUMPRODUCT(SIGN(((ACT_DOOR_SCOPE="ALL")+(ACT_DOOR_SCOPE="TIER_"&amp;$F259)+(ACT_DOOR_SCOPE=$B259)))*SIGN(((ACT_SKU_SCOPE="ALL")+(ACT_SKU_SCOPE=$G259)))*(ACT_START&lt;=9)*(ACT_END&gt;=9)*IFERROR(ACT_UPLIFT-1,0)))*(1+SUMPRODUCT(SIGN(((ACT_DOOR_SCOPE="ALL")+(ACT_DOOR_SCOPE="TIER_"&amp;$F259)+(ACT_DOOR_SCOPE=$B259)))*SIGN(((ACT_SKU_SCOPE="ALL")+(ACT_SKU_SCOPE=$G259)))*(9&gt;ACT_END)*(ACT_END&gt;0)*IFERROR(ACT_POSTLIFT,0))),0)))</f>
        <v/>
      </c>
      <c r="S259" s="10">
        <f>IF(OR($H259&lt;&gt;"Y",10&lt;$I259),0,IF(SUMPRODUCT(((BULK_ENABLED="Y")*((BULK_TIER="ALL")+(BULK_TIER=$F259))*((BULK_SKU="ALL")+(BULK_SKU=$G259))*(BULK_START&lt;=10)*(BULK_END&gt;=10)))&gt;0,IFERROR(SUMPRODUCT(((BULK_ENABLED="Y")*((BULK_TIER="ALL")+(BULK_TIER=$F259))*((BULK_SKU="ALL")+(BULK_SKU=$G259))*(BULK_START&lt;=10)*(BULK_END&gt;=10))*IFERROR(BULK_VALUE,0))/MAX(1,SUMPRODUCT(((BULK_ENABLED="Y")*((BULK_TIER="ALL")+(BULK_TIER=$F259))*((BULK_SKU="ALL")+(BULK_SKU=$G259))*(BULK_START&lt;=10)*(BULK_END&gt;=10)))),0),ROUND((INDEX(VELOCITY_TABLE,MATCH($F259,TIER_LIST,0),3))*(IF((10-$I259+1)&lt;=0,0,IF((10-$I259+1)=1,RAMP_W1,IF((10-$I259+1)=2,RAMP_W2,IF((10-$I259+1)=3,RAMP_W3,RAMP_W4PLUS)))))*(INDEX(ACTIVE_MULT_TABLE,3,1))*(1+SUMPRODUCT(SIGN(((ACT_DOOR_SCOPE="ALL")+(ACT_DOOR_SCOPE="TIER_"&amp;$F259)+(ACT_DOOR_SCOPE=$B259)))*SIGN(((ACT_SKU_SCOPE="ALL")+(ACT_SKU_SCOPE=$G259)))*(ACT_START&lt;=10)*(ACT_END&gt;=10)*IFERROR(ACT_UPLIFT-1,0)))*(1+SUMPRODUCT(SIGN(((ACT_DOOR_SCOPE="ALL")+(ACT_DOOR_SCOPE="TIER_"&amp;$F259)+(ACT_DOOR_SCOPE=$B259)))*SIGN(((ACT_SKU_SCOPE="ALL")+(ACT_SKU_SCOPE=$G259)))*(10&gt;ACT_END)*(ACT_END&gt;0)*IFERROR(ACT_POSTLIFT,0))),0)))</f>
        <v/>
      </c>
      <c r="T259" s="10">
        <f>IF(OR($H259&lt;&gt;"Y",11&lt;$I259),0,IF(SUMPRODUCT(((BULK_ENABLED="Y")*((BULK_TIER="ALL")+(BULK_TIER=$F259))*((BULK_SKU="ALL")+(BULK_SKU=$G259))*(BULK_START&lt;=11)*(BULK_END&gt;=11)))&gt;0,IFERROR(SUMPRODUCT(((BULK_ENABLED="Y")*((BULK_TIER="ALL")+(BULK_TIER=$F259))*((BULK_SKU="ALL")+(BULK_SKU=$G259))*(BULK_START&lt;=11)*(BULK_END&gt;=11))*IFERROR(BULK_VALUE,0))/MAX(1,SUMPRODUCT(((BULK_ENABLED="Y")*((BULK_TIER="ALL")+(BULK_TIER=$F259))*((BULK_SKU="ALL")+(BULK_SKU=$G259))*(BULK_START&lt;=11)*(BULK_END&gt;=11)))),0),ROUND((INDEX(VELOCITY_TABLE,MATCH($F259,TIER_LIST,0),3))*(IF((11-$I259+1)&lt;=0,0,IF((11-$I259+1)=1,RAMP_W1,IF((11-$I259+1)=2,RAMP_W2,IF((11-$I259+1)=3,RAMP_W3,RAMP_W4PLUS)))))*(INDEX(ACTIVE_MULT_TABLE,3,1))*(1+SUMPRODUCT(SIGN(((ACT_DOOR_SCOPE="ALL")+(ACT_DOOR_SCOPE="TIER_"&amp;$F259)+(ACT_DOOR_SCOPE=$B259)))*SIGN(((ACT_SKU_SCOPE="ALL")+(ACT_SKU_SCOPE=$G259)))*(ACT_START&lt;=11)*(ACT_END&gt;=11)*IFERROR(ACT_UPLIFT-1,0)))*(1+SUMPRODUCT(SIGN(((ACT_DOOR_SCOPE="ALL")+(ACT_DOOR_SCOPE="TIER_"&amp;$F259)+(ACT_DOOR_SCOPE=$B259)))*SIGN(((ACT_SKU_SCOPE="ALL")+(ACT_SKU_SCOPE=$G259)))*(11&gt;ACT_END)*(ACT_END&gt;0)*IFERROR(ACT_POSTLIFT,0))),0)))</f>
        <v/>
      </c>
      <c r="U259" s="10">
        <f>IF(OR($H259&lt;&gt;"Y",12&lt;$I259),0,IF(SUMPRODUCT(((BULK_ENABLED="Y")*((BULK_TIER="ALL")+(BULK_TIER=$F259))*((BULK_SKU="ALL")+(BULK_SKU=$G259))*(BULK_START&lt;=12)*(BULK_END&gt;=12)))&gt;0,IFERROR(SUMPRODUCT(((BULK_ENABLED="Y")*((BULK_TIER="ALL")+(BULK_TIER=$F259))*((BULK_SKU="ALL")+(BULK_SKU=$G259))*(BULK_START&lt;=12)*(BULK_END&gt;=12))*IFERROR(BULK_VALUE,0))/MAX(1,SUMPRODUCT(((BULK_ENABLED="Y")*((BULK_TIER="ALL")+(BULK_TIER=$F259))*((BULK_SKU="ALL")+(BULK_SKU=$G259))*(BULK_START&lt;=12)*(BULK_END&gt;=12)))),0),ROUND((INDEX(VELOCITY_TABLE,MATCH($F259,TIER_LIST,0),3))*(IF((12-$I259+1)&lt;=0,0,IF((12-$I259+1)=1,RAMP_W1,IF((12-$I259+1)=2,RAMP_W2,IF((12-$I259+1)=3,RAMP_W3,RAMP_W4PLUS)))))*(INDEX(ACTIVE_MULT_TABLE,3,1))*(1+SUMPRODUCT(SIGN(((ACT_DOOR_SCOPE="ALL")+(ACT_DOOR_SCOPE="TIER_"&amp;$F259)+(ACT_DOOR_SCOPE=$B259)))*SIGN(((ACT_SKU_SCOPE="ALL")+(ACT_SKU_SCOPE=$G259)))*(ACT_START&lt;=12)*(ACT_END&gt;=12)*IFERROR(ACT_UPLIFT-1,0)))*(1+SUMPRODUCT(SIGN(((ACT_DOOR_SCOPE="ALL")+(ACT_DOOR_SCOPE="TIER_"&amp;$F259)+(ACT_DOOR_SCOPE=$B259)))*SIGN(((ACT_SKU_SCOPE="ALL")+(ACT_SKU_SCOPE=$G259)))*(12&gt;ACT_END)*(ACT_END&gt;0)*IFERROR(ACT_POSTLIFT,0))),0)))</f>
        <v/>
      </c>
      <c r="V259" s="10">
        <f>IF(OR($H259&lt;&gt;"Y",13&lt;$I259),0,IF(SUMPRODUCT(((BULK_ENABLED="Y")*((BULK_TIER="ALL")+(BULK_TIER=$F259))*((BULK_SKU="ALL")+(BULK_SKU=$G259))*(BULK_START&lt;=13)*(BULK_END&gt;=13)))&gt;0,IFERROR(SUMPRODUCT(((BULK_ENABLED="Y")*((BULK_TIER="ALL")+(BULK_TIER=$F259))*((BULK_SKU="ALL")+(BULK_SKU=$G259))*(BULK_START&lt;=13)*(BULK_END&gt;=13))*IFERROR(BULK_VALUE,0))/MAX(1,SUMPRODUCT(((BULK_ENABLED="Y")*((BULK_TIER="ALL")+(BULK_TIER=$F259))*((BULK_SKU="ALL")+(BULK_SKU=$G259))*(BULK_START&lt;=13)*(BULK_END&gt;=13)))),0),ROUND((INDEX(VELOCITY_TABLE,MATCH($F259,TIER_LIST,0),3))*(IF((13-$I259+1)&lt;=0,0,IF((13-$I259+1)=1,RAMP_W1,IF((13-$I259+1)=2,RAMP_W2,IF((13-$I259+1)=3,RAMP_W3,RAMP_W4PLUS)))))*(INDEX(ACTIVE_MULT_TABLE,3,1))*(1+SUMPRODUCT(SIGN(((ACT_DOOR_SCOPE="ALL")+(ACT_DOOR_SCOPE="TIER_"&amp;$F259)+(ACT_DOOR_SCOPE=$B259)))*SIGN(((ACT_SKU_SCOPE="ALL")+(ACT_SKU_SCOPE=$G259)))*(ACT_START&lt;=13)*(ACT_END&gt;=13)*IFERROR(ACT_UPLIFT-1,0)))*(1+SUMPRODUCT(SIGN(((ACT_DOOR_SCOPE="ALL")+(ACT_DOOR_SCOPE="TIER_"&amp;$F259)+(ACT_DOOR_SCOPE=$B259)))*SIGN(((ACT_SKU_SCOPE="ALL")+(ACT_SKU_SCOPE=$G259)))*(13&gt;ACT_END)*(ACT_END&gt;0)*IFERROR(ACT_POSTLIFT,0))),0)))</f>
        <v/>
      </c>
    </row>
    <row r="260">
      <c r="A260" t="inlineStr">
        <is>
          <t>R0256</t>
        </is>
      </c>
      <c r="B260">
        <f>Doors!$A$90</f>
        <v/>
      </c>
      <c r="C260">
        <f>Doors!$C$90</f>
        <v/>
      </c>
      <c r="D260">
        <f>Doors!$B$90</f>
        <v/>
      </c>
      <c r="E260">
        <f>Doors!$E$90</f>
        <v/>
      </c>
      <c r="F260">
        <f>Doors!$F$90</f>
        <v/>
      </c>
      <c r="G260" t="inlineStr">
        <is>
          <t>Lime Lemon</t>
        </is>
      </c>
      <c r="H260">
        <f>Doors!$G$90</f>
        <v/>
      </c>
      <c r="I260">
        <f>Doors!$J$90</f>
        <v/>
      </c>
      <c r="J260" s="10">
        <f>IF(OR($H260&lt;&gt;"Y",1&lt;$I260),0,IF(SUMPRODUCT(((BULK_ENABLED="Y")*((BULK_TIER="ALL")+(BULK_TIER=$F260))*((BULK_SKU="ALL")+(BULK_SKU=$G260))*(BULK_START&lt;=1)*(BULK_END&gt;=1)))&gt;0,IFERROR(SUMPRODUCT(((BULK_ENABLED="Y")*((BULK_TIER="ALL")+(BULK_TIER=$F260))*((BULK_SKU="ALL")+(BULK_SKU=$G260))*(BULK_START&lt;=1)*(BULK_END&gt;=1))*IFERROR(BULK_VALUE,0))/MAX(1,SUMPRODUCT(((BULK_ENABLED="Y")*((BULK_TIER="ALL")+(BULK_TIER=$F260))*((BULK_SKU="ALL")+(BULK_SKU=$G260))*(BULK_START&lt;=1)*(BULK_END&gt;=1)))),0),ROUND((INDEX(VELOCITY_TABLE,MATCH($F260,TIER_LIST,0),1))*(IF((1-$I260+1)&lt;=0,0,IF((1-$I260+1)=1,RAMP_W1,IF((1-$I260+1)=2,RAMP_W2,IF((1-$I260+1)=3,RAMP_W3,RAMP_W4PLUS)))))*(INDEX(ACTIVE_MULT_TABLE,1,1))*(1+SUMPRODUCT(SIGN(((ACT_DOOR_SCOPE="ALL")+(ACT_DOOR_SCOPE="TIER_"&amp;$F260)+(ACT_DOOR_SCOPE=$B260)))*SIGN(((ACT_SKU_SCOPE="ALL")+(ACT_SKU_SCOPE=$G260)))*(ACT_START&lt;=1)*(ACT_END&gt;=1)*IFERROR(ACT_UPLIFT-1,0)))*(1+SUMPRODUCT(SIGN(((ACT_DOOR_SCOPE="ALL")+(ACT_DOOR_SCOPE="TIER_"&amp;$F260)+(ACT_DOOR_SCOPE=$B260)))*SIGN(((ACT_SKU_SCOPE="ALL")+(ACT_SKU_SCOPE=$G260)))*(1&gt;ACT_END)*(ACT_END&gt;0)*IFERROR(ACT_POSTLIFT,0))),0)))</f>
        <v/>
      </c>
      <c r="K260" s="10">
        <f>IF(OR($H260&lt;&gt;"Y",2&lt;$I260),0,IF(SUMPRODUCT(((BULK_ENABLED="Y")*((BULK_TIER="ALL")+(BULK_TIER=$F260))*((BULK_SKU="ALL")+(BULK_SKU=$G260))*(BULK_START&lt;=2)*(BULK_END&gt;=2)))&gt;0,IFERROR(SUMPRODUCT(((BULK_ENABLED="Y")*((BULK_TIER="ALL")+(BULK_TIER=$F260))*((BULK_SKU="ALL")+(BULK_SKU=$G260))*(BULK_START&lt;=2)*(BULK_END&gt;=2))*IFERROR(BULK_VALUE,0))/MAX(1,SUMPRODUCT(((BULK_ENABLED="Y")*((BULK_TIER="ALL")+(BULK_TIER=$F260))*((BULK_SKU="ALL")+(BULK_SKU=$G260))*(BULK_START&lt;=2)*(BULK_END&gt;=2)))),0),ROUND((INDEX(VELOCITY_TABLE,MATCH($F260,TIER_LIST,0),1))*(IF((2-$I260+1)&lt;=0,0,IF((2-$I260+1)=1,RAMP_W1,IF((2-$I260+1)=2,RAMP_W2,IF((2-$I260+1)=3,RAMP_W3,RAMP_W4PLUS)))))*(INDEX(ACTIVE_MULT_TABLE,1,1))*(1+SUMPRODUCT(SIGN(((ACT_DOOR_SCOPE="ALL")+(ACT_DOOR_SCOPE="TIER_"&amp;$F260)+(ACT_DOOR_SCOPE=$B260)))*SIGN(((ACT_SKU_SCOPE="ALL")+(ACT_SKU_SCOPE=$G260)))*(ACT_START&lt;=2)*(ACT_END&gt;=2)*IFERROR(ACT_UPLIFT-1,0)))*(1+SUMPRODUCT(SIGN(((ACT_DOOR_SCOPE="ALL")+(ACT_DOOR_SCOPE="TIER_"&amp;$F260)+(ACT_DOOR_SCOPE=$B260)))*SIGN(((ACT_SKU_SCOPE="ALL")+(ACT_SKU_SCOPE=$G260)))*(2&gt;ACT_END)*(ACT_END&gt;0)*IFERROR(ACT_POSTLIFT,0))),0)))</f>
        <v/>
      </c>
      <c r="L260" s="10">
        <f>IF(OR($H260&lt;&gt;"Y",3&lt;$I260),0,IF(SUMPRODUCT(((BULK_ENABLED="Y")*((BULK_TIER="ALL")+(BULK_TIER=$F260))*((BULK_SKU="ALL")+(BULK_SKU=$G260))*(BULK_START&lt;=3)*(BULK_END&gt;=3)))&gt;0,IFERROR(SUMPRODUCT(((BULK_ENABLED="Y")*((BULK_TIER="ALL")+(BULK_TIER=$F260))*((BULK_SKU="ALL")+(BULK_SKU=$G260))*(BULK_START&lt;=3)*(BULK_END&gt;=3))*IFERROR(BULK_VALUE,0))/MAX(1,SUMPRODUCT(((BULK_ENABLED="Y")*((BULK_TIER="ALL")+(BULK_TIER=$F260))*((BULK_SKU="ALL")+(BULK_SKU=$G260))*(BULK_START&lt;=3)*(BULK_END&gt;=3)))),0),ROUND((INDEX(VELOCITY_TABLE,MATCH($F260,TIER_LIST,0),1))*(IF((3-$I260+1)&lt;=0,0,IF((3-$I260+1)=1,RAMP_W1,IF((3-$I260+1)=2,RAMP_W2,IF((3-$I260+1)=3,RAMP_W3,RAMP_W4PLUS)))))*(INDEX(ACTIVE_MULT_TABLE,1,1))*(1+SUMPRODUCT(SIGN(((ACT_DOOR_SCOPE="ALL")+(ACT_DOOR_SCOPE="TIER_"&amp;$F260)+(ACT_DOOR_SCOPE=$B260)))*SIGN(((ACT_SKU_SCOPE="ALL")+(ACT_SKU_SCOPE=$G260)))*(ACT_START&lt;=3)*(ACT_END&gt;=3)*IFERROR(ACT_UPLIFT-1,0)))*(1+SUMPRODUCT(SIGN(((ACT_DOOR_SCOPE="ALL")+(ACT_DOOR_SCOPE="TIER_"&amp;$F260)+(ACT_DOOR_SCOPE=$B260)))*SIGN(((ACT_SKU_SCOPE="ALL")+(ACT_SKU_SCOPE=$G260)))*(3&gt;ACT_END)*(ACT_END&gt;0)*IFERROR(ACT_POSTLIFT,0))),0)))</f>
        <v/>
      </c>
      <c r="M260" s="10">
        <f>IF(OR($H260&lt;&gt;"Y",4&lt;$I260),0,IF(SUMPRODUCT(((BULK_ENABLED="Y")*((BULK_TIER="ALL")+(BULK_TIER=$F260))*((BULK_SKU="ALL")+(BULK_SKU=$G260))*(BULK_START&lt;=4)*(BULK_END&gt;=4)))&gt;0,IFERROR(SUMPRODUCT(((BULK_ENABLED="Y")*((BULK_TIER="ALL")+(BULK_TIER=$F260))*((BULK_SKU="ALL")+(BULK_SKU=$G260))*(BULK_START&lt;=4)*(BULK_END&gt;=4))*IFERROR(BULK_VALUE,0))/MAX(1,SUMPRODUCT(((BULK_ENABLED="Y")*((BULK_TIER="ALL")+(BULK_TIER=$F260))*((BULK_SKU="ALL")+(BULK_SKU=$G260))*(BULK_START&lt;=4)*(BULK_END&gt;=4)))),0),ROUND((INDEX(VELOCITY_TABLE,MATCH($F260,TIER_LIST,0),1))*(IF((4-$I260+1)&lt;=0,0,IF((4-$I260+1)=1,RAMP_W1,IF((4-$I260+1)=2,RAMP_W2,IF((4-$I260+1)=3,RAMP_W3,RAMP_W4PLUS)))))*(INDEX(ACTIVE_MULT_TABLE,1,1))*(1+SUMPRODUCT(SIGN(((ACT_DOOR_SCOPE="ALL")+(ACT_DOOR_SCOPE="TIER_"&amp;$F260)+(ACT_DOOR_SCOPE=$B260)))*SIGN(((ACT_SKU_SCOPE="ALL")+(ACT_SKU_SCOPE=$G260)))*(ACT_START&lt;=4)*(ACT_END&gt;=4)*IFERROR(ACT_UPLIFT-1,0)))*(1+SUMPRODUCT(SIGN(((ACT_DOOR_SCOPE="ALL")+(ACT_DOOR_SCOPE="TIER_"&amp;$F260)+(ACT_DOOR_SCOPE=$B260)))*SIGN(((ACT_SKU_SCOPE="ALL")+(ACT_SKU_SCOPE=$G260)))*(4&gt;ACT_END)*(ACT_END&gt;0)*IFERROR(ACT_POSTLIFT,0))),0)))</f>
        <v/>
      </c>
      <c r="N260" s="10">
        <f>IF(OR($H260&lt;&gt;"Y",5&lt;$I260),0,IF(SUMPRODUCT(((BULK_ENABLED="Y")*((BULK_TIER="ALL")+(BULK_TIER=$F260))*((BULK_SKU="ALL")+(BULK_SKU=$G260))*(BULK_START&lt;=5)*(BULK_END&gt;=5)))&gt;0,IFERROR(SUMPRODUCT(((BULK_ENABLED="Y")*((BULK_TIER="ALL")+(BULK_TIER=$F260))*((BULK_SKU="ALL")+(BULK_SKU=$G260))*(BULK_START&lt;=5)*(BULK_END&gt;=5))*IFERROR(BULK_VALUE,0))/MAX(1,SUMPRODUCT(((BULK_ENABLED="Y")*((BULK_TIER="ALL")+(BULK_TIER=$F260))*((BULK_SKU="ALL")+(BULK_SKU=$G260))*(BULK_START&lt;=5)*(BULK_END&gt;=5)))),0),ROUND((INDEX(VELOCITY_TABLE,MATCH($F260,TIER_LIST,0),1))*(IF((5-$I260+1)&lt;=0,0,IF((5-$I260+1)=1,RAMP_W1,IF((5-$I260+1)=2,RAMP_W2,IF((5-$I260+1)=3,RAMP_W3,RAMP_W4PLUS)))))*(INDEX(ACTIVE_MULT_TABLE,1,1))*(1+SUMPRODUCT(SIGN(((ACT_DOOR_SCOPE="ALL")+(ACT_DOOR_SCOPE="TIER_"&amp;$F260)+(ACT_DOOR_SCOPE=$B260)))*SIGN(((ACT_SKU_SCOPE="ALL")+(ACT_SKU_SCOPE=$G260)))*(ACT_START&lt;=5)*(ACT_END&gt;=5)*IFERROR(ACT_UPLIFT-1,0)))*(1+SUMPRODUCT(SIGN(((ACT_DOOR_SCOPE="ALL")+(ACT_DOOR_SCOPE="TIER_"&amp;$F260)+(ACT_DOOR_SCOPE=$B260)))*SIGN(((ACT_SKU_SCOPE="ALL")+(ACT_SKU_SCOPE=$G260)))*(5&gt;ACT_END)*(ACT_END&gt;0)*IFERROR(ACT_POSTLIFT,0))),0)))</f>
        <v/>
      </c>
      <c r="O260" s="10">
        <f>IF(OR($H260&lt;&gt;"Y",6&lt;$I260),0,IF(SUMPRODUCT(((BULK_ENABLED="Y")*((BULK_TIER="ALL")+(BULK_TIER=$F260))*((BULK_SKU="ALL")+(BULK_SKU=$G260))*(BULK_START&lt;=6)*(BULK_END&gt;=6)))&gt;0,IFERROR(SUMPRODUCT(((BULK_ENABLED="Y")*((BULK_TIER="ALL")+(BULK_TIER=$F260))*((BULK_SKU="ALL")+(BULK_SKU=$G260))*(BULK_START&lt;=6)*(BULK_END&gt;=6))*IFERROR(BULK_VALUE,0))/MAX(1,SUMPRODUCT(((BULK_ENABLED="Y")*((BULK_TIER="ALL")+(BULK_TIER=$F260))*((BULK_SKU="ALL")+(BULK_SKU=$G260))*(BULK_START&lt;=6)*(BULK_END&gt;=6)))),0),ROUND((INDEX(VELOCITY_TABLE,MATCH($F260,TIER_LIST,0),1))*(IF((6-$I260+1)&lt;=0,0,IF((6-$I260+1)=1,RAMP_W1,IF((6-$I260+1)=2,RAMP_W2,IF((6-$I260+1)=3,RAMP_W3,RAMP_W4PLUS)))))*(INDEX(ACTIVE_MULT_TABLE,1,1))*(1+SUMPRODUCT(SIGN(((ACT_DOOR_SCOPE="ALL")+(ACT_DOOR_SCOPE="TIER_"&amp;$F260)+(ACT_DOOR_SCOPE=$B260)))*SIGN(((ACT_SKU_SCOPE="ALL")+(ACT_SKU_SCOPE=$G260)))*(ACT_START&lt;=6)*(ACT_END&gt;=6)*IFERROR(ACT_UPLIFT-1,0)))*(1+SUMPRODUCT(SIGN(((ACT_DOOR_SCOPE="ALL")+(ACT_DOOR_SCOPE="TIER_"&amp;$F260)+(ACT_DOOR_SCOPE=$B260)))*SIGN(((ACT_SKU_SCOPE="ALL")+(ACT_SKU_SCOPE=$G260)))*(6&gt;ACT_END)*(ACT_END&gt;0)*IFERROR(ACT_POSTLIFT,0))),0)))</f>
        <v/>
      </c>
      <c r="P260" s="10">
        <f>IF(OR($H260&lt;&gt;"Y",7&lt;$I260),0,IF(SUMPRODUCT(((BULK_ENABLED="Y")*((BULK_TIER="ALL")+(BULK_TIER=$F260))*((BULK_SKU="ALL")+(BULK_SKU=$G260))*(BULK_START&lt;=7)*(BULK_END&gt;=7)))&gt;0,IFERROR(SUMPRODUCT(((BULK_ENABLED="Y")*((BULK_TIER="ALL")+(BULK_TIER=$F260))*((BULK_SKU="ALL")+(BULK_SKU=$G260))*(BULK_START&lt;=7)*(BULK_END&gt;=7))*IFERROR(BULK_VALUE,0))/MAX(1,SUMPRODUCT(((BULK_ENABLED="Y")*((BULK_TIER="ALL")+(BULK_TIER=$F260))*((BULK_SKU="ALL")+(BULK_SKU=$G260))*(BULK_START&lt;=7)*(BULK_END&gt;=7)))),0),ROUND((INDEX(VELOCITY_TABLE,MATCH($F260,TIER_LIST,0),1))*(IF((7-$I260+1)&lt;=0,0,IF((7-$I260+1)=1,RAMP_W1,IF((7-$I260+1)=2,RAMP_W2,IF((7-$I260+1)=3,RAMP_W3,RAMP_W4PLUS)))))*(INDEX(ACTIVE_MULT_TABLE,1,1))*(1+SUMPRODUCT(SIGN(((ACT_DOOR_SCOPE="ALL")+(ACT_DOOR_SCOPE="TIER_"&amp;$F260)+(ACT_DOOR_SCOPE=$B260)))*SIGN(((ACT_SKU_SCOPE="ALL")+(ACT_SKU_SCOPE=$G260)))*(ACT_START&lt;=7)*(ACT_END&gt;=7)*IFERROR(ACT_UPLIFT-1,0)))*(1+SUMPRODUCT(SIGN(((ACT_DOOR_SCOPE="ALL")+(ACT_DOOR_SCOPE="TIER_"&amp;$F260)+(ACT_DOOR_SCOPE=$B260)))*SIGN(((ACT_SKU_SCOPE="ALL")+(ACT_SKU_SCOPE=$G260)))*(7&gt;ACT_END)*(ACT_END&gt;0)*IFERROR(ACT_POSTLIFT,0))),0)))</f>
        <v/>
      </c>
      <c r="Q260" s="10">
        <f>IF(OR($H260&lt;&gt;"Y",8&lt;$I260),0,IF(SUMPRODUCT(((BULK_ENABLED="Y")*((BULK_TIER="ALL")+(BULK_TIER=$F260))*((BULK_SKU="ALL")+(BULK_SKU=$G260))*(BULK_START&lt;=8)*(BULK_END&gt;=8)))&gt;0,IFERROR(SUMPRODUCT(((BULK_ENABLED="Y")*((BULK_TIER="ALL")+(BULK_TIER=$F260))*((BULK_SKU="ALL")+(BULK_SKU=$G260))*(BULK_START&lt;=8)*(BULK_END&gt;=8))*IFERROR(BULK_VALUE,0))/MAX(1,SUMPRODUCT(((BULK_ENABLED="Y")*((BULK_TIER="ALL")+(BULK_TIER=$F260))*((BULK_SKU="ALL")+(BULK_SKU=$G260))*(BULK_START&lt;=8)*(BULK_END&gt;=8)))),0),ROUND((INDEX(VELOCITY_TABLE,MATCH($F260,TIER_LIST,0),1))*(IF((8-$I260+1)&lt;=0,0,IF((8-$I260+1)=1,RAMP_W1,IF((8-$I260+1)=2,RAMP_W2,IF((8-$I260+1)=3,RAMP_W3,RAMP_W4PLUS)))))*(INDEX(ACTIVE_MULT_TABLE,1,1))*(1+SUMPRODUCT(SIGN(((ACT_DOOR_SCOPE="ALL")+(ACT_DOOR_SCOPE="TIER_"&amp;$F260)+(ACT_DOOR_SCOPE=$B260)))*SIGN(((ACT_SKU_SCOPE="ALL")+(ACT_SKU_SCOPE=$G260)))*(ACT_START&lt;=8)*(ACT_END&gt;=8)*IFERROR(ACT_UPLIFT-1,0)))*(1+SUMPRODUCT(SIGN(((ACT_DOOR_SCOPE="ALL")+(ACT_DOOR_SCOPE="TIER_"&amp;$F260)+(ACT_DOOR_SCOPE=$B260)))*SIGN(((ACT_SKU_SCOPE="ALL")+(ACT_SKU_SCOPE=$G260)))*(8&gt;ACT_END)*(ACT_END&gt;0)*IFERROR(ACT_POSTLIFT,0))),0)))</f>
        <v/>
      </c>
      <c r="R260" s="10">
        <f>IF(OR($H260&lt;&gt;"Y",9&lt;$I260),0,IF(SUMPRODUCT(((BULK_ENABLED="Y")*((BULK_TIER="ALL")+(BULK_TIER=$F260))*((BULK_SKU="ALL")+(BULK_SKU=$G260))*(BULK_START&lt;=9)*(BULK_END&gt;=9)))&gt;0,IFERROR(SUMPRODUCT(((BULK_ENABLED="Y")*((BULK_TIER="ALL")+(BULK_TIER=$F260))*((BULK_SKU="ALL")+(BULK_SKU=$G260))*(BULK_START&lt;=9)*(BULK_END&gt;=9))*IFERROR(BULK_VALUE,0))/MAX(1,SUMPRODUCT(((BULK_ENABLED="Y")*((BULK_TIER="ALL")+(BULK_TIER=$F260))*((BULK_SKU="ALL")+(BULK_SKU=$G260))*(BULK_START&lt;=9)*(BULK_END&gt;=9)))),0),ROUND((INDEX(VELOCITY_TABLE,MATCH($F260,TIER_LIST,0),1))*(IF((9-$I260+1)&lt;=0,0,IF((9-$I260+1)=1,RAMP_W1,IF((9-$I260+1)=2,RAMP_W2,IF((9-$I260+1)=3,RAMP_W3,RAMP_W4PLUS)))))*(INDEX(ACTIVE_MULT_TABLE,1,1))*(1+SUMPRODUCT(SIGN(((ACT_DOOR_SCOPE="ALL")+(ACT_DOOR_SCOPE="TIER_"&amp;$F260)+(ACT_DOOR_SCOPE=$B260)))*SIGN(((ACT_SKU_SCOPE="ALL")+(ACT_SKU_SCOPE=$G260)))*(ACT_START&lt;=9)*(ACT_END&gt;=9)*IFERROR(ACT_UPLIFT-1,0)))*(1+SUMPRODUCT(SIGN(((ACT_DOOR_SCOPE="ALL")+(ACT_DOOR_SCOPE="TIER_"&amp;$F260)+(ACT_DOOR_SCOPE=$B260)))*SIGN(((ACT_SKU_SCOPE="ALL")+(ACT_SKU_SCOPE=$G260)))*(9&gt;ACT_END)*(ACT_END&gt;0)*IFERROR(ACT_POSTLIFT,0))),0)))</f>
        <v/>
      </c>
      <c r="S260" s="10">
        <f>IF(OR($H260&lt;&gt;"Y",10&lt;$I260),0,IF(SUMPRODUCT(((BULK_ENABLED="Y")*((BULK_TIER="ALL")+(BULK_TIER=$F260))*((BULK_SKU="ALL")+(BULK_SKU=$G260))*(BULK_START&lt;=10)*(BULK_END&gt;=10)))&gt;0,IFERROR(SUMPRODUCT(((BULK_ENABLED="Y")*((BULK_TIER="ALL")+(BULK_TIER=$F260))*((BULK_SKU="ALL")+(BULK_SKU=$G260))*(BULK_START&lt;=10)*(BULK_END&gt;=10))*IFERROR(BULK_VALUE,0))/MAX(1,SUMPRODUCT(((BULK_ENABLED="Y")*((BULK_TIER="ALL")+(BULK_TIER=$F260))*((BULK_SKU="ALL")+(BULK_SKU=$G260))*(BULK_START&lt;=10)*(BULK_END&gt;=10)))),0),ROUND((INDEX(VELOCITY_TABLE,MATCH($F260,TIER_LIST,0),1))*(IF((10-$I260+1)&lt;=0,0,IF((10-$I260+1)=1,RAMP_W1,IF((10-$I260+1)=2,RAMP_W2,IF((10-$I260+1)=3,RAMP_W3,RAMP_W4PLUS)))))*(INDEX(ACTIVE_MULT_TABLE,1,1))*(1+SUMPRODUCT(SIGN(((ACT_DOOR_SCOPE="ALL")+(ACT_DOOR_SCOPE="TIER_"&amp;$F260)+(ACT_DOOR_SCOPE=$B260)))*SIGN(((ACT_SKU_SCOPE="ALL")+(ACT_SKU_SCOPE=$G260)))*(ACT_START&lt;=10)*(ACT_END&gt;=10)*IFERROR(ACT_UPLIFT-1,0)))*(1+SUMPRODUCT(SIGN(((ACT_DOOR_SCOPE="ALL")+(ACT_DOOR_SCOPE="TIER_"&amp;$F260)+(ACT_DOOR_SCOPE=$B260)))*SIGN(((ACT_SKU_SCOPE="ALL")+(ACT_SKU_SCOPE=$G260)))*(10&gt;ACT_END)*(ACT_END&gt;0)*IFERROR(ACT_POSTLIFT,0))),0)))</f>
        <v/>
      </c>
      <c r="T260" s="10">
        <f>IF(OR($H260&lt;&gt;"Y",11&lt;$I260),0,IF(SUMPRODUCT(((BULK_ENABLED="Y")*((BULK_TIER="ALL")+(BULK_TIER=$F260))*((BULK_SKU="ALL")+(BULK_SKU=$G260))*(BULK_START&lt;=11)*(BULK_END&gt;=11)))&gt;0,IFERROR(SUMPRODUCT(((BULK_ENABLED="Y")*((BULK_TIER="ALL")+(BULK_TIER=$F260))*((BULK_SKU="ALL")+(BULK_SKU=$G260))*(BULK_START&lt;=11)*(BULK_END&gt;=11))*IFERROR(BULK_VALUE,0))/MAX(1,SUMPRODUCT(((BULK_ENABLED="Y")*((BULK_TIER="ALL")+(BULK_TIER=$F260))*((BULK_SKU="ALL")+(BULK_SKU=$G260))*(BULK_START&lt;=11)*(BULK_END&gt;=11)))),0),ROUND((INDEX(VELOCITY_TABLE,MATCH($F260,TIER_LIST,0),1))*(IF((11-$I260+1)&lt;=0,0,IF((11-$I260+1)=1,RAMP_W1,IF((11-$I260+1)=2,RAMP_W2,IF((11-$I260+1)=3,RAMP_W3,RAMP_W4PLUS)))))*(INDEX(ACTIVE_MULT_TABLE,1,1))*(1+SUMPRODUCT(SIGN(((ACT_DOOR_SCOPE="ALL")+(ACT_DOOR_SCOPE="TIER_"&amp;$F260)+(ACT_DOOR_SCOPE=$B260)))*SIGN(((ACT_SKU_SCOPE="ALL")+(ACT_SKU_SCOPE=$G260)))*(ACT_START&lt;=11)*(ACT_END&gt;=11)*IFERROR(ACT_UPLIFT-1,0)))*(1+SUMPRODUCT(SIGN(((ACT_DOOR_SCOPE="ALL")+(ACT_DOOR_SCOPE="TIER_"&amp;$F260)+(ACT_DOOR_SCOPE=$B260)))*SIGN(((ACT_SKU_SCOPE="ALL")+(ACT_SKU_SCOPE=$G260)))*(11&gt;ACT_END)*(ACT_END&gt;0)*IFERROR(ACT_POSTLIFT,0))),0)))</f>
        <v/>
      </c>
      <c r="U260" s="10">
        <f>IF(OR($H260&lt;&gt;"Y",12&lt;$I260),0,IF(SUMPRODUCT(((BULK_ENABLED="Y")*((BULK_TIER="ALL")+(BULK_TIER=$F260))*((BULK_SKU="ALL")+(BULK_SKU=$G260))*(BULK_START&lt;=12)*(BULK_END&gt;=12)))&gt;0,IFERROR(SUMPRODUCT(((BULK_ENABLED="Y")*((BULK_TIER="ALL")+(BULK_TIER=$F260))*((BULK_SKU="ALL")+(BULK_SKU=$G260))*(BULK_START&lt;=12)*(BULK_END&gt;=12))*IFERROR(BULK_VALUE,0))/MAX(1,SUMPRODUCT(((BULK_ENABLED="Y")*((BULK_TIER="ALL")+(BULK_TIER=$F260))*((BULK_SKU="ALL")+(BULK_SKU=$G260))*(BULK_START&lt;=12)*(BULK_END&gt;=12)))),0),ROUND((INDEX(VELOCITY_TABLE,MATCH($F260,TIER_LIST,0),1))*(IF((12-$I260+1)&lt;=0,0,IF((12-$I260+1)=1,RAMP_W1,IF((12-$I260+1)=2,RAMP_W2,IF((12-$I260+1)=3,RAMP_W3,RAMP_W4PLUS)))))*(INDEX(ACTIVE_MULT_TABLE,1,1))*(1+SUMPRODUCT(SIGN(((ACT_DOOR_SCOPE="ALL")+(ACT_DOOR_SCOPE="TIER_"&amp;$F260)+(ACT_DOOR_SCOPE=$B260)))*SIGN(((ACT_SKU_SCOPE="ALL")+(ACT_SKU_SCOPE=$G260)))*(ACT_START&lt;=12)*(ACT_END&gt;=12)*IFERROR(ACT_UPLIFT-1,0)))*(1+SUMPRODUCT(SIGN(((ACT_DOOR_SCOPE="ALL")+(ACT_DOOR_SCOPE="TIER_"&amp;$F260)+(ACT_DOOR_SCOPE=$B260)))*SIGN(((ACT_SKU_SCOPE="ALL")+(ACT_SKU_SCOPE=$G260)))*(12&gt;ACT_END)*(ACT_END&gt;0)*IFERROR(ACT_POSTLIFT,0))),0)))</f>
        <v/>
      </c>
      <c r="V260" s="10">
        <f>IF(OR($H260&lt;&gt;"Y",13&lt;$I260),0,IF(SUMPRODUCT(((BULK_ENABLED="Y")*((BULK_TIER="ALL")+(BULK_TIER=$F260))*((BULK_SKU="ALL")+(BULK_SKU=$G260))*(BULK_START&lt;=13)*(BULK_END&gt;=13)))&gt;0,IFERROR(SUMPRODUCT(((BULK_ENABLED="Y")*((BULK_TIER="ALL")+(BULK_TIER=$F260))*((BULK_SKU="ALL")+(BULK_SKU=$G260))*(BULK_START&lt;=13)*(BULK_END&gt;=13))*IFERROR(BULK_VALUE,0))/MAX(1,SUMPRODUCT(((BULK_ENABLED="Y")*((BULK_TIER="ALL")+(BULK_TIER=$F260))*((BULK_SKU="ALL")+(BULK_SKU=$G260))*(BULK_START&lt;=13)*(BULK_END&gt;=13)))),0),ROUND((INDEX(VELOCITY_TABLE,MATCH($F260,TIER_LIST,0),1))*(IF((13-$I260+1)&lt;=0,0,IF((13-$I260+1)=1,RAMP_W1,IF((13-$I260+1)=2,RAMP_W2,IF((13-$I260+1)=3,RAMP_W3,RAMP_W4PLUS)))))*(INDEX(ACTIVE_MULT_TABLE,1,1))*(1+SUMPRODUCT(SIGN(((ACT_DOOR_SCOPE="ALL")+(ACT_DOOR_SCOPE="TIER_"&amp;$F260)+(ACT_DOOR_SCOPE=$B260)))*SIGN(((ACT_SKU_SCOPE="ALL")+(ACT_SKU_SCOPE=$G260)))*(ACT_START&lt;=13)*(ACT_END&gt;=13)*IFERROR(ACT_UPLIFT-1,0)))*(1+SUMPRODUCT(SIGN(((ACT_DOOR_SCOPE="ALL")+(ACT_DOOR_SCOPE="TIER_"&amp;$F260)+(ACT_DOOR_SCOPE=$B260)))*SIGN(((ACT_SKU_SCOPE="ALL")+(ACT_SKU_SCOPE=$G260)))*(13&gt;ACT_END)*(ACT_END&gt;0)*IFERROR(ACT_POSTLIFT,0))),0)))</f>
        <v/>
      </c>
    </row>
    <row r="261">
      <c r="A261" t="inlineStr">
        <is>
          <t>R0257</t>
        </is>
      </c>
      <c r="B261">
        <f>Doors!$A$90</f>
        <v/>
      </c>
      <c r="C261">
        <f>Doors!$C$90</f>
        <v/>
      </c>
      <c r="D261">
        <f>Doors!$B$90</f>
        <v/>
      </c>
      <c r="E261">
        <f>Doors!$E$90</f>
        <v/>
      </c>
      <c r="F261">
        <f>Doors!$F$90</f>
        <v/>
      </c>
      <c r="G261" t="inlineStr">
        <is>
          <t>Pineapple Passion Fruit</t>
        </is>
      </c>
      <c r="H261">
        <f>Doors!$H$90</f>
        <v/>
      </c>
      <c r="I261">
        <f>Doors!$J$90</f>
        <v/>
      </c>
      <c r="J261" s="10">
        <f>IF(OR($H261&lt;&gt;"Y",1&lt;$I261),0,IF(SUMPRODUCT(((BULK_ENABLED="Y")*((BULK_TIER="ALL")+(BULK_TIER=$F261))*((BULK_SKU="ALL")+(BULK_SKU=$G261))*(BULK_START&lt;=1)*(BULK_END&gt;=1)))&gt;0,IFERROR(SUMPRODUCT(((BULK_ENABLED="Y")*((BULK_TIER="ALL")+(BULK_TIER=$F261))*((BULK_SKU="ALL")+(BULK_SKU=$G261))*(BULK_START&lt;=1)*(BULK_END&gt;=1))*IFERROR(BULK_VALUE,0))/MAX(1,SUMPRODUCT(((BULK_ENABLED="Y")*((BULK_TIER="ALL")+(BULK_TIER=$F261))*((BULK_SKU="ALL")+(BULK_SKU=$G261))*(BULK_START&lt;=1)*(BULK_END&gt;=1)))),0),ROUND((INDEX(VELOCITY_TABLE,MATCH($F261,TIER_LIST,0),2))*(IF((1-$I261+1)&lt;=0,0,IF((1-$I261+1)=1,RAMP_W1,IF((1-$I261+1)=2,RAMP_W2,IF((1-$I261+1)=3,RAMP_W3,RAMP_W4PLUS)))))*(INDEX(ACTIVE_MULT_TABLE,2,1))*(1+SUMPRODUCT(SIGN(((ACT_DOOR_SCOPE="ALL")+(ACT_DOOR_SCOPE="TIER_"&amp;$F261)+(ACT_DOOR_SCOPE=$B261)))*SIGN(((ACT_SKU_SCOPE="ALL")+(ACT_SKU_SCOPE=$G261)))*(ACT_START&lt;=1)*(ACT_END&gt;=1)*IFERROR(ACT_UPLIFT-1,0)))*(1+SUMPRODUCT(SIGN(((ACT_DOOR_SCOPE="ALL")+(ACT_DOOR_SCOPE="TIER_"&amp;$F261)+(ACT_DOOR_SCOPE=$B261)))*SIGN(((ACT_SKU_SCOPE="ALL")+(ACT_SKU_SCOPE=$G261)))*(1&gt;ACT_END)*(ACT_END&gt;0)*IFERROR(ACT_POSTLIFT,0))),0)))</f>
        <v/>
      </c>
      <c r="K261" s="10">
        <f>IF(OR($H261&lt;&gt;"Y",2&lt;$I261),0,IF(SUMPRODUCT(((BULK_ENABLED="Y")*((BULK_TIER="ALL")+(BULK_TIER=$F261))*((BULK_SKU="ALL")+(BULK_SKU=$G261))*(BULK_START&lt;=2)*(BULK_END&gt;=2)))&gt;0,IFERROR(SUMPRODUCT(((BULK_ENABLED="Y")*((BULK_TIER="ALL")+(BULK_TIER=$F261))*((BULK_SKU="ALL")+(BULK_SKU=$G261))*(BULK_START&lt;=2)*(BULK_END&gt;=2))*IFERROR(BULK_VALUE,0))/MAX(1,SUMPRODUCT(((BULK_ENABLED="Y")*((BULK_TIER="ALL")+(BULK_TIER=$F261))*((BULK_SKU="ALL")+(BULK_SKU=$G261))*(BULK_START&lt;=2)*(BULK_END&gt;=2)))),0),ROUND((INDEX(VELOCITY_TABLE,MATCH($F261,TIER_LIST,0),2))*(IF((2-$I261+1)&lt;=0,0,IF((2-$I261+1)=1,RAMP_W1,IF((2-$I261+1)=2,RAMP_W2,IF((2-$I261+1)=3,RAMP_W3,RAMP_W4PLUS)))))*(INDEX(ACTIVE_MULT_TABLE,2,1))*(1+SUMPRODUCT(SIGN(((ACT_DOOR_SCOPE="ALL")+(ACT_DOOR_SCOPE="TIER_"&amp;$F261)+(ACT_DOOR_SCOPE=$B261)))*SIGN(((ACT_SKU_SCOPE="ALL")+(ACT_SKU_SCOPE=$G261)))*(ACT_START&lt;=2)*(ACT_END&gt;=2)*IFERROR(ACT_UPLIFT-1,0)))*(1+SUMPRODUCT(SIGN(((ACT_DOOR_SCOPE="ALL")+(ACT_DOOR_SCOPE="TIER_"&amp;$F261)+(ACT_DOOR_SCOPE=$B261)))*SIGN(((ACT_SKU_SCOPE="ALL")+(ACT_SKU_SCOPE=$G261)))*(2&gt;ACT_END)*(ACT_END&gt;0)*IFERROR(ACT_POSTLIFT,0))),0)))</f>
        <v/>
      </c>
      <c r="L261" s="10">
        <f>IF(OR($H261&lt;&gt;"Y",3&lt;$I261),0,IF(SUMPRODUCT(((BULK_ENABLED="Y")*((BULK_TIER="ALL")+(BULK_TIER=$F261))*((BULK_SKU="ALL")+(BULK_SKU=$G261))*(BULK_START&lt;=3)*(BULK_END&gt;=3)))&gt;0,IFERROR(SUMPRODUCT(((BULK_ENABLED="Y")*((BULK_TIER="ALL")+(BULK_TIER=$F261))*((BULK_SKU="ALL")+(BULK_SKU=$G261))*(BULK_START&lt;=3)*(BULK_END&gt;=3))*IFERROR(BULK_VALUE,0))/MAX(1,SUMPRODUCT(((BULK_ENABLED="Y")*((BULK_TIER="ALL")+(BULK_TIER=$F261))*((BULK_SKU="ALL")+(BULK_SKU=$G261))*(BULK_START&lt;=3)*(BULK_END&gt;=3)))),0),ROUND((INDEX(VELOCITY_TABLE,MATCH($F261,TIER_LIST,0),2))*(IF((3-$I261+1)&lt;=0,0,IF((3-$I261+1)=1,RAMP_W1,IF((3-$I261+1)=2,RAMP_W2,IF((3-$I261+1)=3,RAMP_W3,RAMP_W4PLUS)))))*(INDEX(ACTIVE_MULT_TABLE,2,1))*(1+SUMPRODUCT(SIGN(((ACT_DOOR_SCOPE="ALL")+(ACT_DOOR_SCOPE="TIER_"&amp;$F261)+(ACT_DOOR_SCOPE=$B261)))*SIGN(((ACT_SKU_SCOPE="ALL")+(ACT_SKU_SCOPE=$G261)))*(ACT_START&lt;=3)*(ACT_END&gt;=3)*IFERROR(ACT_UPLIFT-1,0)))*(1+SUMPRODUCT(SIGN(((ACT_DOOR_SCOPE="ALL")+(ACT_DOOR_SCOPE="TIER_"&amp;$F261)+(ACT_DOOR_SCOPE=$B261)))*SIGN(((ACT_SKU_SCOPE="ALL")+(ACT_SKU_SCOPE=$G261)))*(3&gt;ACT_END)*(ACT_END&gt;0)*IFERROR(ACT_POSTLIFT,0))),0)))</f>
        <v/>
      </c>
      <c r="M261" s="10">
        <f>IF(OR($H261&lt;&gt;"Y",4&lt;$I261),0,IF(SUMPRODUCT(((BULK_ENABLED="Y")*((BULK_TIER="ALL")+(BULK_TIER=$F261))*((BULK_SKU="ALL")+(BULK_SKU=$G261))*(BULK_START&lt;=4)*(BULK_END&gt;=4)))&gt;0,IFERROR(SUMPRODUCT(((BULK_ENABLED="Y")*((BULK_TIER="ALL")+(BULK_TIER=$F261))*((BULK_SKU="ALL")+(BULK_SKU=$G261))*(BULK_START&lt;=4)*(BULK_END&gt;=4))*IFERROR(BULK_VALUE,0))/MAX(1,SUMPRODUCT(((BULK_ENABLED="Y")*((BULK_TIER="ALL")+(BULK_TIER=$F261))*((BULK_SKU="ALL")+(BULK_SKU=$G261))*(BULK_START&lt;=4)*(BULK_END&gt;=4)))),0),ROUND((INDEX(VELOCITY_TABLE,MATCH($F261,TIER_LIST,0),2))*(IF((4-$I261+1)&lt;=0,0,IF((4-$I261+1)=1,RAMP_W1,IF((4-$I261+1)=2,RAMP_W2,IF((4-$I261+1)=3,RAMP_W3,RAMP_W4PLUS)))))*(INDEX(ACTIVE_MULT_TABLE,2,1))*(1+SUMPRODUCT(SIGN(((ACT_DOOR_SCOPE="ALL")+(ACT_DOOR_SCOPE="TIER_"&amp;$F261)+(ACT_DOOR_SCOPE=$B261)))*SIGN(((ACT_SKU_SCOPE="ALL")+(ACT_SKU_SCOPE=$G261)))*(ACT_START&lt;=4)*(ACT_END&gt;=4)*IFERROR(ACT_UPLIFT-1,0)))*(1+SUMPRODUCT(SIGN(((ACT_DOOR_SCOPE="ALL")+(ACT_DOOR_SCOPE="TIER_"&amp;$F261)+(ACT_DOOR_SCOPE=$B261)))*SIGN(((ACT_SKU_SCOPE="ALL")+(ACT_SKU_SCOPE=$G261)))*(4&gt;ACT_END)*(ACT_END&gt;0)*IFERROR(ACT_POSTLIFT,0))),0)))</f>
        <v/>
      </c>
      <c r="N261" s="10">
        <f>IF(OR($H261&lt;&gt;"Y",5&lt;$I261),0,IF(SUMPRODUCT(((BULK_ENABLED="Y")*((BULK_TIER="ALL")+(BULK_TIER=$F261))*((BULK_SKU="ALL")+(BULK_SKU=$G261))*(BULK_START&lt;=5)*(BULK_END&gt;=5)))&gt;0,IFERROR(SUMPRODUCT(((BULK_ENABLED="Y")*((BULK_TIER="ALL")+(BULK_TIER=$F261))*((BULK_SKU="ALL")+(BULK_SKU=$G261))*(BULK_START&lt;=5)*(BULK_END&gt;=5))*IFERROR(BULK_VALUE,0))/MAX(1,SUMPRODUCT(((BULK_ENABLED="Y")*((BULK_TIER="ALL")+(BULK_TIER=$F261))*((BULK_SKU="ALL")+(BULK_SKU=$G261))*(BULK_START&lt;=5)*(BULK_END&gt;=5)))),0),ROUND((INDEX(VELOCITY_TABLE,MATCH($F261,TIER_LIST,0),2))*(IF((5-$I261+1)&lt;=0,0,IF((5-$I261+1)=1,RAMP_W1,IF((5-$I261+1)=2,RAMP_W2,IF((5-$I261+1)=3,RAMP_W3,RAMP_W4PLUS)))))*(INDEX(ACTIVE_MULT_TABLE,2,1))*(1+SUMPRODUCT(SIGN(((ACT_DOOR_SCOPE="ALL")+(ACT_DOOR_SCOPE="TIER_"&amp;$F261)+(ACT_DOOR_SCOPE=$B261)))*SIGN(((ACT_SKU_SCOPE="ALL")+(ACT_SKU_SCOPE=$G261)))*(ACT_START&lt;=5)*(ACT_END&gt;=5)*IFERROR(ACT_UPLIFT-1,0)))*(1+SUMPRODUCT(SIGN(((ACT_DOOR_SCOPE="ALL")+(ACT_DOOR_SCOPE="TIER_"&amp;$F261)+(ACT_DOOR_SCOPE=$B261)))*SIGN(((ACT_SKU_SCOPE="ALL")+(ACT_SKU_SCOPE=$G261)))*(5&gt;ACT_END)*(ACT_END&gt;0)*IFERROR(ACT_POSTLIFT,0))),0)))</f>
        <v/>
      </c>
      <c r="O261" s="10">
        <f>IF(OR($H261&lt;&gt;"Y",6&lt;$I261),0,IF(SUMPRODUCT(((BULK_ENABLED="Y")*((BULK_TIER="ALL")+(BULK_TIER=$F261))*((BULK_SKU="ALL")+(BULK_SKU=$G261))*(BULK_START&lt;=6)*(BULK_END&gt;=6)))&gt;0,IFERROR(SUMPRODUCT(((BULK_ENABLED="Y")*((BULK_TIER="ALL")+(BULK_TIER=$F261))*((BULK_SKU="ALL")+(BULK_SKU=$G261))*(BULK_START&lt;=6)*(BULK_END&gt;=6))*IFERROR(BULK_VALUE,0))/MAX(1,SUMPRODUCT(((BULK_ENABLED="Y")*((BULK_TIER="ALL")+(BULK_TIER=$F261))*((BULK_SKU="ALL")+(BULK_SKU=$G261))*(BULK_START&lt;=6)*(BULK_END&gt;=6)))),0),ROUND((INDEX(VELOCITY_TABLE,MATCH($F261,TIER_LIST,0),2))*(IF((6-$I261+1)&lt;=0,0,IF((6-$I261+1)=1,RAMP_W1,IF((6-$I261+1)=2,RAMP_W2,IF((6-$I261+1)=3,RAMP_W3,RAMP_W4PLUS)))))*(INDEX(ACTIVE_MULT_TABLE,2,1))*(1+SUMPRODUCT(SIGN(((ACT_DOOR_SCOPE="ALL")+(ACT_DOOR_SCOPE="TIER_"&amp;$F261)+(ACT_DOOR_SCOPE=$B261)))*SIGN(((ACT_SKU_SCOPE="ALL")+(ACT_SKU_SCOPE=$G261)))*(ACT_START&lt;=6)*(ACT_END&gt;=6)*IFERROR(ACT_UPLIFT-1,0)))*(1+SUMPRODUCT(SIGN(((ACT_DOOR_SCOPE="ALL")+(ACT_DOOR_SCOPE="TIER_"&amp;$F261)+(ACT_DOOR_SCOPE=$B261)))*SIGN(((ACT_SKU_SCOPE="ALL")+(ACT_SKU_SCOPE=$G261)))*(6&gt;ACT_END)*(ACT_END&gt;0)*IFERROR(ACT_POSTLIFT,0))),0)))</f>
        <v/>
      </c>
      <c r="P261" s="10">
        <f>IF(OR($H261&lt;&gt;"Y",7&lt;$I261),0,IF(SUMPRODUCT(((BULK_ENABLED="Y")*((BULK_TIER="ALL")+(BULK_TIER=$F261))*((BULK_SKU="ALL")+(BULK_SKU=$G261))*(BULK_START&lt;=7)*(BULK_END&gt;=7)))&gt;0,IFERROR(SUMPRODUCT(((BULK_ENABLED="Y")*((BULK_TIER="ALL")+(BULK_TIER=$F261))*((BULK_SKU="ALL")+(BULK_SKU=$G261))*(BULK_START&lt;=7)*(BULK_END&gt;=7))*IFERROR(BULK_VALUE,0))/MAX(1,SUMPRODUCT(((BULK_ENABLED="Y")*((BULK_TIER="ALL")+(BULK_TIER=$F261))*((BULK_SKU="ALL")+(BULK_SKU=$G261))*(BULK_START&lt;=7)*(BULK_END&gt;=7)))),0),ROUND((INDEX(VELOCITY_TABLE,MATCH($F261,TIER_LIST,0),2))*(IF((7-$I261+1)&lt;=0,0,IF((7-$I261+1)=1,RAMP_W1,IF((7-$I261+1)=2,RAMP_W2,IF((7-$I261+1)=3,RAMP_W3,RAMP_W4PLUS)))))*(INDEX(ACTIVE_MULT_TABLE,2,1))*(1+SUMPRODUCT(SIGN(((ACT_DOOR_SCOPE="ALL")+(ACT_DOOR_SCOPE="TIER_"&amp;$F261)+(ACT_DOOR_SCOPE=$B261)))*SIGN(((ACT_SKU_SCOPE="ALL")+(ACT_SKU_SCOPE=$G261)))*(ACT_START&lt;=7)*(ACT_END&gt;=7)*IFERROR(ACT_UPLIFT-1,0)))*(1+SUMPRODUCT(SIGN(((ACT_DOOR_SCOPE="ALL")+(ACT_DOOR_SCOPE="TIER_"&amp;$F261)+(ACT_DOOR_SCOPE=$B261)))*SIGN(((ACT_SKU_SCOPE="ALL")+(ACT_SKU_SCOPE=$G261)))*(7&gt;ACT_END)*(ACT_END&gt;0)*IFERROR(ACT_POSTLIFT,0))),0)))</f>
        <v/>
      </c>
      <c r="Q261" s="10">
        <f>IF(OR($H261&lt;&gt;"Y",8&lt;$I261),0,IF(SUMPRODUCT(((BULK_ENABLED="Y")*((BULK_TIER="ALL")+(BULK_TIER=$F261))*((BULK_SKU="ALL")+(BULK_SKU=$G261))*(BULK_START&lt;=8)*(BULK_END&gt;=8)))&gt;0,IFERROR(SUMPRODUCT(((BULK_ENABLED="Y")*((BULK_TIER="ALL")+(BULK_TIER=$F261))*((BULK_SKU="ALL")+(BULK_SKU=$G261))*(BULK_START&lt;=8)*(BULK_END&gt;=8))*IFERROR(BULK_VALUE,0))/MAX(1,SUMPRODUCT(((BULK_ENABLED="Y")*((BULK_TIER="ALL")+(BULK_TIER=$F261))*((BULK_SKU="ALL")+(BULK_SKU=$G261))*(BULK_START&lt;=8)*(BULK_END&gt;=8)))),0),ROUND((INDEX(VELOCITY_TABLE,MATCH($F261,TIER_LIST,0),2))*(IF((8-$I261+1)&lt;=0,0,IF((8-$I261+1)=1,RAMP_W1,IF((8-$I261+1)=2,RAMP_W2,IF((8-$I261+1)=3,RAMP_W3,RAMP_W4PLUS)))))*(INDEX(ACTIVE_MULT_TABLE,2,1))*(1+SUMPRODUCT(SIGN(((ACT_DOOR_SCOPE="ALL")+(ACT_DOOR_SCOPE="TIER_"&amp;$F261)+(ACT_DOOR_SCOPE=$B261)))*SIGN(((ACT_SKU_SCOPE="ALL")+(ACT_SKU_SCOPE=$G261)))*(ACT_START&lt;=8)*(ACT_END&gt;=8)*IFERROR(ACT_UPLIFT-1,0)))*(1+SUMPRODUCT(SIGN(((ACT_DOOR_SCOPE="ALL")+(ACT_DOOR_SCOPE="TIER_"&amp;$F261)+(ACT_DOOR_SCOPE=$B261)))*SIGN(((ACT_SKU_SCOPE="ALL")+(ACT_SKU_SCOPE=$G261)))*(8&gt;ACT_END)*(ACT_END&gt;0)*IFERROR(ACT_POSTLIFT,0))),0)))</f>
        <v/>
      </c>
      <c r="R261" s="10">
        <f>IF(OR($H261&lt;&gt;"Y",9&lt;$I261),0,IF(SUMPRODUCT(((BULK_ENABLED="Y")*((BULK_TIER="ALL")+(BULK_TIER=$F261))*((BULK_SKU="ALL")+(BULK_SKU=$G261))*(BULK_START&lt;=9)*(BULK_END&gt;=9)))&gt;0,IFERROR(SUMPRODUCT(((BULK_ENABLED="Y")*((BULK_TIER="ALL")+(BULK_TIER=$F261))*((BULK_SKU="ALL")+(BULK_SKU=$G261))*(BULK_START&lt;=9)*(BULK_END&gt;=9))*IFERROR(BULK_VALUE,0))/MAX(1,SUMPRODUCT(((BULK_ENABLED="Y")*((BULK_TIER="ALL")+(BULK_TIER=$F261))*((BULK_SKU="ALL")+(BULK_SKU=$G261))*(BULK_START&lt;=9)*(BULK_END&gt;=9)))),0),ROUND((INDEX(VELOCITY_TABLE,MATCH($F261,TIER_LIST,0),2))*(IF((9-$I261+1)&lt;=0,0,IF((9-$I261+1)=1,RAMP_W1,IF((9-$I261+1)=2,RAMP_W2,IF((9-$I261+1)=3,RAMP_W3,RAMP_W4PLUS)))))*(INDEX(ACTIVE_MULT_TABLE,2,1))*(1+SUMPRODUCT(SIGN(((ACT_DOOR_SCOPE="ALL")+(ACT_DOOR_SCOPE="TIER_"&amp;$F261)+(ACT_DOOR_SCOPE=$B261)))*SIGN(((ACT_SKU_SCOPE="ALL")+(ACT_SKU_SCOPE=$G261)))*(ACT_START&lt;=9)*(ACT_END&gt;=9)*IFERROR(ACT_UPLIFT-1,0)))*(1+SUMPRODUCT(SIGN(((ACT_DOOR_SCOPE="ALL")+(ACT_DOOR_SCOPE="TIER_"&amp;$F261)+(ACT_DOOR_SCOPE=$B261)))*SIGN(((ACT_SKU_SCOPE="ALL")+(ACT_SKU_SCOPE=$G261)))*(9&gt;ACT_END)*(ACT_END&gt;0)*IFERROR(ACT_POSTLIFT,0))),0)))</f>
        <v/>
      </c>
      <c r="S261" s="10">
        <f>IF(OR($H261&lt;&gt;"Y",10&lt;$I261),0,IF(SUMPRODUCT(((BULK_ENABLED="Y")*((BULK_TIER="ALL")+(BULK_TIER=$F261))*((BULK_SKU="ALL")+(BULK_SKU=$G261))*(BULK_START&lt;=10)*(BULK_END&gt;=10)))&gt;0,IFERROR(SUMPRODUCT(((BULK_ENABLED="Y")*((BULK_TIER="ALL")+(BULK_TIER=$F261))*((BULK_SKU="ALL")+(BULK_SKU=$G261))*(BULK_START&lt;=10)*(BULK_END&gt;=10))*IFERROR(BULK_VALUE,0))/MAX(1,SUMPRODUCT(((BULK_ENABLED="Y")*((BULK_TIER="ALL")+(BULK_TIER=$F261))*((BULK_SKU="ALL")+(BULK_SKU=$G261))*(BULK_START&lt;=10)*(BULK_END&gt;=10)))),0),ROUND((INDEX(VELOCITY_TABLE,MATCH($F261,TIER_LIST,0),2))*(IF((10-$I261+1)&lt;=0,0,IF((10-$I261+1)=1,RAMP_W1,IF((10-$I261+1)=2,RAMP_W2,IF((10-$I261+1)=3,RAMP_W3,RAMP_W4PLUS)))))*(INDEX(ACTIVE_MULT_TABLE,2,1))*(1+SUMPRODUCT(SIGN(((ACT_DOOR_SCOPE="ALL")+(ACT_DOOR_SCOPE="TIER_"&amp;$F261)+(ACT_DOOR_SCOPE=$B261)))*SIGN(((ACT_SKU_SCOPE="ALL")+(ACT_SKU_SCOPE=$G261)))*(ACT_START&lt;=10)*(ACT_END&gt;=10)*IFERROR(ACT_UPLIFT-1,0)))*(1+SUMPRODUCT(SIGN(((ACT_DOOR_SCOPE="ALL")+(ACT_DOOR_SCOPE="TIER_"&amp;$F261)+(ACT_DOOR_SCOPE=$B261)))*SIGN(((ACT_SKU_SCOPE="ALL")+(ACT_SKU_SCOPE=$G261)))*(10&gt;ACT_END)*(ACT_END&gt;0)*IFERROR(ACT_POSTLIFT,0))),0)))</f>
        <v/>
      </c>
      <c r="T261" s="10">
        <f>IF(OR($H261&lt;&gt;"Y",11&lt;$I261),0,IF(SUMPRODUCT(((BULK_ENABLED="Y")*((BULK_TIER="ALL")+(BULK_TIER=$F261))*((BULK_SKU="ALL")+(BULK_SKU=$G261))*(BULK_START&lt;=11)*(BULK_END&gt;=11)))&gt;0,IFERROR(SUMPRODUCT(((BULK_ENABLED="Y")*((BULK_TIER="ALL")+(BULK_TIER=$F261))*((BULK_SKU="ALL")+(BULK_SKU=$G261))*(BULK_START&lt;=11)*(BULK_END&gt;=11))*IFERROR(BULK_VALUE,0))/MAX(1,SUMPRODUCT(((BULK_ENABLED="Y")*((BULK_TIER="ALL")+(BULK_TIER=$F261))*((BULK_SKU="ALL")+(BULK_SKU=$G261))*(BULK_START&lt;=11)*(BULK_END&gt;=11)))),0),ROUND((INDEX(VELOCITY_TABLE,MATCH($F261,TIER_LIST,0),2))*(IF((11-$I261+1)&lt;=0,0,IF((11-$I261+1)=1,RAMP_W1,IF((11-$I261+1)=2,RAMP_W2,IF((11-$I261+1)=3,RAMP_W3,RAMP_W4PLUS)))))*(INDEX(ACTIVE_MULT_TABLE,2,1))*(1+SUMPRODUCT(SIGN(((ACT_DOOR_SCOPE="ALL")+(ACT_DOOR_SCOPE="TIER_"&amp;$F261)+(ACT_DOOR_SCOPE=$B261)))*SIGN(((ACT_SKU_SCOPE="ALL")+(ACT_SKU_SCOPE=$G261)))*(ACT_START&lt;=11)*(ACT_END&gt;=11)*IFERROR(ACT_UPLIFT-1,0)))*(1+SUMPRODUCT(SIGN(((ACT_DOOR_SCOPE="ALL")+(ACT_DOOR_SCOPE="TIER_"&amp;$F261)+(ACT_DOOR_SCOPE=$B261)))*SIGN(((ACT_SKU_SCOPE="ALL")+(ACT_SKU_SCOPE=$G261)))*(11&gt;ACT_END)*(ACT_END&gt;0)*IFERROR(ACT_POSTLIFT,0))),0)))</f>
        <v/>
      </c>
      <c r="U261" s="10">
        <f>IF(OR($H261&lt;&gt;"Y",12&lt;$I261),0,IF(SUMPRODUCT(((BULK_ENABLED="Y")*((BULK_TIER="ALL")+(BULK_TIER=$F261))*((BULK_SKU="ALL")+(BULK_SKU=$G261))*(BULK_START&lt;=12)*(BULK_END&gt;=12)))&gt;0,IFERROR(SUMPRODUCT(((BULK_ENABLED="Y")*((BULK_TIER="ALL")+(BULK_TIER=$F261))*((BULK_SKU="ALL")+(BULK_SKU=$G261))*(BULK_START&lt;=12)*(BULK_END&gt;=12))*IFERROR(BULK_VALUE,0))/MAX(1,SUMPRODUCT(((BULK_ENABLED="Y")*((BULK_TIER="ALL")+(BULK_TIER=$F261))*((BULK_SKU="ALL")+(BULK_SKU=$G261))*(BULK_START&lt;=12)*(BULK_END&gt;=12)))),0),ROUND((INDEX(VELOCITY_TABLE,MATCH($F261,TIER_LIST,0),2))*(IF((12-$I261+1)&lt;=0,0,IF((12-$I261+1)=1,RAMP_W1,IF((12-$I261+1)=2,RAMP_W2,IF((12-$I261+1)=3,RAMP_W3,RAMP_W4PLUS)))))*(INDEX(ACTIVE_MULT_TABLE,2,1))*(1+SUMPRODUCT(SIGN(((ACT_DOOR_SCOPE="ALL")+(ACT_DOOR_SCOPE="TIER_"&amp;$F261)+(ACT_DOOR_SCOPE=$B261)))*SIGN(((ACT_SKU_SCOPE="ALL")+(ACT_SKU_SCOPE=$G261)))*(ACT_START&lt;=12)*(ACT_END&gt;=12)*IFERROR(ACT_UPLIFT-1,0)))*(1+SUMPRODUCT(SIGN(((ACT_DOOR_SCOPE="ALL")+(ACT_DOOR_SCOPE="TIER_"&amp;$F261)+(ACT_DOOR_SCOPE=$B261)))*SIGN(((ACT_SKU_SCOPE="ALL")+(ACT_SKU_SCOPE=$G261)))*(12&gt;ACT_END)*(ACT_END&gt;0)*IFERROR(ACT_POSTLIFT,0))),0)))</f>
        <v/>
      </c>
      <c r="V261" s="10">
        <f>IF(OR($H261&lt;&gt;"Y",13&lt;$I261),0,IF(SUMPRODUCT(((BULK_ENABLED="Y")*((BULK_TIER="ALL")+(BULK_TIER=$F261))*((BULK_SKU="ALL")+(BULK_SKU=$G261))*(BULK_START&lt;=13)*(BULK_END&gt;=13)))&gt;0,IFERROR(SUMPRODUCT(((BULK_ENABLED="Y")*((BULK_TIER="ALL")+(BULK_TIER=$F261))*((BULK_SKU="ALL")+(BULK_SKU=$G261))*(BULK_START&lt;=13)*(BULK_END&gt;=13))*IFERROR(BULK_VALUE,0))/MAX(1,SUMPRODUCT(((BULK_ENABLED="Y")*((BULK_TIER="ALL")+(BULK_TIER=$F261))*((BULK_SKU="ALL")+(BULK_SKU=$G261))*(BULK_START&lt;=13)*(BULK_END&gt;=13)))),0),ROUND((INDEX(VELOCITY_TABLE,MATCH($F261,TIER_LIST,0),2))*(IF((13-$I261+1)&lt;=0,0,IF((13-$I261+1)=1,RAMP_W1,IF((13-$I261+1)=2,RAMP_W2,IF((13-$I261+1)=3,RAMP_W3,RAMP_W4PLUS)))))*(INDEX(ACTIVE_MULT_TABLE,2,1))*(1+SUMPRODUCT(SIGN(((ACT_DOOR_SCOPE="ALL")+(ACT_DOOR_SCOPE="TIER_"&amp;$F261)+(ACT_DOOR_SCOPE=$B261)))*SIGN(((ACT_SKU_SCOPE="ALL")+(ACT_SKU_SCOPE=$G261)))*(ACT_START&lt;=13)*(ACT_END&gt;=13)*IFERROR(ACT_UPLIFT-1,0)))*(1+SUMPRODUCT(SIGN(((ACT_DOOR_SCOPE="ALL")+(ACT_DOOR_SCOPE="TIER_"&amp;$F261)+(ACT_DOOR_SCOPE=$B261)))*SIGN(((ACT_SKU_SCOPE="ALL")+(ACT_SKU_SCOPE=$G261)))*(13&gt;ACT_END)*(ACT_END&gt;0)*IFERROR(ACT_POSTLIFT,0))),0)))</f>
        <v/>
      </c>
    </row>
    <row r="262">
      <c r="A262" t="inlineStr">
        <is>
          <t>R0258</t>
        </is>
      </c>
      <c r="B262">
        <f>Doors!$A$90</f>
        <v/>
      </c>
      <c r="C262">
        <f>Doors!$C$90</f>
        <v/>
      </c>
      <c r="D262">
        <f>Doors!$B$90</f>
        <v/>
      </c>
      <c r="E262">
        <f>Doors!$E$90</f>
        <v/>
      </c>
      <c r="F262">
        <f>Doors!$F$90</f>
        <v/>
      </c>
      <c r="G262" t="inlineStr">
        <is>
          <t>Raspberry</t>
        </is>
      </c>
      <c r="H262">
        <f>Doors!$I$90</f>
        <v/>
      </c>
      <c r="I262">
        <f>Doors!$J$90</f>
        <v/>
      </c>
      <c r="J262" s="10">
        <f>IF(OR($H262&lt;&gt;"Y",1&lt;$I262),0,IF(SUMPRODUCT(((BULK_ENABLED="Y")*((BULK_TIER="ALL")+(BULK_TIER=$F262))*((BULK_SKU="ALL")+(BULK_SKU=$G262))*(BULK_START&lt;=1)*(BULK_END&gt;=1)))&gt;0,IFERROR(SUMPRODUCT(((BULK_ENABLED="Y")*((BULK_TIER="ALL")+(BULK_TIER=$F262))*((BULK_SKU="ALL")+(BULK_SKU=$G262))*(BULK_START&lt;=1)*(BULK_END&gt;=1))*IFERROR(BULK_VALUE,0))/MAX(1,SUMPRODUCT(((BULK_ENABLED="Y")*((BULK_TIER="ALL")+(BULK_TIER=$F262))*((BULK_SKU="ALL")+(BULK_SKU=$G262))*(BULK_START&lt;=1)*(BULK_END&gt;=1)))),0),ROUND((INDEX(VELOCITY_TABLE,MATCH($F262,TIER_LIST,0),3))*(IF((1-$I262+1)&lt;=0,0,IF((1-$I262+1)=1,RAMP_W1,IF((1-$I262+1)=2,RAMP_W2,IF((1-$I262+1)=3,RAMP_W3,RAMP_W4PLUS)))))*(INDEX(ACTIVE_MULT_TABLE,3,1))*(1+SUMPRODUCT(SIGN(((ACT_DOOR_SCOPE="ALL")+(ACT_DOOR_SCOPE="TIER_"&amp;$F262)+(ACT_DOOR_SCOPE=$B262)))*SIGN(((ACT_SKU_SCOPE="ALL")+(ACT_SKU_SCOPE=$G262)))*(ACT_START&lt;=1)*(ACT_END&gt;=1)*IFERROR(ACT_UPLIFT-1,0)))*(1+SUMPRODUCT(SIGN(((ACT_DOOR_SCOPE="ALL")+(ACT_DOOR_SCOPE="TIER_"&amp;$F262)+(ACT_DOOR_SCOPE=$B262)))*SIGN(((ACT_SKU_SCOPE="ALL")+(ACT_SKU_SCOPE=$G262)))*(1&gt;ACT_END)*(ACT_END&gt;0)*IFERROR(ACT_POSTLIFT,0))),0)))</f>
        <v/>
      </c>
      <c r="K262" s="10">
        <f>IF(OR($H262&lt;&gt;"Y",2&lt;$I262),0,IF(SUMPRODUCT(((BULK_ENABLED="Y")*((BULK_TIER="ALL")+(BULK_TIER=$F262))*((BULK_SKU="ALL")+(BULK_SKU=$G262))*(BULK_START&lt;=2)*(BULK_END&gt;=2)))&gt;0,IFERROR(SUMPRODUCT(((BULK_ENABLED="Y")*((BULK_TIER="ALL")+(BULK_TIER=$F262))*((BULK_SKU="ALL")+(BULK_SKU=$G262))*(BULK_START&lt;=2)*(BULK_END&gt;=2))*IFERROR(BULK_VALUE,0))/MAX(1,SUMPRODUCT(((BULK_ENABLED="Y")*((BULK_TIER="ALL")+(BULK_TIER=$F262))*((BULK_SKU="ALL")+(BULK_SKU=$G262))*(BULK_START&lt;=2)*(BULK_END&gt;=2)))),0),ROUND((INDEX(VELOCITY_TABLE,MATCH($F262,TIER_LIST,0),3))*(IF((2-$I262+1)&lt;=0,0,IF((2-$I262+1)=1,RAMP_W1,IF((2-$I262+1)=2,RAMP_W2,IF((2-$I262+1)=3,RAMP_W3,RAMP_W4PLUS)))))*(INDEX(ACTIVE_MULT_TABLE,3,1))*(1+SUMPRODUCT(SIGN(((ACT_DOOR_SCOPE="ALL")+(ACT_DOOR_SCOPE="TIER_"&amp;$F262)+(ACT_DOOR_SCOPE=$B262)))*SIGN(((ACT_SKU_SCOPE="ALL")+(ACT_SKU_SCOPE=$G262)))*(ACT_START&lt;=2)*(ACT_END&gt;=2)*IFERROR(ACT_UPLIFT-1,0)))*(1+SUMPRODUCT(SIGN(((ACT_DOOR_SCOPE="ALL")+(ACT_DOOR_SCOPE="TIER_"&amp;$F262)+(ACT_DOOR_SCOPE=$B262)))*SIGN(((ACT_SKU_SCOPE="ALL")+(ACT_SKU_SCOPE=$G262)))*(2&gt;ACT_END)*(ACT_END&gt;0)*IFERROR(ACT_POSTLIFT,0))),0)))</f>
        <v/>
      </c>
      <c r="L262" s="10">
        <f>IF(OR($H262&lt;&gt;"Y",3&lt;$I262),0,IF(SUMPRODUCT(((BULK_ENABLED="Y")*((BULK_TIER="ALL")+(BULK_TIER=$F262))*((BULK_SKU="ALL")+(BULK_SKU=$G262))*(BULK_START&lt;=3)*(BULK_END&gt;=3)))&gt;0,IFERROR(SUMPRODUCT(((BULK_ENABLED="Y")*((BULK_TIER="ALL")+(BULK_TIER=$F262))*((BULK_SKU="ALL")+(BULK_SKU=$G262))*(BULK_START&lt;=3)*(BULK_END&gt;=3))*IFERROR(BULK_VALUE,0))/MAX(1,SUMPRODUCT(((BULK_ENABLED="Y")*((BULK_TIER="ALL")+(BULK_TIER=$F262))*((BULK_SKU="ALL")+(BULK_SKU=$G262))*(BULK_START&lt;=3)*(BULK_END&gt;=3)))),0),ROUND((INDEX(VELOCITY_TABLE,MATCH($F262,TIER_LIST,0),3))*(IF((3-$I262+1)&lt;=0,0,IF((3-$I262+1)=1,RAMP_W1,IF((3-$I262+1)=2,RAMP_W2,IF((3-$I262+1)=3,RAMP_W3,RAMP_W4PLUS)))))*(INDEX(ACTIVE_MULT_TABLE,3,1))*(1+SUMPRODUCT(SIGN(((ACT_DOOR_SCOPE="ALL")+(ACT_DOOR_SCOPE="TIER_"&amp;$F262)+(ACT_DOOR_SCOPE=$B262)))*SIGN(((ACT_SKU_SCOPE="ALL")+(ACT_SKU_SCOPE=$G262)))*(ACT_START&lt;=3)*(ACT_END&gt;=3)*IFERROR(ACT_UPLIFT-1,0)))*(1+SUMPRODUCT(SIGN(((ACT_DOOR_SCOPE="ALL")+(ACT_DOOR_SCOPE="TIER_"&amp;$F262)+(ACT_DOOR_SCOPE=$B262)))*SIGN(((ACT_SKU_SCOPE="ALL")+(ACT_SKU_SCOPE=$G262)))*(3&gt;ACT_END)*(ACT_END&gt;0)*IFERROR(ACT_POSTLIFT,0))),0)))</f>
        <v/>
      </c>
      <c r="M262" s="10">
        <f>IF(OR($H262&lt;&gt;"Y",4&lt;$I262),0,IF(SUMPRODUCT(((BULK_ENABLED="Y")*((BULK_TIER="ALL")+(BULK_TIER=$F262))*((BULK_SKU="ALL")+(BULK_SKU=$G262))*(BULK_START&lt;=4)*(BULK_END&gt;=4)))&gt;0,IFERROR(SUMPRODUCT(((BULK_ENABLED="Y")*((BULK_TIER="ALL")+(BULK_TIER=$F262))*((BULK_SKU="ALL")+(BULK_SKU=$G262))*(BULK_START&lt;=4)*(BULK_END&gt;=4))*IFERROR(BULK_VALUE,0))/MAX(1,SUMPRODUCT(((BULK_ENABLED="Y")*((BULK_TIER="ALL")+(BULK_TIER=$F262))*((BULK_SKU="ALL")+(BULK_SKU=$G262))*(BULK_START&lt;=4)*(BULK_END&gt;=4)))),0),ROUND((INDEX(VELOCITY_TABLE,MATCH($F262,TIER_LIST,0),3))*(IF((4-$I262+1)&lt;=0,0,IF((4-$I262+1)=1,RAMP_W1,IF((4-$I262+1)=2,RAMP_W2,IF((4-$I262+1)=3,RAMP_W3,RAMP_W4PLUS)))))*(INDEX(ACTIVE_MULT_TABLE,3,1))*(1+SUMPRODUCT(SIGN(((ACT_DOOR_SCOPE="ALL")+(ACT_DOOR_SCOPE="TIER_"&amp;$F262)+(ACT_DOOR_SCOPE=$B262)))*SIGN(((ACT_SKU_SCOPE="ALL")+(ACT_SKU_SCOPE=$G262)))*(ACT_START&lt;=4)*(ACT_END&gt;=4)*IFERROR(ACT_UPLIFT-1,0)))*(1+SUMPRODUCT(SIGN(((ACT_DOOR_SCOPE="ALL")+(ACT_DOOR_SCOPE="TIER_"&amp;$F262)+(ACT_DOOR_SCOPE=$B262)))*SIGN(((ACT_SKU_SCOPE="ALL")+(ACT_SKU_SCOPE=$G262)))*(4&gt;ACT_END)*(ACT_END&gt;0)*IFERROR(ACT_POSTLIFT,0))),0)))</f>
        <v/>
      </c>
      <c r="N262" s="10">
        <f>IF(OR($H262&lt;&gt;"Y",5&lt;$I262),0,IF(SUMPRODUCT(((BULK_ENABLED="Y")*((BULK_TIER="ALL")+(BULK_TIER=$F262))*((BULK_SKU="ALL")+(BULK_SKU=$G262))*(BULK_START&lt;=5)*(BULK_END&gt;=5)))&gt;0,IFERROR(SUMPRODUCT(((BULK_ENABLED="Y")*((BULK_TIER="ALL")+(BULK_TIER=$F262))*((BULK_SKU="ALL")+(BULK_SKU=$G262))*(BULK_START&lt;=5)*(BULK_END&gt;=5))*IFERROR(BULK_VALUE,0))/MAX(1,SUMPRODUCT(((BULK_ENABLED="Y")*((BULK_TIER="ALL")+(BULK_TIER=$F262))*((BULK_SKU="ALL")+(BULK_SKU=$G262))*(BULK_START&lt;=5)*(BULK_END&gt;=5)))),0),ROUND((INDEX(VELOCITY_TABLE,MATCH($F262,TIER_LIST,0),3))*(IF((5-$I262+1)&lt;=0,0,IF((5-$I262+1)=1,RAMP_W1,IF((5-$I262+1)=2,RAMP_W2,IF((5-$I262+1)=3,RAMP_W3,RAMP_W4PLUS)))))*(INDEX(ACTIVE_MULT_TABLE,3,1))*(1+SUMPRODUCT(SIGN(((ACT_DOOR_SCOPE="ALL")+(ACT_DOOR_SCOPE="TIER_"&amp;$F262)+(ACT_DOOR_SCOPE=$B262)))*SIGN(((ACT_SKU_SCOPE="ALL")+(ACT_SKU_SCOPE=$G262)))*(ACT_START&lt;=5)*(ACT_END&gt;=5)*IFERROR(ACT_UPLIFT-1,0)))*(1+SUMPRODUCT(SIGN(((ACT_DOOR_SCOPE="ALL")+(ACT_DOOR_SCOPE="TIER_"&amp;$F262)+(ACT_DOOR_SCOPE=$B262)))*SIGN(((ACT_SKU_SCOPE="ALL")+(ACT_SKU_SCOPE=$G262)))*(5&gt;ACT_END)*(ACT_END&gt;0)*IFERROR(ACT_POSTLIFT,0))),0)))</f>
        <v/>
      </c>
      <c r="O262" s="10">
        <f>IF(OR($H262&lt;&gt;"Y",6&lt;$I262),0,IF(SUMPRODUCT(((BULK_ENABLED="Y")*((BULK_TIER="ALL")+(BULK_TIER=$F262))*((BULK_SKU="ALL")+(BULK_SKU=$G262))*(BULK_START&lt;=6)*(BULK_END&gt;=6)))&gt;0,IFERROR(SUMPRODUCT(((BULK_ENABLED="Y")*((BULK_TIER="ALL")+(BULK_TIER=$F262))*((BULK_SKU="ALL")+(BULK_SKU=$G262))*(BULK_START&lt;=6)*(BULK_END&gt;=6))*IFERROR(BULK_VALUE,0))/MAX(1,SUMPRODUCT(((BULK_ENABLED="Y")*((BULK_TIER="ALL")+(BULK_TIER=$F262))*((BULK_SKU="ALL")+(BULK_SKU=$G262))*(BULK_START&lt;=6)*(BULK_END&gt;=6)))),0),ROUND((INDEX(VELOCITY_TABLE,MATCH($F262,TIER_LIST,0),3))*(IF((6-$I262+1)&lt;=0,0,IF((6-$I262+1)=1,RAMP_W1,IF((6-$I262+1)=2,RAMP_W2,IF((6-$I262+1)=3,RAMP_W3,RAMP_W4PLUS)))))*(INDEX(ACTIVE_MULT_TABLE,3,1))*(1+SUMPRODUCT(SIGN(((ACT_DOOR_SCOPE="ALL")+(ACT_DOOR_SCOPE="TIER_"&amp;$F262)+(ACT_DOOR_SCOPE=$B262)))*SIGN(((ACT_SKU_SCOPE="ALL")+(ACT_SKU_SCOPE=$G262)))*(ACT_START&lt;=6)*(ACT_END&gt;=6)*IFERROR(ACT_UPLIFT-1,0)))*(1+SUMPRODUCT(SIGN(((ACT_DOOR_SCOPE="ALL")+(ACT_DOOR_SCOPE="TIER_"&amp;$F262)+(ACT_DOOR_SCOPE=$B262)))*SIGN(((ACT_SKU_SCOPE="ALL")+(ACT_SKU_SCOPE=$G262)))*(6&gt;ACT_END)*(ACT_END&gt;0)*IFERROR(ACT_POSTLIFT,0))),0)))</f>
        <v/>
      </c>
      <c r="P262" s="10">
        <f>IF(OR($H262&lt;&gt;"Y",7&lt;$I262),0,IF(SUMPRODUCT(((BULK_ENABLED="Y")*((BULK_TIER="ALL")+(BULK_TIER=$F262))*((BULK_SKU="ALL")+(BULK_SKU=$G262))*(BULK_START&lt;=7)*(BULK_END&gt;=7)))&gt;0,IFERROR(SUMPRODUCT(((BULK_ENABLED="Y")*((BULK_TIER="ALL")+(BULK_TIER=$F262))*((BULK_SKU="ALL")+(BULK_SKU=$G262))*(BULK_START&lt;=7)*(BULK_END&gt;=7))*IFERROR(BULK_VALUE,0))/MAX(1,SUMPRODUCT(((BULK_ENABLED="Y")*((BULK_TIER="ALL")+(BULK_TIER=$F262))*((BULK_SKU="ALL")+(BULK_SKU=$G262))*(BULK_START&lt;=7)*(BULK_END&gt;=7)))),0),ROUND((INDEX(VELOCITY_TABLE,MATCH($F262,TIER_LIST,0),3))*(IF((7-$I262+1)&lt;=0,0,IF((7-$I262+1)=1,RAMP_W1,IF((7-$I262+1)=2,RAMP_W2,IF((7-$I262+1)=3,RAMP_W3,RAMP_W4PLUS)))))*(INDEX(ACTIVE_MULT_TABLE,3,1))*(1+SUMPRODUCT(SIGN(((ACT_DOOR_SCOPE="ALL")+(ACT_DOOR_SCOPE="TIER_"&amp;$F262)+(ACT_DOOR_SCOPE=$B262)))*SIGN(((ACT_SKU_SCOPE="ALL")+(ACT_SKU_SCOPE=$G262)))*(ACT_START&lt;=7)*(ACT_END&gt;=7)*IFERROR(ACT_UPLIFT-1,0)))*(1+SUMPRODUCT(SIGN(((ACT_DOOR_SCOPE="ALL")+(ACT_DOOR_SCOPE="TIER_"&amp;$F262)+(ACT_DOOR_SCOPE=$B262)))*SIGN(((ACT_SKU_SCOPE="ALL")+(ACT_SKU_SCOPE=$G262)))*(7&gt;ACT_END)*(ACT_END&gt;0)*IFERROR(ACT_POSTLIFT,0))),0)))</f>
        <v/>
      </c>
      <c r="Q262" s="10">
        <f>IF(OR($H262&lt;&gt;"Y",8&lt;$I262),0,IF(SUMPRODUCT(((BULK_ENABLED="Y")*((BULK_TIER="ALL")+(BULK_TIER=$F262))*((BULK_SKU="ALL")+(BULK_SKU=$G262))*(BULK_START&lt;=8)*(BULK_END&gt;=8)))&gt;0,IFERROR(SUMPRODUCT(((BULK_ENABLED="Y")*((BULK_TIER="ALL")+(BULK_TIER=$F262))*((BULK_SKU="ALL")+(BULK_SKU=$G262))*(BULK_START&lt;=8)*(BULK_END&gt;=8))*IFERROR(BULK_VALUE,0))/MAX(1,SUMPRODUCT(((BULK_ENABLED="Y")*((BULK_TIER="ALL")+(BULK_TIER=$F262))*((BULK_SKU="ALL")+(BULK_SKU=$G262))*(BULK_START&lt;=8)*(BULK_END&gt;=8)))),0),ROUND((INDEX(VELOCITY_TABLE,MATCH($F262,TIER_LIST,0),3))*(IF((8-$I262+1)&lt;=0,0,IF((8-$I262+1)=1,RAMP_W1,IF((8-$I262+1)=2,RAMP_W2,IF((8-$I262+1)=3,RAMP_W3,RAMP_W4PLUS)))))*(INDEX(ACTIVE_MULT_TABLE,3,1))*(1+SUMPRODUCT(SIGN(((ACT_DOOR_SCOPE="ALL")+(ACT_DOOR_SCOPE="TIER_"&amp;$F262)+(ACT_DOOR_SCOPE=$B262)))*SIGN(((ACT_SKU_SCOPE="ALL")+(ACT_SKU_SCOPE=$G262)))*(ACT_START&lt;=8)*(ACT_END&gt;=8)*IFERROR(ACT_UPLIFT-1,0)))*(1+SUMPRODUCT(SIGN(((ACT_DOOR_SCOPE="ALL")+(ACT_DOOR_SCOPE="TIER_"&amp;$F262)+(ACT_DOOR_SCOPE=$B262)))*SIGN(((ACT_SKU_SCOPE="ALL")+(ACT_SKU_SCOPE=$G262)))*(8&gt;ACT_END)*(ACT_END&gt;0)*IFERROR(ACT_POSTLIFT,0))),0)))</f>
        <v/>
      </c>
      <c r="R262" s="10">
        <f>IF(OR($H262&lt;&gt;"Y",9&lt;$I262),0,IF(SUMPRODUCT(((BULK_ENABLED="Y")*((BULK_TIER="ALL")+(BULK_TIER=$F262))*((BULK_SKU="ALL")+(BULK_SKU=$G262))*(BULK_START&lt;=9)*(BULK_END&gt;=9)))&gt;0,IFERROR(SUMPRODUCT(((BULK_ENABLED="Y")*((BULK_TIER="ALL")+(BULK_TIER=$F262))*((BULK_SKU="ALL")+(BULK_SKU=$G262))*(BULK_START&lt;=9)*(BULK_END&gt;=9))*IFERROR(BULK_VALUE,0))/MAX(1,SUMPRODUCT(((BULK_ENABLED="Y")*((BULK_TIER="ALL")+(BULK_TIER=$F262))*((BULK_SKU="ALL")+(BULK_SKU=$G262))*(BULK_START&lt;=9)*(BULK_END&gt;=9)))),0),ROUND((INDEX(VELOCITY_TABLE,MATCH($F262,TIER_LIST,0),3))*(IF((9-$I262+1)&lt;=0,0,IF((9-$I262+1)=1,RAMP_W1,IF((9-$I262+1)=2,RAMP_W2,IF((9-$I262+1)=3,RAMP_W3,RAMP_W4PLUS)))))*(INDEX(ACTIVE_MULT_TABLE,3,1))*(1+SUMPRODUCT(SIGN(((ACT_DOOR_SCOPE="ALL")+(ACT_DOOR_SCOPE="TIER_"&amp;$F262)+(ACT_DOOR_SCOPE=$B262)))*SIGN(((ACT_SKU_SCOPE="ALL")+(ACT_SKU_SCOPE=$G262)))*(ACT_START&lt;=9)*(ACT_END&gt;=9)*IFERROR(ACT_UPLIFT-1,0)))*(1+SUMPRODUCT(SIGN(((ACT_DOOR_SCOPE="ALL")+(ACT_DOOR_SCOPE="TIER_"&amp;$F262)+(ACT_DOOR_SCOPE=$B262)))*SIGN(((ACT_SKU_SCOPE="ALL")+(ACT_SKU_SCOPE=$G262)))*(9&gt;ACT_END)*(ACT_END&gt;0)*IFERROR(ACT_POSTLIFT,0))),0)))</f>
        <v/>
      </c>
      <c r="S262" s="10">
        <f>IF(OR($H262&lt;&gt;"Y",10&lt;$I262),0,IF(SUMPRODUCT(((BULK_ENABLED="Y")*((BULK_TIER="ALL")+(BULK_TIER=$F262))*((BULK_SKU="ALL")+(BULK_SKU=$G262))*(BULK_START&lt;=10)*(BULK_END&gt;=10)))&gt;0,IFERROR(SUMPRODUCT(((BULK_ENABLED="Y")*((BULK_TIER="ALL")+(BULK_TIER=$F262))*((BULK_SKU="ALL")+(BULK_SKU=$G262))*(BULK_START&lt;=10)*(BULK_END&gt;=10))*IFERROR(BULK_VALUE,0))/MAX(1,SUMPRODUCT(((BULK_ENABLED="Y")*((BULK_TIER="ALL")+(BULK_TIER=$F262))*((BULK_SKU="ALL")+(BULK_SKU=$G262))*(BULK_START&lt;=10)*(BULK_END&gt;=10)))),0),ROUND((INDEX(VELOCITY_TABLE,MATCH($F262,TIER_LIST,0),3))*(IF((10-$I262+1)&lt;=0,0,IF((10-$I262+1)=1,RAMP_W1,IF((10-$I262+1)=2,RAMP_W2,IF((10-$I262+1)=3,RAMP_W3,RAMP_W4PLUS)))))*(INDEX(ACTIVE_MULT_TABLE,3,1))*(1+SUMPRODUCT(SIGN(((ACT_DOOR_SCOPE="ALL")+(ACT_DOOR_SCOPE="TIER_"&amp;$F262)+(ACT_DOOR_SCOPE=$B262)))*SIGN(((ACT_SKU_SCOPE="ALL")+(ACT_SKU_SCOPE=$G262)))*(ACT_START&lt;=10)*(ACT_END&gt;=10)*IFERROR(ACT_UPLIFT-1,0)))*(1+SUMPRODUCT(SIGN(((ACT_DOOR_SCOPE="ALL")+(ACT_DOOR_SCOPE="TIER_"&amp;$F262)+(ACT_DOOR_SCOPE=$B262)))*SIGN(((ACT_SKU_SCOPE="ALL")+(ACT_SKU_SCOPE=$G262)))*(10&gt;ACT_END)*(ACT_END&gt;0)*IFERROR(ACT_POSTLIFT,0))),0)))</f>
        <v/>
      </c>
      <c r="T262" s="10">
        <f>IF(OR($H262&lt;&gt;"Y",11&lt;$I262),0,IF(SUMPRODUCT(((BULK_ENABLED="Y")*((BULK_TIER="ALL")+(BULK_TIER=$F262))*((BULK_SKU="ALL")+(BULK_SKU=$G262))*(BULK_START&lt;=11)*(BULK_END&gt;=11)))&gt;0,IFERROR(SUMPRODUCT(((BULK_ENABLED="Y")*((BULK_TIER="ALL")+(BULK_TIER=$F262))*((BULK_SKU="ALL")+(BULK_SKU=$G262))*(BULK_START&lt;=11)*(BULK_END&gt;=11))*IFERROR(BULK_VALUE,0))/MAX(1,SUMPRODUCT(((BULK_ENABLED="Y")*((BULK_TIER="ALL")+(BULK_TIER=$F262))*((BULK_SKU="ALL")+(BULK_SKU=$G262))*(BULK_START&lt;=11)*(BULK_END&gt;=11)))),0),ROUND((INDEX(VELOCITY_TABLE,MATCH($F262,TIER_LIST,0),3))*(IF((11-$I262+1)&lt;=0,0,IF((11-$I262+1)=1,RAMP_W1,IF((11-$I262+1)=2,RAMP_W2,IF((11-$I262+1)=3,RAMP_W3,RAMP_W4PLUS)))))*(INDEX(ACTIVE_MULT_TABLE,3,1))*(1+SUMPRODUCT(SIGN(((ACT_DOOR_SCOPE="ALL")+(ACT_DOOR_SCOPE="TIER_"&amp;$F262)+(ACT_DOOR_SCOPE=$B262)))*SIGN(((ACT_SKU_SCOPE="ALL")+(ACT_SKU_SCOPE=$G262)))*(ACT_START&lt;=11)*(ACT_END&gt;=11)*IFERROR(ACT_UPLIFT-1,0)))*(1+SUMPRODUCT(SIGN(((ACT_DOOR_SCOPE="ALL")+(ACT_DOOR_SCOPE="TIER_"&amp;$F262)+(ACT_DOOR_SCOPE=$B262)))*SIGN(((ACT_SKU_SCOPE="ALL")+(ACT_SKU_SCOPE=$G262)))*(11&gt;ACT_END)*(ACT_END&gt;0)*IFERROR(ACT_POSTLIFT,0))),0)))</f>
        <v/>
      </c>
      <c r="U262" s="10">
        <f>IF(OR($H262&lt;&gt;"Y",12&lt;$I262),0,IF(SUMPRODUCT(((BULK_ENABLED="Y")*((BULK_TIER="ALL")+(BULK_TIER=$F262))*((BULK_SKU="ALL")+(BULK_SKU=$G262))*(BULK_START&lt;=12)*(BULK_END&gt;=12)))&gt;0,IFERROR(SUMPRODUCT(((BULK_ENABLED="Y")*((BULK_TIER="ALL")+(BULK_TIER=$F262))*((BULK_SKU="ALL")+(BULK_SKU=$G262))*(BULK_START&lt;=12)*(BULK_END&gt;=12))*IFERROR(BULK_VALUE,0))/MAX(1,SUMPRODUCT(((BULK_ENABLED="Y")*((BULK_TIER="ALL")+(BULK_TIER=$F262))*((BULK_SKU="ALL")+(BULK_SKU=$G262))*(BULK_START&lt;=12)*(BULK_END&gt;=12)))),0),ROUND((INDEX(VELOCITY_TABLE,MATCH($F262,TIER_LIST,0),3))*(IF((12-$I262+1)&lt;=0,0,IF((12-$I262+1)=1,RAMP_W1,IF((12-$I262+1)=2,RAMP_W2,IF((12-$I262+1)=3,RAMP_W3,RAMP_W4PLUS)))))*(INDEX(ACTIVE_MULT_TABLE,3,1))*(1+SUMPRODUCT(SIGN(((ACT_DOOR_SCOPE="ALL")+(ACT_DOOR_SCOPE="TIER_"&amp;$F262)+(ACT_DOOR_SCOPE=$B262)))*SIGN(((ACT_SKU_SCOPE="ALL")+(ACT_SKU_SCOPE=$G262)))*(ACT_START&lt;=12)*(ACT_END&gt;=12)*IFERROR(ACT_UPLIFT-1,0)))*(1+SUMPRODUCT(SIGN(((ACT_DOOR_SCOPE="ALL")+(ACT_DOOR_SCOPE="TIER_"&amp;$F262)+(ACT_DOOR_SCOPE=$B262)))*SIGN(((ACT_SKU_SCOPE="ALL")+(ACT_SKU_SCOPE=$G262)))*(12&gt;ACT_END)*(ACT_END&gt;0)*IFERROR(ACT_POSTLIFT,0))),0)))</f>
        <v/>
      </c>
      <c r="V262" s="10">
        <f>IF(OR($H262&lt;&gt;"Y",13&lt;$I262),0,IF(SUMPRODUCT(((BULK_ENABLED="Y")*((BULK_TIER="ALL")+(BULK_TIER=$F262))*((BULK_SKU="ALL")+(BULK_SKU=$G262))*(BULK_START&lt;=13)*(BULK_END&gt;=13)))&gt;0,IFERROR(SUMPRODUCT(((BULK_ENABLED="Y")*((BULK_TIER="ALL")+(BULK_TIER=$F262))*((BULK_SKU="ALL")+(BULK_SKU=$G262))*(BULK_START&lt;=13)*(BULK_END&gt;=13))*IFERROR(BULK_VALUE,0))/MAX(1,SUMPRODUCT(((BULK_ENABLED="Y")*((BULK_TIER="ALL")+(BULK_TIER=$F262))*((BULK_SKU="ALL")+(BULK_SKU=$G262))*(BULK_START&lt;=13)*(BULK_END&gt;=13)))),0),ROUND((INDEX(VELOCITY_TABLE,MATCH($F262,TIER_LIST,0),3))*(IF((13-$I262+1)&lt;=0,0,IF((13-$I262+1)=1,RAMP_W1,IF((13-$I262+1)=2,RAMP_W2,IF((13-$I262+1)=3,RAMP_W3,RAMP_W4PLUS)))))*(INDEX(ACTIVE_MULT_TABLE,3,1))*(1+SUMPRODUCT(SIGN(((ACT_DOOR_SCOPE="ALL")+(ACT_DOOR_SCOPE="TIER_"&amp;$F262)+(ACT_DOOR_SCOPE=$B262)))*SIGN(((ACT_SKU_SCOPE="ALL")+(ACT_SKU_SCOPE=$G262)))*(ACT_START&lt;=13)*(ACT_END&gt;=13)*IFERROR(ACT_UPLIFT-1,0)))*(1+SUMPRODUCT(SIGN(((ACT_DOOR_SCOPE="ALL")+(ACT_DOOR_SCOPE="TIER_"&amp;$F262)+(ACT_DOOR_SCOPE=$B262)))*SIGN(((ACT_SKU_SCOPE="ALL")+(ACT_SKU_SCOPE=$G262)))*(13&gt;ACT_END)*(ACT_END&gt;0)*IFERROR(ACT_POSTLIFT,0))),0)))</f>
        <v/>
      </c>
    </row>
    <row r="263">
      <c r="A263" t="inlineStr">
        <is>
          <t>R0259</t>
        </is>
      </c>
      <c r="B263">
        <f>Doors!$A$91</f>
        <v/>
      </c>
      <c r="C263">
        <f>Doors!$C$91</f>
        <v/>
      </c>
      <c r="D263">
        <f>Doors!$B$91</f>
        <v/>
      </c>
      <c r="E263">
        <f>Doors!$E$91</f>
        <v/>
      </c>
      <c r="F263">
        <f>Doors!$F$91</f>
        <v/>
      </c>
      <c r="G263" t="inlineStr">
        <is>
          <t>Lime Lemon</t>
        </is>
      </c>
      <c r="H263">
        <f>Doors!$G$91</f>
        <v/>
      </c>
      <c r="I263">
        <f>Doors!$J$91</f>
        <v/>
      </c>
      <c r="J263" s="10">
        <f>IF(OR($H263&lt;&gt;"Y",1&lt;$I263),0,IF(SUMPRODUCT(((BULK_ENABLED="Y")*((BULK_TIER="ALL")+(BULK_TIER=$F263))*((BULK_SKU="ALL")+(BULK_SKU=$G263))*(BULK_START&lt;=1)*(BULK_END&gt;=1)))&gt;0,IFERROR(SUMPRODUCT(((BULK_ENABLED="Y")*((BULK_TIER="ALL")+(BULK_TIER=$F263))*((BULK_SKU="ALL")+(BULK_SKU=$G263))*(BULK_START&lt;=1)*(BULK_END&gt;=1))*IFERROR(BULK_VALUE,0))/MAX(1,SUMPRODUCT(((BULK_ENABLED="Y")*((BULK_TIER="ALL")+(BULK_TIER=$F263))*((BULK_SKU="ALL")+(BULK_SKU=$G263))*(BULK_START&lt;=1)*(BULK_END&gt;=1)))),0),ROUND((INDEX(VELOCITY_TABLE,MATCH($F263,TIER_LIST,0),1))*(IF((1-$I263+1)&lt;=0,0,IF((1-$I263+1)=1,RAMP_W1,IF((1-$I263+1)=2,RAMP_W2,IF((1-$I263+1)=3,RAMP_W3,RAMP_W4PLUS)))))*(INDEX(ACTIVE_MULT_TABLE,1,1))*(1+SUMPRODUCT(SIGN(((ACT_DOOR_SCOPE="ALL")+(ACT_DOOR_SCOPE="TIER_"&amp;$F263)+(ACT_DOOR_SCOPE=$B263)))*SIGN(((ACT_SKU_SCOPE="ALL")+(ACT_SKU_SCOPE=$G263)))*(ACT_START&lt;=1)*(ACT_END&gt;=1)*IFERROR(ACT_UPLIFT-1,0)))*(1+SUMPRODUCT(SIGN(((ACT_DOOR_SCOPE="ALL")+(ACT_DOOR_SCOPE="TIER_"&amp;$F263)+(ACT_DOOR_SCOPE=$B263)))*SIGN(((ACT_SKU_SCOPE="ALL")+(ACT_SKU_SCOPE=$G263)))*(1&gt;ACT_END)*(ACT_END&gt;0)*IFERROR(ACT_POSTLIFT,0))),0)))</f>
        <v/>
      </c>
      <c r="K263" s="10">
        <f>IF(OR($H263&lt;&gt;"Y",2&lt;$I263),0,IF(SUMPRODUCT(((BULK_ENABLED="Y")*((BULK_TIER="ALL")+(BULK_TIER=$F263))*((BULK_SKU="ALL")+(BULK_SKU=$G263))*(BULK_START&lt;=2)*(BULK_END&gt;=2)))&gt;0,IFERROR(SUMPRODUCT(((BULK_ENABLED="Y")*((BULK_TIER="ALL")+(BULK_TIER=$F263))*((BULK_SKU="ALL")+(BULK_SKU=$G263))*(BULK_START&lt;=2)*(BULK_END&gt;=2))*IFERROR(BULK_VALUE,0))/MAX(1,SUMPRODUCT(((BULK_ENABLED="Y")*((BULK_TIER="ALL")+(BULK_TIER=$F263))*((BULK_SKU="ALL")+(BULK_SKU=$G263))*(BULK_START&lt;=2)*(BULK_END&gt;=2)))),0),ROUND((INDEX(VELOCITY_TABLE,MATCH($F263,TIER_LIST,0),1))*(IF((2-$I263+1)&lt;=0,0,IF((2-$I263+1)=1,RAMP_W1,IF((2-$I263+1)=2,RAMP_W2,IF((2-$I263+1)=3,RAMP_W3,RAMP_W4PLUS)))))*(INDEX(ACTIVE_MULT_TABLE,1,1))*(1+SUMPRODUCT(SIGN(((ACT_DOOR_SCOPE="ALL")+(ACT_DOOR_SCOPE="TIER_"&amp;$F263)+(ACT_DOOR_SCOPE=$B263)))*SIGN(((ACT_SKU_SCOPE="ALL")+(ACT_SKU_SCOPE=$G263)))*(ACT_START&lt;=2)*(ACT_END&gt;=2)*IFERROR(ACT_UPLIFT-1,0)))*(1+SUMPRODUCT(SIGN(((ACT_DOOR_SCOPE="ALL")+(ACT_DOOR_SCOPE="TIER_"&amp;$F263)+(ACT_DOOR_SCOPE=$B263)))*SIGN(((ACT_SKU_SCOPE="ALL")+(ACT_SKU_SCOPE=$G263)))*(2&gt;ACT_END)*(ACT_END&gt;0)*IFERROR(ACT_POSTLIFT,0))),0)))</f>
        <v/>
      </c>
      <c r="L263" s="10">
        <f>IF(OR($H263&lt;&gt;"Y",3&lt;$I263),0,IF(SUMPRODUCT(((BULK_ENABLED="Y")*((BULK_TIER="ALL")+(BULK_TIER=$F263))*((BULK_SKU="ALL")+(BULK_SKU=$G263))*(BULK_START&lt;=3)*(BULK_END&gt;=3)))&gt;0,IFERROR(SUMPRODUCT(((BULK_ENABLED="Y")*((BULK_TIER="ALL")+(BULK_TIER=$F263))*((BULK_SKU="ALL")+(BULK_SKU=$G263))*(BULK_START&lt;=3)*(BULK_END&gt;=3))*IFERROR(BULK_VALUE,0))/MAX(1,SUMPRODUCT(((BULK_ENABLED="Y")*((BULK_TIER="ALL")+(BULK_TIER=$F263))*((BULK_SKU="ALL")+(BULK_SKU=$G263))*(BULK_START&lt;=3)*(BULK_END&gt;=3)))),0),ROUND((INDEX(VELOCITY_TABLE,MATCH($F263,TIER_LIST,0),1))*(IF((3-$I263+1)&lt;=0,0,IF((3-$I263+1)=1,RAMP_W1,IF((3-$I263+1)=2,RAMP_W2,IF((3-$I263+1)=3,RAMP_W3,RAMP_W4PLUS)))))*(INDEX(ACTIVE_MULT_TABLE,1,1))*(1+SUMPRODUCT(SIGN(((ACT_DOOR_SCOPE="ALL")+(ACT_DOOR_SCOPE="TIER_"&amp;$F263)+(ACT_DOOR_SCOPE=$B263)))*SIGN(((ACT_SKU_SCOPE="ALL")+(ACT_SKU_SCOPE=$G263)))*(ACT_START&lt;=3)*(ACT_END&gt;=3)*IFERROR(ACT_UPLIFT-1,0)))*(1+SUMPRODUCT(SIGN(((ACT_DOOR_SCOPE="ALL")+(ACT_DOOR_SCOPE="TIER_"&amp;$F263)+(ACT_DOOR_SCOPE=$B263)))*SIGN(((ACT_SKU_SCOPE="ALL")+(ACT_SKU_SCOPE=$G263)))*(3&gt;ACT_END)*(ACT_END&gt;0)*IFERROR(ACT_POSTLIFT,0))),0)))</f>
        <v/>
      </c>
      <c r="M263" s="10">
        <f>IF(OR($H263&lt;&gt;"Y",4&lt;$I263),0,IF(SUMPRODUCT(((BULK_ENABLED="Y")*((BULK_TIER="ALL")+(BULK_TIER=$F263))*((BULK_SKU="ALL")+(BULK_SKU=$G263))*(BULK_START&lt;=4)*(BULK_END&gt;=4)))&gt;0,IFERROR(SUMPRODUCT(((BULK_ENABLED="Y")*((BULK_TIER="ALL")+(BULK_TIER=$F263))*((BULK_SKU="ALL")+(BULK_SKU=$G263))*(BULK_START&lt;=4)*(BULK_END&gt;=4))*IFERROR(BULK_VALUE,0))/MAX(1,SUMPRODUCT(((BULK_ENABLED="Y")*((BULK_TIER="ALL")+(BULK_TIER=$F263))*((BULK_SKU="ALL")+(BULK_SKU=$G263))*(BULK_START&lt;=4)*(BULK_END&gt;=4)))),0),ROUND((INDEX(VELOCITY_TABLE,MATCH($F263,TIER_LIST,0),1))*(IF((4-$I263+1)&lt;=0,0,IF((4-$I263+1)=1,RAMP_W1,IF((4-$I263+1)=2,RAMP_W2,IF((4-$I263+1)=3,RAMP_W3,RAMP_W4PLUS)))))*(INDEX(ACTIVE_MULT_TABLE,1,1))*(1+SUMPRODUCT(SIGN(((ACT_DOOR_SCOPE="ALL")+(ACT_DOOR_SCOPE="TIER_"&amp;$F263)+(ACT_DOOR_SCOPE=$B263)))*SIGN(((ACT_SKU_SCOPE="ALL")+(ACT_SKU_SCOPE=$G263)))*(ACT_START&lt;=4)*(ACT_END&gt;=4)*IFERROR(ACT_UPLIFT-1,0)))*(1+SUMPRODUCT(SIGN(((ACT_DOOR_SCOPE="ALL")+(ACT_DOOR_SCOPE="TIER_"&amp;$F263)+(ACT_DOOR_SCOPE=$B263)))*SIGN(((ACT_SKU_SCOPE="ALL")+(ACT_SKU_SCOPE=$G263)))*(4&gt;ACT_END)*(ACT_END&gt;0)*IFERROR(ACT_POSTLIFT,0))),0)))</f>
        <v/>
      </c>
      <c r="N263" s="10">
        <f>IF(OR($H263&lt;&gt;"Y",5&lt;$I263),0,IF(SUMPRODUCT(((BULK_ENABLED="Y")*((BULK_TIER="ALL")+(BULK_TIER=$F263))*((BULK_SKU="ALL")+(BULK_SKU=$G263))*(BULK_START&lt;=5)*(BULK_END&gt;=5)))&gt;0,IFERROR(SUMPRODUCT(((BULK_ENABLED="Y")*((BULK_TIER="ALL")+(BULK_TIER=$F263))*((BULK_SKU="ALL")+(BULK_SKU=$G263))*(BULK_START&lt;=5)*(BULK_END&gt;=5))*IFERROR(BULK_VALUE,0))/MAX(1,SUMPRODUCT(((BULK_ENABLED="Y")*((BULK_TIER="ALL")+(BULK_TIER=$F263))*((BULK_SKU="ALL")+(BULK_SKU=$G263))*(BULK_START&lt;=5)*(BULK_END&gt;=5)))),0),ROUND((INDEX(VELOCITY_TABLE,MATCH($F263,TIER_LIST,0),1))*(IF((5-$I263+1)&lt;=0,0,IF((5-$I263+1)=1,RAMP_W1,IF((5-$I263+1)=2,RAMP_W2,IF((5-$I263+1)=3,RAMP_W3,RAMP_W4PLUS)))))*(INDEX(ACTIVE_MULT_TABLE,1,1))*(1+SUMPRODUCT(SIGN(((ACT_DOOR_SCOPE="ALL")+(ACT_DOOR_SCOPE="TIER_"&amp;$F263)+(ACT_DOOR_SCOPE=$B263)))*SIGN(((ACT_SKU_SCOPE="ALL")+(ACT_SKU_SCOPE=$G263)))*(ACT_START&lt;=5)*(ACT_END&gt;=5)*IFERROR(ACT_UPLIFT-1,0)))*(1+SUMPRODUCT(SIGN(((ACT_DOOR_SCOPE="ALL")+(ACT_DOOR_SCOPE="TIER_"&amp;$F263)+(ACT_DOOR_SCOPE=$B263)))*SIGN(((ACT_SKU_SCOPE="ALL")+(ACT_SKU_SCOPE=$G263)))*(5&gt;ACT_END)*(ACT_END&gt;0)*IFERROR(ACT_POSTLIFT,0))),0)))</f>
        <v/>
      </c>
      <c r="O263" s="10">
        <f>IF(OR($H263&lt;&gt;"Y",6&lt;$I263),0,IF(SUMPRODUCT(((BULK_ENABLED="Y")*((BULK_TIER="ALL")+(BULK_TIER=$F263))*((BULK_SKU="ALL")+(BULK_SKU=$G263))*(BULK_START&lt;=6)*(BULK_END&gt;=6)))&gt;0,IFERROR(SUMPRODUCT(((BULK_ENABLED="Y")*((BULK_TIER="ALL")+(BULK_TIER=$F263))*((BULK_SKU="ALL")+(BULK_SKU=$G263))*(BULK_START&lt;=6)*(BULK_END&gt;=6))*IFERROR(BULK_VALUE,0))/MAX(1,SUMPRODUCT(((BULK_ENABLED="Y")*((BULK_TIER="ALL")+(BULK_TIER=$F263))*((BULK_SKU="ALL")+(BULK_SKU=$G263))*(BULK_START&lt;=6)*(BULK_END&gt;=6)))),0),ROUND((INDEX(VELOCITY_TABLE,MATCH($F263,TIER_LIST,0),1))*(IF((6-$I263+1)&lt;=0,0,IF((6-$I263+1)=1,RAMP_W1,IF((6-$I263+1)=2,RAMP_W2,IF((6-$I263+1)=3,RAMP_W3,RAMP_W4PLUS)))))*(INDEX(ACTIVE_MULT_TABLE,1,1))*(1+SUMPRODUCT(SIGN(((ACT_DOOR_SCOPE="ALL")+(ACT_DOOR_SCOPE="TIER_"&amp;$F263)+(ACT_DOOR_SCOPE=$B263)))*SIGN(((ACT_SKU_SCOPE="ALL")+(ACT_SKU_SCOPE=$G263)))*(ACT_START&lt;=6)*(ACT_END&gt;=6)*IFERROR(ACT_UPLIFT-1,0)))*(1+SUMPRODUCT(SIGN(((ACT_DOOR_SCOPE="ALL")+(ACT_DOOR_SCOPE="TIER_"&amp;$F263)+(ACT_DOOR_SCOPE=$B263)))*SIGN(((ACT_SKU_SCOPE="ALL")+(ACT_SKU_SCOPE=$G263)))*(6&gt;ACT_END)*(ACT_END&gt;0)*IFERROR(ACT_POSTLIFT,0))),0)))</f>
        <v/>
      </c>
      <c r="P263" s="10">
        <f>IF(OR($H263&lt;&gt;"Y",7&lt;$I263),0,IF(SUMPRODUCT(((BULK_ENABLED="Y")*((BULK_TIER="ALL")+(BULK_TIER=$F263))*((BULK_SKU="ALL")+(BULK_SKU=$G263))*(BULK_START&lt;=7)*(BULK_END&gt;=7)))&gt;0,IFERROR(SUMPRODUCT(((BULK_ENABLED="Y")*((BULK_TIER="ALL")+(BULK_TIER=$F263))*((BULK_SKU="ALL")+(BULK_SKU=$G263))*(BULK_START&lt;=7)*(BULK_END&gt;=7))*IFERROR(BULK_VALUE,0))/MAX(1,SUMPRODUCT(((BULK_ENABLED="Y")*((BULK_TIER="ALL")+(BULK_TIER=$F263))*((BULK_SKU="ALL")+(BULK_SKU=$G263))*(BULK_START&lt;=7)*(BULK_END&gt;=7)))),0),ROUND((INDEX(VELOCITY_TABLE,MATCH($F263,TIER_LIST,0),1))*(IF((7-$I263+1)&lt;=0,0,IF((7-$I263+1)=1,RAMP_W1,IF((7-$I263+1)=2,RAMP_W2,IF((7-$I263+1)=3,RAMP_W3,RAMP_W4PLUS)))))*(INDEX(ACTIVE_MULT_TABLE,1,1))*(1+SUMPRODUCT(SIGN(((ACT_DOOR_SCOPE="ALL")+(ACT_DOOR_SCOPE="TIER_"&amp;$F263)+(ACT_DOOR_SCOPE=$B263)))*SIGN(((ACT_SKU_SCOPE="ALL")+(ACT_SKU_SCOPE=$G263)))*(ACT_START&lt;=7)*(ACT_END&gt;=7)*IFERROR(ACT_UPLIFT-1,0)))*(1+SUMPRODUCT(SIGN(((ACT_DOOR_SCOPE="ALL")+(ACT_DOOR_SCOPE="TIER_"&amp;$F263)+(ACT_DOOR_SCOPE=$B263)))*SIGN(((ACT_SKU_SCOPE="ALL")+(ACT_SKU_SCOPE=$G263)))*(7&gt;ACT_END)*(ACT_END&gt;0)*IFERROR(ACT_POSTLIFT,0))),0)))</f>
        <v/>
      </c>
      <c r="Q263" s="10">
        <f>IF(OR($H263&lt;&gt;"Y",8&lt;$I263),0,IF(SUMPRODUCT(((BULK_ENABLED="Y")*((BULK_TIER="ALL")+(BULK_TIER=$F263))*((BULK_SKU="ALL")+(BULK_SKU=$G263))*(BULK_START&lt;=8)*(BULK_END&gt;=8)))&gt;0,IFERROR(SUMPRODUCT(((BULK_ENABLED="Y")*((BULK_TIER="ALL")+(BULK_TIER=$F263))*((BULK_SKU="ALL")+(BULK_SKU=$G263))*(BULK_START&lt;=8)*(BULK_END&gt;=8))*IFERROR(BULK_VALUE,0))/MAX(1,SUMPRODUCT(((BULK_ENABLED="Y")*((BULK_TIER="ALL")+(BULK_TIER=$F263))*((BULK_SKU="ALL")+(BULK_SKU=$G263))*(BULK_START&lt;=8)*(BULK_END&gt;=8)))),0),ROUND((INDEX(VELOCITY_TABLE,MATCH($F263,TIER_LIST,0),1))*(IF((8-$I263+1)&lt;=0,0,IF((8-$I263+1)=1,RAMP_W1,IF((8-$I263+1)=2,RAMP_W2,IF((8-$I263+1)=3,RAMP_W3,RAMP_W4PLUS)))))*(INDEX(ACTIVE_MULT_TABLE,1,1))*(1+SUMPRODUCT(SIGN(((ACT_DOOR_SCOPE="ALL")+(ACT_DOOR_SCOPE="TIER_"&amp;$F263)+(ACT_DOOR_SCOPE=$B263)))*SIGN(((ACT_SKU_SCOPE="ALL")+(ACT_SKU_SCOPE=$G263)))*(ACT_START&lt;=8)*(ACT_END&gt;=8)*IFERROR(ACT_UPLIFT-1,0)))*(1+SUMPRODUCT(SIGN(((ACT_DOOR_SCOPE="ALL")+(ACT_DOOR_SCOPE="TIER_"&amp;$F263)+(ACT_DOOR_SCOPE=$B263)))*SIGN(((ACT_SKU_SCOPE="ALL")+(ACT_SKU_SCOPE=$G263)))*(8&gt;ACT_END)*(ACT_END&gt;0)*IFERROR(ACT_POSTLIFT,0))),0)))</f>
        <v/>
      </c>
      <c r="R263" s="10">
        <f>IF(OR($H263&lt;&gt;"Y",9&lt;$I263),0,IF(SUMPRODUCT(((BULK_ENABLED="Y")*((BULK_TIER="ALL")+(BULK_TIER=$F263))*((BULK_SKU="ALL")+(BULK_SKU=$G263))*(BULK_START&lt;=9)*(BULK_END&gt;=9)))&gt;0,IFERROR(SUMPRODUCT(((BULK_ENABLED="Y")*((BULK_TIER="ALL")+(BULK_TIER=$F263))*((BULK_SKU="ALL")+(BULK_SKU=$G263))*(BULK_START&lt;=9)*(BULK_END&gt;=9))*IFERROR(BULK_VALUE,0))/MAX(1,SUMPRODUCT(((BULK_ENABLED="Y")*((BULK_TIER="ALL")+(BULK_TIER=$F263))*((BULK_SKU="ALL")+(BULK_SKU=$G263))*(BULK_START&lt;=9)*(BULK_END&gt;=9)))),0),ROUND((INDEX(VELOCITY_TABLE,MATCH($F263,TIER_LIST,0),1))*(IF((9-$I263+1)&lt;=0,0,IF((9-$I263+1)=1,RAMP_W1,IF((9-$I263+1)=2,RAMP_W2,IF((9-$I263+1)=3,RAMP_W3,RAMP_W4PLUS)))))*(INDEX(ACTIVE_MULT_TABLE,1,1))*(1+SUMPRODUCT(SIGN(((ACT_DOOR_SCOPE="ALL")+(ACT_DOOR_SCOPE="TIER_"&amp;$F263)+(ACT_DOOR_SCOPE=$B263)))*SIGN(((ACT_SKU_SCOPE="ALL")+(ACT_SKU_SCOPE=$G263)))*(ACT_START&lt;=9)*(ACT_END&gt;=9)*IFERROR(ACT_UPLIFT-1,0)))*(1+SUMPRODUCT(SIGN(((ACT_DOOR_SCOPE="ALL")+(ACT_DOOR_SCOPE="TIER_"&amp;$F263)+(ACT_DOOR_SCOPE=$B263)))*SIGN(((ACT_SKU_SCOPE="ALL")+(ACT_SKU_SCOPE=$G263)))*(9&gt;ACT_END)*(ACT_END&gt;0)*IFERROR(ACT_POSTLIFT,0))),0)))</f>
        <v/>
      </c>
      <c r="S263" s="10">
        <f>IF(OR($H263&lt;&gt;"Y",10&lt;$I263),0,IF(SUMPRODUCT(((BULK_ENABLED="Y")*((BULK_TIER="ALL")+(BULK_TIER=$F263))*((BULK_SKU="ALL")+(BULK_SKU=$G263))*(BULK_START&lt;=10)*(BULK_END&gt;=10)))&gt;0,IFERROR(SUMPRODUCT(((BULK_ENABLED="Y")*((BULK_TIER="ALL")+(BULK_TIER=$F263))*((BULK_SKU="ALL")+(BULK_SKU=$G263))*(BULK_START&lt;=10)*(BULK_END&gt;=10))*IFERROR(BULK_VALUE,0))/MAX(1,SUMPRODUCT(((BULK_ENABLED="Y")*((BULK_TIER="ALL")+(BULK_TIER=$F263))*((BULK_SKU="ALL")+(BULK_SKU=$G263))*(BULK_START&lt;=10)*(BULK_END&gt;=10)))),0),ROUND((INDEX(VELOCITY_TABLE,MATCH($F263,TIER_LIST,0),1))*(IF((10-$I263+1)&lt;=0,0,IF((10-$I263+1)=1,RAMP_W1,IF((10-$I263+1)=2,RAMP_W2,IF((10-$I263+1)=3,RAMP_W3,RAMP_W4PLUS)))))*(INDEX(ACTIVE_MULT_TABLE,1,1))*(1+SUMPRODUCT(SIGN(((ACT_DOOR_SCOPE="ALL")+(ACT_DOOR_SCOPE="TIER_"&amp;$F263)+(ACT_DOOR_SCOPE=$B263)))*SIGN(((ACT_SKU_SCOPE="ALL")+(ACT_SKU_SCOPE=$G263)))*(ACT_START&lt;=10)*(ACT_END&gt;=10)*IFERROR(ACT_UPLIFT-1,0)))*(1+SUMPRODUCT(SIGN(((ACT_DOOR_SCOPE="ALL")+(ACT_DOOR_SCOPE="TIER_"&amp;$F263)+(ACT_DOOR_SCOPE=$B263)))*SIGN(((ACT_SKU_SCOPE="ALL")+(ACT_SKU_SCOPE=$G263)))*(10&gt;ACT_END)*(ACT_END&gt;0)*IFERROR(ACT_POSTLIFT,0))),0)))</f>
        <v/>
      </c>
      <c r="T263" s="10">
        <f>IF(OR($H263&lt;&gt;"Y",11&lt;$I263),0,IF(SUMPRODUCT(((BULK_ENABLED="Y")*((BULK_TIER="ALL")+(BULK_TIER=$F263))*((BULK_SKU="ALL")+(BULK_SKU=$G263))*(BULK_START&lt;=11)*(BULK_END&gt;=11)))&gt;0,IFERROR(SUMPRODUCT(((BULK_ENABLED="Y")*((BULK_TIER="ALL")+(BULK_TIER=$F263))*((BULK_SKU="ALL")+(BULK_SKU=$G263))*(BULK_START&lt;=11)*(BULK_END&gt;=11))*IFERROR(BULK_VALUE,0))/MAX(1,SUMPRODUCT(((BULK_ENABLED="Y")*((BULK_TIER="ALL")+(BULK_TIER=$F263))*((BULK_SKU="ALL")+(BULK_SKU=$G263))*(BULK_START&lt;=11)*(BULK_END&gt;=11)))),0),ROUND((INDEX(VELOCITY_TABLE,MATCH($F263,TIER_LIST,0),1))*(IF((11-$I263+1)&lt;=0,0,IF((11-$I263+1)=1,RAMP_W1,IF((11-$I263+1)=2,RAMP_W2,IF((11-$I263+1)=3,RAMP_W3,RAMP_W4PLUS)))))*(INDEX(ACTIVE_MULT_TABLE,1,1))*(1+SUMPRODUCT(SIGN(((ACT_DOOR_SCOPE="ALL")+(ACT_DOOR_SCOPE="TIER_"&amp;$F263)+(ACT_DOOR_SCOPE=$B263)))*SIGN(((ACT_SKU_SCOPE="ALL")+(ACT_SKU_SCOPE=$G263)))*(ACT_START&lt;=11)*(ACT_END&gt;=11)*IFERROR(ACT_UPLIFT-1,0)))*(1+SUMPRODUCT(SIGN(((ACT_DOOR_SCOPE="ALL")+(ACT_DOOR_SCOPE="TIER_"&amp;$F263)+(ACT_DOOR_SCOPE=$B263)))*SIGN(((ACT_SKU_SCOPE="ALL")+(ACT_SKU_SCOPE=$G263)))*(11&gt;ACT_END)*(ACT_END&gt;0)*IFERROR(ACT_POSTLIFT,0))),0)))</f>
        <v/>
      </c>
      <c r="U263" s="10">
        <f>IF(OR($H263&lt;&gt;"Y",12&lt;$I263),0,IF(SUMPRODUCT(((BULK_ENABLED="Y")*((BULK_TIER="ALL")+(BULK_TIER=$F263))*((BULK_SKU="ALL")+(BULK_SKU=$G263))*(BULK_START&lt;=12)*(BULK_END&gt;=12)))&gt;0,IFERROR(SUMPRODUCT(((BULK_ENABLED="Y")*((BULK_TIER="ALL")+(BULK_TIER=$F263))*((BULK_SKU="ALL")+(BULK_SKU=$G263))*(BULK_START&lt;=12)*(BULK_END&gt;=12))*IFERROR(BULK_VALUE,0))/MAX(1,SUMPRODUCT(((BULK_ENABLED="Y")*((BULK_TIER="ALL")+(BULK_TIER=$F263))*((BULK_SKU="ALL")+(BULK_SKU=$G263))*(BULK_START&lt;=12)*(BULK_END&gt;=12)))),0),ROUND((INDEX(VELOCITY_TABLE,MATCH($F263,TIER_LIST,0),1))*(IF((12-$I263+1)&lt;=0,0,IF((12-$I263+1)=1,RAMP_W1,IF((12-$I263+1)=2,RAMP_W2,IF((12-$I263+1)=3,RAMP_W3,RAMP_W4PLUS)))))*(INDEX(ACTIVE_MULT_TABLE,1,1))*(1+SUMPRODUCT(SIGN(((ACT_DOOR_SCOPE="ALL")+(ACT_DOOR_SCOPE="TIER_"&amp;$F263)+(ACT_DOOR_SCOPE=$B263)))*SIGN(((ACT_SKU_SCOPE="ALL")+(ACT_SKU_SCOPE=$G263)))*(ACT_START&lt;=12)*(ACT_END&gt;=12)*IFERROR(ACT_UPLIFT-1,0)))*(1+SUMPRODUCT(SIGN(((ACT_DOOR_SCOPE="ALL")+(ACT_DOOR_SCOPE="TIER_"&amp;$F263)+(ACT_DOOR_SCOPE=$B263)))*SIGN(((ACT_SKU_SCOPE="ALL")+(ACT_SKU_SCOPE=$G263)))*(12&gt;ACT_END)*(ACT_END&gt;0)*IFERROR(ACT_POSTLIFT,0))),0)))</f>
        <v/>
      </c>
      <c r="V263" s="10">
        <f>IF(OR($H263&lt;&gt;"Y",13&lt;$I263),0,IF(SUMPRODUCT(((BULK_ENABLED="Y")*((BULK_TIER="ALL")+(BULK_TIER=$F263))*((BULK_SKU="ALL")+(BULK_SKU=$G263))*(BULK_START&lt;=13)*(BULK_END&gt;=13)))&gt;0,IFERROR(SUMPRODUCT(((BULK_ENABLED="Y")*((BULK_TIER="ALL")+(BULK_TIER=$F263))*((BULK_SKU="ALL")+(BULK_SKU=$G263))*(BULK_START&lt;=13)*(BULK_END&gt;=13))*IFERROR(BULK_VALUE,0))/MAX(1,SUMPRODUCT(((BULK_ENABLED="Y")*((BULK_TIER="ALL")+(BULK_TIER=$F263))*((BULK_SKU="ALL")+(BULK_SKU=$G263))*(BULK_START&lt;=13)*(BULK_END&gt;=13)))),0),ROUND((INDEX(VELOCITY_TABLE,MATCH($F263,TIER_LIST,0),1))*(IF((13-$I263+1)&lt;=0,0,IF((13-$I263+1)=1,RAMP_W1,IF((13-$I263+1)=2,RAMP_W2,IF((13-$I263+1)=3,RAMP_W3,RAMP_W4PLUS)))))*(INDEX(ACTIVE_MULT_TABLE,1,1))*(1+SUMPRODUCT(SIGN(((ACT_DOOR_SCOPE="ALL")+(ACT_DOOR_SCOPE="TIER_"&amp;$F263)+(ACT_DOOR_SCOPE=$B263)))*SIGN(((ACT_SKU_SCOPE="ALL")+(ACT_SKU_SCOPE=$G263)))*(ACT_START&lt;=13)*(ACT_END&gt;=13)*IFERROR(ACT_UPLIFT-1,0)))*(1+SUMPRODUCT(SIGN(((ACT_DOOR_SCOPE="ALL")+(ACT_DOOR_SCOPE="TIER_"&amp;$F263)+(ACT_DOOR_SCOPE=$B263)))*SIGN(((ACT_SKU_SCOPE="ALL")+(ACT_SKU_SCOPE=$G263)))*(13&gt;ACT_END)*(ACT_END&gt;0)*IFERROR(ACT_POSTLIFT,0))),0)))</f>
        <v/>
      </c>
    </row>
    <row r="264">
      <c r="A264" t="inlineStr">
        <is>
          <t>R0260</t>
        </is>
      </c>
      <c r="B264">
        <f>Doors!$A$91</f>
        <v/>
      </c>
      <c r="C264">
        <f>Doors!$C$91</f>
        <v/>
      </c>
      <c r="D264">
        <f>Doors!$B$91</f>
        <v/>
      </c>
      <c r="E264">
        <f>Doors!$E$91</f>
        <v/>
      </c>
      <c r="F264">
        <f>Doors!$F$91</f>
        <v/>
      </c>
      <c r="G264" t="inlineStr">
        <is>
          <t>Pineapple Passion Fruit</t>
        </is>
      </c>
      <c r="H264">
        <f>Doors!$H$91</f>
        <v/>
      </c>
      <c r="I264">
        <f>Doors!$J$91</f>
        <v/>
      </c>
      <c r="J264" s="10">
        <f>IF(OR($H264&lt;&gt;"Y",1&lt;$I264),0,IF(SUMPRODUCT(((BULK_ENABLED="Y")*((BULK_TIER="ALL")+(BULK_TIER=$F264))*((BULK_SKU="ALL")+(BULK_SKU=$G264))*(BULK_START&lt;=1)*(BULK_END&gt;=1)))&gt;0,IFERROR(SUMPRODUCT(((BULK_ENABLED="Y")*((BULK_TIER="ALL")+(BULK_TIER=$F264))*((BULK_SKU="ALL")+(BULK_SKU=$G264))*(BULK_START&lt;=1)*(BULK_END&gt;=1))*IFERROR(BULK_VALUE,0))/MAX(1,SUMPRODUCT(((BULK_ENABLED="Y")*((BULK_TIER="ALL")+(BULK_TIER=$F264))*((BULK_SKU="ALL")+(BULK_SKU=$G264))*(BULK_START&lt;=1)*(BULK_END&gt;=1)))),0),ROUND((INDEX(VELOCITY_TABLE,MATCH($F264,TIER_LIST,0),2))*(IF((1-$I264+1)&lt;=0,0,IF((1-$I264+1)=1,RAMP_W1,IF((1-$I264+1)=2,RAMP_W2,IF((1-$I264+1)=3,RAMP_W3,RAMP_W4PLUS)))))*(INDEX(ACTIVE_MULT_TABLE,2,1))*(1+SUMPRODUCT(SIGN(((ACT_DOOR_SCOPE="ALL")+(ACT_DOOR_SCOPE="TIER_"&amp;$F264)+(ACT_DOOR_SCOPE=$B264)))*SIGN(((ACT_SKU_SCOPE="ALL")+(ACT_SKU_SCOPE=$G264)))*(ACT_START&lt;=1)*(ACT_END&gt;=1)*IFERROR(ACT_UPLIFT-1,0)))*(1+SUMPRODUCT(SIGN(((ACT_DOOR_SCOPE="ALL")+(ACT_DOOR_SCOPE="TIER_"&amp;$F264)+(ACT_DOOR_SCOPE=$B264)))*SIGN(((ACT_SKU_SCOPE="ALL")+(ACT_SKU_SCOPE=$G264)))*(1&gt;ACT_END)*(ACT_END&gt;0)*IFERROR(ACT_POSTLIFT,0))),0)))</f>
        <v/>
      </c>
      <c r="K264" s="10">
        <f>IF(OR($H264&lt;&gt;"Y",2&lt;$I264),0,IF(SUMPRODUCT(((BULK_ENABLED="Y")*((BULK_TIER="ALL")+(BULK_TIER=$F264))*((BULK_SKU="ALL")+(BULK_SKU=$G264))*(BULK_START&lt;=2)*(BULK_END&gt;=2)))&gt;0,IFERROR(SUMPRODUCT(((BULK_ENABLED="Y")*((BULK_TIER="ALL")+(BULK_TIER=$F264))*((BULK_SKU="ALL")+(BULK_SKU=$G264))*(BULK_START&lt;=2)*(BULK_END&gt;=2))*IFERROR(BULK_VALUE,0))/MAX(1,SUMPRODUCT(((BULK_ENABLED="Y")*((BULK_TIER="ALL")+(BULK_TIER=$F264))*((BULK_SKU="ALL")+(BULK_SKU=$G264))*(BULK_START&lt;=2)*(BULK_END&gt;=2)))),0),ROUND((INDEX(VELOCITY_TABLE,MATCH($F264,TIER_LIST,0),2))*(IF((2-$I264+1)&lt;=0,0,IF((2-$I264+1)=1,RAMP_W1,IF((2-$I264+1)=2,RAMP_W2,IF((2-$I264+1)=3,RAMP_W3,RAMP_W4PLUS)))))*(INDEX(ACTIVE_MULT_TABLE,2,1))*(1+SUMPRODUCT(SIGN(((ACT_DOOR_SCOPE="ALL")+(ACT_DOOR_SCOPE="TIER_"&amp;$F264)+(ACT_DOOR_SCOPE=$B264)))*SIGN(((ACT_SKU_SCOPE="ALL")+(ACT_SKU_SCOPE=$G264)))*(ACT_START&lt;=2)*(ACT_END&gt;=2)*IFERROR(ACT_UPLIFT-1,0)))*(1+SUMPRODUCT(SIGN(((ACT_DOOR_SCOPE="ALL")+(ACT_DOOR_SCOPE="TIER_"&amp;$F264)+(ACT_DOOR_SCOPE=$B264)))*SIGN(((ACT_SKU_SCOPE="ALL")+(ACT_SKU_SCOPE=$G264)))*(2&gt;ACT_END)*(ACT_END&gt;0)*IFERROR(ACT_POSTLIFT,0))),0)))</f>
        <v/>
      </c>
      <c r="L264" s="10">
        <f>IF(OR($H264&lt;&gt;"Y",3&lt;$I264),0,IF(SUMPRODUCT(((BULK_ENABLED="Y")*((BULK_TIER="ALL")+(BULK_TIER=$F264))*((BULK_SKU="ALL")+(BULK_SKU=$G264))*(BULK_START&lt;=3)*(BULK_END&gt;=3)))&gt;0,IFERROR(SUMPRODUCT(((BULK_ENABLED="Y")*((BULK_TIER="ALL")+(BULK_TIER=$F264))*((BULK_SKU="ALL")+(BULK_SKU=$G264))*(BULK_START&lt;=3)*(BULK_END&gt;=3))*IFERROR(BULK_VALUE,0))/MAX(1,SUMPRODUCT(((BULK_ENABLED="Y")*((BULK_TIER="ALL")+(BULK_TIER=$F264))*((BULK_SKU="ALL")+(BULK_SKU=$G264))*(BULK_START&lt;=3)*(BULK_END&gt;=3)))),0),ROUND((INDEX(VELOCITY_TABLE,MATCH($F264,TIER_LIST,0),2))*(IF((3-$I264+1)&lt;=0,0,IF((3-$I264+1)=1,RAMP_W1,IF((3-$I264+1)=2,RAMP_W2,IF((3-$I264+1)=3,RAMP_W3,RAMP_W4PLUS)))))*(INDEX(ACTIVE_MULT_TABLE,2,1))*(1+SUMPRODUCT(SIGN(((ACT_DOOR_SCOPE="ALL")+(ACT_DOOR_SCOPE="TIER_"&amp;$F264)+(ACT_DOOR_SCOPE=$B264)))*SIGN(((ACT_SKU_SCOPE="ALL")+(ACT_SKU_SCOPE=$G264)))*(ACT_START&lt;=3)*(ACT_END&gt;=3)*IFERROR(ACT_UPLIFT-1,0)))*(1+SUMPRODUCT(SIGN(((ACT_DOOR_SCOPE="ALL")+(ACT_DOOR_SCOPE="TIER_"&amp;$F264)+(ACT_DOOR_SCOPE=$B264)))*SIGN(((ACT_SKU_SCOPE="ALL")+(ACT_SKU_SCOPE=$G264)))*(3&gt;ACT_END)*(ACT_END&gt;0)*IFERROR(ACT_POSTLIFT,0))),0)))</f>
        <v/>
      </c>
      <c r="M264" s="10">
        <f>IF(OR($H264&lt;&gt;"Y",4&lt;$I264),0,IF(SUMPRODUCT(((BULK_ENABLED="Y")*((BULK_TIER="ALL")+(BULK_TIER=$F264))*((BULK_SKU="ALL")+(BULK_SKU=$G264))*(BULK_START&lt;=4)*(BULK_END&gt;=4)))&gt;0,IFERROR(SUMPRODUCT(((BULK_ENABLED="Y")*((BULK_TIER="ALL")+(BULK_TIER=$F264))*((BULK_SKU="ALL")+(BULK_SKU=$G264))*(BULK_START&lt;=4)*(BULK_END&gt;=4))*IFERROR(BULK_VALUE,0))/MAX(1,SUMPRODUCT(((BULK_ENABLED="Y")*((BULK_TIER="ALL")+(BULK_TIER=$F264))*((BULK_SKU="ALL")+(BULK_SKU=$G264))*(BULK_START&lt;=4)*(BULK_END&gt;=4)))),0),ROUND((INDEX(VELOCITY_TABLE,MATCH($F264,TIER_LIST,0),2))*(IF((4-$I264+1)&lt;=0,0,IF((4-$I264+1)=1,RAMP_W1,IF((4-$I264+1)=2,RAMP_W2,IF((4-$I264+1)=3,RAMP_W3,RAMP_W4PLUS)))))*(INDEX(ACTIVE_MULT_TABLE,2,1))*(1+SUMPRODUCT(SIGN(((ACT_DOOR_SCOPE="ALL")+(ACT_DOOR_SCOPE="TIER_"&amp;$F264)+(ACT_DOOR_SCOPE=$B264)))*SIGN(((ACT_SKU_SCOPE="ALL")+(ACT_SKU_SCOPE=$G264)))*(ACT_START&lt;=4)*(ACT_END&gt;=4)*IFERROR(ACT_UPLIFT-1,0)))*(1+SUMPRODUCT(SIGN(((ACT_DOOR_SCOPE="ALL")+(ACT_DOOR_SCOPE="TIER_"&amp;$F264)+(ACT_DOOR_SCOPE=$B264)))*SIGN(((ACT_SKU_SCOPE="ALL")+(ACT_SKU_SCOPE=$G264)))*(4&gt;ACT_END)*(ACT_END&gt;0)*IFERROR(ACT_POSTLIFT,0))),0)))</f>
        <v/>
      </c>
      <c r="N264" s="10">
        <f>IF(OR($H264&lt;&gt;"Y",5&lt;$I264),0,IF(SUMPRODUCT(((BULK_ENABLED="Y")*((BULK_TIER="ALL")+(BULK_TIER=$F264))*((BULK_SKU="ALL")+(BULK_SKU=$G264))*(BULK_START&lt;=5)*(BULK_END&gt;=5)))&gt;0,IFERROR(SUMPRODUCT(((BULK_ENABLED="Y")*((BULK_TIER="ALL")+(BULK_TIER=$F264))*((BULK_SKU="ALL")+(BULK_SKU=$G264))*(BULK_START&lt;=5)*(BULK_END&gt;=5))*IFERROR(BULK_VALUE,0))/MAX(1,SUMPRODUCT(((BULK_ENABLED="Y")*((BULK_TIER="ALL")+(BULK_TIER=$F264))*((BULK_SKU="ALL")+(BULK_SKU=$G264))*(BULK_START&lt;=5)*(BULK_END&gt;=5)))),0),ROUND((INDEX(VELOCITY_TABLE,MATCH($F264,TIER_LIST,0),2))*(IF((5-$I264+1)&lt;=0,0,IF((5-$I264+1)=1,RAMP_W1,IF((5-$I264+1)=2,RAMP_W2,IF((5-$I264+1)=3,RAMP_W3,RAMP_W4PLUS)))))*(INDEX(ACTIVE_MULT_TABLE,2,1))*(1+SUMPRODUCT(SIGN(((ACT_DOOR_SCOPE="ALL")+(ACT_DOOR_SCOPE="TIER_"&amp;$F264)+(ACT_DOOR_SCOPE=$B264)))*SIGN(((ACT_SKU_SCOPE="ALL")+(ACT_SKU_SCOPE=$G264)))*(ACT_START&lt;=5)*(ACT_END&gt;=5)*IFERROR(ACT_UPLIFT-1,0)))*(1+SUMPRODUCT(SIGN(((ACT_DOOR_SCOPE="ALL")+(ACT_DOOR_SCOPE="TIER_"&amp;$F264)+(ACT_DOOR_SCOPE=$B264)))*SIGN(((ACT_SKU_SCOPE="ALL")+(ACT_SKU_SCOPE=$G264)))*(5&gt;ACT_END)*(ACT_END&gt;0)*IFERROR(ACT_POSTLIFT,0))),0)))</f>
        <v/>
      </c>
      <c r="O264" s="10">
        <f>IF(OR($H264&lt;&gt;"Y",6&lt;$I264),0,IF(SUMPRODUCT(((BULK_ENABLED="Y")*((BULK_TIER="ALL")+(BULK_TIER=$F264))*((BULK_SKU="ALL")+(BULK_SKU=$G264))*(BULK_START&lt;=6)*(BULK_END&gt;=6)))&gt;0,IFERROR(SUMPRODUCT(((BULK_ENABLED="Y")*((BULK_TIER="ALL")+(BULK_TIER=$F264))*((BULK_SKU="ALL")+(BULK_SKU=$G264))*(BULK_START&lt;=6)*(BULK_END&gt;=6))*IFERROR(BULK_VALUE,0))/MAX(1,SUMPRODUCT(((BULK_ENABLED="Y")*((BULK_TIER="ALL")+(BULK_TIER=$F264))*((BULK_SKU="ALL")+(BULK_SKU=$G264))*(BULK_START&lt;=6)*(BULK_END&gt;=6)))),0),ROUND((INDEX(VELOCITY_TABLE,MATCH($F264,TIER_LIST,0),2))*(IF((6-$I264+1)&lt;=0,0,IF((6-$I264+1)=1,RAMP_W1,IF((6-$I264+1)=2,RAMP_W2,IF((6-$I264+1)=3,RAMP_W3,RAMP_W4PLUS)))))*(INDEX(ACTIVE_MULT_TABLE,2,1))*(1+SUMPRODUCT(SIGN(((ACT_DOOR_SCOPE="ALL")+(ACT_DOOR_SCOPE="TIER_"&amp;$F264)+(ACT_DOOR_SCOPE=$B264)))*SIGN(((ACT_SKU_SCOPE="ALL")+(ACT_SKU_SCOPE=$G264)))*(ACT_START&lt;=6)*(ACT_END&gt;=6)*IFERROR(ACT_UPLIFT-1,0)))*(1+SUMPRODUCT(SIGN(((ACT_DOOR_SCOPE="ALL")+(ACT_DOOR_SCOPE="TIER_"&amp;$F264)+(ACT_DOOR_SCOPE=$B264)))*SIGN(((ACT_SKU_SCOPE="ALL")+(ACT_SKU_SCOPE=$G264)))*(6&gt;ACT_END)*(ACT_END&gt;0)*IFERROR(ACT_POSTLIFT,0))),0)))</f>
        <v/>
      </c>
      <c r="P264" s="10">
        <f>IF(OR($H264&lt;&gt;"Y",7&lt;$I264),0,IF(SUMPRODUCT(((BULK_ENABLED="Y")*((BULK_TIER="ALL")+(BULK_TIER=$F264))*((BULK_SKU="ALL")+(BULK_SKU=$G264))*(BULK_START&lt;=7)*(BULK_END&gt;=7)))&gt;0,IFERROR(SUMPRODUCT(((BULK_ENABLED="Y")*((BULK_TIER="ALL")+(BULK_TIER=$F264))*((BULK_SKU="ALL")+(BULK_SKU=$G264))*(BULK_START&lt;=7)*(BULK_END&gt;=7))*IFERROR(BULK_VALUE,0))/MAX(1,SUMPRODUCT(((BULK_ENABLED="Y")*((BULK_TIER="ALL")+(BULK_TIER=$F264))*((BULK_SKU="ALL")+(BULK_SKU=$G264))*(BULK_START&lt;=7)*(BULK_END&gt;=7)))),0),ROUND((INDEX(VELOCITY_TABLE,MATCH($F264,TIER_LIST,0),2))*(IF((7-$I264+1)&lt;=0,0,IF((7-$I264+1)=1,RAMP_W1,IF((7-$I264+1)=2,RAMP_W2,IF((7-$I264+1)=3,RAMP_W3,RAMP_W4PLUS)))))*(INDEX(ACTIVE_MULT_TABLE,2,1))*(1+SUMPRODUCT(SIGN(((ACT_DOOR_SCOPE="ALL")+(ACT_DOOR_SCOPE="TIER_"&amp;$F264)+(ACT_DOOR_SCOPE=$B264)))*SIGN(((ACT_SKU_SCOPE="ALL")+(ACT_SKU_SCOPE=$G264)))*(ACT_START&lt;=7)*(ACT_END&gt;=7)*IFERROR(ACT_UPLIFT-1,0)))*(1+SUMPRODUCT(SIGN(((ACT_DOOR_SCOPE="ALL")+(ACT_DOOR_SCOPE="TIER_"&amp;$F264)+(ACT_DOOR_SCOPE=$B264)))*SIGN(((ACT_SKU_SCOPE="ALL")+(ACT_SKU_SCOPE=$G264)))*(7&gt;ACT_END)*(ACT_END&gt;0)*IFERROR(ACT_POSTLIFT,0))),0)))</f>
        <v/>
      </c>
      <c r="Q264" s="10">
        <f>IF(OR($H264&lt;&gt;"Y",8&lt;$I264),0,IF(SUMPRODUCT(((BULK_ENABLED="Y")*((BULK_TIER="ALL")+(BULK_TIER=$F264))*((BULK_SKU="ALL")+(BULK_SKU=$G264))*(BULK_START&lt;=8)*(BULK_END&gt;=8)))&gt;0,IFERROR(SUMPRODUCT(((BULK_ENABLED="Y")*((BULK_TIER="ALL")+(BULK_TIER=$F264))*((BULK_SKU="ALL")+(BULK_SKU=$G264))*(BULK_START&lt;=8)*(BULK_END&gt;=8))*IFERROR(BULK_VALUE,0))/MAX(1,SUMPRODUCT(((BULK_ENABLED="Y")*((BULK_TIER="ALL")+(BULK_TIER=$F264))*((BULK_SKU="ALL")+(BULK_SKU=$G264))*(BULK_START&lt;=8)*(BULK_END&gt;=8)))),0),ROUND((INDEX(VELOCITY_TABLE,MATCH($F264,TIER_LIST,0),2))*(IF((8-$I264+1)&lt;=0,0,IF((8-$I264+1)=1,RAMP_W1,IF((8-$I264+1)=2,RAMP_W2,IF((8-$I264+1)=3,RAMP_W3,RAMP_W4PLUS)))))*(INDEX(ACTIVE_MULT_TABLE,2,1))*(1+SUMPRODUCT(SIGN(((ACT_DOOR_SCOPE="ALL")+(ACT_DOOR_SCOPE="TIER_"&amp;$F264)+(ACT_DOOR_SCOPE=$B264)))*SIGN(((ACT_SKU_SCOPE="ALL")+(ACT_SKU_SCOPE=$G264)))*(ACT_START&lt;=8)*(ACT_END&gt;=8)*IFERROR(ACT_UPLIFT-1,0)))*(1+SUMPRODUCT(SIGN(((ACT_DOOR_SCOPE="ALL")+(ACT_DOOR_SCOPE="TIER_"&amp;$F264)+(ACT_DOOR_SCOPE=$B264)))*SIGN(((ACT_SKU_SCOPE="ALL")+(ACT_SKU_SCOPE=$G264)))*(8&gt;ACT_END)*(ACT_END&gt;0)*IFERROR(ACT_POSTLIFT,0))),0)))</f>
        <v/>
      </c>
      <c r="R264" s="10">
        <f>IF(OR($H264&lt;&gt;"Y",9&lt;$I264),0,IF(SUMPRODUCT(((BULK_ENABLED="Y")*((BULK_TIER="ALL")+(BULK_TIER=$F264))*((BULK_SKU="ALL")+(BULK_SKU=$G264))*(BULK_START&lt;=9)*(BULK_END&gt;=9)))&gt;0,IFERROR(SUMPRODUCT(((BULK_ENABLED="Y")*((BULK_TIER="ALL")+(BULK_TIER=$F264))*((BULK_SKU="ALL")+(BULK_SKU=$G264))*(BULK_START&lt;=9)*(BULK_END&gt;=9))*IFERROR(BULK_VALUE,0))/MAX(1,SUMPRODUCT(((BULK_ENABLED="Y")*((BULK_TIER="ALL")+(BULK_TIER=$F264))*((BULK_SKU="ALL")+(BULK_SKU=$G264))*(BULK_START&lt;=9)*(BULK_END&gt;=9)))),0),ROUND((INDEX(VELOCITY_TABLE,MATCH($F264,TIER_LIST,0),2))*(IF((9-$I264+1)&lt;=0,0,IF((9-$I264+1)=1,RAMP_W1,IF((9-$I264+1)=2,RAMP_W2,IF((9-$I264+1)=3,RAMP_W3,RAMP_W4PLUS)))))*(INDEX(ACTIVE_MULT_TABLE,2,1))*(1+SUMPRODUCT(SIGN(((ACT_DOOR_SCOPE="ALL")+(ACT_DOOR_SCOPE="TIER_"&amp;$F264)+(ACT_DOOR_SCOPE=$B264)))*SIGN(((ACT_SKU_SCOPE="ALL")+(ACT_SKU_SCOPE=$G264)))*(ACT_START&lt;=9)*(ACT_END&gt;=9)*IFERROR(ACT_UPLIFT-1,0)))*(1+SUMPRODUCT(SIGN(((ACT_DOOR_SCOPE="ALL")+(ACT_DOOR_SCOPE="TIER_"&amp;$F264)+(ACT_DOOR_SCOPE=$B264)))*SIGN(((ACT_SKU_SCOPE="ALL")+(ACT_SKU_SCOPE=$G264)))*(9&gt;ACT_END)*(ACT_END&gt;0)*IFERROR(ACT_POSTLIFT,0))),0)))</f>
        <v/>
      </c>
      <c r="S264" s="10">
        <f>IF(OR($H264&lt;&gt;"Y",10&lt;$I264),0,IF(SUMPRODUCT(((BULK_ENABLED="Y")*((BULK_TIER="ALL")+(BULK_TIER=$F264))*((BULK_SKU="ALL")+(BULK_SKU=$G264))*(BULK_START&lt;=10)*(BULK_END&gt;=10)))&gt;0,IFERROR(SUMPRODUCT(((BULK_ENABLED="Y")*((BULK_TIER="ALL")+(BULK_TIER=$F264))*((BULK_SKU="ALL")+(BULK_SKU=$G264))*(BULK_START&lt;=10)*(BULK_END&gt;=10))*IFERROR(BULK_VALUE,0))/MAX(1,SUMPRODUCT(((BULK_ENABLED="Y")*((BULK_TIER="ALL")+(BULK_TIER=$F264))*((BULK_SKU="ALL")+(BULK_SKU=$G264))*(BULK_START&lt;=10)*(BULK_END&gt;=10)))),0),ROUND((INDEX(VELOCITY_TABLE,MATCH($F264,TIER_LIST,0),2))*(IF((10-$I264+1)&lt;=0,0,IF((10-$I264+1)=1,RAMP_W1,IF((10-$I264+1)=2,RAMP_W2,IF((10-$I264+1)=3,RAMP_W3,RAMP_W4PLUS)))))*(INDEX(ACTIVE_MULT_TABLE,2,1))*(1+SUMPRODUCT(SIGN(((ACT_DOOR_SCOPE="ALL")+(ACT_DOOR_SCOPE="TIER_"&amp;$F264)+(ACT_DOOR_SCOPE=$B264)))*SIGN(((ACT_SKU_SCOPE="ALL")+(ACT_SKU_SCOPE=$G264)))*(ACT_START&lt;=10)*(ACT_END&gt;=10)*IFERROR(ACT_UPLIFT-1,0)))*(1+SUMPRODUCT(SIGN(((ACT_DOOR_SCOPE="ALL")+(ACT_DOOR_SCOPE="TIER_"&amp;$F264)+(ACT_DOOR_SCOPE=$B264)))*SIGN(((ACT_SKU_SCOPE="ALL")+(ACT_SKU_SCOPE=$G264)))*(10&gt;ACT_END)*(ACT_END&gt;0)*IFERROR(ACT_POSTLIFT,0))),0)))</f>
        <v/>
      </c>
      <c r="T264" s="10">
        <f>IF(OR($H264&lt;&gt;"Y",11&lt;$I264),0,IF(SUMPRODUCT(((BULK_ENABLED="Y")*((BULK_TIER="ALL")+(BULK_TIER=$F264))*((BULK_SKU="ALL")+(BULK_SKU=$G264))*(BULK_START&lt;=11)*(BULK_END&gt;=11)))&gt;0,IFERROR(SUMPRODUCT(((BULK_ENABLED="Y")*((BULK_TIER="ALL")+(BULK_TIER=$F264))*((BULK_SKU="ALL")+(BULK_SKU=$G264))*(BULK_START&lt;=11)*(BULK_END&gt;=11))*IFERROR(BULK_VALUE,0))/MAX(1,SUMPRODUCT(((BULK_ENABLED="Y")*((BULK_TIER="ALL")+(BULK_TIER=$F264))*((BULK_SKU="ALL")+(BULK_SKU=$G264))*(BULK_START&lt;=11)*(BULK_END&gt;=11)))),0),ROUND((INDEX(VELOCITY_TABLE,MATCH($F264,TIER_LIST,0),2))*(IF((11-$I264+1)&lt;=0,0,IF((11-$I264+1)=1,RAMP_W1,IF((11-$I264+1)=2,RAMP_W2,IF((11-$I264+1)=3,RAMP_W3,RAMP_W4PLUS)))))*(INDEX(ACTIVE_MULT_TABLE,2,1))*(1+SUMPRODUCT(SIGN(((ACT_DOOR_SCOPE="ALL")+(ACT_DOOR_SCOPE="TIER_"&amp;$F264)+(ACT_DOOR_SCOPE=$B264)))*SIGN(((ACT_SKU_SCOPE="ALL")+(ACT_SKU_SCOPE=$G264)))*(ACT_START&lt;=11)*(ACT_END&gt;=11)*IFERROR(ACT_UPLIFT-1,0)))*(1+SUMPRODUCT(SIGN(((ACT_DOOR_SCOPE="ALL")+(ACT_DOOR_SCOPE="TIER_"&amp;$F264)+(ACT_DOOR_SCOPE=$B264)))*SIGN(((ACT_SKU_SCOPE="ALL")+(ACT_SKU_SCOPE=$G264)))*(11&gt;ACT_END)*(ACT_END&gt;0)*IFERROR(ACT_POSTLIFT,0))),0)))</f>
        <v/>
      </c>
      <c r="U264" s="10">
        <f>IF(OR($H264&lt;&gt;"Y",12&lt;$I264),0,IF(SUMPRODUCT(((BULK_ENABLED="Y")*((BULK_TIER="ALL")+(BULK_TIER=$F264))*((BULK_SKU="ALL")+(BULK_SKU=$G264))*(BULK_START&lt;=12)*(BULK_END&gt;=12)))&gt;0,IFERROR(SUMPRODUCT(((BULK_ENABLED="Y")*((BULK_TIER="ALL")+(BULK_TIER=$F264))*((BULK_SKU="ALL")+(BULK_SKU=$G264))*(BULK_START&lt;=12)*(BULK_END&gt;=12))*IFERROR(BULK_VALUE,0))/MAX(1,SUMPRODUCT(((BULK_ENABLED="Y")*((BULK_TIER="ALL")+(BULK_TIER=$F264))*((BULK_SKU="ALL")+(BULK_SKU=$G264))*(BULK_START&lt;=12)*(BULK_END&gt;=12)))),0),ROUND((INDEX(VELOCITY_TABLE,MATCH($F264,TIER_LIST,0),2))*(IF((12-$I264+1)&lt;=0,0,IF((12-$I264+1)=1,RAMP_W1,IF((12-$I264+1)=2,RAMP_W2,IF((12-$I264+1)=3,RAMP_W3,RAMP_W4PLUS)))))*(INDEX(ACTIVE_MULT_TABLE,2,1))*(1+SUMPRODUCT(SIGN(((ACT_DOOR_SCOPE="ALL")+(ACT_DOOR_SCOPE="TIER_"&amp;$F264)+(ACT_DOOR_SCOPE=$B264)))*SIGN(((ACT_SKU_SCOPE="ALL")+(ACT_SKU_SCOPE=$G264)))*(ACT_START&lt;=12)*(ACT_END&gt;=12)*IFERROR(ACT_UPLIFT-1,0)))*(1+SUMPRODUCT(SIGN(((ACT_DOOR_SCOPE="ALL")+(ACT_DOOR_SCOPE="TIER_"&amp;$F264)+(ACT_DOOR_SCOPE=$B264)))*SIGN(((ACT_SKU_SCOPE="ALL")+(ACT_SKU_SCOPE=$G264)))*(12&gt;ACT_END)*(ACT_END&gt;0)*IFERROR(ACT_POSTLIFT,0))),0)))</f>
        <v/>
      </c>
      <c r="V264" s="10">
        <f>IF(OR($H264&lt;&gt;"Y",13&lt;$I264),0,IF(SUMPRODUCT(((BULK_ENABLED="Y")*((BULK_TIER="ALL")+(BULK_TIER=$F264))*((BULK_SKU="ALL")+(BULK_SKU=$G264))*(BULK_START&lt;=13)*(BULK_END&gt;=13)))&gt;0,IFERROR(SUMPRODUCT(((BULK_ENABLED="Y")*((BULK_TIER="ALL")+(BULK_TIER=$F264))*((BULK_SKU="ALL")+(BULK_SKU=$G264))*(BULK_START&lt;=13)*(BULK_END&gt;=13))*IFERROR(BULK_VALUE,0))/MAX(1,SUMPRODUCT(((BULK_ENABLED="Y")*((BULK_TIER="ALL")+(BULK_TIER=$F264))*((BULK_SKU="ALL")+(BULK_SKU=$G264))*(BULK_START&lt;=13)*(BULK_END&gt;=13)))),0),ROUND((INDEX(VELOCITY_TABLE,MATCH($F264,TIER_LIST,0),2))*(IF((13-$I264+1)&lt;=0,0,IF((13-$I264+1)=1,RAMP_W1,IF((13-$I264+1)=2,RAMP_W2,IF((13-$I264+1)=3,RAMP_W3,RAMP_W4PLUS)))))*(INDEX(ACTIVE_MULT_TABLE,2,1))*(1+SUMPRODUCT(SIGN(((ACT_DOOR_SCOPE="ALL")+(ACT_DOOR_SCOPE="TIER_"&amp;$F264)+(ACT_DOOR_SCOPE=$B264)))*SIGN(((ACT_SKU_SCOPE="ALL")+(ACT_SKU_SCOPE=$G264)))*(ACT_START&lt;=13)*(ACT_END&gt;=13)*IFERROR(ACT_UPLIFT-1,0)))*(1+SUMPRODUCT(SIGN(((ACT_DOOR_SCOPE="ALL")+(ACT_DOOR_SCOPE="TIER_"&amp;$F264)+(ACT_DOOR_SCOPE=$B264)))*SIGN(((ACT_SKU_SCOPE="ALL")+(ACT_SKU_SCOPE=$G264)))*(13&gt;ACT_END)*(ACT_END&gt;0)*IFERROR(ACT_POSTLIFT,0))),0)))</f>
        <v/>
      </c>
    </row>
    <row r="265">
      <c r="A265" t="inlineStr">
        <is>
          <t>R0261</t>
        </is>
      </c>
      <c r="B265">
        <f>Doors!$A$91</f>
        <v/>
      </c>
      <c r="C265">
        <f>Doors!$C$91</f>
        <v/>
      </c>
      <c r="D265">
        <f>Doors!$B$91</f>
        <v/>
      </c>
      <c r="E265">
        <f>Doors!$E$91</f>
        <v/>
      </c>
      <c r="F265">
        <f>Doors!$F$91</f>
        <v/>
      </c>
      <c r="G265" t="inlineStr">
        <is>
          <t>Raspberry</t>
        </is>
      </c>
      <c r="H265">
        <f>Doors!$I$91</f>
        <v/>
      </c>
      <c r="I265">
        <f>Doors!$J$91</f>
        <v/>
      </c>
      <c r="J265" s="10">
        <f>IF(OR($H265&lt;&gt;"Y",1&lt;$I265),0,IF(SUMPRODUCT(((BULK_ENABLED="Y")*((BULK_TIER="ALL")+(BULK_TIER=$F265))*((BULK_SKU="ALL")+(BULK_SKU=$G265))*(BULK_START&lt;=1)*(BULK_END&gt;=1)))&gt;0,IFERROR(SUMPRODUCT(((BULK_ENABLED="Y")*((BULK_TIER="ALL")+(BULK_TIER=$F265))*((BULK_SKU="ALL")+(BULK_SKU=$G265))*(BULK_START&lt;=1)*(BULK_END&gt;=1))*IFERROR(BULK_VALUE,0))/MAX(1,SUMPRODUCT(((BULK_ENABLED="Y")*((BULK_TIER="ALL")+(BULK_TIER=$F265))*((BULK_SKU="ALL")+(BULK_SKU=$G265))*(BULK_START&lt;=1)*(BULK_END&gt;=1)))),0),ROUND((INDEX(VELOCITY_TABLE,MATCH($F265,TIER_LIST,0),3))*(IF((1-$I265+1)&lt;=0,0,IF((1-$I265+1)=1,RAMP_W1,IF((1-$I265+1)=2,RAMP_W2,IF((1-$I265+1)=3,RAMP_W3,RAMP_W4PLUS)))))*(INDEX(ACTIVE_MULT_TABLE,3,1))*(1+SUMPRODUCT(SIGN(((ACT_DOOR_SCOPE="ALL")+(ACT_DOOR_SCOPE="TIER_"&amp;$F265)+(ACT_DOOR_SCOPE=$B265)))*SIGN(((ACT_SKU_SCOPE="ALL")+(ACT_SKU_SCOPE=$G265)))*(ACT_START&lt;=1)*(ACT_END&gt;=1)*IFERROR(ACT_UPLIFT-1,0)))*(1+SUMPRODUCT(SIGN(((ACT_DOOR_SCOPE="ALL")+(ACT_DOOR_SCOPE="TIER_"&amp;$F265)+(ACT_DOOR_SCOPE=$B265)))*SIGN(((ACT_SKU_SCOPE="ALL")+(ACT_SKU_SCOPE=$G265)))*(1&gt;ACT_END)*(ACT_END&gt;0)*IFERROR(ACT_POSTLIFT,0))),0)))</f>
        <v/>
      </c>
      <c r="K265" s="10">
        <f>IF(OR($H265&lt;&gt;"Y",2&lt;$I265),0,IF(SUMPRODUCT(((BULK_ENABLED="Y")*((BULK_TIER="ALL")+(BULK_TIER=$F265))*((BULK_SKU="ALL")+(BULK_SKU=$G265))*(BULK_START&lt;=2)*(BULK_END&gt;=2)))&gt;0,IFERROR(SUMPRODUCT(((BULK_ENABLED="Y")*((BULK_TIER="ALL")+(BULK_TIER=$F265))*((BULK_SKU="ALL")+(BULK_SKU=$G265))*(BULK_START&lt;=2)*(BULK_END&gt;=2))*IFERROR(BULK_VALUE,0))/MAX(1,SUMPRODUCT(((BULK_ENABLED="Y")*((BULK_TIER="ALL")+(BULK_TIER=$F265))*((BULK_SKU="ALL")+(BULK_SKU=$G265))*(BULK_START&lt;=2)*(BULK_END&gt;=2)))),0),ROUND((INDEX(VELOCITY_TABLE,MATCH($F265,TIER_LIST,0),3))*(IF((2-$I265+1)&lt;=0,0,IF((2-$I265+1)=1,RAMP_W1,IF((2-$I265+1)=2,RAMP_W2,IF((2-$I265+1)=3,RAMP_W3,RAMP_W4PLUS)))))*(INDEX(ACTIVE_MULT_TABLE,3,1))*(1+SUMPRODUCT(SIGN(((ACT_DOOR_SCOPE="ALL")+(ACT_DOOR_SCOPE="TIER_"&amp;$F265)+(ACT_DOOR_SCOPE=$B265)))*SIGN(((ACT_SKU_SCOPE="ALL")+(ACT_SKU_SCOPE=$G265)))*(ACT_START&lt;=2)*(ACT_END&gt;=2)*IFERROR(ACT_UPLIFT-1,0)))*(1+SUMPRODUCT(SIGN(((ACT_DOOR_SCOPE="ALL")+(ACT_DOOR_SCOPE="TIER_"&amp;$F265)+(ACT_DOOR_SCOPE=$B265)))*SIGN(((ACT_SKU_SCOPE="ALL")+(ACT_SKU_SCOPE=$G265)))*(2&gt;ACT_END)*(ACT_END&gt;0)*IFERROR(ACT_POSTLIFT,0))),0)))</f>
        <v/>
      </c>
      <c r="L265" s="10">
        <f>IF(OR($H265&lt;&gt;"Y",3&lt;$I265),0,IF(SUMPRODUCT(((BULK_ENABLED="Y")*((BULK_TIER="ALL")+(BULK_TIER=$F265))*((BULK_SKU="ALL")+(BULK_SKU=$G265))*(BULK_START&lt;=3)*(BULK_END&gt;=3)))&gt;0,IFERROR(SUMPRODUCT(((BULK_ENABLED="Y")*((BULK_TIER="ALL")+(BULK_TIER=$F265))*((BULK_SKU="ALL")+(BULK_SKU=$G265))*(BULK_START&lt;=3)*(BULK_END&gt;=3))*IFERROR(BULK_VALUE,0))/MAX(1,SUMPRODUCT(((BULK_ENABLED="Y")*((BULK_TIER="ALL")+(BULK_TIER=$F265))*((BULK_SKU="ALL")+(BULK_SKU=$G265))*(BULK_START&lt;=3)*(BULK_END&gt;=3)))),0),ROUND((INDEX(VELOCITY_TABLE,MATCH($F265,TIER_LIST,0),3))*(IF((3-$I265+1)&lt;=0,0,IF((3-$I265+1)=1,RAMP_W1,IF((3-$I265+1)=2,RAMP_W2,IF((3-$I265+1)=3,RAMP_W3,RAMP_W4PLUS)))))*(INDEX(ACTIVE_MULT_TABLE,3,1))*(1+SUMPRODUCT(SIGN(((ACT_DOOR_SCOPE="ALL")+(ACT_DOOR_SCOPE="TIER_"&amp;$F265)+(ACT_DOOR_SCOPE=$B265)))*SIGN(((ACT_SKU_SCOPE="ALL")+(ACT_SKU_SCOPE=$G265)))*(ACT_START&lt;=3)*(ACT_END&gt;=3)*IFERROR(ACT_UPLIFT-1,0)))*(1+SUMPRODUCT(SIGN(((ACT_DOOR_SCOPE="ALL")+(ACT_DOOR_SCOPE="TIER_"&amp;$F265)+(ACT_DOOR_SCOPE=$B265)))*SIGN(((ACT_SKU_SCOPE="ALL")+(ACT_SKU_SCOPE=$G265)))*(3&gt;ACT_END)*(ACT_END&gt;0)*IFERROR(ACT_POSTLIFT,0))),0)))</f>
        <v/>
      </c>
      <c r="M265" s="10">
        <f>IF(OR($H265&lt;&gt;"Y",4&lt;$I265),0,IF(SUMPRODUCT(((BULK_ENABLED="Y")*((BULK_TIER="ALL")+(BULK_TIER=$F265))*((BULK_SKU="ALL")+(BULK_SKU=$G265))*(BULK_START&lt;=4)*(BULK_END&gt;=4)))&gt;0,IFERROR(SUMPRODUCT(((BULK_ENABLED="Y")*((BULK_TIER="ALL")+(BULK_TIER=$F265))*((BULK_SKU="ALL")+(BULK_SKU=$G265))*(BULK_START&lt;=4)*(BULK_END&gt;=4))*IFERROR(BULK_VALUE,0))/MAX(1,SUMPRODUCT(((BULK_ENABLED="Y")*((BULK_TIER="ALL")+(BULK_TIER=$F265))*((BULK_SKU="ALL")+(BULK_SKU=$G265))*(BULK_START&lt;=4)*(BULK_END&gt;=4)))),0),ROUND((INDEX(VELOCITY_TABLE,MATCH($F265,TIER_LIST,0),3))*(IF((4-$I265+1)&lt;=0,0,IF((4-$I265+1)=1,RAMP_W1,IF((4-$I265+1)=2,RAMP_W2,IF((4-$I265+1)=3,RAMP_W3,RAMP_W4PLUS)))))*(INDEX(ACTIVE_MULT_TABLE,3,1))*(1+SUMPRODUCT(SIGN(((ACT_DOOR_SCOPE="ALL")+(ACT_DOOR_SCOPE="TIER_"&amp;$F265)+(ACT_DOOR_SCOPE=$B265)))*SIGN(((ACT_SKU_SCOPE="ALL")+(ACT_SKU_SCOPE=$G265)))*(ACT_START&lt;=4)*(ACT_END&gt;=4)*IFERROR(ACT_UPLIFT-1,0)))*(1+SUMPRODUCT(SIGN(((ACT_DOOR_SCOPE="ALL")+(ACT_DOOR_SCOPE="TIER_"&amp;$F265)+(ACT_DOOR_SCOPE=$B265)))*SIGN(((ACT_SKU_SCOPE="ALL")+(ACT_SKU_SCOPE=$G265)))*(4&gt;ACT_END)*(ACT_END&gt;0)*IFERROR(ACT_POSTLIFT,0))),0)))</f>
        <v/>
      </c>
      <c r="N265" s="10">
        <f>IF(OR($H265&lt;&gt;"Y",5&lt;$I265),0,IF(SUMPRODUCT(((BULK_ENABLED="Y")*((BULK_TIER="ALL")+(BULK_TIER=$F265))*((BULK_SKU="ALL")+(BULK_SKU=$G265))*(BULK_START&lt;=5)*(BULK_END&gt;=5)))&gt;0,IFERROR(SUMPRODUCT(((BULK_ENABLED="Y")*((BULK_TIER="ALL")+(BULK_TIER=$F265))*((BULK_SKU="ALL")+(BULK_SKU=$G265))*(BULK_START&lt;=5)*(BULK_END&gt;=5))*IFERROR(BULK_VALUE,0))/MAX(1,SUMPRODUCT(((BULK_ENABLED="Y")*((BULK_TIER="ALL")+(BULK_TIER=$F265))*((BULK_SKU="ALL")+(BULK_SKU=$G265))*(BULK_START&lt;=5)*(BULK_END&gt;=5)))),0),ROUND((INDEX(VELOCITY_TABLE,MATCH($F265,TIER_LIST,0),3))*(IF((5-$I265+1)&lt;=0,0,IF((5-$I265+1)=1,RAMP_W1,IF((5-$I265+1)=2,RAMP_W2,IF((5-$I265+1)=3,RAMP_W3,RAMP_W4PLUS)))))*(INDEX(ACTIVE_MULT_TABLE,3,1))*(1+SUMPRODUCT(SIGN(((ACT_DOOR_SCOPE="ALL")+(ACT_DOOR_SCOPE="TIER_"&amp;$F265)+(ACT_DOOR_SCOPE=$B265)))*SIGN(((ACT_SKU_SCOPE="ALL")+(ACT_SKU_SCOPE=$G265)))*(ACT_START&lt;=5)*(ACT_END&gt;=5)*IFERROR(ACT_UPLIFT-1,0)))*(1+SUMPRODUCT(SIGN(((ACT_DOOR_SCOPE="ALL")+(ACT_DOOR_SCOPE="TIER_"&amp;$F265)+(ACT_DOOR_SCOPE=$B265)))*SIGN(((ACT_SKU_SCOPE="ALL")+(ACT_SKU_SCOPE=$G265)))*(5&gt;ACT_END)*(ACT_END&gt;0)*IFERROR(ACT_POSTLIFT,0))),0)))</f>
        <v/>
      </c>
      <c r="O265" s="10">
        <f>IF(OR($H265&lt;&gt;"Y",6&lt;$I265),0,IF(SUMPRODUCT(((BULK_ENABLED="Y")*((BULK_TIER="ALL")+(BULK_TIER=$F265))*((BULK_SKU="ALL")+(BULK_SKU=$G265))*(BULK_START&lt;=6)*(BULK_END&gt;=6)))&gt;0,IFERROR(SUMPRODUCT(((BULK_ENABLED="Y")*((BULK_TIER="ALL")+(BULK_TIER=$F265))*((BULK_SKU="ALL")+(BULK_SKU=$G265))*(BULK_START&lt;=6)*(BULK_END&gt;=6))*IFERROR(BULK_VALUE,0))/MAX(1,SUMPRODUCT(((BULK_ENABLED="Y")*((BULK_TIER="ALL")+(BULK_TIER=$F265))*((BULK_SKU="ALL")+(BULK_SKU=$G265))*(BULK_START&lt;=6)*(BULK_END&gt;=6)))),0),ROUND((INDEX(VELOCITY_TABLE,MATCH($F265,TIER_LIST,0),3))*(IF((6-$I265+1)&lt;=0,0,IF((6-$I265+1)=1,RAMP_W1,IF((6-$I265+1)=2,RAMP_W2,IF((6-$I265+1)=3,RAMP_W3,RAMP_W4PLUS)))))*(INDEX(ACTIVE_MULT_TABLE,3,1))*(1+SUMPRODUCT(SIGN(((ACT_DOOR_SCOPE="ALL")+(ACT_DOOR_SCOPE="TIER_"&amp;$F265)+(ACT_DOOR_SCOPE=$B265)))*SIGN(((ACT_SKU_SCOPE="ALL")+(ACT_SKU_SCOPE=$G265)))*(ACT_START&lt;=6)*(ACT_END&gt;=6)*IFERROR(ACT_UPLIFT-1,0)))*(1+SUMPRODUCT(SIGN(((ACT_DOOR_SCOPE="ALL")+(ACT_DOOR_SCOPE="TIER_"&amp;$F265)+(ACT_DOOR_SCOPE=$B265)))*SIGN(((ACT_SKU_SCOPE="ALL")+(ACT_SKU_SCOPE=$G265)))*(6&gt;ACT_END)*(ACT_END&gt;0)*IFERROR(ACT_POSTLIFT,0))),0)))</f>
        <v/>
      </c>
      <c r="P265" s="10">
        <f>IF(OR($H265&lt;&gt;"Y",7&lt;$I265),0,IF(SUMPRODUCT(((BULK_ENABLED="Y")*((BULK_TIER="ALL")+(BULK_TIER=$F265))*((BULK_SKU="ALL")+(BULK_SKU=$G265))*(BULK_START&lt;=7)*(BULK_END&gt;=7)))&gt;0,IFERROR(SUMPRODUCT(((BULK_ENABLED="Y")*((BULK_TIER="ALL")+(BULK_TIER=$F265))*((BULK_SKU="ALL")+(BULK_SKU=$G265))*(BULK_START&lt;=7)*(BULK_END&gt;=7))*IFERROR(BULK_VALUE,0))/MAX(1,SUMPRODUCT(((BULK_ENABLED="Y")*((BULK_TIER="ALL")+(BULK_TIER=$F265))*((BULK_SKU="ALL")+(BULK_SKU=$G265))*(BULK_START&lt;=7)*(BULK_END&gt;=7)))),0),ROUND((INDEX(VELOCITY_TABLE,MATCH($F265,TIER_LIST,0),3))*(IF((7-$I265+1)&lt;=0,0,IF((7-$I265+1)=1,RAMP_W1,IF((7-$I265+1)=2,RAMP_W2,IF((7-$I265+1)=3,RAMP_W3,RAMP_W4PLUS)))))*(INDEX(ACTIVE_MULT_TABLE,3,1))*(1+SUMPRODUCT(SIGN(((ACT_DOOR_SCOPE="ALL")+(ACT_DOOR_SCOPE="TIER_"&amp;$F265)+(ACT_DOOR_SCOPE=$B265)))*SIGN(((ACT_SKU_SCOPE="ALL")+(ACT_SKU_SCOPE=$G265)))*(ACT_START&lt;=7)*(ACT_END&gt;=7)*IFERROR(ACT_UPLIFT-1,0)))*(1+SUMPRODUCT(SIGN(((ACT_DOOR_SCOPE="ALL")+(ACT_DOOR_SCOPE="TIER_"&amp;$F265)+(ACT_DOOR_SCOPE=$B265)))*SIGN(((ACT_SKU_SCOPE="ALL")+(ACT_SKU_SCOPE=$G265)))*(7&gt;ACT_END)*(ACT_END&gt;0)*IFERROR(ACT_POSTLIFT,0))),0)))</f>
        <v/>
      </c>
      <c r="Q265" s="10">
        <f>IF(OR($H265&lt;&gt;"Y",8&lt;$I265),0,IF(SUMPRODUCT(((BULK_ENABLED="Y")*((BULK_TIER="ALL")+(BULK_TIER=$F265))*((BULK_SKU="ALL")+(BULK_SKU=$G265))*(BULK_START&lt;=8)*(BULK_END&gt;=8)))&gt;0,IFERROR(SUMPRODUCT(((BULK_ENABLED="Y")*((BULK_TIER="ALL")+(BULK_TIER=$F265))*((BULK_SKU="ALL")+(BULK_SKU=$G265))*(BULK_START&lt;=8)*(BULK_END&gt;=8))*IFERROR(BULK_VALUE,0))/MAX(1,SUMPRODUCT(((BULK_ENABLED="Y")*((BULK_TIER="ALL")+(BULK_TIER=$F265))*((BULK_SKU="ALL")+(BULK_SKU=$G265))*(BULK_START&lt;=8)*(BULK_END&gt;=8)))),0),ROUND((INDEX(VELOCITY_TABLE,MATCH($F265,TIER_LIST,0),3))*(IF((8-$I265+1)&lt;=0,0,IF((8-$I265+1)=1,RAMP_W1,IF((8-$I265+1)=2,RAMP_W2,IF((8-$I265+1)=3,RAMP_W3,RAMP_W4PLUS)))))*(INDEX(ACTIVE_MULT_TABLE,3,1))*(1+SUMPRODUCT(SIGN(((ACT_DOOR_SCOPE="ALL")+(ACT_DOOR_SCOPE="TIER_"&amp;$F265)+(ACT_DOOR_SCOPE=$B265)))*SIGN(((ACT_SKU_SCOPE="ALL")+(ACT_SKU_SCOPE=$G265)))*(ACT_START&lt;=8)*(ACT_END&gt;=8)*IFERROR(ACT_UPLIFT-1,0)))*(1+SUMPRODUCT(SIGN(((ACT_DOOR_SCOPE="ALL")+(ACT_DOOR_SCOPE="TIER_"&amp;$F265)+(ACT_DOOR_SCOPE=$B265)))*SIGN(((ACT_SKU_SCOPE="ALL")+(ACT_SKU_SCOPE=$G265)))*(8&gt;ACT_END)*(ACT_END&gt;0)*IFERROR(ACT_POSTLIFT,0))),0)))</f>
        <v/>
      </c>
      <c r="R265" s="10">
        <f>IF(OR($H265&lt;&gt;"Y",9&lt;$I265),0,IF(SUMPRODUCT(((BULK_ENABLED="Y")*((BULK_TIER="ALL")+(BULK_TIER=$F265))*((BULK_SKU="ALL")+(BULK_SKU=$G265))*(BULK_START&lt;=9)*(BULK_END&gt;=9)))&gt;0,IFERROR(SUMPRODUCT(((BULK_ENABLED="Y")*((BULK_TIER="ALL")+(BULK_TIER=$F265))*((BULK_SKU="ALL")+(BULK_SKU=$G265))*(BULK_START&lt;=9)*(BULK_END&gt;=9))*IFERROR(BULK_VALUE,0))/MAX(1,SUMPRODUCT(((BULK_ENABLED="Y")*((BULK_TIER="ALL")+(BULK_TIER=$F265))*((BULK_SKU="ALL")+(BULK_SKU=$G265))*(BULK_START&lt;=9)*(BULK_END&gt;=9)))),0),ROUND((INDEX(VELOCITY_TABLE,MATCH($F265,TIER_LIST,0),3))*(IF((9-$I265+1)&lt;=0,0,IF((9-$I265+1)=1,RAMP_W1,IF((9-$I265+1)=2,RAMP_W2,IF((9-$I265+1)=3,RAMP_W3,RAMP_W4PLUS)))))*(INDEX(ACTIVE_MULT_TABLE,3,1))*(1+SUMPRODUCT(SIGN(((ACT_DOOR_SCOPE="ALL")+(ACT_DOOR_SCOPE="TIER_"&amp;$F265)+(ACT_DOOR_SCOPE=$B265)))*SIGN(((ACT_SKU_SCOPE="ALL")+(ACT_SKU_SCOPE=$G265)))*(ACT_START&lt;=9)*(ACT_END&gt;=9)*IFERROR(ACT_UPLIFT-1,0)))*(1+SUMPRODUCT(SIGN(((ACT_DOOR_SCOPE="ALL")+(ACT_DOOR_SCOPE="TIER_"&amp;$F265)+(ACT_DOOR_SCOPE=$B265)))*SIGN(((ACT_SKU_SCOPE="ALL")+(ACT_SKU_SCOPE=$G265)))*(9&gt;ACT_END)*(ACT_END&gt;0)*IFERROR(ACT_POSTLIFT,0))),0)))</f>
        <v/>
      </c>
      <c r="S265" s="10">
        <f>IF(OR($H265&lt;&gt;"Y",10&lt;$I265),0,IF(SUMPRODUCT(((BULK_ENABLED="Y")*((BULK_TIER="ALL")+(BULK_TIER=$F265))*((BULK_SKU="ALL")+(BULK_SKU=$G265))*(BULK_START&lt;=10)*(BULK_END&gt;=10)))&gt;0,IFERROR(SUMPRODUCT(((BULK_ENABLED="Y")*((BULK_TIER="ALL")+(BULK_TIER=$F265))*((BULK_SKU="ALL")+(BULK_SKU=$G265))*(BULK_START&lt;=10)*(BULK_END&gt;=10))*IFERROR(BULK_VALUE,0))/MAX(1,SUMPRODUCT(((BULK_ENABLED="Y")*((BULK_TIER="ALL")+(BULK_TIER=$F265))*((BULK_SKU="ALL")+(BULK_SKU=$G265))*(BULK_START&lt;=10)*(BULK_END&gt;=10)))),0),ROUND((INDEX(VELOCITY_TABLE,MATCH($F265,TIER_LIST,0),3))*(IF((10-$I265+1)&lt;=0,0,IF((10-$I265+1)=1,RAMP_W1,IF((10-$I265+1)=2,RAMP_W2,IF((10-$I265+1)=3,RAMP_W3,RAMP_W4PLUS)))))*(INDEX(ACTIVE_MULT_TABLE,3,1))*(1+SUMPRODUCT(SIGN(((ACT_DOOR_SCOPE="ALL")+(ACT_DOOR_SCOPE="TIER_"&amp;$F265)+(ACT_DOOR_SCOPE=$B265)))*SIGN(((ACT_SKU_SCOPE="ALL")+(ACT_SKU_SCOPE=$G265)))*(ACT_START&lt;=10)*(ACT_END&gt;=10)*IFERROR(ACT_UPLIFT-1,0)))*(1+SUMPRODUCT(SIGN(((ACT_DOOR_SCOPE="ALL")+(ACT_DOOR_SCOPE="TIER_"&amp;$F265)+(ACT_DOOR_SCOPE=$B265)))*SIGN(((ACT_SKU_SCOPE="ALL")+(ACT_SKU_SCOPE=$G265)))*(10&gt;ACT_END)*(ACT_END&gt;0)*IFERROR(ACT_POSTLIFT,0))),0)))</f>
        <v/>
      </c>
      <c r="T265" s="10">
        <f>IF(OR($H265&lt;&gt;"Y",11&lt;$I265),0,IF(SUMPRODUCT(((BULK_ENABLED="Y")*((BULK_TIER="ALL")+(BULK_TIER=$F265))*((BULK_SKU="ALL")+(BULK_SKU=$G265))*(BULK_START&lt;=11)*(BULK_END&gt;=11)))&gt;0,IFERROR(SUMPRODUCT(((BULK_ENABLED="Y")*((BULK_TIER="ALL")+(BULK_TIER=$F265))*((BULK_SKU="ALL")+(BULK_SKU=$G265))*(BULK_START&lt;=11)*(BULK_END&gt;=11))*IFERROR(BULK_VALUE,0))/MAX(1,SUMPRODUCT(((BULK_ENABLED="Y")*((BULK_TIER="ALL")+(BULK_TIER=$F265))*((BULK_SKU="ALL")+(BULK_SKU=$G265))*(BULK_START&lt;=11)*(BULK_END&gt;=11)))),0),ROUND((INDEX(VELOCITY_TABLE,MATCH($F265,TIER_LIST,0),3))*(IF((11-$I265+1)&lt;=0,0,IF((11-$I265+1)=1,RAMP_W1,IF((11-$I265+1)=2,RAMP_W2,IF((11-$I265+1)=3,RAMP_W3,RAMP_W4PLUS)))))*(INDEX(ACTIVE_MULT_TABLE,3,1))*(1+SUMPRODUCT(SIGN(((ACT_DOOR_SCOPE="ALL")+(ACT_DOOR_SCOPE="TIER_"&amp;$F265)+(ACT_DOOR_SCOPE=$B265)))*SIGN(((ACT_SKU_SCOPE="ALL")+(ACT_SKU_SCOPE=$G265)))*(ACT_START&lt;=11)*(ACT_END&gt;=11)*IFERROR(ACT_UPLIFT-1,0)))*(1+SUMPRODUCT(SIGN(((ACT_DOOR_SCOPE="ALL")+(ACT_DOOR_SCOPE="TIER_"&amp;$F265)+(ACT_DOOR_SCOPE=$B265)))*SIGN(((ACT_SKU_SCOPE="ALL")+(ACT_SKU_SCOPE=$G265)))*(11&gt;ACT_END)*(ACT_END&gt;0)*IFERROR(ACT_POSTLIFT,0))),0)))</f>
        <v/>
      </c>
      <c r="U265" s="10">
        <f>IF(OR($H265&lt;&gt;"Y",12&lt;$I265),0,IF(SUMPRODUCT(((BULK_ENABLED="Y")*((BULK_TIER="ALL")+(BULK_TIER=$F265))*((BULK_SKU="ALL")+(BULK_SKU=$G265))*(BULK_START&lt;=12)*(BULK_END&gt;=12)))&gt;0,IFERROR(SUMPRODUCT(((BULK_ENABLED="Y")*((BULK_TIER="ALL")+(BULK_TIER=$F265))*((BULK_SKU="ALL")+(BULK_SKU=$G265))*(BULK_START&lt;=12)*(BULK_END&gt;=12))*IFERROR(BULK_VALUE,0))/MAX(1,SUMPRODUCT(((BULK_ENABLED="Y")*((BULK_TIER="ALL")+(BULK_TIER=$F265))*((BULK_SKU="ALL")+(BULK_SKU=$G265))*(BULK_START&lt;=12)*(BULK_END&gt;=12)))),0),ROUND((INDEX(VELOCITY_TABLE,MATCH($F265,TIER_LIST,0),3))*(IF((12-$I265+1)&lt;=0,0,IF((12-$I265+1)=1,RAMP_W1,IF((12-$I265+1)=2,RAMP_W2,IF((12-$I265+1)=3,RAMP_W3,RAMP_W4PLUS)))))*(INDEX(ACTIVE_MULT_TABLE,3,1))*(1+SUMPRODUCT(SIGN(((ACT_DOOR_SCOPE="ALL")+(ACT_DOOR_SCOPE="TIER_"&amp;$F265)+(ACT_DOOR_SCOPE=$B265)))*SIGN(((ACT_SKU_SCOPE="ALL")+(ACT_SKU_SCOPE=$G265)))*(ACT_START&lt;=12)*(ACT_END&gt;=12)*IFERROR(ACT_UPLIFT-1,0)))*(1+SUMPRODUCT(SIGN(((ACT_DOOR_SCOPE="ALL")+(ACT_DOOR_SCOPE="TIER_"&amp;$F265)+(ACT_DOOR_SCOPE=$B265)))*SIGN(((ACT_SKU_SCOPE="ALL")+(ACT_SKU_SCOPE=$G265)))*(12&gt;ACT_END)*(ACT_END&gt;0)*IFERROR(ACT_POSTLIFT,0))),0)))</f>
        <v/>
      </c>
      <c r="V265" s="10">
        <f>IF(OR($H265&lt;&gt;"Y",13&lt;$I265),0,IF(SUMPRODUCT(((BULK_ENABLED="Y")*((BULK_TIER="ALL")+(BULK_TIER=$F265))*((BULK_SKU="ALL")+(BULK_SKU=$G265))*(BULK_START&lt;=13)*(BULK_END&gt;=13)))&gt;0,IFERROR(SUMPRODUCT(((BULK_ENABLED="Y")*((BULK_TIER="ALL")+(BULK_TIER=$F265))*((BULK_SKU="ALL")+(BULK_SKU=$G265))*(BULK_START&lt;=13)*(BULK_END&gt;=13))*IFERROR(BULK_VALUE,0))/MAX(1,SUMPRODUCT(((BULK_ENABLED="Y")*((BULK_TIER="ALL")+(BULK_TIER=$F265))*((BULK_SKU="ALL")+(BULK_SKU=$G265))*(BULK_START&lt;=13)*(BULK_END&gt;=13)))),0),ROUND((INDEX(VELOCITY_TABLE,MATCH($F265,TIER_LIST,0),3))*(IF((13-$I265+1)&lt;=0,0,IF((13-$I265+1)=1,RAMP_W1,IF((13-$I265+1)=2,RAMP_W2,IF((13-$I265+1)=3,RAMP_W3,RAMP_W4PLUS)))))*(INDEX(ACTIVE_MULT_TABLE,3,1))*(1+SUMPRODUCT(SIGN(((ACT_DOOR_SCOPE="ALL")+(ACT_DOOR_SCOPE="TIER_"&amp;$F265)+(ACT_DOOR_SCOPE=$B265)))*SIGN(((ACT_SKU_SCOPE="ALL")+(ACT_SKU_SCOPE=$G265)))*(ACT_START&lt;=13)*(ACT_END&gt;=13)*IFERROR(ACT_UPLIFT-1,0)))*(1+SUMPRODUCT(SIGN(((ACT_DOOR_SCOPE="ALL")+(ACT_DOOR_SCOPE="TIER_"&amp;$F265)+(ACT_DOOR_SCOPE=$B265)))*SIGN(((ACT_SKU_SCOPE="ALL")+(ACT_SKU_SCOPE=$G265)))*(13&gt;ACT_END)*(ACT_END&gt;0)*IFERROR(ACT_POSTLIFT,0))),0)))</f>
        <v/>
      </c>
    </row>
    <row r="266">
      <c r="A266" t="inlineStr">
        <is>
          <t>R0262</t>
        </is>
      </c>
      <c r="B266">
        <f>Doors!$A$92</f>
        <v/>
      </c>
      <c r="C266">
        <f>Doors!$C$92</f>
        <v/>
      </c>
      <c r="D266">
        <f>Doors!$B$92</f>
        <v/>
      </c>
      <c r="E266">
        <f>Doors!$E$92</f>
        <v/>
      </c>
      <c r="F266">
        <f>Doors!$F$92</f>
        <v/>
      </c>
      <c r="G266" t="inlineStr">
        <is>
          <t>Lime Lemon</t>
        </is>
      </c>
      <c r="H266">
        <f>Doors!$G$92</f>
        <v/>
      </c>
      <c r="I266">
        <f>Doors!$J$92</f>
        <v/>
      </c>
      <c r="J266" s="10">
        <f>IF(OR($H266&lt;&gt;"Y",1&lt;$I266),0,IF(SUMPRODUCT(((BULK_ENABLED="Y")*((BULK_TIER="ALL")+(BULK_TIER=$F266))*((BULK_SKU="ALL")+(BULK_SKU=$G266))*(BULK_START&lt;=1)*(BULK_END&gt;=1)))&gt;0,IFERROR(SUMPRODUCT(((BULK_ENABLED="Y")*((BULK_TIER="ALL")+(BULK_TIER=$F266))*((BULK_SKU="ALL")+(BULK_SKU=$G266))*(BULK_START&lt;=1)*(BULK_END&gt;=1))*IFERROR(BULK_VALUE,0))/MAX(1,SUMPRODUCT(((BULK_ENABLED="Y")*((BULK_TIER="ALL")+(BULK_TIER=$F266))*((BULK_SKU="ALL")+(BULK_SKU=$G266))*(BULK_START&lt;=1)*(BULK_END&gt;=1)))),0),ROUND((INDEX(VELOCITY_TABLE,MATCH($F266,TIER_LIST,0),1))*(IF((1-$I266+1)&lt;=0,0,IF((1-$I266+1)=1,RAMP_W1,IF((1-$I266+1)=2,RAMP_W2,IF((1-$I266+1)=3,RAMP_W3,RAMP_W4PLUS)))))*(INDEX(ACTIVE_MULT_TABLE,1,1))*(1+SUMPRODUCT(SIGN(((ACT_DOOR_SCOPE="ALL")+(ACT_DOOR_SCOPE="TIER_"&amp;$F266)+(ACT_DOOR_SCOPE=$B266)))*SIGN(((ACT_SKU_SCOPE="ALL")+(ACT_SKU_SCOPE=$G266)))*(ACT_START&lt;=1)*(ACT_END&gt;=1)*IFERROR(ACT_UPLIFT-1,0)))*(1+SUMPRODUCT(SIGN(((ACT_DOOR_SCOPE="ALL")+(ACT_DOOR_SCOPE="TIER_"&amp;$F266)+(ACT_DOOR_SCOPE=$B266)))*SIGN(((ACT_SKU_SCOPE="ALL")+(ACT_SKU_SCOPE=$G266)))*(1&gt;ACT_END)*(ACT_END&gt;0)*IFERROR(ACT_POSTLIFT,0))),0)))</f>
        <v/>
      </c>
      <c r="K266" s="10">
        <f>IF(OR($H266&lt;&gt;"Y",2&lt;$I266),0,IF(SUMPRODUCT(((BULK_ENABLED="Y")*((BULK_TIER="ALL")+(BULK_TIER=$F266))*((BULK_SKU="ALL")+(BULK_SKU=$G266))*(BULK_START&lt;=2)*(BULK_END&gt;=2)))&gt;0,IFERROR(SUMPRODUCT(((BULK_ENABLED="Y")*((BULK_TIER="ALL")+(BULK_TIER=$F266))*((BULK_SKU="ALL")+(BULK_SKU=$G266))*(BULK_START&lt;=2)*(BULK_END&gt;=2))*IFERROR(BULK_VALUE,0))/MAX(1,SUMPRODUCT(((BULK_ENABLED="Y")*((BULK_TIER="ALL")+(BULK_TIER=$F266))*((BULK_SKU="ALL")+(BULK_SKU=$G266))*(BULK_START&lt;=2)*(BULK_END&gt;=2)))),0),ROUND((INDEX(VELOCITY_TABLE,MATCH($F266,TIER_LIST,0),1))*(IF((2-$I266+1)&lt;=0,0,IF((2-$I266+1)=1,RAMP_W1,IF((2-$I266+1)=2,RAMP_W2,IF((2-$I266+1)=3,RAMP_W3,RAMP_W4PLUS)))))*(INDEX(ACTIVE_MULT_TABLE,1,1))*(1+SUMPRODUCT(SIGN(((ACT_DOOR_SCOPE="ALL")+(ACT_DOOR_SCOPE="TIER_"&amp;$F266)+(ACT_DOOR_SCOPE=$B266)))*SIGN(((ACT_SKU_SCOPE="ALL")+(ACT_SKU_SCOPE=$G266)))*(ACT_START&lt;=2)*(ACT_END&gt;=2)*IFERROR(ACT_UPLIFT-1,0)))*(1+SUMPRODUCT(SIGN(((ACT_DOOR_SCOPE="ALL")+(ACT_DOOR_SCOPE="TIER_"&amp;$F266)+(ACT_DOOR_SCOPE=$B266)))*SIGN(((ACT_SKU_SCOPE="ALL")+(ACT_SKU_SCOPE=$G266)))*(2&gt;ACT_END)*(ACT_END&gt;0)*IFERROR(ACT_POSTLIFT,0))),0)))</f>
        <v/>
      </c>
      <c r="L266" s="10">
        <f>IF(OR($H266&lt;&gt;"Y",3&lt;$I266),0,IF(SUMPRODUCT(((BULK_ENABLED="Y")*((BULK_TIER="ALL")+(BULK_TIER=$F266))*((BULK_SKU="ALL")+(BULK_SKU=$G266))*(BULK_START&lt;=3)*(BULK_END&gt;=3)))&gt;0,IFERROR(SUMPRODUCT(((BULK_ENABLED="Y")*((BULK_TIER="ALL")+(BULK_TIER=$F266))*((BULK_SKU="ALL")+(BULK_SKU=$G266))*(BULK_START&lt;=3)*(BULK_END&gt;=3))*IFERROR(BULK_VALUE,0))/MAX(1,SUMPRODUCT(((BULK_ENABLED="Y")*((BULK_TIER="ALL")+(BULK_TIER=$F266))*((BULK_SKU="ALL")+(BULK_SKU=$G266))*(BULK_START&lt;=3)*(BULK_END&gt;=3)))),0),ROUND((INDEX(VELOCITY_TABLE,MATCH($F266,TIER_LIST,0),1))*(IF((3-$I266+1)&lt;=0,0,IF((3-$I266+1)=1,RAMP_W1,IF((3-$I266+1)=2,RAMP_W2,IF((3-$I266+1)=3,RAMP_W3,RAMP_W4PLUS)))))*(INDEX(ACTIVE_MULT_TABLE,1,1))*(1+SUMPRODUCT(SIGN(((ACT_DOOR_SCOPE="ALL")+(ACT_DOOR_SCOPE="TIER_"&amp;$F266)+(ACT_DOOR_SCOPE=$B266)))*SIGN(((ACT_SKU_SCOPE="ALL")+(ACT_SKU_SCOPE=$G266)))*(ACT_START&lt;=3)*(ACT_END&gt;=3)*IFERROR(ACT_UPLIFT-1,0)))*(1+SUMPRODUCT(SIGN(((ACT_DOOR_SCOPE="ALL")+(ACT_DOOR_SCOPE="TIER_"&amp;$F266)+(ACT_DOOR_SCOPE=$B266)))*SIGN(((ACT_SKU_SCOPE="ALL")+(ACT_SKU_SCOPE=$G266)))*(3&gt;ACT_END)*(ACT_END&gt;0)*IFERROR(ACT_POSTLIFT,0))),0)))</f>
        <v/>
      </c>
      <c r="M266" s="10">
        <f>IF(OR($H266&lt;&gt;"Y",4&lt;$I266),0,IF(SUMPRODUCT(((BULK_ENABLED="Y")*((BULK_TIER="ALL")+(BULK_TIER=$F266))*((BULK_SKU="ALL")+(BULK_SKU=$G266))*(BULK_START&lt;=4)*(BULK_END&gt;=4)))&gt;0,IFERROR(SUMPRODUCT(((BULK_ENABLED="Y")*((BULK_TIER="ALL")+(BULK_TIER=$F266))*((BULK_SKU="ALL")+(BULK_SKU=$G266))*(BULK_START&lt;=4)*(BULK_END&gt;=4))*IFERROR(BULK_VALUE,0))/MAX(1,SUMPRODUCT(((BULK_ENABLED="Y")*((BULK_TIER="ALL")+(BULK_TIER=$F266))*((BULK_SKU="ALL")+(BULK_SKU=$G266))*(BULK_START&lt;=4)*(BULK_END&gt;=4)))),0),ROUND((INDEX(VELOCITY_TABLE,MATCH($F266,TIER_LIST,0),1))*(IF((4-$I266+1)&lt;=0,0,IF((4-$I266+1)=1,RAMP_W1,IF((4-$I266+1)=2,RAMP_W2,IF((4-$I266+1)=3,RAMP_W3,RAMP_W4PLUS)))))*(INDEX(ACTIVE_MULT_TABLE,1,1))*(1+SUMPRODUCT(SIGN(((ACT_DOOR_SCOPE="ALL")+(ACT_DOOR_SCOPE="TIER_"&amp;$F266)+(ACT_DOOR_SCOPE=$B266)))*SIGN(((ACT_SKU_SCOPE="ALL")+(ACT_SKU_SCOPE=$G266)))*(ACT_START&lt;=4)*(ACT_END&gt;=4)*IFERROR(ACT_UPLIFT-1,0)))*(1+SUMPRODUCT(SIGN(((ACT_DOOR_SCOPE="ALL")+(ACT_DOOR_SCOPE="TIER_"&amp;$F266)+(ACT_DOOR_SCOPE=$B266)))*SIGN(((ACT_SKU_SCOPE="ALL")+(ACT_SKU_SCOPE=$G266)))*(4&gt;ACT_END)*(ACT_END&gt;0)*IFERROR(ACT_POSTLIFT,0))),0)))</f>
        <v/>
      </c>
      <c r="N266" s="10">
        <f>IF(OR($H266&lt;&gt;"Y",5&lt;$I266),0,IF(SUMPRODUCT(((BULK_ENABLED="Y")*((BULK_TIER="ALL")+(BULK_TIER=$F266))*((BULK_SKU="ALL")+(BULK_SKU=$G266))*(BULK_START&lt;=5)*(BULK_END&gt;=5)))&gt;0,IFERROR(SUMPRODUCT(((BULK_ENABLED="Y")*((BULK_TIER="ALL")+(BULK_TIER=$F266))*((BULK_SKU="ALL")+(BULK_SKU=$G266))*(BULK_START&lt;=5)*(BULK_END&gt;=5))*IFERROR(BULK_VALUE,0))/MAX(1,SUMPRODUCT(((BULK_ENABLED="Y")*((BULK_TIER="ALL")+(BULK_TIER=$F266))*((BULK_SKU="ALL")+(BULK_SKU=$G266))*(BULK_START&lt;=5)*(BULK_END&gt;=5)))),0),ROUND((INDEX(VELOCITY_TABLE,MATCH($F266,TIER_LIST,0),1))*(IF((5-$I266+1)&lt;=0,0,IF((5-$I266+1)=1,RAMP_W1,IF((5-$I266+1)=2,RAMP_W2,IF((5-$I266+1)=3,RAMP_W3,RAMP_W4PLUS)))))*(INDEX(ACTIVE_MULT_TABLE,1,1))*(1+SUMPRODUCT(SIGN(((ACT_DOOR_SCOPE="ALL")+(ACT_DOOR_SCOPE="TIER_"&amp;$F266)+(ACT_DOOR_SCOPE=$B266)))*SIGN(((ACT_SKU_SCOPE="ALL")+(ACT_SKU_SCOPE=$G266)))*(ACT_START&lt;=5)*(ACT_END&gt;=5)*IFERROR(ACT_UPLIFT-1,0)))*(1+SUMPRODUCT(SIGN(((ACT_DOOR_SCOPE="ALL")+(ACT_DOOR_SCOPE="TIER_"&amp;$F266)+(ACT_DOOR_SCOPE=$B266)))*SIGN(((ACT_SKU_SCOPE="ALL")+(ACT_SKU_SCOPE=$G266)))*(5&gt;ACT_END)*(ACT_END&gt;0)*IFERROR(ACT_POSTLIFT,0))),0)))</f>
        <v/>
      </c>
      <c r="O266" s="10">
        <f>IF(OR($H266&lt;&gt;"Y",6&lt;$I266),0,IF(SUMPRODUCT(((BULK_ENABLED="Y")*((BULK_TIER="ALL")+(BULK_TIER=$F266))*((BULK_SKU="ALL")+(BULK_SKU=$G266))*(BULK_START&lt;=6)*(BULK_END&gt;=6)))&gt;0,IFERROR(SUMPRODUCT(((BULK_ENABLED="Y")*((BULK_TIER="ALL")+(BULK_TIER=$F266))*((BULK_SKU="ALL")+(BULK_SKU=$G266))*(BULK_START&lt;=6)*(BULK_END&gt;=6))*IFERROR(BULK_VALUE,0))/MAX(1,SUMPRODUCT(((BULK_ENABLED="Y")*((BULK_TIER="ALL")+(BULK_TIER=$F266))*((BULK_SKU="ALL")+(BULK_SKU=$G266))*(BULK_START&lt;=6)*(BULK_END&gt;=6)))),0),ROUND((INDEX(VELOCITY_TABLE,MATCH($F266,TIER_LIST,0),1))*(IF((6-$I266+1)&lt;=0,0,IF((6-$I266+1)=1,RAMP_W1,IF((6-$I266+1)=2,RAMP_W2,IF((6-$I266+1)=3,RAMP_W3,RAMP_W4PLUS)))))*(INDEX(ACTIVE_MULT_TABLE,1,1))*(1+SUMPRODUCT(SIGN(((ACT_DOOR_SCOPE="ALL")+(ACT_DOOR_SCOPE="TIER_"&amp;$F266)+(ACT_DOOR_SCOPE=$B266)))*SIGN(((ACT_SKU_SCOPE="ALL")+(ACT_SKU_SCOPE=$G266)))*(ACT_START&lt;=6)*(ACT_END&gt;=6)*IFERROR(ACT_UPLIFT-1,0)))*(1+SUMPRODUCT(SIGN(((ACT_DOOR_SCOPE="ALL")+(ACT_DOOR_SCOPE="TIER_"&amp;$F266)+(ACT_DOOR_SCOPE=$B266)))*SIGN(((ACT_SKU_SCOPE="ALL")+(ACT_SKU_SCOPE=$G266)))*(6&gt;ACT_END)*(ACT_END&gt;0)*IFERROR(ACT_POSTLIFT,0))),0)))</f>
        <v/>
      </c>
      <c r="P266" s="10">
        <f>IF(OR($H266&lt;&gt;"Y",7&lt;$I266),0,IF(SUMPRODUCT(((BULK_ENABLED="Y")*((BULK_TIER="ALL")+(BULK_TIER=$F266))*((BULK_SKU="ALL")+(BULK_SKU=$G266))*(BULK_START&lt;=7)*(BULK_END&gt;=7)))&gt;0,IFERROR(SUMPRODUCT(((BULK_ENABLED="Y")*((BULK_TIER="ALL")+(BULK_TIER=$F266))*((BULK_SKU="ALL")+(BULK_SKU=$G266))*(BULK_START&lt;=7)*(BULK_END&gt;=7))*IFERROR(BULK_VALUE,0))/MAX(1,SUMPRODUCT(((BULK_ENABLED="Y")*((BULK_TIER="ALL")+(BULK_TIER=$F266))*((BULK_SKU="ALL")+(BULK_SKU=$G266))*(BULK_START&lt;=7)*(BULK_END&gt;=7)))),0),ROUND((INDEX(VELOCITY_TABLE,MATCH($F266,TIER_LIST,0),1))*(IF((7-$I266+1)&lt;=0,0,IF((7-$I266+1)=1,RAMP_W1,IF((7-$I266+1)=2,RAMP_W2,IF((7-$I266+1)=3,RAMP_W3,RAMP_W4PLUS)))))*(INDEX(ACTIVE_MULT_TABLE,1,1))*(1+SUMPRODUCT(SIGN(((ACT_DOOR_SCOPE="ALL")+(ACT_DOOR_SCOPE="TIER_"&amp;$F266)+(ACT_DOOR_SCOPE=$B266)))*SIGN(((ACT_SKU_SCOPE="ALL")+(ACT_SKU_SCOPE=$G266)))*(ACT_START&lt;=7)*(ACT_END&gt;=7)*IFERROR(ACT_UPLIFT-1,0)))*(1+SUMPRODUCT(SIGN(((ACT_DOOR_SCOPE="ALL")+(ACT_DOOR_SCOPE="TIER_"&amp;$F266)+(ACT_DOOR_SCOPE=$B266)))*SIGN(((ACT_SKU_SCOPE="ALL")+(ACT_SKU_SCOPE=$G266)))*(7&gt;ACT_END)*(ACT_END&gt;0)*IFERROR(ACT_POSTLIFT,0))),0)))</f>
        <v/>
      </c>
      <c r="Q266" s="10">
        <f>IF(OR($H266&lt;&gt;"Y",8&lt;$I266),0,IF(SUMPRODUCT(((BULK_ENABLED="Y")*((BULK_TIER="ALL")+(BULK_TIER=$F266))*((BULK_SKU="ALL")+(BULK_SKU=$G266))*(BULK_START&lt;=8)*(BULK_END&gt;=8)))&gt;0,IFERROR(SUMPRODUCT(((BULK_ENABLED="Y")*((BULK_TIER="ALL")+(BULK_TIER=$F266))*((BULK_SKU="ALL")+(BULK_SKU=$G266))*(BULK_START&lt;=8)*(BULK_END&gt;=8))*IFERROR(BULK_VALUE,0))/MAX(1,SUMPRODUCT(((BULK_ENABLED="Y")*((BULK_TIER="ALL")+(BULK_TIER=$F266))*((BULK_SKU="ALL")+(BULK_SKU=$G266))*(BULK_START&lt;=8)*(BULK_END&gt;=8)))),0),ROUND((INDEX(VELOCITY_TABLE,MATCH($F266,TIER_LIST,0),1))*(IF((8-$I266+1)&lt;=0,0,IF((8-$I266+1)=1,RAMP_W1,IF((8-$I266+1)=2,RAMP_W2,IF((8-$I266+1)=3,RAMP_W3,RAMP_W4PLUS)))))*(INDEX(ACTIVE_MULT_TABLE,1,1))*(1+SUMPRODUCT(SIGN(((ACT_DOOR_SCOPE="ALL")+(ACT_DOOR_SCOPE="TIER_"&amp;$F266)+(ACT_DOOR_SCOPE=$B266)))*SIGN(((ACT_SKU_SCOPE="ALL")+(ACT_SKU_SCOPE=$G266)))*(ACT_START&lt;=8)*(ACT_END&gt;=8)*IFERROR(ACT_UPLIFT-1,0)))*(1+SUMPRODUCT(SIGN(((ACT_DOOR_SCOPE="ALL")+(ACT_DOOR_SCOPE="TIER_"&amp;$F266)+(ACT_DOOR_SCOPE=$B266)))*SIGN(((ACT_SKU_SCOPE="ALL")+(ACT_SKU_SCOPE=$G266)))*(8&gt;ACT_END)*(ACT_END&gt;0)*IFERROR(ACT_POSTLIFT,0))),0)))</f>
        <v/>
      </c>
      <c r="R266" s="10">
        <f>IF(OR($H266&lt;&gt;"Y",9&lt;$I266),0,IF(SUMPRODUCT(((BULK_ENABLED="Y")*((BULK_TIER="ALL")+(BULK_TIER=$F266))*((BULK_SKU="ALL")+(BULK_SKU=$G266))*(BULK_START&lt;=9)*(BULK_END&gt;=9)))&gt;0,IFERROR(SUMPRODUCT(((BULK_ENABLED="Y")*((BULK_TIER="ALL")+(BULK_TIER=$F266))*((BULK_SKU="ALL")+(BULK_SKU=$G266))*(BULK_START&lt;=9)*(BULK_END&gt;=9))*IFERROR(BULK_VALUE,0))/MAX(1,SUMPRODUCT(((BULK_ENABLED="Y")*((BULK_TIER="ALL")+(BULK_TIER=$F266))*((BULK_SKU="ALL")+(BULK_SKU=$G266))*(BULK_START&lt;=9)*(BULK_END&gt;=9)))),0),ROUND((INDEX(VELOCITY_TABLE,MATCH($F266,TIER_LIST,0),1))*(IF((9-$I266+1)&lt;=0,0,IF((9-$I266+1)=1,RAMP_W1,IF((9-$I266+1)=2,RAMP_W2,IF((9-$I266+1)=3,RAMP_W3,RAMP_W4PLUS)))))*(INDEX(ACTIVE_MULT_TABLE,1,1))*(1+SUMPRODUCT(SIGN(((ACT_DOOR_SCOPE="ALL")+(ACT_DOOR_SCOPE="TIER_"&amp;$F266)+(ACT_DOOR_SCOPE=$B266)))*SIGN(((ACT_SKU_SCOPE="ALL")+(ACT_SKU_SCOPE=$G266)))*(ACT_START&lt;=9)*(ACT_END&gt;=9)*IFERROR(ACT_UPLIFT-1,0)))*(1+SUMPRODUCT(SIGN(((ACT_DOOR_SCOPE="ALL")+(ACT_DOOR_SCOPE="TIER_"&amp;$F266)+(ACT_DOOR_SCOPE=$B266)))*SIGN(((ACT_SKU_SCOPE="ALL")+(ACT_SKU_SCOPE=$G266)))*(9&gt;ACT_END)*(ACT_END&gt;0)*IFERROR(ACT_POSTLIFT,0))),0)))</f>
        <v/>
      </c>
      <c r="S266" s="10">
        <f>IF(OR($H266&lt;&gt;"Y",10&lt;$I266),0,IF(SUMPRODUCT(((BULK_ENABLED="Y")*((BULK_TIER="ALL")+(BULK_TIER=$F266))*((BULK_SKU="ALL")+(BULK_SKU=$G266))*(BULK_START&lt;=10)*(BULK_END&gt;=10)))&gt;0,IFERROR(SUMPRODUCT(((BULK_ENABLED="Y")*((BULK_TIER="ALL")+(BULK_TIER=$F266))*((BULK_SKU="ALL")+(BULK_SKU=$G266))*(BULK_START&lt;=10)*(BULK_END&gt;=10))*IFERROR(BULK_VALUE,0))/MAX(1,SUMPRODUCT(((BULK_ENABLED="Y")*((BULK_TIER="ALL")+(BULK_TIER=$F266))*((BULK_SKU="ALL")+(BULK_SKU=$G266))*(BULK_START&lt;=10)*(BULK_END&gt;=10)))),0),ROUND((INDEX(VELOCITY_TABLE,MATCH($F266,TIER_LIST,0),1))*(IF((10-$I266+1)&lt;=0,0,IF((10-$I266+1)=1,RAMP_W1,IF((10-$I266+1)=2,RAMP_W2,IF((10-$I266+1)=3,RAMP_W3,RAMP_W4PLUS)))))*(INDEX(ACTIVE_MULT_TABLE,1,1))*(1+SUMPRODUCT(SIGN(((ACT_DOOR_SCOPE="ALL")+(ACT_DOOR_SCOPE="TIER_"&amp;$F266)+(ACT_DOOR_SCOPE=$B266)))*SIGN(((ACT_SKU_SCOPE="ALL")+(ACT_SKU_SCOPE=$G266)))*(ACT_START&lt;=10)*(ACT_END&gt;=10)*IFERROR(ACT_UPLIFT-1,0)))*(1+SUMPRODUCT(SIGN(((ACT_DOOR_SCOPE="ALL")+(ACT_DOOR_SCOPE="TIER_"&amp;$F266)+(ACT_DOOR_SCOPE=$B266)))*SIGN(((ACT_SKU_SCOPE="ALL")+(ACT_SKU_SCOPE=$G266)))*(10&gt;ACT_END)*(ACT_END&gt;0)*IFERROR(ACT_POSTLIFT,0))),0)))</f>
        <v/>
      </c>
      <c r="T266" s="10">
        <f>IF(OR($H266&lt;&gt;"Y",11&lt;$I266),0,IF(SUMPRODUCT(((BULK_ENABLED="Y")*((BULK_TIER="ALL")+(BULK_TIER=$F266))*((BULK_SKU="ALL")+(BULK_SKU=$G266))*(BULK_START&lt;=11)*(BULK_END&gt;=11)))&gt;0,IFERROR(SUMPRODUCT(((BULK_ENABLED="Y")*((BULK_TIER="ALL")+(BULK_TIER=$F266))*((BULK_SKU="ALL")+(BULK_SKU=$G266))*(BULK_START&lt;=11)*(BULK_END&gt;=11))*IFERROR(BULK_VALUE,0))/MAX(1,SUMPRODUCT(((BULK_ENABLED="Y")*((BULK_TIER="ALL")+(BULK_TIER=$F266))*((BULK_SKU="ALL")+(BULK_SKU=$G266))*(BULK_START&lt;=11)*(BULK_END&gt;=11)))),0),ROUND((INDEX(VELOCITY_TABLE,MATCH($F266,TIER_LIST,0),1))*(IF((11-$I266+1)&lt;=0,0,IF((11-$I266+1)=1,RAMP_W1,IF((11-$I266+1)=2,RAMP_W2,IF((11-$I266+1)=3,RAMP_W3,RAMP_W4PLUS)))))*(INDEX(ACTIVE_MULT_TABLE,1,1))*(1+SUMPRODUCT(SIGN(((ACT_DOOR_SCOPE="ALL")+(ACT_DOOR_SCOPE="TIER_"&amp;$F266)+(ACT_DOOR_SCOPE=$B266)))*SIGN(((ACT_SKU_SCOPE="ALL")+(ACT_SKU_SCOPE=$G266)))*(ACT_START&lt;=11)*(ACT_END&gt;=11)*IFERROR(ACT_UPLIFT-1,0)))*(1+SUMPRODUCT(SIGN(((ACT_DOOR_SCOPE="ALL")+(ACT_DOOR_SCOPE="TIER_"&amp;$F266)+(ACT_DOOR_SCOPE=$B266)))*SIGN(((ACT_SKU_SCOPE="ALL")+(ACT_SKU_SCOPE=$G266)))*(11&gt;ACT_END)*(ACT_END&gt;0)*IFERROR(ACT_POSTLIFT,0))),0)))</f>
        <v/>
      </c>
      <c r="U266" s="10">
        <f>IF(OR($H266&lt;&gt;"Y",12&lt;$I266),0,IF(SUMPRODUCT(((BULK_ENABLED="Y")*((BULK_TIER="ALL")+(BULK_TIER=$F266))*((BULK_SKU="ALL")+(BULK_SKU=$G266))*(BULK_START&lt;=12)*(BULK_END&gt;=12)))&gt;0,IFERROR(SUMPRODUCT(((BULK_ENABLED="Y")*((BULK_TIER="ALL")+(BULK_TIER=$F266))*((BULK_SKU="ALL")+(BULK_SKU=$G266))*(BULK_START&lt;=12)*(BULK_END&gt;=12))*IFERROR(BULK_VALUE,0))/MAX(1,SUMPRODUCT(((BULK_ENABLED="Y")*((BULK_TIER="ALL")+(BULK_TIER=$F266))*((BULK_SKU="ALL")+(BULK_SKU=$G266))*(BULK_START&lt;=12)*(BULK_END&gt;=12)))),0),ROUND((INDEX(VELOCITY_TABLE,MATCH($F266,TIER_LIST,0),1))*(IF((12-$I266+1)&lt;=0,0,IF((12-$I266+1)=1,RAMP_W1,IF((12-$I266+1)=2,RAMP_W2,IF((12-$I266+1)=3,RAMP_W3,RAMP_W4PLUS)))))*(INDEX(ACTIVE_MULT_TABLE,1,1))*(1+SUMPRODUCT(SIGN(((ACT_DOOR_SCOPE="ALL")+(ACT_DOOR_SCOPE="TIER_"&amp;$F266)+(ACT_DOOR_SCOPE=$B266)))*SIGN(((ACT_SKU_SCOPE="ALL")+(ACT_SKU_SCOPE=$G266)))*(ACT_START&lt;=12)*(ACT_END&gt;=12)*IFERROR(ACT_UPLIFT-1,0)))*(1+SUMPRODUCT(SIGN(((ACT_DOOR_SCOPE="ALL")+(ACT_DOOR_SCOPE="TIER_"&amp;$F266)+(ACT_DOOR_SCOPE=$B266)))*SIGN(((ACT_SKU_SCOPE="ALL")+(ACT_SKU_SCOPE=$G266)))*(12&gt;ACT_END)*(ACT_END&gt;0)*IFERROR(ACT_POSTLIFT,0))),0)))</f>
        <v/>
      </c>
      <c r="V266" s="10">
        <f>IF(OR($H266&lt;&gt;"Y",13&lt;$I266),0,IF(SUMPRODUCT(((BULK_ENABLED="Y")*((BULK_TIER="ALL")+(BULK_TIER=$F266))*((BULK_SKU="ALL")+(BULK_SKU=$G266))*(BULK_START&lt;=13)*(BULK_END&gt;=13)))&gt;0,IFERROR(SUMPRODUCT(((BULK_ENABLED="Y")*((BULK_TIER="ALL")+(BULK_TIER=$F266))*((BULK_SKU="ALL")+(BULK_SKU=$G266))*(BULK_START&lt;=13)*(BULK_END&gt;=13))*IFERROR(BULK_VALUE,0))/MAX(1,SUMPRODUCT(((BULK_ENABLED="Y")*((BULK_TIER="ALL")+(BULK_TIER=$F266))*((BULK_SKU="ALL")+(BULK_SKU=$G266))*(BULK_START&lt;=13)*(BULK_END&gt;=13)))),0),ROUND((INDEX(VELOCITY_TABLE,MATCH($F266,TIER_LIST,0),1))*(IF((13-$I266+1)&lt;=0,0,IF((13-$I266+1)=1,RAMP_W1,IF((13-$I266+1)=2,RAMP_W2,IF((13-$I266+1)=3,RAMP_W3,RAMP_W4PLUS)))))*(INDEX(ACTIVE_MULT_TABLE,1,1))*(1+SUMPRODUCT(SIGN(((ACT_DOOR_SCOPE="ALL")+(ACT_DOOR_SCOPE="TIER_"&amp;$F266)+(ACT_DOOR_SCOPE=$B266)))*SIGN(((ACT_SKU_SCOPE="ALL")+(ACT_SKU_SCOPE=$G266)))*(ACT_START&lt;=13)*(ACT_END&gt;=13)*IFERROR(ACT_UPLIFT-1,0)))*(1+SUMPRODUCT(SIGN(((ACT_DOOR_SCOPE="ALL")+(ACT_DOOR_SCOPE="TIER_"&amp;$F266)+(ACT_DOOR_SCOPE=$B266)))*SIGN(((ACT_SKU_SCOPE="ALL")+(ACT_SKU_SCOPE=$G266)))*(13&gt;ACT_END)*(ACT_END&gt;0)*IFERROR(ACT_POSTLIFT,0))),0)))</f>
        <v/>
      </c>
    </row>
    <row r="267">
      <c r="A267" t="inlineStr">
        <is>
          <t>R0263</t>
        </is>
      </c>
      <c r="B267">
        <f>Doors!$A$92</f>
        <v/>
      </c>
      <c r="C267">
        <f>Doors!$C$92</f>
        <v/>
      </c>
      <c r="D267">
        <f>Doors!$B$92</f>
        <v/>
      </c>
      <c r="E267">
        <f>Doors!$E$92</f>
        <v/>
      </c>
      <c r="F267">
        <f>Doors!$F$92</f>
        <v/>
      </c>
      <c r="G267" t="inlineStr">
        <is>
          <t>Pineapple Passion Fruit</t>
        </is>
      </c>
      <c r="H267">
        <f>Doors!$H$92</f>
        <v/>
      </c>
      <c r="I267">
        <f>Doors!$J$92</f>
        <v/>
      </c>
      <c r="J267" s="10">
        <f>IF(OR($H267&lt;&gt;"Y",1&lt;$I267),0,IF(SUMPRODUCT(((BULK_ENABLED="Y")*((BULK_TIER="ALL")+(BULK_TIER=$F267))*((BULK_SKU="ALL")+(BULK_SKU=$G267))*(BULK_START&lt;=1)*(BULK_END&gt;=1)))&gt;0,IFERROR(SUMPRODUCT(((BULK_ENABLED="Y")*((BULK_TIER="ALL")+(BULK_TIER=$F267))*((BULK_SKU="ALL")+(BULK_SKU=$G267))*(BULK_START&lt;=1)*(BULK_END&gt;=1))*IFERROR(BULK_VALUE,0))/MAX(1,SUMPRODUCT(((BULK_ENABLED="Y")*((BULK_TIER="ALL")+(BULK_TIER=$F267))*((BULK_SKU="ALL")+(BULK_SKU=$G267))*(BULK_START&lt;=1)*(BULK_END&gt;=1)))),0),ROUND((INDEX(VELOCITY_TABLE,MATCH($F267,TIER_LIST,0),2))*(IF((1-$I267+1)&lt;=0,0,IF((1-$I267+1)=1,RAMP_W1,IF((1-$I267+1)=2,RAMP_W2,IF((1-$I267+1)=3,RAMP_W3,RAMP_W4PLUS)))))*(INDEX(ACTIVE_MULT_TABLE,2,1))*(1+SUMPRODUCT(SIGN(((ACT_DOOR_SCOPE="ALL")+(ACT_DOOR_SCOPE="TIER_"&amp;$F267)+(ACT_DOOR_SCOPE=$B267)))*SIGN(((ACT_SKU_SCOPE="ALL")+(ACT_SKU_SCOPE=$G267)))*(ACT_START&lt;=1)*(ACT_END&gt;=1)*IFERROR(ACT_UPLIFT-1,0)))*(1+SUMPRODUCT(SIGN(((ACT_DOOR_SCOPE="ALL")+(ACT_DOOR_SCOPE="TIER_"&amp;$F267)+(ACT_DOOR_SCOPE=$B267)))*SIGN(((ACT_SKU_SCOPE="ALL")+(ACT_SKU_SCOPE=$G267)))*(1&gt;ACT_END)*(ACT_END&gt;0)*IFERROR(ACT_POSTLIFT,0))),0)))</f>
        <v/>
      </c>
      <c r="K267" s="10">
        <f>IF(OR($H267&lt;&gt;"Y",2&lt;$I267),0,IF(SUMPRODUCT(((BULK_ENABLED="Y")*((BULK_TIER="ALL")+(BULK_TIER=$F267))*((BULK_SKU="ALL")+(BULK_SKU=$G267))*(BULK_START&lt;=2)*(BULK_END&gt;=2)))&gt;0,IFERROR(SUMPRODUCT(((BULK_ENABLED="Y")*((BULK_TIER="ALL")+(BULK_TIER=$F267))*((BULK_SKU="ALL")+(BULK_SKU=$G267))*(BULK_START&lt;=2)*(BULK_END&gt;=2))*IFERROR(BULK_VALUE,0))/MAX(1,SUMPRODUCT(((BULK_ENABLED="Y")*((BULK_TIER="ALL")+(BULK_TIER=$F267))*((BULK_SKU="ALL")+(BULK_SKU=$G267))*(BULK_START&lt;=2)*(BULK_END&gt;=2)))),0),ROUND((INDEX(VELOCITY_TABLE,MATCH($F267,TIER_LIST,0),2))*(IF((2-$I267+1)&lt;=0,0,IF((2-$I267+1)=1,RAMP_W1,IF((2-$I267+1)=2,RAMP_W2,IF((2-$I267+1)=3,RAMP_W3,RAMP_W4PLUS)))))*(INDEX(ACTIVE_MULT_TABLE,2,1))*(1+SUMPRODUCT(SIGN(((ACT_DOOR_SCOPE="ALL")+(ACT_DOOR_SCOPE="TIER_"&amp;$F267)+(ACT_DOOR_SCOPE=$B267)))*SIGN(((ACT_SKU_SCOPE="ALL")+(ACT_SKU_SCOPE=$G267)))*(ACT_START&lt;=2)*(ACT_END&gt;=2)*IFERROR(ACT_UPLIFT-1,0)))*(1+SUMPRODUCT(SIGN(((ACT_DOOR_SCOPE="ALL")+(ACT_DOOR_SCOPE="TIER_"&amp;$F267)+(ACT_DOOR_SCOPE=$B267)))*SIGN(((ACT_SKU_SCOPE="ALL")+(ACT_SKU_SCOPE=$G267)))*(2&gt;ACT_END)*(ACT_END&gt;0)*IFERROR(ACT_POSTLIFT,0))),0)))</f>
        <v/>
      </c>
      <c r="L267" s="10">
        <f>IF(OR($H267&lt;&gt;"Y",3&lt;$I267),0,IF(SUMPRODUCT(((BULK_ENABLED="Y")*((BULK_TIER="ALL")+(BULK_TIER=$F267))*((BULK_SKU="ALL")+(BULK_SKU=$G267))*(BULK_START&lt;=3)*(BULK_END&gt;=3)))&gt;0,IFERROR(SUMPRODUCT(((BULK_ENABLED="Y")*((BULK_TIER="ALL")+(BULK_TIER=$F267))*((BULK_SKU="ALL")+(BULK_SKU=$G267))*(BULK_START&lt;=3)*(BULK_END&gt;=3))*IFERROR(BULK_VALUE,0))/MAX(1,SUMPRODUCT(((BULK_ENABLED="Y")*((BULK_TIER="ALL")+(BULK_TIER=$F267))*((BULK_SKU="ALL")+(BULK_SKU=$G267))*(BULK_START&lt;=3)*(BULK_END&gt;=3)))),0),ROUND((INDEX(VELOCITY_TABLE,MATCH($F267,TIER_LIST,0),2))*(IF((3-$I267+1)&lt;=0,0,IF((3-$I267+1)=1,RAMP_W1,IF((3-$I267+1)=2,RAMP_W2,IF((3-$I267+1)=3,RAMP_W3,RAMP_W4PLUS)))))*(INDEX(ACTIVE_MULT_TABLE,2,1))*(1+SUMPRODUCT(SIGN(((ACT_DOOR_SCOPE="ALL")+(ACT_DOOR_SCOPE="TIER_"&amp;$F267)+(ACT_DOOR_SCOPE=$B267)))*SIGN(((ACT_SKU_SCOPE="ALL")+(ACT_SKU_SCOPE=$G267)))*(ACT_START&lt;=3)*(ACT_END&gt;=3)*IFERROR(ACT_UPLIFT-1,0)))*(1+SUMPRODUCT(SIGN(((ACT_DOOR_SCOPE="ALL")+(ACT_DOOR_SCOPE="TIER_"&amp;$F267)+(ACT_DOOR_SCOPE=$B267)))*SIGN(((ACT_SKU_SCOPE="ALL")+(ACT_SKU_SCOPE=$G267)))*(3&gt;ACT_END)*(ACT_END&gt;0)*IFERROR(ACT_POSTLIFT,0))),0)))</f>
        <v/>
      </c>
      <c r="M267" s="10">
        <f>IF(OR($H267&lt;&gt;"Y",4&lt;$I267),0,IF(SUMPRODUCT(((BULK_ENABLED="Y")*((BULK_TIER="ALL")+(BULK_TIER=$F267))*((BULK_SKU="ALL")+(BULK_SKU=$G267))*(BULK_START&lt;=4)*(BULK_END&gt;=4)))&gt;0,IFERROR(SUMPRODUCT(((BULK_ENABLED="Y")*((BULK_TIER="ALL")+(BULK_TIER=$F267))*((BULK_SKU="ALL")+(BULK_SKU=$G267))*(BULK_START&lt;=4)*(BULK_END&gt;=4))*IFERROR(BULK_VALUE,0))/MAX(1,SUMPRODUCT(((BULK_ENABLED="Y")*((BULK_TIER="ALL")+(BULK_TIER=$F267))*((BULK_SKU="ALL")+(BULK_SKU=$G267))*(BULK_START&lt;=4)*(BULK_END&gt;=4)))),0),ROUND((INDEX(VELOCITY_TABLE,MATCH($F267,TIER_LIST,0),2))*(IF((4-$I267+1)&lt;=0,0,IF((4-$I267+1)=1,RAMP_W1,IF((4-$I267+1)=2,RAMP_W2,IF((4-$I267+1)=3,RAMP_W3,RAMP_W4PLUS)))))*(INDEX(ACTIVE_MULT_TABLE,2,1))*(1+SUMPRODUCT(SIGN(((ACT_DOOR_SCOPE="ALL")+(ACT_DOOR_SCOPE="TIER_"&amp;$F267)+(ACT_DOOR_SCOPE=$B267)))*SIGN(((ACT_SKU_SCOPE="ALL")+(ACT_SKU_SCOPE=$G267)))*(ACT_START&lt;=4)*(ACT_END&gt;=4)*IFERROR(ACT_UPLIFT-1,0)))*(1+SUMPRODUCT(SIGN(((ACT_DOOR_SCOPE="ALL")+(ACT_DOOR_SCOPE="TIER_"&amp;$F267)+(ACT_DOOR_SCOPE=$B267)))*SIGN(((ACT_SKU_SCOPE="ALL")+(ACT_SKU_SCOPE=$G267)))*(4&gt;ACT_END)*(ACT_END&gt;0)*IFERROR(ACT_POSTLIFT,0))),0)))</f>
        <v/>
      </c>
      <c r="N267" s="10">
        <f>IF(OR($H267&lt;&gt;"Y",5&lt;$I267),0,IF(SUMPRODUCT(((BULK_ENABLED="Y")*((BULK_TIER="ALL")+(BULK_TIER=$F267))*((BULK_SKU="ALL")+(BULK_SKU=$G267))*(BULK_START&lt;=5)*(BULK_END&gt;=5)))&gt;0,IFERROR(SUMPRODUCT(((BULK_ENABLED="Y")*((BULK_TIER="ALL")+(BULK_TIER=$F267))*((BULK_SKU="ALL")+(BULK_SKU=$G267))*(BULK_START&lt;=5)*(BULK_END&gt;=5))*IFERROR(BULK_VALUE,0))/MAX(1,SUMPRODUCT(((BULK_ENABLED="Y")*((BULK_TIER="ALL")+(BULK_TIER=$F267))*((BULK_SKU="ALL")+(BULK_SKU=$G267))*(BULK_START&lt;=5)*(BULK_END&gt;=5)))),0),ROUND((INDEX(VELOCITY_TABLE,MATCH($F267,TIER_LIST,0),2))*(IF((5-$I267+1)&lt;=0,0,IF((5-$I267+1)=1,RAMP_W1,IF((5-$I267+1)=2,RAMP_W2,IF((5-$I267+1)=3,RAMP_W3,RAMP_W4PLUS)))))*(INDEX(ACTIVE_MULT_TABLE,2,1))*(1+SUMPRODUCT(SIGN(((ACT_DOOR_SCOPE="ALL")+(ACT_DOOR_SCOPE="TIER_"&amp;$F267)+(ACT_DOOR_SCOPE=$B267)))*SIGN(((ACT_SKU_SCOPE="ALL")+(ACT_SKU_SCOPE=$G267)))*(ACT_START&lt;=5)*(ACT_END&gt;=5)*IFERROR(ACT_UPLIFT-1,0)))*(1+SUMPRODUCT(SIGN(((ACT_DOOR_SCOPE="ALL")+(ACT_DOOR_SCOPE="TIER_"&amp;$F267)+(ACT_DOOR_SCOPE=$B267)))*SIGN(((ACT_SKU_SCOPE="ALL")+(ACT_SKU_SCOPE=$G267)))*(5&gt;ACT_END)*(ACT_END&gt;0)*IFERROR(ACT_POSTLIFT,0))),0)))</f>
        <v/>
      </c>
      <c r="O267" s="10">
        <f>IF(OR($H267&lt;&gt;"Y",6&lt;$I267),0,IF(SUMPRODUCT(((BULK_ENABLED="Y")*((BULK_TIER="ALL")+(BULK_TIER=$F267))*((BULK_SKU="ALL")+(BULK_SKU=$G267))*(BULK_START&lt;=6)*(BULK_END&gt;=6)))&gt;0,IFERROR(SUMPRODUCT(((BULK_ENABLED="Y")*((BULK_TIER="ALL")+(BULK_TIER=$F267))*((BULK_SKU="ALL")+(BULK_SKU=$G267))*(BULK_START&lt;=6)*(BULK_END&gt;=6))*IFERROR(BULK_VALUE,0))/MAX(1,SUMPRODUCT(((BULK_ENABLED="Y")*((BULK_TIER="ALL")+(BULK_TIER=$F267))*((BULK_SKU="ALL")+(BULK_SKU=$G267))*(BULK_START&lt;=6)*(BULK_END&gt;=6)))),0),ROUND((INDEX(VELOCITY_TABLE,MATCH($F267,TIER_LIST,0),2))*(IF((6-$I267+1)&lt;=0,0,IF((6-$I267+1)=1,RAMP_W1,IF((6-$I267+1)=2,RAMP_W2,IF((6-$I267+1)=3,RAMP_W3,RAMP_W4PLUS)))))*(INDEX(ACTIVE_MULT_TABLE,2,1))*(1+SUMPRODUCT(SIGN(((ACT_DOOR_SCOPE="ALL")+(ACT_DOOR_SCOPE="TIER_"&amp;$F267)+(ACT_DOOR_SCOPE=$B267)))*SIGN(((ACT_SKU_SCOPE="ALL")+(ACT_SKU_SCOPE=$G267)))*(ACT_START&lt;=6)*(ACT_END&gt;=6)*IFERROR(ACT_UPLIFT-1,0)))*(1+SUMPRODUCT(SIGN(((ACT_DOOR_SCOPE="ALL")+(ACT_DOOR_SCOPE="TIER_"&amp;$F267)+(ACT_DOOR_SCOPE=$B267)))*SIGN(((ACT_SKU_SCOPE="ALL")+(ACT_SKU_SCOPE=$G267)))*(6&gt;ACT_END)*(ACT_END&gt;0)*IFERROR(ACT_POSTLIFT,0))),0)))</f>
        <v/>
      </c>
      <c r="P267" s="10">
        <f>IF(OR($H267&lt;&gt;"Y",7&lt;$I267),0,IF(SUMPRODUCT(((BULK_ENABLED="Y")*((BULK_TIER="ALL")+(BULK_TIER=$F267))*((BULK_SKU="ALL")+(BULK_SKU=$G267))*(BULK_START&lt;=7)*(BULK_END&gt;=7)))&gt;0,IFERROR(SUMPRODUCT(((BULK_ENABLED="Y")*((BULK_TIER="ALL")+(BULK_TIER=$F267))*((BULK_SKU="ALL")+(BULK_SKU=$G267))*(BULK_START&lt;=7)*(BULK_END&gt;=7))*IFERROR(BULK_VALUE,0))/MAX(1,SUMPRODUCT(((BULK_ENABLED="Y")*((BULK_TIER="ALL")+(BULK_TIER=$F267))*((BULK_SKU="ALL")+(BULK_SKU=$G267))*(BULK_START&lt;=7)*(BULK_END&gt;=7)))),0),ROUND((INDEX(VELOCITY_TABLE,MATCH($F267,TIER_LIST,0),2))*(IF((7-$I267+1)&lt;=0,0,IF((7-$I267+1)=1,RAMP_W1,IF((7-$I267+1)=2,RAMP_W2,IF((7-$I267+1)=3,RAMP_W3,RAMP_W4PLUS)))))*(INDEX(ACTIVE_MULT_TABLE,2,1))*(1+SUMPRODUCT(SIGN(((ACT_DOOR_SCOPE="ALL")+(ACT_DOOR_SCOPE="TIER_"&amp;$F267)+(ACT_DOOR_SCOPE=$B267)))*SIGN(((ACT_SKU_SCOPE="ALL")+(ACT_SKU_SCOPE=$G267)))*(ACT_START&lt;=7)*(ACT_END&gt;=7)*IFERROR(ACT_UPLIFT-1,0)))*(1+SUMPRODUCT(SIGN(((ACT_DOOR_SCOPE="ALL")+(ACT_DOOR_SCOPE="TIER_"&amp;$F267)+(ACT_DOOR_SCOPE=$B267)))*SIGN(((ACT_SKU_SCOPE="ALL")+(ACT_SKU_SCOPE=$G267)))*(7&gt;ACT_END)*(ACT_END&gt;0)*IFERROR(ACT_POSTLIFT,0))),0)))</f>
        <v/>
      </c>
      <c r="Q267" s="10">
        <f>IF(OR($H267&lt;&gt;"Y",8&lt;$I267),0,IF(SUMPRODUCT(((BULK_ENABLED="Y")*((BULK_TIER="ALL")+(BULK_TIER=$F267))*((BULK_SKU="ALL")+(BULK_SKU=$G267))*(BULK_START&lt;=8)*(BULK_END&gt;=8)))&gt;0,IFERROR(SUMPRODUCT(((BULK_ENABLED="Y")*((BULK_TIER="ALL")+(BULK_TIER=$F267))*((BULK_SKU="ALL")+(BULK_SKU=$G267))*(BULK_START&lt;=8)*(BULK_END&gt;=8))*IFERROR(BULK_VALUE,0))/MAX(1,SUMPRODUCT(((BULK_ENABLED="Y")*((BULK_TIER="ALL")+(BULK_TIER=$F267))*((BULK_SKU="ALL")+(BULK_SKU=$G267))*(BULK_START&lt;=8)*(BULK_END&gt;=8)))),0),ROUND((INDEX(VELOCITY_TABLE,MATCH($F267,TIER_LIST,0),2))*(IF((8-$I267+1)&lt;=0,0,IF((8-$I267+1)=1,RAMP_W1,IF((8-$I267+1)=2,RAMP_W2,IF((8-$I267+1)=3,RAMP_W3,RAMP_W4PLUS)))))*(INDEX(ACTIVE_MULT_TABLE,2,1))*(1+SUMPRODUCT(SIGN(((ACT_DOOR_SCOPE="ALL")+(ACT_DOOR_SCOPE="TIER_"&amp;$F267)+(ACT_DOOR_SCOPE=$B267)))*SIGN(((ACT_SKU_SCOPE="ALL")+(ACT_SKU_SCOPE=$G267)))*(ACT_START&lt;=8)*(ACT_END&gt;=8)*IFERROR(ACT_UPLIFT-1,0)))*(1+SUMPRODUCT(SIGN(((ACT_DOOR_SCOPE="ALL")+(ACT_DOOR_SCOPE="TIER_"&amp;$F267)+(ACT_DOOR_SCOPE=$B267)))*SIGN(((ACT_SKU_SCOPE="ALL")+(ACT_SKU_SCOPE=$G267)))*(8&gt;ACT_END)*(ACT_END&gt;0)*IFERROR(ACT_POSTLIFT,0))),0)))</f>
        <v/>
      </c>
      <c r="R267" s="10">
        <f>IF(OR($H267&lt;&gt;"Y",9&lt;$I267),0,IF(SUMPRODUCT(((BULK_ENABLED="Y")*((BULK_TIER="ALL")+(BULK_TIER=$F267))*((BULK_SKU="ALL")+(BULK_SKU=$G267))*(BULK_START&lt;=9)*(BULK_END&gt;=9)))&gt;0,IFERROR(SUMPRODUCT(((BULK_ENABLED="Y")*((BULK_TIER="ALL")+(BULK_TIER=$F267))*((BULK_SKU="ALL")+(BULK_SKU=$G267))*(BULK_START&lt;=9)*(BULK_END&gt;=9))*IFERROR(BULK_VALUE,0))/MAX(1,SUMPRODUCT(((BULK_ENABLED="Y")*((BULK_TIER="ALL")+(BULK_TIER=$F267))*((BULK_SKU="ALL")+(BULK_SKU=$G267))*(BULK_START&lt;=9)*(BULK_END&gt;=9)))),0),ROUND((INDEX(VELOCITY_TABLE,MATCH($F267,TIER_LIST,0),2))*(IF((9-$I267+1)&lt;=0,0,IF((9-$I267+1)=1,RAMP_W1,IF((9-$I267+1)=2,RAMP_W2,IF((9-$I267+1)=3,RAMP_W3,RAMP_W4PLUS)))))*(INDEX(ACTIVE_MULT_TABLE,2,1))*(1+SUMPRODUCT(SIGN(((ACT_DOOR_SCOPE="ALL")+(ACT_DOOR_SCOPE="TIER_"&amp;$F267)+(ACT_DOOR_SCOPE=$B267)))*SIGN(((ACT_SKU_SCOPE="ALL")+(ACT_SKU_SCOPE=$G267)))*(ACT_START&lt;=9)*(ACT_END&gt;=9)*IFERROR(ACT_UPLIFT-1,0)))*(1+SUMPRODUCT(SIGN(((ACT_DOOR_SCOPE="ALL")+(ACT_DOOR_SCOPE="TIER_"&amp;$F267)+(ACT_DOOR_SCOPE=$B267)))*SIGN(((ACT_SKU_SCOPE="ALL")+(ACT_SKU_SCOPE=$G267)))*(9&gt;ACT_END)*(ACT_END&gt;0)*IFERROR(ACT_POSTLIFT,0))),0)))</f>
        <v/>
      </c>
      <c r="S267" s="10">
        <f>IF(OR($H267&lt;&gt;"Y",10&lt;$I267),0,IF(SUMPRODUCT(((BULK_ENABLED="Y")*((BULK_TIER="ALL")+(BULK_TIER=$F267))*((BULK_SKU="ALL")+(BULK_SKU=$G267))*(BULK_START&lt;=10)*(BULK_END&gt;=10)))&gt;0,IFERROR(SUMPRODUCT(((BULK_ENABLED="Y")*((BULK_TIER="ALL")+(BULK_TIER=$F267))*((BULK_SKU="ALL")+(BULK_SKU=$G267))*(BULK_START&lt;=10)*(BULK_END&gt;=10))*IFERROR(BULK_VALUE,0))/MAX(1,SUMPRODUCT(((BULK_ENABLED="Y")*((BULK_TIER="ALL")+(BULK_TIER=$F267))*((BULK_SKU="ALL")+(BULK_SKU=$G267))*(BULK_START&lt;=10)*(BULK_END&gt;=10)))),0),ROUND((INDEX(VELOCITY_TABLE,MATCH($F267,TIER_LIST,0),2))*(IF((10-$I267+1)&lt;=0,0,IF((10-$I267+1)=1,RAMP_W1,IF((10-$I267+1)=2,RAMP_W2,IF((10-$I267+1)=3,RAMP_W3,RAMP_W4PLUS)))))*(INDEX(ACTIVE_MULT_TABLE,2,1))*(1+SUMPRODUCT(SIGN(((ACT_DOOR_SCOPE="ALL")+(ACT_DOOR_SCOPE="TIER_"&amp;$F267)+(ACT_DOOR_SCOPE=$B267)))*SIGN(((ACT_SKU_SCOPE="ALL")+(ACT_SKU_SCOPE=$G267)))*(ACT_START&lt;=10)*(ACT_END&gt;=10)*IFERROR(ACT_UPLIFT-1,0)))*(1+SUMPRODUCT(SIGN(((ACT_DOOR_SCOPE="ALL")+(ACT_DOOR_SCOPE="TIER_"&amp;$F267)+(ACT_DOOR_SCOPE=$B267)))*SIGN(((ACT_SKU_SCOPE="ALL")+(ACT_SKU_SCOPE=$G267)))*(10&gt;ACT_END)*(ACT_END&gt;0)*IFERROR(ACT_POSTLIFT,0))),0)))</f>
        <v/>
      </c>
      <c r="T267" s="10">
        <f>IF(OR($H267&lt;&gt;"Y",11&lt;$I267),0,IF(SUMPRODUCT(((BULK_ENABLED="Y")*((BULK_TIER="ALL")+(BULK_TIER=$F267))*((BULK_SKU="ALL")+(BULK_SKU=$G267))*(BULK_START&lt;=11)*(BULK_END&gt;=11)))&gt;0,IFERROR(SUMPRODUCT(((BULK_ENABLED="Y")*((BULK_TIER="ALL")+(BULK_TIER=$F267))*((BULK_SKU="ALL")+(BULK_SKU=$G267))*(BULK_START&lt;=11)*(BULK_END&gt;=11))*IFERROR(BULK_VALUE,0))/MAX(1,SUMPRODUCT(((BULK_ENABLED="Y")*((BULK_TIER="ALL")+(BULK_TIER=$F267))*((BULK_SKU="ALL")+(BULK_SKU=$G267))*(BULK_START&lt;=11)*(BULK_END&gt;=11)))),0),ROUND((INDEX(VELOCITY_TABLE,MATCH($F267,TIER_LIST,0),2))*(IF((11-$I267+1)&lt;=0,0,IF((11-$I267+1)=1,RAMP_W1,IF((11-$I267+1)=2,RAMP_W2,IF((11-$I267+1)=3,RAMP_W3,RAMP_W4PLUS)))))*(INDEX(ACTIVE_MULT_TABLE,2,1))*(1+SUMPRODUCT(SIGN(((ACT_DOOR_SCOPE="ALL")+(ACT_DOOR_SCOPE="TIER_"&amp;$F267)+(ACT_DOOR_SCOPE=$B267)))*SIGN(((ACT_SKU_SCOPE="ALL")+(ACT_SKU_SCOPE=$G267)))*(ACT_START&lt;=11)*(ACT_END&gt;=11)*IFERROR(ACT_UPLIFT-1,0)))*(1+SUMPRODUCT(SIGN(((ACT_DOOR_SCOPE="ALL")+(ACT_DOOR_SCOPE="TIER_"&amp;$F267)+(ACT_DOOR_SCOPE=$B267)))*SIGN(((ACT_SKU_SCOPE="ALL")+(ACT_SKU_SCOPE=$G267)))*(11&gt;ACT_END)*(ACT_END&gt;0)*IFERROR(ACT_POSTLIFT,0))),0)))</f>
        <v/>
      </c>
      <c r="U267" s="10">
        <f>IF(OR($H267&lt;&gt;"Y",12&lt;$I267),0,IF(SUMPRODUCT(((BULK_ENABLED="Y")*((BULK_TIER="ALL")+(BULK_TIER=$F267))*((BULK_SKU="ALL")+(BULK_SKU=$G267))*(BULK_START&lt;=12)*(BULK_END&gt;=12)))&gt;0,IFERROR(SUMPRODUCT(((BULK_ENABLED="Y")*((BULK_TIER="ALL")+(BULK_TIER=$F267))*((BULK_SKU="ALL")+(BULK_SKU=$G267))*(BULK_START&lt;=12)*(BULK_END&gt;=12))*IFERROR(BULK_VALUE,0))/MAX(1,SUMPRODUCT(((BULK_ENABLED="Y")*((BULK_TIER="ALL")+(BULK_TIER=$F267))*((BULK_SKU="ALL")+(BULK_SKU=$G267))*(BULK_START&lt;=12)*(BULK_END&gt;=12)))),0),ROUND((INDEX(VELOCITY_TABLE,MATCH($F267,TIER_LIST,0),2))*(IF((12-$I267+1)&lt;=0,0,IF((12-$I267+1)=1,RAMP_W1,IF((12-$I267+1)=2,RAMP_W2,IF((12-$I267+1)=3,RAMP_W3,RAMP_W4PLUS)))))*(INDEX(ACTIVE_MULT_TABLE,2,1))*(1+SUMPRODUCT(SIGN(((ACT_DOOR_SCOPE="ALL")+(ACT_DOOR_SCOPE="TIER_"&amp;$F267)+(ACT_DOOR_SCOPE=$B267)))*SIGN(((ACT_SKU_SCOPE="ALL")+(ACT_SKU_SCOPE=$G267)))*(ACT_START&lt;=12)*(ACT_END&gt;=12)*IFERROR(ACT_UPLIFT-1,0)))*(1+SUMPRODUCT(SIGN(((ACT_DOOR_SCOPE="ALL")+(ACT_DOOR_SCOPE="TIER_"&amp;$F267)+(ACT_DOOR_SCOPE=$B267)))*SIGN(((ACT_SKU_SCOPE="ALL")+(ACT_SKU_SCOPE=$G267)))*(12&gt;ACT_END)*(ACT_END&gt;0)*IFERROR(ACT_POSTLIFT,0))),0)))</f>
        <v/>
      </c>
      <c r="V267" s="10">
        <f>IF(OR($H267&lt;&gt;"Y",13&lt;$I267),0,IF(SUMPRODUCT(((BULK_ENABLED="Y")*((BULK_TIER="ALL")+(BULK_TIER=$F267))*((BULK_SKU="ALL")+(BULK_SKU=$G267))*(BULK_START&lt;=13)*(BULK_END&gt;=13)))&gt;0,IFERROR(SUMPRODUCT(((BULK_ENABLED="Y")*((BULK_TIER="ALL")+(BULK_TIER=$F267))*((BULK_SKU="ALL")+(BULK_SKU=$G267))*(BULK_START&lt;=13)*(BULK_END&gt;=13))*IFERROR(BULK_VALUE,0))/MAX(1,SUMPRODUCT(((BULK_ENABLED="Y")*((BULK_TIER="ALL")+(BULK_TIER=$F267))*((BULK_SKU="ALL")+(BULK_SKU=$G267))*(BULK_START&lt;=13)*(BULK_END&gt;=13)))),0),ROUND((INDEX(VELOCITY_TABLE,MATCH($F267,TIER_LIST,0),2))*(IF((13-$I267+1)&lt;=0,0,IF((13-$I267+1)=1,RAMP_W1,IF((13-$I267+1)=2,RAMP_W2,IF((13-$I267+1)=3,RAMP_W3,RAMP_W4PLUS)))))*(INDEX(ACTIVE_MULT_TABLE,2,1))*(1+SUMPRODUCT(SIGN(((ACT_DOOR_SCOPE="ALL")+(ACT_DOOR_SCOPE="TIER_"&amp;$F267)+(ACT_DOOR_SCOPE=$B267)))*SIGN(((ACT_SKU_SCOPE="ALL")+(ACT_SKU_SCOPE=$G267)))*(ACT_START&lt;=13)*(ACT_END&gt;=13)*IFERROR(ACT_UPLIFT-1,0)))*(1+SUMPRODUCT(SIGN(((ACT_DOOR_SCOPE="ALL")+(ACT_DOOR_SCOPE="TIER_"&amp;$F267)+(ACT_DOOR_SCOPE=$B267)))*SIGN(((ACT_SKU_SCOPE="ALL")+(ACT_SKU_SCOPE=$G267)))*(13&gt;ACT_END)*(ACT_END&gt;0)*IFERROR(ACT_POSTLIFT,0))),0)))</f>
        <v/>
      </c>
    </row>
    <row r="268">
      <c r="A268" t="inlineStr">
        <is>
          <t>R0264</t>
        </is>
      </c>
      <c r="B268">
        <f>Doors!$A$92</f>
        <v/>
      </c>
      <c r="C268">
        <f>Doors!$C$92</f>
        <v/>
      </c>
      <c r="D268">
        <f>Doors!$B$92</f>
        <v/>
      </c>
      <c r="E268">
        <f>Doors!$E$92</f>
        <v/>
      </c>
      <c r="F268">
        <f>Doors!$F$92</f>
        <v/>
      </c>
      <c r="G268" t="inlineStr">
        <is>
          <t>Raspberry</t>
        </is>
      </c>
      <c r="H268">
        <f>Doors!$I$92</f>
        <v/>
      </c>
      <c r="I268">
        <f>Doors!$J$92</f>
        <v/>
      </c>
      <c r="J268" s="10">
        <f>IF(OR($H268&lt;&gt;"Y",1&lt;$I268),0,IF(SUMPRODUCT(((BULK_ENABLED="Y")*((BULK_TIER="ALL")+(BULK_TIER=$F268))*((BULK_SKU="ALL")+(BULK_SKU=$G268))*(BULK_START&lt;=1)*(BULK_END&gt;=1)))&gt;0,IFERROR(SUMPRODUCT(((BULK_ENABLED="Y")*((BULK_TIER="ALL")+(BULK_TIER=$F268))*((BULK_SKU="ALL")+(BULK_SKU=$G268))*(BULK_START&lt;=1)*(BULK_END&gt;=1))*IFERROR(BULK_VALUE,0))/MAX(1,SUMPRODUCT(((BULK_ENABLED="Y")*((BULK_TIER="ALL")+(BULK_TIER=$F268))*((BULK_SKU="ALL")+(BULK_SKU=$G268))*(BULK_START&lt;=1)*(BULK_END&gt;=1)))),0),ROUND((INDEX(VELOCITY_TABLE,MATCH($F268,TIER_LIST,0),3))*(IF((1-$I268+1)&lt;=0,0,IF((1-$I268+1)=1,RAMP_W1,IF((1-$I268+1)=2,RAMP_W2,IF((1-$I268+1)=3,RAMP_W3,RAMP_W4PLUS)))))*(INDEX(ACTIVE_MULT_TABLE,3,1))*(1+SUMPRODUCT(SIGN(((ACT_DOOR_SCOPE="ALL")+(ACT_DOOR_SCOPE="TIER_"&amp;$F268)+(ACT_DOOR_SCOPE=$B268)))*SIGN(((ACT_SKU_SCOPE="ALL")+(ACT_SKU_SCOPE=$G268)))*(ACT_START&lt;=1)*(ACT_END&gt;=1)*IFERROR(ACT_UPLIFT-1,0)))*(1+SUMPRODUCT(SIGN(((ACT_DOOR_SCOPE="ALL")+(ACT_DOOR_SCOPE="TIER_"&amp;$F268)+(ACT_DOOR_SCOPE=$B268)))*SIGN(((ACT_SKU_SCOPE="ALL")+(ACT_SKU_SCOPE=$G268)))*(1&gt;ACT_END)*(ACT_END&gt;0)*IFERROR(ACT_POSTLIFT,0))),0)))</f>
        <v/>
      </c>
      <c r="K268" s="10">
        <f>IF(OR($H268&lt;&gt;"Y",2&lt;$I268),0,IF(SUMPRODUCT(((BULK_ENABLED="Y")*((BULK_TIER="ALL")+(BULK_TIER=$F268))*((BULK_SKU="ALL")+(BULK_SKU=$G268))*(BULK_START&lt;=2)*(BULK_END&gt;=2)))&gt;0,IFERROR(SUMPRODUCT(((BULK_ENABLED="Y")*((BULK_TIER="ALL")+(BULK_TIER=$F268))*((BULK_SKU="ALL")+(BULK_SKU=$G268))*(BULK_START&lt;=2)*(BULK_END&gt;=2))*IFERROR(BULK_VALUE,0))/MAX(1,SUMPRODUCT(((BULK_ENABLED="Y")*((BULK_TIER="ALL")+(BULK_TIER=$F268))*((BULK_SKU="ALL")+(BULK_SKU=$G268))*(BULK_START&lt;=2)*(BULK_END&gt;=2)))),0),ROUND((INDEX(VELOCITY_TABLE,MATCH($F268,TIER_LIST,0),3))*(IF((2-$I268+1)&lt;=0,0,IF((2-$I268+1)=1,RAMP_W1,IF((2-$I268+1)=2,RAMP_W2,IF((2-$I268+1)=3,RAMP_W3,RAMP_W4PLUS)))))*(INDEX(ACTIVE_MULT_TABLE,3,1))*(1+SUMPRODUCT(SIGN(((ACT_DOOR_SCOPE="ALL")+(ACT_DOOR_SCOPE="TIER_"&amp;$F268)+(ACT_DOOR_SCOPE=$B268)))*SIGN(((ACT_SKU_SCOPE="ALL")+(ACT_SKU_SCOPE=$G268)))*(ACT_START&lt;=2)*(ACT_END&gt;=2)*IFERROR(ACT_UPLIFT-1,0)))*(1+SUMPRODUCT(SIGN(((ACT_DOOR_SCOPE="ALL")+(ACT_DOOR_SCOPE="TIER_"&amp;$F268)+(ACT_DOOR_SCOPE=$B268)))*SIGN(((ACT_SKU_SCOPE="ALL")+(ACT_SKU_SCOPE=$G268)))*(2&gt;ACT_END)*(ACT_END&gt;0)*IFERROR(ACT_POSTLIFT,0))),0)))</f>
        <v/>
      </c>
      <c r="L268" s="10">
        <f>IF(OR($H268&lt;&gt;"Y",3&lt;$I268),0,IF(SUMPRODUCT(((BULK_ENABLED="Y")*((BULK_TIER="ALL")+(BULK_TIER=$F268))*((BULK_SKU="ALL")+(BULK_SKU=$G268))*(BULK_START&lt;=3)*(BULK_END&gt;=3)))&gt;0,IFERROR(SUMPRODUCT(((BULK_ENABLED="Y")*((BULK_TIER="ALL")+(BULK_TIER=$F268))*((BULK_SKU="ALL")+(BULK_SKU=$G268))*(BULK_START&lt;=3)*(BULK_END&gt;=3))*IFERROR(BULK_VALUE,0))/MAX(1,SUMPRODUCT(((BULK_ENABLED="Y")*((BULK_TIER="ALL")+(BULK_TIER=$F268))*((BULK_SKU="ALL")+(BULK_SKU=$G268))*(BULK_START&lt;=3)*(BULK_END&gt;=3)))),0),ROUND((INDEX(VELOCITY_TABLE,MATCH($F268,TIER_LIST,0),3))*(IF((3-$I268+1)&lt;=0,0,IF((3-$I268+1)=1,RAMP_W1,IF((3-$I268+1)=2,RAMP_W2,IF((3-$I268+1)=3,RAMP_W3,RAMP_W4PLUS)))))*(INDEX(ACTIVE_MULT_TABLE,3,1))*(1+SUMPRODUCT(SIGN(((ACT_DOOR_SCOPE="ALL")+(ACT_DOOR_SCOPE="TIER_"&amp;$F268)+(ACT_DOOR_SCOPE=$B268)))*SIGN(((ACT_SKU_SCOPE="ALL")+(ACT_SKU_SCOPE=$G268)))*(ACT_START&lt;=3)*(ACT_END&gt;=3)*IFERROR(ACT_UPLIFT-1,0)))*(1+SUMPRODUCT(SIGN(((ACT_DOOR_SCOPE="ALL")+(ACT_DOOR_SCOPE="TIER_"&amp;$F268)+(ACT_DOOR_SCOPE=$B268)))*SIGN(((ACT_SKU_SCOPE="ALL")+(ACT_SKU_SCOPE=$G268)))*(3&gt;ACT_END)*(ACT_END&gt;0)*IFERROR(ACT_POSTLIFT,0))),0)))</f>
        <v/>
      </c>
      <c r="M268" s="10">
        <f>IF(OR($H268&lt;&gt;"Y",4&lt;$I268),0,IF(SUMPRODUCT(((BULK_ENABLED="Y")*((BULK_TIER="ALL")+(BULK_TIER=$F268))*((BULK_SKU="ALL")+(BULK_SKU=$G268))*(BULK_START&lt;=4)*(BULK_END&gt;=4)))&gt;0,IFERROR(SUMPRODUCT(((BULK_ENABLED="Y")*((BULK_TIER="ALL")+(BULK_TIER=$F268))*((BULK_SKU="ALL")+(BULK_SKU=$G268))*(BULK_START&lt;=4)*(BULK_END&gt;=4))*IFERROR(BULK_VALUE,0))/MAX(1,SUMPRODUCT(((BULK_ENABLED="Y")*((BULK_TIER="ALL")+(BULK_TIER=$F268))*((BULK_SKU="ALL")+(BULK_SKU=$G268))*(BULK_START&lt;=4)*(BULK_END&gt;=4)))),0),ROUND((INDEX(VELOCITY_TABLE,MATCH($F268,TIER_LIST,0),3))*(IF((4-$I268+1)&lt;=0,0,IF((4-$I268+1)=1,RAMP_W1,IF((4-$I268+1)=2,RAMP_W2,IF((4-$I268+1)=3,RAMP_W3,RAMP_W4PLUS)))))*(INDEX(ACTIVE_MULT_TABLE,3,1))*(1+SUMPRODUCT(SIGN(((ACT_DOOR_SCOPE="ALL")+(ACT_DOOR_SCOPE="TIER_"&amp;$F268)+(ACT_DOOR_SCOPE=$B268)))*SIGN(((ACT_SKU_SCOPE="ALL")+(ACT_SKU_SCOPE=$G268)))*(ACT_START&lt;=4)*(ACT_END&gt;=4)*IFERROR(ACT_UPLIFT-1,0)))*(1+SUMPRODUCT(SIGN(((ACT_DOOR_SCOPE="ALL")+(ACT_DOOR_SCOPE="TIER_"&amp;$F268)+(ACT_DOOR_SCOPE=$B268)))*SIGN(((ACT_SKU_SCOPE="ALL")+(ACT_SKU_SCOPE=$G268)))*(4&gt;ACT_END)*(ACT_END&gt;0)*IFERROR(ACT_POSTLIFT,0))),0)))</f>
        <v/>
      </c>
      <c r="N268" s="10">
        <f>IF(OR($H268&lt;&gt;"Y",5&lt;$I268),0,IF(SUMPRODUCT(((BULK_ENABLED="Y")*((BULK_TIER="ALL")+(BULK_TIER=$F268))*((BULK_SKU="ALL")+(BULK_SKU=$G268))*(BULK_START&lt;=5)*(BULK_END&gt;=5)))&gt;0,IFERROR(SUMPRODUCT(((BULK_ENABLED="Y")*((BULK_TIER="ALL")+(BULK_TIER=$F268))*((BULK_SKU="ALL")+(BULK_SKU=$G268))*(BULK_START&lt;=5)*(BULK_END&gt;=5))*IFERROR(BULK_VALUE,0))/MAX(1,SUMPRODUCT(((BULK_ENABLED="Y")*((BULK_TIER="ALL")+(BULK_TIER=$F268))*((BULK_SKU="ALL")+(BULK_SKU=$G268))*(BULK_START&lt;=5)*(BULK_END&gt;=5)))),0),ROUND((INDEX(VELOCITY_TABLE,MATCH($F268,TIER_LIST,0),3))*(IF((5-$I268+1)&lt;=0,0,IF((5-$I268+1)=1,RAMP_W1,IF((5-$I268+1)=2,RAMP_W2,IF((5-$I268+1)=3,RAMP_W3,RAMP_W4PLUS)))))*(INDEX(ACTIVE_MULT_TABLE,3,1))*(1+SUMPRODUCT(SIGN(((ACT_DOOR_SCOPE="ALL")+(ACT_DOOR_SCOPE="TIER_"&amp;$F268)+(ACT_DOOR_SCOPE=$B268)))*SIGN(((ACT_SKU_SCOPE="ALL")+(ACT_SKU_SCOPE=$G268)))*(ACT_START&lt;=5)*(ACT_END&gt;=5)*IFERROR(ACT_UPLIFT-1,0)))*(1+SUMPRODUCT(SIGN(((ACT_DOOR_SCOPE="ALL")+(ACT_DOOR_SCOPE="TIER_"&amp;$F268)+(ACT_DOOR_SCOPE=$B268)))*SIGN(((ACT_SKU_SCOPE="ALL")+(ACT_SKU_SCOPE=$G268)))*(5&gt;ACT_END)*(ACT_END&gt;0)*IFERROR(ACT_POSTLIFT,0))),0)))</f>
        <v/>
      </c>
      <c r="O268" s="10">
        <f>IF(OR($H268&lt;&gt;"Y",6&lt;$I268),0,IF(SUMPRODUCT(((BULK_ENABLED="Y")*((BULK_TIER="ALL")+(BULK_TIER=$F268))*((BULK_SKU="ALL")+(BULK_SKU=$G268))*(BULK_START&lt;=6)*(BULK_END&gt;=6)))&gt;0,IFERROR(SUMPRODUCT(((BULK_ENABLED="Y")*((BULK_TIER="ALL")+(BULK_TIER=$F268))*((BULK_SKU="ALL")+(BULK_SKU=$G268))*(BULK_START&lt;=6)*(BULK_END&gt;=6))*IFERROR(BULK_VALUE,0))/MAX(1,SUMPRODUCT(((BULK_ENABLED="Y")*((BULK_TIER="ALL")+(BULK_TIER=$F268))*((BULK_SKU="ALL")+(BULK_SKU=$G268))*(BULK_START&lt;=6)*(BULK_END&gt;=6)))),0),ROUND((INDEX(VELOCITY_TABLE,MATCH($F268,TIER_LIST,0),3))*(IF((6-$I268+1)&lt;=0,0,IF((6-$I268+1)=1,RAMP_W1,IF((6-$I268+1)=2,RAMP_W2,IF((6-$I268+1)=3,RAMP_W3,RAMP_W4PLUS)))))*(INDEX(ACTIVE_MULT_TABLE,3,1))*(1+SUMPRODUCT(SIGN(((ACT_DOOR_SCOPE="ALL")+(ACT_DOOR_SCOPE="TIER_"&amp;$F268)+(ACT_DOOR_SCOPE=$B268)))*SIGN(((ACT_SKU_SCOPE="ALL")+(ACT_SKU_SCOPE=$G268)))*(ACT_START&lt;=6)*(ACT_END&gt;=6)*IFERROR(ACT_UPLIFT-1,0)))*(1+SUMPRODUCT(SIGN(((ACT_DOOR_SCOPE="ALL")+(ACT_DOOR_SCOPE="TIER_"&amp;$F268)+(ACT_DOOR_SCOPE=$B268)))*SIGN(((ACT_SKU_SCOPE="ALL")+(ACT_SKU_SCOPE=$G268)))*(6&gt;ACT_END)*(ACT_END&gt;0)*IFERROR(ACT_POSTLIFT,0))),0)))</f>
        <v/>
      </c>
      <c r="P268" s="10">
        <f>IF(OR($H268&lt;&gt;"Y",7&lt;$I268),0,IF(SUMPRODUCT(((BULK_ENABLED="Y")*((BULK_TIER="ALL")+(BULK_TIER=$F268))*((BULK_SKU="ALL")+(BULK_SKU=$G268))*(BULK_START&lt;=7)*(BULK_END&gt;=7)))&gt;0,IFERROR(SUMPRODUCT(((BULK_ENABLED="Y")*((BULK_TIER="ALL")+(BULK_TIER=$F268))*((BULK_SKU="ALL")+(BULK_SKU=$G268))*(BULK_START&lt;=7)*(BULK_END&gt;=7))*IFERROR(BULK_VALUE,0))/MAX(1,SUMPRODUCT(((BULK_ENABLED="Y")*((BULK_TIER="ALL")+(BULK_TIER=$F268))*((BULK_SKU="ALL")+(BULK_SKU=$G268))*(BULK_START&lt;=7)*(BULK_END&gt;=7)))),0),ROUND((INDEX(VELOCITY_TABLE,MATCH($F268,TIER_LIST,0),3))*(IF((7-$I268+1)&lt;=0,0,IF((7-$I268+1)=1,RAMP_W1,IF((7-$I268+1)=2,RAMP_W2,IF((7-$I268+1)=3,RAMP_W3,RAMP_W4PLUS)))))*(INDEX(ACTIVE_MULT_TABLE,3,1))*(1+SUMPRODUCT(SIGN(((ACT_DOOR_SCOPE="ALL")+(ACT_DOOR_SCOPE="TIER_"&amp;$F268)+(ACT_DOOR_SCOPE=$B268)))*SIGN(((ACT_SKU_SCOPE="ALL")+(ACT_SKU_SCOPE=$G268)))*(ACT_START&lt;=7)*(ACT_END&gt;=7)*IFERROR(ACT_UPLIFT-1,0)))*(1+SUMPRODUCT(SIGN(((ACT_DOOR_SCOPE="ALL")+(ACT_DOOR_SCOPE="TIER_"&amp;$F268)+(ACT_DOOR_SCOPE=$B268)))*SIGN(((ACT_SKU_SCOPE="ALL")+(ACT_SKU_SCOPE=$G268)))*(7&gt;ACT_END)*(ACT_END&gt;0)*IFERROR(ACT_POSTLIFT,0))),0)))</f>
        <v/>
      </c>
      <c r="Q268" s="10">
        <f>IF(OR($H268&lt;&gt;"Y",8&lt;$I268),0,IF(SUMPRODUCT(((BULK_ENABLED="Y")*((BULK_TIER="ALL")+(BULK_TIER=$F268))*((BULK_SKU="ALL")+(BULK_SKU=$G268))*(BULK_START&lt;=8)*(BULK_END&gt;=8)))&gt;0,IFERROR(SUMPRODUCT(((BULK_ENABLED="Y")*((BULK_TIER="ALL")+(BULK_TIER=$F268))*((BULK_SKU="ALL")+(BULK_SKU=$G268))*(BULK_START&lt;=8)*(BULK_END&gt;=8))*IFERROR(BULK_VALUE,0))/MAX(1,SUMPRODUCT(((BULK_ENABLED="Y")*((BULK_TIER="ALL")+(BULK_TIER=$F268))*((BULK_SKU="ALL")+(BULK_SKU=$G268))*(BULK_START&lt;=8)*(BULK_END&gt;=8)))),0),ROUND((INDEX(VELOCITY_TABLE,MATCH($F268,TIER_LIST,0),3))*(IF((8-$I268+1)&lt;=0,0,IF((8-$I268+1)=1,RAMP_W1,IF((8-$I268+1)=2,RAMP_W2,IF((8-$I268+1)=3,RAMP_W3,RAMP_W4PLUS)))))*(INDEX(ACTIVE_MULT_TABLE,3,1))*(1+SUMPRODUCT(SIGN(((ACT_DOOR_SCOPE="ALL")+(ACT_DOOR_SCOPE="TIER_"&amp;$F268)+(ACT_DOOR_SCOPE=$B268)))*SIGN(((ACT_SKU_SCOPE="ALL")+(ACT_SKU_SCOPE=$G268)))*(ACT_START&lt;=8)*(ACT_END&gt;=8)*IFERROR(ACT_UPLIFT-1,0)))*(1+SUMPRODUCT(SIGN(((ACT_DOOR_SCOPE="ALL")+(ACT_DOOR_SCOPE="TIER_"&amp;$F268)+(ACT_DOOR_SCOPE=$B268)))*SIGN(((ACT_SKU_SCOPE="ALL")+(ACT_SKU_SCOPE=$G268)))*(8&gt;ACT_END)*(ACT_END&gt;0)*IFERROR(ACT_POSTLIFT,0))),0)))</f>
        <v/>
      </c>
      <c r="R268" s="10">
        <f>IF(OR($H268&lt;&gt;"Y",9&lt;$I268),0,IF(SUMPRODUCT(((BULK_ENABLED="Y")*((BULK_TIER="ALL")+(BULK_TIER=$F268))*((BULK_SKU="ALL")+(BULK_SKU=$G268))*(BULK_START&lt;=9)*(BULK_END&gt;=9)))&gt;0,IFERROR(SUMPRODUCT(((BULK_ENABLED="Y")*((BULK_TIER="ALL")+(BULK_TIER=$F268))*((BULK_SKU="ALL")+(BULK_SKU=$G268))*(BULK_START&lt;=9)*(BULK_END&gt;=9))*IFERROR(BULK_VALUE,0))/MAX(1,SUMPRODUCT(((BULK_ENABLED="Y")*((BULK_TIER="ALL")+(BULK_TIER=$F268))*((BULK_SKU="ALL")+(BULK_SKU=$G268))*(BULK_START&lt;=9)*(BULK_END&gt;=9)))),0),ROUND((INDEX(VELOCITY_TABLE,MATCH($F268,TIER_LIST,0),3))*(IF((9-$I268+1)&lt;=0,0,IF((9-$I268+1)=1,RAMP_W1,IF((9-$I268+1)=2,RAMP_W2,IF((9-$I268+1)=3,RAMP_W3,RAMP_W4PLUS)))))*(INDEX(ACTIVE_MULT_TABLE,3,1))*(1+SUMPRODUCT(SIGN(((ACT_DOOR_SCOPE="ALL")+(ACT_DOOR_SCOPE="TIER_"&amp;$F268)+(ACT_DOOR_SCOPE=$B268)))*SIGN(((ACT_SKU_SCOPE="ALL")+(ACT_SKU_SCOPE=$G268)))*(ACT_START&lt;=9)*(ACT_END&gt;=9)*IFERROR(ACT_UPLIFT-1,0)))*(1+SUMPRODUCT(SIGN(((ACT_DOOR_SCOPE="ALL")+(ACT_DOOR_SCOPE="TIER_"&amp;$F268)+(ACT_DOOR_SCOPE=$B268)))*SIGN(((ACT_SKU_SCOPE="ALL")+(ACT_SKU_SCOPE=$G268)))*(9&gt;ACT_END)*(ACT_END&gt;0)*IFERROR(ACT_POSTLIFT,0))),0)))</f>
        <v/>
      </c>
      <c r="S268" s="10">
        <f>IF(OR($H268&lt;&gt;"Y",10&lt;$I268),0,IF(SUMPRODUCT(((BULK_ENABLED="Y")*((BULK_TIER="ALL")+(BULK_TIER=$F268))*((BULK_SKU="ALL")+(BULK_SKU=$G268))*(BULK_START&lt;=10)*(BULK_END&gt;=10)))&gt;0,IFERROR(SUMPRODUCT(((BULK_ENABLED="Y")*((BULK_TIER="ALL")+(BULK_TIER=$F268))*((BULK_SKU="ALL")+(BULK_SKU=$G268))*(BULK_START&lt;=10)*(BULK_END&gt;=10))*IFERROR(BULK_VALUE,0))/MAX(1,SUMPRODUCT(((BULK_ENABLED="Y")*((BULK_TIER="ALL")+(BULK_TIER=$F268))*((BULK_SKU="ALL")+(BULK_SKU=$G268))*(BULK_START&lt;=10)*(BULK_END&gt;=10)))),0),ROUND((INDEX(VELOCITY_TABLE,MATCH($F268,TIER_LIST,0),3))*(IF((10-$I268+1)&lt;=0,0,IF((10-$I268+1)=1,RAMP_W1,IF((10-$I268+1)=2,RAMP_W2,IF((10-$I268+1)=3,RAMP_W3,RAMP_W4PLUS)))))*(INDEX(ACTIVE_MULT_TABLE,3,1))*(1+SUMPRODUCT(SIGN(((ACT_DOOR_SCOPE="ALL")+(ACT_DOOR_SCOPE="TIER_"&amp;$F268)+(ACT_DOOR_SCOPE=$B268)))*SIGN(((ACT_SKU_SCOPE="ALL")+(ACT_SKU_SCOPE=$G268)))*(ACT_START&lt;=10)*(ACT_END&gt;=10)*IFERROR(ACT_UPLIFT-1,0)))*(1+SUMPRODUCT(SIGN(((ACT_DOOR_SCOPE="ALL")+(ACT_DOOR_SCOPE="TIER_"&amp;$F268)+(ACT_DOOR_SCOPE=$B268)))*SIGN(((ACT_SKU_SCOPE="ALL")+(ACT_SKU_SCOPE=$G268)))*(10&gt;ACT_END)*(ACT_END&gt;0)*IFERROR(ACT_POSTLIFT,0))),0)))</f>
        <v/>
      </c>
      <c r="T268" s="10">
        <f>IF(OR($H268&lt;&gt;"Y",11&lt;$I268),0,IF(SUMPRODUCT(((BULK_ENABLED="Y")*((BULK_TIER="ALL")+(BULK_TIER=$F268))*((BULK_SKU="ALL")+(BULK_SKU=$G268))*(BULK_START&lt;=11)*(BULK_END&gt;=11)))&gt;0,IFERROR(SUMPRODUCT(((BULK_ENABLED="Y")*((BULK_TIER="ALL")+(BULK_TIER=$F268))*((BULK_SKU="ALL")+(BULK_SKU=$G268))*(BULK_START&lt;=11)*(BULK_END&gt;=11))*IFERROR(BULK_VALUE,0))/MAX(1,SUMPRODUCT(((BULK_ENABLED="Y")*((BULK_TIER="ALL")+(BULK_TIER=$F268))*((BULK_SKU="ALL")+(BULK_SKU=$G268))*(BULK_START&lt;=11)*(BULK_END&gt;=11)))),0),ROUND((INDEX(VELOCITY_TABLE,MATCH($F268,TIER_LIST,0),3))*(IF((11-$I268+1)&lt;=0,0,IF((11-$I268+1)=1,RAMP_W1,IF((11-$I268+1)=2,RAMP_W2,IF((11-$I268+1)=3,RAMP_W3,RAMP_W4PLUS)))))*(INDEX(ACTIVE_MULT_TABLE,3,1))*(1+SUMPRODUCT(SIGN(((ACT_DOOR_SCOPE="ALL")+(ACT_DOOR_SCOPE="TIER_"&amp;$F268)+(ACT_DOOR_SCOPE=$B268)))*SIGN(((ACT_SKU_SCOPE="ALL")+(ACT_SKU_SCOPE=$G268)))*(ACT_START&lt;=11)*(ACT_END&gt;=11)*IFERROR(ACT_UPLIFT-1,0)))*(1+SUMPRODUCT(SIGN(((ACT_DOOR_SCOPE="ALL")+(ACT_DOOR_SCOPE="TIER_"&amp;$F268)+(ACT_DOOR_SCOPE=$B268)))*SIGN(((ACT_SKU_SCOPE="ALL")+(ACT_SKU_SCOPE=$G268)))*(11&gt;ACT_END)*(ACT_END&gt;0)*IFERROR(ACT_POSTLIFT,0))),0)))</f>
        <v/>
      </c>
      <c r="U268" s="10">
        <f>IF(OR($H268&lt;&gt;"Y",12&lt;$I268),0,IF(SUMPRODUCT(((BULK_ENABLED="Y")*((BULK_TIER="ALL")+(BULK_TIER=$F268))*((BULK_SKU="ALL")+(BULK_SKU=$G268))*(BULK_START&lt;=12)*(BULK_END&gt;=12)))&gt;0,IFERROR(SUMPRODUCT(((BULK_ENABLED="Y")*((BULK_TIER="ALL")+(BULK_TIER=$F268))*((BULK_SKU="ALL")+(BULK_SKU=$G268))*(BULK_START&lt;=12)*(BULK_END&gt;=12))*IFERROR(BULK_VALUE,0))/MAX(1,SUMPRODUCT(((BULK_ENABLED="Y")*((BULK_TIER="ALL")+(BULK_TIER=$F268))*((BULK_SKU="ALL")+(BULK_SKU=$G268))*(BULK_START&lt;=12)*(BULK_END&gt;=12)))),0),ROUND((INDEX(VELOCITY_TABLE,MATCH($F268,TIER_LIST,0),3))*(IF((12-$I268+1)&lt;=0,0,IF((12-$I268+1)=1,RAMP_W1,IF((12-$I268+1)=2,RAMP_W2,IF((12-$I268+1)=3,RAMP_W3,RAMP_W4PLUS)))))*(INDEX(ACTIVE_MULT_TABLE,3,1))*(1+SUMPRODUCT(SIGN(((ACT_DOOR_SCOPE="ALL")+(ACT_DOOR_SCOPE="TIER_"&amp;$F268)+(ACT_DOOR_SCOPE=$B268)))*SIGN(((ACT_SKU_SCOPE="ALL")+(ACT_SKU_SCOPE=$G268)))*(ACT_START&lt;=12)*(ACT_END&gt;=12)*IFERROR(ACT_UPLIFT-1,0)))*(1+SUMPRODUCT(SIGN(((ACT_DOOR_SCOPE="ALL")+(ACT_DOOR_SCOPE="TIER_"&amp;$F268)+(ACT_DOOR_SCOPE=$B268)))*SIGN(((ACT_SKU_SCOPE="ALL")+(ACT_SKU_SCOPE=$G268)))*(12&gt;ACT_END)*(ACT_END&gt;0)*IFERROR(ACT_POSTLIFT,0))),0)))</f>
        <v/>
      </c>
      <c r="V268" s="10">
        <f>IF(OR($H268&lt;&gt;"Y",13&lt;$I268),0,IF(SUMPRODUCT(((BULK_ENABLED="Y")*((BULK_TIER="ALL")+(BULK_TIER=$F268))*((BULK_SKU="ALL")+(BULK_SKU=$G268))*(BULK_START&lt;=13)*(BULK_END&gt;=13)))&gt;0,IFERROR(SUMPRODUCT(((BULK_ENABLED="Y")*((BULK_TIER="ALL")+(BULK_TIER=$F268))*((BULK_SKU="ALL")+(BULK_SKU=$G268))*(BULK_START&lt;=13)*(BULK_END&gt;=13))*IFERROR(BULK_VALUE,0))/MAX(1,SUMPRODUCT(((BULK_ENABLED="Y")*((BULK_TIER="ALL")+(BULK_TIER=$F268))*((BULK_SKU="ALL")+(BULK_SKU=$G268))*(BULK_START&lt;=13)*(BULK_END&gt;=13)))),0),ROUND((INDEX(VELOCITY_TABLE,MATCH($F268,TIER_LIST,0),3))*(IF((13-$I268+1)&lt;=0,0,IF((13-$I268+1)=1,RAMP_W1,IF((13-$I268+1)=2,RAMP_W2,IF((13-$I268+1)=3,RAMP_W3,RAMP_W4PLUS)))))*(INDEX(ACTIVE_MULT_TABLE,3,1))*(1+SUMPRODUCT(SIGN(((ACT_DOOR_SCOPE="ALL")+(ACT_DOOR_SCOPE="TIER_"&amp;$F268)+(ACT_DOOR_SCOPE=$B268)))*SIGN(((ACT_SKU_SCOPE="ALL")+(ACT_SKU_SCOPE=$G268)))*(ACT_START&lt;=13)*(ACT_END&gt;=13)*IFERROR(ACT_UPLIFT-1,0)))*(1+SUMPRODUCT(SIGN(((ACT_DOOR_SCOPE="ALL")+(ACT_DOOR_SCOPE="TIER_"&amp;$F268)+(ACT_DOOR_SCOPE=$B268)))*SIGN(((ACT_SKU_SCOPE="ALL")+(ACT_SKU_SCOPE=$G268)))*(13&gt;ACT_END)*(ACT_END&gt;0)*IFERROR(ACT_POSTLIFT,0))),0)))</f>
        <v/>
      </c>
    </row>
    <row r="269">
      <c r="A269" t="inlineStr">
        <is>
          <t>R0265</t>
        </is>
      </c>
      <c r="B269">
        <f>Doors!$A$93</f>
        <v/>
      </c>
      <c r="C269">
        <f>Doors!$C$93</f>
        <v/>
      </c>
      <c r="D269">
        <f>Doors!$B$93</f>
        <v/>
      </c>
      <c r="E269">
        <f>Doors!$E$93</f>
        <v/>
      </c>
      <c r="F269">
        <f>Doors!$F$93</f>
        <v/>
      </c>
      <c r="G269" t="inlineStr">
        <is>
          <t>Lime Lemon</t>
        </is>
      </c>
      <c r="H269">
        <f>Doors!$G$93</f>
        <v/>
      </c>
      <c r="I269">
        <f>Doors!$J$93</f>
        <v/>
      </c>
      <c r="J269" s="10">
        <f>IF(OR($H269&lt;&gt;"Y",1&lt;$I269),0,IF(SUMPRODUCT(((BULK_ENABLED="Y")*((BULK_TIER="ALL")+(BULK_TIER=$F269))*((BULK_SKU="ALL")+(BULK_SKU=$G269))*(BULK_START&lt;=1)*(BULK_END&gt;=1)))&gt;0,IFERROR(SUMPRODUCT(((BULK_ENABLED="Y")*((BULK_TIER="ALL")+(BULK_TIER=$F269))*((BULK_SKU="ALL")+(BULK_SKU=$G269))*(BULK_START&lt;=1)*(BULK_END&gt;=1))*IFERROR(BULK_VALUE,0))/MAX(1,SUMPRODUCT(((BULK_ENABLED="Y")*((BULK_TIER="ALL")+(BULK_TIER=$F269))*((BULK_SKU="ALL")+(BULK_SKU=$G269))*(BULK_START&lt;=1)*(BULK_END&gt;=1)))),0),ROUND((INDEX(VELOCITY_TABLE,MATCH($F269,TIER_LIST,0),1))*(IF((1-$I269+1)&lt;=0,0,IF((1-$I269+1)=1,RAMP_W1,IF((1-$I269+1)=2,RAMP_W2,IF((1-$I269+1)=3,RAMP_W3,RAMP_W4PLUS)))))*(INDEX(ACTIVE_MULT_TABLE,1,1))*(1+SUMPRODUCT(SIGN(((ACT_DOOR_SCOPE="ALL")+(ACT_DOOR_SCOPE="TIER_"&amp;$F269)+(ACT_DOOR_SCOPE=$B269)))*SIGN(((ACT_SKU_SCOPE="ALL")+(ACT_SKU_SCOPE=$G269)))*(ACT_START&lt;=1)*(ACT_END&gt;=1)*IFERROR(ACT_UPLIFT-1,0)))*(1+SUMPRODUCT(SIGN(((ACT_DOOR_SCOPE="ALL")+(ACT_DOOR_SCOPE="TIER_"&amp;$F269)+(ACT_DOOR_SCOPE=$B269)))*SIGN(((ACT_SKU_SCOPE="ALL")+(ACT_SKU_SCOPE=$G269)))*(1&gt;ACT_END)*(ACT_END&gt;0)*IFERROR(ACT_POSTLIFT,0))),0)))</f>
        <v/>
      </c>
      <c r="K269" s="10">
        <f>IF(OR($H269&lt;&gt;"Y",2&lt;$I269),0,IF(SUMPRODUCT(((BULK_ENABLED="Y")*((BULK_TIER="ALL")+(BULK_TIER=$F269))*((BULK_SKU="ALL")+(BULK_SKU=$G269))*(BULK_START&lt;=2)*(BULK_END&gt;=2)))&gt;0,IFERROR(SUMPRODUCT(((BULK_ENABLED="Y")*((BULK_TIER="ALL")+(BULK_TIER=$F269))*((BULK_SKU="ALL")+(BULK_SKU=$G269))*(BULK_START&lt;=2)*(BULK_END&gt;=2))*IFERROR(BULK_VALUE,0))/MAX(1,SUMPRODUCT(((BULK_ENABLED="Y")*((BULK_TIER="ALL")+(BULK_TIER=$F269))*((BULK_SKU="ALL")+(BULK_SKU=$G269))*(BULK_START&lt;=2)*(BULK_END&gt;=2)))),0),ROUND((INDEX(VELOCITY_TABLE,MATCH($F269,TIER_LIST,0),1))*(IF((2-$I269+1)&lt;=0,0,IF((2-$I269+1)=1,RAMP_W1,IF((2-$I269+1)=2,RAMP_W2,IF((2-$I269+1)=3,RAMP_W3,RAMP_W4PLUS)))))*(INDEX(ACTIVE_MULT_TABLE,1,1))*(1+SUMPRODUCT(SIGN(((ACT_DOOR_SCOPE="ALL")+(ACT_DOOR_SCOPE="TIER_"&amp;$F269)+(ACT_DOOR_SCOPE=$B269)))*SIGN(((ACT_SKU_SCOPE="ALL")+(ACT_SKU_SCOPE=$G269)))*(ACT_START&lt;=2)*(ACT_END&gt;=2)*IFERROR(ACT_UPLIFT-1,0)))*(1+SUMPRODUCT(SIGN(((ACT_DOOR_SCOPE="ALL")+(ACT_DOOR_SCOPE="TIER_"&amp;$F269)+(ACT_DOOR_SCOPE=$B269)))*SIGN(((ACT_SKU_SCOPE="ALL")+(ACT_SKU_SCOPE=$G269)))*(2&gt;ACT_END)*(ACT_END&gt;0)*IFERROR(ACT_POSTLIFT,0))),0)))</f>
        <v/>
      </c>
      <c r="L269" s="10">
        <f>IF(OR($H269&lt;&gt;"Y",3&lt;$I269),0,IF(SUMPRODUCT(((BULK_ENABLED="Y")*((BULK_TIER="ALL")+(BULK_TIER=$F269))*((BULK_SKU="ALL")+(BULK_SKU=$G269))*(BULK_START&lt;=3)*(BULK_END&gt;=3)))&gt;0,IFERROR(SUMPRODUCT(((BULK_ENABLED="Y")*((BULK_TIER="ALL")+(BULK_TIER=$F269))*((BULK_SKU="ALL")+(BULK_SKU=$G269))*(BULK_START&lt;=3)*(BULK_END&gt;=3))*IFERROR(BULK_VALUE,0))/MAX(1,SUMPRODUCT(((BULK_ENABLED="Y")*((BULK_TIER="ALL")+(BULK_TIER=$F269))*((BULK_SKU="ALL")+(BULK_SKU=$G269))*(BULK_START&lt;=3)*(BULK_END&gt;=3)))),0),ROUND((INDEX(VELOCITY_TABLE,MATCH($F269,TIER_LIST,0),1))*(IF((3-$I269+1)&lt;=0,0,IF((3-$I269+1)=1,RAMP_W1,IF((3-$I269+1)=2,RAMP_W2,IF((3-$I269+1)=3,RAMP_W3,RAMP_W4PLUS)))))*(INDEX(ACTIVE_MULT_TABLE,1,1))*(1+SUMPRODUCT(SIGN(((ACT_DOOR_SCOPE="ALL")+(ACT_DOOR_SCOPE="TIER_"&amp;$F269)+(ACT_DOOR_SCOPE=$B269)))*SIGN(((ACT_SKU_SCOPE="ALL")+(ACT_SKU_SCOPE=$G269)))*(ACT_START&lt;=3)*(ACT_END&gt;=3)*IFERROR(ACT_UPLIFT-1,0)))*(1+SUMPRODUCT(SIGN(((ACT_DOOR_SCOPE="ALL")+(ACT_DOOR_SCOPE="TIER_"&amp;$F269)+(ACT_DOOR_SCOPE=$B269)))*SIGN(((ACT_SKU_SCOPE="ALL")+(ACT_SKU_SCOPE=$G269)))*(3&gt;ACT_END)*(ACT_END&gt;0)*IFERROR(ACT_POSTLIFT,0))),0)))</f>
        <v/>
      </c>
      <c r="M269" s="10">
        <f>IF(OR($H269&lt;&gt;"Y",4&lt;$I269),0,IF(SUMPRODUCT(((BULK_ENABLED="Y")*((BULK_TIER="ALL")+(BULK_TIER=$F269))*((BULK_SKU="ALL")+(BULK_SKU=$G269))*(BULK_START&lt;=4)*(BULK_END&gt;=4)))&gt;0,IFERROR(SUMPRODUCT(((BULK_ENABLED="Y")*((BULK_TIER="ALL")+(BULK_TIER=$F269))*((BULK_SKU="ALL")+(BULK_SKU=$G269))*(BULK_START&lt;=4)*(BULK_END&gt;=4))*IFERROR(BULK_VALUE,0))/MAX(1,SUMPRODUCT(((BULK_ENABLED="Y")*((BULK_TIER="ALL")+(BULK_TIER=$F269))*((BULK_SKU="ALL")+(BULK_SKU=$G269))*(BULK_START&lt;=4)*(BULK_END&gt;=4)))),0),ROUND((INDEX(VELOCITY_TABLE,MATCH($F269,TIER_LIST,0),1))*(IF((4-$I269+1)&lt;=0,0,IF((4-$I269+1)=1,RAMP_W1,IF((4-$I269+1)=2,RAMP_W2,IF((4-$I269+1)=3,RAMP_W3,RAMP_W4PLUS)))))*(INDEX(ACTIVE_MULT_TABLE,1,1))*(1+SUMPRODUCT(SIGN(((ACT_DOOR_SCOPE="ALL")+(ACT_DOOR_SCOPE="TIER_"&amp;$F269)+(ACT_DOOR_SCOPE=$B269)))*SIGN(((ACT_SKU_SCOPE="ALL")+(ACT_SKU_SCOPE=$G269)))*(ACT_START&lt;=4)*(ACT_END&gt;=4)*IFERROR(ACT_UPLIFT-1,0)))*(1+SUMPRODUCT(SIGN(((ACT_DOOR_SCOPE="ALL")+(ACT_DOOR_SCOPE="TIER_"&amp;$F269)+(ACT_DOOR_SCOPE=$B269)))*SIGN(((ACT_SKU_SCOPE="ALL")+(ACT_SKU_SCOPE=$G269)))*(4&gt;ACT_END)*(ACT_END&gt;0)*IFERROR(ACT_POSTLIFT,0))),0)))</f>
        <v/>
      </c>
      <c r="N269" s="10">
        <f>IF(OR($H269&lt;&gt;"Y",5&lt;$I269),0,IF(SUMPRODUCT(((BULK_ENABLED="Y")*((BULK_TIER="ALL")+(BULK_TIER=$F269))*((BULK_SKU="ALL")+(BULK_SKU=$G269))*(BULK_START&lt;=5)*(BULK_END&gt;=5)))&gt;0,IFERROR(SUMPRODUCT(((BULK_ENABLED="Y")*((BULK_TIER="ALL")+(BULK_TIER=$F269))*((BULK_SKU="ALL")+(BULK_SKU=$G269))*(BULK_START&lt;=5)*(BULK_END&gt;=5))*IFERROR(BULK_VALUE,0))/MAX(1,SUMPRODUCT(((BULK_ENABLED="Y")*((BULK_TIER="ALL")+(BULK_TIER=$F269))*((BULK_SKU="ALL")+(BULK_SKU=$G269))*(BULK_START&lt;=5)*(BULK_END&gt;=5)))),0),ROUND((INDEX(VELOCITY_TABLE,MATCH($F269,TIER_LIST,0),1))*(IF((5-$I269+1)&lt;=0,0,IF((5-$I269+1)=1,RAMP_W1,IF((5-$I269+1)=2,RAMP_W2,IF((5-$I269+1)=3,RAMP_W3,RAMP_W4PLUS)))))*(INDEX(ACTIVE_MULT_TABLE,1,1))*(1+SUMPRODUCT(SIGN(((ACT_DOOR_SCOPE="ALL")+(ACT_DOOR_SCOPE="TIER_"&amp;$F269)+(ACT_DOOR_SCOPE=$B269)))*SIGN(((ACT_SKU_SCOPE="ALL")+(ACT_SKU_SCOPE=$G269)))*(ACT_START&lt;=5)*(ACT_END&gt;=5)*IFERROR(ACT_UPLIFT-1,0)))*(1+SUMPRODUCT(SIGN(((ACT_DOOR_SCOPE="ALL")+(ACT_DOOR_SCOPE="TIER_"&amp;$F269)+(ACT_DOOR_SCOPE=$B269)))*SIGN(((ACT_SKU_SCOPE="ALL")+(ACT_SKU_SCOPE=$G269)))*(5&gt;ACT_END)*(ACT_END&gt;0)*IFERROR(ACT_POSTLIFT,0))),0)))</f>
        <v/>
      </c>
      <c r="O269" s="10">
        <f>IF(OR($H269&lt;&gt;"Y",6&lt;$I269),0,IF(SUMPRODUCT(((BULK_ENABLED="Y")*((BULK_TIER="ALL")+(BULK_TIER=$F269))*((BULK_SKU="ALL")+(BULK_SKU=$G269))*(BULK_START&lt;=6)*(BULK_END&gt;=6)))&gt;0,IFERROR(SUMPRODUCT(((BULK_ENABLED="Y")*((BULK_TIER="ALL")+(BULK_TIER=$F269))*((BULK_SKU="ALL")+(BULK_SKU=$G269))*(BULK_START&lt;=6)*(BULK_END&gt;=6))*IFERROR(BULK_VALUE,0))/MAX(1,SUMPRODUCT(((BULK_ENABLED="Y")*((BULK_TIER="ALL")+(BULK_TIER=$F269))*((BULK_SKU="ALL")+(BULK_SKU=$G269))*(BULK_START&lt;=6)*(BULK_END&gt;=6)))),0),ROUND((INDEX(VELOCITY_TABLE,MATCH($F269,TIER_LIST,0),1))*(IF((6-$I269+1)&lt;=0,0,IF((6-$I269+1)=1,RAMP_W1,IF((6-$I269+1)=2,RAMP_W2,IF((6-$I269+1)=3,RAMP_W3,RAMP_W4PLUS)))))*(INDEX(ACTIVE_MULT_TABLE,1,1))*(1+SUMPRODUCT(SIGN(((ACT_DOOR_SCOPE="ALL")+(ACT_DOOR_SCOPE="TIER_"&amp;$F269)+(ACT_DOOR_SCOPE=$B269)))*SIGN(((ACT_SKU_SCOPE="ALL")+(ACT_SKU_SCOPE=$G269)))*(ACT_START&lt;=6)*(ACT_END&gt;=6)*IFERROR(ACT_UPLIFT-1,0)))*(1+SUMPRODUCT(SIGN(((ACT_DOOR_SCOPE="ALL")+(ACT_DOOR_SCOPE="TIER_"&amp;$F269)+(ACT_DOOR_SCOPE=$B269)))*SIGN(((ACT_SKU_SCOPE="ALL")+(ACT_SKU_SCOPE=$G269)))*(6&gt;ACT_END)*(ACT_END&gt;0)*IFERROR(ACT_POSTLIFT,0))),0)))</f>
        <v/>
      </c>
      <c r="P269" s="10">
        <f>IF(OR($H269&lt;&gt;"Y",7&lt;$I269),0,IF(SUMPRODUCT(((BULK_ENABLED="Y")*((BULK_TIER="ALL")+(BULK_TIER=$F269))*((BULK_SKU="ALL")+(BULK_SKU=$G269))*(BULK_START&lt;=7)*(BULK_END&gt;=7)))&gt;0,IFERROR(SUMPRODUCT(((BULK_ENABLED="Y")*((BULK_TIER="ALL")+(BULK_TIER=$F269))*((BULK_SKU="ALL")+(BULK_SKU=$G269))*(BULK_START&lt;=7)*(BULK_END&gt;=7))*IFERROR(BULK_VALUE,0))/MAX(1,SUMPRODUCT(((BULK_ENABLED="Y")*((BULK_TIER="ALL")+(BULK_TIER=$F269))*((BULK_SKU="ALL")+(BULK_SKU=$G269))*(BULK_START&lt;=7)*(BULK_END&gt;=7)))),0),ROUND((INDEX(VELOCITY_TABLE,MATCH($F269,TIER_LIST,0),1))*(IF((7-$I269+1)&lt;=0,0,IF((7-$I269+1)=1,RAMP_W1,IF((7-$I269+1)=2,RAMP_W2,IF((7-$I269+1)=3,RAMP_W3,RAMP_W4PLUS)))))*(INDEX(ACTIVE_MULT_TABLE,1,1))*(1+SUMPRODUCT(SIGN(((ACT_DOOR_SCOPE="ALL")+(ACT_DOOR_SCOPE="TIER_"&amp;$F269)+(ACT_DOOR_SCOPE=$B269)))*SIGN(((ACT_SKU_SCOPE="ALL")+(ACT_SKU_SCOPE=$G269)))*(ACT_START&lt;=7)*(ACT_END&gt;=7)*IFERROR(ACT_UPLIFT-1,0)))*(1+SUMPRODUCT(SIGN(((ACT_DOOR_SCOPE="ALL")+(ACT_DOOR_SCOPE="TIER_"&amp;$F269)+(ACT_DOOR_SCOPE=$B269)))*SIGN(((ACT_SKU_SCOPE="ALL")+(ACT_SKU_SCOPE=$G269)))*(7&gt;ACT_END)*(ACT_END&gt;0)*IFERROR(ACT_POSTLIFT,0))),0)))</f>
        <v/>
      </c>
      <c r="Q269" s="10">
        <f>IF(OR($H269&lt;&gt;"Y",8&lt;$I269),0,IF(SUMPRODUCT(((BULK_ENABLED="Y")*((BULK_TIER="ALL")+(BULK_TIER=$F269))*((BULK_SKU="ALL")+(BULK_SKU=$G269))*(BULK_START&lt;=8)*(BULK_END&gt;=8)))&gt;0,IFERROR(SUMPRODUCT(((BULK_ENABLED="Y")*((BULK_TIER="ALL")+(BULK_TIER=$F269))*((BULK_SKU="ALL")+(BULK_SKU=$G269))*(BULK_START&lt;=8)*(BULK_END&gt;=8))*IFERROR(BULK_VALUE,0))/MAX(1,SUMPRODUCT(((BULK_ENABLED="Y")*((BULK_TIER="ALL")+(BULK_TIER=$F269))*((BULK_SKU="ALL")+(BULK_SKU=$G269))*(BULK_START&lt;=8)*(BULK_END&gt;=8)))),0),ROUND((INDEX(VELOCITY_TABLE,MATCH($F269,TIER_LIST,0),1))*(IF((8-$I269+1)&lt;=0,0,IF((8-$I269+1)=1,RAMP_W1,IF((8-$I269+1)=2,RAMP_W2,IF((8-$I269+1)=3,RAMP_W3,RAMP_W4PLUS)))))*(INDEX(ACTIVE_MULT_TABLE,1,1))*(1+SUMPRODUCT(SIGN(((ACT_DOOR_SCOPE="ALL")+(ACT_DOOR_SCOPE="TIER_"&amp;$F269)+(ACT_DOOR_SCOPE=$B269)))*SIGN(((ACT_SKU_SCOPE="ALL")+(ACT_SKU_SCOPE=$G269)))*(ACT_START&lt;=8)*(ACT_END&gt;=8)*IFERROR(ACT_UPLIFT-1,0)))*(1+SUMPRODUCT(SIGN(((ACT_DOOR_SCOPE="ALL")+(ACT_DOOR_SCOPE="TIER_"&amp;$F269)+(ACT_DOOR_SCOPE=$B269)))*SIGN(((ACT_SKU_SCOPE="ALL")+(ACT_SKU_SCOPE=$G269)))*(8&gt;ACT_END)*(ACT_END&gt;0)*IFERROR(ACT_POSTLIFT,0))),0)))</f>
        <v/>
      </c>
      <c r="R269" s="10">
        <f>IF(OR($H269&lt;&gt;"Y",9&lt;$I269),0,IF(SUMPRODUCT(((BULK_ENABLED="Y")*((BULK_TIER="ALL")+(BULK_TIER=$F269))*((BULK_SKU="ALL")+(BULK_SKU=$G269))*(BULK_START&lt;=9)*(BULK_END&gt;=9)))&gt;0,IFERROR(SUMPRODUCT(((BULK_ENABLED="Y")*((BULK_TIER="ALL")+(BULK_TIER=$F269))*((BULK_SKU="ALL")+(BULK_SKU=$G269))*(BULK_START&lt;=9)*(BULK_END&gt;=9))*IFERROR(BULK_VALUE,0))/MAX(1,SUMPRODUCT(((BULK_ENABLED="Y")*((BULK_TIER="ALL")+(BULK_TIER=$F269))*((BULK_SKU="ALL")+(BULK_SKU=$G269))*(BULK_START&lt;=9)*(BULK_END&gt;=9)))),0),ROUND((INDEX(VELOCITY_TABLE,MATCH($F269,TIER_LIST,0),1))*(IF((9-$I269+1)&lt;=0,0,IF((9-$I269+1)=1,RAMP_W1,IF((9-$I269+1)=2,RAMP_W2,IF((9-$I269+1)=3,RAMP_W3,RAMP_W4PLUS)))))*(INDEX(ACTIVE_MULT_TABLE,1,1))*(1+SUMPRODUCT(SIGN(((ACT_DOOR_SCOPE="ALL")+(ACT_DOOR_SCOPE="TIER_"&amp;$F269)+(ACT_DOOR_SCOPE=$B269)))*SIGN(((ACT_SKU_SCOPE="ALL")+(ACT_SKU_SCOPE=$G269)))*(ACT_START&lt;=9)*(ACT_END&gt;=9)*IFERROR(ACT_UPLIFT-1,0)))*(1+SUMPRODUCT(SIGN(((ACT_DOOR_SCOPE="ALL")+(ACT_DOOR_SCOPE="TIER_"&amp;$F269)+(ACT_DOOR_SCOPE=$B269)))*SIGN(((ACT_SKU_SCOPE="ALL")+(ACT_SKU_SCOPE=$G269)))*(9&gt;ACT_END)*(ACT_END&gt;0)*IFERROR(ACT_POSTLIFT,0))),0)))</f>
        <v/>
      </c>
      <c r="S269" s="10">
        <f>IF(OR($H269&lt;&gt;"Y",10&lt;$I269),0,IF(SUMPRODUCT(((BULK_ENABLED="Y")*((BULK_TIER="ALL")+(BULK_TIER=$F269))*((BULK_SKU="ALL")+(BULK_SKU=$G269))*(BULK_START&lt;=10)*(BULK_END&gt;=10)))&gt;0,IFERROR(SUMPRODUCT(((BULK_ENABLED="Y")*((BULK_TIER="ALL")+(BULK_TIER=$F269))*((BULK_SKU="ALL")+(BULK_SKU=$G269))*(BULK_START&lt;=10)*(BULK_END&gt;=10))*IFERROR(BULK_VALUE,0))/MAX(1,SUMPRODUCT(((BULK_ENABLED="Y")*((BULK_TIER="ALL")+(BULK_TIER=$F269))*((BULK_SKU="ALL")+(BULK_SKU=$G269))*(BULK_START&lt;=10)*(BULK_END&gt;=10)))),0),ROUND((INDEX(VELOCITY_TABLE,MATCH($F269,TIER_LIST,0),1))*(IF((10-$I269+1)&lt;=0,0,IF((10-$I269+1)=1,RAMP_W1,IF((10-$I269+1)=2,RAMP_W2,IF((10-$I269+1)=3,RAMP_W3,RAMP_W4PLUS)))))*(INDEX(ACTIVE_MULT_TABLE,1,1))*(1+SUMPRODUCT(SIGN(((ACT_DOOR_SCOPE="ALL")+(ACT_DOOR_SCOPE="TIER_"&amp;$F269)+(ACT_DOOR_SCOPE=$B269)))*SIGN(((ACT_SKU_SCOPE="ALL")+(ACT_SKU_SCOPE=$G269)))*(ACT_START&lt;=10)*(ACT_END&gt;=10)*IFERROR(ACT_UPLIFT-1,0)))*(1+SUMPRODUCT(SIGN(((ACT_DOOR_SCOPE="ALL")+(ACT_DOOR_SCOPE="TIER_"&amp;$F269)+(ACT_DOOR_SCOPE=$B269)))*SIGN(((ACT_SKU_SCOPE="ALL")+(ACT_SKU_SCOPE=$G269)))*(10&gt;ACT_END)*(ACT_END&gt;0)*IFERROR(ACT_POSTLIFT,0))),0)))</f>
        <v/>
      </c>
      <c r="T269" s="10">
        <f>IF(OR($H269&lt;&gt;"Y",11&lt;$I269),0,IF(SUMPRODUCT(((BULK_ENABLED="Y")*((BULK_TIER="ALL")+(BULK_TIER=$F269))*((BULK_SKU="ALL")+(BULK_SKU=$G269))*(BULK_START&lt;=11)*(BULK_END&gt;=11)))&gt;0,IFERROR(SUMPRODUCT(((BULK_ENABLED="Y")*((BULK_TIER="ALL")+(BULK_TIER=$F269))*((BULK_SKU="ALL")+(BULK_SKU=$G269))*(BULK_START&lt;=11)*(BULK_END&gt;=11))*IFERROR(BULK_VALUE,0))/MAX(1,SUMPRODUCT(((BULK_ENABLED="Y")*((BULK_TIER="ALL")+(BULK_TIER=$F269))*((BULK_SKU="ALL")+(BULK_SKU=$G269))*(BULK_START&lt;=11)*(BULK_END&gt;=11)))),0),ROUND((INDEX(VELOCITY_TABLE,MATCH($F269,TIER_LIST,0),1))*(IF((11-$I269+1)&lt;=0,0,IF((11-$I269+1)=1,RAMP_W1,IF((11-$I269+1)=2,RAMP_W2,IF((11-$I269+1)=3,RAMP_W3,RAMP_W4PLUS)))))*(INDEX(ACTIVE_MULT_TABLE,1,1))*(1+SUMPRODUCT(SIGN(((ACT_DOOR_SCOPE="ALL")+(ACT_DOOR_SCOPE="TIER_"&amp;$F269)+(ACT_DOOR_SCOPE=$B269)))*SIGN(((ACT_SKU_SCOPE="ALL")+(ACT_SKU_SCOPE=$G269)))*(ACT_START&lt;=11)*(ACT_END&gt;=11)*IFERROR(ACT_UPLIFT-1,0)))*(1+SUMPRODUCT(SIGN(((ACT_DOOR_SCOPE="ALL")+(ACT_DOOR_SCOPE="TIER_"&amp;$F269)+(ACT_DOOR_SCOPE=$B269)))*SIGN(((ACT_SKU_SCOPE="ALL")+(ACT_SKU_SCOPE=$G269)))*(11&gt;ACT_END)*(ACT_END&gt;0)*IFERROR(ACT_POSTLIFT,0))),0)))</f>
        <v/>
      </c>
      <c r="U269" s="10">
        <f>IF(OR($H269&lt;&gt;"Y",12&lt;$I269),0,IF(SUMPRODUCT(((BULK_ENABLED="Y")*((BULK_TIER="ALL")+(BULK_TIER=$F269))*((BULK_SKU="ALL")+(BULK_SKU=$G269))*(BULK_START&lt;=12)*(BULK_END&gt;=12)))&gt;0,IFERROR(SUMPRODUCT(((BULK_ENABLED="Y")*((BULK_TIER="ALL")+(BULK_TIER=$F269))*((BULK_SKU="ALL")+(BULK_SKU=$G269))*(BULK_START&lt;=12)*(BULK_END&gt;=12))*IFERROR(BULK_VALUE,0))/MAX(1,SUMPRODUCT(((BULK_ENABLED="Y")*((BULK_TIER="ALL")+(BULK_TIER=$F269))*((BULK_SKU="ALL")+(BULK_SKU=$G269))*(BULK_START&lt;=12)*(BULK_END&gt;=12)))),0),ROUND((INDEX(VELOCITY_TABLE,MATCH($F269,TIER_LIST,0),1))*(IF((12-$I269+1)&lt;=0,0,IF((12-$I269+1)=1,RAMP_W1,IF((12-$I269+1)=2,RAMP_W2,IF((12-$I269+1)=3,RAMP_W3,RAMP_W4PLUS)))))*(INDEX(ACTIVE_MULT_TABLE,1,1))*(1+SUMPRODUCT(SIGN(((ACT_DOOR_SCOPE="ALL")+(ACT_DOOR_SCOPE="TIER_"&amp;$F269)+(ACT_DOOR_SCOPE=$B269)))*SIGN(((ACT_SKU_SCOPE="ALL")+(ACT_SKU_SCOPE=$G269)))*(ACT_START&lt;=12)*(ACT_END&gt;=12)*IFERROR(ACT_UPLIFT-1,0)))*(1+SUMPRODUCT(SIGN(((ACT_DOOR_SCOPE="ALL")+(ACT_DOOR_SCOPE="TIER_"&amp;$F269)+(ACT_DOOR_SCOPE=$B269)))*SIGN(((ACT_SKU_SCOPE="ALL")+(ACT_SKU_SCOPE=$G269)))*(12&gt;ACT_END)*(ACT_END&gt;0)*IFERROR(ACT_POSTLIFT,0))),0)))</f>
        <v/>
      </c>
      <c r="V269" s="10">
        <f>IF(OR($H269&lt;&gt;"Y",13&lt;$I269),0,IF(SUMPRODUCT(((BULK_ENABLED="Y")*((BULK_TIER="ALL")+(BULK_TIER=$F269))*((BULK_SKU="ALL")+(BULK_SKU=$G269))*(BULK_START&lt;=13)*(BULK_END&gt;=13)))&gt;0,IFERROR(SUMPRODUCT(((BULK_ENABLED="Y")*((BULK_TIER="ALL")+(BULK_TIER=$F269))*((BULK_SKU="ALL")+(BULK_SKU=$G269))*(BULK_START&lt;=13)*(BULK_END&gt;=13))*IFERROR(BULK_VALUE,0))/MAX(1,SUMPRODUCT(((BULK_ENABLED="Y")*((BULK_TIER="ALL")+(BULK_TIER=$F269))*((BULK_SKU="ALL")+(BULK_SKU=$G269))*(BULK_START&lt;=13)*(BULK_END&gt;=13)))),0),ROUND((INDEX(VELOCITY_TABLE,MATCH($F269,TIER_LIST,0),1))*(IF((13-$I269+1)&lt;=0,0,IF((13-$I269+1)=1,RAMP_W1,IF((13-$I269+1)=2,RAMP_W2,IF((13-$I269+1)=3,RAMP_W3,RAMP_W4PLUS)))))*(INDEX(ACTIVE_MULT_TABLE,1,1))*(1+SUMPRODUCT(SIGN(((ACT_DOOR_SCOPE="ALL")+(ACT_DOOR_SCOPE="TIER_"&amp;$F269)+(ACT_DOOR_SCOPE=$B269)))*SIGN(((ACT_SKU_SCOPE="ALL")+(ACT_SKU_SCOPE=$G269)))*(ACT_START&lt;=13)*(ACT_END&gt;=13)*IFERROR(ACT_UPLIFT-1,0)))*(1+SUMPRODUCT(SIGN(((ACT_DOOR_SCOPE="ALL")+(ACT_DOOR_SCOPE="TIER_"&amp;$F269)+(ACT_DOOR_SCOPE=$B269)))*SIGN(((ACT_SKU_SCOPE="ALL")+(ACT_SKU_SCOPE=$G269)))*(13&gt;ACT_END)*(ACT_END&gt;0)*IFERROR(ACT_POSTLIFT,0))),0)))</f>
        <v/>
      </c>
    </row>
    <row r="270">
      <c r="A270" t="inlineStr">
        <is>
          <t>R0266</t>
        </is>
      </c>
      <c r="B270">
        <f>Doors!$A$93</f>
        <v/>
      </c>
      <c r="C270">
        <f>Doors!$C$93</f>
        <v/>
      </c>
      <c r="D270">
        <f>Doors!$B$93</f>
        <v/>
      </c>
      <c r="E270">
        <f>Doors!$E$93</f>
        <v/>
      </c>
      <c r="F270">
        <f>Doors!$F$93</f>
        <v/>
      </c>
      <c r="G270" t="inlineStr">
        <is>
          <t>Pineapple Passion Fruit</t>
        </is>
      </c>
      <c r="H270">
        <f>Doors!$H$93</f>
        <v/>
      </c>
      <c r="I270">
        <f>Doors!$J$93</f>
        <v/>
      </c>
      <c r="J270" s="10">
        <f>IF(OR($H270&lt;&gt;"Y",1&lt;$I270),0,IF(SUMPRODUCT(((BULK_ENABLED="Y")*((BULK_TIER="ALL")+(BULK_TIER=$F270))*((BULK_SKU="ALL")+(BULK_SKU=$G270))*(BULK_START&lt;=1)*(BULK_END&gt;=1)))&gt;0,IFERROR(SUMPRODUCT(((BULK_ENABLED="Y")*((BULK_TIER="ALL")+(BULK_TIER=$F270))*((BULK_SKU="ALL")+(BULK_SKU=$G270))*(BULK_START&lt;=1)*(BULK_END&gt;=1))*IFERROR(BULK_VALUE,0))/MAX(1,SUMPRODUCT(((BULK_ENABLED="Y")*((BULK_TIER="ALL")+(BULK_TIER=$F270))*((BULK_SKU="ALL")+(BULK_SKU=$G270))*(BULK_START&lt;=1)*(BULK_END&gt;=1)))),0),ROUND((INDEX(VELOCITY_TABLE,MATCH($F270,TIER_LIST,0),2))*(IF((1-$I270+1)&lt;=0,0,IF((1-$I270+1)=1,RAMP_W1,IF((1-$I270+1)=2,RAMP_W2,IF((1-$I270+1)=3,RAMP_W3,RAMP_W4PLUS)))))*(INDEX(ACTIVE_MULT_TABLE,2,1))*(1+SUMPRODUCT(SIGN(((ACT_DOOR_SCOPE="ALL")+(ACT_DOOR_SCOPE="TIER_"&amp;$F270)+(ACT_DOOR_SCOPE=$B270)))*SIGN(((ACT_SKU_SCOPE="ALL")+(ACT_SKU_SCOPE=$G270)))*(ACT_START&lt;=1)*(ACT_END&gt;=1)*IFERROR(ACT_UPLIFT-1,0)))*(1+SUMPRODUCT(SIGN(((ACT_DOOR_SCOPE="ALL")+(ACT_DOOR_SCOPE="TIER_"&amp;$F270)+(ACT_DOOR_SCOPE=$B270)))*SIGN(((ACT_SKU_SCOPE="ALL")+(ACT_SKU_SCOPE=$G270)))*(1&gt;ACT_END)*(ACT_END&gt;0)*IFERROR(ACT_POSTLIFT,0))),0)))</f>
        <v/>
      </c>
      <c r="K270" s="10">
        <f>IF(OR($H270&lt;&gt;"Y",2&lt;$I270),0,IF(SUMPRODUCT(((BULK_ENABLED="Y")*((BULK_TIER="ALL")+(BULK_TIER=$F270))*((BULK_SKU="ALL")+(BULK_SKU=$G270))*(BULK_START&lt;=2)*(BULK_END&gt;=2)))&gt;0,IFERROR(SUMPRODUCT(((BULK_ENABLED="Y")*((BULK_TIER="ALL")+(BULK_TIER=$F270))*((BULK_SKU="ALL")+(BULK_SKU=$G270))*(BULK_START&lt;=2)*(BULK_END&gt;=2))*IFERROR(BULK_VALUE,0))/MAX(1,SUMPRODUCT(((BULK_ENABLED="Y")*((BULK_TIER="ALL")+(BULK_TIER=$F270))*((BULK_SKU="ALL")+(BULK_SKU=$G270))*(BULK_START&lt;=2)*(BULK_END&gt;=2)))),0),ROUND((INDEX(VELOCITY_TABLE,MATCH($F270,TIER_LIST,0),2))*(IF((2-$I270+1)&lt;=0,0,IF((2-$I270+1)=1,RAMP_W1,IF((2-$I270+1)=2,RAMP_W2,IF((2-$I270+1)=3,RAMP_W3,RAMP_W4PLUS)))))*(INDEX(ACTIVE_MULT_TABLE,2,1))*(1+SUMPRODUCT(SIGN(((ACT_DOOR_SCOPE="ALL")+(ACT_DOOR_SCOPE="TIER_"&amp;$F270)+(ACT_DOOR_SCOPE=$B270)))*SIGN(((ACT_SKU_SCOPE="ALL")+(ACT_SKU_SCOPE=$G270)))*(ACT_START&lt;=2)*(ACT_END&gt;=2)*IFERROR(ACT_UPLIFT-1,0)))*(1+SUMPRODUCT(SIGN(((ACT_DOOR_SCOPE="ALL")+(ACT_DOOR_SCOPE="TIER_"&amp;$F270)+(ACT_DOOR_SCOPE=$B270)))*SIGN(((ACT_SKU_SCOPE="ALL")+(ACT_SKU_SCOPE=$G270)))*(2&gt;ACT_END)*(ACT_END&gt;0)*IFERROR(ACT_POSTLIFT,0))),0)))</f>
        <v/>
      </c>
      <c r="L270" s="10">
        <f>IF(OR($H270&lt;&gt;"Y",3&lt;$I270),0,IF(SUMPRODUCT(((BULK_ENABLED="Y")*((BULK_TIER="ALL")+(BULK_TIER=$F270))*((BULK_SKU="ALL")+(BULK_SKU=$G270))*(BULK_START&lt;=3)*(BULK_END&gt;=3)))&gt;0,IFERROR(SUMPRODUCT(((BULK_ENABLED="Y")*((BULK_TIER="ALL")+(BULK_TIER=$F270))*((BULK_SKU="ALL")+(BULK_SKU=$G270))*(BULK_START&lt;=3)*(BULK_END&gt;=3))*IFERROR(BULK_VALUE,0))/MAX(1,SUMPRODUCT(((BULK_ENABLED="Y")*((BULK_TIER="ALL")+(BULK_TIER=$F270))*((BULK_SKU="ALL")+(BULK_SKU=$G270))*(BULK_START&lt;=3)*(BULK_END&gt;=3)))),0),ROUND((INDEX(VELOCITY_TABLE,MATCH($F270,TIER_LIST,0),2))*(IF((3-$I270+1)&lt;=0,0,IF((3-$I270+1)=1,RAMP_W1,IF((3-$I270+1)=2,RAMP_W2,IF((3-$I270+1)=3,RAMP_W3,RAMP_W4PLUS)))))*(INDEX(ACTIVE_MULT_TABLE,2,1))*(1+SUMPRODUCT(SIGN(((ACT_DOOR_SCOPE="ALL")+(ACT_DOOR_SCOPE="TIER_"&amp;$F270)+(ACT_DOOR_SCOPE=$B270)))*SIGN(((ACT_SKU_SCOPE="ALL")+(ACT_SKU_SCOPE=$G270)))*(ACT_START&lt;=3)*(ACT_END&gt;=3)*IFERROR(ACT_UPLIFT-1,0)))*(1+SUMPRODUCT(SIGN(((ACT_DOOR_SCOPE="ALL")+(ACT_DOOR_SCOPE="TIER_"&amp;$F270)+(ACT_DOOR_SCOPE=$B270)))*SIGN(((ACT_SKU_SCOPE="ALL")+(ACT_SKU_SCOPE=$G270)))*(3&gt;ACT_END)*(ACT_END&gt;0)*IFERROR(ACT_POSTLIFT,0))),0)))</f>
        <v/>
      </c>
      <c r="M270" s="10">
        <f>IF(OR($H270&lt;&gt;"Y",4&lt;$I270),0,IF(SUMPRODUCT(((BULK_ENABLED="Y")*((BULK_TIER="ALL")+(BULK_TIER=$F270))*((BULK_SKU="ALL")+(BULK_SKU=$G270))*(BULK_START&lt;=4)*(BULK_END&gt;=4)))&gt;0,IFERROR(SUMPRODUCT(((BULK_ENABLED="Y")*((BULK_TIER="ALL")+(BULK_TIER=$F270))*((BULK_SKU="ALL")+(BULK_SKU=$G270))*(BULK_START&lt;=4)*(BULK_END&gt;=4))*IFERROR(BULK_VALUE,0))/MAX(1,SUMPRODUCT(((BULK_ENABLED="Y")*((BULK_TIER="ALL")+(BULK_TIER=$F270))*((BULK_SKU="ALL")+(BULK_SKU=$G270))*(BULK_START&lt;=4)*(BULK_END&gt;=4)))),0),ROUND((INDEX(VELOCITY_TABLE,MATCH($F270,TIER_LIST,0),2))*(IF((4-$I270+1)&lt;=0,0,IF((4-$I270+1)=1,RAMP_W1,IF((4-$I270+1)=2,RAMP_W2,IF((4-$I270+1)=3,RAMP_W3,RAMP_W4PLUS)))))*(INDEX(ACTIVE_MULT_TABLE,2,1))*(1+SUMPRODUCT(SIGN(((ACT_DOOR_SCOPE="ALL")+(ACT_DOOR_SCOPE="TIER_"&amp;$F270)+(ACT_DOOR_SCOPE=$B270)))*SIGN(((ACT_SKU_SCOPE="ALL")+(ACT_SKU_SCOPE=$G270)))*(ACT_START&lt;=4)*(ACT_END&gt;=4)*IFERROR(ACT_UPLIFT-1,0)))*(1+SUMPRODUCT(SIGN(((ACT_DOOR_SCOPE="ALL")+(ACT_DOOR_SCOPE="TIER_"&amp;$F270)+(ACT_DOOR_SCOPE=$B270)))*SIGN(((ACT_SKU_SCOPE="ALL")+(ACT_SKU_SCOPE=$G270)))*(4&gt;ACT_END)*(ACT_END&gt;0)*IFERROR(ACT_POSTLIFT,0))),0)))</f>
        <v/>
      </c>
      <c r="N270" s="10">
        <f>IF(OR($H270&lt;&gt;"Y",5&lt;$I270),0,IF(SUMPRODUCT(((BULK_ENABLED="Y")*((BULK_TIER="ALL")+(BULK_TIER=$F270))*((BULK_SKU="ALL")+(BULK_SKU=$G270))*(BULK_START&lt;=5)*(BULK_END&gt;=5)))&gt;0,IFERROR(SUMPRODUCT(((BULK_ENABLED="Y")*((BULK_TIER="ALL")+(BULK_TIER=$F270))*((BULK_SKU="ALL")+(BULK_SKU=$G270))*(BULK_START&lt;=5)*(BULK_END&gt;=5))*IFERROR(BULK_VALUE,0))/MAX(1,SUMPRODUCT(((BULK_ENABLED="Y")*((BULK_TIER="ALL")+(BULK_TIER=$F270))*((BULK_SKU="ALL")+(BULK_SKU=$G270))*(BULK_START&lt;=5)*(BULK_END&gt;=5)))),0),ROUND((INDEX(VELOCITY_TABLE,MATCH($F270,TIER_LIST,0),2))*(IF((5-$I270+1)&lt;=0,0,IF((5-$I270+1)=1,RAMP_W1,IF((5-$I270+1)=2,RAMP_W2,IF((5-$I270+1)=3,RAMP_W3,RAMP_W4PLUS)))))*(INDEX(ACTIVE_MULT_TABLE,2,1))*(1+SUMPRODUCT(SIGN(((ACT_DOOR_SCOPE="ALL")+(ACT_DOOR_SCOPE="TIER_"&amp;$F270)+(ACT_DOOR_SCOPE=$B270)))*SIGN(((ACT_SKU_SCOPE="ALL")+(ACT_SKU_SCOPE=$G270)))*(ACT_START&lt;=5)*(ACT_END&gt;=5)*IFERROR(ACT_UPLIFT-1,0)))*(1+SUMPRODUCT(SIGN(((ACT_DOOR_SCOPE="ALL")+(ACT_DOOR_SCOPE="TIER_"&amp;$F270)+(ACT_DOOR_SCOPE=$B270)))*SIGN(((ACT_SKU_SCOPE="ALL")+(ACT_SKU_SCOPE=$G270)))*(5&gt;ACT_END)*(ACT_END&gt;0)*IFERROR(ACT_POSTLIFT,0))),0)))</f>
        <v/>
      </c>
      <c r="O270" s="10">
        <f>IF(OR($H270&lt;&gt;"Y",6&lt;$I270),0,IF(SUMPRODUCT(((BULK_ENABLED="Y")*((BULK_TIER="ALL")+(BULK_TIER=$F270))*((BULK_SKU="ALL")+(BULK_SKU=$G270))*(BULK_START&lt;=6)*(BULK_END&gt;=6)))&gt;0,IFERROR(SUMPRODUCT(((BULK_ENABLED="Y")*((BULK_TIER="ALL")+(BULK_TIER=$F270))*((BULK_SKU="ALL")+(BULK_SKU=$G270))*(BULK_START&lt;=6)*(BULK_END&gt;=6))*IFERROR(BULK_VALUE,0))/MAX(1,SUMPRODUCT(((BULK_ENABLED="Y")*((BULK_TIER="ALL")+(BULK_TIER=$F270))*((BULK_SKU="ALL")+(BULK_SKU=$G270))*(BULK_START&lt;=6)*(BULK_END&gt;=6)))),0),ROUND((INDEX(VELOCITY_TABLE,MATCH($F270,TIER_LIST,0),2))*(IF((6-$I270+1)&lt;=0,0,IF((6-$I270+1)=1,RAMP_W1,IF((6-$I270+1)=2,RAMP_W2,IF((6-$I270+1)=3,RAMP_W3,RAMP_W4PLUS)))))*(INDEX(ACTIVE_MULT_TABLE,2,1))*(1+SUMPRODUCT(SIGN(((ACT_DOOR_SCOPE="ALL")+(ACT_DOOR_SCOPE="TIER_"&amp;$F270)+(ACT_DOOR_SCOPE=$B270)))*SIGN(((ACT_SKU_SCOPE="ALL")+(ACT_SKU_SCOPE=$G270)))*(ACT_START&lt;=6)*(ACT_END&gt;=6)*IFERROR(ACT_UPLIFT-1,0)))*(1+SUMPRODUCT(SIGN(((ACT_DOOR_SCOPE="ALL")+(ACT_DOOR_SCOPE="TIER_"&amp;$F270)+(ACT_DOOR_SCOPE=$B270)))*SIGN(((ACT_SKU_SCOPE="ALL")+(ACT_SKU_SCOPE=$G270)))*(6&gt;ACT_END)*(ACT_END&gt;0)*IFERROR(ACT_POSTLIFT,0))),0)))</f>
        <v/>
      </c>
      <c r="P270" s="10">
        <f>IF(OR($H270&lt;&gt;"Y",7&lt;$I270),0,IF(SUMPRODUCT(((BULK_ENABLED="Y")*((BULK_TIER="ALL")+(BULK_TIER=$F270))*((BULK_SKU="ALL")+(BULK_SKU=$G270))*(BULK_START&lt;=7)*(BULK_END&gt;=7)))&gt;0,IFERROR(SUMPRODUCT(((BULK_ENABLED="Y")*((BULK_TIER="ALL")+(BULK_TIER=$F270))*((BULK_SKU="ALL")+(BULK_SKU=$G270))*(BULK_START&lt;=7)*(BULK_END&gt;=7))*IFERROR(BULK_VALUE,0))/MAX(1,SUMPRODUCT(((BULK_ENABLED="Y")*((BULK_TIER="ALL")+(BULK_TIER=$F270))*((BULK_SKU="ALL")+(BULK_SKU=$G270))*(BULK_START&lt;=7)*(BULK_END&gt;=7)))),0),ROUND((INDEX(VELOCITY_TABLE,MATCH($F270,TIER_LIST,0),2))*(IF((7-$I270+1)&lt;=0,0,IF((7-$I270+1)=1,RAMP_W1,IF((7-$I270+1)=2,RAMP_W2,IF((7-$I270+1)=3,RAMP_W3,RAMP_W4PLUS)))))*(INDEX(ACTIVE_MULT_TABLE,2,1))*(1+SUMPRODUCT(SIGN(((ACT_DOOR_SCOPE="ALL")+(ACT_DOOR_SCOPE="TIER_"&amp;$F270)+(ACT_DOOR_SCOPE=$B270)))*SIGN(((ACT_SKU_SCOPE="ALL")+(ACT_SKU_SCOPE=$G270)))*(ACT_START&lt;=7)*(ACT_END&gt;=7)*IFERROR(ACT_UPLIFT-1,0)))*(1+SUMPRODUCT(SIGN(((ACT_DOOR_SCOPE="ALL")+(ACT_DOOR_SCOPE="TIER_"&amp;$F270)+(ACT_DOOR_SCOPE=$B270)))*SIGN(((ACT_SKU_SCOPE="ALL")+(ACT_SKU_SCOPE=$G270)))*(7&gt;ACT_END)*(ACT_END&gt;0)*IFERROR(ACT_POSTLIFT,0))),0)))</f>
        <v/>
      </c>
      <c r="Q270" s="10">
        <f>IF(OR($H270&lt;&gt;"Y",8&lt;$I270),0,IF(SUMPRODUCT(((BULK_ENABLED="Y")*((BULK_TIER="ALL")+(BULK_TIER=$F270))*((BULK_SKU="ALL")+(BULK_SKU=$G270))*(BULK_START&lt;=8)*(BULK_END&gt;=8)))&gt;0,IFERROR(SUMPRODUCT(((BULK_ENABLED="Y")*((BULK_TIER="ALL")+(BULK_TIER=$F270))*((BULK_SKU="ALL")+(BULK_SKU=$G270))*(BULK_START&lt;=8)*(BULK_END&gt;=8))*IFERROR(BULK_VALUE,0))/MAX(1,SUMPRODUCT(((BULK_ENABLED="Y")*((BULK_TIER="ALL")+(BULK_TIER=$F270))*((BULK_SKU="ALL")+(BULK_SKU=$G270))*(BULK_START&lt;=8)*(BULK_END&gt;=8)))),0),ROUND((INDEX(VELOCITY_TABLE,MATCH($F270,TIER_LIST,0),2))*(IF((8-$I270+1)&lt;=0,0,IF((8-$I270+1)=1,RAMP_W1,IF((8-$I270+1)=2,RAMP_W2,IF((8-$I270+1)=3,RAMP_W3,RAMP_W4PLUS)))))*(INDEX(ACTIVE_MULT_TABLE,2,1))*(1+SUMPRODUCT(SIGN(((ACT_DOOR_SCOPE="ALL")+(ACT_DOOR_SCOPE="TIER_"&amp;$F270)+(ACT_DOOR_SCOPE=$B270)))*SIGN(((ACT_SKU_SCOPE="ALL")+(ACT_SKU_SCOPE=$G270)))*(ACT_START&lt;=8)*(ACT_END&gt;=8)*IFERROR(ACT_UPLIFT-1,0)))*(1+SUMPRODUCT(SIGN(((ACT_DOOR_SCOPE="ALL")+(ACT_DOOR_SCOPE="TIER_"&amp;$F270)+(ACT_DOOR_SCOPE=$B270)))*SIGN(((ACT_SKU_SCOPE="ALL")+(ACT_SKU_SCOPE=$G270)))*(8&gt;ACT_END)*(ACT_END&gt;0)*IFERROR(ACT_POSTLIFT,0))),0)))</f>
        <v/>
      </c>
      <c r="R270" s="10">
        <f>IF(OR($H270&lt;&gt;"Y",9&lt;$I270),0,IF(SUMPRODUCT(((BULK_ENABLED="Y")*((BULK_TIER="ALL")+(BULK_TIER=$F270))*((BULK_SKU="ALL")+(BULK_SKU=$G270))*(BULK_START&lt;=9)*(BULK_END&gt;=9)))&gt;0,IFERROR(SUMPRODUCT(((BULK_ENABLED="Y")*((BULK_TIER="ALL")+(BULK_TIER=$F270))*((BULK_SKU="ALL")+(BULK_SKU=$G270))*(BULK_START&lt;=9)*(BULK_END&gt;=9))*IFERROR(BULK_VALUE,0))/MAX(1,SUMPRODUCT(((BULK_ENABLED="Y")*((BULK_TIER="ALL")+(BULK_TIER=$F270))*((BULK_SKU="ALL")+(BULK_SKU=$G270))*(BULK_START&lt;=9)*(BULK_END&gt;=9)))),0),ROUND((INDEX(VELOCITY_TABLE,MATCH($F270,TIER_LIST,0),2))*(IF((9-$I270+1)&lt;=0,0,IF((9-$I270+1)=1,RAMP_W1,IF((9-$I270+1)=2,RAMP_W2,IF((9-$I270+1)=3,RAMP_W3,RAMP_W4PLUS)))))*(INDEX(ACTIVE_MULT_TABLE,2,1))*(1+SUMPRODUCT(SIGN(((ACT_DOOR_SCOPE="ALL")+(ACT_DOOR_SCOPE="TIER_"&amp;$F270)+(ACT_DOOR_SCOPE=$B270)))*SIGN(((ACT_SKU_SCOPE="ALL")+(ACT_SKU_SCOPE=$G270)))*(ACT_START&lt;=9)*(ACT_END&gt;=9)*IFERROR(ACT_UPLIFT-1,0)))*(1+SUMPRODUCT(SIGN(((ACT_DOOR_SCOPE="ALL")+(ACT_DOOR_SCOPE="TIER_"&amp;$F270)+(ACT_DOOR_SCOPE=$B270)))*SIGN(((ACT_SKU_SCOPE="ALL")+(ACT_SKU_SCOPE=$G270)))*(9&gt;ACT_END)*(ACT_END&gt;0)*IFERROR(ACT_POSTLIFT,0))),0)))</f>
        <v/>
      </c>
      <c r="S270" s="10">
        <f>IF(OR($H270&lt;&gt;"Y",10&lt;$I270),0,IF(SUMPRODUCT(((BULK_ENABLED="Y")*((BULK_TIER="ALL")+(BULK_TIER=$F270))*((BULK_SKU="ALL")+(BULK_SKU=$G270))*(BULK_START&lt;=10)*(BULK_END&gt;=10)))&gt;0,IFERROR(SUMPRODUCT(((BULK_ENABLED="Y")*((BULK_TIER="ALL")+(BULK_TIER=$F270))*((BULK_SKU="ALL")+(BULK_SKU=$G270))*(BULK_START&lt;=10)*(BULK_END&gt;=10))*IFERROR(BULK_VALUE,0))/MAX(1,SUMPRODUCT(((BULK_ENABLED="Y")*((BULK_TIER="ALL")+(BULK_TIER=$F270))*((BULK_SKU="ALL")+(BULK_SKU=$G270))*(BULK_START&lt;=10)*(BULK_END&gt;=10)))),0),ROUND((INDEX(VELOCITY_TABLE,MATCH($F270,TIER_LIST,0),2))*(IF((10-$I270+1)&lt;=0,0,IF((10-$I270+1)=1,RAMP_W1,IF((10-$I270+1)=2,RAMP_W2,IF((10-$I270+1)=3,RAMP_W3,RAMP_W4PLUS)))))*(INDEX(ACTIVE_MULT_TABLE,2,1))*(1+SUMPRODUCT(SIGN(((ACT_DOOR_SCOPE="ALL")+(ACT_DOOR_SCOPE="TIER_"&amp;$F270)+(ACT_DOOR_SCOPE=$B270)))*SIGN(((ACT_SKU_SCOPE="ALL")+(ACT_SKU_SCOPE=$G270)))*(ACT_START&lt;=10)*(ACT_END&gt;=10)*IFERROR(ACT_UPLIFT-1,0)))*(1+SUMPRODUCT(SIGN(((ACT_DOOR_SCOPE="ALL")+(ACT_DOOR_SCOPE="TIER_"&amp;$F270)+(ACT_DOOR_SCOPE=$B270)))*SIGN(((ACT_SKU_SCOPE="ALL")+(ACT_SKU_SCOPE=$G270)))*(10&gt;ACT_END)*(ACT_END&gt;0)*IFERROR(ACT_POSTLIFT,0))),0)))</f>
        <v/>
      </c>
      <c r="T270" s="10">
        <f>IF(OR($H270&lt;&gt;"Y",11&lt;$I270),0,IF(SUMPRODUCT(((BULK_ENABLED="Y")*((BULK_TIER="ALL")+(BULK_TIER=$F270))*((BULK_SKU="ALL")+(BULK_SKU=$G270))*(BULK_START&lt;=11)*(BULK_END&gt;=11)))&gt;0,IFERROR(SUMPRODUCT(((BULK_ENABLED="Y")*((BULK_TIER="ALL")+(BULK_TIER=$F270))*((BULK_SKU="ALL")+(BULK_SKU=$G270))*(BULK_START&lt;=11)*(BULK_END&gt;=11))*IFERROR(BULK_VALUE,0))/MAX(1,SUMPRODUCT(((BULK_ENABLED="Y")*((BULK_TIER="ALL")+(BULK_TIER=$F270))*((BULK_SKU="ALL")+(BULK_SKU=$G270))*(BULK_START&lt;=11)*(BULK_END&gt;=11)))),0),ROUND((INDEX(VELOCITY_TABLE,MATCH($F270,TIER_LIST,0),2))*(IF((11-$I270+1)&lt;=0,0,IF((11-$I270+1)=1,RAMP_W1,IF((11-$I270+1)=2,RAMP_W2,IF((11-$I270+1)=3,RAMP_W3,RAMP_W4PLUS)))))*(INDEX(ACTIVE_MULT_TABLE,2,1))*(1+SUMPRODUCT(SIGN(((ACT_DOOR_SCOPE="ALL")+(ACT_DOOR_SCOPE="TIER_"&amp;$F270)+(ACT_DOOR_SCOPE=$B270)))*SIGN(((ACT_SKU_SCOPE="ALL")+(ACT_SKU_SCOPE=$G270)))*(ACT_START&lt;=11)*(ACT_END&gt;=11)*IFERROR(ACT_UPLIFT-1,0)))*(1+SUMPRODUCT(SIGN(((ACT_DOOR_SCOPE="ALL")+(ACT_DOOR_SCOPE="TIER_"&amp;$F270)+(ACT_DOOR_SCOPE=$B270)))*SIGN(((ACT_SKU_SCOPE="ALL")+(ACT_SKU_SCOPE=$G270)))*(11&gt;ACT_END)*(ACT_END&gt;0)*IFERROR(ACT_POSTLIFT,0))),0)))</f>
        <v/>
      </c>
      <c r="U270" s="10">
        <f>IF(OR($H270&lt;&gt;"Y",12&lt;$I270),0,IF(SUMPRODUCT(((BULK_ENABLED="Y")*((BULK_TIER="ALL")+(BULK_TIER=$F270))*((BULK_SKU="ALL")+(BULK_SKU=$G270))*(BULK_START&lt;=12)*(BULK_END&gt;=12)))&gt;0,IFERROR(SUMPRODUCT(((BULK_ENABLED="Y")*((BULK_TIER="ALL")+(BULK_TIER=$F270))*((BULK_SKU="ALL")+(BULK_SKU=$G270))*(BULK_START&lt;=12)*(BULK_END&gt;=12))*IFERROR(BULK_VALUE,0))/MAX(1,SUMPRODUCT(((BULK_ENABLED="Y")*((BULK_TIER="ALL")+(BULK_TIER=$F270))*((BULK_SKU="ALL")+(BULK_SKU=$G270))*(BULK_START&lt;=12)*(BULK_END&gt;=12)))),0),ROUND((INDEX(VELOCITY_TABLE,MATCH($F270,TIER_LIST,0),2))*(IF((12-$I270+1)&lt;=0,0,IF((12-$I270+1)=1,RAMP_W1,IF((12-$I270+1)=2,RAMP_W2,IF((12-$I270+1)=3,RAMP_W3,RAMP_W4PLUS)))))*(INDEX(ACTIVE_MULT_TABLE,2,1))*(1+SUMPRODUCT(SIGN(((ACT_DOOR_SCOPE="ALL")+(ACT_DOOR_SCOPE="TIER_"&amp;$F270)+(ACT_DOOR_SCOPE=$B270)))*SIGN(((ACT_SKU_SCOPE="ALL")+(ACT_SKU_SCOPE=$G270)))*(ACT_START&lt;=12)*(ACT_END&gt;=12)*IFERROR(ACT_UPLIFT-1,0)))*(1+SUMPRODUCT(SIGN(((ACT_DOOR_SCOPE="ALL")+(ACT_DOOR_SCOPE="TIER_"&amp;$F270)+(ACT_DOOR_SCOPE=$B270)))*SIGN(((ACT_SKU_SCOPE="ALL")+(ACT_SKU_SCOPE=$G270)))*(12&gt;ACT_END)*(ACT_END&gt;0)*IFERROR(ACT_POSTLIFT,0))),0)))</f>
        <v/>
      </c>
      <c r="V270" s="10">
        <f>IF(OR($H270&lt;&gt;"Y",13&lt;$I270),0,IF(SUMPRODUCT(((BULK_ENABLED="Y")*((BULK_TIER="ALL")+(BULK_TIER=$F270))*((BULK_SKU="ALL")+(BULK_SKU=$G270))*(BULK_START&lt;=13)*(BULK_END&gt;=13)))&gt;0,IFERROR(SUMPRODUCT(((BULK_ENABLED="Y")*((BULK_TIER="ALL")+(BULK_TIER=$F270))*((BULK_SKU="ALL")+(BULK_SKU=$G270))*(BULK_START&lt;=13)*(BULK_END&gt;=13))*IFERROR(BULK_VALUE,0))/MAX(1,SUMPRODUCT(((BULK_ENABLED="Y")*((BULK_TIER="ALL")+(BULK_TIER=$F270))*((BULK_SKU="ALL")+(BULK_SKU=$G270))*(BULK_START&lt;=13)*(BULK_END&gt;=13)))),0),ROUND((INDEX(VELOCITY_TABLE,MATCH($F270,TIER_LIST,0),2))*(IF((13-$I270+1)&lt;=0,0,IF((13-$I270+1)=1,RAMP_W1,IF((13-$I270+1)=2,RAMP_W2,IF((13-$I270+1)=3,RAMP_W3,RAMP_W4PLUS)))))*(INDEX(ACTIVE_MULT_TABLE,2,1))*(1+SUMPRODUCT(SIGN(((ACT_DOOR_SCOPE="ALL")+(ACT_DOOR_SCOPE="TIER_"&amp;$F270)+(ACT_DOOR_SCOPE=$B270)))*SIGN(((ACT_SKU_SCOPE="ALL")+(ACT_SKU_SCOPE=$G270)))*(ACT_START&lt;=13)*(ACT_END&gt;=13)*IFERROR(ACT_UPLIFT-1,0)))*(1+SUMPRODUCT(SIGN(((ACT_DOOR_SCOPE="ALL")+(ACT_DOOR_SCOPE="TIER_"&amp;$F270)+(ACT_DOOR_SCOPE=$B270)))*SIGN(((ACT_SKU_SCOPE="ALL")+(ACT_SKU_SCOPE=$G270)))*(13&gt;ACT_END)*(ACT_END&gt;0)*IFERROR(ACT_POSTLIFT,0))),0)))</f>
        <v/>
      </c>
    </row>
    <row r="271">
      <c r="A271" t="inlineStr">
        <is>
          <t>R0267</t>
        </is>
      </c>
      <c r="B271">
        <f>Doors!$A$93</f>
        <v/>
      </c>
      <c r="C271">
        <f>Doors!$C$93</f>
        <v/>
      </c>
      <c r="D271">
        <f>Doors!$B$93</f>
        <v/>
      </c>
      <c r="E271">
        <f>Doors!$E$93</f>
        <v/>
      </c>
      <c r="F271">
        <f>Doors!$F$93</f>
        <v/>
      </c>
      <c r="G271" t="inlineStr">
        <is>
          <t>Raspberry</t>
        </is>
      </c>
      <c r="H271">
        <f>Doors!$I$93</f>
        <v/>
      </c>
      <c r="I271">
        <f>Doors!$J$93</f>
        <v/>
      </c>
      <c r="J271" s="10">
        <f>IF(OR($H271&lt;&gt;"Y",1&lt;$I271),0,IF(SUMPRODUCT(((BULK_ENABLED="Y")*((BULK_TIER="ALL")+(BULK_TIER=$F271))*((BULK_SKU="ALL")+(BULK_SKU=$G271))*(BULK_START&lt;=1)*(BULK_END&gt;=1)))&gt;0,IFERROR(SUMPRODUCT(((BULK_ENABLED="Y")*((BULK_TIER="ALL")+(BULK_TIER=$F271))*((BULK_SKU="ALL")+(BULK_SKU=$G271))*(BULK_START&lt;=1)*(BULK_END&gt;=1))*IFERROR(BULK_VALUE,0))/MAX(1,SUMPRODUCT(((BULK_ENABLED="Y")*((BULK_TIER="ALL")+(BULK_TIER=$F271))*((BULK_SKU="ALL")+(BULK_SKU=$G271))*(BULK_START&lt;=1)*(BULK_END&gt;=1)))),0),ROUND((INDEX(VELOCITY_TABLE,MATCH($F271,TIER_LIST,0),3))*(IF((1-$I271+1)&lt;=0,0,IF((1-$I271+1)=1,RAMP_W1,IF((1-$I271+1)=2,RAMP_W2,IF((1-$I271+1)=3,RAMP_W3,RAMP_W4PLUS)))))*(INDEX(ACTIVE_MULT_TABLE,3,1))*(1+SUMPRODUCT(SIGN(((ACT_DOOR_SCOPE="ALL")+(ACT_DOOR_SCOPE="TIER_"&amp;$F271)+(ACT_DOOR_SCOPE=$B271)))*SIGN(((ACT_SKU_SCOPE="ALL")+(ACT_SKU_SCOPE=$G271)))*(ACT_START&lt;=1)*(ACT_END&gt;=1)*IFERROR(ACT_UPLIFT-1,0)))*(1+SUMPRODUCT(SIGN(((ACT_DOOR_SCOPE="ALL")+(ACT_DOOR_SCOPE="TIER_"&amp;$F271)+(ACT_DOOR_SCOPE=$B271)))*SIGN(((ACT_SKU_SCOPE="ALL")+(ACT_SKU_SCOPE=$G271)))*(1&gt;ACT_END)*(ACT_END&gt;0)*IFERROR(ACT_POSTLIFT,0))),0)))</f>
        <v/>
      </c>
      <c r="K271" s="10">
        <f>IF(OR($H271&lt;&gt;"Y",2&lt;$I271),0,IF(SUMPRODUCT(((BULK_ENABLED="Y")*((BULK_TIER="ALL")+(BULK_TIER=$F271))*((BULK_SKU="ALL")+(BULK_SKU=$G271))*(BULK_START&lt;=2)*(BULK_END&gt;=2)))&gt;0,IFERROR(SUMPRODUCT(((BULK_ENABLED="Y")*((BULK_TIER="ALL")+(BULK_TIER=$F271))*((BULK_SKU="ALL")+(BULK_SKU=$G271))*(BULK_START&lt;=2)*(BULK_END&gt;=2))*IFERROR(BULK_VALUE,0))/MAX(1,SUMPRODUCT(((BULK_ENABLED="Y")*((BULK_TIER="ALL")+(BULK_TIER=$F271))*((BULK_SKU="ALL")+(BULK_SKU=$G271))*(BULK_START&lt;=2)*(BULK_END&gt;=2)))),0),ROUND((INDEX(VELOCITY_TABLE,MATCH($F271,TIER_LIST,0),3))*(IF((2-$I271+1)&lt;=0,0,IF((2-$I271+1)=1,RAMP_W1,IF((2-$I271+1)=2,RAMP_W2,IF((2-$I271+1)=3,RAMP_W3,RAMP_W4PLUS)))))*(INDEX(ACTIVE_MULT_TABLE,3,1))*(1+SUMPRODUCT(SIGN(((ACT_DOOR_SCOPE="ALL")+(ACT_DOOR_SCOPE="TIER_"&amp;$F271)+(ACT_DOOR_SCOPE=$B271)))*SIGN(((ACT_SKU_SCOPE="ALL")+(ACT_SKU_SCOPE=$G271)))*(ACT_START&lt;=2)*(ACT_END&gt;=2)*IFERROR(ACT_UPLIFT-1,0)))*(1+SUMPRODUCT(SIGN(((ACT_DOOR_SCOPE="ALL")+(ACT_DOOR_SCOPE="TIER_"&amp;$F271)+(ACT_DOOR_SCOPE=$B271)))*SIGN(((ACT_SKU_SCOPE="ALL")+(ACT_SKU_SCOPE=$G271)))*(2&gt;ACT_END)*(ACT_END&gt;0)*IFERROR(ACT_POSTLIFT,0))),0)))</f>
        <v/>
      </c>
      <c r="L271" s="10">
        <f>IF(OR($H271&lt;&gt;"Y",3&lt;$I271),0,IF(SUMPRODUCT(((BULK_ENABLED="Y")*((BULK_TIER="ALL")+(BULK_TIER=$F271))*((BULK_SKU="ALL")+(BULK_SKU=$G271))*(BULK_START&lt;=3)*(BULK_END&gt;=3)))&gt;0,IFERROR(SUMPRODUCT(((BULK_ENABLED="Y")*((BULK_TIER="ALL")+(BULK_TIER=$F271))*((BULK_SKU="ALL")+(BULK_SKU=$G271))*(BULK_START&lt;=3)*(BULK_END&gt;=3))*IFERROR(BULK_VALUE,0))/MAX(1,SUMPRODUCT(((BULK_ENABLED="Y")*((BULK_TIER="ALL")+(BULK_TIER=$F271))*((BULK_SKU="ALL")+(BULK_SKU=$G271))*(BULK_START&lt;=3)*(BULK_END&gt;=3)))),0),ROUND((INDEX(VELOCITY_TABLE,MATCH($F271,TIER_LIST,0),3))*(IF((3-$I271+1)&lt;=0,0,IF((3-$I271+1)=1,RAMP_W1,IF((3-$I271+1)=2,RAMP_W2,IF((3-$I271+1)=3,RAMP_W3,RAMP_W4PLUS)))))*(INDEX(ACTIVE_MULT_TABLE,3,1))*(1+SUMPRODUCT(SIGN(((ACT_DOOR_SCOPE="ALL")+(ACT_DOOR_SCOPE="TIER_"&amp;$F271)+(ACT_DOOR_SCOPE=$B271)))*SIGN(((ACT_SKU_SCOPE="ALL")+(ACT_SKU_SCOPE=$G271)))*(ACT_START&lt;=3)*(ACT_END&gt;=3)*IFERROR(ACT_UPLIFT-1,0)))*(1+SUMPRODUCT(SIGN(((ACT_DOOR_SCOPE="ALL")+(ACT_DOOR_SCOPE="TIER_"&amp;$F271)+(ACT_DOOR_SCOPE=$B271)))*SIGN(((ACT_SKU_SCOPE="ALL")+(ACT_SKU_SCOPE=$G271)))*(3&gt;ACT_END)*(ACT_END&gt;0)*IFERROR(ACT_POSTLIFT,0))),0)))</f>
        <v/>
      </c>
      <c r="M271" s="10">
        <f>IF(OR($H271&lt;&gt;"Y",4&lt;$I271),0,IF(SUMPRODUCT(((BULK_ENABLED="Y")*((BULK_TIER="ALL")+(BULK_TIER=$F271))*((BULK_SKU="ALL")+(BULK_SKU=$G271))*(BULK_START&lt;=4)*(BULK_END&gt;=4)))&gt;0,IFERROR(SUMPRODUCT(((BULK_ENABLED="Y")*((BULK_TIER="ALL")+(BULK_TIER=$F271))*((BULK_SKU="ALL")+(BULK_SKU=$G271))*(BULK_START&lt;=4)*(BULK_END&gt;=4))*IFERROR(BULK_VALUE,0))/MAX(1,SUMPRODUCT(((BULK_ENABLED="Y")*((BULK_TIER="ALL")+(BULK_TIER=$F271))*((BULK_SKU="ALL")+(BULK_SKU=$G271))*(BULK_START&lt;=4)*(BULK_END&gt;=4)))),0),ROUND((INDEX(VELOCITY_TABLE,MATCH($F271,TIER_LIST,0),3))*(IF((4-$I271+1)&lt;=0,0,IF((4-$I271+1)=1,RAMP_W1,IF((4-$I271+1)=2,RAMP_W2,IF((4-$I271+1)=3,RAMP_W3,RAMP_W4PLUS)))))*(INDEX(ACTIVE_MULT_TABLE,3,1))*(1+SUMPRODUCT(SIGN(((ACT_DOOR_SCOPE="ALL")+(ACT_DOOR_SCOPE="TIER_"&amp;$F271)+(ACT_DOOR_SCOPE=$B271)))*SIGN(((ACT_SKU_SCOPE="ALL")+(ACT_SKU_SCOPE=$G271)))*(ACT_START&lt;=4)*(ACT_END&gt;=4)*IFERROR(ACT_UPLIFT-1,0)))*(1+SUMPRODUCT(SIGN(((ACT_DOOR_SCOPE="ALL")+(ACT_DOOR_SCOPE="TIER_"&amp;$F271)+(ACT_DOOR_SCOPE=$B271)))*SIGN(((ACT_SKU_SCOPE="ALL")+(ACT_SKU_SCOPE=$G271)))*(4&gt;ACT_END)*(ACT_END&gt;0)*IFERROR(ACT_POSTLIFT,0))),0)))</f>
        <v/>
      </c>
      <c r="N271" s="10">
        <f>IF(OR($H271&lt;&gt;"Y",5&lt;$I271),0,IF(SUMPRODUCT(((BULK_ENABLED="Y")*((BULK_TIER="ALL")+(BULK_TIER=$F271))*((BULK_SKU="ALL")+(BULK_SKU=$G271))*(BULK_START&lt;=5)*(BULK_END&gt;=5)))&gt;0,IFERROR(SUMPRODUCT(((BULK_ENABLED="Y")*((BULK_TIER="ALL")+(BULK_TIER=$F271))*((BULK_SKU="ALL")+(BULK_SKU=$G271))*(BULK_START&lt;=5)*(BULK_END&gt;=5))*IFERROR(BULK_VALUE,0))/MAX(1,SUMPRODUCT(((BULK_ENABLED="Y")*((BULK_TIER="ALL")+(BULK_TIER=$F271))*((BULK_SKU="ALL")+(BULK_SKU=$G271))*(BULK_START&lt;=5)*(BULK_END&gt;=5)))),0),ROUND((INDEX(VELOCITY_TABLE,MATCH($F271,TIER_LIST,0),3))*(IF((5-$I271+1)&lt;=0,0,IF((5-$I271+1)=1,RAMP_W1,IF((5-$I271+1)=2,RAMP_W2,IF((5-$I271+1)=3,RAMP_W3,RAMP_W4PLUS)))))*(INDEX(ACTIVE_MULT_TABLE,3,1))*(1+SUMPRODUCT(SIGN(((ACT_DOOR_SCOPE="ALL")+(ACT_DOOR_SCOPE="TIER_"&amp;$F271)+(ACT_DOOR_SCOPE=$B271)))*SIGN(((ACT_SKU_SCOPE="ALL")+(ACT_SKU_SCOPE=$G271)))*(ACT_START&lt;=5)*(ACT_END&gt;=5)*IFERROR(ACT_UPLIFT-1,0)))*(1+SUMPRODUCT(SIGN(((ACT_DOOR_SCOPE="ALL")+(ACT_DOOR_SCOPE="TIER_"&amp;$F271)+(ACT_DOOR_SCOPE=$B271)))*SIGN(((ACT_SKU_SCOPE="ALL")+(ACT_SKU_SCOPE=$G271)))*(5&gt;ACT_END)*(ACT_END&gt;0)*IFERROR(ACT_POSTLIFT,0))),0)))</f>
        <v/>
      </c>
      <c r="O271" s="10">
        <f>IF(OR($H271&lt;&gt;"Y",6&lt;$I271),0,IF(SUMPRODUCT(((BULK_ENABLED="Y")*((BULK_TIER="ALL")+(BULK_TIER=$F271))*((BULK_SKU="ALL")+(BULK_SKU=$G271))*(BULK_START&lt;=6)*(BULK_END&gt;=6)))&gt;0,IFERROR(SUMPRODUCT(((BULK_ENABLED="Y")*((BULK_TIER="ALL")+(BULK_TIER=$F271))*((BULK_SKU="ALL")+(BULK_SKU=$G271))*(BULK_START&lt;=6)*(BULK_END&gt;=6))*IFERROR(BULK_VALUE,0))/MAX(1,SUMPRODUCT(((BULK_ENABLED="Y")*((BULK_TIER="ALL")+(BULK_TIER=$F271))*((BULK_SKU="ALL")+(BULK_SKU=$G271))*(BULK_START&lt;=6)*(BULK_END&gt;=6)))),0),ROUND((INDEX(VELOCITY_TABLE,MATCH($F271,TIER_LIST,0),3))*(IF((6-$I271+1)&lt;=0,0,IF((6-$I271+1)=1,RAMP_W1,IF((6-$I271+1)=2,RAMP_W2,IF((6-$I271+1)=3,RAMP_W3,RAMP_W4PLUS)))))*(INDEX(ACTIVE_MULT_TABLE,3,1))*(1+SUMPRODUCT(SIGN(((ACT_DOOR_SCOPE="ALL")+(ACT_DOOR_SCOPE="TIER_"&amp;$F271)+(ACT_DOOR_SCOPE=$B271)))*SIGN(((ACT_SKU_SCOPE="ALL")+(ACT_SKU_SCOPE=$G271)))*(ACT_START&lt;=6)*(ACT_END&gt;=6)*IFERROR(ACT_UPLIFT-1,0)))*(1+SUMPRODUCT(SIGN(((ACT_DOOR_SCOPE="ALL")+(ACT_DOOR_SCOPE="TIER_"&amp;$F271)+(ACT_DOOR_SCOPE=$B271)))*SIGN(((ACT_SKU_SCOPE="ALL")+(ACT_SKU_SCOPE=$G271)))*(6&gt;ACT_END)*(ACT_END&gt;0)*IFERROR(ACT_POSTLIFT,0))),0)))</f>
        <v/>
      </c>
      <c r="P271" s="10">
        <f>IF(OR($H271&lt;&gt;"Y",7&lt;$I271),0,IF(SUMPRODUCT(((BULK_ENABLED="Y")*((BULK_TIER="ALL")+(BULK_TIER=$F271))*((BULK_SKU="ALL")+(BULK_SKU=$G271))*(BULK_START&lt;=7)*(BULK_END&gt;=7)))&gt;0,IFERROR(SUMPRODUCT(((BULK_ENABLED="Y")*((BULK_TIER="ALL")+(BULK_TIER=$F271))*((BULK_SKU="ALL")+(BULK_SKU=$G271))*(BULK_START&lt;=7)*(BULK_END&gt;=7))*IFERROR(BULK_VALUE,0))/MAX(1,SUMPRODUCT(((BULK_ENABLED="Y")*((BULK_TIER="ALL")+(BULK_TIER=$F271))*((BULK_SKU="ALL")+(BULK_SKU=$G271))*(BULK_START&lt;=7)*(BULK_END&gt;=7)))),0),ROUND((INDEX(VELOCITY_TABLE,MATCH($F271,TIER_LIST,0),3))*(IF((7-$I271+1)&lt;=0,0,IF((7-$I271+1)=1,RAMP_W1,IF((7-$I271+1)=2,RAMP_W2,IF((7-$I271+1)=3,RAMP_W3,RAMP_W4PLUS)))))*(INDEX(ACTIVE_MULT_TABLE,3,1))*(1+SUMPRODUCT(SIGN(((ACT_DOOR_SCOPE="ALL")+(ACT_DOOR_SCOPE="TIER_"&amp;$F271)+(ACT_DOOR_SCOPE=$B271)))*SIGN(((ACT_SKU_SCOPE="ALL")+(ACT_SKU_SCOPE=$G271)))*(ACT_START&lt;=7)*(ACT_END&gt;=7)*IFERROR(ACT_UPLIFT-1,0)))*(1+SUMPRODUCT(SIGN(((ACT_DOOR_SCOPE="ALL")+(ACT_DOOR_SCOPE="TIER_"&amp;$F271)+(ACT_DOOR_SCOPE=$B271)))*SIGN(((ACT_SKU_SCOPE="ALL")+(ACT_SKU_SCOPE=$G271)))*(7&gt;ACT_END)*(ACT_END&gt;0)*IFERROR(ACT_POSTLIFT,0))),0)))</f>
        <v/>
      </c>
      <c r="Q271" s="10">
        <f>IF(OR($H271&lt;&gt;"Y",8&lt;$I271),0,IF(SUMPRODUCT(((BULK_ENABLED="Y")*((BULK_TIER="ALL")+(BULK_TIER=$F271))*((BULK_SKU="ALL")+(BULK_SKU=$G271))*(BULK_START&lt;=8)*(BULK_END&gt;=8)))&gt;0,IFERROR(SUMPRODUCT(((BULK_ENABLED="Y")*((BULK_TIER="ALL")+(BULK_TIER=$F271))*((BULK_SKU="ALL")+(BULK_SKU=$G271))*(BULK_START&lt;=8)*(BULK_END&gt;=8))*IFERROR(BULK_VALUE,0))/MAX(1,SUMPRODUCT(((BULK_ENABLED="Y")*((BULK_TIER="ALL")+(BULK_TIER=$F271))*((BULK_SKU="ALL")+(BULK_SKU=$G271))*(BULK_START&lt;=8)*(BULK_END&gt;=8)))),0),ROUND((INDEX(VELOCITY_TABLE,MATCH($F271,TIER_LIST,0),3))*(IF((8-$I271+1)&lt;=0,0,IF((8-$I271+1)=1,RAMP_W1,IF((8-$I271+1)=2,RAMP_W2,IF((8-$I271+1)=3,RAMP_W3,RAMP_W4PLUS)))))*(INDEX(ACTIVE_MULT_TABLE,3,1))*(1+SUMPRODUCT(SIGN(((ACT_DOOR_SCOPE="ALL")+(ACT_DOOR_SCOPE="TIER_"&amp;$F271)+(ACT_DOOR_SCOPE=$B271)))*SIGN(((ACT_SKU_SCOPE="ALL")+(ACT_SKU_SCOPE=$G271)))*(ACT_START&lt;=8)*(ACT_END&gt;=8)*IFERROR(ACT_UPLIFT-1,0)))*(1+SUMPRODUCT(SIGN(((ACT_DOOR_SCOPE="ALL")+(ACT_DOOR_SCOPE="TIER_"&amp;$F271)+(ACT_DOOR_SCOPE=$B271)))*SIGN(((ACT_SKU_SCOPE="ALL")+(ACT_SKU_SCOPE=$G271)))*(8&gt;ACT_END)*(ACT_END&gt;0)*IFERROR(ACT_POSTLIFT,0))),0)))</f>
        <v/>
      </c>
      <c r="R271" s="10">
        <f>IF(OR($H271&lt;&gt;"Y",9&lt;$I271),0,IF(SUMPRODUCT(((BULK_ENABLED="Y")*((BULK_TIER="ALL")+(BULK_TIER=$F271))*((BULK_SKU="ALL")+(BULK_SKU=$G271))*(BULK_START&lt;=9)*(BULK_END&gt;=9)))&gt;0,IFERROR(SUMPRODUCT(((BULK_ENABLED="Y")*((BULK_TIER="ALL")+(BULK_TIER=$F271))*((BULK_SKU="ALL")+(BULK_SKU=$G271))*(BULK_START&lt;=9)*(BULK_END&gt;=9))*IFERROR(BULK_VALUE,0))/MAX(1,SUMPRODUCT(((BULK_ENABLED="Y")*((BULK_TIER="ALL")+(BULK_TIER=$F271))*((BULK_SKU="ALL")+(BULK_SKU=$G271))*(BULK_START&lt;=9)*(BULK_END&gt;=9)))),0),ROUND((INDEX(VELOCITY_TABLE,MATCH($F271,TIER_LIST,0),3))*(IF((9-$I271+1)&lt;=0,0,IF((9-$I271+1)=1,RAMP_W1,IF((9-$I271+1)=2,RAMP_W2,IF((9-$I271+1)=3,RAMP_W3,RAMP_W4PLUS)))))*(INDEX(ACTIVE_MULT_TABLE,3,1))*(1+SUMPRODUCT(SIGN(((ACT_DOOR_SCOPE="ALL")+(ACT_DOOR_SCOPE="TIER_"&amp;$F271)+(ACT_DOOR_SCOPE=$B271)))*SIGN(((ACT_SKU_SCOPE="ALL")+(ACT_SKU_SCOPE=$G271)))*(ACT_START&lt;=9)*(ACT_END&gt;=9)*IFERROR(ACT_UPLIFT-1,0)))*(1+SUMPRODUCT(SIGN(((ACT_DOOR_SCOPE="ALL")+(ACT_DOOR_SCOPE="TIER_"&amp;$F271)+(ACT_DOOR_SCOPE=$B271)))*SIGN(((ACT_SKU_SCOPE="ALL")+(ACT_SKU_SCOPE=$G271)))*(9&gt;ACT_END)*(ACT_END&gt;0)*IFERROR(ACT_POSTLIFT,0))),0)))</f>
        <v/>
      </c>
      <c r="S271" s="10">
        <f>IF(OR($H271&lt;&gt;"Y",10&lt;$I271),0,IF(SUMPRODUCT(((BULK_ENABLED="Y")*((BULK_TIER="ALL")+(BULK_TIER=$F271))*((BULK_SKU="ALL")+(BULK_SKU=$G271))*(BULK_START&lt;=10)*(BULK_END&gt;=10)))&gt;0,IFERROR(SUMPRODUCT(((BULK_ENABLED="Y")*((BULK_TIER="ALL")+(BULK_TIER=$F271))*((BULK_SKU="ALL")+(BULK_SKU=$G271))*(BULK_START&lt;=10)*(BULK_END&gt;=10))*IFERROR(BULK_VALUE,0))/MAX(1,SUMPRODUCT(((BULK_ENABLED="Y")*((BULK_TIER="ALL")+(BULK_TIER=$F271))*((BULK_SKU="ALL")+(BULK_SKU=$G271))*(BULK_START&lt;=10)*(BULK_END&gt;=10)))),0),ROUND((INDEX(VELOCITY_TABLE,MATCH($F271,TIER_LIST,0),3))*(IF((10-$I271+1)&lt;=0,0,IF((10-$I271+1)=1,RAMP_W1,IF((10-$I271+1)=2,RAMP_W2,IF((10-$I271+1)=3,RAMP_W3,RAMP_W4PLUS)))))*(INDEX(ACTIVE_MULT_TABLE,3,1))*(1+SUMPRODUCT(SIGN(((ACT_DOOR_SCOPE="ALL")+(ACT_DOOR_SCOPE="TIER_"&amp;$F271)+(ACT_DOOR_SCOPE=$B271)))*SIGN(((ACT_SKU_SCOPE="ALL")+(ACT_SKU_SCOPE=$G271)))*(ACT_START&lt;=10)*(ACT_END&gt;=10)*IFERROR(ACT_UPLIFT-1,0)))*(1+SUMPRODUCT(SIGN(((ACT_DOOR_SCOPE="ALL")+(ACT_DOOR_SCOPE="TIER_"&amp;$F271)+(ACT_DOOR_SCOPE=$B271)))*SIGN(((ACT_SKU_SCOPE="ALL")+(ACT_SKU_SCOPE=$G271)))*(10&gt;ACT_END)*(ACT_END&gt;0)*IFERROR(ACT_POSTLIFT,0))),0)))</f>
        <v/>
      </c>
      <c r="T271" s="10">
        <f>IF(OR($H271&lt;&gt;"Y",11&lt;$I271),0,IF(SUMPRODUCT(((BULK_ENABLED="Y")*((BULK_TIER="ALL")+(BULK_TIER=$F271))*((BULK_SKU="ALL")+(BULK_SKU=$G271))*(BULK_START&lt;=11)*(BULK_END&gt;=11)))&gt;0,IFERROR(SUMPRODUCT(((BULK_ENABLED="Y")*((BULK_TIER="ALL")+(BULK_TIER=$F271))*((BULK_SKU="ALL")+(BULK_SKU=$G271))*(BULK_START&lt;=11)*(BULK_END&gt;=11))*IFERROR(BULK_VALUE,0))/MAX(1,SUMPRODUCT(((BULK_ENABLED="Y")*((BULK_TIER="ALL")+(BULK_TIER=$F271))*((BULK_SKU="ALL")+(BULK_SKU=$G271))*(BULK_START&lt;=11)*(BULK_END&gt;=11)))),0),ROUND((INDEX(VELOCITY_TABLE,MATCH($F271,TIER_LIST,0),3))*(IF((11-$I271+1)&lt;=0,0,IF((11-$I271+1)=1,RAMP_W1,IF((11-$I271+1)=2,RAMP_W2,IF((11-$I271+1)=3,RAMP_W3,RAMP_W4PLUS)))))*(INDEX(ACTIVE_MULT_TABLE,3,1))*(1+SUMPRODUCT(SIGN(((ACT_DOOR_SCOPE="ALL")+(ACT_DOOR_SCOPE="TIER_"&amp;$F271)+(ACT_DOOR_SCOPE=$B271)))*SIGN(((ACT_SKU_SCOPE="ALL")+(ACT_SKU_SCOPE=$G271)))*(ACT_START&lt;=11)*(ACT_END&gt;=11)*IFERROR(ACT_UPLIFT-1,0)))*(1+SUMPRODUCT(SIGN(((ACT_DOOR_SCOPE="ALL")+(ACT_DOOR_SCOPE="TIER_"&amp;$F271)+(ACT_DOOR_SCOPE=$B271)))*SIGN(((ACT_SKU_SCOPE="ALL")+(ACT_SKU_SCOPE=$G271)))*(11&gt;ACT_END)*(ACT_END&gt;0)*IFERROR(ACT_POSTLIFT,0))),0)))</f>
        <v/>
      </c>
      <c r="U271" s="10">
        <f>IF(OR($H271&lt;&gt;"Y",12&lt;$I271),0,IF(SUMPRODUCT(((BULK_ENABLED="Y")*((BULK_TIER="ALL")+(BULK_TIER=$F271))*((BULK_SKU="ALL")+(BULK_SKU=$G271))*(BULK_START&lt;=12)*(BULK_END&gt;=12)))&gt;0,IFERROR(SUMPRODUCT(((BULK_ENABLED="Y")*((BULK_TIER="ALL")+(BULK_TIER=$F271))*((BULK_SKU="ALL")+(BULK_SKU=$G271))*(BULK_START&lt;=12)*(BULK_END&gt;=12))*IFERROR(BULK_VALUE,0))/MAX(1,SUMPRODUCT(((BULK_ENABLED="Y")*((BULK_TIER="ALL")+(BULK_TIER=$F271))*((BULK_SKU="ALL")+(BULK_SKU=$G271))*(BULK_START&lt;=12)*(BULK_END&gt;=12)))),0),ROUND((INDEX(VELOCITY_TABLE,MATCH($F271,TIER_LIST,0),3))*(IF((12-$I271+1)&lt;=0,0,IF((12-$I271+1)=1,RAMP_W1,IF((12-$I271+1)=2,RAMP_W2,IF((12-$I271+1)=3,RAMP_W3,RAMP_W4PLUS)))))*(INDEX(ACTIVE_MULT_TABLE,3,1))*(1+SUMPRODUCT(SIGN(((ACT_DOOR_SCOPE="ALL")+(ACT_DOOR_SCOPE="TIER_"&amp;$F271)+(ACT_DOOR_SCOPE=$B271)))*SIGN(((ACT_SKU_SCOPE="ALL")+(ACT_SKU_SCOPE=$G271)))*(ACT_START&lt;=12)*(ACT_END&gt;=12)*IFERROR(ACT_UPLIFT-1,0)))*(1+SUMPRODUCT(SIGN(((ACT_DOOR_SCOPE="ALL")+(ACT_DOOR_SCOPE="TIER_"&amp;$F271)+(ACT_DOOR_SCOPE=$B271)))*SIGN(((ACT_SKU_SCOPE="ALL")+(ACT_SKU_SCOPE=$G271)))*(12&gt;ACT_END)*(ACT_END&gt;0)*IFERROR(ACT_POSTLIFT,0))),0)))</f>
        <v/>
      </c>
      <c r="V271" s="10">
        <f>IF(OR($H271&lt;&gt;"Y",13&lt;$I271),0,IF(SUMPRODUCT(((BULK_ENABLED="Y")*((BULK_TIER="ALL")+(BULK_TIER=$F271))*((BULK_SKU="ALL")+(BULK_SKU=$G271))*(BULK_START&lt;=13)*(BULK_END&gt;=13)))&gt;0,IFERROR(SUMPRODUCT(((BULK_ENABLED="Y")*((BULK_TIER="ALL")+(BULK_TIER=$F271))*((BULK_SKU="ALL")+(BULK_SKU=$G271))*(BULK_START&lt;=13)*(BULK_END&gt;=13))*IFERROR(BULK_VALUE,0))/MAX(1,SUMPRODUCT(((BULK_ENABLED="Y")*((BULK_TIER="ALL")+(BULK_TIER=$F271))*((BULK_SKU="ALL")+(BULK_SKU=$G271))*(BULK_START&lt;=13)*(BULK_END&gt;=13)))),0),ROUND((INDEX(VELOCITY_TABLE,MATCH($F271,TIER_LIST,0),3))*(IF((13-$I271+1)&lt;=0,0,IF((13-$I271+1)=1,RAMP_W1,IF((13-$I271+1)=2,RAMP_W2,IF((13-$I271+1)=3,RAMP_W3,RAMP_W4PLUS)))))*(INDEX(ACTIVE_MULT_TABLE,3,1))*(1+SUMPRODUCT(SIGN(((ACT_DOOR_SCOPE="ALL")+(ACT_DOOR_SCOPE="TIER_"&amp;$F271)+(ACT_DOOR_SCOPE=$B271)))*SIGN(((ACT_SKU_SCOPE="ALL")+(ACT_SKU_SCOPE=$G271)))*(ACT_START&lt;=13)*(ACT_END&gt;=13)*IFERROR(ACT_UPLIFT-1,0)))*(1+SUMPRODUCT(SIGN(((ACT_DOOR_SCOPE="ALL")+(ACT_DOOR_SCOPE="TIER_"&amp;$F271)+(ACT_DOOR_SCOPE=$B271)))*SIGN(((ACT_SKU_SCOPE="ALL")+(ACT_SKU_SCOPE=$G271)))*(13&gt;ACT_END)*(ACT_END&gt;0)*IFERROR(ACT_POSTLIFT,0))),0)))</f>
        <v/>
      </c>
    </row>
    <row r="272">
      <c r="A272" t="inlineStr">
        <is>
          <t>R0268</t>
        </is>
      </c>
      <c r="B272">
        <f>Doors!$A$94</f>
        <v/>
      </c>
      <c r="C272">
        <f>Doors!$C$94</f>
        <v/>
      </c>
      <c r="D272">
        <f>Doors!$B$94</f>
        <v/>
      </c>
      <c r="E272">
        <f>Doors!$E$94</f>
        <v/>
      </c>
      <c r="F272">
        <f>Doors!$F$94</f>
        <v/>
      </c>
      <c r="G272" t="inlineStr">
        <is>
          <t>Lime Lemon</t>
        </is>
      </c>
      <c r="H272">
        <f>Doors!$G$94</f>
        <v/>
      </c>
      <c r="I272">
        <f>Doors!$J$94</f>
        <v/>
      </c>
      <c r="J272" s="10">
        <f>IF(OR($H272&lt;&gt;"Y",1&lt;$I272),0,IF(SUMPRODUCT(((BULK_ENABLED="Y")*((BULK_TIER="ALL")+(BULK_TIER=$F272))*((BULK_SKU="ALL")+(BULK_SKU=$G272))*(BULK_START&lt;=1)*(BULK_END&gt;=1)))&gt;0,IFERROR(SUMPRODUCT(((BULK_ENABLED="Y")*((BULK_TIER="ALL")+(BULK_TIER=$F272))*((BULK_SKU="ALL")+(BULK_SKU=$G272))*(BULK_START&lt;=1)*(BULK_END&gt;=1))*IFERROR(BULK_VALUE,0))/MAX(1,SUMPRODUCT(((BULK_ENABLED="Y")*((BULK_TIER="ALL")+(BULK_TIER=$F272))*((BULK_SKU="ALL")+(BULK_SKU=$G272))*(BULK_START&lt;=1)*(BULK_END&gt;=1)))),0),ROUND((INDEX(VELOCITY_TABLE,MATCH($F272,TIER_LIST,0),1))*(IF((1-$I272+1)&lt;=0,0,IF((1-$I272+1)=1,RAMP_W1,IF((1-$I272+1)=2,RAMP_W2,IF((1-$I272+1)=3,RAMP_W3,RAMP_W4PLUS)))))*(INDEX(ACTIVE_MULT_TABLE,1,1))*(1+SUMPRODUCT(SIGN(((ACT_DOOR_SCOPE="ALL")+(ACT_DOOR_SCOPE="TIER_"&amp;$F272)+(ACT_DOOR_SCOPE=$B272)))*SIGN(((ACT_SKU_SCOPE="ALL")+(ACT_SKU_SCOPE=$G272)))*(ACT_START&lt;=1)*(ACT_END&gt;=1)*IFERROR(ACT_UPLIFT-1,0)))*(1+SUMPRODUCT(SIGN(((ACT_DOOR_SCOPE="ALL")+(ACT_DOOR_SCOPE="TIER_"&amp;$F272)+(ACT_DOOR_SCOPE=$B272)))*SIGN(((ACT_SKU_SCOPE="ALL")+(ACT_SKU_SCOPE=$G272)))*(1&gt;ACT_END)*(ACT_END&gt;0)*IFERROR(ACT_POSTLIFT,0))),0)))</f>
        <v/>
      </c>
      <c r="K272" s="10">
        <f>IF(OR($H272&lt;&gt;"Y",2&lt;$I272),0,IF(SUMPRODUCT(((BULK_ENABLED="Y")*((BULK_TIER="ALL")+(BULK_TIER=$F272))*((BULK_SKU="ALL")+(BULK_SKU=$G272))*(BULK_START&lt;=2)*(BULK_END&gt;=2)))&gt;0,IFERROR(SUMPRODUCT(((BULK_ENABLED="Y")*((BULK_TIER="ALL")+(BULK_TIER=$F272))*((BULK_SKU="ALL")+(BULK_SKU=$G272))*(BULK_START&lt;=2)*(BULK_END&gt;=2))*IFERROR(BULK_VALUE,0))/MAX(1,SUMPRODUCT(((BULK_ENABLED="Y")*((BULK_TIER="ALL")+(BULK_TIER=$F272))*((BULK_SKU="ALL")+(BULK_SKU=$G272))*(BULK_START&lt;=2)*(BULK_END&gt;=2)))),0),ROUND((INDEX(VELOCITY_TABLE,MATCH($F272,TIER_LIST,0),1))*(IF((2-$I272+1)&lt;=0,0,IF((2-$I272+1)=1,RAMP_W1,IF((2-$I272+1)=2,RAMP_W2,IF((2-$I272+1)=3,RAMP_W3,RAMP_W4PLUS)))))*(INDEX(ACTIVE_MULT_TABLE,1,1))*(1+SUMPRODUCT(SIGN(((ACT_DOOR_SCOPE="ALL")+(ACT_DOOR_SCOPE="TIER_"&amp;$F272)+(ACT_DOOR_SCOPE=$B272)))*SIGN(((ACT_SKU_SCOPE="ALL")+(ACT_SKU_SCOPE=$G272)))*(ACT_START&lt;=2)*(ACT_END&gt;=2)*IFERROR(ACT_UPLIFT-1,0)))*(1+SUMPRODUCT(SIGN(((ACT_DOOR_SCOPE="ALL")+(ACT_DOOR_SCOPE="TIER_"&amp;$F272)+(ACT_DOOR_SCOPE=$B272)))*SIGN(((ACT_SKU_SCOPE="ALL")+(ACT_SKU_SCOPE=$G272)))*(2&gt;ACT_END)*(ACT_END&gt;0)*IFERROR(ACT_POSTLIFT,0))),0)))</f>
        <v/>
      </c>
      <c r="L272" s="10">
        <f>IF(OR($H272&lt;&gt;"Y",3&lt;$I272),0,IF(SUMPRODUCT(((BULK_ENABLED="Y")*((BULK_TIER="ALL")+(BULK_TIER=$F272))*((BULK_SKU="ALL")+(BULK_SKU=$G272))*(BULK_START&lt;=3)*(BULK_END&gt;=3)))&gt;0,IFERROR(SUMPRODUCT(((BULK_ENABLED="Y")*((BULK_TIER="ALL")+(BULK_TIER=$F272))*((BULK_SKU="ALL")+(BULK_SKU=$G272))*(BULK_START&lt;=3)*(BULK_END&gt;=3))*IFERROR(BULK_VALUE,0))/MAX(1,SUMPRODUCT(((BULK_ENABLED="Y")*((BULK_TIER="ALL")+(BULK_TIER=$F272))*((BULK_SKU="ALL")+(BULK_SKU=$G272))*(BULK_START&lt;=3)*(BULK_END&gt;=3)))),0),ROUND((INDEX(VELOCITY_TABLE,MATCH($F272,TIER_LIST,0),1))*(IF((3-$I272+1)&lt;=0,0,IF((3-$I272+1)=1,RAMP_W1,IF((3-$I272+1)=2,RAMP_W2,IF((3-$I272+1)=3,RAMP_W3,RAMP_W4PLUS)))))*(INDEX(ACTIVE_MULT_TABLE,1,1))*(1+SUMPRODUCT(SIGN(((ACT_DOOR_SCOPE="ALL")+(ACT_DOOR_SCOPE="TIER_"&amp;$F272)+(ACT_DOOR_SCOPE=$B272)))*SIGN(((ACT_SKU_SCOPE="ALL")+(ACT_SKU_SCOPE=$G272)))*(ACT_START&lt;=3)*(ACT_END&gt;=3)*IFERROR(ACT_UPLIFT-1,0)))*(1+SUMPRODUCT(SIGN(((ACT_DOOR_SCOPE="ALL")+(ACT_DOOR_SCOPE="TIER_"&amp;$F272)+(ACT_DOOR_SCOPE=$B272)))*SIGN(((ACT_SKU_SCOPE="ALL")+(ACT_SKU_SCOPE=$G272)))*(3&gt;ACT_END)*(ACT_END&gt;0)*IFERROR(ACT_POSTLIFT,0))),0)))</f>
        <v/>
      </c>
      <c r="M272" s="10">
        <f>IF(OR($H272&lt;&gt;"Y",4&lt;$I272),0,IF(SUMPRODUCT(((BULK_ENABLED="Y")*((BULK_TIER="ALL")+(BULK_TIER=$F272))*((BULK_SKU="ALL")+(BULK_SKU=$G272))*(BULK_START&lt;=4)*(BULK_END&gt;=4)))&gt;0,IFERROR(SUMPRODUCT(((BULK_ENABLED="Y")*((BULK_TIER="ALL")+(BULK_TIER=$F272))*((BULK_SKU="ALL")+(BULK_SKU=$G272))*(BULK_START&lt;=4)*(BULK_END&gt;=4))*IFERROR(BULK_VALUE,0))/MAX(1,SUMPRODUCT(((BULK_ENABLED="Y")*((BULK_TIER="ALL")+(BULK_TIER=$F272))*((BULK_SKU="ALL")+(BULK_SKU=$G272))*(BULK_START&lt;=4)*(BULK_END&gt;=4)))),0),ROUND((INDEX(VELOCITY_TABLE,MATCH($F272,TIER_LIST,0),1))*(IF((4-$I272+1)&lt;=0,0,IF((4-$I272+1)=1,RAMP_W1,IF((4-$I272+1)=2,RAMP_W2,IF((4-$I272+1)=3,RAMP_W3,RAMP_W4PLUS)))))*(INDEX(ACTIVE_MULT_TABLE,1,1))*(1+SUMPRODUCT(SIGN(((ACT_DOOR_SCOPE="ALL")+(ACT_DOOR_SCOPE="TIER_"&amp;$F272)+(ACT_DOOR_SCOPE=$B272)))*SIGN(((ACT_SKU_SCOPE="ALL")+(ACT_SKU_SCOPE=$G272)))*(ACT_START&lt;=4)*(ACT_END&gt;=4)*IFERROR(ACT_UPLIFT-1,0)))*(1+SUMPRODUCT(SIGN(((ACT_DOOR_SCOPE="ALL")+(ACT_DOOR_SCOPE="TIER_"&amp;$F272)+(ACT_DOOR_SCOPE=$B272)))*SIGN(((ACT_SKU_SCOPE="ALL")+(ACT_SKU_SCOPE=$G272)))*(4&gt;ACT_END)*(ACT_END&gt;0)*IFERROR(ACT_POSTLIFT,0))),0)))</f>
        <v/>
      </c>
      <c r="N272" s="10">
        <f>IF(OR($H272&lt;&gt;"Y",5&lt;$I272),0,IF(SUMPRODUCT(((BULK_ENABLED="Y")*((BULK_TIER="ALL")+(BULK_TIER=$F272))*((BULK_SKU="ALL")+(BULK_SKU=$G272))*(BULK_START&lt;=5)*(BULK_END&gt;=5)))&gt;0,IFERROR(SUMPRODUCT(((BULK_ENABLED="Y")*((BULK_TIER="ALL")+(BULK_TIER=$F272))*((BULK_SKU="ALL")+(BULK_SKU=$G272))*(BULK_START&lt;=5)*(BULK_END&gt;=5))*IFERROR(BULK_VALUE,0))/MAX(1,SUMPRODUCT(((BULK_ENABLED="Y")*((BULK_TIER="ALL")+(BULK_TIER=$F272))*((BULK_SKU="ALL")+(BULK_SKU=$G272))*(BULK_START&lt;=5)*(BULK_END&gt;=5)))),0),ROUND((INDEX(VELOCITY_TABLE,MATCH($F272,TIER_LIST,0),1))*(IF((5-$I272+1)&lt;=0,0,IF((5-$I272+1)=1,RAMP_W1,IF((5-$I272+1)=2,RAMP_W2,IF((5-$I272+1)=3,RAMP_W3,RAMP_W4PLUS)))))*(INDEX(ACTIVE_MULT_TABLE,1,1))*(1+SUMPRODUCT(SIGN(((ACT_DOOR_SCOPE="ALL")+(ACT_DOOR_SCOPE="TIER_"&amp;$F272)+(ACT_DOOR_SCOPE=$B272)))*SIGN(((ACT_SKU_SCOPE="ALL")+(ACT_SKU_SCOPE=$G272)))*(ACT_START&lt;=5)*(ACT_END&gt;=5)*IFERROR(ACT_UPLIFT-1,0)))*(1+SUMPRODUCT(SIGN(((ACT_DOOR_SCOPE="ALL")+(ACT_DOOR_SCOPE="TIER_"&amp;$F272)+(ACT_DOOR_SCOPE=$B272)))*SIGN(((ACT_SKU_SCOPE="ALL")+(ACT_SKU_SCOPE=$G272)))*(5&gt;ACT_END)*(ACT_END&gt;0)*IFERROR(ACT_POSTLIFT,0))),0)))</f>
        <v/>
      </c>
      <c r="O272" s="10">
        <f>IF(OR($H272&lt;&gt;"Y",6&lt;$I272),0,IF(SUMPRODUCT(((BULK_ENABLED="Y")*((BULK_TIER="ALL")+(BULK_TIER=$F272))*((BULK_SKU="ALL")+(BULK_SKU=$G272))*(BULK_START&lt;=6)*(BULK_END&gt;=6)))&gt;0,IFERROR(SUMPRODUCT(((BULK_ENABLED="Y")*((BULK_TIER="ALL")+(BULK_TIER=$F272))*((BULK_SKU="ALL")+(BULK_SKU=$G272))*(BULK_START&lt;=6)*(BULK_END&gt;=6))*IFERROR(BULK_VALUE,0))/MAX(1,SUMPRODUCT(((BULK_ENABLED="Y")*((BULK_TIER="ALL")+(BULK_TIER=$F272))*((BULK_SKU="ALL")+(BULK_SKU=$G272))*(BULK_START&lt;=6)*(BULK_END&gt;=6)))),0),ROUND((INDEX(VELOCITY_TABLE,MATCH($F272,TIER_LIST,0),1))*(IF((6-$I272+1)&lt;=0,0,IF((6-$I272+1)=1,RAMP_W1,IF((6-$I272+1)=2,RAMP_W2,IF((6-$I272+1)=3,RAMP_W3,RAMP_W4PLUS)))))*(INDEX(ACTIVE_MULT_TABLE,1,1))*(1+SUMPRODUCT(SIGN(((ACT_DOOR_SCOPE="ALL")+(ACT_DOOR_SCOPE="TIER_"&amp;$F272)+(ACT_DOOR_SCOPE=$B272)))*SIGN(((ACT_SKU_SCOPE="ALL")+(ACT_SKU_SCOPE=$G272)))*(ACT_START&lt;=6)*(ACT_END&gt;=6)*IFERROR(ACT_UPLIFT-1,0)))*(1+SUMPRODUCT(SIGN(((ACT_DOOR_SCOPE="ALL")+(ACT_DOOR_SCOPE="TIER_"&amp;$F272)+(ACT_DOOR_SCOPE=$B272)))*SIGN(((ACT_SKU_SCOPE="ALL")+(ACT_SKU_SCOPE=$G272)))*(6&gt;ACT_END)*(ACT_END&gt;0)*IFERROR(ACT_POSTLIFT,0))),0)))</f>
        <v/>
      </c>
      <c r="P272" s="10">
        <f>IF(OR($H272&lt;&gt;"Y",7&lt;$I272),0,IF(SUMPRODUCT(((BULK_ENABLED="Y")*((BULK_TIER="ALL")+(BULK_TIER=$F272))*((BULK_SKU="ALL")+(BULK_SKU=$G272))*(BULK_START&lt;=7)*(BULK_END&gt;=7)))&gt;0,IFERROR(SUMPRODUCT(((BULK_ENABLED="Y")*((BULK_TIER="ALL")+(BULK_TIER=$F272))*((BULK_SKU="ALL")+(BULK_SKU=$G272))*(BULK_START&lt;=7)*(BULK_END&gt;=7))*IFERROR(BULK_VALUE,0))/MAX(1,SUMPRODUCT(((BULK_ENABLED="Y")*((BULK_TIER="ALL")+(BULK_TIER=$F272))*((BULK_SKU="ALL")+(BULK_SKU=$G272))*(BULK_START&lt;=7)*(BULK_END&gt;=7)))),0),ROUND((INDEX(VELOCITY_TABLE,MATCH($F272,TIER_LIST,0),1))*(IF((7-$I272+1)&lt;=0,0,IF((7-$I272+1)=1,RAMP_W1,IF((7-$I272+1)=2,RAMP_W2,IF((7-$I272+1)=3,RAMP_W3,RAMP_W4PLUS)))))*(INDEX(ACTIVE_MULT_TABLE,1,1))*(1+SUMPRODUCT(SIGN(((ACT_DOOR_SCOPE="ALL")+(ACT_DOOR_SCOPE="TIER_"&amp;$F272)+(ACT_DOOR_SCOPE=$B272)))*SIGN(((ACT_SKU_SCOPE="ALL")+(ACT_SKU_SCOPE=$G272)))*(ACT_START&lt;=7)*(ACT_END&gt;=7)*IFERROR(ACT_UPLIFT-1,0)))*(1+SUMPRODUCT(SIGN(((ACT_DOOR_SCOPE="ALL")+(ACT_DOOR_SCOPE="TIER_"&amp;$F272)+(ACT_DOOR_SCOPE=$B272)))*SIGN(((ACT_SKU_SCOPE="ALL")+(ACT_SKU_SCOPE=$G272)))*(7&gt;ACT_END)*(ACT_END&gt;0)*IFERROR(ACT_POSTLIFT,0))),0)))</f>
        <v/>
      </c>
      <c r="Q272" s="10">
        <f>IF(OR($H272&lt;&gt;"Y",8&lt;$I272),0,IF(SUMPRODUCT(((BULK_ENABLED="Y")*((BULK_TIER="ALL")+(BULK_TIER=$F272))*((BULK_SKU="ALL")+(BULK_SKU=$G272))*(BULK_START&lt;=8)*(BULK_END&gt;=8)))&gt;0,IFERROR(SUMPRODUCT(((BULK_ENABLED="Y")*((BULK_TIER="ALL")+(BULK_TIER=$F272))*((BULK_SKU="ALL")+(BULK_SKU=$G272))*(BULK_START&lt;=8)*(BULK_END&gt;=8))*IFERROR(BULK_VALUE,0))/MAX(1,SUMPRODUCT(((BULK_ENABLED="Y")*((BULK_TIER="ALL")+(BULK_TIER=$F272))*((BULK_SKU="ALL")+(BULK_SKU=$G272))*(BULK_START&lt;=8)*(BULK_END&gt;=8)))),0),ROUND((INDEX(VELOCITY_TABLE,MATCH($F272,TIER_LIST,0),1))*(IF((8-$I272+1)&lt;=0,0,IF((8-$I272+1)=1,RAMP_W1,IF((8-$I272+1)=2,RAMP_W2,IF((8-$I272+1)=3,RAMP_W3,RAMP_W4PLUS)))))*(INDEX(ACTIVE_MULT_TABLE,1,1))*(1+SUMPRODUCT(SIGN(((ACT_DOOR_SCOPE="ALL")+(ACT_DOOR_SCOPE="TIER_"&amp;$F272)+(ACT_DOOR_SCOPE=$B272)))*SIGN(((ACT_SKU_SCOPE="ALL")+(ACT_SKU_SCOPE=$G272)))*(ACT_START&lt;=8)*(ACT_END&gt;=8)*IFERROR(ACT_UPLIFT-1,0)))*(1+SUMPRODUCT(SIGN(((ACT_DOOR_SCOPE="ALL")+(ACT_DOOR_SCOPE="TIER_"&amp;$F272)+(ACT_DOOR_SCOPE=$B272)))*SIGN(((ACT_SKU_SCOPE="ALL")+(ACT_SKU_SCOPE=$G272)))*(8&gt;ACT_END)*(ACT_END&gt;0)*IFERROR(ACT_POSTLIFT,0))),0)))</f>
        <v/>
      </c>
      <c r="R272" s="10">
        <f>IF(OR($H272&lt;&gt;"Y",9&lt;$I272),0,IF(SUMPRODUCT(((BULK_ENABLED="Y")*((BULK_TIER="ALL")+(BULK_TIER=$F272))*((BULK_SKU="ALL")+(BULK_SKU=$G272))*(BULK_START&lt;=9)*(BULK_END&gt;=9)))&gt;0,IFERROR(SUMPRODUCT(((BULK_ENABLED="Y")*((BULK_TIER="ALL")+(BULK_TIER=$F272))*((BULK_SKU="ALL")+(BULK_SKU=$G272))*(BULK_START&lt;=9)*(BULK_END&gt;=9))*IFERROR(BULK_VALUE,0))/MAX(1,SUMPRODUCT(((BULK_ENABLED="Y")*((BULK_TIER="ALL")+(BULK_TIER=$F272))*((BULK_SKU="ALL")+(BULK_SKU=$G272))*(BULK_START&lt;=9)*(BULK_END&gt;=9)))),0),ROUND((INDEX(VELOCITY_TABLE,MATCH($F272,TIER_LIST,0),1))*(IF((9-$I272+1)&lt;=0,0,IF((9-$I272+1)=1,RAMP_W1,IF((9-$I272+1)=2,RAMP_W2,IF((9-$I272+1)=3,RAMP_W3,RAMP_W4PLUS)))))*(INDEX(ACTIVE_MULT_TABLE,1,1))*(1+SUMPRODUCT(SIGN(((ACT_DOOR_SCOPE="ALL")+(ACT_DOOR_SCOPE="TIER_"&amp;$F272)+(ACT_DOOR_SCOPE=$B272)))*SIGN(((ACT_SKU_SCOPE="ALL")+(ACT_SKU_SCOPE=$G272)))*(ACT_START&lt;=9)*(ACT_END&gt;=9)*IFERROR(ACT_UPLIFT-1,0)))*(1+SUMPRODUCT(SIGN(((ACT_DOOR_SCOPE="ALL")+(ACT_DOOR_SCOPE="TIER_"&amp;$F272)+(ACT_DOOR_SCOPE=$B272)))*SIGN(((ACT_SKU_SCOPE="ALL")+(ACT_SKU_SCOPE=$G272)))*(9&gt;ACT_END)*(ACT_END&gt;0)*IFERROR(ACT_POSTLIFT,0))),0)))</f>
        <v/>
      </c>
      <c r="S272" s="10">
        <f>IF(OR($H272&lt;&gt;"Y",10&lt;$I272),0,IF(SUMPRODUCT(((BULK_ENABLED="Y")*((BULK_TIER="ALL")+(BULK_TIER=$F272))*((BULK_SKU="ALL")+(BULK_SKU=$G272))*(BULK_START&lt;=10)*(BULK_END&gt;=10)))&gt;0,IFERROR(SUMPRODUCT(((BULK_ENABLED="Y")*((BULK_TIER="ALL")+(BULK_TIER=$F272))*((BULK_SKU="ALL")+(BULK_SKU=$G272))*(BULK_START&lt;=10)*(BULK_END&gt;=10))*IFERROR(BULK_VALUE,0))/MAX(1,SUMPRODUCT(((BULK_ENABLED="Y")*((BULK_TIER="ALL")+(BULK_TIER=$F272))*((BULK_SKU="ALL")+(BULK_SKU=$G272))*(BULK_START&lt;=10)*(BULK_END&gt;=10)))),0),ROUND((INDEX(VELOCITY_TABLE,MATCH($F272,TIER_LIST,0),1))*(IF((10-$I272+1)&lt;=0,0,IF((10-$I272+1)=1,RAMP_W1,IF((10-$I272+1)=2,RAMP_W2,IF((10-$I272+1)=3,RAMP_W3,RAMP_W4PLUS)))))*(INDEX(ACTIVE_MULT_TABLE,1,1))*(1+SUMPRODUCT(SIGN(((ACT_DOOR_SCOPE="ALL")+(ACT_DOOR_SCOPE="TIER_"&amp;$F272)+(ACT_DOOR_SCOPE=$B272)))*SIGN(((ACT_SKU_SCOPE="ALL")+(ACT_SKU_SCOPE=$G272)))*(ACT_START&lt;=10)*(ACT_END&gt;=10)*IFERROR(ACT_UPLIFT-1,0)))*(1+SUMPRODUCT(SIGN(((ACT_DOOR_SCOPE="ALL")+(ACT_DOOR_SCOPE="TIER_"&amp;$F272)+(ACT_DOOR_SCOPE=$B272)))*SIGN(((ACT_SKU_SCOPE="ALL")+(ACT_SKU_SCOPE=$G272)))*(10&gt;ACT_END)*(ACT_END&gt;0)*IFERROR(ACT_POSTLIFT,0))),0)))</f>
        <v/>
      </c>
      <c r="T272" s="10">
        <f>IF(OR($H272&lt;&gt;"Y",11&lt;$I272),0,IF(SUMPRODUCT(((BULK_ENABLED="Y")*((BULK_TIER="ALL")+(BULK_TIER=$F272))*((BULK_SKU="ALL")+(BULK_SKU=$G272))*(BULK_START&lt;=11)*(BULK_END&gt;=11)))&gt;0,IFERROR(SUMPRODUCT(((BULK_ENABLED="Y")*((BULK_TIER="ALL")+(BULK_TIER=$F272))*((BULK_SKU="ALL")+(BULK_SKU=$G272))*(BULK_START&lt;=11)*(BULK_END&gt;=11))*IFERROR(BULK_VALUE,0))/MAX(1,SUMPRODUCT(((BULK_ENABLED="Y")*((BULK_TIER="ALL")+(BULK_TIER=$F272))*((BULK_SKU="ALL")+(BULK_SKU=$G272))*(BULK_START&lt;=11)*(BULK_END&gt;=11)))),0),ROUND((INDEX(VELOCITY_TABLE,MATCH($F272,TIER_LIST,0),1))*(IF((11-$I272+1)&lt;=0,0,IF((11-$I272+1)=1,RAMP_W1,IF((11-$I272+1)=2,RAMP_W2,IF((11-$I272+1)=3,RAMP_W3,RAMP_W4PLUS)))))*(INDEX(ACTIVE_MULT_TABLE,1,1))*(1+SUMPRODUCT(SIGN(((ACT_DOOR_SCOPE="ALL")+(ACT_DOOR_SCOPE="TIER_"&amp;$F272)+(ACT_DOOR_SCOPE=$B272)))*SIGN(((ACT_SKU_SCOPE="ALL")+(ACT_SKU_SCOPE=$G272)))*(ACT_START&lt;=11)*(ACT_END&gt;=11)*IFERROR(ACT_UPLIFT-1,0)))*(1+SUMPRODUCT(SIGN(((ACT_DOOR_SCOPE="ALL")+(ACT_DOOR_SCOPE="TIER_"&amp;$F272)+(ACT_DOOR_SCOPE=$B272)))*SIGN(((ACT_SKU_SCOPE="ALL")+(ACT_SKU_SCOPE=$G272)))*(11&gt;ACT_END)*(ACT_END&gt;0)*IFERROR(ACT_POSTLIFT,0))),0)))</f>
        <v/>
      </c>
      <c r="U272" s="10">
        <f>IF(OR($H272&lt;&gt;"Y",12&lt;$I272),0,IF(SUMPRODUCT(((BULK_ENABLED="Y")*((BULK_TIER="ALL")+(BULK_TIER=$F272))*((BULK_SKU="ALL")+(BULK_SKU=$G272))*(BULK_START&lt;=12)*(BULK_END&gt;=12)))&gt;0,IFERROR(SUMPRODUCT(((BULK_ENABLED="Y")*((BULK_TIER="ALL")+(BULK_TIER=$F272))*((BULK_SKU="ALL")+(BULK_SKU=$G272))*(BULK_START&lt;=12)*(BULK_END&gt;=12))*IFERROR(BULK_VALUE,0))/MAX(1,SUMPRODUCT(((BULK_ENABLED="Y")*((BULK_TIER="ALL")+(BULK_TIER=$F272))*((BULK_SKU="ALL")+(BULK_SKU=$G272))*(BULK_START&lt;=12)*(BULK_END&gt;=12)))),0),ROUND((INDEX(VELOCITY_TABLE,MATCH($F272,TIER_LIST,0),1))*(IF((12-$I272+1)&lt;=0,0,IF((12-$I272+1)=1,RAMP_W1,IF((12-$I272+1)=2,RAMP_W2,IF((12-$I272+1)=3,RAMP_W3,RAMP_W4PLUS)))))*(INDEX(ACTIVE_MULT_TABLE,1,1))*(1+SUMPRODUCT(SIGN(((ACT_DOOR_SCOPE="ALL")+(ACT_DOOR_SCOPE="TIER_"&amp;$F272)+(ACT_DOOR_SCOPE=$B272)))*SIGN(((ACT_SKU_SCOPE="ALL")+(ACT_SKU_SCOPE=$G272)))*(ACT_START&lt;=12)*(ACT_END&gt;=12)*IFERROR(ACT_UPLIFT-1,0)))*(1+SUMPRODUCT(SIGN(((ACT_DOOR_SCOPE="ALL")+(ACT_DOOR_SCOPE="TIER_"&amp;$F272)+(ACT_DOOR_SCOPE=$B272)))*SIGN(((ACT_SKU_SCOPE="ALL")+(ACT_SKU_SCOPE=$G272)))*(12&gt;ACT_END)*(ACT_END&gt;0)*IFERROR(ACT_POSTLIFT,0))),0)))</f>
        <v/>
      </c>
      <c r="V272" s="10">
        <f>IF(OR($H272&lt;&gt;"Y",13&lt;$I272),0,IF(SUMPRODUCT(((BULK_ENABLED="Y")*((BULK_TIER="ALL")+(BULK_TIER=$F272))*((BULK_SKU="ALL")+(BULK_SKU=$G272))*(BULK_START&lt;=13)*(BULK_END&gt;=13)))&gt;0,IFERROR(SUMPRODUCT(((BULK_ENABLED="Y")*((BULK_TIER="ALL")+(BULK_TIER=$F272))*((BULK_SKU="ALL")+(BULK_SKU=$G272))*(BULK_START&lt;=13)*(BULK_END&gt;=13))*IFERROR(BULK_VALUE,0))/MAX(1,SUMPRODUCT(((BULK_ENABLED="Y")*((BULK_TIER="ALL")+(BULK_TIER=$F272))*((BULK_SKU="ALL")+(BULK_SKU=$G272))*(BULK_START&lt;=13)*(BULK_END&gt;=13)))),0),ROUND((INDEX(VELOCITY_TABLE,MATCH($F272,TIER_LIST,0),1))*(IF((13-$I272+1)&lt;=0,0,IF((13-$I272+1)=1,RAMP_W1,IF((13-$I272+1)=2,RAMP_W2,IF((13-$I272+1)=3,RAMP_W3,RAMP_W4PLUS)))))*(INDEX(ACTIVE_MULT_TABLE,1,1))*(1+SUMPRODUCT(SIGN(((ACT_DOOR_SCOPE="ALL")+(ACT_DOOR_SCOPE="TIER_"&amp;$F272)+(ACT_DOOR_SCOPE=$B272)))*SIGN(((ACT_SKU_SCOPE="ALL")+(ACT_SKU_SCOPE=$G272)))*(ACT_START&lt;=13)*(ACT_END&gt;=13)*IFERROR(ACT_UPLIFT-1,0)))*(1+SUMPRODUCT(SIGN(((ACT_DOOR_SCOPE="ALL")+(ACT_DOOR_SCOPE="TIER_"&amp;$F272)+(ACT_DOOR_SCOPE=$B272)))*SIGN(((ACT_SKU_SCOPE="ALL")+(ACT_SKU_SCOPE=$G272)))*(13&gt;ACT_END)*(ACT_END&gt;0)*IFERROR(ACT_POSTLIFT,0))),0)))</f>
        <v/>
      </c>
    </row>
    <row r="273">
      <c r="A273" t="inlineStr">
        <is>
          <t>R0269</t>
        </is>
      </c>
      <c r="B273">
        <f>Doors!$A$94</f>
        <v/>
      </c>
      <c r="C273">
        <f>Doors!$C$94</f>
        <v/>
      </c>
      <c r="D273">
        <f>Doors!$B$94</f>
        <v/>
      </c>
      <c r="E273">
        <f>Doors!$E$94</f>
        <v/>
      </c>
      <c r="F273">
        <f>Doors!$F$94</f>
        <v/>
      </c>
      <c r="G273" t="inlineStr">
        <is>
          <t>Pineapple Passion Fruit</t>
        </is>
      </c>
      <c r="H273">
        <f>Doors!$H$94</f>
        <v/>
      </c>
      <c r="I273">
        <f>Doors!$J$94</f>
        <v/>
      </c>
      <c r="J273" s="10">
        <f>IF(OR($H273&lt;&gt;"Y",1&lt;$I273),0,IF(SUMPRODUCT(((BULK_ENABLED="Y")*((BULK_TIER="ALL")+(BULK_TIER=$F273))*((BULK_SKU="ALL")+(BULK_SKU=$G273))*(BULK_START&lt;=1)*(BULK_END&gt;=1)))&gt;0,IFERROR(SUMPRODUCT(((BULK_ENABLED="Y")*((BULK_TIER="ALL")+(BULK_TIER=$F273))*((BULK_SKU="ALL")+(BULK_SKU=$G273))*(BULK_START&lt;=1)*(BULK_END&gt;=1))*IFERROR(BULK_VALUE,0))/MAX(1,SUMPRODUCT(((BULK_ENABLED="Y")*((BULK_TIER="ALL")+(BULK_TIER=$F273))*((BULK_SKU="ALL")+(BULK_SKU=$G273))*(BULK_START&lt;=1)*(BULK_END&gt;=1)))),0),ROUND((INDEX(VELOCITY_TABLE,MATCH($F273,TIER_LIST,0),2))*(IF((1-$I273+1)&lt;=0,0,IF((1-$I273+1)=1,RAMP_W1,IF((1-$I273+1)=2,RAMP_W2,IF((1-$I273+1)=3,RAMP_W3,RAMP_W4PLUS)))))*(INDEX(ACTIVE_MULT_TABLE,2,1))*(1+SUMPRODUCT(SIGN(((ACT_DOOR_SCOPE="ALL")+(ACT_DOOR_SCOPE="TIER_"&amp;$F273)+(ACT_DOOR_SCOPE=$B273)))*SIGN(((ACT_SKU_SCOPE="ALL")+(ACT_SKU_SCOPE=$G273)))*(ACT_START&lt;=1)*(ACT_END&gt;=1)*IFERROR(ACT_UPLIFT-1,0)))*(1+SUMPRODUCT(SIGN(((ACT_DOOR_SCOPE="ALL")+(ACT_DOOR_SCOPE="TIER_"&amp;$F273)+(ACT_DOOR_SCOPE=$B273)))*SIGN(((ACT_SKU_SCOPE="ALL")+(ACT_SKU_SCOPE=$G273)))*(1&gt;ACT_END)*(ACT_END&gt;0)*IFERROR(ACT_POSTLIFT,0))),0)))</f>
        <v/>
      </c>
      <c r="K273" s="10">
        <f>IF(OR($H273&lt;&gt;"Y",2&lt;$I273),0,IF(SUMPRODUCT(((BULK_ENABLED="Y")*((BULK_TIER="ALL")+(BULK_TIER=$F273))*((BULK_SKU="ALL")+(BULK_SKU=$G273))*(BULK_START&lt;=2)*(BULK_END&gt;=2)))&gt;0,IFERROR(SUMPRODUCT(((BULK_ENABLED="Y")*((BULK_TIER="ALL")+(BULK_TIER=$F273))*((BULK_SKU="ALL")+(BULK_SKU=$G273))*(BULK_START&lt;=2)*(BULK_END&gt;=2))*IFERROR(BULK_VALUE,0))/MAX(1,SUMPRODUCT(((BULK_ENABLED="Y")*((BULK_TIER="ALL")+(BULK_TIER=$F273))*((BULK_SKU="ALL")+(BULK_SKU=$G273))*(BULK_START&lt;=2)*(BULK_END&gt;=2)))),0),ROUND((INDEX(VELOCITY_TABLE,MATCH($F273,TIER_LIST,0),2))*(IF((2-$I273+1)&lt;=0,0,IF((2-$I273+1)=1,RAMP_W1,IF((2-$I273+1)=2,RAMP_W2,IF((2-$I273+1)=3,RAMP_W3,RAMP_W4PLUS)))))*(INDEX(ACTIVE_MULT_TABLE,2,1))*(1+SUMPRODUCT(SIGN(((ACT_DOOR_SCOPE="ALL")+(ACT_DOOR_SCOPE="TIER_"&amp;$F273)+(ACT_DOOR_SCOPE=$B273)))*SIGN(((ACT_SKU_SCOPE="ALL")+(ACT_SKU_SCOPE=$G273)))*(ACT_START&lt;=2)*(ACT_END&gt;=2)*IFERROR(ACT_UPLIFT-1,0)))*(1+SUMPRODUCT(SIGN(((ACT_DOOR_SCOPE="ALL")+(ACT_DOOR_SCOPE="TIER_"&amp;$F273)+(ACT_DOOR_SCOPE=$B273)))*SIGN(((ACT_SKU_SCOPE="ALL")+(ACT_SKU_SCOPE=$G273)))*(2&gt;ACT_END)*(ACT_END&gt;0)*IFERROR(ACT_POSTLIFT,0))),0)))</f>
        <v/>
      </c>
      <c r="L273" s="10">
        <f>IF(OR($H273&lt;&gt;"Y",3&lt;$I273),0,IF(SUMPRODUCT(((BULK_ENABLED="Y")*((BULK_TIER="ALL")+(BULK_TIER=$F273))*((BULK_SKU="ALL")+(BULK_SKU=$G273))*(BULK_START&lt;=3)*(BULK_END&gt;=3)))&gt;0,IFERROR(SUMPRODUCT(((BULK_ENABLED="Y")*((BULK_TIER="ALL")+(BULK_TIER=$F273))*((BULK_SKU="ALL")+(BULK_SKU=$G273))*(BULK_START&lt;=3)*(BULK_END&gt;=3))*IFERROR(BULK_VALUE,0))/MAX(1,SUMPRODUCT(((BULK_ENABLED="Y")*((BULK_TIER="ALL")+(BULK_TIER=$F273))*((BULK_SKU="ALL")+(BULK_SKU=$G273))*(BULK_START&lt;=3)*(BULK_END&gt;=3)))),0),ROUND((INDEX(VELOCITY_TABLE,MATCH($F273,TIER_LIST,0),2))*(IF((3-$I273+1)&lt;=0,0,IF((3-$I273+1)=1,RAMP_W1,IF((3-$I273+1)=2,RAMP_W2,IF((3-$I273+1)=3,RAMP_W3,RAMP_W4PLUS)))))*(INDEX(ACTIVE_MULT_TABLE,2,1))*(1+SUMPRODUCT(SIGN(((ACT_DOOR_SCOPE="ALL")+(ACT_DOOR_SCOPE="TIER_"&amp;$F273)+(ACT_DOOR_SCOPE=$B273)))*SIGN(((ACT_SKU_SCOPE="ALL")+(ACT_SKU_SCOPE=$G273)))*(ACT_START&lt;=3)*(ACT_END&gt;=3)*IFERROR(ACT_UPLIFT-1,0)))*(1+SUMPRODUCT(SIGN(((ACT_DOOR_SCOPE="ALL")+(ACT_DOOR_SCOPE="TIER_"&amp;$F273)+(ACT_DOOR_SCOPE=$B273)))*SIGN(((ACT_SKU_SCOPE="ALL")+(ACT_SKU_SCOPE=$G273)))*(3&gt;ACT_END)*(ACT_END&gt;0)*IFERROR(ACT_POSTLIFT,0))),0)))</f>
        <v/>
      </c>
      <c r="M273" s="10">
        <f>IF(OR($H273&lt;&gt;"Y",4&lt;$I273),0,IF(SUMPRODUCT(((BULK_ENABLED="Y")*((BULK_TIER="ALL")+(BULK_TIER=$F273))*((BULK_SKU="ALL")+(BULK_SKU=$G273))*(BULK_START&lt;=4)*(BULK_END&gt;=4)))&gt;0,IFERROR(SUMPRODUCT(((BULK_ENABLED="Y")*((BULK_TIER="ALL")+(BULK_TIER=$F273))*((BULK_SKU="ALL")+(BULK_SKU=$G273))*(BULK_START&lt;=4)*(BULK_END&gt;=4))*IFERROR(BULK_VALUE,0))/MAX(1,SUMPRODUCT(((BULK_ENABLED="Y")*((BULK_TIER="ALL")+(BULK_TIER=$F273))*((BULK_SKU="ALL")+(BULK_SKU=$G273))*(BULK_START&lt;=4)*(BULK_END&gt;=4)))),0),ROUND((INDEX(VELOCITY_TABLE,MATCH($F273,TIER_LIST,0),2))*(IF((4-$I273+1)&lt;=0,0,IF((4-$I273+1)=1,RAMP_W1,IF((4-$I273+1)=2,RAMP_W2,IF((4-$I273+1)=3,RAMP_W3,RAMP_W4PLUS)))))*(INDEX(ACTIVE_MULT_TABLE,2,1))*(1+SUMPRODUCT(SIGN(((ACT_DOOR_SCOPE="ALL")+(ACT_DOOR_SCOPE="TIER_"&amp;$F273)+(ACT_DOOR_SCOPE=$B273)))*SIGN(((ACT_SKU_SCOPE="ALL")+(ACT_SKU_SCOPE=$G273)))*(ACT_START&lt;=4)*(ACT_END&gt;=4)*IFERROR(ACT_UPLIFT-1,0)))*(1+SUMPRODUCT(SIGN(((ACT_DOOR_SCOPE="ALL")+(ACT_DOOR_SCOPE="TIER_"&amp;$F273)+(ACT_DOOR_SCOPE=$B273)))*SIGN(((ACT_SKU_SCOPE="ALL")+(ACT_SKU_SCOPE=$G273)))*(4&gt;ACT_END)*(ACT_END&gt;0)*IFERROR(ACT_POSTLIFT,0))),0)))</f>
        <v/>
      </c>
      <c r="N273" s="10">
        <f>IF(OR($H273&lt;&gt;"Y",5&lt;$I273),0,IF(SUMPRODUCT(((BULK_ENABLED="Y")*((BULK_TIER="ALL")+(BULK_TIER=$F273))*((BULK_SKU="ALL")+(BULK_SKU=$G273))*(BULK_START&lt;=5)*(BULK_END&gt;=5)))&gt;0,IFERROR(SUMPRODUCT(((BULK_ENABLED="Y")*((BULK_TIER="ALL")+(BULK_TIER=$F273))*((BULK_SKU="ALL")+(BULK_SKU=$G273))*(BULK_START&lt;=5)*(BULK_END&gt;=5))*IFERROR(BULK_VALUE,0))/MAX(1,SUMPRODUCT(((BULK_ENABLED="Y")*((BULK_TIER="ALL")+(BULK_TIER=$F273))*((BULK_SKU="ALL")+(BULK_SKU=$G273))*(BULK_START&lt;=5)*(BULK_END&gt;=5)))),0),ROUND((INDEX(VELOCITY_TABLE,MATCH($F273,TIER_LIST,0),2))*(IF((5-$I273+1)&lt;=0,0,IF((5-$I273+1)=1,RAMP_W1,IF((5-$I273+1)=2,RAMP_W2,IF((5-$I273+1)=3,RAMP_W3,RAMP_W4PLUS)))))*(INDEX(ACTIVE_MULT_TABLE,2,1))*(1+SUMPRODUCT(SIGN(((ACT_DOOR_SCOPE="ALL")+(ACT_DOOR_SCOPE="TIER_"&amp;$F273)+(ACT_DOOR_SCOPE=$B273)))*SIGN(((ACT_SKU_SCOPE="ALL")+(ACT_SKU_SCOPE=$G273)))*(ACT_START&lt;=5)*(ACT_END&gt;=5)*IFERROR(ACT_UPLIFT-1,0)))*(1+SUMPRODUCT(SIGN(((ACT_DOOR_SCOPE="ALL")+(ACT_DOOR_SCOPE="TIER_"&amp;$F273)+(ACT_DOOR_SCOPE=$B273)))*SIGN(((ACT_SKU_SCOPE="ALL")+(ACT_SKU_SCOPE=$G273)))*(5&gt;ACT_END)*(ACT_END&gt;0)*IFERROR(ACT_POSTLIFT,0))),0)))</f>
        <v/>
      </c>
      <c r="O273" s="10">
        <f>IF(OR($H273&lt;&gt;"Y",6&lt;$I273),0,IF(SUMPRODUCT(((BULK_ENABLED="Y")*((BULK_TIER="ALL")+(BULK_TIER=$F273))*((BULK_SKU="ALL")+(BULK_SKU=$G273))*(BULK_START&lt;=6)*(BULK_END&gt;=6)))&gt;0,IFERROR(SUMPRODUCT(((BULK_ENABLED="Y")*((BULK_TIER="ALL")+(BULK_TIER=$F273))*((BULK_SKU="ALL")+(BULK_SKU=$G273))*(BULK_START&lt;=6)*(BULK_END&gt;=6))*IFERROR(BULK_VALUE,0))/MAX(1,SUMPRODUCT(((BULK_ENABLED="Y")*((BULK_TIER="ALL")+(BULK_TIER=$F273))*((BULK_SKU="ALL")+(BULK_SKU=$G273))*(BULK_START&lt;=6)*(BULK_END&gt;=6)))),0),ROUND((INDEX(VELOCITY_TABLE,MATCH($F273,TIER_LIST,0),2))*(IF((6-$I273+1)&lt;=0,0,IF((6-$I273+1)=1,RAMP_W1,IF((6-$I273+1)=2,RAMP_W2,IF((6-$I273+1)=3,RAMP_W3,RAMP_W4PLUS)))))*(INDEX(ACTIVE_MULT_TABLE,2,1))*(1+SUMPRODUCT(SIGN(((ACT_DOOR_SCOPE="ALL")+(ACT_DOOR_SCOPE="TIER_"&amp;$F273)+(ACT_DOOR_SCOPE=$B273)))*SIGN(((ACT_SKU_SCOPE="ALL")+(ACT_SKU_SCOPE=$G273)))*(ACT_START&lt;=6)*(ACT_END&gt;=6)*IFERROR(ACT_UPLIFT-1,0)))*(1+SUMPRODUCT(SIGN(((ACT_DOOR_SCOPE="ALL")+(ACT_DOOR_SCOPE="TIER_"&amp;$F273)+(ACT_DOOR_SCOPE=$B273)))*SIGN(((ACT_SKU_SCOPE="ALL")+(ACT_SKU_SCOPE=$G273)))*(6&gt;ACT_END)*(ACT_END&gt;0)*IFERROR(ACT_POSTLIFT,0))),0)))</f>
        <v/>
      </c>
      <c r="P273" s="10">
        <f>IF(OR($H273&lt;&gt;"Y",7&lt;$I273),0,IF(SUMPRODUCT(((BULK_ENABLED="Y")*((BULK_TIER="ALL")+(BULK_TIER=$F273))*((BULK_SKU="ALL")+(BULK_SKU=$G273))*(BULK_START&lt;=7)*(BULK_END&gt;=7)))&gt;0,IFERROR(SUMPRODUCT(((BULK_ENABLED="Y")*((BULK_TIER="ALL")+(BULK_TIER=$F273))*((BULK_SKU="ALL")+(BULK_SKU=$G273))*(BULK_START&lt;=7)*(BULK_END&gt;=7))*IFERROR(BULK_VALUE,0))/MAX(1,SUMPRODUCT(((BULK_ENABLED="Y")*((BULK_TIER="ALL")+(BULK_TIER=$F273))*((BULK_SKU="ALL")+(BULK_SKU=$G273))*(BULK_START&lt;=7)*(BULK_END&gt;=7)))),0),ROUND((INDEX(VELOCITY_TABLE,MATCH($F273,TIER_LIST,0),2))*(IF((7-$I273+1)&lt;=0,0,IF((7-$I273+1)=1,RAMP_W1,IF((7-$I273+1)=2,RAMP_W2,IF((7-$I273+1)=3,RAMP_W3,RAMP_W4PLUS)))))*(INDEX(ACTIVE_MULT_TABLE,2,1))*(1+SUMPRODUCT(SIGN(((ACT_DOOR_SCOPE="ALL")+(ACT_DOOR_SCOPE="TIER_"&amp;$F273)+(ACT_DOOR_SCOPE=$B273)))*SIGN(((ACT_SKU_SCOPE="ALL")+(ACT_SKU_SCOPE=$G273)))*(ACT_START&lt;=7)*(ACT_END&gt;=7)*IFERROR(ACT_UPLIFT-1,0)))*(1+SUMPRODUCT(SIGN(((ACT_DOOR_SCOPE="ALL")+(ACT_DOOR_SCOPE="TIER_"&amp;$F273)+(ACT_DOOR_SCOPE=$B273)))*SIGN(((ACT_SKU_SCOPE="ALL")+(ACT_SKU_SCOPE=$G273)))*(7&gt;ACT_END)*(ACT_END&gt;0)*IFERROR(ACT_POSTLIFT,0))),0)))</f>
        <v/>
      </c>
      <c r="Q273" s="10">
        <f>IF(OR($H273&lt;&gt;"Y",8&lt;$I273),0,IF(SUMPRODUCT(((BULK_ENABLED="Y")*((BULK_TIER="ALL")+(BULK_TIER=$F273))*((BULK_SKU="ALL")+(BULK_SKU=$G273))*(BULK_START&lt;=8)*(BULK_END&gt;=8)))&gt;0,IFERROR(SUMPRODUCT(((BULK_ENABLED="Y")*((BULK_TIER="ALL")+(BULK_TIER=$F273))*((BULK_SKU="ALL")+(BULK_SKU=$G273))*(BULK_START&lt;=8)*(BULK_END&gt;=8))*IFERROR(BULK_VALUE,0))/MAX(1,SUMPRODUCT(((BULK_ENABLED="Y")*((BULK_TIER="ALL")+(BULK_TIER=$F273))*((BULK_SKU="ALL")+(BULK_SKU=$G273))*(BULK_START&lt;=8)*(BULK_END&gt;=8)))),0),ROUND((INDEX(VELOCITY_TABLE,MATCH($F273,TIER_LIST,0),2))*(IF((8-$I273+1)&lt;=0,0,IF((8-$I273+1)=1,RAMP_W1,IF((8-$I273+1)=2,RAMP_W2,IF((8-$I273+1)=3,RAMP_W3,RAMP_W4PLUS)))))*(INDEX(ACTIVE_MULT_TABLE,2,1))*(1+SUMPRODUCT(SIGN(((ACT_DOOR_SCOPE="ALL")+(ACT_DOOR_SCOPE="TIER_"&amp;$F273)+(ACT_DOOR_SCOPE=$B273)))*SIGN(((ACT_SKU_SCOPE="ALL")+(ACT_SKU_SCOPE=$G273)))*(ACT_START&lt;=8)*(ACT_END&gt;=8)*IFERROR(ACT_UPLIFT-1,0)))*(1+SUMPRODUCT(SIGN(((ACT_DOOR_SCOPE="ALL")+(ACT_DOOR_SCOPE="TIER_"&amp;$F273)+(ACT_DOOR_SCOPE=$B273)))*SIGN(((ACT_SKU_SCOPE="ALL")+(ACT_SKU_SCOPE=$G273)))*(8&gt;ACT_END)*(ACT_END&gt;0)*IFERROR(ACT_POSTLIFT,0))),0)))</f>
        <v/>
      </c>
      <c r="R273" s="10">
        <f>IF(OR($H273&lt;&gt;"Y",9&lt;$I273),0,IF(SUMPRODUCT(((BULK_ENABLED="Y")*((BULK_TIER="ALL")+(BULK_TIER=$F273))*((BULK_SKU="ALL")+(BULK_SKU=$G273))*(BULK_START&lt;=9)*(BULK_END&gt;=9)))&gt;0,IFERROR(SUMPRODUCT(((BULK_ENABLED="Y")*((BULK_TIER="ALL")+(BULK_TIER=$F273))*((BULK_SKU="ALL")+(BULK_SKU=$G273))*(BULK_START&lt;=9)*(BULK_END&gt;=9))*IFERROR(BULK_VALUE,0))/MAX(1,SUMPRODUCT(((BULK_ENABLED="Y")*((BULK_TIER="ALL")+(BULK_TIER=$F273))*((BULK_SKU="ALL")+(BULK_SKU=$G273))*(BULK_START&lt;=9)*(BULK_END&gt;=9)))),0),ROUND((INDEX(VELOCITY_TABLE,MATCH($F273,TIER_LIST,0),2))*(IF((9-$I273+1)&lt;=0,0,IF((9-$I273+1)=1,RAMP_W1,IF((9-$I273+1)=2,RAMP_W2,IF((9-$I273+1)=3,RAMP_W3,RAMP_W4PLUS)))))*(INDEX(ACTIVE_MULT_TABLE,2,1))*(1+SUMPRODUCT(SIGN(((ACT_DOOR_SCOPE="ALL")+(ACT_DOOR_SCOPE="TIER_"&amp;$F273)+(ACT_DOOR_SCOPE=$B273)))*SIGN(((ACT_SKU_SCOPE="ALL")+(ACT_SKU_SCOPE=$G273)))*(ACT_START&lt;=9)*(ACT_END&gt;=9)*IFERROR(ACT_UPLIFT-1,0)))*(1+SUMPRODUCT(SIGN(((ACT_DOOR_SCOPE="ALL")+(ACT_DOOR_SCOPE="TIER_"&amp;$F273)+(ACT_DOOR_SCOPE=$B273)))*SIGN(((ACT_SKU_SCOPE="ALL")+(ACT_SKU_SCOPE=$G273)))*(9&gt;ACT_END)*(ACT_END&gt;0)*IFERROR(ACT_POSTLIFT,0))),0)))</f>
        <v/>
      </c>
      <c r="S273" s="10">
        <f>IF(OR($H273&lt;&gt;"Y",10&lt;$I273),0,IF(SUMPRODUCT(((BULK_ENABLED="Y")*((BULK_TIER="ALL")+(BULK_TIER=$F273))*((BULK_SKU="ALL")+(BULK_SKU=$G273))*(BULK_START&lt;=10)*(BULK_END&gt;=10)))&gt;0,IFERROR(SUMPRODUCT(((BULK_ENABLED="Y")*((BULK_TIER="ALL")+(BULK_TIER=$F273))*((BULK_SKU="ALL")+(BULK_SKU=$G273))*(BULK_START&lt;=10)*(BULK_END&gt;=10))*IFERROR(BULK_VALUE,0))/MAX(1,SUMPRODUCT(((BULK_ENABLED="Y")*((BULK_TIER="ALL")+(BULK_TIER=$F273))*((BULK_SKU="ALL")+(BULK_SKU=$G273))*(BULK_START&lt;=10)*(BULK_END&gt;=10)))),0),ROUND((INDEX(VELOCITY_TABLE,MATCH($F273,TIER_LIST,0),2))*(IF((10-$I273+1)&lt;=0,0,IF((10-$I273+1)=1,RAMP_W1,IF((10-$I273+1)=2,RAMP_W2,IF((10-$I273+1)=3,RAMP_W3,RAMP_W4PLUS)))))*(INDEX(ACTIVE_MULT_TABLE,2,1))*(1+SUMPRODUCT(SIGN(((ACT_DOOR_SCOPE="ALL")+(ACT_DOOR_SCOPE="TIER_"&amp;$F273)+(ACT_DOOR_SCOPE=$B273)))*SIGN(((ACT_SKU_SCOPE="ALL")+(ACT_SKU_SCOPE=$G273)))*(ACT_START&lt;=10)*(ACT_END&gt;=10)*IFERROR(ACT_UPLIFT-1,0)))*(1+SUMPRODUCT(SIGN(((ACT_DOOR_SCOPE="ALL")+(ACT_DOOR_SCOPE="TIER_"&amp;$F273)+(ACT_DOOR_SCOPE=$B273)))*SIGN(((ACT_SKU_SCOPE="ALL")+(ACT_SKU_SCOPE=$G273)))*(10&gt;ACT_END)*(ACT_END&gt;0)*IFERROR(ACT_POSTLIFT,0))),0)))</f>
        <v/>
      </c>
      <c r="T273" s="10">
        <f>IF(OR($H273&lt;&gt;"Y",11&lt;$I273),0,IF(SUMPRODUCT(((BULK_ENABLED="Y")*((BULK_TIER="ALL")+(BULK_TIER=$F273))*((BULK_SKU="ALL")+(BULK_SKU=$G273))*(BULK_START&lt;=11)*(BULK_END&gt;=11)))&gt;0,IFERROR(SUMPRODUCT(((BULK_ENABLED="Y")*((BULK_TIER="ALL")+(BULK_TIER=$F273))*((BULK_SKU="ALL")+(BULK_SKU=$G273))*(BULK_START&lt;=11)*(BULK_END&gt;=11))*IFERROR(BULK_VALUE,0))/MAX(1,SUMPRODUCT(((BULK_ENABLED="Y")*((BULK_TIER="ALL")+(BULK_TIER=$F273))*((BULK_SKU="ALL")+(BULK_SKU=$G273))*(BULK_START&lt;=11)*(BULK_END&gt;=11)))),0),ROUND((INDEX(VELOCITY_TABLE,MATCH($F273,TIER_LIST,0),2))*(IF((11-$I273+1)&lt;=0,0,IF((11-$I273+1)=1,RAMP_W1,IF((11-$I273+1)=2,RAMP_W2,IF((11-$I273+1)=3,RAMP_W3,RAMP_W4PLUS)))))*(INDEX(ACTIVE_MULT_TABLE,2,1))*(1+SUMPRODUCT(SIGN(((ACT_DOOR_SCOPE="ALL")+(ACT_DOOR_SCOPE="TIER_"&amp;$F273)+(ACT_DOOR_SCOPE=$B273)))*SIGN(((ACT_SKU_SCOPE="ALL")+(ACT_SKU_SCOPE=$G273)))*(ACT_START&lt;=11)*(ACT_END&gt;=11)*IFERROR(ACT_UPLIFT-1,0)))*(1+SUMPRODUCT(SIGN(((ACT_DOOR_SCOPE="ALL")+(ACT_DOOR_SCOPE="TIER_"&amp;$F273)+(ACT_DOOR_SCOPE=$B273)))*SIGN(((ACT_SKU_SCOPE="ALL")+(ACT_SKU_SCOPE=$G273)))*(11&gt;ACT_END)*(ACT_END&gt;0)*IFERROR(ACT_POSTLIFT,0))),0)))</f>
        <v/>
      </c>
      <c r="U273" s="10">
        <f>IF(OR($H273&lt;&gt;"Y",12&lt;$I273),0,IF(SUMPRODUCT(((BULK_ENABLED="Y")*((BULK_TIER="ALL")+(BULK_TIER=$F273))*((BULK_SKU="ALL")+(BULK_SKU=$G273))*(BULK_START&lt;=12)*(BULK_END&gt;=12)))&gt;0,IFERROR(SUMPRODUCT(((BULK_ENABLED="Y")*((BULK_TIER="ALL")+(BULK_TIER=$F273))*((BULK_SKU="ALL")+(BULK_SKU=$G273))*(BULK_START&lt;=12)*(BULK_END&gt;=12))*IFERROR(BULK_VALUE,0))/MAX(1,SUMPRODUCT(((BULK_ENABLED="Y")*((BULK_TIER="ALL")+(BULK_TIER=$F273))*((BULK_SKU="ALL")+(BULK_SKU=$G273))*(BULK_START&lt;=12)*(BULK_END&gt;=12)))),0),ROUND((INDEX(VELOCITY_TABLE,MATCH($F273,TIER_LIST,0),2))*(IF((12-$I273+1)&lt;=0,0,IF((12-$I273+1)=1,RAMP_W1,IF((12-$I273+1)=2,RAMP_W2,IF((12-$I273+1)=3,RAMP_W3,RAMP_W4PLUS)))))*(INDEX(ACTIVE_MULT_TABLE,2,1))*(1+SUMPRODUCT(SIGN(((ACT_DOOR_SCOPE="ALL")+(ACT_DOOR_SCOPE="TIER_"&amp;$F273)+(ACT_DOOR_SCOPE=$B273)))*SIGN(((ACT_SKU_SCOPE="ALL")+(ACT_SKU_SCOPE=$G273)))*(ACT_START&lt;=12)*(ACT_END&gt;=12)*IFERROR(ACT_UPLIFT-1,0)))*(1+SUMPRODUCT(SIGN(((ACT_DOOR_SCOPE="ALL")+(ACT_DOOR_SCOPE="TIER_"&amp;$F273)+(ACT_DOOR_SCOPE=$B273)))*SIGN(((ACT_SKU_SCOPE="ALL")+(ACT_SKU_SCOPE=$G273)))*(12&gt;ACT_END)*(ACT_END&gt;0)*IFERROR(ACT_POSTLIFT,0))),0)))</f>
        <v/>
      </c>
      <c r="V273" s="10">
        <f>IF(OR($H273&lt;&gt;"Y",13&lt;$I273),0,IF(SUMPRODUCT(((BULK_ENABLED="Y")*((BULK_TIER="ALL")+(BULK_TIER=$F273))*((BULK_SKU="ALL")+(BULK_SKU=$G273))*(BULK_START&lt;=13)*(BULK_END&gt;=13)))&gt;0,IFERROR(SUMPRODUCT(((BULK_ENABLED="Y")*((BULK_TIER="ALL")+(BULK_TIER=$F273))*((BULK_SKU="ALL")+(BULK_SKU=$G273))*(BULK_START&lt;=13)*(BULK_END&gt;=13))*IFERROR(BULK_VALUE,0))/MAX(1,SUMPRODUCT(((BULK_ENABLED="Y")*((BULK_TIER="ALL")+(BULK_TIER=$F273))*((BULK_SKU="ALL")+(BULK_SKU=$G273))*(BULK_START&lt;=13)*(BULK_END&gt;=13)))),0),ROUND((INDEX(VELOCITY_TABLE,MATCH($F273,TIER_LIST,0),2))*(IF((13-$I273+1)&lt;=0,0,IF((13-$I273+1)=1,RAMP_W1,IF((13-$I273+1)=2,RAMP_W2,IF((13-$I273+1)=3,RAMP_W3,RAMP_W4PLUS)))))*(INDEX(ACTIVE_MULT_TABLE,2,1))*(1+SUMPRODUCT(SIGN(((ACT_DOOR_SCOPE="ALL")+(ACT_DOOR_SCOPE="TIER_"&amp;$F273)+(ACT_DOOR_SCOPE=$B273)))*SIGN(((ACT_SKU_SCOPE="ALL")+(ACT_SKU_SCOPE=$G273)))*(ACT_START&lt;=13)*(ACT_END&gt;=13)*IFERROR(ACT_UPLIFT-1,0)))*(1+SUMPRODUCT(SIGN(((ACT_DOOR_SCOPE="ALL")+(ACT_DOOR_SCOPE="TIER_"&amp;$F273)+(ACT_DOOR_SCOPE=$B273)))*SIGN(((ACT_SKU_SCOPE="ALL")+(ACT_SKU_SCOPE=$G273)))*(13&gt;ACT_END)*(ACT_END&gt;0)*IFERROR(ACT_POSTLIFT,0))),0)))</f>
        <v/>
      </c>
    </row>
    <row r="274">
      <c r="A274" t="inlineStr">
        <is>
          <t>R0270</t>
        </is>
      </c>
      <c r="B274">
        <f>Doors!$A$94</f>
        <v/>
      </c>
      <c r="C274">
        <f>Doors!$C$94</f>
        <v/>
      </c>
      <c r="D274">
        <f>Doors!$B$94</f>
        <v/>
      </c>
      <c r="E274">
        <f>Doors!$E$94</f>
        <v/>
      </c>
      <c r="F274">
        <f>Doors!$F$94</f>
        <v/>
      </c>
      <c r="G274" t="inlineStr">
        <is>
          <t>Raspberry</t>
        </is>
      </c>
      <c r="H274">
        <f>Doors!$I$94</f>
        <v/>
      </c>
      <c r="I274">
        <f>Doors!$J$94</f>
        <v/>
      </c>
      <c r="J274" s="10">
        <f>IF(OR($H274&lt;&gt;"Y",1&lt;$I274),0,IF(SUMPRODUCT(((BULK_ENABLED="Y")*((BULK_TIER="ALL")+(BULK_TIER=$F274))*((BULK_SKU="ALL")+(BULK_SKU=$G274))*(BULK_START&lt;=1)*(BULK_END&gt;=1)))&gt;0,IFERROR(SUMPRODUCT(((BULK_ENABLED="Y")*((BULK_TIER="ALL")+(BULK_TIER=$F274))*((BULK_SKU="ALL")+(BULK_SKU=$G274))*(BULK_START&lt;=1)*(BULK_END&gt;=1))*IFERROR(BULK_VALUE,0))/MAX(1,SUMPRODUCT(((BULK_ENABLED="Y")*((BULK_TIER="ALL")+(BULK_TIER=$F274))*((BULK_SKU="ALL")+(BULK_SKU=$G274))*(BULK_START&lt;=1)*(BULK_END&gt;=1)))),0),ROUND((INDEX(VELOCITY_TABLE,MATCH($F274,TIER_LIST,0),3))*(IF((1-$I274+1)&lt;=0,0,IF((1-$I274+1)=1,RAMP_W1,IF((1-$I274+1)=2,RAMP_W2,IF((1-$I274+1)=3,RAMP_W3,RAMP_W4PLUS)))))*(INDEX(ACTIVE_MULT_TABLE,3,1))*(1+SUMPRODUCT(SIGN(((ACT_DOOR_SCOPE="ALL")+(ACT_DOOR_SCOPE="TIER_"&amp;$F274)+(ACT_DOOR_SCOPE=$B274)))*SIGN(((ACT_SKU_SCOPE="ALL")+(ACT_SKU_SCOPE=$G274)))*(ACT_START&lt;=1)*(ACT_END&gt;=1)*IFERROR(ACT_UPLIFT-1,0)))*(1+SUMPRODUCT(SIGN(((ACT_DOOR_SCOPE="ALL")+(ACT_DOOR_SCOPE="TIER_"&amp;$F274)+(ACT_DOOR_SCOPE=$B274)))*SIGN(((ACT_SKU_SCOPE="ALL")+(ACT_SKU_SCOPE=$G274)))*(1&gt;ACT_END)*(ACT_END&gt;0)*IFERROR(ACT_POSTLIFT,0))),0)))</f>
        <v/>
      </c>
      <c r="K274" s="10">
        <f>IF(OR($H274&lt;&gt;"Y",2&lt;$I274),0,IF(SUMPRODUCT(((BULK_ENABLED="Y")*((BULK_TIER="ALL")+(BULK_TIER=$F274))*((BULK_SKU="ALL")+(BULK_SKU=$G274))*(BULK_START&lt;=2)*(BULK_END&gt;=2)))&gt;0,IFERROR(SUMPRODUCT(((BULK_ENABLED="Y")*((BULK_TIER="ALL")+(BULK_TIER=$F274))*((BULK_SKU="ALL")+(BULK_SKU=$G274))*(BULK_START&lt;=2)*(BULK_END&gt;=2))*IFERROR(BULK_VALUE,0))/MAX(1,SUMPRODUCT(((BULK_ENABLED="Y")*((BULK_TIER="ALL")+(BULK_TIER=$F274))*((BULK_SKU="ALL")+(BULK_SKU=$G274))*(BULK_START&lt;=2)*(BULK_END&gt;=2)))),0),ROUND((INDEX(VELOCITY_TABLE,MATCH($F274,TIER_LIST,0),3))*(IF((2-$I274+1)&lt;=0,0,IF((2-$I274+1)=1,RAMP_W1,IF((2-$I274+1)=2,RAMP_W2,IF((2-$I274+1)=3,RAMP_W3,RAMP_W4PLUS)))))*(INDEX(ACTIVE_MULT_TABLE,3,1))*(1+SUMPRODUCT(SIGN(((ACT_DOOR_SCOPE="ALL")+(ACT_DOOR_SCOPE="TIER_"&amp;$F274)+(ACT_DOOR_SCOPE=$B274)))*SIGN(((ACT_SKU_SCOPE="ALL")+(ACT_SKU_SCOPE=$G274)))*(ACT_START&lt;=2)*(ACT_END&gt;=2)*IFERROR(ACT_UPLIFT-1,0)))*(1+SUMPRODUCT(SIGN(((ACT_DOOR_SCOPE="ALL")+(ACT_DOOR_SCOPE="TIER_"&amp;$F274)+(ACT_DOOR_SCOPE=$B274)))*SIGN(((ACT_SKU_SCOPE="ALL")+(ACT_SKU_SCOPE=$G274)))*(2&gt;ACT_END)*(ACT_END&gt;0)*IFERROR(ACT_POSTLIFT,0))),0)))</f>
        <v/>
      </c>
      <c r="L274" s="10">
        <f>IF(OR($H274&lt;&gt;"Y",3&lt;$I274),0,IF(SUMPRODUCT(((BULK_ENABLED="Y")*((BULK_TIER="ALL")+(BULK_TIER=$F274))*((BULK_SKU="ALL")+(BULK_SKU=$G274))*(BULK_START&lt;=3)*(BULK_END&gt;=3)))&gt;0,IFERROR(SUMPRODUCT(((BULK_ENABLED="Y")*((BULK_TIER="ALL")+(BULK_TIER=$F274))*((BULK_SKU="ALL")+(BULK_SKU=$G274))*(BULK_START&lt;=3)*(BULK_END&gt;=3))*IFERROR(BULK_VALUE,0))/MAX(1,SUMPRODUCT(((BULK_ENABLED="Y")*((BULK_TIER="ALL")+(BULK_TIER=$F274))*((BULK_SKU="ALL")+(BULK_SKU=$G274))*(BULK_START&lt;=3)*(BULK_END&gt;=3)))),0),ROUND((INDEX(VELOCITY_TABLE,MATCH($F274,TIER_LIST,0),3))*(IF((3-$I274+1)&lt;=0,0,IF((3-$I274+1)=1,RAMP_W1,IF((3-$I274+1)=2,RAMP_W2,IF((3-$I274+1)=3,RAMP_W3,RAMP_W4PLUS)))))*(INDEX(ACTIVE_MULT_TABLE,3,1))*(1+SUMPRODUCT(SIGN(((ACT_DOOR_SCOPE="ALL")+(ACT_DOOR_SCOPE="TIER_"&amp;$F274)+(ACT_DOOR_SCOPE=$B274)))*SIGN(((ACT_SKU_SCOPE="ALL")+(ACT_SKU_SCOPE=$G274)))*(ACT_START&lt;=3)*(ACT_END&gt;=3)*IFERROR(ACT_UPLIFT-1,0)))*(1+SUMPRODUCT(SIGN(((ACT_DOOR_SCOPE="ALL")+(ACT_DOOR_SCOPE="TIER_"&amp;$F274)+(ACT_DOOR_SCOPE=$B274)))*SIGN(((ACT_SKU_SCOPE="ALL")+(ACT_SKU_SCOPE=$G274)))*(3&gt;ACT_END)*(ACT_END&gt;0)*IFERROR(ACT_POSTLIFT,0))),0)))</f>
        <v/>
      </c>
      <c r="M274" s="10">
        <f>IF(OR($H274&lt;&gt;"Y",4&lt;$I274),0,IF(SUMPRODUCT(((BULK_ENABLED="Y")*((BULK_TIER="ALL")+(BULK_TIER=$F274))*((BULK_SKU="ALL")+(BULK_SKU=$G274))*(BULK_START&lt;=4)*(BULK_END&gt;=4)))&gt;0,IFERROR(SUMPRODUCT(((BULK_ENABLED="Y")*((BULK_TIER="ALL")+(BULK_TIER=$F274))*((BULK_SKU="ALL")+(BULK_SKU=$G274))*(BULK_START&lt;=4)*(BULK_END&gt;=4))*IFERROR(BULK_VALUE,0))/MAX(1,SUMPRODUCT(((BULK_ENABLED="Y")*((BULK_TIER="ALL")+(BULK_TIER=$F274))*((BULK_SKU="ALL")+(BULK_SKU=$G274))*(BULK_START&lt;=4)*(BULK_END&gt;=4)))),0),ROUND((INDEX(VELOCITY_TABLE,MATCH($F274,TIER_LIST,0),3))*(IF((4-$I274+1)&lt;=0,0,IF((4-$I274+1)=1,RAMP_W1,IF((4-$I274+1)=2,RAMP_W2,IF((4-$I274+1)=3,RAMP_W3,RAMP_W4PLUS)))))*(INDEX(ACTIVE_MULT_TABLE,3,1))*(1+SUMPRODUCT(SIGN(((ACT_DOOR_SCOPE="ALL")+(ACT_DOOR_SCOPE="TIER_"&amp;$F274)+(ACT_DOOR_SCOPE=$B274)))*SIGN(((ACT_SKU_SCOPE="ALL")+(ACT_SKU_SCOPE=$G274)))*(ACT_START&lt;=4)*(ACT_END&gt;=4)*IFERROR(ACT_UPLIFT-1,0)))*(1+SUMPRODUCT(SIGN(((ACT_DOOR_SCOPE="ALL")+(ACT_DOOR_SCOPE="TIER_"&amp;$F274)+(ACT_DOOR_SCOPE=$B274)))*SIGN(((ACT_SKU_SCOPE="ALL")+(ACT_SKU_SCOPE=$G274)))*(4&gt;ACT_END)*(ACT_END&gt;0)*IFERROR(ACT_POSTLIFT,0))),0)))</f>
        <v/>
      </c>
      <c r="N274" s="10">
        <f>IF(OR($H274&lt;&gt;"Y",5&lt;$I274),0,IF(SUMPRODUCT(((BULK_ENABLED="Y")*((BULK_TIER="ALL")+(BULK_TIER=$F274))*((BULK_SKU="ALL")+(BULK_SKU=$G274))*(BULK_START&lt;=5)*(BULK_END&gt;=5)))&gt;0,IFERROR(SUMPRODUCT(((BULK_ENABLED="Y")*((BULK_TIER="ALL")+(BULK_TIER=$F274))*((BULK_SKU="ALL")+(BULK_SKU=$G274))*(BULK_START&lt;=5)*(BULK_END&gt;=5))*IFERROR(BULK_VALUE,0))/MAX(1,SUMPRODUCT(((BULK_ENABLED="Y")*((BULK_TIER="ALL")+(BULK_TIER=$F274))*((BULK_SKU="ALL")+(BULK_SKU=$G274))*(BULK_START&lt;=5)*(BULK_END&gt;=5)))),0),ROUND((INDEX(VELOCITY_TABLE,MATCH($F274,TIER_LIST,0),3))*(IF((5-$I274+1)&lt;=0,0,IF((5-$I274+1)=1,RAMP_W1,IF((5-$I274+1)=2,RAMP_W2,IF((5-$I274+1)=3,RAMP_W3,RAMP_W4PLUS)))))*(INDEX(ACTIVE_MULT_TABLE,3,1))*(1+SUMPRODUCT(SIGN(((ACT_DOOR_SCOPE="ALL")+(ACT_DOOR_SCOPE="TIER_"&amp;$F274)+(ACT_DOOR_SCOPE=$B274)))*SIGN(((ACT_SKU_SCOPE="ALL")+(ACT_SKU_SCOPE=$G274)))*(ACT_START&lt;=5)*(ACT_END&gt;=5)*IFERROR(ACT_UPLIFT-1,0)))*(1+SUMPRODUCT(SIGN(((ACT_DOOR_SCOPE="ALL")+(ACT_DOOR_SCOPE="TIER_"&amp;$F274)+(ACT_DOOR_SCOPE=$B274)))*SIGN(((ACT_SKU_SCOPE="ALL")+(ACT_SKU_SCOPE=$G274)))*(5&gt;ACT_END)*(ACT_END&gt;0)*IFERROR(ACT_POSTLIFT,0))),0)))</f>
        <v/>
      </c>
      <c r="O274" s="10">
        <f>IF(OR($H274&lt;&gt;"Y",6&lt;$I274),0,IF(SUMPRODUCT(((BULK_ENABLED="Y")*((BULK_TIER="ALL")+(BULK_TIER=$F274))*((BULK_SKU="ALL")+(BULK_SKU=$G274))*(BULK_START&lt;=6)*(BULK_END&gt;=6)))&gt;0,IFERROR(SUMPRODUCT(((BULK_ENABLED="Y")*((BULK_TIER="ALL")+(BULK_TIER=$F274))*((BULK_SKU="ALL")+(BULK_SKU=$G274))*(BULK_START&lt;=6)*(BULK_END&gt;=6))*IFERROR(BULK_VALUE,0))/MAX(1,SUMPRODUCT(((BULK_ENABLED="Y")*((BULK_TIER="ALL")+(BULK_TIER=$F274))*((BULK_SKU="ALL")+(BULK_SKU=$G274))*(BULK_START&lt;=6)*(BULK_END&gt;=6)))),0),ROUND((INDEX(VELOCITY_TABLE,MATCH($F274,TIER_LIST,0),3))*(IF((6-$I274+1)&lt;=0,0,IF((6-$I274+1)=1,RAMP_W1,IF((6-$I274+1)=2,RAMP_W2,IF((6-$I274+1)=3,RAMP_W3,RAMP_W4PLUS)))))*(INDEX(ACTIVE_MULT_TABLE,3,1))*(1+SUMPRODUCT(SIGN(((ACT_DOOR_SCOPE="ALL")+(ACT_DOOR_SCOPE="TIER_"&amp;$F274)+(ACT_DOOR_SCOPE=$B274)))*SIGN(((ACT_SKU_SCOPE="ALL")+(ACT_SKU_SCOPE=$G274)))*(ACT_START&lt;=6)*(ACT_END&gt;=6)*IFERROR(ACT_UPLIFT-1,0)))*(1+SUMPRODUCT(SIGN(((ACT_DOOR_SCOPE="ALL")+(ACT_DOOR_SCOPE="TIER_"&amp;$F274)+(ACT_DOOR_SCOPE=$B274)))*SIGN(((ACT_SKU_SCOPE="ALL")+(ACT_SKU_SCOPE=$G274)))*(6&gt;ACT_END)*(ACT_END&gt;0)*IFERROR(ACT_POSTLIFT,0))),0)))</f>
        <v/>
      </c>
      <c r="P274" s="10">
        <f>IF(OR($H274&lt;&gt;"Y",7&lt;$I274),0,IF(SUMPRODUCT(((BULK_ENABLED="Y")*((BULK_TIER="ALL")+(BULK_TIER=$F274))*((BULK_SKU="ALL")+(BULK_SKU=$G274))*(BULK_START&lt;=7)*(BULK_END&gt;=7)))&gt;0,IFERROR(SUMPRODUCT(((BULK_ENABLED="Y")*((BULK_TIER="ALL")+(BULK_TIER=$F274))*((BULK_SKU="ALL")+(BULK_SKU=$G274))*(BULK_START&lt;=7)*(BULK_END&gt;=7))*IFERROR(BULK_VALUE,0))/MAX(1,SUMPRODUCT(((BULK_ENABLED="Y")*((BULK_TIER="ALL")+(BULK_TIER=$F274))*((BULK_SKU="ALL")+(BULK_SKU=$G274))*(BULK_START&lt;=7)*(BULK_END&gt;=7)))),0),ROUND((INDEX(VELOCITY_TABLE,MATCH($F274,TIER_LIST,0),3))*(IF((7-$I274+1)&lt;=0,0,IF((7-$I274+1)=1,RAMP_W1,IF((7-$I274+1)=2,RAMP_W2,IF((7-$I274+1)=3,RAMP_W3,RAMP_W4PLUS)))))*(INDEX(ACTIVE_MULT_TABLE,3,1))*(1+SUMPRODUCT(SIGN(((ACT_DOOR_SCOPE="ALL")+(ACT_DOOR_SCOPE="TIER_"&amp;$F274)+(ACT_DOOR_SCOPE=$B274)))*SIGN(((ACT_SKU_SCOPE="ALL")+(ACT_SKU_SCOPE=$G274)))*(ACT_START&lt;=7)*(ACT_END&gt;=7)*IFERROR(ACT_UPLIFT-1,0)))*(1+SUMPRODUCT(SIGN(((ACT_DOOR_SCOPE="ALL")+(ACT_DOOR_SCOPE="TIER_"&amp;$F274)+(ACT_DOOR_SCOPE=$B274)))*SIGN(((ACT_SKU_SCOPE="ALL")+(ACT_SKU_SCOPE=$G274)))*(7&gt;ACT_END)*(ACT_END&gt;0)*IFERROR(ACT_POSTLIFT,0))),0)))</f>
        <v/>
      </c>
      <c r="Q274" s="10">
        <f>IF(OR($H274&lt;&gt;"Y",8&lt;$I274),0,IF(SUMPRODUCT(((BULK_ENABLED="Y")*((BULK_TIER="ALL")+(BULK_TIER=$F274))*((BULK_SKU="ALL")+(BULK_SKU=$G274))*(BULK_START&lt;=8)*(BULK_END&gt;=8)))&gt;0,IFERROR(SUMPRODUCT(((BULK_ENABLED="Y")*((BULK_TIER="ALL")+(BULK_TIER=$F274))*((BULK_SKU="ALL")+(BULK_SKU=$G274))*(BULK_START&lt;=8)*(BULK_END&gt;=8))*IFERROR(BULK_VALUE,0))/MAX(1,SUMPRODUCT(((BULK_ENABLED="Y")*((BULK_TIER="ALL")+(BULK_TIER=$F274))*((BULK_SKU="ALL")+(BULK_SKU=$G274))*(BULK_START&lt;=8)*(BULK_END&gt;=8)))),0),ROUND((INDEX(VELOCITY_TABLE,MATCH($F274,TIER_LIST,0),3))*(IF((8-$I274+1)&lt;=0,0,IF((8-$I274+1)=1,RAMP_W1,IF((8-$I274+1)=2,RAMP_W2,IF((8-$I274+1)=3,RAMP_W3,RAMP_W4PLUS)))))*(INDEX(ACTIVE_MULT_TABLE,3,1))*(1+SUMPRODUCT(SIGN(((ACT_DOOR_SCOPE="ALL")+(ACT_DOOR_SCOPE="TIER_"&amp;$F274)+(ACT_DOOR_SCOPE=$B274)))*SIGN(((ACT_SKU_SCOPE="ALL")+(ACT_SKU_SCOPE=$G274)))*(ACT_START&lt;=8)*(ACT_END&gt;=8)*IFERROR(ACT_UPLIFT-1,0)))*(1+SUMPRODUCT(SIGN(((ACT_DOOR_SCOPE="ALL")+(ACT_DOOR_SCOPE="TIER_"&amp;$F274)+(ACT_DOOR_SCOPE=$B274)))*SIGN(((ACT_SKU_SCOPE="ALL")+(ACT_SKU_SCOPE=$G274)))*(8&gt;ACT_END)*(ACT_END&gt;0)*IFERROR(ACT_POSTLIFT,0))),0)))</f>
        <v/>
      </c>
      <c r="R274" s="10">
        <f>IF(OR($H274&lt;&gt;"Y",9&lt;$I274),0,IF(SUMPRODUCT(((BULK_ENABLED="Y")*((BULK_TIER="ALL")+(BULK_TIER=$F274))*((BULK_SKU="ALL")+(BULK_SKU=$G274))*(BULK_START&lt;=9)*(BULK_END&gt;=9)))&gt;0,IFERROR(SUMPRODUCT(((BULK_ENABLED="Y")*((BULK_TIER="ALL")+(BULK_TIER=$F274))*((BULK_SKU="ALL")+(BULK_SKU=$G274))*(BULK_START&lt;=9)*(BULK_END&gt;=9))*IFERROR(BULK_VALUE,0))/MAX(1,SUMPRODUCT(((BULK_ENABLED="Y")*((BULK_TIER="ALL")+(BULK_TIER=$F274))*((BULK_SKU="ALL")+(BULK_SKU=$G274))*(BULK_START&lt;=9)*(BULK_END&gt;=9)))),0),ROUND((INDEX(VELOCITY_TABLE,MATCH($F274,TIER_LIST,0),3))*(IF((9-$I274+1)&lt;=0,0,IF((9-$I274+1)=1,RAMP_W1,IF((9-$I274+1)=2,RAMP_W2,IF((9-$I274+1)=3,RAMP_W3,RAMP_W4PLUS)))))*(INDEX(ACTIVE_MULT_TABLE,3,1))*(1+SUMPRODUCT(SIGN(((ACT_DOOR_SCOPE="ALL")+(ACT_DOOR_SCOPE="TIER_"&amp;$F274)+(ACT_DOOR_SCOPE=$B274)))*SIGN(((ACT_SKU_SCOPE="ALL")+(ACT_SKU_SCOPE=$G274)))*(ACT_START&lt;=9)*(ACT_END&gt;=9)*IFERROR(ACT_UPLIFT-1,0)))*(1+SUMPRODUCT(SIGN(((ACT_DOOR_SCOPE="ALL")+(ACT_DOOR_SCOPE="TIER_"&amp;$F274)+(ACT_DOOR_SCOPE=$B274)))*SIGN(((ACT_SKU_SCOPE="ALL")+(ACT_SKU_SCOPE=$G274)))*(9&gt;ACT_END)*(ACT_END&gt;0)*IFERROR(ACT_POSTLIFT,0))),0)))</f>
        <v/>
      </c>
      <c r="S274" s="10">
        <f>IF(OR($H274&lt;&gt;"Y",10&lt;$I274),0,IF(SUMPRODUCT(((BULK_ENABLED="Y")*((BULK_TIER="ALL")+(BULK_TIER=$F274))*((BULK_SKU="ALL")+(BULK_SKU=$G274))*(BULK_START&lt;=10)*(BULK_END&gt;=10)))&gt;0,IFERROR(SUMPRODUCT(((BULK_ENABLED="Y")*((BULK_TIER="ALL")+(BULK_TIER=$F274))*((BULK_SKU="ALL")+(BULK_SKU=$G274))*(BULK_START&lt;=10)*(BULK_END&gt;=10))*IFERROR(BULK_VALUE,0))/MAX(1,SUMPRODUCT(((BULK_ENABLED="Y")*((BULK_TIER="ALL")+(BULK_TIER=$F274))*((BULK_SKU="ALL")+(BULK_SKU=$G274))*(BULK_START&lt;=10)*(BULK_END&gt;=10)))),0),ROUND((INDEX(VELOCITY_TABLE,MATCH($F274,TIER_LIST,0),3))*(IF((10-$I274+1)&lt;=0,0,IF((10-$I274+1)=1,RAMP_W1,IF((10-$I274+1)=2,RAMP_W2,IF((10-$I274+1)=3,RAMP_W3,RAMP_W4PLUS)))))*(INDEX(ACTIVE_MULT_TABLE,3,1))*(1+SUMPRODUCT(SIGN(((ACT_DOOR_SCOPE="ALL")+(ACT_DOOR_SCOPE="TIER_"&amp;$F274)+(ACT_DOOR_SCOPE=$B274)))*SIGN(((ACT_SKU_SCOPE="ALL")+(ACT_SKU_SCOPE=$G274)))*(ACT_START&lt;=10)*(ACT_END&gt;=10)*IFERROR(ACT_UPLIFT-1,0)))*(1+SUMPRODUCT(SIGN(((ACT_DOOR_SCOPE="ALL")+(ACT_DOOR_SCOPE="TIER_"&amp;$F274)+(ACT_DOOR_SCOPE=$B274)))*SIGN(((ACT_SKU_SCOPE="ALL")+(ACT_SKU_SCOPE=$G274)))*(10&gt;ACT_END)*(ACT_END&gt;0)*IFERROR(ACT_POSTLIFT,0))),0)))</f>
        <v/>
      </c>
      <c r="T274" s="10">
        <f>IF(OR($H274&lt;&gt;"Y",11&lt;$I274),0,IF(SUMPRODUCT(((BULK_ENABLED="Y")*((BULK_TIER="ALL")+(BULK_TIER=$F274))*((BULK_SKU="ALL")+(BULK_SKU=$G274))*(BULK_START&lt;=11)*(BULK_END&gt;=11)))&gt;0,IFERROR(SUMPRODUCT(((BULK_ENABLED="Y")*((BULK_TIER="ALL")+(BULK_TIER=$F274))*((BULK_SKU="ALL")+(BULK_SKU=$G274))*(BULK_START&lt;=11)*(BULK_END&gt;=11))*IFERROR(BULK_VALUE,0))/MAX(1,SUMPRODUCT(((BULK_ENABLED="Y")*((BULK_TIER="ALL")+(BULK_TIER=$F274))*((BULK_SKU="ALL")+(BULK_SKU=$G274))*(BULK_START&lt;=11)*(BULK_END&gt;=11)))),0),ROUND((INDEX(VELOCITY_TABLE,MATCH($F274,TIER_LIST,0),3))*(IF((11-$I274+1)&lt;=0,0,IF((11-$I274+1)=1,RAMP_W1,IF((11-$I274+1)=2,RAMP_W2,IF((11-$I274+1)=3,RAMP_W3,RAMP_W4PLUS)))))*(INDEX(ACTIVE_MULT_TABLE,3,1))*(1+SUMPRODUCT(SIGN(((ACT_DOOR_SCOPE="ALL")+(ACT_DOOR_SCOPE="TIER_"&amp;$F274)+(ACT_DOOR_SCOPE=$B274)))*SIGN(((ACT_SKU_SCOPE="ALL")+(ACT_SKU_SCOPE=$G274)))*(ACT_START&lt;=11)*(ACT_END&gt;=11)*IFERROR(ACT_UPLIFT-1,0)))*(1+SUMPRODUCT(SIGN(((ACT_DOOR_SCOPE="ALL")+(ACT_DOOR_SCOPE="TIER_"&amp;$F274)+(ACT_DOOR_SCOPE=$B274)))*SIGN(((ACT_SKU_SCOPE="ALL")+(ACT_SKU_SCOPE=$G274)))*(11&gt;ACT_END)*(ACT_END&gt;0)*IFERROR(ACT_POSTLIFT,0))),0)))</f>
        <v/>
      </c>
      <c r="U274" s="10">
        <f>IF(OR($H274&lt;&gt;"Y",12&lt;$I274),0,IF(SUMPRODUCT(((BULK_ENABLED="Y")*((BULK_TIER="ALL")+(BULK_TIER=$F274))*((BULK_SKU="ALL")+(BULK_SKU=$G274))*(BULK_START&lt;=12)*(BULK_END&gt;=12)))&gt;0,IFERROR(SUMPRODUCT(((BULK_ENABLED="Y")*((BULK_TIER="ALL")+(BULK_TIER=$F274))*((BULK_SKU="ALL")+(BULK_SKU=$G274))*(BULK_START&lt;=12)*(BULK_END&gt;=12))*IFERROR(BULK_VALUE,0))/MAX(1,SUMPRODUCT(((BULK_ENABLED="Y")*((BULK_TIER="ALL")+(BULK_TIER=$F274))*((BULK_SKU="ALL")+(BULK_SKU=$G274))*(BULK_START&lt;=12)*(BULK_END&gt;=12)))),0),ROUND((INDEX(VELOCITY_TABLE,MATCH($F274,TIER_LIST,0),3))*(IF((12-$I274+1)&lt;=0,0,IF((12-$I274+1)=1,RAMP_W1,IF((12-$I274+1)=2,RAMP_W2,IF((12-$I274+1)=3,RAMP_W3,RAMP_W4PLUS)))))*(INDEX(ACTIVE_MULT_TABLE,3,1))*(1+SUMPRODUCT(SIGN(((ACT_DOOR_SCOPE="ALL")+(ACT_DOOR_SCOPE="TIER_"&amp;$F274)+(ACT_DOOR_SCOPE=$B274)))*SIGN(((ACT_SKU_SCOPE="ALL")+(ACT_SKU_SCOPE=$G274)))*(ACT_START&lt;=12)*(ACT_END&gt;=12)*IFERROR(ACT_UPLIFT-1,0)))*(1+SUMPRODUCT(SIGN(((ACT_DOOR_SCOPE="ALL")+(ACT_DOOR_SCOPE="TIER_"&amp;$F274)+(ACT_DOOR_SCOPE=$B274)))*SIGN(((ACT_SKU_SCOPE="ALL")+(ACT_SKU_SCOPE=$G274)))*(12&gt;ACT_END)*(ACT_END&gt;0)*IFERROR(ACT_POSTLIFT,0))),0)))</f>
        <v/>
      </c>
      <c r="V274" s="10">
        <f>IF(OR($H274&lt;&gt;"Y",13&lt;$I274),0,IF(SUMPRODUCT(((BULK_ENABLED="Y")*((BULK_TIER="ALL")+(BULK_TIER=$F274))*((BULK_SKU="ALL")+(BULK_SKU=$G274))*(BULK_START&lt;=13)*(BULK_END&gt;=13)))&gt;0,IFERROR(SUMPRODUCT(((BULK_ENABLED="Y")*((BULK_TIER="ALL")+(BULK_TIER=$F274))*((BULK_SKU="ALL")+(BULK_SKU=$G274))*(BULK_START&lt;=13)*(BULK_END&gt;=13))*IFERROR(BULK_VALUE,0))/MAX(1,SUMPRODUCT(((BULK_ENABLED="Y")*((BULK_TIER="ALL")+(BULK_TIER=$F274))*((BULK_SKU="ALL")+(BULK_SKU=$G274))*(BULK_START&lt;=13)*(BULK_END&gt;=13)))),0),ROUND((INDEX(VELOCITY_TABLE,MATCH($F274,TIER_LIST,0),3))*(IF((13-$I274+1)&lt;=0,0,IF((13-$I274+1)=1,RAMP_W1,IF((13-$I274+1)=2,RAMP_W2,IF((13-$I274+1)=3,RAMP_W3,RAMP_W4PLUS)))))*(INDEX(ACTIVE_MULT_TABLE,3,1))*(1+SUMPRODUCT(SIGN(((ACT_DOOR_SCOPE="ALL")+(ACT_DOOR_SCOPE="TIER_"&amp;$F274)+(ACT_DOOR_SCOPE=$B274)))*SIGN(((ACT_SKU_SCOPE="ALL")+(ACT_SKU_SCOPE=$G274)))*(ACT_START&lt;=13)*(ACT_END&gt;=13)*IFERROR(ACT_UPLIFT-1,0)))*(1+SUMPRODUCT(SIGN(((ACT_DOOR_SCOPE="ALL")+(ACT_DOOR_SCOPE="TIER_"&amp;$F274)+(ACT_DOOR_SCOPE=$B274)))*SIGN(((ACT_SKU_SCOPE="ALL")+(ACT_SKU_SCOPE=$G274)))*(13&gt;ACT_END)*(ACT_END&gt;0)*IFERROR(ACT_POSTLIFT,0))),0)))</f>
        <v/>
      </c>
    </row>
    <row r="275">
      <c r="A275" t="inlineStr">
        <is>
          <t>R0271</t>
        </is>
      </c>
      <c r="B275">
        <f>Doors!$A$95</f>
        <v/>
      </c>
      <c r="C275">
        <f>Doors!$C$95</f>
        <v/>
      </c>
      <c r="D275">
        <f>Doors!$B$95</f>
        <v/>
      </c>
      <c r="E275">
        <f>Doors!$E$95</f>
        <v/>
      </c>
      <c r="F275">
        <f>Doors!$F$95</f>
        <v/>
      </c>
      <c r="G275" t="inlineStr">
        <is>
          <t>Lime Lemon</t>
        </is>
      </c>
      <c r="H275">
        <f>Doors!$G$95</f>
        <v/>
      </c>
      <c r="I275">
        <f>Doors!$J$95</f>
        <v/>
      </c>
      <c r="J275" s="10">
        <f>IF(OR($H275&lt;&gt;"Y",1&lt;$I275),0,IF(SUMPRODUCT(((BULK_ENABLED="Y")*((BULK_TIER="ALL")+(BULK_TIER=$F275))*((BULK_SKU="ALL")+(BULK_SKU=$G275))*(BULK_START&lt;=1)*(BULK_END&gt;=1)))&gt;0,IFERROR(SUMPRODUCT(((BULK_ENABLED="Y")*((BULK_TIER="ALL")+(BULK_TIER=$F275))*((BULK_SKU="ALL")+(BULK_SKU=$G275))*(BULK_START&lt;=1)*(BULK_END&gt;=1))*IFERROR(BULK_VALUE,0))/MAX(1,SUMPRODUCT(((BULK_ENABLED="Y")*((BULK_TIER="ALL")+(BULK_TIER=$F275))*((BULK_SKU="ALL")+(BULK_SKU=$G275))*(BULK_START&lt;=1)*(BULK_END&gt;=1)))),0),ROUND((INDEX(VELOCITY_TABLE,MATCH($F275,TIER_LIST,0),1))*(IF((1-$I275+1)&lt;=0,0,IF((1-$I275+1)=1,RAMP_W1,IF((1-$I275+1)=2,RAMP_W2,IF((1-$I275+1)=3,RAMP_W3,RAMP_W4PLUS)))))*(INDEX(ACTIVE_MULT_TABLE,1,1))*(1+SUMPRODUCT(SIGN(((ACT_DOOR_SCOPE="ALL")+(ACT_DOOR_SCOPE="TIER_"&amp;$F275)+(ACT_DOOR_SCOPE=$B275)))*SIGN(((ACT_SKU_SCOPE="ALL")+(ACT_SKU_SCOPE=$G275)))*(ACT_START&lt;=1)*(ACT_END&gt;=1)*IFERROR(ACT_UPLIFT-1,0)))*(1+SUMPRODUCT(SIGN(((ACT_DOOR_SCOPE="ALL")+(ACT_DOOR_SCOPE="TIER_"&amp;$F275)+(ACT_DOOR_SCOPE=$B275)))*SIGN(((ACT_SKU_SCOPE="ALL")+(ACT_SKU_SCOPE=$G275)))*(1&gt;ACT_END)*(ACT_END&gt;0)*IFERROR(ACT_POSTLIFT,0))),0)))</f>
        <v/>
      </c>
      <c r="K275" s="10">
        <f>IF(OR($H275&lt;&gt;"Y",2&lt;$I275),0,IF(SUMPRODUCT(((BULK_ENABLED="Y")*((BULK_TIER="ALL")+(BULK_TIER=$F275))*((BULK_SKU="ALL")+(BULK_SKU=$G275))*(BULK_START&lt;=2)*(BULK_END&gt;=2)))&gt;0,IFERROR(SUMPRODUCT(((BULK_ENABLED="Y")*((BULK_TIER="ALL")+(BULK_TIER=$F275))*((BULK_SKU="ALL")+(BULK_SKU=$G275))*(BULK_START&lt;=2)*(BULK_END&gt;=2))*IFERROR(BULK_VALUE,0))/MAX(1,SUMPRODUCT(((BULK_ENABLED="Y")*((BULK_TIER="ALL")+(BULK_TIER=$F275))*((BULK_SKU="ALL")+(BULK_SKU=$G275))*(BULK_START&lt;=2)*(BULK_END&gt;=2)))),0),ROUND((INDEX(VELOCITY_TABLE,MATCH($F275,TIER_LIST,0),1))*(IF((2-$I275+1)&lt;=0,0,IF((2-$I275+1)=1,RAMP_W1,IF((2-$I275+1)=2,RAMP_W2,IF((2-$I275+1)=3,RAMP_W3,RAMP_W4PLUS)))))*(INDEX(ACTIVE_MULT_TABLE,1,1))*(1+SUMPRODUCT(SIGN(((ACT_DOOR_SCOPE="ALL")+(ACT_DOOR_SCOPE="TIER_"&amp;$F275)+(ACT_DOOR_SCOPE=$B275)))*SIGN(((ACT_SKU_SCOPE="ALL")+(ACT_SKU_SCOPE=$G275)))*(ACT_START&lt;=2)*(ACT_END&gt;=2)*IFERROR(ACT_UPLIFT-1,0)))*(1+SUMPRODUCT(SIGN(((ACT_DOOR_SCOPE="ALL")+(ACT_DOOR_SCOPE="TIER_"&amp;$F275)+(ACT_DOOR_SCOPE=$B275)))*SIGN(((ACT_SKU_SCOPE="ALL")+(ACT_SKU_SCOPE=$G275)))*(2&gt;ACT_END)*(ACT_END&gt;0)*IFERROR(ACT_POSTLIFT,0))),0)))</f>
        <v/>
      </c>
      <c r="L275" s="10">
        <f>IF(OR($H275&lt;&gt;"Y",3&lt;$I275),0,IF(SUMPRODUCT(((BULK_ENABLED="Y")*((BULK_TIER="ALL")+(BULK_TIER=$F275))*((BULK_SKU="ALL")+(BULK_SKU=$G275))*(BULK_START&lt;=3)*(BULK_END&gt;=3)))&gt;0,IFERROR(SUMPRODUCT(((BULK_ENABLED="Y")*((BULK_TIER="ALL")+(BULK_TIER=$F275))*((BULK_SKU="ALL")+(BULK_SKU=$G275))*(BULK_START&lt;=3)*(BULK_END&gt;=3))*IFERROR(BULK_VALUE,0))/MAX(1,SUMPRODUCT(((BULK_ENABLED="Y")*((BULK_TIER="ALL")+(BULK_TIER=$F275))*((BULK_SKU="ALL")+(BULK_SKU=$G275))*(BULK_START&lt;=3)*(BULK_END&gt;=3)))),0),ROUND((INDEX(VELOCITY_TABLE,MATCH($F275,TIER_LIST,0),1))*(IF((3-$I275+1)&lt;=0,0,IF((3-$I275+1)=1,RAMP_W1,IF((3-$I275+1)=2,RAMP_W2,IF((3-$I275+1)=3,RAMP_W3,RAMP_W4PLUS)))))*(INDEX(ACTIVE_MULT_TABLE,1,1))*(1+SUMPRODUCT(SIGN(((ACT_DOOR_SCOPE="ALL")+(ACT_DOOR_SCOPE="TIER_"&amp;$F275)+(ACT_DOOR_SCOPE=$B275)))*SIGN(((ACT_SKU_SCOPE="ALL")+(ACT_SKU_SCOPE=$G275)))*(ACT_START&lt;=3)*(ACT_END&gt;=3)*IFERROR(ACT_UPLIFT-1,0)))*(1+SUMPRODUCT(SIGN(((ACT_DOOR_SCOPE="ALL")+(ACT_DOOR_SCOPE="TIER_"&amp;$F275)+(ACT_DOOR_SCOPE=$B275)))*SIGN(((ACT_SKU_SCOPE="ALL")+(ACT_SKU_SCOPE=$G275)))*(3&gt;ACT_END)*(ACT_END&gt;0)*IFERROR(ACT_POSTLIFT,0))),0)))</f>
        <v/>
      </c>
      <c r="M275" s="10">
        <f>IF(OR($H275&lt;&gt;"Y",4&lt;$I275),0,IF(SUMPRODUCT(((BULK_ENABLED="Y")*((BULK_TIER="ALL")+(BULK_TIER=$F275))*((BULK_SKU="ALL")+(BULK_SKU=$G275))*(BULK_START&lt;=4)*(BULK_END&gt;=4)))&gt;0,IFERROR(SUMPRODUCT(((BULK_ENABLED="Y")*((BULK_TIER="ALL")+(BULK_TIER=$F275))*((BULK_SKU="ALL")+(BULK_SKU=$G275))*(BULK_START&lt;=4)*(BULK_END&gt;=4))*IFERROR(BULK_VALUE,0))/MAX(1,SUMPRODUCT(((BULK_ENABLED="Y")*((BULK_TIER="ALL")+(BULK_TIER=$F275))*((BULK_SKU="ALL")+(BULK_SKU=$G275))*(BULK_START&lt;=4)*(BULK_END&gt;=4)))),0),ROUND((INDEX(VELOCITY_TABLE,MATCH($F275,TIER_LIST,0),1))*(IF((4-$I275+1)&lt;=0,0,IF((4-$I275+1)=1,RAMP_W1,IF((4-$I275+1)=2,RAMP_W2,IF((4-$I275+1)=3,RAMP_W3,RAMP_W4PLUS)))))*(INDEX(ACTIVE_MULT_TABLE,1,1))*(1+SUMPRODUCT(SIGN(((ACT_DOOR_SCOPE="ALL")+(ACT_DOOR_SCOPE="TIER_"&amp;$F275)+(ACT_DOOR_SCOPE=$B275)))*SIGN(((ACT_SKU_SCOPE="ALL")+(ACT_SKU_SCOPE=$G275)))*(ACT_START&lt;=4)*(ACT_END&gt;=4)*IFERROR(ACT_UPLIFT-1,0)))*(1+SUMPRODUCT(SIGN(((ACT_DOOR_SCOPE="ALL")+(ACT_DOOR_SCOPE="TIER_"&amp;$F275)+(ACT_DOOR_SCOPE=$B275)))*SIGN(((ACT_SKU_SCOPE="ALL")+(ACT_SKU_SCOPE=$G275)))*(4&gt;ACT_END)*(ACT_END&gt;0)*IFERROR(ACT_POSTLIFT,0))),0)))</f>
        <v/>
      </c>
      <c r="N275" s="10">
        <f>IF(OR($H275&lt;&gt;"Y",5&lt;$I275),0,IF(SUMPRODUCT(((BULK_ENABLED="Y")*((BULK_TIER="ALL")+(BULK_TIER=$F275))*((BULK_SKU="ALL")+(BULK_SKU=$G275))*(BULK_START&lt;=5)*(BULK_END&gt;=5)))&gt;0,IFERROR(SUMPRODUCT(((BULK_ENABLED="Y")*((BULK_TIER="ALL")+(BULK_TIER=$F275))*((BULK_SKU="ALL")+(BULK_SKU=$G275))*(BULK_START&lt;=5)*(BULK_END&gt;=5))*IFERROR(BULK_VALUE,0))/MAX(1,SUMPRODUCT(((BULK_ENABLED="Y")*((BULK_TIER="ALL")+(BULK_TIER=$F275))*((BULK_SKU="ALL")+(BULK_SKU=$G275))*(BULK_START&lt;=5)*(BULK_END&gt;=5)))),0),ROUND((INDEX(VELOCITY_TABLE,MATCH($F275,TIER_LIST,0),1))*(IF((5-$I275+1)&lt;=0,0,IF((5-$I275+1)=1,RAMP_W1,IF((5-$I275+1)=2,RAMP_W2,IF((5-$I275+1)=3,RAMP_W3,RAMP_W4PLUS)))))*(INDEX(ACTIVE_MULT_TABLE,1,1))*(1+SUMPRODUCT(SIGN(((ACT_DOOR_SCOPE="ALL")+(ACT_DOOR_SCOPE="TIER_"&amp;$F275)+(ACT_DOOR_SCOPE=$B275)))*SIGN(((ACT_SKU_SCOPE="ALL")+(ACT_SKU_SCOPE=$G275)))*(ACT_START&lt;=5)*(ACT_END&gt;=5)*IFERROR(ACT_UPLIFT-1,0)))*(1+SUMPRODUCT(SIGN(((ACT_DOOR_SCOPE="ALL")+(ACT_DOOR_SCOPE="TIER_"&amp;$F275)+(ACT_DOOR_SCOPE=$B275)))*SIGN(((ACT_SKU_SCOPE="ALL")+(ACT_SKU_SCOPE=$G275)))*(5&gt;ACT_END)*(ACT_END&gt;0)*IFERROR(ACT_POSTLIFT,0))),0)))</f>
        <v/>
      </c>
      <c r="O275" s="10">
        <f>IF(OR($H275&lt;&gt;"Y",6&lt;$I275),0,IF(SUMPRODUCT(((BULK_ENABLED="Y")*((BULK_TIER="ALL")+(BULK_TIER=$F275))*((BULK_SKU="ALL")+(BULK_SKU=$G275))*(BULK_START&lt;=6)*(BULK_END&gt;=6)))&gt;0,IFERROR(SUMPRODUCT(((BULK_ENABLED="Y")*((BULK_TIER="ALL")+(BULK_TIER=$F275))*((BULK_SKU="ALL")+(BULK_SKU=$G275))*(BULK_START&lt;=6)*(BULK_END&gt;=6))*IFERROR(BULK_VALUE,0))/MAX(1,SUMPRODUCT(((BULK_ENABLED="Y")*((BULK_TIER="ALL")+(BULK_TIER=$F275))*((BULK_SKU="ALL")+(BULK_SKU=$G275))*(BULK_START&lt;=6)*(BULK_END&gt;=6)))),0),ROUND((INDEX(VELOCITY_TABLE,MATCH($F275,TIER_LIST,0),1))*(IF((6-$I275+1)&lt;=0,0,IF((6-$I275+1)=1,RAMP_W1,IF((6-$I275+1)=2,RAMP_W2,IF((6-$I275+1)=3,RAMP_W3,RAMP_W4PLUS)))))*(INDEX(ACTIVE_MULT_TABLE,1,1))*(1+SUMPRODUCT(SIGN(((ACT_DOOR_SCOPE="ALL")+(ACT_DOOR_SCOPE="TIER_"&amp;$F275)+(ACT_DOOR_SCOPE=$B275)))*SIGN(((ACT_SKU_SCOPE="ALL")+(ACT_SKU_SCOPE=$G275)))*(ACT_START&lt;=6)*(ACT_END&gt;=6)*IFERROR(ACT_UPLIFT-1,0)))*(1+SUMPRODUCT(SIGN(((ACT_DOOR_SCOPE="ALL")+(ACT_DOOR_SCOPE="TIER_"&amp;$F275)+(ACT_DOOR_SCOPE=$B275)))*SIGN(((ACT_SKU_SCOPE="ALL")+(ACT_SKU_SCOPE=$G275)))*(6&gt;ACT_END)*(ACT_END&gt;0)*IFERROR(ACT_POSTLIFT,0))),0)))</f>
        <v/>
      </c>
      <c r="P275" s="10">
        <f>IF(OR($H275&lt;&gt;"Y",7&lt;$I275),0,IF(SUMPRODUCT(((BULK_ENABLED="Y")*((BULK_TIER="ALL")+(BULK_TIER=$F275))*((BULK_SKU="ALL")+(BULK_SKU=$G275))*(BULK_START&lt;=7)*(BULK_END&gt;=7)))&gt;0,IFERROR(SUMPRODUCT(((BULK_ENABLED="Y")*((BULK_TIER="ALL")+(BULK_TIER=$F275))*((BULK_SKU="ALL")+(BULK_SKU=$G275))*(BULK_START&lt;=7)*(BULK_END&gt;=7))*IFERROR(BULK_VALUE,0))/MAX(1,SUMPRODUCT(((BULK_ENABLED="Y")*((BULK_TIER="ALL")+(BULK_TIER=$F275))*((BULK_SKU="ALL")+(BULK_SKU=$G275))*(BULK_START&lt;=7)*(BULK_END&gt;=7)))),0),ROUND((INDEX(VELOCITY_TABLE,MATCH($F275,TIER_LIST,0),1))*(IF((7-$I275+1)&lt;=0,0,IF((7-$I275+1)=1,RAMP_W1,IF((7-$I275+1)=2,RAMP_W2,IF((7-$I275+1)=3,RAMP_W3,RAMP_W4PLUS)))))*(INDEX(ACTIVE_MULT_TABLE,1,1))*(1+SUMPRODUCT(SIGN(((ACT_DOOR_SCOPE="ALL")+(ACT_DOOR_SCOPE="TIER_"&amp;$F275)+(ACT_DOOR_SCOPE=$B275)))*SIGN(((ACT_SKU_SCOPE="ALL")+(ACT_SKU_SCOPE=$G275)))*(ACT_START&lt;=7)*(ACT_END&gt;=7)*IFERROR(ACT_UPLIFT-1,0)))*(1+SUMPRODUCT(SIGN(((ACT_DOOR_SCOPE="ALL")+(ACT_DOOR_SCOPE="TIER_"&amp;$F275)+(ACT_DOOR_SCOPE=$B275)))*SIGN(((ACT_SKU_SCOPE="ALL")+(ACT_SKU_SCOPE=$G275)))*(7&gt;ACT_END)*(ACT_END&gt;0)*IFERROR(ACT_POSTLIFT,0))),0)))</f>
        <v/>
      </c>
      <c r="Q275" s="10">
        <f>IF(OR($H275&lt;&gt;"Y",8&lt;$I275),0,IF(SUMPRODUCT(((BULK_ENABLED="Y")*((BULK_TIER="ALL")+(BULK_TIER=$F275))*((BULK_SKU="ALL")+(BULK_SKU=$G275))*(BULK_START&lt;=8)*(BULK_END&gt;=8)))&gt;0,IFERROR(SUMPRODUCT(((BULK_ENABLED="Y")*((BULK_TIER="ALL")+(BULK_TIER=$F275))*((BULK_SKU="ALL")+(BULK_SKU=$G275))*(BULK_START&lt;=8)*(BULK_END&gt;=8))*IFERROR(BULK_VALUE,0))/MAX(1,SUMPRODUCT(((BULK_ENABLED="Y")*((BULK_TIER="ALL")+(BULK_TIER=$F275))*((BULK_SKU="ALL")+(BULK_SKU=$G275))*(BULK_START&lt;=8)*(BULK_END&gt;=8)))),0),ROUND((INDEX(VELOCITY_TABLE,MATCH($F275,TIER_LIST,0),1))*(IF((8-$I275+1)&lt;=0,0,IF((8-$I275+1)=1,RAMP_W1,IF((8-$I275+1)=2,RAMP_W2,IF((8-$I275+1)=3,RAMP_W3,RAMP_W4PLUS)))))*(INDEX(ACTIVE_MULT_TABLE,1,1))*(1+SUMPRODUCT(SIGN(((ACT_DOOR_SCOPE="ALL")+(ACT_DOOR_SCOPE="TIER_"&amp;$F275)+(ACT_DOOR_SCOPE=$B275)))*SIGN(((ACT_SKU_SCOPE="ALL")+(ACT_SKU_SCOPE=$G275)))*(ACT_START&lt;=8)*(ACT_END&gt;=8)*IFERROR(ACT_UPLIFT-1,0)))*(1+SUMPRODUCT(SIGN(((ACT_DOOR_SCOPE="ALL")+(ACT_DOOR_SCOPE="TIER_"&amp;$F275)+(ACT_DOOR_SCOPE=$B275)))*SIGN(((ACT_SKU_SCOPE="ALL")+(ACT_SKU_SCOPE=$G275)))*(8&gt;ACT_END)*(ACT_END&gt;0)*IFERROR(ACT_POSTLIFT,0))),0)))</f>
        <v/>
      </c>
      <c r="R275" s="10">
        <f>IF(OR($H275&lt;&gt;"Y",9&lt;$I275),0,IF(SUMPRODUCT(((BULK_ENABLED="Y")*((BULK_TIER="ALL")+(BULK_TIER=$F275))*((BULK_SKU="ALL")+(BULK_SKU=$G275))*(BULK_START&lt;=9)*(BULK_END&gt;=9)))&gt;0,IFERROR(SUMPRODUCT(((BULK_ENABLED="Y")*((BULK_TIER="ALL")+(BULK_TIER=$F275))*((BULK_SKU="ALL")+(BULK_SKU=$G275))*(BULK_START&lt;=9)*(BULK_END&gt;=9))*IFERROR(BULK_VALUE,0))/MAX(1,SUMPRODUCT(((BULK_ENABLED="Y")*((BULK_TIER="ALL")+(BULK_TIER=$F275))*((BULK_SKU="ALL")+(BULK_SKU=$G275))*(BULK_START&lt;=9)*(BULK_END&gt;=9)))),0),ROUND((INDEX(VELOCITY_TABLE,MATCH($F275,TIER_LIST,0),1))*(IF((9-$I275+1)&lt;=0,0,IF((9-$I275+1)=1,RAMP_W1,IF((9-$I275+1)=2,RAMP_W2,IF((9-$I275+1)=3,RAMP_W3,RAMP_W4PLUS)))))*(INDEX(ACTIVE_MULT_TABLE,1,1))*(1+SUMPRODUCT(SIGN(((ACT_DOOR_SCOPE="ALL")+(ACT_DOOR_SCOPE="TIER_"&amp;$F275)+(ACT_DOOR_SCOPE=$B275)))*SIGN(((ACT_SKU_SCOPE="ALL")+(ACT_SKU_SCOPE=$G275)))*(ACT_START&lt;=9)*(ACT_END&gt;=9)*IFERROR(ACT_UPLIFT-1,0)))*(1+SUMPRODUCT(SIGN(((ACT_DOOR_SCOPE="ALL")+(ACT_DOOR_SCOPE="TIER_"&amp;$F275)+(ACT_DOOR_SCOPE=$B275)))*SIGN(((ACT_SKU_SCOPE="ALL")+(ACT_SKU_SCOPE=$G275)))*(9&gt;ACT_END)*(ACT_END&gt;0)*IFERROR(ACT_POSTLIFT,0))),0)))</f>
        <v/>
      </c>
      <c r="S275" s="10">
        <f>IF(OR($H275&lt;&gt;"Y",10&lt;$I275),0,IF(SUMPRODUCT(((BULK_ENABLED="Y")*((BULK_TIER="ALL")+(BULK_TIER=$F275))*((BULK_SKU="ALL")+(BULK_SKU=$G275))*(BULK_START&lt;=10)*(BULK_END&gt;=10)))&gt;0,IFERROR(SUMPRODUCT(((BULK_ENABLED="Y")*((BULK_TIER="ALL")+(BULK_TIER=$F275))*((BULK_SKU="ALL")+(BULK_SKU=$G275))*(BULK_START&lt;=10)*(BULK_END&gt;=10))*IFERROR(BULK_VALUE,0))/MAX(1,SUMPRODUCT(((BULK_ENABLED="Y")*((BULK_TIER="ALL")+(BULK_TIER=$F275))*((BULK_SKU="ALL")+(BULK_SKU=$G275))*(BULK_START&lt;=10)*(BULK_END&gt;=10)))),0),ROUND((INDEX(VELOCITY_TABLE,MATCH($F275,TIER_LIST,0),1))*(IF((10-$I275+1)&lt;=0,0,IF((10-$I275+1)=1,RAMP_W1,IF((10-$I275+1)=2,RAMP_W2,IF((10-$I275+1)=3,RAMP_W3,RAMP_W4PLUS)))))*(INDEX(ACTIVE_MULT_TABLE,1,1))*(1+SUMPRODUCT(SIGN(((ACT_DOOR_SCOPE="ALL")+(ACT_DOOR_SCOPE="TIER_"&amp;$F275)+(ACT_DOOR_SCOPE=$B275)))*SIGN(((ACT_SKU_SCOPE="ALL")+(ACT_SKU_SCOPE=$G275)))*(ACT_START&lt;=10)*(ACT_END&gt;=10)*IFERROR(ACT_UPLIFT-1,0)))*(1+SUMPRODUCT(SIGN(((ACT_DOOR_SCOPE="ALL")+(ACT_DOOR_SCOPE="TIER_"&amp;$F275)+(ACT_DOOR_SCOPE=$B275)))*SIGN(((ACT_SKU_SCOPE="ALL")+(ACT_SKU_SCOPE=$G275)))*(10&gt;ACT_END)*(ACT_END&gt;0)*IFERROR(ACT_POSTLIFT,0))),0)))</f>
        <v/>
      </c>
      <c r="T275" s="10">
        <f>IF(OR($H275&lt;&gt;"Y",11&lt;$I275),0,IF(SUMPRODUCT(((BULK_ENABLED="Y")*((BULK_TIER="ALL")+(BULK_TIER=$F275))*((BULK_SKU="ALL")+(BULK_SKU=$G275))*(BULK_START&lt;=11)*(BULK_END&gt;=11)))&gt;0,IFERROR(SUMPRODUCT(((BULK_ENABLED="Y")*((BULK_TIER="ALL")+(BULK_TIER=$F275))*((BULK_SKU="ALL")+(BULK_SKU=$G275))*(BULK_START&lt;=11)*(BULK_END&gt;=11))*IFERROR(BULK_VALUE,0))/MAX(1,SUMPRODUCT(((BULK_ENABLED="Y")*((BULK_TIER="ALL")+(BULK_TIER=$F275))*((BULK_SKU="ALL")+(BULK_SKU=$G275))*(BULK_START&lt;=11)*(BULK_END&gt;=11)))),0),ROUND((INDEX(VELOCITY_TABLE,MATCH($F275,TIER_LIST,0),1))*(IF((11-$I275+1)&lt;=0,0,IF((11-$I275+1)=1,RAMP_W1,IF((11-$I275+1)=2,RAMP_W2,IF((11-$I275+1)=3,RAMP_W3,RAMP_W4PLUS)))))*(INDEX(ACTIVE_MULT_TABLE,1,1))*(1+SUMPRODUCT(SIGN(((ACT_DOOR_SCOPE="ALL")+(ACT_DOOR_SCOPE="TIER_"&amp;$F275)+(ACT_DOOR_SCOPE=$B275)))*SIGN(((ACT_SKU_SCOPE="ALL")+(ACT_SKU_SCOPE=$G275)))*(ACT_START&lt;=11)*(ACT_END&gt;=11)*IFERROR(ACT_UPLIFT-1,0)))*(1+SUMPRODUCT(SIGN(((ACT_DOOR_SCOPE="ALL")+(ACT_DOOR_SCOPE="TIER_"&amp;$F275)+(ACT_DOOR_SCOPE=$B275)))*SIGN(((ACT_SKU_SCOPE="ALL")+(ACT_SKU_SCOPE=$G275)))*(11&gt;ACT_END)*(ACT_END&gt;0)*IFERROR(ACT_POSTLIFT,0))),0)))</f>
        <v/>
      </c>
      <c r="U275" s="10">
        <f>IF(OR($H275&lt;&gt;"Y",12&lt;$I275),0,IF(SUMPRODUCT(((BULK_ENABLED="Y")*((BULK_TIER="ALL")+(BULK_TIER=$F275))*((BULK_SKU="ALL")+(BULK_SKU=$G275))*(BULK_START&lt;=12)*(BULK_END&gt;=12)))&gt;0,IFERROR(SUMPRODUCT(((BULK_ENABLED="Y")*((BULK_TIER="ALL")+(BULK_TIER=$F275))*((BULK_SKU="ALL")+(BULK_SKU=$G275))*(BULK_START&lt;=12)*(BULK_END&gt;=12))*IFERROR(BULK_VALUE,0))/MAX(1,SUMPRODUCT(((BULK_ENABLED="Y")*((BULK_TIER="ALL")+(BULK_TIER=$F275))*((BULK_SKU="ALL")+(BULK_SKU=$G275))*(BULK_START&lt;=12)*(BULK_END&gt;=12)))),0),ROUND((INDEX(VELOCITY_TABLE,MATCH($F275,TIER_LIST,0),1))*(IF((12-$I275+1)&lt;=0,0,IF((12-$I275+1)=1,RAMP_W1,IF((12-$I275+1)=2,RAMP_W2,IF((12-$I275+1)=3,RAMP_W3,RAMP_W4PLUS)))))*(INDEX(ACTIVE_MULT_TABLE,1,1))*(1+SUMPRODUCT(SIGN(((ACT_DOOR_SCOPE="ALL")+(ACT_DOOR_SCOPE="TIER_"&amp;$F275)+(ACT_DOOR_SCOPE=$B275)))*SIGN(((ACT_SKU_SCOPE="ALL")+(ACT_SKU_SCOPE=$G275)))*(ACT_START&lt;=12)*(ACT_END&gt;=12)*IFERROR(ACT_UPLIFT-1,0)))*(1+SUMPRODUCT(SIGN(((ACT_DOOR_SCOPE="ALL")+(ACT_DOOR_SCOPE="TIER_"&amp;$F275)+(ACT_DOOR_SCOPE=$B275)))*SIGN(((ACT_SKU_SCOPE="ALL")+(ACT_SKU_SCOPE=$G275)))*(12&gt;ACT_END)*(ACT_END&gt;0)*IFERROR(ACT_POSTLIFT,0))),0)))</f>
        <v/>
      </c>
      <c r="V275" s="10">
        <f>IF(OR($H275&lt;&gt;"Y",13&lt;$I275),0,IF(SUMPRODUCT(((BULK_ENABLED="Y")*((BULK_TIER="ALL")+(BULK_TIER=$F275))*((BULK_SKU="ALL")+(BULK_SKU=$G275))*(BULK_START&lt;=13)*(BULK_END&gt;=13)))&gt;0,IFERROR(SUMPRODUCT(((BULK_ENABLED="Y")*((BULK_TIER="ALL")+(BULK_TIER=$F275))*((BULK_SKU="ALL")+(BULK_SKU=$G275))*(BULK_START&lt;=13)*(BULK_END&gt;=13))*IFERROR(BULK_VALUE,0))/MAX(1,SUMPRODUCT(((BULK_ENABLED="Y")*((BULK_TIER="ALL")+(BULK_TIER=$F275))*((BULK_SKU="ALL")+(BULK_SKU=$G275))*(BULK_START&lt;=13)*(BULK_END&gt;=13)))),0),ROUND((INDEX(VELOCITY_TABLE,MATCH($F275,TIER_LIST,0),1))*(IF((13-$I275+1)&lt;=0,0,IF((13-$I275+1)=1,RAMP_W1,IF((13-$I275+1)=2,RAMP_W2,IF((13-$I275+1)=3,RAMP_W3,RAMP_W4PLUS)))))*(INDEX(ACTIVE_MULT_TABLE,1,1))*(1+SUMPRODUCT(SIGN(((ACT_DOOR_SCOPE="ALL")+(ACT_DOOR_SCOPE="TIER_"&amp;$F275)+(ACT_DOOR_SCOPE=$B275)))*SIGN(((ACT_SKU_SCOPE="ALL")+(ACT_SKU_SCOPE=$G275)))*(ACT_START&lt;=13)*(ACT_END&gt;=13)*IFERROR(ACT_UPLIFT-1,0)))*(1+SUMPRODUCT(SIGN(((ACT_DOOR_SCOPE="ALL")+(ACT_DOOR_SCOPE="TIER_"&amp;$F275)+(ACT_DOOR_SCOPE=$B275)))*SIGN(((ACT_SKU_SCOPE="ALL")+(ACT_SKU_SCOPE=$G275)))*(13&gt;ACT_END)*(ACT_END&gt;0)*IFERROR(ACT_POSTLIFT,0))),0)))</f>
        <v/>
      </c>
    </row>
    <row r="276">
      <c r="A276" t="inlineStr">
        <is>
          <t>R0272</t>
        </is>
      </c>
      <c r="B276">
        <f>Doors!$A$95</f>
        <v/>
      </c>
      <c r="C276">
        <f>Doors!$C$95</f>
        <v/>
      </c>
      <c r="D276">
        <f>Doors!$B$95</f>
        <v/>
      </c>
      <c r="E276">
        <f>Doors!$E$95</f>
        <v/>
      </c>
      <c r="F276">
        <f>Doors!$F$95</f>
        <v/>
      </c>
      <c r="G276" t="inlineStr">
        <is>
          <t>Pineapple Passion Fruit</t>
        </is>
      </c>
      <c r="H276">
        <f>Doors!$H$95</f>
        <v/>
      </c>
      <c r="I276">
        <f>Doors!$J$95</f>
        <v/>
      </c>
      <c r="J276" s="10">
        <f>IF(OR($H276&lt;&gt;"Y",1&lt;$I276),0,IF(SUMPRODUCT(((BULK_ENABLED="Y")*((BULK_TIER="ALL")+(BULK_TIER=$F276))*((BULK_SKU="ALL")+(BULK_SKU=$G276))*(BULK_START&lt;=1)*(BULK_END&gt;=1)))&gt;0,IFERROR(SUMPRODUCT(((BULK_ENABLED="Y")*((BULK_TIER="ALL")+(BULK_TIER=$F276))*((BULK_SKU="ALL")+(BULK_SKU=$G276))*(BULK_START&lt;=1)*(BULK_END&gt;=1))*IFERROR(BULK_VALUE,0))/MAX(1,SUMPRODUCT(((BULK_ENABLED="Y")*((BULK_TIER="ALL")+(BULK_TIER=$F276))*((BULK_SKU="ALL")+(BULK_SKU=$G276))*(BULK_START&lt;=1)*(BULK_END&gt;=1)))),0),ROUND((INDEX(VELOCITY_TABLE,MATCH($F276,TIER_LIST,0),2))*(IF((1-$I276+1)&lt;=0,0,IF((1-$I276+1)=1,RAMP_W1,IF((1-$I276+1)=2,RAMP_W2,IF((1-$I276+1)=3,RAMP_W3,RAMP_W4PLUS)))))*(INDEX(ACTIVE_MULT_TABLE,2,1))*(1+SUMPRODUCT(SIGN(((ACT_DOOR_SCOPE="ALL")+(ACT_DOOR_SCOPE="TIER_"&amp;$F276)+(ACT_DOOR_SCOPE=$B276)))*SIGN(((ACT_SKU_SCOPE="ALL")+(ACT_SKU_SCOPE=$G276)))*(ACT_START&lt;=1)*(ACT_END&gt;=1)*IFERROR(ACT_UPLIFT-1,0)))*(1+SUMPRODUCT(SIGN(((ACT_DOOR_SCOPE="ALL")+(ACT_DOOR_SCOPE="TIER_"&amp;$F276)+(ACT_DOOR_SCOPE=$B276)))*SIGN(((ACT_SKU_SCOPE="ALL")+(ACT_SKU_SCOPE=$G276)))*(1&gt;ACT_END)*(ACT_END&gt;0)*IFERROR(ACT_POSTLIFT,0))),0)))</f>
        <v/>
      </c>
      <c r="K276" s="10">
        <f>IF(OR($H276&lt;&gt;"Y",2&lt;$I276),0,IF(SUMPRODUCT(((BULK_ENABLED="Y")*((BULK_TIER="ALL")+(BULK_TIER=$F276))*((BULK_SKU="ALL")+(BULK_SKU=$G276))*(BULK_START&lt;=2)*(BULK_END&gt;=2)))&gt;0,IFERROR(SUMPRODUCT(((BULK_ENABLED="Y")*((BULK_TIER="ALL")+(BULK_TIER=$F276))*((BULK_SKU="ALL")+(BULK_SKU=$G276))*(BULK_START&lt;=2)*(BULK_END&gt;=2))*IFERROR(BULK_VALUE,0))/MAX(1,SUMPRODUCT(((BULK_ENABLED="Y")*((BULK_TIER="ALL")+(BULK_TIER=$F276))*((BULK_SKU="ALL")+(BULK_SKU=$G276))*(BULK_START&lt;=2)*(BULK_END&gt;=2)))),0),ROUND((INDEX(VELOCITY_TABLE,MATCH($F276,TIER_LIST,0),2))*(IF((2-$I276+1)&lt;=0,0,IF((2-$I276+1)=1,RAMP_W1,IF((2-$I276+1)=2,RAMP_W2,IF((2-$I276+1)=3,RAMP_W3,RAMP_W4PLUS)))))*(INDEX(ACTIVE_MULT_TABLE,2,1))*(1+SUMPRODUCT(SIGN(((ACT_DOOR_SCOPE="ALL")+(ACT_DOOR_SCOPE="TIER_"&amp;$F276)+(ACT_DOOR_SCOPE=$B276)))*SIGN(((ACT_SKU_SCOPE="ALL")+(ACT_SKU_SCOPE=$G276)))*(ACT_START&lt;=2)*(ACT_END&gt;=2)*IFERROR(ACT_UPLIFT-1,0)))*(1+SUMPRODUCT(SIGN(((ACT_DOOR_SCOPE="ALL")+(ACT_DOOR_SCOPE="TIER_"&amp;$F276)+(ACT_DOOR_SCOPE=$B276)))*SIGN(((ACT_SKU_SCOPE="ALL")+(ACT_SKU_SCOPE=$G276)))*(2&gt;ACT_END)*(ACT_END&gt;0)*IFERROR(ACT_POSTLIFT,0))),0)))</f>
        <v/>
      </c>
      <c r="L276" s="10">
        <f>IF(OR($H276&lt;&gt;"Y",3&lt;$I276),0,IF(SUMPRODUCT(((BULK_ENABLED="Y")*((BULK_TIER="ALL")+(BULK_TIER=$F276))*((BULK_SKU="ALL")+(BULK_SKU=$G276))*(BULK_START&lt;=3)*(BULK_END&gt;=3)))&gt;0,IFERROR(SUMPRODUCT(((BULK_ENABLED="Y")*((BULK_TIER="ALL")+(BULK_TIER=$F276))*((BULK_SKU="ALL")+(BULK_SKU=$G276))*(BULK_START&lt;=3)*(BULK_END&gt;=3))*IFERROR(BULK_VALUE,0))/MAX(1,SUMPRODUCT(((BULK_ENABLED="Y")*((BULK_TIER="ALL")+(BULK_TIER=$F276))*((BULK_SKU="ALL")+(BULK_SKU=$G276))*(BULK_START&lt;=3)*(BULK_END&gt;=3)))),0),ROUND((INDEX(VELOCITY_TABLE,MATCH($F276,TIER_LIST,0),2))*(IF((3-$I276+1)&lt;=0,0,IF((3-$I276+1)=1,RAMP_W1,IF((3-$I276+1)=2,RAMP_W2,IF((3-$I276+1)=3,RAMP_W3,RAMP_W4PLUS)))))*(INDEX(ACTIVE_MULT_TABLE,2,1))*(1+SUMPRODUCT(SIGN(((ACT_DOOR_SCOPE="ALL")+(ACT_DOOR_SCOPE="TIER_"&amp;$F276)+(ACT_DOOR_SCOPE=$B276)))*SIGN(((ACT_SKU_SCOPE="ALL")+(ACT_SKU_SCOPE=$G276)))*(ACT_START&lt;=3)*(ACT_END&gt;=3)*IFERROR(ACT_UPLIFT-1,0)))*(1+SUMPRODUCT(SIGN(((ACT_DOOR_SCOPE="ALL")+(ACT_DOOR_SCOPE="TIER_"&amp;$F276)+(ACT_DOOR_SCOPE=$B276)))*SIGN(((ACT_SKU_SCOPE="ALL")+(ACT_SKU_SCOPE=$G276)))*(3&gt;ACT_END)*(ACT_END&gt;0)*IFERROR(ACT_POSTLIFT,0))),0)))</f>
        <v/>
      </c>
      <c r="M276" s="10">
        <f>IF(OR($H276&lt;&gt;"Y",4&lt;$I276),0,IF(SUMPRODUCT(((BULK_ENABLED="Y")*((BULK_TIER="ALL")+(BULK_TIER=$F276))*((BULK_SKU="ALL")+(BULK_SKU=$G276))*(BULK_START&lt;=4)*(BULK_END&gt;=4)))&gt;0,IFERROR(SUMPRODUCT(((BULK_ENABLED="Y")*((BULK_TIER="ALL")+(BULK_TIER=$F276))*((BULK_SKU="ALL")+(BULK_SKU=$G276))*(BULK_START&lt;=4)*(BULK_END&gt;=4))*IFERROR(BULK_VALUE,0))/MAX(1,SUMPRODUCT(((BULK_ENABLED="Y")*((BULK_TIER="ALL")+(BULK_TIER=$F276))*((BULK_SKU="ALL")+(BULK_SKU=$G276))*(BULK_START&lt;=4)*(BULK_END&gt;=4)))),0),ROUND((INDEX(VELOCITY_TABLE,MATCH($F276,TIER_LIST,0),2))*(IF((4-$I276+1)&lt;=0,0,IF((4-$I276+1)=1,RAMP_W1,IF((4-$I276+1)=2,RAMP_W2,IF((4-$I276+1)=3,RAMP_W3,RAMP_W4PLUS)))))*(INDEX(ACTIVE_MULT_TABLE,2,1))*(1+SUMPRODUCT(SIGN(((ACT_DOOR_SCOPE="ALL")+(ACT_DOOR_SCOPE="TIER_"&amp;$F276)+(ACT_DOOR_SCOPE=$B276)))*SIGN(((ACT_SKU_SCOPE="ALL")+(ACT_SKU_SCOPE=$G276)))*(ACT_START&lt;=4)*(ACT_END&gt;=4)*IFERROR(ACT_UPLIFT-1,0)))*(1+SUMPRODUCT(SIGN(((ACT_DOOR_SCOPE="ALL")+(ACT_DOOR_SCOPE="TIER_"&amp;$F276)+(ACT_DOOR_SCOPE=$B276)))*SIGN(((ACT_SKU_SCOPE="ALL")+(ACT_SKU_SCOPE=$G276)))*(4&gt;ACT_END)*(ACT_END&gt;0)*IFERROR(ACT_POSTLIFT,0))),0)))</f>
        <v/>
      </c>
      <c r="N276" s="10">
        <f>IF(OR($H276&lt;&gt;"Y",5&lt;$I276),0,IF(SUMPRODUCT(((BULK_ENABLED="Y")*((BULK_TIER="ALL")+(BULK_TIER=$F276))*((BULK_SKU="ALL")+(BULK_SKU=$G276))*(BULK_START&lt;=5)*(BULK_END&gt;=5)))&gt;0,IFERROR(SUMPRODUCT(((BULK_ENABLED="Y")*((BULK_TIER="ALL")+(BULK_TIER=$F276))*((BULK_SKU="ALL")+(BULK_SKU=$G276))*(BULK_START&lt;=5)*(BULK_END&gt;=5))*IFERROR(BULK_VALUE,0))/MAX(1,SUMPRODUCT(((BULK_ENABLED="Y")*((BULK_TIER="ALL")+(BULK_TIER=$F276))*((BULK_SKU="ALL")+(BULK_SKU=$G276))*(BULK_START&lt;=5)*(BULK_END&gt;=5)))),0),ROUND((INDEX(VELOCITY_TABLE,MATCH($F276,TIER_LIST,0),2))*(IF((5-$I276+1)&lt;=0,0,IF((5-$I276+1)=1,RAMP_W1,IF((5-$I276+1)=2,RAMP_W2,IF((5-$I276+1)=3,RAMP_W3,RAMP_W4PLUS)))))*(INDEX(ACTIVE_MULT_TABLE,2,1))*(1+SUMPRODUCT(SIGN(((ACT_DOOR_SCOPE="ALL")+(ACT_DOOR_SCOPE="TIER_"&amp;$F276)+(ACT_DOOR_SCOPE=$B276)))*SIGN(((ACT_SKU_SCOPE="ALL")+(ACT_SKU_SCOPE=$G276)))*(ACT_START&lt;=5)*(ACT_END&gt;=5)*IFERROR(ACT_UPLIFT-1,0)))*(1+SUMPRODUCT(SIGN(((ACT_DOOR_SCOPE="ALL")+(ACT_DOOR_SCOPE="TIER_"&amp;$F276)+(ACT_DOOR_SCOPE=$B276)))*SIGN(((ACT_SKU_SCOPE="ALL")+(ACT_SKU_SCOPE=$G276)))*(5&gt;ACT_END)*(ACT_END&gt;0)*IFERROR(ACT_POSTLIFT,0))),0)))</f>
        <v/>
      </c>
      <c r="O276" s="10">
        <f>IF(OR($H276&lt;&gt;"Y",6&lt;$I276),0,IF(SUMPRODUCT(((BULK_ENABLED="Y")*((BULK_TIER="ALL")+(BULK_TIER=$F276))*((BULK_SKU="ALL")+(BULK_SKU=$G276))*(BULK_START&lt;=6)*(BULK_END&gt;=6)))&gt;0,IFERROR(SUMPRODUCT(((BULK_ENABLED="Y")*((BULK_TIER="ALL")+(BULK_TIER=$F276))*((BULK_SKU="ALL")+(BULK_SKU=$G276))*(BULK_START&lt;=6)*(BULK_END&gt;=6))*IFERROR(BULK_VALUE,0))/MAX(1,SUMPRODUCT(((BULK_ENABLED="Y")*((BULK_TIER="ALL")+(BULK_TIER=$F276))*((BULK_SKU="ALL")+(BULK_SKU=$G276))*(BULK_START&lt;=6)*(BULK_END&gt;=6)))),0),ROUND((INDEX(VELOCITY_TABLE,MATCH($F276,TIER_LIST,0),2))*(IF((6-$I276+1)&lt;=0,0,IF((6-$I276+1)=1,RAMP_W1,IF((6-$I276+1)=2,RAMP_W2,IF((6-$I276+1)=3,RAMP_W3,RAMP_W4PLUS)))))*(INDEX(ACTIVE_MULT_TABLE,2,1))*(1+SUMPRODUCT(SIGN(((ACT_DOOR_SCOPE="ALL")+(ACT_DOOR_SCOPE="TIER_"&amp;$F276)+(ACT_DOOR_SCOPE=$B276)))*SIGN(((ACT_SKU_SCOPE="ALL")+(ACT_SKU_SCOPE=$G276)))*(ACT_START&lt;=6)*(ACT_END&gt;=6)*IFERROR(ACT_UPLIFT-1,0)))*(1+SUMPRODUCT(SIGN(((ACT_DOOR_SCOPE="ALL")+(ACT_DOOR_SCOPE="TIER_"&amp;$F276)+(ACT_DOOR_SCOPE=$B276)))*SIGN(((ACT_SKU_SCOPE="ALL")+(ACT_SKU_SCOPE=$G276)))*(6&gt;ACT_END)*(ACT_END&gt;0)*IFERROR(ACT_POSTLIFT,0))),0)))</f>
        <v/>
      </c>
      <c r="P276" s="10">
        <f>IF(OR($H276&lt;&gt;"Y",7&lt;$I276),0,IF(SUMPRODUCT(((BULK_ENABLED="Y")*((BULK_TIER="ALL")+(BULK_TIER=$F276))*((BULK_SKU="ALL")+(BULK_SKU=$G276))*(BULK_START&lt;=7)*(BULK_END&gt;=7)))&gt;0,IFERROR(SUMPRODUCT(((BULK_ENABLED="Y")*((BULK_TIER="ALL")+(BULK_TIER=$F276))*((BULK_SKU="ALL")+(BULK_SKU=$G276))*(BULK_START&lt;=7)*(BULK_END&gt;=7))*IFERROR(BULK_VALUE,0))/MAX(1,SUMPRODUCT(((BULK_ENABLED="Y")*((BULK_TIER="ALL")+(BULK_TIER=$F276))*((BULK_SKU="ALL")+(BULK_SKU=$G276))*(BULK_START&lt;=7)*(BULK_END&gt;=7)))),0),ROUND((INDEX(VELOCITY_TABLE,MATCH($F276,TIER_LIST,0),2))*(IF((7-$I276+1)&lt;=0,0,IF((7-$I276+1)=1,RAMP_W1,IF((7-$I276+1)=2,RAMP_W2,IF((7-$I276+1)=3,RAMP_W3,RAMP_W4PLUS)))))*(INDEX(ACTIVE_MULT_TABLE,2,1))*(1+SUMPRODUCT(SIGN(((ACT_DOOR_SCOPE="ALL")+(ACT_DOOR_SCOPE="TIER_"&amp;$F276)+(ACT_DOOR_SCOPE=$B276)))*SIGN(((ACT_SKU_SCOPE="ALL")+(ACT_SKU_SCOPE=$G276)))*(ACT_START&lt;=7)*(ACT_END&gt;=7)*IFERROR(ACT_UPLIFT-1,0)))*(1+SUMPRODUCT(SIGN(((ACT_DOOR_SCOPE="ALL")+(ACT_DOOR_SCOPE="TIER_"&amp;$F276)+(ACT_DOOR_SCOPE=$B276)))*SIGN(((ACT_SKU_SCOPE="ALL")+(ACT_SKU_SCOPE=$G276)))*(7&gt;ACT_END)*(ACT_END&gt;0)*IFERROR(ACT_POSTLIFT,0))),0)))</f>
        <v/>
      </c>
      <c r="Q276" s="10">
        <f>IF(OR($H276&lt;&gt;"Y",8&lt;$I276),0,IF(SUMPRODUCT(((BULK_ENABLED="Y")*((BULK_TIER="ALL")+(BULK_TIER=$F276))*((BULK_SKU="ALL")+(BULK_SKU=$G276))*(BULK_START&lt;=8)*(BULK_END&gt;=8)))&gt;0,IFERROR(SUMPRODUCT(((BULK_ENABLED="Y")*((BULK_TIER="ALL")+(BULK_TIER=$F276))*((BULK_SKU="ALL")+(BULK_SKU=$G276))*(BULK_START&lt;=8)*(BULK_END&gt;=8))*IFERROR(BULK_VALUE,0))/MAX(1,SUMPRODUCT(((BULK_ENABLED="Y")*((BULK_TIER="ALL")+(BULK_TIER=$F276))*((BULK_SKU="ALL")+(BULK_SKU=$G276))*(BULK_START&lt;=8)*(BULK_END&gt;=8)))),0),ROUND((INDEX(VELOCITY_TABLE,MATCH($F276,TIER_LIST,0),2))*(IF((8-$I276+1)&lt;=0,0,IF((8-$I276+1)=1,RAMP_W1,IF((8-$I276+1)=2,RAMP_W2,IF((8-$I276+1)=3,RAMP_W3,RAMP_W4PLUS)))))*(INDEX(ACTIVE_MULT_TABLE,2,1))*(1+SUMPRODUCT(SIGN(((ACT_DOOR_SCOPE="ALL")+(ACT_DOOR_SCOPE="TIER_"&amp;$F276)+(ACT_DOOR_SCOPE=$B276)))*SIGN(((ACT_SKU_SCOPE="ALL")+(ACT_SKU_SCOPE=$G276)))*(ACT_START&lt;=8)*(ACT_END&gt;=8)*IFERROR(ACT_UPLIFT-1,0)))*(1+SUMPRODUCT(SIGN(((ACT_DOOR_SCOPE="ALL")+(ACT_DOOR_SCOPE="TIER_"&amp;$F276)+(ACT_DOOR_SCOPE=$B276)))*SIGN(((ACT_SKU_SCOPE="ALL")+(ACT_SKU_SCOPE=$G276)))*(8&gt;ACT_END)*(ACT_END&gt;0)*IFERROR(ACT_POSTLIFT,0))),0)))</f>
        <v/>
      </c>
      <c r="R276" s="10">
        <f>IF(OR($H276&lt;&gt;"Y",9&lt;$I276),0,IF(SUMPRODUCT(((BULK_ENABLED="Y")*((BULK_TIER="ALL")+(BULK_TIER=$F276))*((BULK_SKU="ALL")+(BULK_SKU=$G276))*(BULK_START&lt;=9)*(BULK_END&gt;=9)))&gt;0,IFERROR(SUMPRODUCT(((BULK_ENABLED="Y")*((BULK_TIER="ALL")+(BULK_TIER=$F276))*((BULK_SKU="ALL")+(BULK_SKU=$G276))*(BULK_START&lt;=9)*(BULK_END&gt;=9))*IFERROR(BULK_VALUE,0))/MAX(1,SUMPRODUCT(((BULK_ENABLED="Y")*((BULK_TIER="ALL")+(BULK_TIER=$F276))*((BULK_SKU="ALL")+(BULK_SKU=$G276))*(BULK_START&lt;=9)*(BULK_END&gt;=9)))),0),ROUND((INDEX(VELOCITY_TABLE,MATCH($F276,TIER_LIST,0),2))*(IF((9-$I276+1)&lt;=0,0,IF((9-$I276+1)=1,RAMP_W1,IF((9-$I276+1)=2,RAMP_W2,IF((9-$I276+1)=3,RAMP_W3,RAMP_W4PLUS)))))*(INDEX(ACTIVE_MULT_TABLE,2,1))*(1+SUMPRODUCT(SIGN(((ACT_DOOR_SCOPE="ALL")+(ACT_DOOR_SCOPE="TIER_"&amp;$F276)+(ACT_DOOR_SCOPE=$B276)))*SIGN(((ACT_SKU_SCOPE="ALL")+(ACT_SKU_SCOPE=$G276)))*(ACT_START&lt;=9)*(ACT_END&gt;=9)*IFERROR(ACT_UPLIFT-1,0)))*(1+SUMPRODUCT(SIGN(((ACT_DOOR_SCOPE="ALL")+(ACT_DOOR_SCOPE="TIER_"&amp;$F276)+(ACT_DOOR_SCOPE=$B276)))*SIGN(((ACT_SKU_SCOPE="ALL")+(ACT_SKU_SCOPE=$G276)))*(9&gt;ACT_END)*(ACT_END&gt;0)*IFERROR(ACT_POSTLIFT,0))),0)))</f>
        <v/>
      </c>
      <c r="S276" s="10">
        <f>IF(OR($H276&lt;&gt;"Y",10&lt;$I276),0,IF(SUMPRODUCT(((BULK_ENABLED="Y")*((BULK_TIER="ALL")+(BULK_TIER=$F276))*((BULK_SKU="ALL")+(BULK_SKU=$G276))*(BULK_START&lt;=10)*(BULK_END&gt;=10)))&gt;0,IFERROR(SUMPRODUCT(((BULK_ENABLED="Y")*((BULK_TIER="ALL")+(BULK_TIER=$F276))*((BULK_SKU="ALL")+(BULK_SKU=$G276))*(BULK_START&lt;=10)*(BULK_END&gt;=10))*IFERROR(BULK_VALUE,0))/MAX(1,SUMPRODUCT(((BULK_ENABLED="Y")*((BULK_TIER="ALL")+(BULK_TIER=$F276))*((BULK_SKU="ALL")+(BULK_SKU=$G276))*(BULK_START&lt;=10)*(BULK_END&gt;=10)))),0),ROUND((INDEX(VELOCITY_TABLE,MATCH($F276,TIER_LIST,0),2))*(IF((10-$I276+1)&lt;=0,0,IF((10-$I276+1)=1,RAMP_W1,IF((10-$I276+1)=2,RAMP_W2,IF((10-$I276+1)=3,RAMP_W3,RAMP_W4PLUS)))))*(INDEX(ACTIVE_MULT_TABLE,2,1))*(1+SUMPRODUCT(SIGN(((ACT_DOOR_SCOPE="ALL")+(ACT_DOOR_SCOPE="TIER_"&amp;$F276)+(ACT_DOOR_SCOPE=$B276)))*SIGN(((ACT_SKU_SCOPE="ALL")+(ACT_SKU_SCOPE=$G276)))*(ACT_START&lt;=10)*(ACT_END&gt;=10)*IFERROR(ACT_UPLIFT-1,0)))*(1+SUMPRODUCT(SIGN(((ACT_DOOR_SCOPE="ALL")+(ACT_DOOR_SCOPE="TIER_"&amp;$F276)+(ACT_DOOR_SCOPE=$B276)))*SIGN(((ACT_SKU_SCOPE="ALL")+(ACT_SKU_SCOPE=$G276)))*(10&gt;ACT_END)*(ACT_END&gt;0)*IFERROR(ACT_POSTLIFT,0))),0)))</f>
        <v/>
      </c>
      <c r="T276" s="10">
        <f>IF(OR($H276&lt;&gt;"Y",11&lt;$I276),0,IF(SUMPRODUCT(((BULK_ENABLED="Y")*((BULK_TIER="ALL")+(BULK_TIER=$F276))*((BULK_SKU="ALL")+(BULK_SKU=$G276))*(BULK_START&lt;=11)*(BULK_END&gt;=11)))&gt;0,IFERROR(SUMPRODUCT(((BULK_ENABLED="Y")*((BULK_TIER="ALL")+(BULK_TIER=$F276))*((BULK_SKU="ALL")+(BULK_SKU=$G276))*(BULK_START&lt;=11)*(BULK_END&gt;=11))*IFERROR(BULK_VALUE,0))/MAX(1,SUMPRODUCT(((BULK_ENABLED="Y")*((BULK_TIER="ALL")+(BULK_TIER=$F276))*((BULK_SKU="ALL")+(BULK_SKU=$G276))*(BULK_START&lt;=11)*(BULK_END&gt;=11)))),0),ROUND((INDEX(VELOCITY_TABLE,MATCH($F276,TIER_LIST,0),2))*(IF((11-$I276+1)&lt;=0,0,IF((11-$I276+1)=1,RAMP_W1,IF((11-$I276+1)=2,RAMP_W2,IF((11-$I276+1)=3,RAMP_W3,RAMP_W4PLUS)))))*(INDEX(ACTIVE_MULT_TABLE,2,1))*(1+SUMPRODUCT(SIGN(((ACT_DOOR_SCOPE="ALL")+(ACT_DOOR_SCOPE="TIER_"&amp;$F276)+(ACT_DOOR_SCOPE=$B276)))*SIGN(((ACT_SKU_SCOPE="ALL")+(ACT_SKU_SCOPE=$G276)))*(ACT_START&lt;=11)*(ACT_END&gt;=11)*IFERROR(ACT_UPLIFT-1,0)))*(1+SUMPRODUCT(SIGN(((ACT_DOOR_SCOPE="ALL")+(ACT_DOOR_SCOPE="TIER_"&amp;$F276)+(ACT_DOOR_SCOPE=$B276)))*SIGN(((ACT_SKU_SCOPE="ALL")+(ACT_SKU_SCOPE=$G276)))*(11&gt;ACT_END)*(ACT_END&gt;0)*IFERROR(ACT_POSTLIFT,0))),0)))</f>
        <v/>
      </c>
      <c r="U276" s="10">
        <f>IF(OR($H276&lt;&gt;"Y",12&lt;$I276),0,IF(SUMPRODUCT(((BULK_ENABLED="Y")*((BULK_TIER="ALL")+(BULK_TIER=$F276))*((BULK_SKU="ALL")+(BULK_SKU=$G276))*(BULK_START&lt;=12)*(BULK_END&gt;=12)))&gt;0,IFERROR(SUMPRODUCT(((BULK_ENABLED="Y")*((BULK_TIER="ALL")+(BULK_TIER=$F276))*((BULK_SKU="ALL")+(BULK_SKU=$G276))*(BULK_START&lt;=12)*(BULK_END&gt;=12))*IFERROR(BULK_VALUE,0))/MAX(1,SUMPRODUCT(((BULK_ENABLED="Y")*((BULK_TIER="ALL")+(BULK_TIER=$F276))*((BULK_SKU="ALL")+(BULK_SKU=$G276))*(BULK_START&lt;=12)*(BULK_END&gt;=12)))),0),ROUND((INDEX(VELOCITY_TABLE,MATCH($F276,TIER_LIST,0),2))*(IF((12-$I276+1)&lt;=0,0,IF((12-$I276+1)=1,RAMP_W1,IF((12-$I276+1)=2,RAMP_W2,IF((12-$I276+1)=3,RAMP_W3,RAMP_W4PLUS)))))*(INDEX(ACTIVE_MULT_TABLE,2,1))*(1+SUMPRODUCT(SIGN(((ACT_DOOR_SCOPE="ALL")+(ACT_DOOR_SCOPE="TIER_"&amp;$F276)+(ACT_DOOR_SCOPE=$B276)))*SIGN(((ACT_SKU_SCOPE="ALL")+(ACT_SKU_SCOPE=$G276)))*(ACT_START&lt;=12)*(ACT_END&gt;=12)*IFERROR(ACT_UPLIFT-1,0)))*(1+SUMPRODUCT(SIGN(((ACT_DOOR_SCOPE="ALL")+(ACT_DOOR_SCOPE="TIER_"&amp;$F276)+(ACT_DOOR_SCOPE=$B276)))*SIGN(((ACT_SKU_SCOPE="ALL")+(ACT_SKU_SCOPE=$G276)))*(12&gt;ACT_END)*(ACT_END&gt;0)*IFERROR(ACT_POSTLIFT,0))),0)))</f>
        <v/>
      </c>
      <c r="V276" s="10">
        <f>IF(OR($H276&lt;&gt;"Y",13&lt;$I276),0,IF(SUMPRODUCT(((BULK_ENABLED="Y")*((BULK_TIER="ALL")+(BULK_TIER=$F276))*((BULK_SKU="ALL")+(BULK_SKU=$G276))*(BULK_START&lt;=13)*(BULK_END&gt;=13)))&gt;0,IFERROR(SUMPRODUCT(((BULK_ENABLED="Y")*((BULK_TIER="ALL")+(BULK_TIER=$F276))*((BULK_SKU="ALL")+(BULK_SKU=$G276))*(BULK_START&lt;=13)*(BULK_END&gt;=13))*IFERROR(BULK_VALUE,0))/MAX(1,SUMPRODUCT(((BULK_ENABLED="Y")*((BULK_TIER="ALL")+(BULK_TIER=$F276))*((BULK_SKU="ALL")+(BULK_SKU=$G276))*(BULK_START&lt;=13)*(BULK_END&gt;=13)))),0),ROUND((INDEX(VELOCITY_TABLE,MATCH($F276,TIER_LIST,0),2))*(IF((13-$I276+1)&lt;=0,0,IF((13-$I276+1)=1,RAMP_W1,IF((13-$I276+1)=2,RAMP_W2,IF((13-$I276+1)=3,RAMP_W3,RAMP_W4PLUS)))))*(INDEX(ACTIVE_MULT_TABLE,2,1))*(1+SUMPRODUCT(SIGN(((ACT_DOOR_SCOPE="ALL")+(ACT_DOOR_SCOPE="TIER_"&amp;$F276)+(ACT_DOOR_SCOPE=$B276)))*SIGN(((ACT_SKU_SCOPE="ALL")+(ACT_SKU_SCOPE=$G276)))*(ACT_START&lt;=13)*(ACT_END&gt;=13)*IFERROR(ACT_UPLIFT-1,0)))*(1+SUMPRODUCT(SIGN(((ACT_DOOR_SCOPE="ALL")+(ACT_DOOR_SCOPE="TIER_"&amp;$F276)+(ACT_DOOR_SCOPE=$B276)))*SIGN(((ACT_SKU_SCOPE="ALL")+(ACT_SKU_SCOPE=$G276)))*(13&gt;ACT_END)*(ACT_END&gt;0)*IFERROR(ACT_POSTLIFT,0))),0)))</f>
        <v/>
      </c>
    </row>
    <row r="277">
      <c r="A277" t="inlineStr">
        <is>
          <t>R0273</t>
        </is>
      </c>
      <c r="B277">
        <f>Doors!$A$95</f>
        <v/>
      </c>
      <c r="C277">
        <f>Doors!$C$95</f>
        <v/>
      </c>
      <c r="D277">
        <f>Doors!$B$95</f>
        <v/>
      </c>
      <c r="E277">
        <f>Doors!$E$95</f>
        <v/>
      </c>
      <c r="F277">
        <f>Doors!$F$95</f>
        <v/>
      </c>
      <c r="G277" t="inlineStr">
        <is>
          <t>Raspberry</t>
        </is>
      </c>
      <c r="H277">
        <f>Doors!$I$95</f>
        <v/>
      </c>
      <c r="I277">
        <f>Doors!$J$95</f>
        <v/>
      </c>
      <c r="J277" s="10">
        <f>IF(OR($H277&lt;&gt;"Y",1&lt;$I277),0,IF(SUMPRODUCT(((BULK_ENABLED="Y")*((BULK_TIER="ALL")+(BULK_TIER=$F277))*((BULK_SKU="ALL")+(BULK_SKU=$G277))*(BULK_START&lt;=1)*(BULK_END&gt;=1)))&gt;0,IFERROR(SUMPRODUCT(((BULK_ENABLED="Y")*((BULK_TIER="ALL")+(BULK_TIER=$F277))*((BULK_SKU="ALL")+(BULK_SKU=$G277))*(BULK_START&lt;=1)*(BULK_END&gt;=1))*IFERROR(BULK_VALUE,0))/MAX(1,SUMPRODUCT(((BULK_ENABLED="Y")*((BULK_TIER="ALL")+(BULK_TIER=$F277))*((BULK_SKU="ALL")+(BULK_SKU=$G277))*(BULK_START&lt;=1)*(BULK_END&gt;=1)))),0),ROUND((INDEX(VELOCITY_TABLE,MATCH($F277,TIER_LIST,0),3))*(IF((1-$I277+1)&lt;=0,0,IF((1-$I277+1)=1,RAMP_W1,IF((1-$I277+1)=2,RAMP_W2,IF((1-$I277+1)=3,RAMP_W3,RAMP_W4PLUS)))))*(INDEX(ACTIVE_MULT_TABLE,3,1))*(1+SUMPRODUCT(SIGN(((ACT_DOOR_SCOPE="ALL")+(ACT_DOOR_SCOPE="TIER_"&amp;$F277)+(ACT_DOOR_SCOPE=$B277)))*SIGN(((ACT_SKU_SCOPE="ALL")+(ACT_SKU_SCOPE=$G277)))*(ACT_START&lt;=1)*(ACT_END&gt;=1)*IFERROR(ACT_UPLIFT-1,0)))*(1+SUMPRODUCT(SIGN(((ACT_DOOR_SCOPE="ALL")+(ACT_DOOR_SCOPE="TIER_"&amp;$F277)+(ACT_DOOR_SCOPE=$B277)))*SIGN(((ACT_SKU_SCOPE="ALL")+(ACT_SKU_SCOPE=$G277)))*(1&gt;ACT_END)*(ACT_END&gt;0)*IFERROR(ACT_POSTLIFT,0))),0)))</f>
        <v/>
      </c>
      <c r="K277" s="10">
        <f>IF(OR($H277&lt;&gt;"Y",2&lt;$I277),0,IF(SUMPRODUCT(((BULK_ENABLED="Y")*((BULK_TIER="ALL")+(BULK_TIER=$F277))*((BULK_SKU="ALL")+(BULK_SKU=$G277))*(BULK_START&lt;=2)*(BULK_END&gt;=2)))&gt;0,IFERROR(SUMPRODUCT(((BULK_ENABLED="Y")*((BULK_TIER="ALL")+(BULK_TIER=$F277))*((BULK_SKU="ALL")+(BULK_SKU=$G277))*(BULK_START&lt;=2)*(BULK_END&gt;=2))*IFERROR(BULK_VALUE,0))/MAX(1,SUMPRODUCT(((BULK_ENABLED="Y")*((BULK_TIER="ALL")+(BULK_TIER=$F277))*((BULK_SKU="ALL")+(BULK_SKU=$G277))*(BULK_START&lt;=2)*(BULK_END&gt;=2)))),0),ROUND((INDEX(VELOCITY_TABLE,MATCH($F277,TIER_LIST,0),3))*(IF((2-$I277+1)&lt;=0,0,IF((2-$I277+1)=1,RAMP_W1,IF((2-$I277+1)=2,RAMP_W2,IF((2-$I277+1)=3,RAMP_W3,RAMP_W4PLUS)))))*(INDEX(ACTIVE_MULT_TABLE,3,1))*(1+SUMPRODUCT(SIGN(((ACT_DOOR_SCOPE="ALL")+(ACT_DOOR_SCOPE="TIER_"&amp;$F277)+(ACT_DOOR_SCOPE=$B277)))*SIGN(((ACT_SKU_SCOPE="ALL")+(ACT_SKU_SCOPE=$G277)))*(ACT_START&lt;=2)*(ACT_END&gt;=2)*IFERROR(ACT_UPLIFT-1,0)))*(1+SUMPRODUCT(SIGN(((ACT_DOOR_SCOPE="ALL")+(ACT_DOOR_SCOPE="TIER_"&amp;$F277)+(ACT_DOOR_SCOPE=$B277)))*SIGN(((ACT_SKU_SCOPE="ALL")+(ACT_SKU_SCOPE=$G277)))*(2&gt;ACT_END)*(ACT_END&gt;0)*IFERROR(ACT_POSTLIFT,0))),0)))</f>
        <v/>
      </c>
      <c r="L277" s="10">
        <f>IF(OR($H277&lt;&gt;"Y",3&lt;$I277),0,IF(SUMPRODUCT(((BULK_ENABLED="Y")*((BULK_TIER="ALL")+(BULK_TIER=$F277))*((BULK_SKU="ALL")+(BULK_SKU=$G277))*(BULK_START&lt;=3)*(BULK_END&gt;=3)))&gt;0,IFERROR(SUMPRODUCT(((BULK_ENABLED="Y")*((BULK_TIER="ALL")+(BULK_TIER=$F277))*((BULK_SKU="ALL")+(BULK_SKU=$G277))*(BULK_START&lt;=3)*(BULK_END&gt;=3))*IFERROR(BULK_VALUE,0))/MAX(1,SUMPRODUCT(((BULK_ENABLED="Y")*((BULK_TIER="ALL")+(BULK_TIER=$F277))*((BULK_SKU="ALL")+(BULK_SKU=$G277))*(BULK_START&lt;=3)*(BULK_END&gt;=3)))),0),ROUND((INDEX(VELOCITY_TABLE,MATCH($F277,TIER_LIST,0),3))*(IF((3-$I277+1)&lt;=0,0,IF((3-$I277+1)=1,RAMP_W1,IF((3-$I277+1)=2,RAMP_W2,IF((3-$I277+1)=3,RAMP_W3,RAMP_W4PLUS)))))*(INDEX(ACTIVE_MULT_TABLE,3,1))*(1+SUMPRODUCT(SIGN(((ACT_DOOR_SCOPE="ALL")+(ACT_DOOR_SCOPE="TIER_"&amp;$F277)+(ACT_DOOR_SCOPE=$B277)))*SIGN(((ACT_SKU_SCOPE="ALL")+(ACT_SKU_SCOPE=$G277)))*(ACT_START&lt;=3)*(ACT_END&gt;=3)*IFERROR(ACT_UPLIFT-1,0)))*(1+SUMPRODUCT(SIGN(((ACT_DOOR_SCOPE="ALL")+(ACT_DOOR_SCOPE="TIER_"&amp;$F277)+(ACT_DOOR_SCOPE=$B277)))*SIGN(((ACT_SKU_SCOPE="ALL")+(ACT_SKU_SCOPE=$G277)))*(3&gt;ACT_END)*(ACT_END&gt;0)*IFERROR(ACT_POSTLIFT,0))),0)))</f>
        <v/>
      </c>
      <c r="M277" s="10">
        <f>IF(OR($H277&lt;&gt;"Y",4&lt;$I277),0,IF(SUMPRODUCT(((BULK_ENABLED="Y")*((BULK_TIER="ALL")+(BULK_TIER=$F277))*((BULK_SKU="ALL")+(BULK_SKU=$G277))*(BULK_START&lt;=4)*(BULK_END&gt;=4)))&gt;0,IFERROR(SUMPRODUCT(((BULK_ENABLED="Y")*((BULK_TIER="ALL")+(BULK_TIER=$F277))*((BULK_SKU="ALL")+(BULK_SKU=$G277))*(BULK_START&lt;=4)*(BULK_END&gt;=4))*IFERROR(BULK_VALUE,0))/MAX(1,SUMPRODUCT(((BULK_ENABLED="Y")*((BULK_TIER="ALL")+(BULK_TIER=$F277))*((BULK_SKU="ALL")+(BULK_SKU=$G277))*(BULK_START&lt;=4)*(BULK_END&gt;=4)))),0),ROUND((INDEX(VELOCITY_TABLE,MATCH($F277,TIER_LIST,0),3))*(IF((4-$I277+1)&lt;=0,0,IF((4-$I277+1)=1,RAMP_W1,IF((4-$I277+1)=2,RAMP_W2,IF((4-$I277+1)=3,RAMP_W3,RAMP_W4PLUS)))))*(INDEX(ACTIVE_MULT_TABLE,3,1))*(1+SUMPRODUCT(SIGN(((ACT_DOOR_SCOPE="ALL")+(ACT_DOOR_SCOPE="TIER_"&amp;$F277)+(ACT_DOOR_SCOPE=$B277)))*SIGN(((ACT_SKU_SCOPE="ALL")+(ACT_SKU_SCOPE=$G277)))*(ACT_START&lt;=4)*(ACT_END&gt;=4)*IFERROR(ACT_UPLIFT-1,0)))*(1+SUMPRODUCT(SIGN(((ACT_DOOR_SCOPE="ALL")+(ACT_DOOR_SCOPE="TIER_"&amp;$F277)+(ACT_DOOR_SCOPE=$B277)))*SIGN(((ACT_SKU_SCOPE="ALL")+(ACT_SKU_SCOPE=$G277)))*(4&gt;ACT_END)*(ACT_END&gt;0)*IFERROR(ACT_POSTLIFT,0))),0)))</f>
        <v/>
      </c>
      <c r="N277" s="10">
        <f>IF(OR($H277&lt;&gt;"Y",5&lt;$I277),0,IF(SUMPRODUCT(((BULK_ENABLED="Y")*((BULK_TIER="ALL")+(BULK_TIER=$F277))*((BULK_SKU="ALL")+(BULK_SKU=$G277))*(BULK_START&lt;=5)*(BULK_END&gt;=5)))&gt;0,IFERROR(SUMPRODUCT(((BULK_ENABLED="Y")*((BULK_TIER="ALL")+(BULK_TIER=$F277))*((BULK_SKU="ALL")+(BULK_SKU=$G277))*(BULK_START&lt;=5)*(BULK_END&gt;=5))*IFERROR(BULK_VALUE,0))/MAX(1,SUMPRODUCT(((BULK_ENABLED="Y")*((BULK_TIER="ALL")+(BULK_TIER=$F277))*((BULK_SKU="ALL")+(BULK_SKU=$G277))*(BULK_START&lt;=5)*(BULK_END&gt;=5)))),0),ROUND((INDEX(VELOCITY_TABLE,MATCH($F277,TIER_LIST,0),3))*(IF((5-$I277+1)&lt;=0,0,IF((5-$I277+1)=1,RAMP_W1,IF((5-$I277+1)=2,RAMP_W2,IF((5-$I277+1)=3,RAMP_W3,RAMP_W4PLUS)))))*(INDEX(ACTIVE_MULT_TABLE,3,1))*(1+SUMPRODUCT(SIGN(((ACT_DOOR_SCOPE="ALL")+(ACT_DOOR_SCOPE="TIER_"&amp;$F277)+(ACT_DOOR_SCOPE=$B277)))*SIGN(((ACT_SKU_SCOPE="ALL")+(ACT_SKU_SCOPE=$G277)))*(ACT_START&lt;=5)*(ACT_END&gt;=5)*IFERROR(ACT_UPLIFT-1,0)))*(1+SUMPRODUCT(SIGN(((ACT_DOOR_SCOPE="ALL")+(ACT_DOOR_SCOPE="TIER_"&amp;$F277)+(ACT_DOOR_SCOPE=$B277)))*SIGN(((ACT_SKU_SCOPE="ALL")+(ACT_SKU_SCOPE=$G277)))*(5&gt;ACT_END)*(ACT_END&gt;0)*IFERROR(ACT_POSTLIFT,0))),0)))</f>
        <v/>
      </c>
      <c r="O277" s="10">
        <f>IF(OR($H277&lt;&gt;"Y",6&lt;$I277),0,IF(SUMPRODUCT(((BULK_ENABLED="Y")*((BULK_TIER="ALL")+(BULK_TIER=$F277))*((BULK_SKU="ALL")+(BULK_SKU=$G277))*(BULK_START&lt;=6)*(BULK_END&gt;=6)))&gt;0,IFERROR(SUMPRODUCT(((BULK_ENABLED="Y")*((BULK_TIER="ALL")+(BULK_TIER=$F277))*((BULK_SKU="ALL")+(BULK_SKU=$G277))*(BULK_START&lt;=6)*(BULK_END&gt;=6))*IFERROR(BULK_VALUE,0))/MAX(1,SUMPRODUCT(((BULK_ENABLED="Y")*((BULK_TIER="ALL")+(BULK_TIER=$F277))*((BULK_SKU="ALL")+(BULK_SKU=$G277))*(BULK_START&lt;=6)*(BULK_END&gt;=6)))),0),ROUND((INDEX(VELOCITY_TABLE,MATCH($F277,TIER_LIST,0),3))*(IF((6-$I277+1)&lt;=0,0,IF((6-$I277+1)=1,RAMP_W1,IF((6-$I277+1)=2,RAMP_W2,IF((6-$I277+1)=3,RAMP_W3,RAMP_W4PLUS)))))*(INDEX(ACTIVE_MULT_TABLE,3,1))*(1+SUMPRODUCT(SIGN(((ACT_DOOR_SCOPE="ALL")+(ACT_DOOR_SCOPE="TIER_"&amp;$F277)+(ACT_DOOR_SCOPE=$B277)))*SIGN(((ACT_SKU_SCOPE="ALL")+(ACT_SKU_SCOPE=$G277)))*(ACT_START&lt;=6)*(ACT_END&gt;=6)*IFERROR(ACT_UPLIFT-1,0)))*(1+SUMPRODUCT(SIGN(((ACT_DOOR_SCOPE="ALL")+(ACT_DOOR_SCOPE="TIER_"&amp;$F277)+(ACT_DOOR_SCOPE=$B277)))*SIGN(((ACT_SKU_SCOPE="ALL")+(ACT_SKU_SCOPE=$G277)))*(6&gt;ACT_END)*(ACT_END&gt;0)*IFERROR(ACT_POSTLIFT,0))),0)))</f>
        <v/>
      </c>
      <c r="P277" s="10">
        <f>IF(OR($H277&lt;&gt;"Y",7&lt;$I277),0,IF(SUMPRODUCT(((BULK_ENABLED="Y")*((BULK_TIER="ALL")+(BULK_TIER=$F277))*((BULK_SKU="ALL")+(BULK_SKU=$G277))*(BULK_START&lt;=7)*(BULK_END&gt;=7)))&gt;0,IFERROR(SUMPRODUCT(((BULK_ENABLED="Y")*((BULK_TIER="ALL")+(BULK_TIER=$F277))*((BULK_SKU="ALL")+(BULK_SKU=$G277))*(BULK_START&lt;=7)*(BULK_END&gt;=7))*IFERROR(BULK_VALUE,0))/MAX(1,SUMPRODUCT(((BULK_ENABLED="Y")*((BULK_TIER="ALL")+(BULK_TIER=$F277))*((BULK_SKU="ALL")+(BULK_SKU=$G277))*(BULK_START&lt;=7)*(BULK_END&gt;=7)))),0),ROUND((INDEX(VELOCITY_TABLE,MATCH($F277,TIER_LIST,0),3))*(IF((7-$I277+1)&lt;=0,0,IF((7-$I277+1)=1,RAMP_W1,IF((7-$I277+1)=2,RAMP_W2,IF((7-$I277+1)=3,RAMP_W3,RAMP_W4PLUS)))))*(INDEX(ACTIVE_MULT_TABLE,3,1))*(1+SUMPRODUCT(SIGN(((ACT_DOOR_SCOPE="ALL")+(ACT_DOOR_SCOPE="TIER_"&amp;$F277)+(ACT_DOOR_SCOPE=$B277)))*SIGN(((ACT_SKU_SCOPE="ALL")+(ACT_SKU_SCOPE=$G277)))*(ACT_START&lt;=7)*(ACT_END&gt;=7)*IFERROR(ACT_UPLIFT-1,0)))*(1+SUMPRODUCT(SIGN(((ACT_DOOR_SCOPE="ALL")+(ACT_DOOR_SCOPE="TIER_"&amp;$F277)+(ACT_DOOR_SCOPE=$B277)))*SIGN(((ACT_SKU_SCOPE="ALL")+(ACT_SKU_SCOPE=$G277)))*(7&gt;ACT_END)*(ACT_END&gt;0)*IFERROR(ACT_POSTLIFT,0))),0)))</f>
        <v/>
      </c>
      <c r="Q277" s="10">
        <f>IF(OR($H277&lt;&gt;"Y",8&lt;$I277),0,IF(SUMPRODUCT(((BULK_ENABLED="Y")*((BULK_TIER="ALL")+(BULK_TIER=$F277))*((BULK_SKU="ALL")+(BULK_SKU=$G277))*(BULK_START&lt;=8)*(BULK_END&gt;=8)))&gt;0,IFERROR(SUMPRODUCT(((BULK_ENABLED="Y")*((BULK_TIER="ALL")+(BULK_TIER=$F277))*((BULK_SKU="ALL")+(BULK_SKU=$G277))*(BULK_START&lt;=8)*(BULK_END&gt;=8))*IFERROR(BULK_VALUE,0))/MAX(1,SUMPRODUCT(((BULK_ENABLED="Y")*((BULK_TIER="ALL")+(BULK_TIER=$F277))*((BULK_SKU="ALL")+(BULK_SKU=$G277))*(BULK_START&lt;=8)*(BULK_END&gt;=8)))),0),ROUND((INDEX(VELOCITY_TABLE,MATCH($F277,TIER_LIST,0),3))*(IF((8-$I277+1)&lt;=0,0,IF((8-$I277+1)=1,RAMP_W1,IF((8-$I277+1)=2,RAMP_W2,IF((8-$I277+1)=3,RAMP_W3,RAMP_W4PLUS)))))*(INDEX(ACTIVE_MULT_TABLE,3,1))*(1+SUMPRODUCT(SIGN(((ACT_DOOR_SCOPE="ALL")+(ACT_DOOR_SCOPE="TIER_"&amp;$F277)+(ACT_DOOR_SCOPE=$B277)))*SIGN(((ACT_SKU_SCOPE="ALL")+(ACT_SKU_SCOPE=$G277)))*(ACT_START&lt;=8)*(ACT_END&gt;=8)*IFERROR(ACT_UPLIFT-1,0)))*(1+SUMPRODUCT(SIGN(((ACT_DOOR_SCOPE="ALL")+(ACT_DOOR_SCOPE="TIER_"&amp;$F277)+(ACT_DOOR_SCOPE=$B277)))*SIGN(((ACT_SKU_SCOPE="ALL")+(ACT_SKU_SCOPE=$G277)))*(8&gt;ACT_END)*(ACT_END&gt;0)*IFERROR(ACT_POSTLIFT,0))),0)))</f>
        <v/>
      </c>
      <c r="R277" s="10">
        <f>IF(OR($H277&lt;&gt;"Y",9&lt;$I277),0,IF(SUMPRODUCT(((BULK_ENABLED="Y")*((BULK_TIER="ALL")+(BULK_TIER=$F277))*((BULK_SKU="ALL")+(BULK_SKU=$G277))*(BULK_START&lt;=9)*(BULK_END&gt;=9)))&gt;0,IFERROR(SUMPRODUCT(((BULK_ENABLED="Y")*((BULK_TIER="ALL")+(BULK_TIER=$F277))*((BULK_SKU="ALL")+(BULK_SKU=$G277))*(BULK_START&lt;=9)*(BULK_END&gt;=9))*IFERROR(BULK_VALUE,0))/MAX(1,SUMPRODUCT(((BULK_ENABLED="Y")*((BULK_TIER="ALL")+(BULK_TIER=$F277))*((BULK_SKU="ALL")+(BULK_SKU=$G277))*(BULK_START&lt;=9)*(BULK_END&gt;=9)))),0),ROUND((INDEX(VELOCITY_TABLE,MATCH($F277,TIER_LIST,0),3))*(IF((9-$I277+1)&lt;=0,0,IF((9-$I277+1)=1,RAMP_W1,IF((9-$I277+1)=2,RAMP_W2,IF((9-$I277+1)=3,RAMP_W3,RAMP_W4PLUS)))))*(INDEX(ACTIVE_MULT_TABLE,3,1))*(1+SUMPRODUCT(SIGN(((ACT_DOOR_SCOPE="ALL")+(ACT_DOOR_SCOPE="TIER_"&amp;$F277)+(ACT_DOOR_SCOPE=$B277)))*SIGN(((ACT_SKU_SCOPE="ALL")+(ACT_SKU_SCOPE=$G277)))*(ACT_START&lt;=9)*(ACT_END&gt;=9)*IFERROR(ACT_UPLIFT-1,0)))*(1+SUMPRODUCT(SIGN(((ACT_DOOR_SCOPE="ALL")+(ACT_DOOR_SCOPE="TIER_"&amp;$F277)+(ACT_DOOR_SCOPE=$B277)))*SIGN(((ACT_SKU_SCOPE="ALL")+(ACT_SKU_SCOPE=$G277)))*(9&gt;ACT_END)*(ACT_END&gt;0)*IFERROR(ACT_POSTLIFT,0))),0)))</f>
        <v/>
      </c>
      <c r="S277" s="10">
        <f>IF(OR($H277&lt;&gt;"Y",10&lt;$I277),0,IF(SUMPRODUCT(((BULK_ENABLED="Y")*((BULK_TIER="ALL")+(BULK_TIER=$F277))*((BULK_SKU="ALL")+(BULK_SKU=$G277))*(BULK_START&lt;=10)*(BULK_END&gt;=10)))&gt;0,IFERROR(SUMPRODUCT(((BULK_ENABLED="Y")*((BULK_TIER="ALL")+(BULK_TIER=$F277))*((BULK_SKU="ALL")+(BULK_SKU=$G277))*(BULK_START&lt;=10)*(BULK_END&gt;=10))*IFERROR(BULK_VALUE,0))/MAX(1,SUMPRODUCT(((BULK_ENABLED="Y")*((BULK_TIER="ALL")+(BULK_TIER=$F277))*((BULK_SKU="ALL")+(BULK_SKU=$G277))*(BULK_START&lt;=10)*(BULK_END&gt;=10)))),0),ROUND((INDEX(VELOCITY_TABLE,MATCH($F277,TIER_LIST,0),3))*(IF((10-$I277+1)&lt;=0,0,IF((10-$I277+1)=1,RAMP_W1,IF((10-$I277+1)=2,RAMP_W2,IF((10-$I277+1)=3,RAMP_W3,RAMP_W4PLUS)))))*(INDEX(ACTIVE_MULT_TABLE,3,1))*(1+SUMPRODUCT(SIGN(((ACT_DOOR_SCOPE="ALL")+(ACT_DOOR_SCOPE="TIER_"&amp;$F277)+(ACT_DOOR_SCOPE=$B277)))*SIGN(((ACT_SKU_SCOPE="ALL")+(ACT_SKU_SCOPE=$G277)))*(ACT_START&lt;=10)*(ACT_END&gt;=10)*IFERROR(ACT_UPLIFT-1,0)))*(1+SUMPRODUCT(SIGN(((ACT_DOOR_SCOPE="ALL")+(ACT_DOOR_SCOPE="TIER_"&amp;$F277)+(ACT_DOOR_SCOPE=$B277)))*SIGN(((ACT_SKU_SCOPE="ALL")+(ACT_SKU_SCOPE=$G277)))*(10&gt;ACT_END)*(ACT_END&gt;0)*IFERROR(ACT_POSTLIFT,0))),0)))</f>
        <v/>
      </c>
      <c r="T277" s="10">
        <f>IF(OR($H277&lt;&gt;"Y",11&lt;$I277),0,IF(SUMPRODUCT(((BULK_ENABLED="Y")*((BULK_TIER="ALL")+(BULK_TIER=$F277))*((BULK_SKU="ALL")+(BULK_SKU=$G277))*(BULK_START&lt;=11)*(BULK_END&gt;=11)))&gt;0,IFERROR(SUMPRODUCT(((BULK_ENABLED="Y")*((BULK_TIER="ALL")+(BULK_TIER=$F277))*((BULK_SKU="ALL")+(BULK_SKU=$G277))*(BULK_START&lt;=11)*(BULK_END&gt;=11))*IFERROR(BULK_VALUE,0))/MAX(1,SUMPRODUCT(((BULK_ENABLED="Y")*((BULK_TIER="ALL")+(BULK_TIER=$F277))*((BULK_SKU="ALL")+(BULK_SKU=$G277))*(BULK_START&lt;=11)*(BULK_END&gt;=11)))),0),ROUND((INDEX(VELOCITY_TABLE,MATCH($F277,TIER_LIST,0),3))*(IF((11-$I277+1)&lt;=0,0,IF((11-$I277+1)=1,RAMP_W1,IF((11-$I277+1)=2,RAMP_W2,IF((11-$I277+1)=3,RAMP_W3,RAMP_W4PLUS)))))*(INDEX(ACTIVE_MULT_TABLE,3,1))*(1+SUMPRODUCT(SIGN(((ACT_DOOR_SCOPE="ALL")+(ACT_DOOR_SCOPE="TIER_"&amp;$F277)+(ACT_DOOR_SCOPE=$B277)))*SIGN(((ACT_SKU_SCOPE="ALL")+(ACT_SKU_SCOPE=$G277)))*(ACT_START&lt;=11)*(ACT_END&gt;=11)*IFERROR(ACT_UPLIFT-1,0)))*(1+SUMPRODUCT(SIGN(((ACT_DOOR_SCOPE="ALL")+(ACT_DOOR_SCOPE="TIER_"&amp;$F277)+(ACT_DOOR_SCOPE=$B277)))*SIGN(((ACT_SKU_SCOPE="ALL")+(ACT_SKU_SCOPE=$G277)))*(11&gt;ACT_END)*(ACT_END&gt;0)*IFERROR(ACT_POSTLIFT,0))),0)))</f>
        <v/>
      </c>
      <c r="U277" s="10">
        <f>IF(OR($H277&lt;&gt;"Y",12&lt;$I277),0,IF(SUMPRODUCT(((BULK_ENABLED="Y")*((BULK_TIER="ALL")+(BULK_TIER=$F277))*((BULK_SKU="ALL")+(BULK_SKU=$G277))*(BULK_START&lt;=12)*(BULK_END&gt;=12)))&gt;0,IFERROR(SUMPRODUCT(((BULK_ENABLED="Y")*((BULK_TIER="ALL")+(BULK_TIER=$F277))*((BULK_SKU="ALL")+(BULK_SKU=$G277))*(BULK_START&lt;=12)*(BULK_END&gt;=12))*IFERROR(BULK_VALUE,0))/MAX(1,SUMPRODUCT(((BULK_ENABLED="Y")*((BULK_TIER="ALL")+(BULK_TIER=$F277))*((BULK_SKU="ALL")+(BULK_SKU=$G277))*(BULK_START&lt;=12)*(BULK_END&gt;=12)))),0),ROUND((INDEX(VELOCITY_TABLE,MATCH($F277,TIER_LIST,0),3))*(IF((12-$I277+1)&lt;=0,0,IF((12-$I277+1)=1,RAMP_W1,IF((12-$I277+1)=2,RAMP_W2,IF((12-$I277+1)=3,RAMP_W3,RAMP_W4PLUS)))))*(INDEX(ACTIVE_MULT_TABLE,3,1))*(1+SUMPRODUCT(SIGN(((ACT_DOOR_SCOPE="ALL")+(ACT_DOOR_SCOPE="TIER_"&amp;$F277)+(ACT_DOOR_SCOPE=$B277)))*SIGN(((ACT_SKU_SCOPE="ALL")+(ACT_SKU_SCOPE=$G277)))*(ACT_START&lt;=12)*(ACT_END&gt;=12)*IFERROR(ACT_UPLIFT-1,0)))*(1+SUMPRODUCT(SIGN(((ACT_DOOR_SCOPE="ALL")+(ACT_DOOR_SCOPE="TIER_"&amp;$F277)+(ACT_DOOR_SCOPE=$B277)))*SIGN(((ACT_SKU_SCOPE="ALL")+(ACT_SKU_SCOPE=$G277)))*(12&gt;ACT_END)*(ACT_END&gt;0)*IFERROR(ACT_POSTLIFT,0))),0)))</f>
        <v/>
      </c>
      <c r="V277" s="10">
        <f>IF(OR($H277&lt;&gt;"Y",13&lt;$I277),0,IF(SUMPRODUCT(((BULK_ENABLED="Y")*((BULK_TIER="ALL")+(BULK_TIER=$F277))*((BULK_SKU="ALL")+(BULK_SKU=$G277))*(BULK_START&lt;=13)*(BULK_END&gt;=13)))&gt;0,IFERROR(SUMPRODUCT(((BULK_ENABLED="Y")*((BULK_TIER="ALL")+(BULK_TIER=$F277))*((BULK_SKU="ALL")+(BULK_SKU=$G277))*(BULK_START&lt;=13)*(BULK_END&gt;=13))*IFERROR(BULK_VALUE,0))/MAX(1,SUMPRODUCT(((BULK_ENABLED="Y")*((BULK_TIER="ALL")+(BULK_TIER=$F277))*((BULK_SKU="ALL")+(BULK_SKU=$G277))*(BULK_START&lt;=13)*(BULK_END&gt;=13)))),0),ROUND((INDEX(VELOCITY_TABLE,MATCH($F277,TIER_LIST,0),3))*(IF((13-$I277+1)&lt;=0,0,IF((13-$I277+1)=1,RAMP_W1,IF((13-$I277+1)=2,RAMP_W2,IF((13-$I277+1)=3,RAMP_W3,RAMP_W4PLUS)))))*(INDEX(ACTIVE_MULT_TABLE,3,1))*(1+SUMPRODUCT(SIGN(((ACT_DOOR_SCOPE="ALL")+(ACT_DOOR_SCOPE="TIER_"&amp;$F277)+(ACT_DOOR_SCOPE=$B277)))*SIGN(((ACT_SKU_SCOPE="ALL")+(ACT_SKU_SCOPE=$G277)))*(ACT_START&lt;=13)*(ACT_END&gt;=13)*IFERROR(ACT_UPLIFT-1,0)))*(1+SUMPRODUCT(SIGN(((ACT_DOOR_SCOPE="ALL")+(ACT_DOOR_SCOPE="TIER_"&amp;$F277)+(ACT_DOOR_SCOPE=$B277)))*SIGN(((ACT_SKU_SCOPE="ALL")+(ACT_SKU_SCOPE=$G277)))*(13&gt;ACT_END)*(ACT_END&gt;0)*IFERROR(ACT_POSTLIFT,0))),0)))</f>
        <v/>
      </c>
    </row>
    <row r="278">
      <c r="A278" t="inlineStr">
        <is>
          <t>R0274</t>
        </is>
      </c>
      <c r="B278">
        <f>Doors!$A$96</f>
        <v/>
      </c>
      <c r="C278">
        <f>Doors!$C$96</f>
        <v/>
      </c>
      <c r="D278">
        <f>Doors!$B$96</f>
        <v/>
      </c>
      <c r="E278">
        <f>Doors!$E$96</f>
        <v/>
      </c>
      <c r="F278">
        <f>Doors!$F$96</f>
        <v/>
      </c>
      <c r="G278" t="inlineStr">
        <is>
          <t>Lime Lemon</t>
        </is>
      </c>
      <c r="H278">
        <f>Doors!$G$96</f>
        <v/>
      </c>
      <c r="I278">
        <f>Doors!$J$96</f>
        <v/>
      </c>
      <c r="J278" s="10">
        <f>IF(OR($H278&lt;&gt;"Y",1&lt;$I278),0,IF(SUMPRODUCT(((BULK_ENABLED="Y")*((BULK_TIER="ALL")+(BULK_TIER=$F278))*((BULK_SKU="ALL")+(BULK_SKU=$G278))*(BULK_START&lt;=1)*(BULK_END&gt;=1)))&gt;0,IFERROR(SUMPRODUCT(((BULK_ENABLED="Y")*((BULK_TIER="ALL")+(BULK_TIER=$F278))*((BULK_SKU="ALL")+(BULK_SKU=$G278))*(BULK_START&lt;=1)*(BULK_END&gt;=1))*IFERROR(BULK_VALUE,0))/MAX(1,SUMPRODUCT(((BULK_ENABLED="Y")*((BULK_TIER="ALL")+(BULK_TIER=$F278))*((BULK_SKU="ALL")+(BULK_SKU=$G278))*(BULK_START&lt;=1)*(BULK_END&gt;=1)))),0),ROUND((INDEX(VELOCITY_TABLE,MATCH($F278,TIER_LIST,0),1))*(IF((1-$I278+1)&lt;=0,0,IF((1-$I278+1)=1,RAMP_W1,IF((1-$I278+1)=2,RAMP_W2,IF((1-$I278+1)=3,RAMP_W3,RAMP_W4PLUS)))))*(INDEX(ACTIVE_MULT_TABLE,1,1))*(1+SUMPRODUCT(SIGN(((ACT_DOOR_SCOPE="ALL")+(ACT_DOOR_SCOPE="TIER_"&amp;$F278)+(ACT_DOOR_SCOPE=$B278)))*SIGN(((ACT_SKU_SCOPE="ALL")+(ACT_SKU_SCOPE=$G278)))*(ACT_START&lt;=1)*(ACT_END&gt;=1)*IFERROR(ACT_UPLIFT-1,0)))*(1+SUMPRODUCT(SIGN(((ACT_DOOR_SCOPE="ALL")+(ACT_DOOR_SCOPE="TIER_"&amp;$F278)+(ACT_DOOR_SCOPE=$B278)))*SIGN(((ACT_SKU_SCOPE="ALL")+(ACT_SKU_SCOPE=$G278)))*(1&gt;ACT_END)*(ACT_END&gt;0)*IFERROR(ACT_POSTLIFT,0))),0)))</f>
        <v/>
      </c>
      <c r="K278" s="10">
        <f>IF(OR($H278&lt;&gt;"Y",2&lt;$I278),0,IF(SUMPRODUCT(((BULK_ENABLED="Y")*((BULK_TIER="ALL")+(BULK_TIER=$F278))*((BULK_SKU="ALL")+(BULK_SKU=$G278))*(BULK_START&lt;=2)*(BULK_END&gt;=2)))&gt;0,IFERROR(SUMPRODUCT(((BULK_ENABLED="Y")*((BULK_TIER="ALL")+(BULK_TIER=$F278))*((BULK_SKU="ALL")+(BULK_SKU=$G278))*(BULK_START&lt;=2)*(BULK_END&gt;=2))*IFERROR(BULK_VALUE,0))/MAX(1,SUMPRODUCT(((BULK_ENABLED="Y")*((BULK_TIER="ALL")+(BULK_TIER=$F278))*((BULK_SKU="ALL")+(BULK_SKU=$G278))*(BULK_START&lt;=2)*(BULK_END&gt;=2)))),0),ROUND((INDEX(VELOCITY_TABLE,MATCH($F278,TIER_LIST,0),1))*(IF((2-$I278+1)&lt;=0,0,IF((2-$I278+1)=1,RAMP_W1,IF((2-$I278+1)=2,RAMP_W2,IF((2-$I278+1)=3,RAMP_W3,RAMP_W4PLUS)))))*(INDEX(ACTIVE_MULT_TABLE,1,1))*(1+SUMPRODUCT(SIGN(((ACT_DOOR_SCOPE="ALL")+(ACT_DOOR_SCOPE="TIER_"&amp;$F278)+(ACT_DOOR_SCOPE=$B278)))*SIGN(((ACT_SKU_SCOPE="ALL")+(ACT_SKU_SCOPE=$G278)))*(ACT_START&lt;=2)*(ACT_END&gt;=2)*IFERROR(ACT_UPLIFT-1,0)))*(1+SUMPRODUCT(SIGN(((ACT_DOOR_SCOPE="ALL")+(ACT_DOOR_SCOPE="TIER_"&amp;$F278)+(ACT_DOOR_SCOPE=$B278)))*SIGN(((ACT_SKU_SCOPE="ALL")+(ACT_SKU_SCOPE=$G278)))*(2&gt;ACT_END)*(ACT_END&gt;0)*IFERROR(ACT_POSTLIFT,0))),0)))</f>
        <v/>
      </c>
      <c r="L278" s="10">
        <f>IF(OR($H278&lt;&gt;"Y",3&lt;$I278),0,IF(SUMPRODUCT(((BULK_ENABLED="Y")*((BULK_TIER="ALL")+(BULK_TIER=$F278))*((BULK_SKU="ALL")+(BULK_SKU=$G278))*(BULK_START&lt;=3)*(BULK_END&gt;=3)))&gt;0,IFERROR(SUMPRODUCT(((BULK_ENABLED="Y")*((BULK_TIER="ALL")+(BULK_TIER=$F278))*((BULK_SKU="ALL")+(BULK_SKU=$G278))*(BULK_START&lt;=3)*(BULK_END&gt;=3))*IFERROR(BULK_VALUE,0))/MAX(1,SUMPRODUCT(((BULK_ENABLED="Y")*((BULK_TIER="ALL")+(BULK_TIER=$F278))*((BULK_SKU="ALL")+(BULK_SKU=$G278))*(BULK_START&lt;=3)*(BULK_END&gt;=3)))),0),ROUND((INDEX(VELOCITY_TABLE,MATCH($F278,TIER_LIST,0),1))*(IF((3-$I278+1)&lt;=0,0,IF((3-$I278+1)=1,RAMP_W1,IF((3-$I278+1)=2,RAMP_W2,IF((3-$I278+1)=3,RAMP_W3,RAMP_W4PLUS)))))*(INDEX(ACTIVE_MULT_TABLE,1,1))*(1+SUMPRODUCT(SIGN(((ACT_DOOR_SCOPE="ALL")+(ACT_DOOR_SCOPE="TIER_"&amp;$F278)+(ACT_DOOR_SCOPE=$B278)))*SIGN(((ACT_SKU_SCOPE="ALL")+(ACT_SKU_SCOPE=$G278)))*(ACT_START&lt;=3)*(ACT_END&gt;=3)*IFERROR(ACT_UPLIFT-1,0)))*(1+SUMPRODUCT(SIGN(((ACT_DOOR_SCOPE="ALL")+(ACT_DOOR_SCOPE="TIER_"&amp;$F278)+(ACT_DOOR_SCOPE=$B278)))*SIGN(((ACT_SKU_SCOPE="ALL")+(ACT_SKU_SCOPE=$G278)))*(3&gt;ACT_END)*(ACT_END&gt;0)*IFERROR(ACT_POSTLIFT,0))),0)))</f>
        <v/>
      </c>
      <c r="M278" s="10">
        <f>IF(OR($H278&lt;&gt;"Y",4&lt;$I278),0,IF(SUMPRODUCT(((BULK_ENABLED="Y")*((BULK_TIER="ALL")+(BULK_TIER=$F278))*((BULK_SKU="ALL")+(BULK_SKU=$G278))*(BULK_START&lt;=4)*(BULK_END&gt;=4)))&gt;0,IFERROR(SUMPRODUCT(((BULK_ENABLED="Y")*((BULK_TIER="ALL")+(BULK_TIER=$F278))*((BULK_SKU="ALL")+(BULK_SKU=$G278))*(BULK_START&lt;=4)*(BULK_END&gt;=4))*IFERROR(BULK_VALUE,0))/MAX(1,SUMPRODUCT(((BULK_ENABLED="Y")*((BULK_TIER="ALL")+(BULK_TIER=$F278))*((BULK_SKU="ALL")+(BULK_SKU=$G278))*(BULK_START&lt;=4)*(BULK_END&gt;=4)))),0),ROUND((INDEX(VELOCITY_TABLE,MATCH($F278,TIER_LIST,0),1))*(IF((4-$I278+1)&lt;=0,0,IF((4-$I278+1)=1,RAMP_W1,IF((4-$I278+1)=2,RAMP_W2,IF((4-$I278+1)=3,RAMP_W3,RAMP_W4PLUS)))))*(INDEX(ACTIVE_MULT_TABLE,1,1))*(1+SUMPRODUCT(SIGN(((ACT_DOOR_SCOPE="ALL")+(ACT_DOOR_SCOPE="TIER_"&amp;$F278)+(ACT_DOOR_SCOPE=$B278)))*SIGN(((ACT_SKU_SCOPE="ALL")+(ACT_SKU_SCOPE=$G278)))*(ACT_START&lt;=4)*(ACT_END&gt;=4)*IFERROR(ACT_UPLIFT-1,0)))*(1+SUMPRODUCT(SIGN(((ACT_DOOR_SCOPE="ALL")+(ACT_DOOR_SCOPE="TIER_"&amp;$F278)+(ACT_DOOR_SCOPE=$B278)))*SIGN(((ACT_SKU_SCOPE="ALL")+(ACT_SKU_SCOPE=$G278)))*(4&gt;ACT_END)*(ACT_END&gt;0)*IFERROR(ACT_POSTLIFT,0))),0)))</f>
        <v/>
      </c>
      <c r="N278" s="10">
        <f>IF(OR($H278&lt;&gt;"Y",5&lt;$I278),0,IF(SUMPRODUCT(((BULK_ENABLED="Y")*((BULK_TIER="ALL")+(BULK_TIER=$F278))*((BULK_SKU="ALL")+(BULK_SKU=$G278))*(BULK_START&lt;=5)*(BULK_END&gt;=5)))&gt;0,IFERROR(SUMPRODUCT(((BULK_ENABLED="Y")*((BULK_TIER="ALL")+(BULK_TIER=$F278))*((BULK_SKU="ALL")+(BULK_SKU=$G278))*(BULK_START&lt;=5)*(BULK_END&gt;=5))*IFERROR(BULK_VALUE,0))/MAX(1,SUMPRODUCT(((BULK_ENABLED="Y")*((BULK_TIER="ALL")+(BULK_TIER=$F278))*((BULK_SKU="ALL")+(BULK_SKU=$G278))*(BULK_START&lt;=5)*(BULK_END&gt;=5)))),0),ROUND((INDEX(VELOCITY_TABLE,MATCH($F278,TIER_LIST,0),1))*(IF((5-$I278+1)&lt;=0,0,IF((5-$I278+1)=1,RAMP_W1,IF((5-$I278+1)=2,RAMP_W2,IF((5-$I278+1)=3,RAMP_W3,RAMP_W4PLUS)))))*(INDEX(ACTIVE_MULT_TABLE,1,1))*(1+SUMPRODUCT(SIGN(((ACT_DOOR_SCOPE="ALL")+(ACT_DOOR_SCOPE="TIER_"&amp;$F278)+(ACT_DOOR_SCOPE=$B278)))*SIGN(((ACT_SKU_SCOPE="ALL")+(ACT_SKU_SCOPE=$G278)))*(ACT_START&lt;=5)*(ACT_END&gt;=5)*IFERROR(ACT_UPLIFT-1,0)))*(1+SUMPRODUCT(SIGN(((ACT_DOOR_SCOPE="ALL")+(ACT_DOOR_SCOPE="TIER_"&amp;$F278)+(ACT_DOOR_SCOPE=$B278)))*SIGN(((ACT_SKU_SCOPE="ALL")+(ACT_SKU_SCOPE=$G278)))*(5&gt;ACT_END)*(ACT_END&gt;0)*IFERROR(ACT_POSTLIFT,0))),0)))</f>
        <v/>
      </c>
      <c r="O278" s="10">
        <f>IF(OR($H278&lt;&gt;"Y",6&lt;$I278),0,IF(SUMPRODUCT(((BULK_ENABLED="Y")*((BULK_TIER="ALL")+(BULK_TIER=$F278))*((BULK_SKU="ALL")+(BULK_SKU=$G278))*(BULK_START&lt;=6)*(BULK_END&gt;=6)))&gt;0,IFERROR(SUMPRODUCT(((BULK_ENABLED="Y")*((BULK_TIER="ALL")+(BULK_TIER=$F278))*((BULK_SKU="ALL")+(BULK_SKU=$G278))*(BULK_START&lt;=6)*(BULK_END&gt;=6))*IFERROR(BULK_VALUE,0))/MAX(1,SUMPRODUCT(((BULK_ENABLED="Y")*((BULK_TIER="ALL")+(BULK_TIER=$F278))*((BULK_SKU="ALL")+(BULK_SKU=$G278))*(BULK_START&lt;=6)*(BULK_END&gt;=6)))),0),ROUND((INDEX(VELOCITY_TABLE,MATCH($F278,TIER_LIST,0),1))*(IF((6-$I278+1)&lt;=0,0,IF((6-$I278+1)=1,RAMP_W1,IF((6-$I278+1)=2,RAMP_W2,IF((6-$I278+1)=3,RAMP_W3,RAMP_W4PLUS)))))*(INDEX(ACTIVE_MULT_TABLE,1,1))*(1+SUMPRODUCT(SIGN(((ACT_DOOR_SCOPE="ALL")+(ACT_DOOR_SCOPE="TIER_"&amp;$F278)+(ACT_DOOR_SCOPE=$B278)))*SIGN(((ACT_SKU_SCOPE="ALL")+(ACT_SKU_SCOPE=$G278)))*(ACT_START&lt;=6)*(ACT_END&gt;=6)*IFERROR(ACT_UPLIFT-1,0)))*(1+SUMPRODUCT(SIGN(((ACT_DOOR_SCOPE="ALL")+(ACT_DOOR_SCOPE="TIER_"&amp;$F278)+(ACT_DOOR_SCOPE=$B278)))*SIGN(((ACT_SKU_SCOPE="ALL")+(ACT_SKU_SCOPE=$G278)))*(6&gt;ACT_END)*(ACT_END&gt;0)*IFERROR(ACT_POSTLIFT,0))),0)))</f>
        <v/>
      </c>
      <c r="P278" s="10">
        <f>IF(OR($H278&lt;&gt;"Y",7&lt;$I278),0,IF(SUMPRODUCT(((BULK_ENABLED="Y")*((BULK_TIER="ALL")+(BULK_TIER=$F278))*((BULK_SKU="ALL")+(BULK_SKU=$G278))*(BULK_START&lt;=7)*(BULK_END&gt;=7)))&gt;0,IFERROR(SUMPRODUCT(((BULK_ENABLED="Y")*((BULK_TIER="ALL")+(BULK_TIER=$F278))*((BULK_SKU="ALL")+(BULK_SKU=$G278))*(BULK_START&lt;=7)*(BULK_END&gt;=7))*IFERROR(BULK_VALUE,0))/MAX(1,SUMPRODUCT(((BULK_ENABLED="Y")*((BULK_TIER="ALL")+(BULK_TIER=$F278))*((BULK_SKU="ALL")+(BULK_SKU=$G278))*(BULK_START&lt;=7)*(BULK_END&gt;=7)))),0),ROUND((INDEX(VELOCITY_TABLE,MATCH($F278,TIER_LIST,0),1))*(IF((7-$I278+1)&lt;=0,0,IF((7-$I278+1)=1,RAMP_W1,IF((7-$I278+1)=2,RAMP_W2,IF((7-$I278+1)=3,RAMP_W3,RAMP_W4PLUS)))))*(INDEX(ACTIVE_MULT_TABLE,1,1))*(1+SUMPRODUCT(SIGN(((ACT_DOOR_SCOPE="ALL")+(ACT_DOOR_SCOPE="TIER_"&amp;$F278)+(ACT_DOOR_SCOPE=$B278)))*SIGN(((ACT_SKU_SCOPE="ALL")+(ACT_SKU_SCOPE=$G278)))*(ACT_START&lt;=7)*(ACT_END&gt;=7)*IFERROR(ACT_UPLIFT-1,0)))*(1+SUMPRODUCT(SIGN(((ACT_DOOR_SCOPE="ALL")+(ACT_DOOR_SCOPE="TIER_"&amp;$F278)+(ACT_DOOR_SCOPE=$B278)))*SIGN(((ACT_SKU_SCOPE="ALL")+(ACT_SKU_SCOPE=$G278)))*(7&gt;ACT_END)*(ACT_END&gt;0)*IFERROR(ACT_POSTLIFT,0))),0)))</f>
        <v/>
      </c>
      <c r="Q278" s="10">
        <f>IF(OR($H278&lt;&gt;"Y",8&lt;$I278),0,IF(SUMPRODUCT(((BULK_ENABLED="Y")*((BULK_TIER="ALL")+(BULK_TIER=$F278))*((BULK_SKU="ALL")+(BULK_SKU=$G278))*(BULK_START&lt;=8)*(BULK_END&gt;=8)))&gt;0,IFERROR(SUMPRODUCT(((BULK_ENABLED="Y")*((BULK_TIER="ALL")+(BULK_TIER=$F278))*((BULK_SKU="ALL")+(BULK_SKU=$G278))*(BULK_START&lt;=8)*(BULK_END&gt;=8))*IFERROR(BULK_VALUE,0))/MAX(1,SUMPRODUCT(((BULK_ENABLED="Y")*((BULK_TIER="ALL")+(BULK_TIER=$F278))*((BULK_SKU="ALL")+(BULK_SKU=$G278))*(BULK_START&lt;=8)*(BULK_END&gt;=8)))),0),ROUND((INDEX(VELOCITY_TABLE,MATCH($F278,TIER_LIST,0),1))*(IF((8-$I278+1)&lt;=0,0,IF((8-$I278+1)=1,RAMP_W1,IF((8-$I278+1)=2,RAMP_W2,IF((8-$I278+1)=3,RAMP_W3,RAMP_W4PLUS)))))*(INDEX(ACTIVE_MULT_TABLE,1,1))*(1+SUMPRODUCT(SIGN(((ACT_DOOR_SCOPE="ALL")+(ACT_DOOR_SCOPE="TIER_"&amp;$F278)+(ACT_DOOR_SCOPE=$B278)))*SIGN(((ACT_SKU_SCOPE="ALL")+(ACT_SKU_SCOPE=$G278)))*(ACT_START&lt;=8)*(ACT_END&gt;=8)*IFERROR(ACT_UPLIFT-1,0)))*(1+SUMPRODUCT(SIGN(((ACT_DOOR_SCOPE="ALL")+(ACT_DOOR_SCOPE="TIER_"&amp;$F278)+(ACT_DOOR_SCOPE=$B278)))*SIGN(((ACT_SKU_SCOPE="ALL")+(ACT_SKU_SCOPE=$G278)))*(8&gt;ACT_END)*(ACT_END&gt;0)*IFERROR(ACT_POSTLIFT,0))),0)))</f>
        <v/>
      </c>
      <c r="R278" s="10">
        <f>IF(OR($H278&lt;&gt;"Y",9&lt;$I278),0,IF(SUMPRODUCT(((BULK_ENABLED="Y")*((BULK_TIER="ALL")+(BULK_TIER=$F278))*((BULK_SKU="ALL")+(BULK_SKU=$G278))*(BULK_START&lt;=9)*(BULK_END&gt;=9)))&gt;0,IFERROR(SUMPRODUCT(((BULK_ENABLED="Y")*((BULK_TIER="ALL")+(BULK_TIER=$F278))*((BULK_SKU="ALL")+(BULK_SKU=$G278))*(BULK_START&lt;=9)*(BULK_END&gt;=9))*IFERROR(BULK_VALUE,0))/MAX(1,SUMPRODUCT(((BULK_ENABLED="Y")*((BULK_TIER="ALL")+(BULK_TIER=$F278))*((BULK_SKU="ALL")+(BULK_SKU=$G278))*(BULK_START&lt;=9)*(BULK_END&gt;=9)))),0),ROUND((INDEX(VELOCITY_TABLE,MATCH($F278,TIER_LIST,0),1))*(IF((9-$I278+1)&lt;=0,0,IF((9-$I278+1)=1,RAMP_W1,IF((9-$I278+1)=2,RAMP_W2,IF((9-$I278+1)=3,RAMP_W3,RAMP_W4PLUS)))))*(INDEX(ACTIVE_MULT_TABLE,1,1))*(1+SUMPRODUCT(SIGN(((ACT_DOOR_SCOPE="ALL")+(ACT_DOOR_SCOPE="TIER_"&amp;$F278)+(ACT_DOOR_SCOPE=$B278)))*SIGN(((ACT_SKU_SCOPE="ALL")+(ACT_SKU_SCOPE=$G278)))*(ACT_START&lt;=9)*(ACT_END&gt;=9)*IFERROR(ACT_UPLIFT-1,0)))*(1+SUMPRODUCT(SIGN(((ACT_DOOR_SCOPE="ALL")+(ACT_DOOR_SCOPE="TIER_"&amp;$F278)+(ACT_DOOR_SCOPE=$B278)))*SIGN(((ACT_SKU_SCOPE="ALL")+(ACT_SKU_SCOPE=$G278)))*(9&gt;ACT_END)*(ACT_END&gt;0)*IFERROR(ACT_POSTLIFT,0))),0)))</f>
        <v/>
      </c>
      <c r="S278" s="10">
        <f>IF(OR($H278&lt;&gt;"Y",10&lt;$I278),0,IF(SUMPRODUCT(((BULK_ENABLED="Y")*((BULK_TIER="ALL")+(BULK_TIER=$F278))*((BULK_SKU="ALL")+(BULK_SKU=$G278))*(BULK_START&lt;=10)*(BULK_END&gt;=10)))&gt;0,IFERROR(SUMPRODUCT(((BULK_ENABLED="Y")*((BULK_TIER="ALL")+(BULK_TIER=$F278))*((BULK_SKU="ALL")+(BULK_SKU=$G278))*(BULK_START&lt;=10)*(BULK_END&gt;=10))*IFERROR(BULK_VALUE,0))/MAX(1,SUMPRODUCT(((BULK_ENABLED="Y")*((BULK_TIER="ALL")+(BULK_TIER=$F278))*((BULK_SKU="ALL")+(BULK_SKU=$G278))*(BULK_START&lt;=10)*(BULK_END&gt;=10)))),0),ROUND((INDEX(VELOCITY_TABLE,MATCH($F278,TIER_LIST,0),1))*(IF((10-$I278+1)&lt;=0,0,IF((10-$I278+1)=1,RAMP_W1,IF((10-$I278+1)=2,RAMP_W2,IF((10-$I278+1)=3,RAMP_W3,RAMP_W4PLUS)))))*(INDEX(ACTIVE_MULT_TABLE,1,1))*(1+SUMPRODUCT(SIGN(((ACT_DOOR_SCOPE="ALL")+(ACT_DOOR_SCOPE="TIER_"&amp;$F278)+(ACT_DOOR_SCOPE=$B278)))*SIGN(((ACT_SKU_SCOPE="ALL")+(ACT_SKU_SCOPE=$G278)))*(ACT_START&lt;=10)*(ACT_END&gt;=10)*IFERROR(ACT_UPLIFT-1,0)))*(1+SUMPRODUCT(SIGN(((ACT_DOOR_SCOPE="ALL")+(ACT_DOOR_SCOPE="TIER_"&amp;$F278)+(ACT_DOOR_SCOPE=$B278)))*SIGN(((ACT_SKU_SCOPE="ALL")+(ACT_SKU_SCOPE=$G278)))*(10&gt;ACT_END)*(ACT_END&gt;0)*IFERROR(ACT_POSTLIFT,0))),0)))</f>
        <v/>
      </c>
      <c r="T278" s="10">
        <f>IF(OR($H278&lt;&gt;"Y",11&lt;$I278),0,IF(SUMPRODUCT(((BULK_ENABLED="Y")*((BULK_TIER="ALL")+(BULK_TIER=$F278))*((BULK_SKU="ALL")+(BULK_SKU=$G278))*(BULK_START&lt;=11)*(BULK_END&gt;=11)))&gt;0,IFERROR(SUMPRODUCT(((BULK_ENABLED="Y")*((BULK_TIER="ALL")+(BULK_TIER=$F278))*((BULK_SKU="ALL")+(BULK_SKU=$G278))*(BULK_START&lt;=11)*(BULK_END&gt;=11))*IFERROR(BULK_VALUE,0))/MAX(1,SUMPRODUCT(((BULK_ENABLED="Y")*((BULK_TIER="ALL")+(BULK_TIER=$F278))*((BULK_SKU="ALL")+(BULK_SKU=$G278))*(BULK_START&lt;=11)*(BULK_END&gt;=11)))),0),ROUND((INDEX(VELOCITY_TABLE,MATCH($F278,TIER_LIST,0),1))*(IF((11-$I278+1)&lt;=0,0,IF((11-$I278+1)=1,RAMP_W1,IF((11-$I278+1)=2,RAMP_W2,IF((11-$I278+1)=3,RAMP_W3,RAMP_W4PLUS)))))*(INDEX(ACTIVE_MULT_TABLE,1,1))*(1+SUMPRODUCT(SIGN(((ACT_DOOR_SCOPE="ALL")+(ACT_DOOR_SCOPE="TIER_"&amp;$F278)+(ACT_DOOR_SCOPE=$B278)))*SIGN(((ACT_SKU_SCOPE="ALL")+(ACT_SKU_SCOPE=$G278)))*(ACT_START&lt;=11)*(ACT_END&gt;=11)*IFERROR(ACT_UPLIFT-1,0)))*(1+SUMPRODUCT(SIGN(((ACT_DOOR_SCOPE="ALL")+(ACT_DOOR_SCOPE="TIER_"&amp;$F278)+(ACT_DOOR_SCOPE=$B278)))*SIGN(((ACT_SKU_SCOPE="ALL")+(ACT_SKU_SCOPE=$G278)))*(11&gt;ACT_END)*(ACT_END&gt;0)*IFERROR(ACT_POSTLIFT,0))),0)))</f>
        <v/>
      </c>
      <c r="U278" s="10">
        <f>IF(OR($H278&lt;&gt;"Y",12&lt;$I278),0,IF(SUMPRODUCT(((BULK_ENABLED="Y")*((BULK_TIER="ALL")+(BULK_TIER=$F278))*((BULK_SKU="ALL")+(BULK_SKU=$G278))*(BULK_START&lt;=12)*(BULK_END&gt;=12)))&gt;0,IFERROR(SUMPRODUCT(((BULK_ENABLED="Y")*((BULK_TIER="ALL")+(BULK_TIER=$F278))*((BULK_SKU="ALL")+(BULK_SKU=$G278))*(BULK_START&lt;=12)*(BULK_END&gt;=12))*IFERROR(BULK_VALUE,0))/MAX(1,SUMPRODUCT(((BULK_ENABLED="Y")*((BULK_TIER="ALL")+(BULK_TIER=$F278))*((BULK_SKU="ALL")+(BULK_SKU=$G278))*(BULK_START&lt;=12)*(BULK_END&gt;=12)))),0),ROUND((INDEX(VELOCITY_TABLE,MATCH($F278,TIER_LIST,0),1))*(IF((12-$I278+1)&lt;=0,0,IF((12-$I278+1)=1,RAMP_W1,IF((12-$I278+1)=2,RAMP_W2,IF((12-$I278+1)=3,RAMP_W3,RAMP_W4PLUS)))))*(INDEX(ACTIVE_MULT_TABLE,1,1))*(1+SUMPRODUCT(SIGN(((ACT_DOOR_SCOPE="ALL")+(ACT_DOOR_SCOPE="TIER_"&amp;$F278)+(ACT_DOOR_SCOPE=$B278)))*SIGN(((ACT_SKU_SCOPE="ALL")+(ACT_SKU_SCOPE=$G278)))*(ACT_START&lt;=12)*(ACT_END&gt;=12)*IFERROR(ACT_UPLIFT-1,0)))*(1+SUMPRODUCT(SIGN(((ACT_DOOR_SCOPE="ALL")+(ACT_DOOR_SCOPE="TIER_"&amp;$F278)+(ACT_DOOR_SCOPE=$B278)))*SIGN(((ACT_SKU_SCOPE="ALL")+(ACT_SKU_SCOPE=$G278)))*(12&gt;ACT_END)*(ACT_END&gt;0)*IFERROR(ACT_POSTLIFT,0))),0)))</f>
        <v/>
      </c>
      <c r="V278" s="10">
        <f>IF(OR($H278&lt;&gt;"Y",13&lt;$I278),0,IF(SUMPRODUCT(((BULK_ENABLED="Y")*((BULK_TIER="ALL")+(BULK_TIER=$F278))*((BULK_SKU="ALL")+(BULK_SKU=$G278))*(BULK_START&lt;=13)*(BULK_END&gt;=13)))&gt;0,IFERROR(SUMPRODUCT(((BULK_ENABLED="Y")*((BULK_TIER="ALL")+(BULK_TIER=$F278))*((BULK_SKU="ALL")+(BULK_SKU=$G278))*(BULK_START&lt;=13)*(BULK_END&gt;=13))*IFERROR(BULK_VALUE,0))/MAX(1,SUMPRODUCT(((BULK_ENABLED="Y")*((BULK_TIER="ALL")+(BULK_TIER=$F278))*((BULK_SKU="ALL")+(BULK_SKU=$G278))*(BULK_START&lt;=13)*(BULK_END&gt;=13)))),0),ROUND((INDEX(VELOCITY_TABLE,MATCH($F278,TIER_LIST,0),1))*(IF((13-$I278+1)&lt;=0,0,IF((13-$I278+1)=1,RAMP_W1,IF((13-$I278+1)=2,RAMP_W2,IF((13-$I278+1)=3,RAMP_W3,RAMP_W4PLUS)))))*(INDEX(ACTIVE_MULT_TABLE,1,1))*(1+SUMPRODUCT(SIGN(((ACT_DOOR_SCOPE="ALL")+(ACT_DOOR_SCOPE="TIER_"&amp;$F278)+(ACT_DOOR_SCOPE=$B278)))*SIGN(((ACT_SKU_SCOPE="ALL")+(ACT_SKU_SCOPE=$G278)))*(ACT_START&lt;=13)*(ACT_END&gt;=13)*IFERROR(ACT_UPLIFT-1,0)))*(1+SUMPRODUCT(SIGN(((ACT_DOOR_SCOPE="ALL")+(ACT_DOOR_SCOPE="TIER_"&amp;$F278)+(ACT_DOOR_SCOPE=$B278)))*SIGN(((ACT_SKU_SCOPE="ALL")+(ACT_SKU_SCOPE=$G278)))*(13&gt;ACT_END)*(ACT_END&gt;0)*IFERROR(ACT_POSTLIFT,0))),0)))</f>
        <v/>
      </c>
    </row>
    <row r="279">
      <c r="A279" t="inlineStr">
        <is>
          <t>R0275</t>
        </is>
      </c>
      <c r="B279">
        <f>Doors!$A$96</f>
        <v/>
      </c>
      <c r="C279">
        <f>Doors!$C$96</f>
        <v/>
      </c>
      <c r="D279">
        <f>Doors!$B$96</f>
        <v/>
      </c>
      <c r="E279">
        <f>Doors!$E$96</f>
        <v/>
      </c>
      <c r="F279">
        <f>Doors!$F$96</f>
        <v/>
      </c>
      <c r="G279" t="inlineStr">
        <is>
          <t>Pineapple Passion Fruit</t>
        </is>
      </c>
      <c r="H279">
        <f>Doors!$H$96</f>
        <v/>
      </c>
      <c r="I279">
        <f>Doors!$J$96</f>
        <v/>
      </c>
      <c r="J279" s="10">
        <f>IF(OR($H279&lt;&gt;"Y",1&lt;$I279),0,IF(SUMPRODUCT(((BULK_ENABLED="Y")*((BULK_TIER="ALL")+(BULK_TIER=$F279))*((BULK_SKU="ALL")+(BULK_SKU=$G279))*(BULK_START&lt;=1)*(BULK_END&gt;=1)))&gt;0,IFERROR(SUMPRODUCT(((BULK_ENABLED="Y")*((BULK_TIER="ALL")+(BULK_TIER=$F279))*((BULK_SKU="ALL")+(BULK_SKU=$G279))*(BULK_START&lt;=1)*(BULK_END&gt;=1))*IFERROR(BULK_VALUE,0))/MAX(1,SUMPRODUCT(((BULK_ENABLED="Y")*((BULK_TIER="ALL")+(BULK_TIER=$F279))*((BULK_SKU="ALL")+(BULK_SKU=$G279))*(BULK_START&lt;=1)*(BULK_END&gt;=1)))),0),ROUND((INDEX(VELOCITY_TABLE,MATCH($F279,TIER_LIST,0),2))*(IF((1-$I279+1)&lt;=0,0,IF((1-$I279+1)=1,RAMP_W1,IF((1-$I279+1)=2,RAMP_W2,IF((1-$I279+1)=3,RAMP_W3,RAMP_W4PLUS)))))*(INDEX(ACTIVE_MULT_TABLE,2,1))*(1+SUMPRODUCT(SIGN(((ACT_DOOR_SCOPE="ALL")+(ACT_DOOR_SCOPE="TIER_"&amp;$F279)+(ACT_DOOR_SCOPE=$B279)))*SIGN(((ACT_SKU_SCOPE="ALL")+(ACT_SKU_SCOPE=$G279)))*(ACT_START&lt;=1)*(ACT_END&gt;=1)*IFERROR(ACT_UPLIFT-1,0)))*(1+SUMPRODUCT(SIGN(((ACT_DOOR_SCOPE="ALL")+(ACT_DOOR_SCOPE="TIER_"&amp;$F279)+(ACT_DOOR_SCOPE=$B279)))*SIGN(((ACT_SKU_SCOPE="ALL")+(ACT_SKU_SCOPE=$G279)))*(1&gt;ACT_END)*(ACT_END&gt;0)*IFERROR(ACT_POSTLIFT,0))),0)))</f>
        <v/>
      </c>
      <c r="K279" s="10">
        <f>IF(OR($H279&lt;&gt;"Y",2&lt;$I279),0,IF(SUMPRODUCT(((BULK_ENABLED="Y")*((BULK_TIER="ALL")+(BULK_TIER=$F279))*((BULK_SKU="ALL")+(BULK_SKU=$G279))*(BULK_START&lt;=2)*(BULK_END&gt;=2)))&gt;0,IFERROR(SUMPRODUCT(((BULK_ENABLED="Y")*((BULK_TIER="ALL")+(BULK_TIER=$F279))*((BULK_SKU="ALL")+(BULK_SKU=$G279))*(BULK_START&lt;=2)*(BULK_END&gt;=2))*IFERROR(BULK_VALUE,0))/MAX(1,SUMPRODUCT(((BULK_ENABLED="Y")*((BULK_TIER="ALL")+(BULK_TIER=$F279))*((BULK_SKU="ALL")+(BULK_SKU=$G279))*(BULK_START&lt;=2)*(BULK_END&gt;=2)))),0),ROUND((INDEX(VELOCITY_TABLE,MATCH($F279,TIER_LIST,0),2))*(IF((2-$I279+1)&lt;=0,0,IF((2-$I279+1)=1,RAMP_W1,IF((2-$I279+1)=2,RAMP_W2,IF((2-$I279+1)=3,RAMP_W3,RAMP_W4PLUS)))))*(INDEX(ACTIVE_MULT_TABLE,2,1))*(1+SUMPRODUCT(SIGN(((ACT_DOOR_SCOPE="ALL")+(ACT_DOOR_SCOPE="TIER_"&amp;$F279)+(ACT_DOOR_SCOPE=$B279)))*SIGN(((ACT_SKU_SCOPE="ALL")+(ACT_SKU_SCOPE=$G279)))*(ACT_START&lt;=2)*(ACT_END&gt;=2)*IFERROR(ACT_UPLIFT-1,0)))*(1+SUMPRODUCT(SIGN(((ACT_DOOR_SCOPE="ALL")+(ACT_DOOR_SCOPE="TIER_"&amp;$F279)+(ACT_DOOR_SCOPE=$B279)))*SIGN(((ACT_SKU_SCOPE="ALL")+(ACT_SKU_SCOPE=$G279)))*(2&gt;ACT_END)*(ACT_END&gt;0)*IFERROR(ACT_POSTLIFT,0))),0)))</f>
        <v/>
      </c>
      <c r="L279" s="10">
        <f>IF(OR($H279&lt;&gt;"Y",3&lt;$I279),0,IF(SUMPRODUCT(((BULK_ENABLED="Y")*((BULK_TIER="ALL")+(BULK_TIER=$F279))*((BULK_SKU="ALL")+(BULK_SKU=$G279))*(BULK_START&lt;=3)*(BULK_END&gt;=3)))&gt;0,IFERROR(SUMPRODUCT(((BULK_ENABLED="Y")*((BULK_TIER="ALL")+(BULK_TIER=$F279))*((BULK_SKU="ALL")+(BULK_SKU=$G279))*(BULK_START&lt;=3)*(BULK_END&gt;=3))*IFERROR(BULK_VALUE,0))/MAX(1,SUMPRODUCT(((BULK_ENABLED="Y")*((BULK_TIER="ALL")+(BULK_TIER=$F279))*((BULK_SKU="ALL")+(BULK_SKU=$G279))*(BULK_START&lt;=3)*(BULK_END&gt;=3)))),0),ROUND((INDEX(VELOCITY_TABLE,MATCH($F279,TIER_LIST,0),2))*(IF((3-$I279+1)&lt;=0,0,IF((3-$I279+1)=1,RAMP_W1,IF((3-$I279+1)=2,RAMP_W2,IF((3-$I279+1)=3,RAMP_W3,RAMP_W4PLUS)))))*(INDEX(ACTIVE_MULT_TABLE,2,1))*(1+SUMPRODUCT(SIGN(((ACT_DOOR_SCOPE="ALL")+(ACT_DOOR_SCOPE="TIER_"&amp;$F279)+(ACT_DOOR_SCOPE=$B279)))*SIGN(((ACT_SKU_SCOPE="ALL")+(ACT_SKU_SCOPE=$G279)))*(ACT_START&lt;=3)*(ACT_END&gt;=3)*IFERROR(ACT_UPLIFT-1,0)))*(1+SUMPRODUCT(SIGN(((ACT_DOOR_SCOPE="ALL")+(ACT_DOOR_SCOPE="TIER_"&amp;$F279)+(ACT_DOOR_SCOPE=$B279)))*SIGN(((ACT_SKU_SCOPE="ALL")+(ACT_SKU_SCOPE=$G279)))*(3&gt;ACT_END)*(ACT_END&gt;0)*IFERROR(ACT_POSTLIFT,0))),0)))</f>
        <v/>
      </c>
      <c r="M279" s="10">
        <f>IF(OR($H279&lt;&gt;"Y",4&lt;$I279),0,IF(SUMPRODUCT(((BULK_ENABLED="Y")*((BULK_TIER="ALL")+(BULK_TIER=$F279))*((BULK_SKU="ALL")+(BULK_SKU=$G279))*(BULK_START&lt;=4)*(BULK_END&gt;=4)))&gt;0,IFERROR(SUMPRODUCT(((BULK_ENABLED="Y")*((BULK_TIER="ALL")+(BULK_TIER=$F279))*((BULK_SKU="ALL")+(BULK_SKU=$G279))*(BULK_START&lt;=4)*(BULK_END&gt;=4))*IFERROR(BULK_VALUE,0))/MAX(1,SUMPRODUCT(((BULK_ENABLED="Y")*((BULK_TIER="ALL")+(BULK_TIER=$F279))*((BULK_SKU="ALL")+(BULK_SKU=$G279))*(BULK_START&lt;=4)*(BULK_END&gt;=4)))),0),ROUND((INDEX(VELOCITY_TABLE,MATCH($F279,TIER_LIST,0),2))*(IF((4-$I279+1)&lt;=0,0,IF((4-$I279+1)=1,RAMP_W1,IF((4-$I279+1)=2,RAMP_W2,IF((4-$I279+1)=3,RAMP_W3,RAMP_W4PLUS)))))*(INDEX(ACTIVE_MULT_TABLE,2,1))*(1+SUMPRODUCT(SIGN(((ACT_DOOR_SCOPE="ALL")+(ACT_DOOR_SCOPE="TIER_"&amp;$F279)+(ACT_DOOR_SCOPE=$B279)))*SIGN(((ACT_SKU_SCOPE="ALL")+(ACT_SKU_SCOPE=$G279)))*(ACT_START&lt;=4)*(ACT_END&gt;=4)*IFERROR(ACT_UPLIFT-1,0)))*(1+SUMPRODUCT(SIGN(((ACT_DOOR_SCOPE="ALL")+(ACT_DOOR_SCOPE="TIER_"&amp;$F279)+(ACT_DOOR_SCOPE=$B279)))*SIGN(((ACT_SKU_SCOPE="ALL")+(ACT_SKU_SCOPE=$G279)))*(4&gt;ACT_END)*(ACT_END&gt;0)*IFERROR(ACT_POSTLIFT,0))),0)))</f>
        <v/>
      </c>
      <c r="N279" s="10">
        <f>IF(OR($H279&lt;&gt;"Y",5&lt;$I279),0,IF(SUMPRODUCT(((BULK_ENABLED="Y")*((BULK_TIER="ALL")+(BULK_TIER=$F279))*((BULK_SKU="ALL")+(BULK_SKU=$G279))*(BULK_START&lt;=5)*(BULK_END&gt;=5)))&gt;0,IFERROR(SUMPRODUCT(((BULK_ENABLED="Y")*((BULK_TIER="ALL")+(BULK_TIER=$F279))*((BULK_SKU="ALL")+(BULK_SKU=$G279))*(BULK_START&lt;=5)*(BULK_END&gt;=5))*IFERROR(BULK_VALUE,0))/MAX(1,SUMPRODUCT(((BULK_ENABLED="Y")*((BULK_TIER="ALL")+(BULK_TIER=$F279))*((BULK_SKU="ALL")+(BULK_SKU=$G279))*(BULK_START&lt;=5)*(BULK_END&gt;=5)))),0),ROUND((INDEX(VELOCITY_TABLE,MATCH($F279,TIER_LIST,0),2))*(IF((5-$I279+1)&lt;=0,0,IF((5-$I279+1)=1,RAMP_W1,IF((5-$I279+1)=2,RAMP_W2,IF((5-$I279+1)=3,RAMP_W3,RAMP_W4PLUS)))))*(INDEX(ACTIVE_MULT_TABLE,2,1))*(1+SUMPRODUCT(SIGN(((ACT_DOOR_SCOPE="ALL")+(ACT_DOOR_SCOPE="TIER_"&amp;$F279)+(ACT_DOOR_SCOPE=$B279)))*SIGN(((ACT_SKU_SCOPE="ALL")+(ACT_SKU_SCOPE=$G279)))*(ACT_START&lt;=5)*(ACT_END&gt;=5)*IFERROR(ACT_UPLIFT-1,0)))*(1+SUMPRODUCT(SIGN(((ACT_DOOR_SCOPE="ALL")+(ACT_DOOR_SCOPE="TIER_"&amp;$F279)+(ACT_DOOR_SCOPE=$B279)))*SIGN(((ACT_SKU_SCOPE="ALL")+(ACT_SKU_SCOPE=$G279)))*(5&gt;ACT_END)*(ACT_END&gt;0)*IFERROR(ACT_POSTLIFT,0))),0)))</f>
        <v/>
      </c>
      <c r="O279" s="10">
        <f>IF(OR($H279&lt;&gt;"Y",6&lt;$I279),0,IF(SUMPRODUCT(((BULK_ENABLED="Y")*((BULK_TIER="ALL")+(BULK_TIER=$F279))*((BULK_SKU="ALL")+(BULK_SKU=$G279))*(BULK_START&lt;=6)*(BULK_END&gt;=6)))&gt;0,IFERROR(SUMPRODUCT(((BULK_ENABLED="Y")*((BULK_TIER="ALL")+(BULK_TIER=$F279))*((BULK_SKU="ALL")+(BULK_SKU=$G279))*(BULK_START&lt;=6)*(BULK_END&gt;=6))*IFERROR(BULK_VALUE,0))/MAX(1,SUMPRODUCT(((BULK_ENABLED="Y")*((BULK_TIER="ALL")+(BULK_TIER=$F279))*((BULK_SKU="ALL")+(BULK_SKU=$G279))*(BULK_START&lt;=6)*(BULK_END&gt;=6)))),0),ROUND((INDEX(VELOCITY_TABLE,MATCH($F279,TIER_LIST,0),2))*(IF((6-$I279+1)&lt;=0,0,IF((6-$I279+1)=1,RAMP_W1,IF((6-$I279+1)=2,RAMP_W2,IF((6-$I279+1)=3,RAMP_W3,RAMP_W4PLUS)))))*(INDEX(ACTIVE_MULT_TABLE,2,1))*(1+SUMPRODUCT(SIGN(((ACT_DOOR_SCOPE="ALL")+(ACT_DOOR_SCOPE="TIER_"&amp;$F279)+(ACT_DOOR_SCOPE=$B279)))*SIGN(((ACT_SKU_SCOPE="ALL")+(ACT_SKU_SCOPE=$G279)))*(ACT_START&lt;=6)*(ACT_END&gt;=6)*IFERROR(ACT_UPLIFT-1,0)))*(1+SUMPRODUCT(SIGN(((ACT_DOOR_SCOPE="ALL")+(ACT_DOOR_SCOPE="TIER_"&amp;$F279)+(ACT_DOOR_SCOPE=$B279)))*SIGN(((ACT_SKU_SCOPE="ALL")+(ACT_SKU_SCOPE=$G279)))*(6&gt;ACT_END)*(ACT_END&gt;0)*IFERROR(ACT_POSTLIFT,0))),0)))</f>
        <v/>
      </c>
      <c r="P279" s="10">
        <f>IF(OR($H279&lt;&gt;"Y",7&lt;$I279),0,IF(SUMPRODUCT(((BULK_ENABLED="Y")*((BULK_TIER="ALL")+(BULK_TIER=$F279))*((BULK_SKU="ALL")+(BULK_SKU=$G279))*(BULK_START&lt;=7)*(BULK_END&gt;=7)))&gt;0,IFERROR(SUMPRODUCT(((BULK_ENABLED="Y")*((BULK_TIER="ALL")+(BULK_TIER=$F279))*((BULK_SKU="ALL")+(BULK_SKU=$G279))*(BULK_START&lt;=7)*(BULK_END&gt;=7))*IFERROR(BULK_VALUE,0))/MAX(1,SUMPRODUCT(((BULK_ENABLED="Y")*((BULK_TIER="ALL")+(BULK_TIER=$F279))*((BULK_SKU="ALL")+(BULK_SKU=$G279))*(BULK_START&lt;=7)*(BULK_END&gt;=7)))),0),ROUND((INDEX(VELOCITY_TABLE,MATCH($F279,TIER_LIST,0),2))*(IF((7-$I279+1)&lt;=0,0,IF((7-$I279+1)=1,RAMP_W1,IF((7-$I279+1)=2,RAMP_W2,IF((7-$I279+1)=3,RAMP_W3,RAMP_W4PLUS)))))*(INDEX(ACTIVE_MULT_TABLE,2,1))*(1+SUMPRODUCT(SIGN(((ACT_DOOR_SCOPE="ALL")+(ACT_DOOR_SCOPE="TIER_"&amp;$F279)+(ACT_DOOR_SCOPE=$B279)))*SIGN(((ACT_SKU_SCOPE="ALL")+(ACT_SKU_SCOPE=$G279)))*(ACT_START&lt;=7)*(ACT_END&gt;=7)*IFERROR(ACT_UPLIFT-1,0)))*(1+SUMPRODUCT(SIGN(((ACT_DOOR_SCOPE="ALL")+(ACT_DOOR_SCOPE="TIER_"&amp;$F279)+(ACT_DOOR_SCOPE=$B279)))*SIGN(((ACT_SKU_SCOPE="ALL")+(ACT_SKU_SCOPE=$G279)))*(7&gt;ACT_END)*(ACT_END&gt;0)*IFERROR(ACT_POSTLIFT,0))),0)))</f>
        <v/>
      </c>
      <c r="Q279" s="10">
        <f>IF(OR($H279&lt;&gt;"Y",8&lt;$I279),0,IF(SUMPRODUCT(((BULK_ENABLED="Y")*((BULK_TIER="ALL")+(BULK_TIER=$F279))*((BULK_SKU="ALL")+(BULK_SKU=$G279))*(BULK_START&lt;=8)*(BULK_END&gt;=8)))&gt;0,IFERROR(SUMPRODUCT(((BULK_ENABLED="Y")*((BULK_TIER="ALL")+(BULK_TIER=$F279))*((BULK_SKU="ALL")+(BULK_SKU=$G279))*(BULK_START&lt;=8)*(BULK_END&gt;=8))*IFERROR(BULK_VALUE,0))/MAX(1,SUMPRODUCT(((BULK_ENABLED="Y")*((BULK_TIER="ALL")+(BULK_TIER=$F279))*((BULK_SKU="ALL")+(BULK_SKU=$G279))*(BULK_START&lt;=8)*(BULK_END&gt;=8)))),0),ROUND((INDEX(VELOCITY_TABLE,MATCH($F279,TIER_LIST,0),2))*(IF((8-$I279+1)&lt;=0,0,IF((8-$I279+1)=1,RAMP_W1,IF((8-$I279+1)=2,RAMP_W2,IF((8-$I279+1)=3,RAMP_W3,RAMP_W4PLUS)))))*(INDEX(ACTIVE_MULT_TABLE,2,1))*(1+SUMPRODUCT(SIGN(((ACT_DOOR_SCOPE="ALL")+(ACT_DOOR_SCOPE="TIER_"&amp;$F279)+(ACT_DOOR_SCOPE=$B279)))*SIGN(((ACT_SKU_SCOPE="ALL")+(ACT_SKU_SCOPE=$G279)))*(ACT_START&lt;=8)*(ACT_END&gt;=8)*IFERROR(ACT_UPLIFT-1,0)))*(1+SUMPRODUCT(SIGN(((ACT_DOOR_SCOPE="ALL")+(ACT_DOOR_SCOPE="TIER_"&amp;$F279)+(ACT_DOOR_SCOPE=$B279)))*SIGN(((ACT_SKU_SCOPE="ALL")+(ACT_SKU_SCOPE=$G279)))*(8&gt;ACT_END)*(ACT_END&gt;0)*IFERROR(ACT_POSTLIFT,0))),0)))</f>
        <v/>
      </c>
      <c r="R279" s="10">
        <f>IF(OR($H279&lt;&gt;"Y",9&lt;$I279),0,IF(SUMPRODUCT(((BULK_ENABLED="Y")*((BULK_TIER="ALL")+(BULK_TIER=$F279))*((BULK_SKU="ALL")+(BULK_SKU=$G279))*(BULK_START&lt;=9)*(BULK_END&gt;=9)))&gt;0,IFERROR(SUMPRODUCT(((BULK_ENABLED="Y")*((BULK_TIER="ALL")+(BULK_TIER=$F279))*((BULK_SKU="ALL")+(BULK_SKU=$G279))*(BULK_START&lt;=9)*(BULK_END&gt;=9))*IFERROR(BULK_VALUE,0))/MAX(1,SUMPRODUCT(((BULK_ENABLED="Y")*((BULK_TIER="ALL")+(BULK_TIER=$F279))*((BULK_SKU="ALL")+(BULK_SKU=$G279))*(BULK_START&lt;=9)*(BULK_END&gt;=9)))),0),ROUND((INDEX(VELOCITY_TABLE,MATCH($F279,TIER_LIST,0),2))*(IF((9-$I279+1)&lt;=0,0,IF((9-$I279+1)=1,RAMP_W1,IF((9-$I279+1)=2,RAMP_W2,IF((9-$I279+1)=3,RAMP_W3,RAMP_W4PLUS)))))*(INDEX(ACTIVE_MULT_TABLE,2,1))*(1+SUMPRODUCT(SIGN(((ACT_DOOR_SCOPE="ALL")+(ACT_DOOR_SCOPE="TIER_"&amp;$F279)+(ACT_DOOR_SCOPE=$B279)))*SIGN(((ACT_SKU_SCOPE="ALL")+(ACT_SKU_SCOPE=$G279)))*(ACT_START&lt;=9)*(ACT_END&gt;=9)*IFERROR(ACT_UPLIFT-1,0)))*(1+SUMPRODUCT(SIGN(((ACT_DOOR_SCOPE="ALL")+(ACT_DOOR_SCOPE="TIER_"&amp;$F279)+(ACT_DOOR_SCOPE=$B279)))*SIGN(((ACT_SKU_SCOPE="ALL")+(ACT_SKU_SCOPE=$G279)))*(9&gt;ACT_END)*(ACT_END&gt;0)*IFERROR(ACT_POSTLIFT,0))),0)))</f>
        <v/>
      </c>
      <c r="S279" s="10">
        <f>IF(OR($H279&lt;&gt;"Y",10&lt;$I279),0,IF(SUMPRODUCT(((BULK_ENABLED="Y")*((BULK_TIER="ALL")+(BULK_TIER=$F279))*((BULK_SKU="ALL")+(BULK_SKU=$G279))*(BULK_START&lt;=10)*(BULK_END&gt;=10)))&gt;0,IFERROR(SUMPRODUCT(((BULK_ENABLED="Y")*((BULK_TIER="ALL")+(BULK_TIER=$F279))*((BULK_SKU="ALL")+(BULK_SKU=$G279))*(BULK_START&lt;=10)*(BULK_END&gt;=10))*IFERROR(BULK_VALUE,0))/MAX(1,SUMPRODUCT(((BULK_ENABLED="Y")*((BULK_TIER="ALL")+(BULK_TIER=$F279))*((BULK_SKU="ALL")+(BULK_SKU=$G279))*(BULK_START&lt;=10)*(BULK_END&gt;=10)))),0),ROUND((INDEX(VELOCITY_TABLE,MATCH($F279,TIER_LIST,0),2))*(IF((10-$I279+1)&lt;=0,0,IF((10-$I279+1)=1,RAMP_W1,IF((10-$I279+1)=2,RAMP_W2,IF((10-$I279+1)=3,RAMP_W3,RAMP_W4PLUS)))))*(INDEX(ACTIVE_MULT_TABLE,2,1))*(1+SUMPRODUCT(SIGN(((ACT_DOOR_SCOPE="ALL")+(ACT_DOOR_SCOPE="TIER_"&amp;$F279)+(ACT_DOOR_SCOPE=$B279)))*SIGN(((ACT_SKU_SCOPE="ALL")+(ACT_SKU_SCOPE=$G279)))*(ACT_START&lt;=10)*(ACT_END&gt;=10)*IFERROR(ACT_UPLIFT-1,0)))*(1+SUMPRODUCT(SIGN(((ACT_DOOR_SCOPE="ALL")+(ACT_DOOR_SCOPE="TIER_"&amp;$F279)+(ACT_DOOR_SCOPE=$B279)))*SIGN(((ACT_SKU_SCOPE="ALL")+(ACT_SKU_SCOPE=$G279)))*(10&gt;ACT_END)*(ACT_END&gt;0)*IFERROR(ACT_POSTLIFT,0))),0)))</f>
        <v/>
      </c>
      <c r="T279" s="10">
        <f>IF(OR($H279&lt;&gt;"Y",11&lt;$I279),0,IF(SUMPRODUCT(((BULK_ENABLED="Y")*((BULK_TIER="ALL")+(BULK_TIER=$F279))*((BULK_SKU="ALL")+(BULK_SKU=$G279))*(BULK_START&lt;=11)*(BULK_END&gt;=11)))&gt;0,IFERROR(SUMPRODUCT(((BULK_ENABLED="Y")*((BULK_TIER="ALL")+(BULK_TIER=$F279))*((BULK_SKU="ALL")+(BULK_SKU=$G279))*(BULK_START&lt;=11)*(BULK_END&gt;=11))*IFERROR(BULK_VALUE,0))/MAX(1,SUMPRODUCT(((BULK_ENABLED="Y")*((BULK_TIER="ALL")+(BULK_TIER=$F279))*((BULK_SKU="ALL")+(BULK_SKU=$G279))*(BULK_START&lt;=11)*(BULK_END&gt;=11)))),0),ROUND((INDEX(VELOCITY_TABLE,MATCH($F279,TIER_LIST,0),2))*(IF((11-$I279+1)&lt;=0,0,IF((11-$I279+1)=1,RAMP_W1,IF((11-$I279+1)=2,RAMP_W2,IF((11-$I279+1)=3,RAMP_W3,RAMP_W4PLUS)))))*(INDEX(ACTIVE_MULT_TABLE,2,1))*(1+SUMPRODUCT(SIGN(((ACT_DOOR_SCOPE="ALL")+(ACT_DOOR_SCOPE="TIER_"&amp;$F279)+(ACT_DOOR_SCOPE=$B279)))*SIGN(((ACT_SKU_SCOPE="ALL")+(ACT_SKU_SCOPE=$G279)))*(ACT_START&lt;=11)*(ACT_END&gt;=11)*IFERROR(ACT_UPLIFT-1,0)))*(1+SUMPRODUCT(SIGN(((ACT_DOOR_SCOPE="ALL")+(ACT_DOOR_SCOPE="TIER_"&amp;$F279)+(ACT_DOOR_SCOPE=$B279)))*SIGN(((ACT_SKU_SCOPE="ALL")+(ACT_SKU_SCOPE=$G279)))*(11&gt;ACT_END)*(ACT_END&gt;0)*IFERROR(ACT_POSTLIFT,0))),0)))</f>
        <v/>
      </c>
      <c r="U279" s="10">
        <f>IF(OR($H279&lt;&gt;"Y",12&lt;$I279),0,IF(SUMPRODUCT(((BULK_ENABLED="Y")*((BULK_TIER="ALL")+(BULK_TIER=$F279))*((BULK_SKU="ALL")+(BULK_SKU=$G279))*(BULK_START&lt;=12)*(BULK_END&gt;=12)))&gt;0,IFERROR(SUMPRODUCT(((BULK_ENABLED="Y")*((BULK_TIER="ALL")+(BULK_TIER=$F279))*((BULK_SKU="ALL")+(BULK_SKU=$G279))*(BULK_START&lt;=12)*(BULK_END&gt;=12))*IFERROR(BULK_VALUE,0))/MAX(1,SUMPRODUCT(((BULK_ENABLED="Y")*((BULK_TIER="ALL")+(BULK_TIER=$F279))*((BULK_SKU="ALL")+(BULK_SKU=$G279))*(BULK_START&lt;=12)*(BULK_END&gt;=12)))),0),ROUND((INDEX(VELOCITY_TABLE,MATCH($F279,TIER_LIST,0),2))*(IF((12-$I279+1)&lt;=0,0,IF((12-$I279+1)=1,RAMP_W1,IF((12-$I279+1)=2,RAMP_W2,IF((12-$I279+1)=3,RAMP_W3,RAMP_W4PLUS)))))*(INDEX(ACTIVE_MULT_TABLE,2,1))*(1+SUMPRODUCT(SIGN(((ACT_DOOR_SCOPE="ALL")+(ACT_DOOR_SCOPE="TIER_"&amp;$F279)+(ACT_DOOR_SCOPE=$B279)))*SIGN(((ACT_SKU_SCOPE="ALL")+(ACT_SKU_SCOPE=$G279)))*(ACT_START&lt;=12)*(ACT_END&gt;=12)*IFERROR(ACT_UPLIFT-1,0)))*(1+SUMPRODUCT(SIGN(((ACT_DOOR_SCOPE="ALL")+(ACT_DOOR_SCOPE="TIER_"&amp;$F279)+(ACT_DOOR_SCOPE=$B279)))*SIGN(((ACT_SKU_SCOPE="ALL")+(ACT_SKU_SCOPE=$G279)))*(12&gt;ACT_END)*(ACT_END&gt;0)*IFERROR(ACT_POSTLIFT,0))),0)))</f>
        <v/>
      </c>
      <c r="V279" s="10">
        <f>IF(OR($H279&lt;&gt;"Y",13&lt;$I279),0,IF(SUMPRODUCT(((BULK_ENABLED="Y")*((BULK_TIER="ALL")+(BULK_TIER=$F279))*((BULK_SKU="ALL")+(BULK_SKU=$G279))*(BULK_START&lt;=13)*(BULK_END&gt;=13)))&gt;0,IFERROR(SUMPRODUCT(((BULK_ENABLED="Y")*((BULK_TIER="ALL")+(BULK_TIER=$F279))*((BULK_SKU="ALL")+(BULK_SKU=$G279))*(BULK_START&lt;=13)*(BULK_END&gt;=13))*IFERROR(BULK_VALUE,0))/MAX(1,SUMPRODUCT(((BULK_ENABLED="Y")*((BULK_TIER="ALL")+(BULK_TIER=$F279))*((BULK_SKU="ALL")+(BULK_SKU=$G279))*(BULK_START&lt;=13)*(BULK_END&gt;=13)))),0),ROUND((INDEX(VELOCITY_TABLE,MATCH($F279,TIER_LIST,0),2))*(IF((13-$I279+1)&lt;=0,0,IF((13-$I279+1)=1,RAMP_W1,IF((13-$I279+1)=2,RAMP_W2,IF((13-$I279+1)=3,RAMP_W3,RAMP_W4PLUS)))))*(INDEX(ACTIVE_MULT_TABLE,2,1))*(1+SUMPRODUCT(SIGN(((ACT_DOOR_SCOPE="ALL")+(ACT_DOOR_SCOPE="TIER_"&amp;$F279)+(ACT_DOOR_SCOPE=$B279)))*SIGN(((ACT_SKU_SCOPE="ALL")+(ACT_SKU_SCOPE=$G279)))*(ACT_START&lt;=13)*(ACT_END&gt;=13)*IFERROR(ACT_UPLIFT-1,0)))*(1+SUMPRODUCT(SIGN(((ACT_DOOR_SCOPE="ALL")+(ACT_DOOR_SCOPE="TIER_"&amp;$F279)+(ACT_DOOR_SCOPE=$B279)))*SIGN(((ACT_SKU_SCOPE="ALL")+(ACT_SKU_SCOPE=$G279)))*(13&gt;ACT_END)*(ACT_END&gt;0)*IFERROR(ACT_POSTLIFT,0))),0)))</f>
        <v/>
      </c>
    </row>
    <row r="280">
      <c r="A280" t="inlineStr">
        <is>
          <t>R0276</t>
        </is>
      </c>
      <c r="B280">
        <f>Doors!$A$96</f>
        <v/>
      </c>
      <c r="C280">
        <f>Doors!$C$96</f>
        <v/>
      </c>
      <c r="D280">
        <f>Doors!$B$96</f>
        <v/>
      </c>
      <c r="E280">
        <f>Doors!$E$96</f>
        <v/>
      </c>
      <c r="F280">
        <f>Doors!$F$96</f>
        <v/>
      </c>
      <c r="G280" t="inlineStr">
        <is>
          <t>Raspberry</t>
        </is>
      </c>
      <c r="H280">
        <f>Doors!$I$96</f>
        <v/>
      </c>
      <c r="I280">
        <f>Doors!$J$96</f>
        <v/>
      </c>
      <c r="J280" s="10">
        <f>IF(OR($H280&lt;&gt;"Y",1&lt;$I280),0,IF(SUMPRODUCT(((BULK_ENABLED="Y")*((BULK_TIER="ALL")+(BULK_TIER=$F280))*((BULK_SKU="ALL")+(BULK_SKU=$G280))*(BULK_START&lt;=1)*(BULK_END&gt;=1)))&gt;0,IFERROR(SUMPRODUCT(((BULK_ENABLED="Y")*((BULK_TIER="ALL")+(BULK_TIER=$F280))*((BULK_SKU="ALL")+(BULK_SKU=$G280))*(BULK_START&lt;=1)*(BULK_END&gt;=1))*IFERROR(BULK_VALUE,0))/MAX(1,SUMPRODUCT(((BULK_ENABLED="Y")*((BULK_TIER="ALL")+(BULK_TIER=$F280))*((BULK_SKU="ALL")+(BULK_SKU=$G280))*(BULK_START&lt;=1)*(BULK_END&gt;=1)))),0),ROUND((INDEX(VELOCITY_TABLE,MATCH($F280,TIER_LIST,0),3))*(IF((1-$I280+1)&lt;=0,0,IF((1-$I280+1)=1,RAMP_W1,IF((1-$I280+1)=2,RAMP_W2,IF((1-$I280+1)=3,RAMP_W3,RAMP_W4PLUS)))))*(INDEX(ACTIVE_MULT_TABLE,3,1))*(1+SUMPRODUCT(SIGN(((ACT_DOOR_SCOPE="ALL")+(ACT_DOOR_SCOPE="TIER_"&amp;$F280)+(ACT_DOOR_SCOPE=$B280)))*SIGN(((ACT_SKU_SCOPE="ALL")+(ACT_SKU_SCOPE=$G280)))*(ACT_START&lt;=1)*(ACT_END&gt;=1)*IFERROR(ACT_UPLIFT-1,0)))*(1+SUMPRODUCT(SIGN(((ACT_DOOR_SCOPE="ALL")+(ACT_DOOR_SCOPE="TIER_"&amp;$F280)+(ACT_DOOR_SCOPE=$B280)))*SIGN(((ACT_SKU_SCOPE="ALL")+(ACT_SKU_SCOPE=$G280)))*(1&gt;ACT_END)*(ACT_END&gt;0)*IFERROR(ACT_POSTLIFT,0))),0)))</f>
        <v/>
      </c>
      <c r="K280" s="10">
        <f>IF(OR($H280&lt;&gt;"Y",2&lt;$I280),0,IF(SUMPRODUCT(((BULK_ENABLED="Y")*((BULK_TIER="ALL")+(BULK_TIER=$F280))*((BULK_SKU="ALL")+(BULK_SKU=$G280))*(BULK_START&lt;=2)*(BULK_END&gt;=2)))&gt;0,IFERROR(SUMPRODUCT(((BULK_ENABLED="Y")*((BULK_TIER="ALL")+(BULK_TIER=$F280))*((BULK_SKU="ALL")+(BULK_SKU=$G280))*(BULK_START&lt;=2)*(BULK_END&gt;=2))*IFERROR(BULK_VALUE,0))/MAX(1,SUMPRODUCT(((BULK_ENABLED="Y")*((BULK_TIER="ALL")+(BULK_TIER=$F280))*((BULK_SKU="ALL")+(BULK_SKU=$G280))*(BULK_START&lt;=2)*(BULK_END&gt;=2)))),0),ROUND((INDEX(VELOCITY_TABLE,MATCH($F280,TIER_LIST,0),3))*(IF((2-$I280+1)&lt;=0,0,IF((2-$I280+1)=1,RAMP_W1,IF((2-$I280+1)=2,RAMP_W2,IF((2-$I280+1)=3,RAMP_W3,RAMP_W4PLUS)))))*(INDEX(ACTIVE_MULT_TABLE,3,1))*(1+SUMPRODUCT(SIGN(((ACT_DOOR_SCOPE="ALL")+(ACT_DOOR_SCOPE="TIER_"&amp;$F280)+(ACT_DOOR_SCOPE=$B280)))*SIGN(((ACT_SKU_SCOPE="ALL")+(ACT_SKU_SCOPE=$G280)))*(ACT_START&lt;=2)*(ACT_END&gt;=2)*IFERROR(ACT_UPLIFT-1,0)))*(1+SUMPRODUCT(SIGN(((ACT_DOOR_SCOPE="ALL")+(ACT_DOOR_SCOPE="TIER_"&amp;$F280)+(ACT_DOOR_SCOPE=$B280)))*SIGN(((ACT_SKU_SCOPE="ALL")+(ACT_SKU_SCOPE=$G280)))*(2&gt;ACT_END)*(ACT_END&gt;0)*IFERROR(ACT_POSTLIFT,0))),0)))</f>
        <v/>
      </c>
      <c r="L280" s="10">
        <f>IF(OR($H280&lt;&gt;"Y",3&lt;$I280),0,IF(SUMPRODUCT(((BULK_ENABLED="Y")*((BULK_TIER="ALL")+(BULK_TIER=$F280))*((BULK_SKU="ALL")+(BULK_SKU=$G280))*(BULK_START&lt;=3)*(BULK_END&gt;=3)))&gt;0,IFERROR(SUMPRODUCT(((BULK_ENABLED="Y")*((BULK_TIER="ALL")+(BULK_TIER=$F280))*((BULK_SKU="ALL")+(BULK_SKU=$G280))*(BULK_START&lt;=3)*(BULK_END&gt;=3))*IFERROR(BULK_VALUE,0))/MAX(1,SUMPRODUCT(((BULK_ENABLED="Y")*((BULK_TIER="ALL")+(BULK_TIER=$F280))*((BULK_SKU="ALL")+(BULK_SKU=$G280))*(BULK_START&lt;=3)*(BULK_END&gt;=3)))),0),ROUND((INDEX(VELOCITY_TABLE,MATCH($F280,TIER_LIST,0),3))*(IF((3-$I280+1)&lt;=0,0,IF((3-$I280+1)=1,RAMP_W1,IF((3-$I280+1)=2,RAMP_W2,IF((3-$I280+1)=3,RAMP_W3,RAMP_W4PLUS)))))*(INDEX(ACTIVE_MULT_TABLE,3,1))*(1+SUMPRODUCT(SIGN(((ACT_DOOR_SCOPE="ALL")+(ACT_DOOR_SCOPE="TIER_"&amp;$F280)+(ACT_DOOR_SCOPE=$B280)))*SIGN(((ACT_SKU_SCOPE="ALL")+(ACT_SKU_SCOPE=$G280)))*(ACT_START&lt;=3)*(ACT_END&gt;=3)*IFERROR(ACT_UPLIFT-1,0)))*(1+SUMPRODUCT(SIGN(((ACT_DOOR_SCOPE="ALL")+(ACT_DOOR_SCOPE="TIER_"&amp;$F280)+(ACT_DOOR_SCOPE=$B280)))*SIGN(((ACT_SKU_SCOPE="ALL")+(ACT_SKU_SCOPE=$G280)))*(3&gt;ACT_END)*(ACT_END&gt;0)*IFERROR(ACT_POSTLIFT,0))),0)))</f>
        <v/>
      </c>
      <c r="M280" s="10">
        <f>IF(OR($H280&lt;&gt;"Y",4&lt;$I280),0,IF(SUMPRODUCT(((BULK_ENABLED="Y")*((BULK_TIER="ALL")+(BULK_TIER=$F280))*((BULK_SKU="ALL")+(BULK_SKU=$G280))*(BULK_START&lt;=4)*(BULK_END&gt;=4)))&gt;0,IFERROR(SUMPRODUCT(((BULK_ENABLED="Y")*((BULK_TIER="ALL")+(BULK_TIER=$F280))*((BULK_SKU="ALL")+(BULK_SKU=$G280))*(BULK_START&lt;=4)*(BULK_END&gt;=4))*IFERROR(BULK_VALUE,0))/MAX(1,SUMPRODUCT(((BULK_ENABLED="Y")*((BULK_TIER="ALL")+(BULK_TIER=$F280))*((BULK_SKU="ALL")+(BULK_SKU=$G280))*(BULK_START&lt;=4)*(BULK_END&gt;=4)))),0),ROUND((INDEX(VELOCITY_TABLE,MATCH($F280,TIER_LIST,0),3))*(IF((4-$I280+1)&lt;=0,0,IF((4-$I280+1)=1,RAMP_W1,IF((4-$I280+1)=2,RAMP_W2,IF((4-$I280+1)=3,RAMP_W3,RAMP_W4PLUS)))))*(INDEX(ACTIVE_MULT_TABLE,3,1))*(1+SUMPRODUCT(SIGN(((ACT_DOOR_SCOPE="ALL")+(ACT_DOOR_SCOPE="TIER_"&amp;$F280)+(ACT_DOOR_SCOPE=$B280)))*SIGN(((ACT_SKU_SCOPE="ALL")+(ACT_SKU_SCOPE=$G280)))*(ACT_START&lt;=4)*(ACT_END&gt;=4)*IFERROR(ACT_UPLIFT-1,0)))*(1+SUMPRODUCT(SIGN(((ACT_DOOR_SCOPE="ALL")+(ACT_DOOR_SCOPE="TIER_"&amp;$F280)+(ACT_DOOR_SCOPE=$B280)))*SIGN(((ACT_SKU_SCOPE="ALL")+(ACT_SKU_SCOPE=$G280)))*(4&gt;ACT_END)*(ACT_END&gt;0)*IFERROR(ACT_POSTLIFT,0))),0)))</f>
        <v/>
      </c>
      <c r="N280" s="10">
        <f>IF(OR($H280&lt;&gt;"Y",5&lt;$I280),0,IF(SUMPRODUCT(((BULK_ENABLED="Y")*((BULK_TIER="ALL")+(BULK_TIER=$F280))*((BULK_SKU="ALL")+(BULK_SKU=$G280))*(BULK_START&lt;=5)*(BULK_END&gt;=5)))&gt;0,IFERROR(SUMPRODUCT(((BULK_ENABLED="Y")*((BULK_TIER="ALL")+(BULK_TIER=$F280))*((BULK_SKU="ALL")+(BULK_SKU=$G280))*(BULK_START&lt;=5)*(BULK_END&gt;=5))*IFERROR(BULK_VALUE,0))/MAX(1,SUMPRODUCT(((BULK_ENABLED="Y")*((BULK_TIER="ALL")+(BULK_TIER=$F280))*((BULK_SKU="ALL")+(BULK_SKU=$G280))*(BULK_START&lt;=5)*(BULK_END&gt;=5)))),0),ROUND((INDEX(VELOCITY_TABLE,MATCH($F280,TIER_LIST,0),3))*(IF((5-$I280+1)&lt;=0,0,IF((5-$I280+1)=1,RAMP_W1,IF((5-$I280+1)=2,RAMP_W2,IF((5-$I280+1)=3,RAMP_W3,RAMP_W4PLUS)))))*(INDEX(ACTIVE_MULT_TABLE,3,1))*(1+SUMPRODUCT(SIGN(((ACT_DOOR_SCOPE="ALL")+(ACT_DOOR_SCOPE="TIER_"&amp;$F280)+(ACT_DOOR_SCOPE=$B280)))*SIGN(((ACT_SKU_SCOPE="ALL")+(ACT_SKU_SCOPE=$G280)))*(ACT_START&lt;=5)*(ACT_END&gt;=5)*IFERROR(ACT_UPLIFT-1,0)))*(1+SUMPRODUCT(SIGN(((ACT_DOOR_SCOPE="ALL")+(ACT_DOOR_SCOPE="TIER_"&amp;$F280)+(ACT_DOOR_SCOPE=$B280)))*SIGN(((ACT_SKU_SCOPE="ALL")+(ACT_SKU_SCOPE=$G280)))*(5&gt;ACT_END)*(ACT_END&gt;0)*IFERROR(ACT_POSTLIFT,0))),0)))</f>
        <v/>
      </c>
      <c r="O280" s="10">
        <f>IF(OR($H280&lt;&gt;"Y",6&lt;$I280),0,IF(SUMPRODUCT(((BULK_ENABLED="Y")*((BULK_TIER="ALL")+(BULK_TIER=$F280))*((BULK_SKU="ALL")+(BULK_SKU=$G280))*(BULK_START&lt;=6)*(BULK_END&gt;=6)))&gt;0,IFERROR(SUMPRODUCT(((BULK_ENABLED="Y")*((BULK_TIER="ALL")+(BULK_TIER=$F280))*((BULK_SKU="ALL")+(BULK_SKU=$G280))*(BULK_START&lt;=6)*(BULK_END&gt;=6))*IFERROR(BULK_VALUE,0))/MAX(1,SUMPRODUCT(((BULK_ENABLED="Y")*((BULK_TIER="ALL")+(BULK_TIER=$F280))*((BULK_SKU="ALL")+(BULK_SKU=$G280))*(BULK_START&lt;=6)*(BULK_END&gt;=6)))),0),ROUND((INDEX(VELOCITY_TABLE,MATCH($F280,TIER_LIST,0),3))*(IF((6-$I280+1)&lt;=0,0,IF((6-$I280+1)=1,RAMP_W1,IF((6-$I280+1)=2,RAMP_W2,IF((6-$I280+1)=3,RAMP_W3,RAMP_W4PLUS)))))*(INDEX(ACTIVE_MULT_TABLE,3,1))*(1+SUMPRODUCT(SIGN(((ACT_DOOR_SCOPE="ALL")+(ACT_DOOR_SCOPE="TIER_"&amp;$F280)+(ACT_DOOR_SCOPE=$B280)))*SIGN(((ACT_SKU_SCOPE="ALL")+(ACT_SKU_SCOPE=$G280)))*(ACT_START&lt;=6)*(ACT_END&gt;=6)*IFERROR(ACT_UPLIFT-1,0)))*(1+SUMPRODUCT(SIGN(((ACT_DOOR_SCOPE="ALL")+(ACT_DOOR_SCOPE="TIER_"&amp;$F280)+(ACT_DOOR_SCOPE=$B280)))*SIGN(((ACT_SKU_SCOPE="ALL")+(ACT_SKU_SCOPE=$G280)))*(6&gt;ACT_END)*(ACT_END&gt;0)*IFERROR(ACT_POSTLIFT,0))),0)))</f>
        <v/>
      </c>
      <c r="P280" s="10">
        <f>IF(OR($H280&lt;&gt;"Y",7&lt;$I280),0,IF(SUMPRODUCT(((BULK_ENABLED="Y")*((BULK_TIER="ALL")+(BULK_TIER=$F280))*((BULK_SKU="ALL")+(BULK_SKU=$G280))*(BULK_START&lt;=7)*(BULK_END&gt;=7)))&gt;0,IFERROR(SUMPRODUCT(((BULK_ENABLED="Y")*((BULK_TIER="ALL")+(BULK_TIER=$F280))*((BULK_SKU="ALL")+(BULK_SKU=$G280))*(BULK_START&lt;=7)*(BULK_END&gt;=7))*IFERROR(BULK_VALUE,0))/MAX(1,SUMPRODUCT(((BULK_ENABLED="Y")*((BULK_TIER="ALL")+(BULK_TIER=$F280))*((BULK_SKU="ALL")+(BULK_SKU=$G280))*(BULK_START&lt;=7)*(BULK_END&gt;=7)))),0),ROUND((INDEX(VELOCITY_TABLE,MATCH($F280,TIER_LIST,0),3))*(IF((7-$I280+1)&lt;=0,0,IF((7-$I280+1)=1,RAMP_W1,IF((7-$I280+1)=2,RAMP_W2,IF((7-$I280+1)=3,RAMP_W3,RAMP_W4PLUS)))))*(INDEX(ACTIVE_MULT_TABLE,3,1))*(1+SUMPRODUCT(SIGN(((ACT_DOOR_SCOPE="ALL")+(ACT_DOOR_SCOPE="TIER_"&amp;$F280)+(ACT_DOOR_SCOPE=$B280)))*SIGN(((ACT_SKU_SCOPE="ALL")+(ACT_SKU_SCOPE=$G280)))*(ACT_START&lt;=7)*(ACT_END&gt;=7)*IFERROR(ACT_UPLIFT-1,0)))*(1+SUMPRODUCT(SIGN(((ACT_DOOR_SCOPE="ALL")+(ACT_DOOR_SCOPE="TIER_"&amp;$F280)+(ACT_DOOR_SCOPE=$B280)))*SIGN(((ACT_SKU_SCOPE="ALL")+(ACT_SKU_SCOPE=$G280)))*(7&gt;ACT_END)*(ACT_END&gt;0)*IFERROR(ACT_POSTLIFT,0))),0)))</f>
        <v/>
      </c>
      <c r="Q280" s="10">
        <f>IF(OR($H280&lt;&gt;"Y",8&lt;$I280),0,IF(SUMPRODUCT(((BULK_ENABLED="Y")*((BULK_TIER="ALL")+(BULK_TIER=$F280))*((BULK_SKU="ALL")+(BULK_SKU=$G280))*(BULK_START&lt;=8)*(BULK_END&gt;=8)))&gt;0,IFERROR(SUMPRODUCT(((BULK_ENABLED="Y")*((BULK_TIER="ALL")+(BULK_TIER=$F280))*((BULK_SKU="ALL")+(BULK_SKU=$G280))*(BULK_START&lt;=8)*(BULK_END&gt;=8))*IFERROR(BULK_VALUE,0))/MAX(1,SUMPRODUCT(((BULK_ENABLED="Y")*((BULK_TIER="ALL")+(BULK_TIER=$F280))*((BULK_SKU="ALL")+(BULK_SKU=$G280))*(BULK_START&lt;=8)*(BULK_END&gt;=8)))),0),ROUND((INDEX(VELOCITY_TABLE,MATCH($F280,TIER_LIST,0),3))*(IF((8-$I280+1)&lt;=0,0,IF((8-$I280+1)=1,RAMP_W1,IF((8-$I280+1)=2,RAMP_W2,IF((8-$I280+1)=3,RAMP_W3,RAMP_W4PLUS)))))*(INDEX(ACTIVE_MULT_TABLE,3,1))*(1+SUMPRODUCT(SIGN(((ACT_DOOR_SCOPE="ALL")+(ACT_DOOR_SCOPE="TIER_"&amp;$F280)+(ACT_DOOR_SCOPE=$B280)))*SIGN(((ACT_SKU_SCOPE="ALL")+(ACT_SKU_SCOPE=$G280)))*(ACT_START&lt;=8)*(ACT_END&gt;=8)*IFERROR(ACT_UPLIFT-1,0)))*(1+SUMPRODUCT(SIGN(((ACT_DOOR_SCOPE="ALL")+(ACT_DOOR_SCOPE="TIER_"&amp;$F280)+(ACT_DOOR_SCOPE=$B280)))*SIGN(((ACT_SKU_SCOPE="ALL")+(ACT_SKU_SCOPE=$G280)))*(8&gt;ACT_END)*(ACT_END&gt;0)*IFERROR(ACT_POSTLIFT,0))),0)))</f>
        <v/>
      </c>
      <c r="R280" s="10">
        <f>IF(OR($H280&lt;&gt;"Y",9&lt;$I280),0,IF(SUMPRODUCT(((BULK_ENABLED="Y")*((BULK_TIER="ALL")+(BULK_TIER=$F280))*((BULK_SKU="ALL")+(BULK_SKU=$G280))*(BULK_START&lt;=9)*(BULK_END&gt;=9)))&gt;0,IFERROR(SUMPRODUCT(((BULK_ENABLED="Y")*((BULK_TIER="ALL")+(BULK_TIER=$F280))*((BULK_SKU="ALL")+(BULK_SKU=$G280))*(BULK_START&lt;=9)*(BULK_END&gt;=9))*IFERROR(BULK_VALUE,0))/MAX(1,SUMPRODUCT(((BULK_ENABLED="Y")*((BULK_TIER="ALL")+(BULK_TIER=$F280))*((BULK_SKU="ALL")+(BULK_SKU=$G280))*(BULK_START&lt;=9)*(BULK_END&gt;=9)))),0),ROUND((INDEX(VELOCITY_TABLE,MATCH($F280,TIER_LIST,0),3))*(IF((9-$I280+1)&lt;=0,0,IF((9-$I280+1)=1,RAMP_W1,IF((9-$I280+1)=2,RAMP_W2,IF((9-$I280+1)=3,RAMP_W3,RAMP_W4PLUS)))))*(INDEX(ACTIVE_MULT_TABLE,3,1))*(1+SUMPRODUCT(SIGN(((ACT_DOOR_SCOPE="ALL")+(ACT_DOOR_SCOPE="TIER_"&amp;$F280)+(ACT_DOOR_SCOPE=$B280)))*SIGN(((ACT_SKU_SCOPE="ALL")+(ACT_SKU_SCOPE=$G280)))*(ACT_START&lt;=9)*(ACT_END&gt;=9)*IFERROR(ACT_UPLIFT-1,0)))*(1+SUMPRODUCT(SIGN(((ACT_DOOR_SCOPE="ALL")+(ACT_DOOR_SCOPE="TIER_"&amp;$F280)+(ACT_DOOR_SCOPE=$B280)))*SIGN(((ACT_SKU_SCOPE="ALL")+(ACT_SKU_SCOPE=$G280)))*(9&gt;ACT_END)*(ACT_END&gt;0)*IFERROR(ACT_POSTLIFT,0))),0)))</f>
        <v/>
      </c>
      <c r="S280" s="10">
        <f>IF(OR($H280&lt;&gt;"Y",10&lt;$I280),0,IF(SUMPRODUCT(((BULK_ENABLED="Y")*((BULK_TIER="ALL")+(BULK_TIER=$F280))*((BULK_SKU="ALL")+(BULK_SKU=$G280))*(BULK_START&lt;=10)*(BULK_END&gt;=10)))&gt;0,IFERROR(SUMPRODUCT(((BULK_ENABLED="Y")*((BULK_TIER="ALL")+(BULK_TIER=$F280))*((BULK_SKU="ALL")+(BULK_SKU=$G280))*(BULK_START&lt;=10)*(BULK_END&gt;=10))*IFERROR(BULK_VALUE,0))/MAX(1,SUMPRODUCT(((BULK_ENABLED="Y")*((BULK_TIER="ALL")+(BULK_TIER=$F280))*((BULK_SKU="ALL")+(BULK_SKU=$G280))*(BULK_START&lt;=10)*(BULK_END&gt;=10)))),0),ROUND((INDEX(VELOCITY_TABLE,MATCH($F280,TIER_LIST,0),3))*(IF((10-$I280+1)&lt;=0,0,IF((10-$I280+1)=1,RAMP_W1,IF((10-$I280+1)=2,RAMP_W2,IF((10-$I280+1)=3,RAMP_W3,RAMP_W4PLUS)))))*(INDEX(ACTIVE_MULT_TABLE,3,1))*(1+SUMPRODUCT(SIGN(((ACT_DOOR_SCOPE="ALL")+(ACT_DOOR_SCOPE="TIER_"&amp;$F280)+(ACT_DOOR_SCOPE=$B280)))*SIGN(((ACT_SKU_SCOPE="ALL")+(ACT_SKU_SCOPE=$G280)))*(ACT_START&lt;=10)*(ACT_END&gt;=10)*IFERROR(ACT_UPLIFT-1,0)))*(1+SUMPRODUCT(SIGN(((ACT_DOOR_SCOPE="ALL")+(ACT_DOOR_SCOPE="TIER_"&amp;$F280)+(ACT_DOOR_SCOPE=$B280)))*SIGN(((ACT_SKU_SCOPE="ALL")+(ACT_SKU_SCOPE=$G280)))*(10&gt;ACT_END)*(ACT_END&gt;0)*IFERROR(ACT_POSTLIFT,0))),0)))</f>
        <v/>
      </c>
      <c r="T280" s="10">
        <f>IF(OR($H280&lt;&gt;"Y",11&lt;$I280),0,IF(SUMPRODUCT(((BULK_ENABLED="Y")*((BULK_TIER="ALL")+(BULK_TIER=$F280))*((BULK_SKU="ALL")+(BULK_SKU=$G280))*(BULK_START&lt;=11)*(BULK_END&gt;=11)))&gt;0,IFERROR(SUMPRODUCT(((BULK_ENABLED="Y")*((BULK_TIER="ALL")+(BULK_TIER=$F280))*((BULK_SKU="ALL")+(BULK_SKU=$G280))*(BULK_START&lt;=11)*(BULK_END&gt;=11))*IFERROR(BULK_VALUE,0))/MAX(1,SUMPRODUCT(((BULK_ENABLED="Y")*((BULK_TIER="ALL")+(BULK_TIER=$F280))*((BULK_SKU="ALL")+(BULK_SKU=$G280))*(BULK_START&lt;=11)*(BULK_END&gt;=11)))),0),ROUND((INDEX(VELOCITY_TABLE,MATCH($F280,TIER_LIST,0),3))*(IF((11-$I280+1)&lt;=0,0,IF((11-$I280+1)=1,RAMP_W1,IF((11-$I280+1)=2,RAMP_W2,IF((11-$I280+1)=3,RAMP_W3,RAMP_W4PLUS)))))*(INDEX(ACTIVE_MULT_TABLE,3,1))*(1+SUMPRODUCT(SIGN(((ACT_DOOR_SCOPE="ALL")+(ACT_DOOR_SCOPE="TIER_"&amp;$F280)+(ACT_DOOR_SCOPE=$B280)))*SIGN(((ACT_SKU_SCOPE="ALL")+(ACT_SKU_SCOPE=$G280)))*(ACT_START&lt;=11)*(ACT_END&gt;=11)*IFERROR(ACT_UPLIFT-1,0)))*(1+SUMPRODUCT(SIGN(((ACT_DOOR_SCOPE="ALL")+(ACT_DOOR_SCOPE="TIER_"&amp;$F280)+(ACT_DOOR_SCOPE=$B280)))*SIGN(((ACT_SKU_SCOPE="ALL")+(ACT_SKU_SCOPE=$G280)))*(11&gt;ACT_END)*(ACT_END&gt;0)*IFERROR(ACT_POSTLIFT,0))),0)))</f>
        <v/>
      </c>
      <c r="U280" s="10">
        <f>IF(OR($H280&lt;&gt;"Y",12&lt;$I280),0,IF(SUMPRODUCT(((BULK_ENABLED="Y")*((BULK_TIER="ALL")+(BULK_TIER=$F280))*((BULK_SKU="ALL")+(BULK_SKU=$G280))*(BULK_START&lt;=12)*(BULK_END&gt;=12)))&gt;0,IFERROR(SUMPRODUCT(((BULK_ENABLED="Y")*((BULK_TIER="ALL")+(BULK_TIER=$F280))*((BULK_SKU="ALL")+(BULK_SKU=$G280))*(BULK_START&lt;=12)*(BULK_END&gt;=12))*IFERROR(BULK_VALUE,0))/MAX(1,SUMPRODUCT(((BULK_ENABLED="Y")*((BULK_TIER="ALL")+(BULK_TIER=$F280))*((BULK_SKU="ALL")+(BULK_SKU=$G280))*(BULK_START&lt;=12)*(BULK_END&gt;=12)))),0),ROUND((INDEX(VELOCITY_TABLE,MATCH($F280,TIER_LIST,0),3))*(IF((12-$I280+1)&lt;=0,0,IF((12-$I280+1)=1,RAMP_W1,IF((12-$I280+1)=2,RAMP_W2,IF((12-$I280+1)=3,RAMP_W3,RAMP_W4PLUS)))))*(INDEX(ACTIVE_MULT_TABLE,3,1))*(1+SUMPRODUCT(SIGN(((ACT_DOOR_SCOPE="ALL")+(ACT_DOOR_SCOPE="TIER_"&amp;$F280)+(ACT_DOOR_SCOPE=$B280)))*SIGN(((ACT_SKU_SCOPE="ALL")+(ACT_SKU_SCOPE=$G280)))*(ACT_START&lt;=12)*(ACT_END&gt;=12)*IFERROR(ACT_UPLIFT-1,0)))*(1+SUMPRODUCT(SIGN(((ACT_DOOR_SCOPE="ALL")+(ACT_DOOR_SCOPE="TIER_"&amp;$F280)+(ACT_DOOR_SCOPE=$B280)))*SIGN(((ACT_SKU_SCOPE="ALL")+(ACT_SKU_SCOPE=$G280)))*(12&gt;ACT_END)*(ACT_END&gt;0)*IFERROR(ACT_POSTLIFT,0))),0)))</f>
        <v/>
      </c>
      <c r="V280" s="10">
        <f>IF(OR($H280&lt;&gt;"Y",13&lt;$I280),0,IF(SUMPRODUCT(((BULK_ENABLED="Y")*((BULK_TIER="ALL")+(BULK_TIER=$F280))*((BULK_SKU="ALL")+(BULK_SKU=$G280))*(BULK_START&lt;=13)*(BULK_END&gt;=13)))&gt;0,IFERROR(SUMPRODUCT(((BULK_ENABLED="Y")*((BULK_TIER="ALL")+(BULK_TIER=$F280))*((BULK_SKU="ALL")+(BULK_SKU=$G280))*(BULK_START&lt;=13)*(BULK_END&gt;=13))*IFERROR(BULK_VALUE,0))/MAX(1,SUMPRODUCT(((BULK_ENABLED="Y")*((BULK_TIER="ALL")+(BULK_TIER=$F280))*((BULK_SKU="ALL")+(BULK_SKU=$G280))*(BULK_START&lt;=13)*(BULK_END&gt;=13)))),0),ROUND((INDEX(VELOCITY_TABLE,MATCH($F280,TIER_LIST,0),3))*(IF((13-$I280+1)&lt;=0,0,IF((13-$I280+1)=1,RAMP_W1,IF((13-$I280+1)=2,RAMP_W2,IF((13-$I280+1)=3,RAMP_W3,RAMP_W4PLUS)))))*(INDEX(ACTIVE_MULT_TABLE,3,1))*(1+SUMPRODUCT(SIGN(((ACT_DOOR_SCOPE="ALL")+(ACT_DOOR_SCOPE="TIER_"&amp;$F280)+(ACT_DOOR_SCOPE=$B280)))*SIGN(((ACT_SKU_SCOPE="ALL")+(ACT_SKU_SCOPE=$G280)))*(ACT_START&lt;=13)*(ACT_END&gt;=13)*IFERROR(ACT_UPLIFT-1,0)))*(1+SUMPRODUCT(SIGN(((ACT_DOOR_SCOPE="ALL")+(ACT_DOOR_SCOPE="TIER_"&amp;$F280)+(ACT_DOOR_SCOPE=$B280)))*SIGN(((ACT_SKU_SCOPE="ALL")+(ACT_SKU_SCOPE=$G280)))*(13&gt;ACT_END)*(ACT_END&gt;0)*IFERROR(ACT_POSTLIFT,0))),0)))</f>
        <v/>
      </c>
    </row>
    <row r="281">
      <c r="A281" t="inlineStr">
        <is>
          <t>R0277</t>
        </is>
      </c>
      <c r="B281">
        <f>Doors!$A$97</f>
        <v/>
      </c>
      <c r="C281">
        <f>Doors!$C$97</f>
        <v/>
      </c>
      <c r="D281">
        <f>Doors!$B$97</f>
        <v/>
      </c>
      <c r="E281">
        <f>Doors!$E$97</f>
        <v/>
      </c>
      <c r="F281">
        <f>Doors!$F$97</f>
        <v/>
      </c>
      <c r="G281" t="inlineStr">
        <is>
          <t>Lime Lemon</t>
        </is>
      </c>
      <c r="H281">
        <f>Doors!$G$97</f>
        <v/>
      </c>
      <c r="I281">
        <f>Doors!$J$97</f>
        <v/>
      </c>
      <c r="J281" s="10">
        <f>IF(OR($H281&lt;&gt;"Y",1&lt;$I281),0,IF(SUMPRODUCT(((BULK_ENABLED="Y")*((BULK_TIER="ALL")+(BULK_TIER=$F281))*((BULK_SKU="ALL")+(BULK_SKU=$G281))*(BULK_START&lt;=1)*(BULK_END&gt;=1)))&gt;0,IFERROR(SUMPRODUCT(((BULK_ENABLED="Y")*((BULK_TIER="ALL")+(BULK_TIER=$F281))*((BULK_SKU="ALL")+(BULK_SKU=$G281))*(BULK_START&lt;=1)*(BULK_END&gt;=1))*IFERROR(BULK_VALUE,0))/MAX(1,SUMPRODUCT(((BULK_ENABLED="Y")*((BULK_TIER="ALL")+(BULK_TIER=$F281))*((BULK_SKU="ALL")+(BULK_SKU=$G281))*(BULK_START&lt;=1)*(BULK_END&gt;=1)))),0),ROUND((INDEX(VELOCITY_TABLE,MATCH($F281,TIER_LIST,0),1))*(IF((1-$I281+1)&lt;=0,0,IF((1-$I281+1)=1,RAMP_W1,IF((1-$I281+1)=2,RAMP_W2,IF((1-$I281+1)=3,RAMP_W3,RAMP_W4PLUS)))))*(INDEX(ACTIVE_MULT_TABLE,1,1))*(1+SUMPRODUCT(SIGN(((ACT_DOOR_SCOPE="ALL")+(ACT_DOOR_SCOPE="TIER_"&amp;$F281)+(ACT_DOOR_SCOPE=$B281)))*SIGN(((ACT_SKU_SCOPE="ALL")+(ACT_SKU_SCOPE=$G281)))*(ACT_START&lt;=1)*(ACT_END&gt;=1)*IFERROR(ACT_UPLIFT-1,0)))*(1+SUMPRODUCT(SIGN(((ACT_DOOR_SCOPE="ALL")+(ACT_DOOR_SCOPE="TIER_"&amp;$F281)+(ACT_DOOR_SCOPE=$B281)))*SIGN(((ACT_SKU_SCOPE="ALL")+(ACT_SKU_SCOPE=$G281)))*(1&gt;ACT_END)*(ACT_END&gt;0)*IFERROR(ACT_POSTLIFT,0))),0)))</f>
        <v/>
      </c>
      <c r="K281" s="10">
        <f>IF(OR($H281&lt;&gt;"Y",2&lt;$I281),0,IF(SUMPRODUCT(((BULK_ENABLED="Y")*((BULK_TIER="ALL")+(BULK_TIER=$F281))*((BULK_SKU="ALL")+(BULK_SKU=$G281))*(BULK_START&lt;=2)*(BULK_END&gt;=2)))&gt;0,IFERROR(SUMPRODUCT(((BULK_ENABLED="Y")*((BULK_TIER="ALL")+(BULK_TIER=$F281))*((BULK_SKU="ALL")+(BULK_SKU=$G281))*(BULK_START&lt;=2)*(BULK_END&gt;=2))*IFERROR(BULK_VALUE,0))/MAX(1,SUMPRODUCT(((BULK_ENABLED="Y")*((BULK_TIER="ALL")+(BULK_TIER=$F281))*((BULK_SKU="ALL")+(BULK_SKU=$G281))*(BULK_START&lt;=2)*(BULK_END&gt;=2)))),0),ROUND((INDEX(VELOCITY_TABLE,MATCH($F281,TIER_LIST,0),1))*(IF((2-$I281+1)&lt;=0,0,IF((2-$I281+1)=1,RAMP_W1,IF((2-$I281+1)=2,RAMP_W2,IF((2-$I281+1)=3,RAMP_W3,RAMP_W4PLUS)))))*(INDEX(ACTIVE_MULT_TABLE,1,1))*(1+SUMPRODUCT(SIGN(((ACT_DOOR_SCOPE="ALL")+(ACT_DOOR_SCOPE="TIER_"&amp;$F281)+(ACT_DOOR_SCOPE=$B281)))*SIGN(((ACT_SKU_SCOPE="ALL")+(ACT_SKU_SCOPE=$G281)))*(ACT_START&lt;=2)*(ACT_END&gt;=2)*IFERROR(ACT_UPLIFT-1,0)))*(1+SUMPRODUCT(SIGN(((ACT_DOOR_SCOPE="ALL")+(ACT_DOOR_SCOPE="TIER_"&amp;$F281)+(ACT_DOOR_SCOPE=$B281)))*SIGN(((ACT_SKU_SCOPE="ALL")+(ACT_SKU_SCOPE=$G281)))*(2&gt;ACT_END)*(ACT_END&gt;0)*IFERROR(ACT_POSTLIFT,0))),0)))</f>
        <v/>
      </c>
      <c r="L281" s="10">
        <f>IF(OR($H281&lt;&gt;"Y",3&lt;$I281),0,IF(SUMPRODUCT(((BULK_ENABLED="Y")*((BULK_TIER="ALL")+(BULK_TIER=$F281))*((BULK_SKU="ALL")+(BULK_SKU=$G281))*(BULK_START&lt;=3)*(BULK_END&gt;=3)))&gt;0,IFERROR(SUMPRODUCT(((BULK_ENABLED="Y")*((BULK_TIER="ALL")+(BULK_TIER=$F281))*((BULK_SKU="ALL")+(BULK_SKU=$G281))*(BULK_START&lt;=3)*(BULK_END&gt;=3))*IFERROR(BULK_VALUE,0))/MAX(1,SUMPRODUCT(((BULK_ENABLED="Y")*((BULK_TIER="ALL")+(BULK_TIER=$F281))*((BULK_SKU="ALL")+(BULK_SKU=$G281))*(BULK_START&lt;=3)*(BULK_END&gt;=3)))),0),ROUND((INDEX(VELOCITY_TABLE,MATCH($F281,TIER_LIST,0),1))*(IF((3-$I281+1)&lt;=0,0,IF((3-$I281+1)=1,RAMP_W1,IF((3-$I281+1)=2,RAMP_W2,IF((3-$I281+1)=3,RAMP_W3,RAMP_W4PLUS)))))*(INDEX(ACTIVE_MULT_TABLE,1,1))*(1+SUMPRODUCT(SIGN(((ACT_DOOR_SCOPE="ALL")+(ACT_DOOR_SCOPE="TIER_"&amp;$F281)+(ACT_DOOR_SCOPE=$B281)))*SIGN(((ACT_SKU_SCOPE="ALL")+(ACT_SKU_SCOPE=$G281)))*(ACT_START&lt;=3)*(ACT_END&gt;=3)*IFERROR(ACT_UPLIFT-1,0)))*(1+SUMPRODUCT(SIGN(((ACT_DOOR_SCOPE="ALL")+(ACT_DOOR_SCOPE="TIER_"&amp;$F281)+(ACT_DOOR_SCOPE=$B281)))*SIGN(((ACT_SKU_SCOPE="ALL")+(ACT_SKU_SCOPE=$G281)))*(3&gt;ACT_END)*(ACT_END&gt;0)*IFERROR(ACT_POSTLIFT,0))),0)))</f>
        <v/>
      </c>
      <c r="M281" s="10">
        <f>IF(OR($H281&lt;&gt;"Y",4&lt;$I281),0,IF(SUMPRODUCT(((BULK_ENABLED="Y")*((BULK_TIER="ALL")+(BULK_TIER=$F281))*((BULK_SKU="ALL")+(BULK_SKU=$G281))*(BULK_START&lt;=4)*(BULK_END&gt;=4)))&gt;0,IFERROR(SUMPRODUCT(((BULK_ENABLED="Y")*((BULK_TIER="ALL")+(BULK_TIER=$F281))*((BULK_SKU="ALL")+(BULK_SKU=$G281))*(BULK_START&lt;=4)*(BULK_END&gt;=4))*IFERROR(BULK_VALUE,0))/MAX(1,SUMPRODUCT(((BULK_ENABLED="Y")*((BULK_TIER="ALL")+(BULK_TIER=$F281))*((BULK_SKU="ALL")+(BULK_SKU=$G281))*(BULK_START&lt;=4)*(BULK_END&gt;=4)))),0),ROUND((INDEX(VELOCITY_TABLE,MATCH($F281,TIER_LIST,0),1))*(IF((4-$I281+1)&lt;=0,0,IF((4-$I281+1)=1,RAMP_W1,IF((4-$I281+1)=2,RAMP_W2,IF((4-$I281+1)=3,RAMP_W3,RAMP_W4PLUS)))))*(INDEX(ACTIVE_MULT_TABLE,1,1))*(1+SUMPRODUCT(SIGN(((ACT_DOOR_SCOPE="ALL")+(ACT_DOOR_SCOPE="TIER_"&amp;$F281)+(ACT_DOOR_SCOPE=$B281)))*SIGN(((ACT_SKU_SCOPE="ALL")+(ACT_SKU_SCOPE=$G281)))*(ACT_START&lt;=4)*(ACT_END&gt;=4)*IFERROR(ACT_UPLIFT-1,0)))*(1+SUMPRODUCT(SIGN(((ACT_DOOR_SCOPE="ALL")+(ACT_DOOR_SCOPE="TIER_"&amp;$F281)+(ACT_DOOR_SCOPE=$B281)))*SIGN(((ACT_SKU_SCOPE="ALL")+(ACT_SKU_SCOPE=$G281)))*(4&gt;ACT_END)*(ACT_END&gt;0)*IFERROR(ACT_POSTLIFT,0))),0)))</f>
        <v/>
      </c>
      <c r="N281" s="10">
        <f>IF(OR($H281&lt;&gt;"Y",5&lt;$I281),0,IF(SUMPRODUCT(((BULK_ENABLED="Y")*((BULK_TIER="ALL")+(BULK_TIER=$F281))*((BULK_SKU="ALL")+(BULK_SKU=$G281))*(BULK_START&lt;=5)*(BULK_END&gt;=5)))&gt;0,IFERROR(SUMPRODUCT(((BULK_ENABLED="Y")*((BULK_TIER="ALL")+(BULK_TIER=$F281))*((BULK_SKU="ALL")+(BULK_SKU=$G281))*(BULK_START&lt;=5)*(BULK_END&gt;=5))*IFERROR(BULK_VALUE,0))/MAX(1,SUMPRODUCT(((BULK_ENABLED="Y")*((BULK_TIER="ALL")+(BULK_TIER=$F281))*((BULK_SKU="ALL")+(BULK_SKU=$G281))*(BULK_START&lt;=5)*(BULK_END&gt;=5)))),0),ROUND((INDEX(VELOCITY_TABLE,MATCH($F281,TIER_LIST,0),1))*(IF((5-$I281+1)&lt;=0,0,IF((5-$I281+1)=1,RAMP_W1,IF((5-$I281+1)=2,RAMP_W2,IF((5-$I281+1)=3,RAMP_W3,RAMP_W4PLUS)))))*(INDEX(ACTIVE_MULT_TABLE,1,1))*(1+SUMPRODUCT(SIGN(((ACT_DOOR_SCOPE="ALL")+(ACT_DOOR_SCOPE="TIER_"&amp;$F281)+(ACT_DOOR_SCOPE=$B281)))*SIGN(((ACT_SKU_SCOPE="ALL")+(ACT_SKU_SCOPE=$G281)))*(ACT_START&lt;=5)*(ACT_END&gt;=5)*IFERROR(ACT_UPLIFT-1,0)))*(1+SUMPRODUCT(SIGN(((ACT_DOOR_SCOPE="ALL")+(ACT_DOOR_SCOPE="TIER_"&amp;$F281)+(ACT_DOOR_SCOPE=$B281)))*SIGN(((ACT_SKU_SCOPE="ALL")+(ACT_SKU_SCOPE=$G281)))*(5&gt;ACT_END)*(ACT_END&gt;0)*IFERROR(ACT_POSTLIFT,0))),0)))</f>
        <v/>
      </c>
      <c r="O281" s="10">
        <f>IF(OR($H281&lt;&gt;"Y",6&lt;$I281),0,IF(SUMPRODUCT(((BULK_ENABLED="Y")*((BULK_TIER="ALL")+(BULK_TIER=$F281))*((BULK_SKU="ALL")+(BULK_SKU=$G281))*(BULK_START&lt;=6)*(BULK_END&gt;=6)))&gt;0,IFERROR(SUMPRODUCT(((BULK_ENABLED="Y")*((BULK_TIER="ALL")+(BULK_TIER=$F281))*((BULK_SKU="ALL")+(BULK_SKU=$G281))*(BULK_START&lt;=6)*(BULK_END&gt;=6))*IFERROR(BULK_VALUE,0))/MAX(1,SUMPRODUCT(((BULK_ENABLED="Y")*((BULK_TIER="ALL")+(BULK_TIER=$F281))*((BULK_SKU="ALL")+(BULK_SKU=$G281))*(BULK_START&lt;=6)*(BULK_END&gt;=6)))),0),ROUND((INDEX(VELOCITY_TABLE,MATCH($F281,TIER_LIST,0),1))*(IF((6-$I281+1)&lt;=0,0,IF((6-$I281+1)=1,RAMP_W1,IF((6-$I281+1)=2,RAMP_W2,IF((6-$I281+1)=3,RAMP_W3,RAMP_W4PLUS)))))*(INDEX(ACTIVE_MULT_TABLE,1,1))*(1+SUMPRODUCT(SIGN(((ACT_DOOR_SCOPE="ALL")+(ACT_DOOR_SCOPE="TIER_"&amp;$F281)+(ACT_DOOR_SCOPE=$B281)))*SIGN(((ACT_SKU_SCOPE="ALL")+(ACT_SKU_SCOPE=$G281)))*(ACT_START&lt;=6)*(ACT_END&gt;=6)*IFERROR(ACT_UPLIFT-1,0)))*(1+SUMPRODUCT(SIGN(((ACT_DOOR_SCOPE="ALL")+(ACT_DOOR_SCOPE="TIER_"&amp;$F281)+(ACT_DOOR_SCOPE=$B281)))*SIGN(((ACT_SKU_SCOPE="ALL")+(ACT_SKU_SCOPE=$G281)))*(6&gt;ACT_END)*(ACT_END&gt;0)*IFERROR(ACT_POSTLIFT,0))),0)))</f>
        <v/>
      </c>
      <c r="P281" s="10">
        <f>IF(OR($H281&lt;&gt;"Y",7&lt;$I281),0,IF(SUMPRODUCT(((BULK_ENABLED="Y")*((BULK_TIER="ALL")+(BULK_TIER=$F281))*((BULK_SKU="ALL")+(BULK_SKU=$G281))*(BULK_START&lt;=7)*(BULK_END&gt;=7)))&gt;0,IFERROR(SUMPRODUCT(((BULK_ENABLED="Y")*((BULK_TIER="ALL")+(BULK_TIER=$F281))*((BULK_SKU="ALL")+(BULK_SKU=$G281))*(BULK_START&lt;=7)*(BULK_END&gt;=7))*IFERROR(BULK_VALUE,0))/MAX(1,SUMPRODUCT(((BULK_ENABLED="Y")*((BULK_TIER="ALL")+(BULK_TIER=$F281))*((BULK_SKU="ALL")+(BULK_SKU=$G281))*(BULK_START&lt;=7)*(BULK_END&gt;=7)))),0),ROUND((INDEX(VELOCITY_TABLE,MATCH($F281,TIER_LIST,0),1))*(IF((7-$I281+1)&lt;=0,0,IF((7-$I281+1)=1,RAMP_W1,IF((7-$I281+1)=2,RAMP_W2,IF((7-$I281+1)=3,RAMP_W3,RAMP_W4PLUS)))))*(INDEX(ACTIVE_MULT_TABLE,1,1))*(1+SUMPRODUCT(SIGN(((ACT_DOOR_SCOPE="ALL")+(ACT_DOOR_SCOPE="TIER_"&amp;$F281)+(ACT_DOOR_SCOPE=$B281)))*SIGN(((ACT_SKU_SCOPE="ALL")+(ACT_SKU_SCOPE=$G281)))*(ACT_START&lt;=7)*(ACT_END&gt;=7)*IFERROR(ACT_UPLIFT-1,0)))*(1+SUMPRODUCT(SIGN(((ACT_DOOR_SCOPE="ALL")+(ACT_DOOR_SCOPE="TIER_"&amp;$F281)+(ACT_DOOR_SCOPE=$B281)))*SIGN(((ACT_SKU_SCOPE="ALL")+(ACT_SKU_SCOPE=$G281)))*(7&gt;ACT_END)*(ACT_END&gt;0)*IFERROR(ACT_POSTLIFT,0))),0)))</f>
        <v/>
      </c>
      <c r="Q281" s="10">
        <f>IF(OR($H281&lt;&gt;"Y",8&lt;$I281),0,IF(SUMPRODUCT(((BULK_ENABLED="Y")*((BULK_TIER="ALL")+(BULK_TIER=$F281))*((BULK_SKU="ALL")+(BULK_SKU=$G281))*(BULK_START&lt;=8)*(BULK_END&gt;=8)))&gt;0,IFERROR(SUMPRODUCT(((BULK_ENABLED="Y")*((BULK_TIER="ALL")+(BULK_TIER=$F281))*((BULK_SKU="ALL")+(BULK_SKU=$G281))*(BULK_START&lt;=8)*(BULK_END&gt;=8))*IFERROR(BULK_VALUE,0))/MAX(1,SUMPRODUCT(((BULK_ENABLED="Y")*((BULK_TIER="ALL")+(BULK_TIER=$F281))*((BULK_SKU="ALL")+(BULK_SKU=$G281))*(BULK_START&lt;=8)*(BULK_END&gt;=8)))),0),ROUND((INDEX(VELOCITY_TABLE,MATCH($F281,TIER_LIST,0),1))*(IF((8-$I281+1)&lt;=0,0,IF((8-$I281+1)=1,RAMP_W1,IF((8-$I281+1)=2,RAMP_W2,IF((8-$I281+1)=3,RAMP_W3,RAMP_W4PLUS)))))*(INDEX(ACTIVE_MULT_TABLE,1,1))*(1+SUMPRODUCT(SIGN(((ACT_DOOR_SCOPE="ALL")+(ACT_DOOR_SCOPE="TIER_"&amp;$F281)+(ACT_DOOR_SCOPE=$B281)))*SIGN(((ACT_SKU_SCOPE="ALL")+(ACT_SKU_SCOPE=$G281)))*(ACT_START&lt;=8)*(ACT_END&gt;=8)*IFERROR(ACT_UPLIFT-1,0)))*(1+SUMPRODUCT(SIGN(((ACT_DOOR_SCOPE="ALL")+(ACT_DOOR_SCOPE="TIER_"&amp;$F281)+(ACT_DOOR_SCOPE=$B281)))*SIGN(((ACT_SKU_SCOPE="ALL")+(ACT_SKU_SCOPE=$G281)))*(8&gt;ACT_END)*(ACT_END&gt;0)*IFERROR(ACT_POSTLIFT,0))),0)))</f>
        <v/>
      </c>
      <c r="R281" s="10">
        <f>IF(OR($H281&lt;&gt;"Y",9&lt;$I281),0,IF(SUMPRODUCT(((BULK_ENABLED="Y")*((BULK_TIER="ALL")+(BULK_TIER=$F281))*((BULK_SKU="ALL")+(BULK_SKU=$G281))*(BULK_START&lt;=9)*(BULK_END&gt;=9)))&gt;0,IFERROR(SUMPRODUCT(((BULK_ENABLED="Y")*((BULK_TIER="ALL")+(BULK_TIER=$F281))*((BULK_SKU="ALL")+(BULK_SKU=$G281))*(BULK_START&lt;=9)*(BULK_END&gt;=9))*IFERROR(BULK_VALUE,0))/MAX(1,SUMPRODUCT(((BULK_ENABLED="Y")*((BULK_TIER="ALL")+(BULK_TIER=$F281))*((BULK_SKU="ALL")+(BULK_SKU=$G281))*(BULK_START&lt;=9)*(BULK_END&gt;=9)))),0),ROUND((INDEX(VELOCITY_TABLE,MATCH($F281,TIER_LIST,0),1))*(IF((9-$I281+1)&lt;=0,0,IF((9-$I281+1)=1,RAMP_W1,IF((9-$I281+1)=2,RAMP_W2,IF((9-$I281+1)=3,RAMP_W3,RAMP_W4PLUS)))))*(INDEX(ACTIVE_MULT_TABLE,1,1))*(1+SUMPRODUCT(SIGN(((ACT_DOOR_SCOPE="ALL")+(ACT_DOOR_SCOPE="TIER_"&amp;$F281)+(ACT_DOOR_SCOPE=$B281)))*SIGN(((ACT_SKU_SCOPE="ALL")+(ACT_SKU_SCOPE=$G281)))*(ACT_START&lt;=9)*(ACT_END&gt;=9)*IFERROR(ACT_UPLIFT-1,0)))*(1+SUMPRODUCT(SIGN(((ACT_DOOR_SCOPE="ALL")+(ACT_DOOR_SCOPE="TIER_"&amp;$F281)+(ACT_DOOR_SCOPE=$B281)))*SIGN(((ACT_SKU_SCOPE="ALL")+(ACT_SKU_SCOPE=$G281)))*(9&gt;ACT_END)*(ACT_END&gt;0)*IFERROR(ACT_POSTLIFT,0))),0)))</f>
        <v/>
      </c>
      <c r="S281" s="10">
        <f>IF(OR($H281&lt;&gt;"Y",10&lt;$I281),0,IF(SUMPRODUCT(((BULK_ENABLED="Y")*((BULK_TIER="ALL")+(BULK_TIER=$F281))*((BULK_SKU="ALL")+(BULK_SKU=$G281))*(BULK_START&lt;=10)*(BULK_END&gt;=10)))&gt;0,IFERROR(SUMPRODUCT(((BULK_ENABLED="Y")*((BULK_TIER="ALL")+(BULK_TIER=$F281))*((BULK_SKU="ALL")+(BULK_SKU=$G281))*(BULK_START&lt;=10)*(BULK_END&gt;=10))*IFERROR(BULK_VALUE,0))/MAX(1,SUMPRODUCT(((BULK_ENABLED="Y")*((BULK_TIER="ALL")+(BULK_TIER=$F281))*((BULK_SKU="ALL")+(BULK_SKU=$G281))*(BULK_START&lt;=10)*(BULK_END&gt;=10)))),0),ROUND((INDEX(VELOCITY_TABLE,MATCH($F281,TIER_LIST,0),1))*(IF((10-$I281+1)&lt;=0,0,IF((10-$I281+1)=1,RAMP_W1,IF((10-$I281+1)=2,RAMP_W2,IF((10-$I281+1)=3,RAMP_W3,RAMP_W4PLUS)))))*(INDEX(ACTIVE_MULT_TABLE,1,1))*(1+SUMPRODUCT(SIGN(((ACT_DOOR_SCOPE="ALL")+(ACT_DOOR_SCOPE="TIER_"&amp;$F281)+(ACT_DOOR_SCOPE=$B281)))*SIGN(((ACT_SKU_SCOPE="ALL")+(ACT_SKU_SCOPE=$G281)))*(ACT_START&lt;=10)*(ACT_END&gt;=10)*IFERROR(ACT_UPLIFT-1,0)))*(1+SUMPRODUCT(SIGN(((ACT_DOOR_SCOPE="ALL")+(ACT_DOOR_SCOPE="TIER_"&amp;$F281)+(ACT_DOOR_SCOPE=$B281)))*SIGN(((ACT_SKU_SCOPE="ALL")+(ACT_SKU_SCOPE=$G281)))*(10&gt;ACT_END)*(ACT_END&gt;0)*IFERROR(ACT_POSTLIFT,0))),0)))</f>
        <v/>
      </c>
      <c r="T281" s="10">
        <f>IF(OR($H281&lt;&gt;"Y",11&lt;$I281),0,IF(SUMPRODUCT(((BULK_ENABLED="Y")*((BULK_TIER="ALL")+(BULK_TIER=$F281))*((BULK_SKU="ALL")+(BULK_SKU=$G281))*(BULK_START&lt;=11)*(BULK_END&gt;=11)))&gt;0,IFERROR(SUMPRODUCT(((BULK_ENABLED="Y")*((BULK_TIER="ALL")+(BULK_TIER=$F281))*((BULK_SKU="ALL")+(BULK_SKU=$G281))*(BULK_START&lt;=11)*(BULK_END&gt;=11))*IFERROR(BULK_VALUE,0))/MAX(1,SUMPRODUCT(((BULK_ENABLED="Y")*((BULK_TIER="ALL")+(BULK_TIER=$F281))*((BULK_SKU="ALL")+(BULK_SKU=$G281))*(BULK_START&lt;=11)*(BULK_END&gt;=11)))),0),ROUND((INDEX(VELOCITY_TABLE,MATCH($F281,TIER_LIST,0),1))*(IF((11-$I281+1)&lt;=0,0,IF((11-$I281+1)=1,RAMP_W1,IF((11-$I281+1)=2,RAMP_W2,IF((11-$I281+1)=3,RAMP_W3,RAMP_W4PLUS)))))*(INDEX(ACTIVE_MULT_TABLE,1,1))*(1+SUMPRODUCT(SIGN(((ACT_DOOR_SCOPE="ALL")+(ACT_DOOR_SCOPE="TIER_"&amp;$F281)+(ACT_DOOR_SCOPE=$B281)))*SIGN(((ACT_SKU_SCOPE="ALL")+(ACT_SKU_SCOPE=$G281)))*(ACT_START&lt;=11)*(ACT_END&gt;=11)*IFERROR(ACT_UPLIFT-1,0)))*(1+SUMPRODUCT(SIGN(((ACT_DOOR_SCOPE="ALL")+(ACT_DOOR_SCOPE="TIER_"&amp;$F281)+(ACT_DOOR_SCOPE=$B281)))*SIGN(((ACT_SKU_SCOPE="ALL")+(ACT_SKU_SCOPE=$G281)))*(11&gt;ACT_END)*(ACT_END&gt;0)*IFERROR(ACT_POSTLIFT,0))),0)))</f>
        <v/>
      </c>
      <c r="U281" s="10">
        <f>IF(OR($H281&lt;&gt;"Y",12&lt;$I281),0,IF(SUMPRODUCT(((BULK_ENABLED="Y")*((BULK_TIER="ALL")+(BULK_TIER=$F281))*((BULK_SKU="ALL")+(BULK_SKU=$G281))*(BULK_START&lt;=12)*(BULK_END&gt;=12)))&gt;0,IFERROR(SUMPRODUCT(((BULK_ENABLED="Y")*((BULK_TIER="ALL")+(BULK_TIER=$F281))*((BULK_SKU="ALL")+(BULK_SKU=$G281))*(BULK_START&lt;=12)*(BULK_END&gt;=12))*IFERROR(BULK_VALUE,0))/MAX(1,SUMPRODUCT(((BULK_ENABLED="Y")*((BULK_TIER="ALL")+(BULK_TIER=$F281))*((BULK_SKU="ALL")+(BULK_SKU=$G281))*(BULK_START&lt;=12)*(BULK_END&gt;=12)))),0),ROUND((INDEX(VELOCITY_TABLE,MATCH($F281,TIER_LIST,0),1))*(IF((12-$I281+1)&lt;=0,0,IF((12-$I281+1)=1,RAMP_W1,IF((12-$I281+1)=2,RAMP_W2,IF((12-$I281+1)=3,RAMP_W3,RAMP_W4PLUS)))))*(INDEX(ACTIVE_MULT_TABLE,1,1))*(1+SUMPRODUCT(SIGN(((ACT_DOOR_SCOPE="ALL")+(ACT_DOOR_SCOPE="TIER_"&amp;$F281)+(ACT_DOOR_SCOPE=$B281)))*SIGN(((ACT_SKU_SCOPE="ALL")+(ACT_SKU_SCOPE=$G281)))*(ACT_START&lt;=12)*(ACT_END&gt;=12)*IFERROR(ACT_UPLIFT-1,0)))*(1+SUMPRODUCT(SIGN(((ACT_DOOR_SCOPE="ALL")+(ACT_DOOR_SCOPE="TIER_"&amp;$F281)+(ACT_DOOR_SCOPE=$B281)))*SIGN(((ACT_SKU_SCOPE="ALL")+(ACT_SKU_SCOPE=$G281)))*(12&gt;ACT_END)*(ACT_END&gt;0)*IFERROR(ACT_POSTLIFT,0))),0)))</f>
        <v/>
      </c>
      <c r="V281" s="10">
        <f>IF(OR($H281&lt;&gt;"Y",13&lt;$I281),0,IF(SUMPRODUCT(((BULK_ENABLED="Y")*((BULK_TIER="ALL")+(BULK_TIER=$F281))*((BULK_SKU="ALL")+(BULK_SKU=$G281))*(BULK_START&lt;=13)*(BULK_END&gt;=13)))&gt;0,IFERROR(SUMPRODUCT(((BULK_ENABLED="Y")*((BULK_TIER="ALL")+(BULK_TIER=$F281))*((BULK_SKU="ALL")+(BULK_SKU=$G281))*(BULK_START&lt;=13)*(BULK_END&gt;=13))*IFERROR(BULK_VALUE,0))/MAX(1,SUMPRODUCT(((BULK_ENABLED="Y")*((BULK_TIER="ALL")+(BULK_TIER=$F281))*((BULK_SKU="ALL")+(BULK_SKU=$G281))*(BULK_START&lt;=13)*(BULK_END&gt;=13)))),0),ROUND((INDEX(VELOCITY_TABLE,MATCH($F281,TIER_LIST,0),1))*(IF((13-$I281+1)&lt;=0,0,IF((13-$I281+1)=1,RAMP_W1,IF((13-$I281+1)=2,RAMP_W2,IF((13-$I281+1)=3,RAMP_W3,RAMP_W4PLUS)))))*(INDEX(ACTIVE_MULT_TABLE,1,1))*(1+SUMPRODUCT(SIGN(((ACT_DOOR_SCOPE="ALL")+(ACT_DOOR_SCOPE="TIER_"&amp;$F281)+(ACT_DOOR_SCOPE=$B281)))*SIGN(((ACT_SKU_SCOPE="ALL")+(ACT_SKU_SCOPE=$G281)))*(ACT_START&lt;=13)*(ACT_END&gt;=13)*IFERROR(ACT_UPLIFT-1,0)))*(1+SUMPRODUCT(SIGN(((ACT_DOOR_SCOPE="ALL")+(ACT_DOOR_SCOPE="TIER_"&amp;$F281)+(ACT_DOOR_SCOPE=$B281)))*SIGN(((ACT_SKU_SCOPE="ALL")+(ACT_SKU_SCOPE=$G281)))*(13&gt;ACT_END)*(ACT_END&gt;0)*IFERROR(ACT_POSTLIFT,0))),0)))</f>
        <v/>
      </c>
    </row>
    <row r="282">
      <c r="A282" t="inlineStr">
        <is>
          <t>R0278</t>
        </is>
      </c>
      <c r="B282">
        <f>Doors!$A$97</f>
        <v/>
      </c>
      <c r="C282">
        <f>Doors!$C$97</f>
        <v/>
      </c>
      <c r="D282">
        <f>Doors!$B$97</f>
        <v/>
      </c>
      <c r="E282">
        <f>Doors!$E$97</f>
        <v/>
      </c>
      <c r="F282">
        <f>Doors!$F$97</f>
        <v/>
      </c>
      <c r="G282" t="inlineStr">
        <is>
          <t>Pineapple Passion Fruit</t>
        </is>
      </c>
      <c r="H282">
        <f>Doors!$H$97</f>
        <v/>
      </c>
      <c r="I282">
        <f>Doors!$J$97</f>
        <v/>
      </c>
      <c r="J282" s="10">
        <f>IF(OR($H282&lt;&gt;"Y",1&lt;$I282),0,IF(SUMPRODUCT(((BULK_ENABLED="Y")*((BULK_TIER="ALL")+(BULK_TIER=$F282))*((BULK_SKU="ALL")+(BULK_SKU=$G282))*(BULK_START&lt;=1)*(BULK_END&gt;=1)))&gt;0,IFERROR(SUMPRODUCT(((BULK_ENABLED="Y")*((BULK_TIER="ALL")+(BULK_TIER=$F282))*((BULK_SKU="ALL")+(BULK_SKU=$G282))*(BULK_START&lt;=1)*(BULK_END&gt;=1))*IFERROR(BULK_VALUE,0))/MAX(1,SUMPRODUCT(((BULK_ENABLED="Y")*((BULK_TIER="ALL")+(BULK_TIER=$F282))*((BULK_SKU="ALL")+(BULK_SKU=$G282))*(BULK_START&lt;=1)*(BULK_END&gt;=1)))),0),ROUND((INDEX(VELOCITY_TABLE,MATCH($F282,TIER_LIST,0),2))*(IF((1-$I282+1)&lt;=0,0,IF((1-$I282+1)=1,RAMP_W1,IF((1-$I282+1)=2,RAMP_W2,IF((1-$I282+1)=3,RAMP_W3,RAMP_W4PLUS)))))*(INDEX(ACTIVE_MULT_TABLE,2,1))*(1+SUMPRODUCT(SIGN(((ACT_DOOR_SCOPE="ALL")+(ACT_DOOR_SCOPE="TIER_"&amp;$F282)+(ACT_DOOR_SCOPE=$B282)))*SIGN(((ACT_SKU_SCOPE="ALL")+(ACT_SKU_SCOPE=$G282)))*(ACT_START&lt;=1)*(ACT_END&gt;=1)*IFERROR(ACT_UPLIFT-1,0)))*(1+SUMPRODUCT(SIGN(((ACT_DOOR_SCOPE="ALL")+(ACT_DOOR_SCOPE="TIER_"&amp;$F282)+(ACT_DOOR_SCOPE=$B282)))*SIGN(((ACT_SKU_SCOPE="ALL")+(ACT_SKU_SCOPE=$G282)))*(1&gt;ACT_END)*(ACT_END&gt;0)*IFERROR(ACT_POSTLIFT,0))),0)))</f>
        <v/>
      </c>
      <c r="K282" s="10">
        <f>IF(OR($H282&lt;&gt;"Y",2&lt;$I282),0,IF(SUMPRODUCT(((BULK_ENABLED="Y")*((BULK_TIER="ALL")+(BULK_TIER=$F282))*((BULK_SKU="ALL")+(BULK_SKU=$G282))*(BULK_START&lt;=2)*(BULK_END&gt;=2)))&gt;0,IFERROR(SUMPRODUCT(((BULK_ENABLED="Y")*((BULK_TIER="ALL")+(BULK_TIER=$F282))*((BULK_SKU="ALL")+(BULK_SKU=$G282))*(BULK_START&lt;=2)*(BULK_END&gt;=2))*IFERROR(BULK_VALUE,0))/MAX(1,SUMPRODUCT(((BULK_ENABLED="Y")*((BULK_TIER="ALL")+(BULK_TIER=$F282))*((BULK_SKU="ALL")+(BULK_SKU=$G282))*(BULK_START&lt;=2)*(BULK_END&gt;=2)))),0),ROUND((INDEX(VELOCITY_TABLE,MATCH($F282,TIER_LIST,0),2))*(IF((2-$I282+1)&lt;=0,0,IF((2-$I282+1)=1,RAMP_W1,IF((2-$I282+1)=2,RAMP_W2,IF((2-$I282+1)=3,RAMP_W3,RAMP_W4PLUS)))))*(INDEX(ACTIVE_MULT_TABLE,2,1))*(1+SUMPRODUCT(SIGN(((ACT_DOOR_SCOPE="ALL")+(ACT_DOOR_SCOPE="TIER_"&amp;$F282)+(ACT_DOOR_SCOPE=$B282)))*SIGN(((ACT_SKU_SCOPE="ALL")+(ACT_SKU_SCOPE=$G282)))*(ACT_START&lt;=2)*(ACT_END&gt;=2)*IFERROR(ACT_UPLIFT-1,0)))*(1+SUMPRODUCT(SIGN(((ACT_DOOR_SCOPE="ALL")+(ACT_DOOR_SCOPE="TIER_"&amp;$F282)+(ACT_DOOR_SCOPE=$B282)))*SIGN(((ACT_SKU_SCOPE="ALL")+(ACT_SKU_SCOPE=$G282)))*(2&gt;ACT_END)*(ACT_END&gt;0)*IFERROR(ACT_POSTLIFT,0))),0)))</f>
        <v/>
      </c>
      <c r="L282" s="10">
        <f>IF(OR($H282&lt;&gt;"Y",3&lt;$I282),0,IF(SUMPRODUCT(((BULK_ENABLED="Y")*((BULK_TIER="ALL")+(BULK_TIER=$F282))*((BULK_SKU="ALL")+(BULK_SKU=$G282))*(BULK_START&lt;=3)*(BULK_END&gt;=3)))&gt;0,IFERROR(SUMPRODUCT(((BULK_ENABLED="Y")*((BULK_TIER="ALL")+(BULK_TIER=$F282))*((BULK_SKU="ALL")+(BULK_SKU=$G282))*(BULK_START&lt;=3)*(BULK_END&gt;=3))*IFERROR(BULK_VALUE,0))/MAX(1,SUMPRODUCT(((BULK_ENABLED="Y")*((BULK_TIER="ALL")+(BULK_TIER=$F282))*((BULK_SKU="ALL")+(BULK_SKU=$G282))*(BULK_START&lt;=3)*(BULK_END&gt;=3)))),0),ROUND((INDEX(VELOCITY_TABLE,MATCH($F282,TIER_LIST,0),2))*(IF((3-$I282+1)&lt;=0,0,IF((3-$I282+1)=1,RAMP_W1,IF((3-$I282+1)=2,RAMP_W2,IF((3-$I282+1)=3,RAMP_W3,RAMP_W4PLUS)))))*(INDEX(ACTIVE_MULT_TABLE,2,1))*(1+SUMPRODUCT(SIGN(((ACT_DOOR_SCOPE="ALL")+(ACT_DOOR_SCOPE="TIER_"&amp;$F282)+(ACT_DOOR_SCOPE=$B282)))*SIGN(((ACT_SKU_SCOPE="ALL")+(ACT_SKU_SCOPE=$G282)))*(ACT_START&lt;=3)*(ACT_END&gt;=3)*IFERROR(ACT_UPLIFT-1,0)))*(1+SUMPRODUCT(SIGN(((ACT_DOOR_SCOPE="ALL")+(ACT_DOOR_SCOPE="TIER_"&amp;$F282)+(ACT_DOOR_SCOPE=$B282)))*SIGN(((ACT_SKU_SCOPE="ALL")+(ACT_SKU_SCOPE=$G282)))*(3&gt;ACT_END)*(ACT_END&gt;0)*IFERROR(ACT_POSTLIFT,0))),0)))</f>
        <v/>
      </c>
      <c r="M282" s="10">
        <f>IF(OR($H282&lt;&gt;"Y",4&lt;$I282),0,IF(SUMPRODUCT(((BULK_ENABLED="Y")*((BULK_TIER="ALL")+(BULK_TIER=$F282))*((BULK_SKU="ALL")+(BULK_SKU=$G282))*(BULK_START&lt;=4)*(BULK_END&gt;=4)))&gt;0,IFERROR(SUMPRODUCT(((BULK_ENABLED="Y")*((BULK_TIER="ALL")+(BULK_TIER=$F282))*((BULK_SKU="ALL")+(BULK_SKU=$G282))*(BULK_START&lt;=4)*(BULK_END&gt;=4))*IFERROR(BULK_VALUE,0))/MAX(1,SUMPRODUCT(((BULK_ENABLED="Y")*((BULK_TIER="ALL")+(BULK_TIER=$F282))*((BULK_SKU="ALL")+(BULK_SKU=$G282))*(BULK_START&lt;=4)*(BULK_END&gt;=4)))),0),ROUND((INDEX(VELOCITY_TABLE,MATCH($F282,TIER_LIST,0),2))*(IF((4-$I282+1)&lt;=0,0,IF((4-$I282+1)=1,RAMP_W1,IF((4-$I282+1)=2,RAMP_W2,IF((4-$I282+1)=3,RAMP_W3,RAMP_W4PLUS)))))*(INDEX(ACTIVE_MULT_TABLE,2,1))*(1+SUMPRODUCT(SIGN(((ACT_DOOR_SCOPE="ALL")+(ACT_DOOR_SCOPE="TIER_"&amp;$F282)+(ACT_DOOR_SCOPE=$B282)))*SIGN(((ACT_SKU_SCOPE="ALL")+(ACT_SKU_SCOPE=$G282)))*(ACT_START&lt;=4)*(ACT_END&gt;=4)*IFERROR(ACT_UPLIFT-1,0)))*(1+SUMPRODUCT(SIGN(((ACT_DOOR_SCOPE="ALL")+(ACT_DOOR_SCOPE="TIER_"&amp;$F282)+(ACT_DOOR_SCOPE=$B282)))*SIGN(((ACT_SKU_SCOPE="ALL")+(ACT_SKU_SCOPE=$G282)))*(4&gt;ACT_END)*(ACT_END&gt;0)*IFERROR(ACT_POSTLIFT,0))),0)))</f>
        <v/>
      </c>
      <c r="N282" s="10">
        <f>IF(OR($H282&lt;&gt;"Y",5&lt;$I282),0,IF(SUMPRODUCT(((BULK_ENABLED="Y")*((BULK_TIER="ALL")+(BULK_TIER=$F282))*((BULK_SKU="ALL")+(BULK_SKU=$G282))*(BULK_START&lt;=5)*(BULK_END&gt;=5)))&gt;0,IFERROR(SUMPRODUCT(((BULK_ENABLED="Y")*((BULK_TIER="ALL")+(BULK_TIER=$F282))*((BULK_SKU="ALL")+(BULK_SKU=$G282))*(BULK_START&lt;=5)*(BULK_END&gt;=5))*IFERROR(BULK_VALUE,0))/MAX(1,SUMPRODUCT(((BULK_ENABLED="Y")*((BULK_TIER="ALL")+(BULK_TIER=$F282))*((BULK_SKU="ALL")+(BULK_SKU=$G282))*(BULK_START&lt;=5)*(BULK_END&gt;=5)))),0),ROUND((INDEX(VELOCITY_TABLE,MATCH($F282,TIER_LIST,0),2))*(IF((5-$I282+1)&lt;=0,0,IF((5-$I282+1)=1,RAMP_W1,IF((5-$I282+1)=2,RAMP_W2,IF((5-$I282+1)=3,RAMP_W3,RAMP_W4PLUS)))))*(INDEX(ACTIVE_MULT_TABLE,2,1))*(1+SUMPRODUCT(SIGN(((ACT_DOOR_SCOPE="ALL")+(ACT_DOOR_SCOPE="TIER_"&amp;$F282)+(ACT_DOOR_SCOPE=$B282)))*SIGN(((ACT_SKU_SCOPE="ALL")+(ACT_SKU_SCOPE=$G282)))*(ACT_START&lt;=5)*(ACT_END&gt;=5)*IFERROR(ACT_UPLIFT-1,0)))*(1+SUMPRODUCT(SIGN(((ACT_DOOR_SCOPE="ALL")+(ACT_DOOR_SCOPE="TIER_"&amp;$F282)+(ACT_DOOR_SCOPE=$B282)))*SIGN(((ACT_SKU_SCOPE="ALL")+(ACT_SKU_SCOPE=$G282)))*(5&gt;ACT_END)*(ACT_END&gt;0)*IFERROR(ACT_POSTLIFT,0))),0)))</f>
        <v/>
      </c>
      <c r="O282" s="10">
        <f>IF(OR($H282&lt;&gt;"Y",6&lt;$I282),0,IF(SUMPRODUCT(((BULK_ENABLED="Y")*((BULK_TIER="ALL")+(BULK_TIER=$F282))*((BULK_SKU="ALL")+(BULK_SKU=$G282))*(BULK_START&lt;=6)*(BULK_END&gt;=6)))&gt;0,IFERROR(SUMPRODUCT(((BULK_ENABLED="Y")*((BULK_TIER="ALL")+(BULK_TIER=$F282))*((BULK_SKU="ALL")+(BULK_SKU=$G282))*(BULK_START&lt;=6)*(BULK_END&gt;=6))*IFERROR(BULK_VALUE,0))/MAX(1,SUMPRODUCT(((BULK_ENABLED="Y")*((BULK_TIER="ALL")+(BULK_TIER=$F282))*((BULK_SKU="ALL")+(BULK_SKU=$G282))*(BULK_START&lt;=6)*(BULK_END&gt;=6)))),0),ROUND((INDEX(VELOCITY_TABLE,MATCH($F282,TIER_LIST,0),2))*(IF((6-$I282+1)&lt;=0,0,IF((6-$I282+1)=1,RAMP_W1,IF((6-$I282+1)=2,RAMP_W2,IF((6-$I282+1)=3,RAMP_W3,RAMP_W4PLUS)))))*(INDEX(ACTIVE_MULT_TABLE,2,1))*(1+SUMPRODUCT(SIGN(((ACT_DOOR_SCOPE="ALL")+(ACT_DOOR_SCOPE="TIER_"&amp;$F282)+(ACT_DOOR_SCOPE=$B282)))*SIGN(((ACT_SKU_SCOPE="ALL")+(ACT_SKU_SCOPE=$G282)))*(ACT_START&lt;=6)*(ACT_END&gt;=6)*IFERROR(ACT_UPLIFT-1,0)))*(1+SUMPRODUCT(SIGN(((ACT_DOOR_SCOPE="ALL")+(ACT_DOOR_SCOPE="TIER_"&amp;$F282)+(ACT_DOOR_SCOPE=$B282)))*SIGN(((ACT_SKU_SCOPE="ALL")+(ACT_SKU_SCOPE=$G282)))*(6&gt;ACT_END)*(ACT_END&gt;0)*IFERROR(ACT_POSTLIFT,0))),0)))</f>
        <v/>
      </c>
      <c r="P282" s="10">
        <f>IF(OR($H282&lt;&gt;"Y",7&lt;$I282),0,IF(SUMPRODUCT(((BULK_ENABLED="Y")*((BULK_TIER="ALL")+(BULK_TIER=$F282))*((BULK_SKU="ALL")+(BULK_SKU=$G282))*(BULK_START&lt;=7)*(BULK_END&gt;=7)))&gt;0,IFERROR(SUMPRODUCT(((BULK_ENABLED="Y")*((BULK_TIER="ALL")+(BULK_TIER=$F282))*((BULK_SKU="ALL")+(BULK_SKU=$G282))*(BULK_START&lt;=7)*(BULK_END&gt;=7))*IFERROR(BULK_VALUE,0))/MAX(1,SUMPRODUCT(((BULK_ENABLED="Y")*((BULK_TIER="ALL")+(BULK_TIER=$F282))*((BULK_SKU="ALL")+(BULK_SKU=$G282))*(BULK_START&lt;=7)*(BULK_END&gt;=7)))),0),ROUND((INDEX(VELOCITY_TABLE,MATCH($F282,TIER_LIST,0),2))*(IF((7-$I282+1)&lt;=0,0,IF((7-$I282+1)=1,RAMP_W1,IF((7-$I282+1)=2,RAMP_W2,IF((7-$I282+1)=3,RAMP_W3,RAMP_W4PLUS)))))*(INDEX(ACTIVE_MULT_TABLE,2,1))*(1+SUMPRODUCT(SIGN(((ACT_DOOR_SCOPE="ALL")+(ACT_DOOR_SCOPE="TIER_"&amp;$F282)+(ACT_DOOR_SCOPE=$B282)))*SIGN(((ACT_SKU_SCOPE="ALL")+(ACT_SKU_SCOPE=$G282)))*(ACT_START&lt;=7)*(ACT_END&gt;=7)*IFERROR(ACT_UPLIFT-1,0)))*(1+SUMPRODUCT(SIGN(((ACT_DOOR_SCOPE="ALL")+(ACT_DOOR_SCOPE="TIER_"&amp;$F282)+(ACT_DOOR_SCOPE=$B282)))*SIGN(((ACT_SKU_SCOPE="ALL")+(ACT_SKU_SCOPE=$G282)))*(7&gt;ACT_END)*(ACT_END&gt;0)*IFERROR(ACT_POSTLIFT,0))),0)))</f>
        <v/>
      </c>
      <c r="Q282" s="10">
        <f>IF(OR($H282&lt;&gt;"Y",8&lt;$I282),0,IF(SUMPRODUCT(((BULK_ENABLED="Y")*((BULK_TIER="ALL")+(BULK_TIER=$F282))*((BULK_SKU="ALL")+(BULK_SKU=$G282))*(BULK_START&lt;=8)*(BULK_END&gt;=8)))&gt;0,IFERROR(SUMPRODUCT(((BULK_ENABLED="Y")*((BULK_TIER="ALL")+(BULK_TIER=$F282))*((BULK_SKU="ALL")+(BULK_SKU=$G282))*(BULK_START&lt;=8)*(BULK_END&gt;=8))*IFERROR(BULK_VALUE,0))/MAX(1,SUMPRODUCT(((BULK_ENABLED="Y")*((BULK_TIER="ALL")+(BULK_TIER=$F282))*((BULK_SKU="ALL")+(BULK_SKU=$G282))*(BULK_START&lt;=8)*(BULK_END&gt;=8)))),0),ROUND((INDEX(VELOCITY_TABLE,MATCH($F282,TIER_LIST,0),2))*(IF((8-$I282+1)&lt;=0,0,IF((8-$I282+1)=1,RAMP_W1,IF((8-$I282+1)=2,RAMP_W2,IF((8-$I282+1)=3,RAMP_W3,RAMP_W4PLUS)))))*(INDEX(ACTIVE_MULT_TABLE,2,1))*(1+SUMPRODUCT(SIGN(((ACT_DOOR_SCOPE="ALL")+(ACT_DOOR_SCOPE="TIER_"&amp;$F282)+(ACT_DOOR_SCOPE=$B282)))*SIGN(((ACT_SKU_SCOPE="ALL")+(ACT_SKU_SCOPE=$G282)))*(ACT_START&lt;=8)*(ACT_END&gt;=8)*IFERROR(ACT_UPLIFT-1,0)))*(1+SUMPRODUCT(SIGN(((ACT_DOOR_SCOPE="ALL")+(ACT_DOOR_SCOPE="TIER_"&amp;$F282)+(ACT_DOOR_SCOPE=$B282)))*SIGN(((ACT_SKU_SCOPE="ALL")+(ACT_SKU_SCOPE=$G282)))*(8&gt;ACT_END)*(ACT_END&gt;0)*IFERROR(ACT_POSTLIFT,0))),0)))</f>
        <v/>
      </c>
      <c r="R282" s="10">
        <f>IF(OR($H282&lt;&gt;"Y",9&lt;$I282),0,IF(SUMPRODUCT(((BULK_ENABLED="Y")*((BULK_TIER="ALL")+(BULK_TIER=$F282))*((BULK_SKU="ALL")+(BULK_SKU=$G282))*(BULK_START&lt;=9)*(BULK_END&gt;=9)))&gt;0,IFERROR(SUMPRODUCT(((BULK_ENABLED="Y")*((BULK_TIER="ALL")+(BULK_TIER=$F282))*((BULK_SKU="ALL")+(BULK_SKU=$G282))*(BULK_START&lt;=9)*(BULK_END&gt;=9))*IFERROR(BULK_VALUE,0))/MAX(1,SUMPRODUCT(((BULK_ENABLED="Y")*((BULK_TIER="ALL")+(BULK_TIER=$F282))*((BULK_SKU="ALL")+(BULK_SKU=$G282))*(BULK_START&lt;=9)*(BULK_END&gt;=9)))),0),ROUND((INDEX(VELOCITY_TABLE,MATCH($F282,TIER_LIST,0),2))*(IF((9-$I282+1)&lt;=0,0,IF((9-$I282+1)=1,RAMP_W1,IF((9-$I282+1)=2,RAMP_W2,IF((9-$I282+1)=3,RAMP_W3,RAMP_W4PLUS)))))*(INDEX(ACTIVE_MULT_TABLE,2,1))*(1+SUMPRODUCT(SIGN(((ACT_DOOR_SCOPE="ALL")+(ACT_DOOR_SCOPE="TIER_"&amp;$F282)+(ACT_DOOR_SCOPE=$B282)))*SIGN(((ACT_SKU_SCOPE="ALL")+(ACT_SKU_SCOPE=$G282)))*(ACT_START&lt;=9)*(ACT_END&gt;=9)*IFERROR(ACT_UPLIFT-1,0)))*(1+SUMPRODUCT(SIGN(((ACT_DOOR_SCOPE="ALL")+(ACT_DOOR_SCOPE="TIER_"&amp;$F282)+(ACT_DOOR_SCOPE=$B282)))*SIGN(((ACT_SKU_SCOPE="ALL")+(ACT_SKU_SCOPE=$G282)))*(9&gt;ACT_END)*(ACT_END&gt;0)*IFERROR(ACT_POSTLIFT,0))),0)))</f>
        <v/>
      </c>
      <c r="S282" s="10">
        <f>IF(OR($H282&lt;&gt;"Y",10&lt;$I282),0,IF(SUMPRODUCT(((BULK_ENABLED="Y")*((BULK_TIER="ALL")+(BULK_TIER=$F282))*((BULK_SKU="ALL")+(BULK_SKU=$G282))*(BULK_START&lt;=10)*(BULK_END&gt;=10)))&gt;0,IFERROR(SUMPRODUCT(((BULK_ENABLED="Y")*((BULK_TIER="ALL")+(BULK_TIER=$F282))*((BULK_SKU="ALL")+(BULK_SKU=$G282))*(BULK_START&lt;=10)*(BULK_END&gt;=10))*IFERROR(BULK_VALUE,0))/MAX(1,SUMPRODUCT(((BULK_ENABLED="Y")*((BULK_TIER="ALL")+(BULK_TIER=$F282))*((BULK_SKU="ALL")+(BULK_SKU=$G282))*(BULK_START&lt;=10)*(BULK_END&gt;=10)))),0),ROUND((INDEX(VELOCITY_TABLE,MATCH($F282,TIER_LIST,0),2))*(IF((10-$I282+1)&lt;=0,0,IF((10-$I282+1)=1,RAMP_W1,IF((10-$I282+1)=2,RAMP_W2,IF((10-$I282+1)=3,RAMP_W3,RAMP_W4PLUS)))))*(INDEX(ACTIVE_MULT_TABLE,2,1))*(1+SUMPRODUCT(SIGN(((ACT_DOOR_SCOPE="ALL")+(ACT_DOOR_SCOPE="TIER_"&amp;$F282)+(ACT_DOOR_SCOPE=$B282)))*SIGN(((ACT_SKU_SCOPE="ALL")+(ACT_SKU_SCOPE=$G282)))*(ACT_START&lt;=10)*(ACT_END&gt;=10)*IFERROR(ACT_UPLIFT-1,0)))*(1+SUMPRODUCT(SIGN(((ACT_DOOR_SCOPE="ALL")+(ACT_DOOR_SCOPE="TIER_"&amp;$F282)+(ACT_DOOR_SCOPE=$B282)))*SIGN(((ACT_SKU_SCOPE="ALL")+(ACT_SKU_SCOPE=$G282)))*(10&gt;ACT_END)*(ACT_END&gt;0)*IFERROR(ACT_POSTLIFT,0))),0)))</f>
        <v/>
      </c>
      <c r="T282" s="10">
        <f>IF(OR($H282&lt;&gt;"Y",11&lt;$I282),0,IF(SUMPRODUCT(((BULK_ENABLED="Y")*((BULK_TIER="ALL")+(BULK_TIER=$F282))*((BULK_SKU="ALL")+(BULK_SKU=$G282))*(BULK_START&lt;=11)*(BULK_END&gt;=11)))&gt;0,IFERROR(SUMPRODUCT(((BULK_ENABLED="Y")*((BULK_TIER="ALL")+(BULK_TIER=$F282))*((BULK_SKU="ALL")+(BULK_SKU=$G282))*(BULK_START&lt;=11)*(BULK_END&gt;=11))*IFERROR(BULK_VALUE,0))/MAX(1,SUMPRODUCT(((BULK_ENABLED="Y")*((BULK_TIER="ALL")+(BULK_TIER=$F282))*((BULK_SKU="ALL")+(BULK_SKU=$G282))*(BULK_START&lt;=11)*(BULK_END&gt;=11)))),0),ROUND((INDEX(VELOCITY_TABLE,MATCH($F282,TIER_LIST,0),2))*(IF((11-$I282+1)&lt;=0,0,IF((11-$I282+1)=1,RAMP_W1,IF((11-$I282+1)=2,RAMP_W2,IF((11-$I282+1)=3,RAMP_W3,RAMP_W4PLUS)))))*(INDEX(ACTIVE_MULT_TABLE,2,1))*(1+SUMPRODUCT(SIGN(((ACT_DOOR_SCOPE="ALL")+(ACT_DOOR_SCOPE="TIER_"&amp;$F282)+(ACT_DOOR_SCOPE=$B282)))*SIGN(((ACT_SKU_SCOPE="ALL")+(ACT_SKU_SCOPE=$G282)))*(ACT_START&lt;=11)*(ACT_END&gt;=11)*IFERROR(ACT_UPLIFT-1,0)))*(1+SUMPRODUCT(SIGN(((ACT_DOOR_SCOPE="ALL")+(ACT_DOOR_SCOPE="TIER_"&amp;$F282)+(ACT_DOOR_SCOPE=$B282)))*SIGN(((ACT_SKU_SCOPE="ALL")+(ACT_SKU_SCOPE=$G282)))*(11&gt;ACT_END)*(ACT_END&gt;0)*IFERROR(ACT_POSTLIFT,0))),0)))</f>
        <v/>
      </c>
      <c r="U282" s="10">
        <f>IF(OR($H282&lt;&gt;"Y",12&lt;$I282),0,IF(SUMPRODUCT(((BULK_ENABLED="Y")*((BULK_TIER="ALL")+(BULK_TIER=$F282))*((BULK_SKU="ALL")+(BULK_SKU=$G282))*(BULK_START&lt;=12)*(BULK_END&gt;=12)))&gt;0,IFERROR(SUMPRODUCT(((BULK_ENABLED="Y")*((BULK_TIER="ALL")+(BULK_TIER=$F282))*((BULK_SKU="ALL")+(BULK_SKU=$G282))*(BULK_START&lt;=12)*(BULK_END&gt;=12))*IFERROR(BULK_VALUE,0))/MAX(1,SUMPRODUCT(((BULK_ENABLED="Y")*((BULK_TIER="ALL")+(BULK_TIER=$F282))*((BULK_SKU="ALL")+(BULK_SKU=$G282))*(BULK_START&lt;=12)*(BULK_END&gt;=12)))),0),ROUND((INDEX(VELOCITY_TABLE,MATCH($F282,TIER_LIST,0),2))*(IF((12-$I282+1)&lt;=0,0,IF((12-$I282+1)=1,RAMP_W1,IF((12-$I282+1)=2,RAMP_W2,IF((12-$I282+1)=3,RAMP_W3,RAMP_W4PLUS)))))*(INDEX(ACTIVE_MULT_TABLE,2,1))*(1+SUMPRODUCT(SIGN(((ACT_DOOR_SCOPE="ALL")+(ACT_DOOR_SCOPE="TIER_"&amp;$F282)+(ACT_DOOR_SCOPE=$B282)))*SIGN(((ACT_SKU_SCOPE="ALL")+(ACT_SKU_SCOPE=$G282)))*(ACT_START&lt;=12)*(ACT_END&gt;=12)*IFERROR(ACT_UPLIFT-1,0)))*(1+SUMPRODUCT(SIGN(((ACT_DOOR_SCOPE="ALL")+(ACT_DOOR_SCOPE="TIER_"&amp;$F282)+(ACT_DOOR_SCOPE=$B282)))*SIGN(((ACT_SKU_SCOPE="ALL")+(ACT_SKU_SCOPE=$G282)))*(12&gt;ACT_END)*(ACT_END&gt;0)*IFERROR(ACT_POSTLIFT,0))),0)))</f>
        <v/>
      </c>
      <c r="V282" s="10">
        <f>IF(OR($H282&lt;&gt;"Y",13&lt;$I282),0,IF(SUMPRODUCT(((BULK_ENABLED="Y")*((BULK_TIER="ALL")+(BULK_TIER=$F282))*((BULK_SKU="ALL")+(BULK_SKU=$G282))*(BULK_START&lt;=13)*(BULK_END&gt;=13)))&gt;0,IFERROR(SUMPRODUCT(((BULK_ENABLED="Y")*((BULK_TIER="ALL")+(BULK_TIER=$F282))*((BULK_SKU="ALL")+(BULK_SKU=$G282))*(BULK_START&lt;=13)*(BULK_END&gt;=13))*IFERROR(BULK_VALUE,0))/MAX(1,SUMPRODUCT(((BULK_ENABLED="Y")*((BULK_TIER="ALL")+(BULK_TIER=$F282))*((BULK_SKU="ALL")+(BULK_SKU=$G282))*(BULK_START&lt;=13)*(BULK_END&gt;=13)))),0),ROUND((INDEX(VELOCITY_TABLE,MATCH($F282,TIER_LIST,0),2))*(IF((13-$I282+1)&lt;=0,0,IF((13-$I282+1)=1,RAMP_W1,IF((13-$I282+1)=2,RAMP_W2,IF((13-$I282+1)=3,RAMP_W3,RAMP_W4PLUS)))))*(INDEX(ACTIVE_MULT_TABLE,2,1))*(1+SUMPRODUCT(SIGN(((ACT_DOOR_SCOPE="ALL")+(ACT_DOOR_SCOPE="TIER_"&amp;$F282)+(ACT_DOOR_SCOPE=$B282)))*SIGN(((ACT_SKU_SCOPE="ALL")+(ACT_SKU_SCOPE=$G282)))*(ACT_START&lt;=13)*(ACT_END&gt;=13)*IFERROR(ACT_UPLIFT-1,0)))*(1+SUMPRODUCT(SIGN(((ACT_DOOR_SCOPE="ALL")+(ACT_DOOR_SCOPE="TIER_"&amp;$F282)+(ACT_DOOR_SCOPE=$B282)))*SIGN(((ACT_SKU_SCOPE="ALL")+(ACT_SKU_SCOPE=$G282)))*(13&gt;ACT_END)*(ACT_END&gt;0)*IFERROR(ACT_POSTLIFT,0))),0)))</f>
        <v/>
      </c>
    </row>
    <row r="283">
      <c r="A283" t="inlineStr">
        <is>
          <t>R0279</t>
        </is>
      </c>
      <c r="B283">
        <f>Doors!$A$97</f>
        <v/>
      </c>
      <c r="C283">
        <f>Doors!$C$97</f>
        <v/>
      </c>
      <c r="D283">
        <f>Doors!$B$97</f>
        <v/>
      </c>
      <c r="E283">
        <f>Doors!$E$97</f>
        <v/>
      </c>
      <c r="F283">
        <f>Doors!$F$97</f>
        <v/>
      </c>
      <c r="G283" t="inlineStr">
        <is>
          <t>Raspberry</t>
        </is>
      </c>
      <c r="H283">
        <f>Doors!$I$97</f>
        <v/>
      </c>
      <c r="I283">
        <f>Doors!$J$97</f>
        <v/>
      </c>
      <c r="J283" s="10">
        <f>IF(OR($H283&lt;&gt;"Y",1&lt;$I283),0,IF(SUMPRODUCT(((BULK_ENABLED="Y")*((BULK_TIER="ALL")+(BULK_TIER=$F283))*((BULK_SKU="ALL")+(BULK_SKU=$G283))*(BULK_START&lt;=1)*(BULK_END&gt;=1)))&gt;0,IFERROR(SUMPRODUCT(((BULK_ENABLED="Y")*((BULK_TIER="ALL")+(BULK_TIER=$F283))*((BULK_SKU="ALL")+(BULK_SKU=$G283))*(BULK_START&lt;=1)*(BULK_END&gt;=1))*IFERROR(BULK_VALUE,0))/MAX(1,SUMPRODUCT(((BULK_ENABLED="Y")*((BULK_TIER="ALL")+(BULK_TIER=$F283))*((BULK_SKU="ALL")+(BULK_SKU=$G283))*(BULK_START&lt;=1)*(BULK_END&gt;=1)))),0),ROUND((INDEX(VELOCITY_TABLE,MATCH($F283,TIER_LIST,0),3))*(IF((1-$I283+1)&lt;=0,0,IF((1-$I283+1)=1,RAMP_W1,IF((1-$I283+1)=2,RAMP_W2,IF((1-$I283+1)=3,RAMP_W3,RAMP_W4PLUS)))))*(INDEX(ACTIVE_MULT_TABLE,3,1))*(1+SUMPRODUCT(SIGN(((ACT_DOOR_SCOPE="ALL")+(ACT_DOOR_SCOPE="TIER_"&amp;$F283)+(ACT_DOOR_SCOPE=$B283)))*SIGN(((ACT_SKU_SCOPE="ALL")+(ACT_SKU_SCOPE=$G283)))*(ACT_START&lt;=1)*(ACT_END&gt;=1)*IFERROR(ACT_UPLIFT-1,0)))*(1+SUMPRODUCT(SIGN(((ACT_DOOR_SCOPE="ALL")+(ACT_DOOR_SCOPE="TIER_"&amp;$F283)+(ACT_DOOR_SCOPE=$B283)))*SIGN(((ACT_SKU_SCOPE="ALL")+(ACT_SKU_SCOPE=$G283)))*(1&gt;ACT_END)*(ACT_END&gt;0)*IFERROR(ACT_POSTLIFT,0))),0)))</f>
        <v/>
      </c>
      <c r="K283" s="10">
        <f>IF(OR($H283&lt;&gt;"Y",2&lt;$I283),0,IF(SUMPRODUCT(((BULK_ENABLED="Y")*((BULK_TIER="ALL")+(BULK_TIER=$F283))*((BULK_SKU="ALL")+(BULK_SKU=$G283))*(BULK_START&lt;=2)*(BULK_END&gt;=2)))&gt;0,IFERROR(SUMPRODUCT(((BULK_ENABLED="Y")*((BULK_TIER="ALL")+(BULK_TIER=$F283))*((BULK_SKU="ALL")+(BULK_SKU=$G283))*(BULK_START&lt;=2)*(BULK_END&gt;=2))*IFERROR(BULK_VALUE,0))/MAX(1,SUMPRODUCT(((BULK_ENABLED="Y")*((BULK_TIER="ALL")+(BULK_TIER=$F283))*((BULK_SKU="ALL")+(BULK_SKU=$G283))*(BULK_START&lt;=2)*(BULK_END&gt;=2)))),0),ROUND((INDEX(VELOCITY_TABLE,MATCH($F283,TIER_LIST,0),3))*(IF((2-$I283+1)&lt;=0,0,IF((2-$I283+1)=1,RAMP_W1,IF((2-$I283+1)=2,RAMP_W2,IF((2-$I283+1)=3,RAMP_W3,RAMP_W4PLUS)))))*(INDEX(ACTIVE_MULT_TABLE,3,1))*(1+SUMPRODUCT(SIGN(((ACT_DOOR_SCOPE="ALL")+(ACT_DOOR_SCOPE="TIER_"&amp;$F283)+(ACT_DOOR_SCOPE=$B283)))*SIGN(((ACT_SKU_SCOPE="ALL")+(ACT_SKU_SCOPE=$G283)))*(ACT_START&lt;=2)*(ACT_END&gt;=2)*IFERROR(ACT_UPLIFT-1,0)))*(1+SUMPRODUCT(SIGN(((ACT_DOOR_SCOPE="ALL")+(ACT_DOOR_SCOPE="TIER_"&amp;$F283)+(ACT_DOOR_SCOPE=$B283)))*SIGN(((ACT_SKU_SCOPE="ALL")+(ACT_SKU_SCOPE=$G283)))*(2&gt;ACT_END)*(ACT_END&gt;0)*IFERROR(ACT_POSTLIFT,0))),0)))</f>
        <v/>
      </c>
      <c r="L283" s="10">
        <f>IF(OR($H283&lt;&gt;"Y",3&lt;$I283),0,IF(SUMPRODUCT(((BULK_ENABLED="Y")*((BULK_TIER="ALL")+(BULK_TIER=$F283))*((BULK_SKU="ALL")+(BULK_SKU=$G283))*(BULK_START&lt;=3)*(BULK_END&gt;=3)))&gt;0,IFERROR(SUMPRODUCT(((BULK_ENABLED="Y")*((BULK_TIER="ALL")+(BULK_TIER=$F283))*((BULK_SKU="ALL")+(BULK_SKU=$G283))*(BULK_START&lt;=3)*(BULK_END&gt;=3))*IFERROR(BULK_VALUE,0))/MAX(1,SUMPRODUCT(((BULK_ENABLED="Y")*((BULK_TIER="ALL")+(BULK_TIER=$F283))*((BULK_SKU="ALL")+(BULK_SKU=$G283))*(BULK_START&lt;=3)*(BULK_END&gt;=3)))),0),ROUND((INDEX(VELOCITY_TABLE,MATCH($F283,TIER_LIST,0),3))*(IF((3-$I283+1)&lt;=0,0,IF((3-$I283+1)=1,RAMP_W1,IF((3-$I283+1)=2,RAMP_W2,IF((3-$I283+1)=3,RAMP_W3,RAMP_W4PLUS)))))*(INDEX(ACTIVE_MULT_TABLE,3,1))*(1+SUMPRODUCT(SIGN(((ACT_DOOR_SCOPE="ALL")+(ACT_DOOR_SCOPE="TIER_"&amp;$F283)+(ACT_DOOR_SCOPE=$B283)))*SIGN(((ACT_SKU_SCOPE="ALL")+(ACT_SKU_SCOPE=$G283)))*(ACT_START&lt;=3)*(ACT_END&gt;=3)*IFERROR(ACT_UPLIFT-1,0)))*(1+SUMPRODUCT(SIGN(((ACT_DOOR_SCOPE="ALL")+(ACT_DOOR_SCOPE="TIER_"&amp;$F283)+(ACT_DOOR_SCOPE=$B283)))*SIGN(((ACT_SKU_SCOPE="ALL")+(ACT_SKU_SCOPE=$G283)))*(3&gt;ACT_END)*(ACT_END&gt;0)*IFERROR(ACT_POSTLIFT,0))),0)))</f>
        <v/>
      </c>
      <c r="M283" s="10">
        <f>IF(OR($H283&lt;&gt;"Y",4&lt;$I283),0,IF(SUMPRODUCT(((BULK_ENABLED="Y")*((BULK_TIER="ALL")+(BULK_TIER=$F283))*((BULK_SKU="ALL")+(BULK_SKU=$G283))*(BULK_START&lt;=4)*(BULK_END&gt;=4)))&gt;0,IFERROR(SUMPRODUCT(((BULK_ENABLED="Y")*((BULK_TIER="ALL")+(BULK_TIER=$F283))*((BULK_SKU="ALL")+(BULK_SKU=$G283))*(BULK_START&lt;=4)*(BULK_END&gt;=4))*IFERROR(BULK_VALUE,0))/MAX(1,SUMPRODUCT(((BULK_ENABLED="Y")*((BULK_TIER="ALL")+(BULK_TIER=$F283))*((BULK_SKU="ALL")+(BULK_SKU=$G283))*(BULK_START&lt;=4)*(BULK_END&gt;=4)))),0),ROUND((INDEX(VELOCITY_TABLE,MATCH($F283,TIER_LIST,0),3))*(IF((4-$I283+1)&lt;=0,0,IF((4-$I283+1)=1,RAMP_W1,IF((4-$I283+1)=2,RAMP_W2,IF((4-$I283+1)=3,RAMP_W3,RAMP_W4PLUS)))))*(INDEX(ACTIVE_MULT_TABLE,3,1))*(1+SUMPRODUCT(SIGN(((ACT_DOOR_SCOPE="ALL")+(ACT_DOOR_SCOPE="TIER_"&amp;$F283)+(ACT_DOOR_SCOPE=$B283)))*SIGN(((ACT_SKU_SCOPE="ALL")+(ACT_SKU_SCOPE=$G283)))*(ACT_START&lt;=4)*(ACT_END&gt;=4)*IFERROR(ACT_UPLIFT-1,0)))*(1+SUMPRODUCT(SIGN(((ACT_DOOR_SCOPE="ALL")+(ACT_DOOR_SCOPE="TIER_"&amp;$F283)+(ACT_DOOR_SCOPE=$B283)))*SIGN(((ACT_SKU_SCOPE="ALL")+(ACT_SKU_SCOPE=$G283)))*(4&gt;ACT_END)*(ACT_END&gt;0)*IFERROR(ACT_POSTLIFT,0))),0)))</f>
        <v/>
      </c>
      <c r="N283" s="10">
        <f>IF(OR($H283&lt;&gt;"Y",5&lt;$I283),0,IF(SUMPRODUCT(((BULK_ENABLED="Y")*((BULK_TIER="ALL")+(BULK_TIER=$F283))*((BULK_SKU="ALL")+(BULK_SKU=$G283))*(BULK_START&lt;=5)*(BULK_END&gt;=5)))&gt;0,IFERROR(SUMPRODUCT(((BULK_ENABLED="Y")*((BULK_TIER="ALL")+(BULK_TIER=$F283))*((BULK_SKU="ALL")+(BULK_SKU=$G283))*(BULK_START&lt;=5)*(BULK_END&gt;=5))*IFERROR(BULK_VALUE,0))/MAX(1,SUMPRODUCT(((BULK_ENABLED="Y")*((BULK_TIER="ALL")+(BULK_TIER=$F283))*((BULK_SKU="ALL")+(BULK_SKU=$G283))*(BULK_START&lt;=5)*(BULK_END&gt;=5)))),0),ROUND((INDEX(VELOCITY_TABLE,MATCH($F283,TIER_LIST,0),3))*(IF((5-$I283+1)&lt;=0,0,IF((5-$I283+1)=1,RAMP_W1,IF((5-$I283+1)=2,RAMP_W2,IF((5-$I283+1)=3,RAMP_W3,RAMP_W4PLUS)))))*(INDEX(ACTIVE_MULT_TABLE,3,1))*(1+SUMPRODUCT(SIGN(((ACT_DOOR_SCOPE="ALL")+(ACT_DOOR_SCOPE="TIER_"&amp;$F283)+(ACT_DOOR_SCOPE=$B283)))*SIGN(((ACT_SKU_SCOPE="ALL")+(ACT_SKU_SCOPE=$G283)))*(ACT_START&lt;=5)*(ACT_END&gt;=5)*IFERROR(ACT_UPLIFT-1,0)))*(1+SUMPRODUCT(SIGN(((ACT_DOOR_SCOPE="ALL")+(ACT_DOOR_SCOPE="TIER_"&amp;$F283)+(ACT_DOOR_SCOPE=$B283)))*SIGN(((ACT_SKU_SCOPE="ALL")+(ACT_SKU_SCOPE=$G283)))*(5&gt;ACT_END)*(ACT_END&gt;0)*IFERROR(ACT_POSTLIFT,0))),0)))</f>
        <v/>
      </c>
      <c r="O283" s="10">
        <f>IF(OR($H283&lt;&gt;"Y",6&lt;$I283),0,IF(SUMPRODUCT(((BULK_ENABLED="Y")*((BULK_TIER="ALL")+(BULK_TIER=$F283))*((BULK_SKU="ALL")+(BULK_SKU=$G283))*(BULK_START&lt;=6)*(BULK_END&gt;=6)))&gt;0,IFERROR(SUMPRODUCT(((BULK_ENABLED="Y")*((BULK_TIER="ALL")+(BULK_TIER=$F283))*((BULK_SKU="ALL")+(BULK_SKU=$G283))*(BULK_START&lt;=6)*(BULK_END&gt;=6))*IFERROR(BULK_VALUE,0))/MAX(1,SUMPRODUCT(((BULK_ENABLED="Y")*((BULK_TIER="ALL")+(BULK_TIER=$F283))*((BULK_SKU="ALL")+(BULK_SKU=$G283))*(BULK_START&lt;=6)*(BULK_END&gt;=6)))),0),ROUND((INDEX(VELOCITY_TABLE,MATCH($F283,TIER_LIST,0),3))*(IF((6-$I283+1)&lt;=0,0,IF((6-$I283+1)=1,RAMP_W1,IF((6-$I283+1)=2,RAMP_W2,IF((6-$I283+1)=3,RAMP_W3,RAMP_W4PLUS)))))*(INDEX(ACTIVE_MULT_TABLE,3,1))*(1+SUMPRODUCT(SIGN(((ACT_DOOR_SCOPE="ALL")+(ACT_DOOR_SCOPE="TIER_"&amp;$F283)+(ACT_DOOR_SCOPE=$B283)))*SIGN(((ACT_SKU_SCOPE="ALL")+(ACT_SKU_SCOPE=$G283)))*(ACT_START&lt;=6)*(ACT_END&gt;=6)*IFERROR(ACT_UPLIFT-1,0)))*(1+SUMPRODUCT(SIGN(((ACT_DOOR_SCOPE="ALL")+(ACT_DOOR_SCOPE="TIER_"&amp;$F283)+(ACT_DOOR_SCOPE=$B283)))*SIGN(((ACT_SKU_SCOPE="ALL")+(ACT_SKU_SCOPE=$G283)))*(6&gt;ACT_END)*(ACT_END&gt;0)*IFERROR(ACT_POSTLIFT,0))),0)))</f>
        <v/>
      </c>
      <c r="P283" s="10">
        <f>IF(OR($H283&lt;&gt;"Y",7&lt;$I283),0,IF(SUMPRODUCT(((BULK_ENABLED="Y")*((BULK_TIER="ALL")+(BULK_TIER=$F283))*((BULK_SKU="ALL")+(BULK_SKU=$G283))*(BULK_START&lt;=7)*(BULK_END&gt;=7)))&gt;0,IFERROR(SUMPRODUCT(((BULK_ENABLED="Y")*((BULK_TIER="ALL")+(BULK_TIER=$F283))*((BULK_SKU="ALL")+(BULK_SKU=$G283))*(BULK_START&lt;=7)*(BULK_END&gt;=7))*IFERROR(BULK_VALUE,0))/MAX(1,SUMPRODUCT(((BULK_ENABLED="Y")*((BULK_TIER="ALL")+(BULK_TIER=$F283))*((BULK_SKU="ALL")+(BULK_SKU=$G283))*(BULK_START&lt;=7)*(BULK_END&gt;=7)))),0),ROUND((INDEX(VELOCITY_TABLE,MATCH($F283,TIER_LIST,0),3))*(IF((7-$I283+1)&lt;=0,0,IF((7-$I283+1)=1,RAMP_W1,IF((7-$I283+1)=2,RAMP_W2,IF((7-$I283+1)=3,RAMP_W3,RAMP_W4PLUS)))))*(INDEX(ACTIVE_MULT_TABLE,3,1))*(1+SUMPRODUCT(SIGN(((ACT_DOOR_SCOPE="ALL")+(ACT_DOOR_SCOPE="TIER_"&amp;$F283)+(ACT_DOOR_SCOPE=$B283)))*SIGN(((ACT_SKU_SCOPE="ALL")+(ACT_SKU_SCOPE=$G283)))*(ACT_START&lt;=7)*(ACT_END&gt;=7)*IFERROR(ACT_UPLIFT-1,0)))*(1+SUMPRODUCT(SIGN(((ACT_DOOR_SCOPE="ALL")+(ACT_DOOR_SCOPE="TIER_"&amp;$F283)+(ACT_DOOR_SCOPE=$B283)))*SIGN(((ACT_SKU_SCOPE="ALL")+(ACT_SKU_SCOPE=$G283)))*(7&gt;ACT_END)*(ACT_END&gt;0)*IFERROR(ACT_POSTLIFT,0))),0)))</f>
        <v/>
      </c>
      <c r="Q283" s="10">
        <f>IF(OR($H283&lt;&gt;"Y",8&lt;$I283),0,IF(SUMPRODUCT(((BULK_ENABLED="Y")*((BULK_TIER="ALL")+(BULK_TIER=$F283))*((BULK_SKU="ALL")+(BULK_SKU=$G283))*(BULK_START&lt;=8)*(BULK_END&gt;=8)))&gt;0,IFERROR(SUMPRODUCT(((BULK_ENABLED="Y")*((BULK_TIER="ALL")+(BULK_TIER=$F283))*((BULK_SKU="ALL")+(BULK_SKU=$G283))*(BULK_START&lt;=8)*(BULK_END&gt;=8))*IFERROR(BULK_VALUE,0))/MAX(1,SUMPRODUCT(((BULK_ENABLED="Y")*((BULK_TIER="ALL")+(BULK_TIER=$F283))*((BULK_SKU="ALL")+(BULK_SKU=$G283))*(BULK_START&lt;=8)*(BULK_END&gt;=8)))),0),ROUND((INDEX(VELOCITY_TABLE,MATCH($F283,TIER_LIST,0),3))*(IF((8-$I283+1)&lt;=0,0,IF((8-$I283+1)=1,RAMP_W1,IF((8-$I283+1)=2,RAMP_W2,IF((8-$I283+1)=3,RAMP_W3,RAMP_W4PLUS)))))*(INDEX(ACTIVE_MULT_TABLE,3,1))*(1+SUMPRODUCT(SIGN(((ACT_DOOR_SCOPE="ALL")+(ACT_DOOR_SCOPE="TIER_"&amp;$F283)+(ACT_DOOR_SCOPE=$B283)))*SIGN(((ACT_SKU_SCOPE="ALL")+(ACT_SKU_SCOPE=$G283)))*(ACT_START&lt;=8)*(ACT_END&gt;=8)*IFERROR(ACT_UPLIFT-1,0)))*(1+SUMPRODUCT(SIGN(((ACT_DOOR_SCOPE="ALL")+(ACT_DOOR_SCOPE="TIER_"&amp;$F283)+(ACT_DOOR_SCOPE=$B283)))*SIGN(((ACT_SKU_SCOPE="ALL")+(ACT_SKU_SCOPE=$G283)))*(8&gt;ACT_END)*(ACT_END&gt;0)*IFERROR(ACT_POSTLIFT,0))),0)))</f>
        <v/>
      </c>
      <c r="R283" s="10">
        <f>IF(OR($H283&lt;&gt;"Y",9&lt;$I283),0,IF(SUMPRODUCT(((BULK_ENABLED="Y")*((BULK_TIER="ALL")+(BULK_TIER=$F283))*((BULK_SKU="ALL")+(BULK_SKU=$G283))*(BULK_START&lt;=9)*(BULK_END&gt;=9)))&gt;0,IFERROR(SUMPRODUCT(((BULK_ENABLED="Y")*((BULK_TIER="ALL")+(BULK_TIER=$F283))*((BULK_SKU="ALL")+(BULK_SKU=$G283))*(BULK_START&lt;=9)*(BULK_END&gt;=9))*IFERROR(BULK_VALUE,0))/MAX(1,SUMPRODUCT(((BULK_ENABLED="Y")*((BULK_TIER="ALL")+(BULK_TIER=$F283))*((BULK_SKU="ALL")+(BULK_SKU=$G283))*(BULK_START&lt;=9)*(BULK_END&gt;=9)))),0),ROUND((INDEX(VELOCITY_TABLE,MATCH($F283,TIER_LIST,0),3))*(IF((9-$I283+1)&lt;=0,0,IF((9-$I283+1)=1,RAMP_W1,IF((9-$I283+1)=2,RAMP_W2,IF((9-$I283+1)=3,RAMP_W3,RAMP_W4PLUS)))))*(INDEX(ACTIVE_MULT_TABLE,3,1))*(1+SUMPRODUCT(SIGN(((ACT_DOOR_SCOPE="ALL")+(ACT_DOOR_SCOPE="TIER_"&amp;$F283)+(ACT_DOOR_SCOPE=$B283)))*SIGN(((ACT_SKU_SCOPE="ALL")+(ACT_SKU_SCOPE=$G283)))*(ACT_START&lt;=9)*(ACT_END&gt;=9)*IFERROR(ACT_UPLIFT-1,0)))*(1+SUMPRODUCT(SIGN(((ACT_DOOR_SCOPE="ALL")+(ACT_DOOR_SCOPE="TIER_"&amp;$F283)+(ACT_DOOR_SCOPE=$B283)))*SIGN(((ACT_SKU_SCOPE="ALL")+(ACT_SKU_SCOPE=$G283)))*(9&gt;ACT_END)*(ACT_END&gt;0)*IFERROR(ACT_POSTLIFT,0))),0)))</f>
        <v/>
      </c>
      <c r="S283" s="10">
        <f>IF(OR($H283&lt;&gt;"Y",10&lt;$I283),0,IF(SUMPRODUCT(((BULK_ENABLED="Y")*((BULK_TIER="ALL")+(BULK_TIER=$F283))*((BULK_SKU="ALL")+(BULK_SKU=$G283))*(BULK_START&lt;=10)*(BULK_END&gt;=10)))&gt;0,IFERROR(SUMPRODUCT(((BULK_ENABLED="Y")*((BULK_TIER="ALL")+(BULK_TIER=$F283))*((BULK_SKU="ALL")+(BULK_SKU=$G283))*(BULK_START&lt;=10)*(BULK_END&gt;=10))*IFERROR(BULK_VALUE,0))/MAX(1,SUMPRODUCT(((BULK_ENABLED="Y")*((BULK_TIER="ALL")+(BULK_TIER=$F283))*((BULK_SKU="ALL")+(BULK_SKU=$G283))*(BULK_START&lt;=10)*(BULK_END&gt;=10)))),0),ROUND((INDEX(VELOCITY_TABLE,MATCH($F283,TIER_LIST,0),3))*(IF((10-$I283+1)&lt;=0,0,IF((10-$I283+1)=1,RAMP_W1,IF((10-$I283+1)=2,RAMP_W2,IF((10-$I283+1)=3,RAMP_W3,RAMP_W4PLUS)))))*(INDEX(ACTIVE_MULT_TABLE,3,1))*(1+SUMPRODUCT(SIGN(((ACT_DOOR_SCOPE="ALL")+(ACT_DOOR_SCOPE="TIER_"&amp;$F283)+(ACT_DOOR_SCOPE=$B283)))*SIGN(((ACT_SKU_SCOPE="ALL")+(ACT_SKU_SCOPE=$G283)))*(ACT_START&lt;=10)*(ACT_END&gt;=10)*IFERROR(ACT_UPLIFT-1,0)))*(1+SUMPRODUCT(SIGN(((ACT_DOOR_SCOPE="ALL")+(ACT_DOOR_SCOPE="TIER_"&amp;$F283)+(ACT_DOOR_SCOPE=$B283)))*SIGN(((ACT_SKU_SCOPE="ALL")+(ACT_SKU_SCOPE=$G283)))*(10&gt;ACT_END)*(ACT_END&gt;0)*IFERROR(ACT_POSTLIFT,0))),0)))</f>
        <v/>
      </c>
      <c r="T283" s="10">
        <f>IF(OR($H283&lt;&gt;"Y",11&lt;$I283),0,IF(SUMPRODUCT(((BULK_ENABLED="Y")*((BULK_TIER="ALL")+(BULK_TIER=$F283))*((BULK_SKU="ALL")+(BULK_SKU=$G283))*(BULK_START&lt;=11)*(BULK_END&gt;=11)))&gt;0,IFERROR(SUMPRODUCT(((BULK_ENABLED="Y")*((BULK_TIER="ALL")+(BULK_TIER=$F283))*((BULK_SKU="ALL")+(BULK_SKU=$G283))*(BULK_START&lt;=11)*(BULK_END&gt;=11))*IFERROR(BULK_VALUE,0))/MAX(1,SUMPRODUCT(((BULK_ENABLED="Y")*((BULK_TIER="ALL")+(BULK_TIER=$F283))*((BULK_SKU="ALL")+(BULK_SKU=$G283))*(BULK_START&lt;=11)*(BULK_END&gt;=11)))),0),ROUND((INDEX(VELOCITY_TABLE,MATCH($F283,TIER_LIST,0),3))*(IF((11-$I283+1)&lt;=0,0,IF((11-$I283+1)=1,RAMP_W1,IF((11-$I283+1)=2,RAMP_W2,IF((11-$I283+1)=3,RAMP_W3,RAMP_W4PLUS)))))*(INDEX(ACTIVE_MULT_TABLE,3,1))*(1+SUMPRODUCT(SIGN(((ACT_DOOR_SCOPE="ALL")+(ACT_DOOR_SCOPE="TIER_"&amp;$F283)+(ACT_DOOR_SCOPE=$B283)))*SIGN(((ACT_SKU_SCOPE="ALL")+(ACT_SKU_SCOPE=$G283)))*(ACT_START&lt;=11)*(ACT_END&gt;=11)*IFERROR(ACT_UPLIFT-1,0)))*(1+SUMPRODUCT(SIGN(((ACT_DOOR_SCOPE="ALL")+(ACT_DOOR_SCOPE="TIER_"&amp;$F283)+(ACT_DOOR_SCOPE=$B283)))*SIGN(((ACT_SKU_SCOPE="ALL")+(ACT_SKU_SCOPE=$G283)))*(11&gt;ACT_END)*(ACT_END&gt;0)*IFERROR(ACT_POSTLIFT,0))),0)))</f>
        <v/>
      </c>
      <c r="U283" s="10">
        <f>IF(OR($H283&lt;&gt;"Y",12&lt;$I283),0,IF(SUMPRODUCT(((BULK_ENABLED="Y")*((BULK_TIER="ALL")+(BULK_TIER=$F283))*((BULK_SKU="ALL")+(BULK_SKU=$G283))*(BULK_START&lt;=12)*(BULK_END&gt;=12)))&gt;0,IFERROR(SUMPRODUCT(((BULK_ENABLED="Y")*((BULK_TIER="ALL")+(BULK_TIER=$F283))*((BULK_SKU="ALL")+(BULK_SKU=$G283))*(BULK_START&lt;=12)*(BULK_END&gt;=12))*IFERROR(BULK_VALUE,0))/MAX(1,SUMPRODUCT(((BULK_ENABLED="Y")*((BULK_TIER="ALL")+(BULK_TIER=$F283))*((BULK_SKU="ALL")+(BULK_SKU=$G283))*(BULK_START&lt;=12)*(BULK_END&gt;=12)))),0),ROUND((INDEX(VELOCITY_TABLE,MATCH($F283,TIER_LIST,0),3))*(IF((12-$I283+1)&lt;=0,0,IF((12-$I283+1)=1,RAMP_W1,IF((12-$I283+1)=2,RAMP_W2,IF((12-$I283+1)=3,RAMP_W3,RAMP_W4PLUS)))))*(INDEX(ACTIVE_MULT_TABLE,3,1))*(1+SUMPRODUCT(SIGN(((ACT_DOOR_SCOPE="ALL")+(ACT_DOOR_SCOPE="TIER_"&amp;$F283)+(ACT_DOOR_SCOPE=$B283)))*SIGN(((ACT_SKU_SCOPE="ALL")+(ACT_SKU_SCOPE=$G283)))*(ACT_START&lt;=12)*(ACT_END&gt;=12)*IFERROR(ACT_UPLIFT-1,0)))*(1+SUMPRODUCT(SIGN(((ACT_DOOR_SCOPE="ALL")+(ACT_DOOR_SCOPE="TIER_"&amp;$F283)+(ACT_DOOR_SCOPE=$B283)))*SIGN(((ACT_SKU_SCOPE="ALL")+(ACT_SKU_SCOPE=$G283)))*(12&gt;ACT_END)*(ACT_END&gt;0)*IFERROR(ACT_POSTLIFT,0))),0)))</f>
        <v/>
      </c>
      <c r="V283" s="10">
        <f>IF(OR($H283&lt;&gt;"Y",13&lt;$I283),0,IF(SUMPRODUCT(((BULK_ENABLED="Y")*((BULK_TIER="ALL")+(BULK_TIER=$F283))*((BULK_SKU="ALL")+(BULK_SKU=$G283))*(BULK_START&lt;=13)*(BULK_END&gt;=13)))&gt;0,IFERROR(SUMPRODUCT(((BULK_ENABLED="Y")*((BULK_TIER="ALL")+(BULK_TIER=$F283))*((BULK_SKU="ALL")+(BULK_SKU=$G283))*(BULK_START&lt;=13)*(BULK_END&gt;=13))*IFERROR(BULK_VALUE,0))/MAX(1,SUMPRODUCT(((BULK_ENABLED="Y")*((BULK_TIER="ALL")+(BULK_TIER=$F283))*((BULK_SKU="ALL")+(BULK_SKU=$G283))*(BULK_START&lt;=13)*(BULK_END&gt;=13)))),0),ROUND((INDEX(VELOCITY_TABLE,MATCH($F283,TIER_LIST,0),3))*(IF((13-$I283+1)&lt;=0,0,IF((13-$I283+1)=1,RAMP_W1,IF((13-$I283+1)=2,RAMP_W2,IF((13-$I283+1)=3,RAMP_W3,RAMP_W4PLUS)))))*(INDEX(ACTIVE_MULT_TABLE,3,1))*(1+SUMPRODUCT(SIGN(((ACT_DOOR_SCOPE="ALL")+(ACT_DOOR_SCOPE="TIER_"&amp;$F283)+(ACT_DOOR_SCOPE=$B283)))*SIGN(((ACT_SKU_SCOPE="ALL")+(ACT_SKU_SCOPE=$G283)))*(ACT_START&lt;=13)*(ACT_END&gt;=13)*IFERROR(ACT_UPLIFT-1,0)))*(1+SUMPRODUCT(SIGN(((ACT_DOOR_SCOPE="ALL")+(ACT_DOOR_SCOPE="TIER_"&amp;$F283)+(ACT_DOOR_SCOPE=$B283)))*SIGN(((ACT_SKU_SCOPE="ALL")+(ACT_SKU_SCOPE=$G283)))*(13&gt;ACT_END)*(ACT_END&gt;0)*IFERROR(ACT_POSTLIFT,0))),0)))</f>
        <v/>
      </c>
    </row>
    <row r="284">
      <c r="A284" t="inlineStr">
        <is>
          <t>R0280</t>
        </is>
      </c>
      <c r="B284">
        <f>Doors!$A$98</f>
        <v/>
      </c>
      <c r="C284">
        <f>Doors!$C$98</f>
        <v/>
      </c>
      <c r="D284">
        <f>Doors!$B$98</f>
        <v/>
      </c>
      <c r="E284">
        <f>Doors!$E$98</f>
        <v/>
      </c>
      <c r="F284">
        <f>Doors!$F$98</f>
        <v/>
      </c>
      <c r="G284" t="inlineStr">
        <is>
          <t>Lime Lemon</t>
        </is>
      </c>
      <c r="H284">
        <f>Doors!$G$98</f>
        <v/>
      </c>
      <c r="I284">
        <f>Doors!$J$98</f>
        <v/>
      </c>
      <c r="J284" s="10">
        <f>IF(OR($H284&lt;&gt;"Y",1&lt;$I284),0,IF(SUMPRODUCT(((BULK_ENABLED="Y")*((BULK_TIER="ALL")+(BULK_TIER=$F284))*((BULK_SKU="ALL")+(BULK_SKU=$G284))*(BULK_START&lt;=1)*(BULK_END&gt;=1)))&gt;0,IFERROR(SUMPRODUCT(((BULK_ENABLED="Y")*((BULK_TIER="ALL")+(BULK_TIER=$F284))*((BULK_SKU="ALL")+(BULK_SKU=$G284))*(BULK_START&lt;=1)*(BULK_END&gt;=1))*IFERROR(BULK_VALUE,0))/MAX(1,SUMPRODUCT(((BULK_ENABLED="Y")*((BULK_TIER="ALL")+(BULK_TIER=$F284))*((BULK_SKU="ALL")+(BULK_SKU=$G284))*(BULK_START&lt;=1)*(BULK_END&gt;=1)))),0),ROUND((INDEX(VELOCITY_TABLE,MATCH($F284,TIER_LIST,0),1))*(IF((1-$I284+1)&lt;=0,0,IF((1-$I284+1)=1,RAMP_W1,IF((1-$I284+1)=2,RAMP_W2,IF((1-$I284+1)=3,RAMP_W3,RAMP_W4PLUS)))))*(INDEX(ACTIVE_MULT_TABLE,1,1))*(1+SUMPRODUCT(SIGN(((ACT_DOOR_SCOPE="ALL")+(ACT_DOOR_SCOPE="TIER_"&amp;$F284)+(ACT_DOOR_SCOPE=$B284)))*SIGN(((ACT_SKU_SCOPE="ALL")+(ACT_SKU_SCOPE=$G284)))*(ACT_START&lt;=1)*(ACT_END&gt;=1)*IFERROR(ACT_UPLIFT-1,0)))*(1+SUMPRODUCT(SIGN(((ACT_DOOR_SCOPE="ALL")+(ACT_DOOR_SCOPE="TIER_"&amp;$F284)+(ACT_DOOR_SCOPE=$B284)))*SIGN(((ACT_SKU_SCOPE="ALL")+(ACT_SKU_SCOPE=$G284)))*(1&gt;ACT_END)*(ACT_END&gt;0)*IFERROR(ACT_POSTLIFT,0))),0)))</f>
        <v/>
      </c>
      <c r="K284" s="10">
        <f>IF(OR($H284&lt;&gt;"Y",2&lt;$I284),0,IF(SUMPRODUCT(((BULK_ENABLED="Y")*((BULK_TIER="ALL")+(BULK_TIER=$F284))*((BULK_SKU="ALL")+(BULK_SKU=$G284))*(BULK_START&lt;=2)*(BULK_END&gt;=2)))&gt;0,IFERROR(SUMPRODUCT(((BULK_ENABLED="Y")*((BULK_TIER="ALL")+(BULK_TIER=$F284))*((BULK_SKU="ALL")+(BULK_SKU=$G284))*(BULK_START&lt;=2)*(BULK_END&gt;=2))*IFERROR(BULK_VALUE,0))/MAX(1,SUMPRODUCT(((BULK_ENABLED="Y")*((BULK_TIER="ALL")+(BULK_TIER=$F284))*((BULK_SKU="ALL")+(BULK_SKU=$G284))*(BULK_START&lt;=2)*(BULK_END&gt;=2)))),0),ROUND((INDEX(VELOCITY_TABLE,MATCH($F284,TIER_LIST,0),1))*(IF((2-$I284+1)&lt;=0,0,IF((2-$I284+1)=1,RAMP_W1,IF((2-$I284+1)=2,RAMP_W2,IF((2-$I284+1)=3,RAMP_W3,RAMP_W4PLUS)))))*(INDEX(ACTIVE_MULT_TABLE,1,1))*(1+SUMPRODUCT(SIGN(((ACT_DOOR_SCOPE="ALL")+(ACT_DOOR_SCOPE="TIER_"&amp;$F284)+(ACT_DOOR_SCOPE=$B284)))*SIGN(((ACT_SKU_SCOPE="ALL")+(ACT_SKU_SCOPE=$G284)))*(ACT_START&lt;=2)*(ACT_END&gt;=2)*IFERROR(ACT_UPLIFT-1,0)))*(1+SUMPRODUCT(SIGN(((ACT_DOOR_SCOPE="ALL")+(ACT_DOOR_SCOPE="TIER_"&amp;$F284)+(ACT_DOOR_SCOPE=$B284)))*SIGN(((ACT_SKU_SCOPE="ALL")+(ACT_SKU_SCOPE=$G284)))*(2&gt;ACT_END)*(ACT_END&gt;0)*IFERROR(ACT_POSTLIFT,0))),0)))</f>
        <v/>
      </c>
      <c r="L284" s="10">
        <f>IF(OR($H284&lt;&gt;"Y",3&lt;$I284),0,IF(SUMPRODUCT(((BULK_ENABLED="Y")*((BULK_TIER="ALL")+(BULK_TIER=$F284))*((BULK_SKU="ALL")+(BULK_SKU=$G284))*(BULK_START&lt;=3)*(BULK_END&gt;=3)))&gt;0,IFERROR(SUMPRODUCT(((BULK_ENABLED="Y")*((BULK_TIER="ALL")+(BULK_TIER=$F284))*((BULK_SKU="ALL")+(BULK_SKU=$G284))*(BULK_START&lt;=3)*(BULK_END&gt;=3))*IFERROR(BULK_VALUE,0))/MAX(1,SUMPRODUCT(((BULK_ENABLED="Y")*((BULK_TIER="ALL")+(BULK_TIER=$F284))*((BULK_SKU="ALL")+(BULK_SKU=$G284))*(BULK_START&lt;=3)*(BULK_END&gt;=3)))),0),ROUND((INDEX(VELOCITY_TABLE,MATCH($F284,TIER_LIST,0),1))*(IF((3-$I284+1)&lt;=0,0,IF((3-$I284+1)=1,RAMP_W1,IF((3-$I284+1)=2,RAMP_W2,IF((3-$I284+1)=3,RAMP_W3,RAMP_W4PLUS)))))*(INDEX(ACTIVE_MULT_TABLE,1,1))*(1+SUMPRODUCT(SIGN(((ACT_DOOR_SCOPE="ALL")+(ACT_DOOR_SCOPE="TIER_"&amp;$F284)+(ACT_DOOR_SCOPE=$B284)))*SIGN(((ACT_SKU_SCOPE="ALL")+(ACT_SKU_SCOPE=$G284)))*(ACT_START&lt;=3)*(ACT_END&gt;=3)*IFERROR(ACT_UPLIFT-1,0)))*(1+SUMPRODUCT(SIGN(((ACT_DOOR_SCOPE="ALL")+(ACT_DOOR_SCOPE="TIER_"&amp;$F284)+(ACT_DOOR_SCOPE=$B284)))*SIGN(((ACT_SKU_SCOPE="ALL")+(ACT_SKU_SCOPE=$G284)))*(3&gt;ACT_END)*(ACT_END&gt;0)*IFERROR(ACT_POSTLIFT,0))),0)))</f>
        <v/>
      </c>
      <c r="M284" s="10">
        <f>IF(OR($H284&lt;&gt;"Y",4&lt;$I284),0,IF(SUMPRODUCT(((BULK_ENABLED="Y")*((BULK_TIER="ALL")+(BULK_TIER=$F284))*((BULK_SKU="ALL")+(BULK_SKU=$G284))*(BULK_START&lt;=4)*(BULK_END&gt;=4)))&gt;0,IFERROR(SUMPRODUCT(((BULK_ENABLED="Y")*((BULK_TIER="ALL")+(BULK_TIER=$F284))*((BULK_SKU="ALL")+(BULK_SKU=$G284))*(BULK_START&lt;=4)*(BULK_END&gt;=4))*IFERROR(BULK_VALUE,0))/MAX(1,SUMPRODUCT(((BULK_ENABLED="Y")*((BULK_TIER="ALL")+(BULK_TIER=$F284))*((BULK_SKU="ALL")+(BULK_SKU=$G284))*(BULK_START&lt;=4)*(BULK_END&gt;=4)))),0),ROUND((INDEX(VELOCITY_TABLE,MATCH($F284,TIER_LIST,0),1))*(IF((4-$I284+1)&lt;=0,0,IF((4-$I284+1)=1,RAMP_W1,IF((4-$I284+1)=2,RAMP_W2,IF((4-$I284+1)=3,RAMP_W3,RAMP_W4PLUS)))))*(INDEX(ACTIVE_MULT_TABLE,1,1))*(1+SUMPRODUCT(SIGN(((ACT_DOOR_SCOPE="ALL")+(ACT_DOOR_SCOPE="TIER_"&amp;$F284)+(ACT_DOOR_SCOPE=$B284)))*SIGN(((ACT_SKU_SCOPE="ALL")+(ACT_SKU_SCOPE=$G284)))*(ACT_START&lt;=4)*(ACT_END&gt;=4)*IFERROR(ACT_UPLIFT-1,0)))*(1+SUMPRODUCT(SIGN(((ACT_DOOR_SCOPE="ALL")+(ACT_DOOR_SCOPE="TIER_"&amp;$F284)+(ACT_DOOR_SCOPE=$B284)))*SIGN(((ACT_SKU_SCOPE="ALL")+(ACT_SKU_SCOPE=$G284)))*(4&gt;ACT_END)*(ACT_END&gt;0)*IFERROR(ACT_POSTLIFT,0))),0)))</f>
        <v/>
      </c>
      <c r="N284" s="10">
        <f>IF(OR($H284&lt;&gt;"Y",5&lt;$I284),0,IF(SUMPRODUCT(((BULK_ENABLED="Y")*((BULK_TIER="ALL")+(BULK_TIER=$F284))*((BULK_SKU="ALL")+(BULK_SKU=$G284))*(BULK_START&lt;=5)*(BULK_END&gt;=5)))&gt;0,IFERROR(SUMPRODUCT(((BULK_ENABLED="Y")*((BULK_TIER="ALL")+(BULK_TIER=$F284))*((BULK_SKU="ALL")+(BULK_SKU=$G284))*(BULK_START&lt;=5)*(BULK_END&gt;=5))*IFERROR(BULK_VALUE,0))/MAX(1,SUMPRODUCT(((BULK_ENABLED="Y")*((BULK_TIER="ALL")+(BULK_TIER=$F284))*((BULK_SKU="ALL")+(BULK_SKU=$G284))*(BULK_START&lt;=5)*(BULK_END&gt;=5)))),0),ROUND((INDEX(VELOCITY_TABLE,MATCH($F284,TIER_LIST,0),1))*(IF((5-$I284+1)&lt;=0,0,IF((5-$I284+1)=1,RAMP_W1,IF((5-$I284+1)=2,RAMP_W2,IF((5-$I284+1)=3,RAMP_W3,RAMP_W4PLUS)))))*(INDEX(ACTIVE_MULT_TABLE,1,1))*(1+SUMPRODUCT(SIGN(((ACT_DOOR_SCOPE="ALL")+(ACT_DOOR_SCOPE="TIER_"&amp;$F284)+(ACT_DOOR_SCOPE=$B284)))*SIGN(((ACT_SKU_SCOPE="ALL")+(ACT_SKU_SCOPE=$G284)))*(ACT_START&lt;=5)*(ACT_END&gt;=5)*IFERROR(ACT_UPLIFT-1,0)))*(1+SUMPRODUCT(SIGN(((ACT_DOOR_SCOPE="ALL")+(ACT_DOOR_SCOPE="TIER_"&amp;$F284)+(ACT_DOOR_SCOPE=$B284)))*SIGN(((ACT_SKU_SCOPE="ALL")+(ACT_SKU_SCOPE=$G284)))*(5&gt;ACT_END)*(ACT_END&gt;0)*IFERROR(ACT_POSTLIFT,0))),0)))</f>
        <v/>
      </c>
      <c r="O284" s="10">
        <f>IF(OR($H284&lt;&gt;"Y",6&lt;$I284),0,IF(SUMPRODUCT(((BULK_ENABLED="Y")*((BULK_TIER="ALL")+(BULK_TIER=$F284))*((BULK_SKU="ALL")+(BULK_SKU=$G284))*(BULK_START&lt;=6)*(BULK_END&gt;=6)))&gt;0,IFERROR(SUMPRODUCT(((BULK_ENABLED="Y")*((BULK_TIER="ALL")+(BULK_TIER=$F284))*((BULK_SKU="ALL")+(BULK_SKU=$G284))*(BULK_START&lt;=6)*(BULK_END&gt;=6))*IFERROR(BULK_VALUE,0))/MAX(1,SUMPRODUCT(((BULK_ENABLED="Y")*((BULK_TIER="ALL")+(BULK_TIER=$F284))*((BULK_SKU="ALL")+(BULK_SKU=$G284))*(BULK_START&lt;=6)*(BULK_END&gt;=6)))),0),ROUND((INDEX(VELOCITY_TABLE,MATCH($F284,TIER_LIST,0),1))*(IF((6-$I284+1)&lt;=0,0,IF((6-$I284+1)=1,RAMP_W1,IF((6-$I284+1)=2,RAMP_W2,IF((6-$I284+1)=3,RAMP_W3,RAMP_W4PLUS)))))*(INDEX(ACTIVE_MULT_TABLE,1,1))*(1+SUMPRODUCT(SIGN(((ACT_DOOR_SCOPE="ALL")+(ACT_DOOR_SCOPE="TIER_"&amp;$F284)+(ACT_DOOR_SCOPE=$B284)))*SIGN(((ACT_SKU_SCOPE="ALL")+(ACT_SKU_SCOPE=$G284)))*(ACT_START&lt;=6)*(ACT_END&gt;=6)*IFERROR(ACT_UPLIFT-1,0)))*(1+SUMPRODUCT(SIGN(((ACT_DOOR_SCOPE="ALL")+(ACT_DOOR_SCOPE="TIER_"&amp;$F284)+(ACT_DOOR_SCOPE=$B284)))*SIGN(((ACT_SKU_SCOPE="ALL")+(ACT_SKU_SCOPE=$G284)))*(6&gt;ACT_END)*(ACT_END&gt;0)*IFERROR(ACT_POSTLIFT,0))),0)))</f>
        <v/>
      </c>
      <c r="P284" s="10">
        <f>IF(OR($H284&lt;&gt;"Y",7&lt;$I284),0,IF(SUMPRODUCT(((BULK_ENABLED="Y")*((BULK_TIER="ALL")+(BULK_TIER=$F284))*((BULK_SKU="ALL")+(BULK_SKU=$G284))*(BULK_START&lt;=7)*(BULK_END&gt;=7)))&gt;0,IFERROR(SUMPRODUCT(((BULK_ENABLED="Y")*((BULK_TIER="ALL")+(BULK_TIER=$F284))*((BULK_SKU="ALL")+(BULK_SKU=$G284))*(BULK_START&lt;=7)*(BULK_END&gt;=7))*IFERROR(BULK_VALUE,0))/MAX(1,SUMPRODUCT(((BULK_ENABLED="Y")*((BULK_TIER="ALL")+(BULK_TIER=$F284))*((BULK_SKU="ALL")+(BULK_SKU=$G284))*(BULK_START&lt;=7)*(BULK_END&gt;=7)))),0),ROUND((INDEX(VELOCITY_TABLE,MATCH($F284,TIER_LIST,0),1))*(IF((7-$I284+1)&lt;=0,0,IF((7-$I284+1)=1,RAMP_W1,IF((7-$I284+1)=2,RAMP_W2,IF((7-$I284+1)=3,RAMP_W3,RAMP_W4PLUS)))))*(INDEX(ACTIVE_MULT_TABLE,1,1))*(1+SUMPRODUCT(SIGN(((ACT_DOOR_SCOPE="ALL")+(ACT_DOOR_SCOPE="TIER_"&amp;$F284)+(ACT_DOOR_SCOPE=$B284)))*SIGN(((ACT_SKU_SCOPE="ALL")+(ACT_SKU_SCOPE=$G284)))*(ACT_START&lt;=7)*(ACT_END&gt;=7)*IFERROR(ACT_UPLIFT-1,0)))*(1+SUMPRODUCT(SIGN(((ACT_DOOR_SCOPE="ALL")+(ACT_DOOR_SCOPE="TIER_"&amp;$F284)+(ACT_DOOR_SCOPE=$B284)))*SIGN(((ACT_SKU_SCOPE="ALL")+(ACT_SKU_SCOPE=$G284)))*(7&gt;ACT_END)*(ACT_END&gt;0)*IFERROR(ACT_POSTLIFT,0))),0)))</f>
        <v/>
      </c>
      <c r="Q284" s="10">
        <f>IF(OR($H284&lt;&gt;"Y",8&lt;$I284),0,IF(SUMPRODUCT(((BULK_ENABLED="Y")*((BULK_TIER="ALL")+(BULK_TIER=$F284))*((BULK_SKU="ALL")+(BULK_SKU=$G284))*(BULK_START&lt;=8)*(BULK_END&gt;=8)))&gt;0,IFERROR(SUMPRODUCT(((BULK_ENABLED="Y")*((BULK_TIER="ALL")+(BULK_TIER=$F284))*((BULK_SKU="ALL")+(BULK_SKU=$G284))*(BULK_START&lt;=8)*(BULK_END&gt;=8))*IFERROR(BULK_VALUE,0))/MAX(1,SUMPRODUCT(((BULK_ENABLED="Y")*((BULK_TIER="ALL")+(BULK_TIER=$F284))*((BULK_SKU="ALL")+(BULK_SKU=$G284))*(BULK_START&lt;=8)*(BULK_END&gt;=8)))),0),ROUND((INDEX(VELOCITY_TABLE,MATCH($F284,TIER_LIST,0),1))*(IF((8-$I284+1)&lt;=0,0,IF((8-$I284+1)=1,RAMP_W1,IF((8-$I284+1)=2,RAMP_W2,IF((8-$I284+1)=3,RAMP_W3,RAMP_W4PLUS)))))*(INDEX(ACTIVE_MULT_TABLE,1,1))*(1+SUMPRODUCT(SIGN(((ACT_DOOR_SCOPE="ALL")+(ACT_DOOR_SCOPE="TIER_"&amp;$F284)+(ACT_DOOR_SCOPE=$B284)))*SIGN(((ACT_SKU_SCOPE="ALL")+(ACT_SKU_SCOPE=$G284)))*(ACT_START&lt;=8)*(ACT_END&gt;=8)*IFERROR(ACT_UPLIFT-1,0)))*(1+SUMPRODUCT(SIGN(((ACT_DOOR_SCOPE="ALL")+(ACT_DOOR_SCOPE="TIER_"&amp;$F284)+(ACT_DOOR_SCOPE=$B284)))*SIGN(((ACT_SKU_SCOPE="ALL")+(ACT_SKU_SCOPE=$G284)))*(8&gt;ACT_END)*(ACT_END&gt;0)*IFERROR(ACT_POSTLIFT,0))),0)))</f>
        <v/>
      </c>
      <c r="R284" s="10">
        <f>IF(OR($H284&lt;&gt;"Y",9&lt;$I284),0,IF(SUMPRODUCT(((BULK_ENABLED="Y")*((BULK_TIER="ALL")+(BULK_TIER=$F284))*((BULK_SKU="ALL")+(BULK_SKU=$G284))*(BULK_START&lt;=9)*(BULK_END&gt;=9)))&gt;0,IFERROR(SUMPRODUCT(((BULK_ENABLED="Y")*((BULK_TIER="ALL")+(BULK_TIER=$F284))*((BULK_SKU="ALL")+(BULK_SKU=$G284))*(BULK_START&lt;=9)*(BULK_END&gt;=9))*IFERROR(BULK_VALUE,0))/MAX(1,SUMPRODUCT(((BULK_ENABLED="Y")*((BULK_TIER="ALL")+(BULK_TIER=$F284))*((BULK_SKU="ALL")+(BULK_SKU=$G284))*(BULK_START&lt;=9)*(BULK_END&gt;=9)))),0),ROUND((INDEX(VELOCITY_TABLE,MATCH($F284,TIER_LIST,0),1))*(IF((9-$I284+1)&lt;=0,0,IF((9-$I284+1)=1,RAMP_W1,IF((9-$I284+1)=2,RAMP_W2,IF((9-$I284+1)=3,RAMP_W3,RAMP_W4PLUS)))))*(INDEX(ACTIVE_MULT_TABLE,1,1))*(1+SUMPRODUCT(SIGN(((ACT_DOOR_SCOPE="ALL")+(ACT_DOOR_SCOPE="TIER_"&amp;$F284)+(ACT_DOOR_SCOPE=$B284)))*SIGN(((ACT_SKU_SCOPE="ALL")+(ACT_SKU_SCOPE=$G284)))*(ACT_START&lt;=9)*(ACT_END&gt;=9)*IFERROR(ACT_UPLIFT-1,0)))*(1+SUMPRODUCT(SIGN(((ACT_DOOR_SCOPE="ALL")+(ACT_DOOR_SCOPE="TIER_"&amp;$F284)+(ACT_DOOR_SCOPE=$B284)))*SIGN(((ACT_SKU_SCOPE="ALL")+(ACT_SKU_SCOPE=$G284)))*(9&gt;ACT_END)*(ACT_END&gt;0)*IFERROR(ACT_POSTLIFT,0))),0)))</f>
        <v/>
      </c>
      <c r="S284" s="10">
        <f>IF(OR($H284&lt;&gt;"Y",10&lt;$I284),0,IF(SUMPRODUCT(((BULK_ENABLED="Y")*((BULK_TIER="ALL")+(BULK_TIER=$F284))*((BULK_SKU="ALL")+(BULK_SKU=$G284))*(BULK_START&lt;=10)*(BULK_END&gt;=10)))&gt;0,IFERROR(SUMPRODUCT(((BULK_ENABLED="Y")*((BULK_TIER="ALL")+(BULK_TIER=$F284))*((BULK_SKU="ALL")+(BULK_SKU=$G284))*(BULK_START&lt;=10)*(BULK_END&gt;=10))*IFERROR(BULK_VALUE,0))/MAX(1,SUMPRODUCT(((BULK_ENABLED="Y")*((BULK_TIER="ALL")+(BULK_TIER=$F284))*((BULK_SKU="ALL")+(BULK_SKU=$G284))*(BULK_START&lt;=10)*(BULK_END&gt;=10)))),0),ROUND((INDEX(VELOCITY_TABLE,MATCH($F284,TIER_LIST,0),1))*(IF((10-$I284+1)&lt;=0,0,IF((10-$I284+1)=1,RAMP_W1,IF((10-$I284+1)=2,RAMP_W2,IF((10-$I284+1)=3,RAMP_W3,RAMP_W4PLUS)))))*(INDEX(ACTIVE_MULT_TABLE,1,1))*(1+SUMPRODUCT(SIGN(((ACT_DOOR_SCOPE="ALL")+(ACT_DOOR_SCOPE="TIER_"&amp;$F284)+(ACT_DOOR_SCOPE=$B284)))*SIGN(((ACT_SKU_SCOPE="ALL")+(ACT_SKU_SCOPE=$G284)))*(ACT_START&lt;=10)*(ACT_END&gt;=10)*IFERROR(ACT_UPLIFT-1,0)))*(1+SUMPRODUCT(SIGN(((ACT_DOOR_SCOPE="ALL")+(ACT_DOOR_SCOPE="TIER_"&amp;$F284)+(ACT_DOOR_SCOPE=$B284)))*SIGN(((ACT_SKU_SCOPE="ALL")+(ACT_SKU_SCOPE=$G284)))*(10&gt;ACT_END)*(ACT_END&gt;0)*IFERROR(ACT_POSTLIFT,0))),0)))</f>
        <v/>
      </c>
      <c r="T284" s="10">
        <f>IF(OR($H284&lt;&gt;"Y",11&lt;$I284),0,IF(SUMPRODUCT(((BULK_ENABLED="Y")*((BULK_TIER="ALL")+(BULK_TIER=$F284))*((BULK_SKU="ALL")+(BULK_SKU=$G284))*(BULK_START&lt;=11)*(BULK_END&gt;=11)))&gt;0,IFERROR(SUMPRODUCT(((BULK_ENABLED="Y")*((BULK_TIER="ALL")+(BULK_TIER=$F284))*((BULK_SKU="ALL")+(BULK_SKU=$G284))*(BULK_START&lt;=11)*(BULK_END&gt;=11))*IFERROR(BULK_VALUE,0))/MAX(1,SUMPRODUCT(((BULK_ENABLED="Y")*((BULK_TIER="ALL")+(BULK_TIER=$F284))*((BULK_SKU="ALL")+(BULK_SKU=$G284))*(BULK_START&lt;=11)*(BULK_END&gt;=11)))),0),ROUND((INDEX(VELOCITY_TABLE,MATCH($F284,TIER_LIST,0),1))*(IF((11-$I284+1)&lt;=0,0,IF((11-$I284+1)=1,RAMP_W1,IF((11-$I284+1)=2,RAMP_W2,IF((11-$I284+1)=3,RAMP_W3,RAMP_W4PLUS)))))*(INDEX(ACTIVE_MULT_TABLE,1,1))*(1+SUMPRODUCT(SIGN(((ACT_DOOR_SCOPE="ALL")+(ACT_DOOR_SCOPE="TIER_"&amp;$F284)+(ACT_DOOR_SCOPE=$B284)))*SIGN(((ACT_SKU_SCOPE="ALL")+(ACT_SKU_SCOPE=$G284)))*(ACT_START&lt;=11)*(ACT_END&gt;=11)*IFERROR(ACT_UPLIFT-1,0)))*(1+SUMPRODUCT(SIGN(((ACT_DOOR_SCOPE="ALL")+(ACT_DOOR_SCOPE="TIER_"&amp;$F284)+(ACT_DOOR_SCOPE=$B284)))*SIGN(((ACT_SKU_SCOPE="ALL")+(ACT_SKU_SCOPE=$G284)))*(11&gt;ACT_END)*(ACT_END&gt;0)*IFERROR(ACT_POSTLIFT,0))),0)))</f>
        <v/>
      </c>
      <c r="U284" s="10">
        <f>IF(OR($H284&lt;&gt;"Y",12&lt;$I284),0,IF(SUMPRODUCT(((BULK_ENABLED="Y")*((BULK_TIER="ALL")+(BULK_TIER=$F284))*((BULK_SKU="ALL")+(BULK_SKU=$G284))*(BULK_START&lt;=12)*(BULK_END&gt;=12)))&gt;0,IFERROR(SUMPRODUCT(((BULK_ENABLED="Y")*((BULK_TIER="ALL")+(BULK_TIER=$F284))*((BULK_SKU="ALL")+(BULK_SKU=$G284))*(BULK_START&lt;=12)*(BULK_END&gt;=12))*IFERROR(BULK_VALUE,0))/MAX(1,SUMPRODUCT(((BULK_ENABLED="Y")*((BULK_TIER="ALL")+(BULK_TIER=$F284))*((BULK_SKU="ALL")+(BULK_SKU=$G284))*(BULK_START&lt;=12)*(BULK_END&gt;=12)))),0),ROUND((INDEX(VELOCITY_TABLE,MATCH($F284,TIER_LIST,0),1))*(IF((12-$I284+1)&lt;=0,0,IF((12-$I284+1)=1,RAMP_W1,IF((12-$I284+1)=2,RAMP_W2,IF((12-$I284+1)=3,RAMP_W3,RAMP_W4PLUS)))))*(INDEX(ACTIVE_MULT_TABLE,1,1))*(1+SUMPRODUCT(SIGN(((ACT_DOOR_SCOPE="ALL")+(ACT_DOOR_SCOPE="TIER_"&amp;$F284)+(ACT_DOOR_SCOPE=$B284)))*SIGN(((ACT_SKU_SCOPE="ALL")+(ACT_SKU_SCOPE=$G284)))*(ACT_START&lt;=12)*(ACT_END&gt;=12)*IFERROR(ACT_UPLIFT-1,0)))*(1+SUMPRODUCT(SIGN(((ACT_DOOR_SCOPE="ALL")+(ACT_DOOR_SCOPE="TIER_"&amp;$F284)+(ACT_DOOR_SCOPE=$B284)))*SIGN(((ACT_SKU_SCOPE="ALL")+(ACT_SKU_SCOPE=$G284)))*(12&gt;ACT_END)*(ACT_END&gt;0)*IFERROR(ACT_POSTLIFT,0))),0)))</f>
        <v/>
      </c>
      <c r="V284" s="10">
        <f>IF(OR($H284&lt;&gt;"Y",13&lt;$I284),0,IF(SUMPRODUCT(((BULK_ENABLED="Y")*((BULK_TIER="ALL")+(BULK_TIER=$F284))*((BULK_SKU="ALL")+(BULK_SKU=$G284))*(BULK_START&lt;=13)*(BULK_END&gt;=13)))&gt;0,IFERROR(SUMPRODUCT(((BULK_ENABLED="Y")*((BULK_TIER="ALL")+(BULK_TIER=$F284))*((BULK_SKU="ALL")+(BULK_SKU=$G284))*(BULK_START&lt;=13)*(BULK_END&gt;=13))*IFERROR(BULK_VALUE,0))/MAX(1,SUMPRODUCT(((BULK_ENABLED="Y")*((BULK_TIER="ALL")+(BULK_TIER=$F284))*((BULK_SKU="ALL")+(BULK_SKU=$G284))*(BULK_START&lt;=13)*(BULK_END&gt;=13)))),0),ROUND((INDEX(VELOCITY_TABLE,MATCH($F284,TIER_LIST,0),1))*(IF((13-$I284+1)&lt;=0,0,IF((13-$I284+1)=1,RAMP_W1,IF((13-$I284+1)=2,RAMP_W2,IF((13-$I284+1)=3,RAMP_W3,RAMP_W4PLUS)))))*(INDEX(ACTIVE_MULT_TABLE,1,1))*(1+SUMPRODUCT(SIGN(((ACT_DOOR_SCOPE="ALL")+(ACT_DOOR_SCOPE="TIER_"&amp;$F284)+(ACT_DOOR_SCOPE=$B284)))*SIGN(((ACT_SKU_SCOPE="ALL")+(ACT_SKU_SCOPE=$G284)))*(ACT_START&lt;=13)*(ACT_END&gt;=13)*IFERROR(ACT_UPLIFT-1,0)))*(1+SUMPRODUCT(SIGN(((ACT_DOOR_SCOPE="ALL")+(ACT_DOOR_SCOPE="TIER_"&amp;$F284)+(ACT_DOOR_SCOPE=$B284)))*SIGN(((ACT_SKU_SCOPE="ALL")+(ACT_SKU_SCOPE=$G284)))*(13&gt;ACT_END)*(ACT_END&gt;0)*IFERROR(ACT_POSTLIFT,0))),0)))</f>
        <v/>
      </c>
    </row>
    <row r="285">
      <c r="A285" t="inlineStr">
        <is>
          <t>R0281</t>
        </is>
      </c>
      <c r="B285">
        <f>Doors!$A$98</f>
        <v/>
      </c>
      <c r="C285">
        <f>Doors!$C$98</f>
        <v/>
      </c>
      <c r="D285">
        <f>Doors!$B$98</f>
        <v/>
      </c>
      <c r="E285">
        <f>Doors!$E$98</f>
        <v/>
      </c>
      <c r="F285">
        <f>Doors!$F$98</f>
        <v/>
      </c>
      <c r="G285" t="inlineStr">
        <is>
          <t>Pineapple Passion Fruit</t>
        </is>
      </c>
      <c r="H285">
        <f>Doors!$H$98</f>
        <v/>
      </c>
      <c r="I285">
        <f>Doors!$J$98</f>
        <v/>
      </c>
      <c r="J285" s="10">
        <f>IF(OR($H285&lt;&gt;"Y",1&lt;$I285),0,IF(SUMPRODUCT(((BULK_ENABLED="Y")*((BULK_TIER="ALL")+(BULK_TIER=$F285))*((BULK_SKU="ALL")+(BULK_SKU=$G285))*(BULK_START&lt;=1)*(BULK_END&gt;=1)))&gt;0,IFERROR(SUMPRODUCT(((BULK_ENABLED="Y")*((BULK_TIER="ALL")+(BULK_TIER=$F285))*((BULK_SKU="ALL")+(BULK_SKU=$G285))*(BULK_START&lt;=1)*(BULK_END&gt;=1))*IFERROR(BULK_VALUE,0))/MAX(1,SUMPRODUCT(((BULK_ENABLED="Y")*((BULK_TIER="ALL")+(BULK_TIER=$F285))*((BULK_SKU="ALL")+(BULK_SKU=$G285))*(BULK_START&lt;=1)*(BULK_END&gt;=1)))),0),ROUND((INDEX(VELOCITY_TABLE,MATCH($F285,TIER_LIST,0),2))*(IF((1-$I285+1)&lt;=0,0,IF((1-$I285+1)=1,RAMP_W1,IF((1-$I285+1)=2,RAMP_W2,IF((1-$I285+1)=3,RAMP_W3,RAMP_W4PLUS)))))*(INDEX(ACTIVE_MULT_TABLE,2,1))*(1+SUMPRODUCT(SIGN(((ACT_DOOR_SCOPE="ALL")+(ACT_DOOR_SCOPE="TIER_"&amp;$F285)+(ACT_DOOR_SCOPE=$B285)))*SIGN(((ACT_SKU_SCOPE="ALL")+(ACT_SKU_SCOPE=$G285)))*(ACT_START&lt;=1)*(ACT_END&gt;=1)*IFERROR(ACT_UPLIFT-1,0)))*(1+SUMPRODUCT(SIGN(((ACT_DOOR_SCOPE="ALL")+(ACT_DOOR_SCOPE="TIER_"&amp;$F285)+(ACT_DOOR_SCOPE=$B285)))*SIGN(((ACT_SKU_SCOPE="ALL")+(ACT_SKU_SCOPE=$G285)))*(1&gt;ACT_END)*(ACT_END&gt;0)*IFERROR(ACT_POSTLIFT,0))),0)))</f>
        <v/>
      </c>
      <c r="K285" s="10">
        <f>IF(OR($H285&lt;&gt;"Y",2&lt;$I285),0,IF(SUMPRODUCT(((BULK_ENABLED="Y")*((BULK_TIER="ALL")+(BULK_TIER=$F285))*((BULK_SKU="ALL")+(BULK_SKU=$G285))*(BULK_START&lt;=2)*(BULK_END&gt;=2)))&gt;0,IFERROR(SUMPRODUCT(((BULK_ENABLED="Y")*((BULK_TIER="ALL")+(BULK_TIER=$F285))*((BULK_SKU="ALL")+(BULK_SKU=$G285))*(BULK_START&lt;=2)*(BULK_END&gt;=2))*IFERROR(BULK_VALUE,0))/MAX(1,SUMPRODUCT(((BULK_ENABLED="Y")*((BULK_TIER="ALL")+(BULK_TIER=$F285))*((BULK_SKU="ALL")+(BULK_SKU=$G285))*(BULK_START&lt;=2)*(BULK_END&gt;=2)))),0),ROUND((INDEX(VELOCITY_TABLE,MATCH($F285,TIER_LIST,0),2))*(IF((2-$I285+1)&lt;=0,0,IF((2-$I285+1)=1,RAMP_W1,IF((2-$I285+1)=2,RAMP_W2,IF((2-$I285+1)=3,RAMP_W3,RAMP_W4PLUS)))))*(INDEX(ACTIVE_MULT_TABLE,2,1))*(1+SUMPRODUCT(SIGN(((ACT_DOOR_SCOPE="ALL")+(ACT_DOOR_SCOPE="TIER_"&amp;$F285)+(ACT_DOOR_SCOPE=$B285)))*SIGN(((ACT_SKU_SCOPE="ALL")+(ACT_SKU_SCOPE=$G285)))*(ACT_START&lt;=2)*(ACT_END&gt;=2)*IFERROR(ACT_UPLIFT-1,0)))*(1+SUMPRODUCT(SIGN(((ACT_DOOR_SCOPE="ALL")+(ACT_DOOR_SCOPE="TIER_"&amp;$F285)+(ACT_DOOR_SCOPE=$B285)))*SIGN(((ACT_SKU_SCOPE="ALL")+(ACT_SKU_SCOPE=$G285)))*(2&gt;ACT_END)*(ACT_END&gt;0)*IFERROR(ACT_POSTLIFT,0))),0)))</f>
        <v/>
      </c>
      <c r="L285" s="10">
        <f>IF(OR($H285&lt;&gt;"Y",3&lt;$I285),0,IF(SUMPRODUCT(((BULK_ENABLED="Y")*((BULK_TIER="ALL")+(BULK_TIER=$F285))*((BULK_SKU="ALL")+(BULK_SKU=$G285))*(BULK_START&lt;=3)*(BULK_END&gt;=3)))&gt;0,IFERROR(SUMPRODUCT(((BULK_ENABLED="Y")*((BULK_TIER="ALL")+(BULK_TIER=$F285))*((BULK_SKU="ALL")+(BULK_SKU=$G285))*(BULK_START&lt;=3)*(BULK_END&gt;=3))*IFERROR(BULK_VALUE,0))/MAX(1,SUMPRODUCT(((BULK_ENABLED="Y")*((BULK_TIER="ALL")+(BULK_TIER=$F285))*((BULK_SKU="ALL")+(BULK_SKU=$G285))*(BULK_START&lt;=3)*(BULK_END&gt;=3)))),0),ROUND((INDEX(VELOCITY_TABLE,MATCH($F285,TIER_LIST,0),2))*(IF((3-$I285+1)&lt;=0,0,IF((3-$I285+1)=1,RAMP_W1,IF((3-$I285+1)=2,RAMP_W2,IF((3-$I285+1)=3,RAMP_W3,RAMP_W4PLUS)))))*(INDEX(ACTIVE_MULT_TABLE,2,1))*(1+SUMPRODUCT(SIGN(((ACT_DOOR_SCOPE="ALL")+(ACT_DOOR_SCOPE="TIER_"&amp;$F285)+(ACT_DOOR_SCOPE=$B285)))*SIGN(((ACT_SKU_SCOPE="ALL")+(ACT_SKU_SCOPE=$G285)))*(ACT_START&lt;=3)*(ACT_END&gt;=3)*IFERROR(ACT_UPLIFT-1,0)))*(1+SUMPRODUCT(SIGN(((ACT_DOOR_SCOPE="ALL")+(ACT_DOOR_SCOPE="TIER_"&amp;$F285)+(ACT_DOOR_SCOPE=$B285)))*SIGN(((ACT_SKU_SCOPE="ALL")+(ACT_SKU_SCOPE=$G285)))*(3&gt;ACT_END)*(ACT_END&gt;0)*IFERROR(ACT_POSTLIFT,0))),0)))</f>
        <v/>
      </c>
      <c r="M285" s="10">
        <f>IF(OR($H285&lt;&gt;"Y",4&lt;$I285),0,IF(SUMPRODUCT(((BULK_ENABLED="Y")*((BULK_TIER="ALL")+(BULK_TIER=$F285))*((BULK_SKU="ALL")+(BULK_SKU=$G285))*(BULK_START&lt;=4)*(BULK_END&gt;=4)))&gt;0,IFERROR(SUMPRODUCT(((BULK_ENABLED="Y")*((BULK_TIER="ALL")+(BULK_TIER=$F285))*((BULK_SKU="ALL")+(BULK_SKU=$G285))*(BULK_START&lt;=4)*(BULK_END&gt;=4))*IFERROR(BULK_VALUE,0))/MAX(1,SUMPRODUCT(((BULK_ENABLED="Y")*((BULK_TIER="ALL")+(BULK_TIER=$F285))*((BULK_SKU="ALL")+(BULK_SKU=$G285))*(BULK_START&lt;=4)*(BULK_END&gt;=4)))),0),ROUND((INDEX(VELOCITY_TABLE,MATCH($F285,TIER_LIST,0),2))*(IF((4-$I285+1)&lt;=0,0,IF((4-$I285+1)=1,RAMP_W1,IF((4-$I285+1)=2,RAMP_W2,IF((4-$I285+1)=3,RAMP_W3,RAMP_W4PLUS)))))*(INDEX(ACTIVE_MULT_TABLE,2,1))*(1+SUMPRODUCT(SIGN(((ACT_DOOR_SCOPE="ALL")+(ACT_DOOR_SCOPE="TIER_"&amp;$F285)+(ACT_DOOR_SCOPE=$B285)))*SIGN(((ACT_SKU_SCOPE="ALL")+(ACT_SKU_SCOPE=$G285)))*(ACT_START&lt;=4)*(ACT_END&gt;=4)*IFERROR(ACT_UPLIFT-1,0)))*(1+SUMPRODUCT(SIGN(((ACT_DOOR_SCOPE="ALL")+(ACT_DOOR_SCOPE="TIER_"&amp;$F285)+(ACT_DOOR_SCOPE=$B285)))*SIGN(((ACT_SKU_SCOPE="ALL")+(ACT_SKU_SCOPE=$G285)))*(4&gt;ACT_END)*(ACT_END&gt;0)*IFERROR(ACT_POSTLIFT,0))),0)))</f>
        <v/>
      </c>
      <c r="N285" s="10">
        <f>IF(OR($H285&lt;&gt;"Y",5&lt;$I285),0,IF(SUMPRODUCT(((BULK_ENABLED="Y")*((BULK_TIER="ALL")+(BULK_TIER=$F285))*((BULK_SKU="ALL")+(BULK_SKU=$G285))*(BULK_START&lt;=5)*(BULK_END&gt;=5)))&gt;0,IFERROR(SUMPRODUCT(((BULK_ENABLED="Y")*((BULK_TIER="ALL")+(BULK_TIER=$F285))*((BULK_SKU="ALL")+(BULK_SKU=$G285))*(BULK_START&lt;=5)*(BULK_END&gt;=5))*IFERROR(BULK_VALUE,0))/MAX(1,SUMPRODUCT(((BULK_ENABLED="Y")*((BULK_TIER="ALL")+(BULK_TIER=$F285))*((BULK_SKU="ALL")+(BULK_SKU=$G285))*(BULK_START&lt;=5)*(BULK_END&gt;=5)))),0),ROUND((INDEX(VELOCITY_TABLE,MATCH($F285,TIER_LIST,0),2))*(IF((5-$I285+1)&lt;=0,0,IF((5-$I285+1)=1,RAMP_W1,IF((5-$I285+1)=2,RAMP_W2,IF((5-$I285+1)=3,RAMP_W3,RAMP_W4PLUS)))))*(INDEX(ACTIVE_MULT_TABLE,2,1))*(1+SUMPRODUCT(SIGN(((ACT_DOOR_SCOPE="ALL")+(ACT_DOOR_SCOPE="TIER_"&amp;$F285)+(ACT_DOOR_SCOPE=$B285)))*SIGN(((ACT_SKU_SCOPE="ALL")+(ACT_SKU_SCOPE=$G285)))*(ACT_START&lt;=5)*(ACT_END&gt;=5)*IFERROR(ACT_UPLIFT-1,0)))*(1+SUMPRODUCT(SIGN(((ACT_DOOR_SCOPE="ALL")+(ACT_DOOR_SCOPE="TIER_"&amp;$F285)+(ACT_DOOR_SCOPE=$B285)))*SIGN(((ACT_SKU_SCOPE="ALL")+(ACT_SKU_SCOPE=$G285)))*(5&gt;ACT_END)*(ACT_END&gt;0)*IFERROR(ACT_POSTLIFT,0))),0)))</f>
        <v/>
      </c>
      <c r="O285" s="10">
        <f>IF(OR($H285&lt;&gt;"Y",6&lt;$I285),0,IF(SUMPRODUCT(((BULK_ENABLED="Y")*((BULK_TIER="ALL")+(BULK_TIER=$F285))*((BULK_SKU="ALL")+(BULK_SKU=$G285))*(BULK_START&lt;=6)*(BULK_END&gt;=6)))&gt;0,IFERROR(SUMPRODUCT(((BULK_ENABLED="Y")*((BULK_TIER="ALL")+(BULK_TIER=$F285))*((BULK_SKU="ALL")+(BULK_SKU=$G285))*(BULK_START&lt;=6)*(BULK_END&gt;=6))*IFERROR(BULK_VALUE,0))/MAX(1,SUMPRODUCT(((BULK_ENABLED="Y")*((BULK_TIER="ALL")+(BULK_TIER=$F285))*((BULK_SKU="ALL")+(BULK_SKU=$G285))*(BULK_START&lt;=6)*(BULK_END&gt;=6)))),0),ROUND((INDEX(VELOCITY_TABLE,MATCH($F285,TIER_LIST,0),2))*(IF((6-$I285+1)&lt;=0,0,IF((6-$I285+1)=1,RAMP_W1,IF((6-$I285+1)=2,RAMP_W2,IF((6-$I285+1)=3,RAMP_W3,RAMP_W4PLUS)))))*(INDEX(ACTIVE_MULT_TABLE,2,1))*(1+SUMPRODUCT(SIGN(((ACT_DOOR_SCOPE="ALL")+(ACT_DOOR_SCOPE="TIER_"&amp;$F285)+(ACT_DOOR_SCOPE=$B285)))*SIGN(((ACT_SKU_SCOPE="ALL")+(ACT_SKU_SCOPE=$G285)))*(ACT_START&lt;=6)*(ACT_END&gt;=6)*IFERROR(ACT_UPLIFT-1,0)))*(1+SUMPRODUCT(SIGN(((ACT_DOOR_SCOPE="ALL")+(ACT_DOOR_SCOPE="TIER_"&amp;$F285)+(ACT_DOOR_SCOPE=$B285)))*SIGN(((ACT_SKU_SCOPE="ALL")+(ACT_SKU_SCOPE=$G285)))*(6&gt;ACT_END)*(ACT_END&gt;0)*IFERROR(ACT_POSTLIFT,0))),0)))</f>
        <v/>
      </c>
      <c r="P285" s="10">
        <f>IF(OR($H285&lt;&gt;"Y",7&lt;$I285),0,IF(SUMPRODUCT(((BULK_ENABLED="Y")*((BULK_TIER="ALL")+(BULK_TIER=$F285))*((BULK_SKU="ALL")+(BULK_SKU=$G285))*(BULK_START&lt;=7)*(BULK_END&gt;=7)))&gt;0,IFERROR(SUMPRODUCT(((BULK_ENABLED="Y")*((BULK_TIER="ALL")+(BULK_TIER=$F285))*((BULK_SKU="ALL")+(BULK_SKU=$G285))*(BULK_START&lt;=7)*(BULK_END&gt;=7))*IFERROR(BULK_VALUE,0))/MAX(1,SUMPRODUCT(((BULK_ENABLED="Y")*((BULK_TIER="ALL")+(BULK_TIER=$F285))*((BULK_SKU="ALL")+(BULK_SKU=$G285))*(BULK_START&lt;=7)*(BULK_END&gt;=7)))),0),ROUND((INDEX(VELOCITY_TABLE,MATCH($F285,TIER_LIST,0),2))*(IF((7-$I285+1)&lt;=0,0,IF((7-$I285+1)=1,RAMP_W1,IF((7-$I285+1)=2,RAMP_W2,IF((7-$I285+1)=3,RAMP_W3,RAMP_W4PLUS)))))*(INDEX(ACTIVE_MULT_TABLE,2,1))*(1+SUMPRODUCT(SIGN(((ACT_DOOR_SCOPE="ALL")+(ACT_DOOR_SCOPE="TIER_"&amp;$F285)+(ACT_DOOR_SCOPE=$B285)))*SIGN(((ACT_SKU_SCOPE="ALL")+(ACT_SKU_SCOPE=$G285)))*(ACT_START&lt;=7)*(ACT_END&gt;=7)*IFERROR(ACT_UPLIFT-1,0)))*(1+SUMPRODUCT(SIGN(((ACT_DOOR_SCOPE="ALL")+(ACT_DOOR_SCOPE="TIER_"&amp;$F285)+(ACT_DOOR_SCOPE=$B285)))*SIGN(((ACT_SKU_SCOPE="ALL")+(ACT_SKU_SCOPE=$G285)))*(7&gt;ACT_END)*(ACT_END&gt;0)*IFERROR(ACT_POSTLIFT,0))),0)))</f>
        <v/>
      </c>
      <c r="Q285" s="10">
        <f>IF(OR($H285&lt;&gt;"Y",8&lt;$I285),0,IF(SUMPRODUCT(((BULK_ENABLED="Y")*((BULK_TIER="ALL")+(BULK_TIER=$F285))*((BULK_SKU="ALL")+(BULK_SKU=$G285))*(BULK_START&lt;=8)*(BULK_END&gt;=8)))&gt;0,IFERROR(SUMPRODUCT(((BULK_ENABLED="Y")*((BULK_TIER="ALL")+(BULK_TIER=$F285))*((BULK_SKU="ALL")+(BULK_SKU=$G285))*(BULK_START&lt;=8)*(BULK_END&gt;=8))*IFERROR(BULK_VALUE,0))/MAX(1,SUMPRODUCT(((BULK_ENABLED="Y")*((BULK_TIER="ALL")+(BULK_TIER=$F285))*((BULK_SKU="ALL")+(BULK_SKU=$G285))*(BULK_START&lt;=8)*(BULK_END&gt;=8)))),0),ROUND((INDEX(VELOCITY_TABLE,MATCH($F285,TIER_LIST,0),2))*(IF((8-$I285+1)&lt;=0,0,IF((8-$I285+1)=1,RAMP_W1,IF((8-$I285+1)=2,RAMP_W2,IF((8-$I285+1)=3,RAMP_W3,RAMP_W4PLUS)))))*(INDEX(ACTIVE_MULT_TABLE,2,1))*(1+SUMPRODUCT(SIGN(((ACT_DOOR_SCOPE="ALL")+(ACT_DOOR_SCOPE="TIER_"&amp;$F285)+(ACT_DOOR_SCOPE=$B285)))*SIGN(((ACT_SKU_SCOPE="ALL")+(ACT_SKU_SCOPE=$G285)))*(ACT_START&lt;=8)*(ACT_END&gt;=8)*IFERROR(ACT_UPLIFT-1,0)))*(1+SUMPRODUCT(SIGN(((ACT_DOOR_SCOPE="ALL")+(ACT_DOOR_SCOPE="TIER_"&amp;$F285)+(ACT_DOOR_SCOPE=$B285)))*SIGN(((ACT_SKU_SCOPE="ALL")+(ACT_SKU_SCOPE=$G285)))*(8&gt;ACT_END)*(ACT_END&gt;0)*IFERROR(ACT_POSTLIFT,0))),0)))</f>
        <v/>
      </c>
      <c r="R285" s="10">
        <f>IF(OR($H285&lt;&gt;"Y",9&lt;$I285),0,IF(SUMPRODUCT(((BULK_ENABLED="Y")*((BULK_TIER="ALL")+(BULK_TIER=$F285))*((BULK_SKU="ALL")+(BULK_SKU=$G285))*(BULK_START&lt;=9)*(BULK_END&gt;=9)))&gt;0,IFERROR(SUMPRODUCT(((BULK_ENABLED="Y")*((BULK_TIER="ALL")+(BULK_TIER=$F285))*((BULK_SKU="ALL")+(BULK_SKU=$G285))*(BULK_START&lt;=9)*(BULK_END&gt;=9))*IFERROR(BULK_VALUE,0))/MAX(1,SUMPRODUCT(((BULK_ENABLED="Y")*((BULK_TIER="ALL")+(BULK_TIER=$F285))*((BULK_SKU="ALL")+(BULK_SKU=$G285))*(BULK_START&lt;=9)*(BULK_END&gt;=9)))),0),ROUND((INDEX(VELOCITY_TABLE,MATCH($F285,TIER_LIST,0),2))*(IF((9-$I285+1)&lt;=0,0,IF((9-$I285+1)=1,RAMP_W1,IF((9-$I285+1)=2,RAMP_W2,IF((9-$I285+1)=3,RAMP_W3,RAMP_W4PLUS)))))*(INDEX(ACTIVE_MULT_TABLE,2,1))*(1+SUMPRODUCT(SIGN(((ACT_DOOR_SCOPE="ALL")+(ACT_DOOR_SCOPE="TIER_"&amp;$F285)+(ACT_DOOR_SCOPE=$B285)))*SIGN(((ACT_SKU_SCOPE="ALL")+(ACT_SKU_SCOPE=$G285)))*(ACT_START&lt;=9)*(ACT_END&gt;=9)*IFERROR(ACT_UPLIFT-1,0)))*(1+SUMPRODUCT(SIGN(((ACT_DOOR_SCOPE="ALL")+(ACT_DOOR_SCOPE="TIER_"&amp;$F285)+(ACT_DOOR_SCOPE=$B285)))*SIGN(((ACT_SKU_SCOPE="ALL")+(ACT_SKU_SCOPE=$G285)))*(9&gt;ACT_END)*(ACT_END&gt;0)*IFERROR(ACT_POSTLIFT,0))),0)))</f>
        <v/>
      </c>
      <c r="S285" s="10">
        <f>IF(OR($H285&lt;&gt;"Y",10&lt;$I285),0,IF(SUMPRODUCT(((BULK_ENABLED="Y")*((BULK_TIER="ALL")+(BULK_TIER=$F285))*((BULK_SKU="ALL")+(BULK_SKU=$G285))*(BULK_START&lt;=10)*(BULK_END&gt;=10)))&gt;0,IFERROR(SUMPRODUCT(((BULK_ENABLED="Y")*((BULK_TIER="ALL")+(BULK_TIER=$F285))*((BULK_SKU="ALL")+(BULK_SKU=$G285))*(BULK_START&lt;=10)*(BULK_END&gt;=10))*IFERROR(BULK_VALUE,0))/MAX(1,SUMPRODUCT(((BULK_ENABLED="Y")*((BULK_TIER="ALL")+(BULK_TIER=$F285))*((BULK_SKU="ALL")+(BULK_SKU=$G285))*(BULK_START&lt;=10)*(BULK_END&gt;=10)))),0),ROUND((INDEX(VELOCITY_TABLE,MATCH($F285,TIER_LIST,0),2))*(IF((10-$I285+1)&lt;=0,0,IF((10-$I285+1)=1,RAMP_W1,IF((10-$I285+1)=2,RAMP_W2,IF((10-$I285+1)=3,RAMP_W3,RAMP_W4PLUS)))))*(INDEX(ACTIVE_MULT_TABLE,2,1))*(1+SUMPRODUCT(SIGN(((ACT_DOOR_SCOPE="ALL")+(ACT_DOOR_SCOPE="TIER_"&amp;$F285)+(ACT_DOOR_SCOPE=$B285)))*SIGN(((ACT_SKU_SCOPE="ALL")+(ACT_SKU_SCOPE=$G285)))*(ACT_START&lt;=10)*(ACT_END&gt;=10)*IFERROR(ACT_UPLIFT-1,0)))*(1+SUMPRODUCT(SIGN(((ACT_DOOR_SCOPE="ALL")+(ACT_DOOR_SCOPE="TIER_"&amp;$F285)+(ACT_DOOR_SCOPE=$B285)))*SIGN(((ACT_SKU_SCOPE="ALL")+(ACT_SKU_SCOPE=$G285)))*(10&gt;ACT_END)*(ACT_END&gt;0)*IFERROR(ACT_POSTLIFT,0))),0)))</f>
        <v/>
      </c>
      <c r="T285" s="10">
        <f>IF(OR($H285&lt;&gt;"Y",11&lt;$I285),0,IF(SUMPRODUCT(((BULK_ENABLED="Y")*((BULK_TIER="ALL")+(BULK_TIER=$F285))*((BULK_SKU="ALL")+(BULK_SKU=$G285))*(BULK_START&lt;=11)*(BULK_END&gt;=11)))&gt;0,IFERROR(SUMPRODUCT(((BULK_ENABLED="Y")*((BULK_TIER="ALL")+(BULK_TIER=$F285))*((BULK_SKU="ALL")+(BULK_SKU=$G285))*(BULK_START&lt;=11)*(BULK_END&gt;=11))*IFERROR(BULK_VALUE,0))/MAX(1,SUMPRODUCT(((BULK_ENABLED="Y")*((BULK_TIER="ALL")+(BULK_TIER=$F285))*((BULK_SKU="ALL")+(BULK_SKU=$G285))*(BULK_START&lt;=11)*(BULK_END&gt;=11)))),0),ROUND((INDEX(VELOCITY_TABLE,MATCH($F285,TIER_LIST,0),2))*(IF((11-$I285+1)&lt;=0,0,IF((11-$I285+1)=1,RAMP_W1,IF((11-$I285+1)=2,RAMP_W2,IF((11-$I285+1)=3,RAMP_W3,RAMP_W4PLUS)))))*(INDEX(ACTIVE_MULT_TABLE,2,1))*(1+SUMPRODUCT(SIGN(((ACT_DOOR_SCOPE="ALL")+(ACT_DOOR_SCOPE="TIER_"&amp;$F285)+(ACT_DOOR_SCOPE=$B285)))*SIGN(((ACT_SKU_SCOPE="ALL")+(ACT_SKU_SCOPE=$G285)))*(ACT_START&lt;=11)*(ACT_END&gt;=11)*IFERROR(ACT_UPLIFT-1,0)))*(1+SUMPRODUCT(SIGN(((ACT_DOOR_SCOPE="ALL")+(ACT_DOOR_SCOPE="TIER_"&amp;$F285)+(ACT_DOOR_SCOPE=$B285)))*SIGN(((ACT_SKU_SCOPE="ALL")+(ACT_SKU_SCOPE=$G285)))*(11&gt;ACT_END)*(ACT_END&gt;0)*IFERROR(ACT_POSTLIFT,0))),0)))</f>
        <v/>
      </c>
      <c r="U285" s="10">
        <f>IF(OR($H285&lt;&gt;"Y",12&lt;$I285),0,IF(SUMPRODUCT(((BULK_ENABLED="Y")*((BULK_TIER="ALL")+(BULK_TIER=$F285))*((BULK_SKU="ALL")+(BULK_SKU=$G285))*(BULK_START&lt;=12)*(BULK_END&gt;=12)))&gt;0,IFERROR(SUMPRODUCT(((BULK_ENABLED="Y")*((BULK_TIER="ALL")+(BULK_TIER=$F285))*((BULK_SKU="ALL")+(BULK_SKU=$G285))*(BULK_START&lt;=12)*(BULK_END&gt;=12))*IFERROR(BULK_VALUE,0))/MAX(1,SUMPRODUCT(((BULK_ENABLED="Y")*((BULK_TIER="ALL")+(BULK_TIER=$F285))*((BULK_SKU="ALL")+(BULK_SKU=$G285))*(BULK_START&lt;=12)*(BULK_END&gt;=12)))),0),ROUND((INDEX(VELOCITY_TABLE,MATCH($F285,TIER_LIST,0),2))*(IF((12-$I285+1)&lt;=0,0,IF((12-$I285+1)=1,RAMP_W1,IF((12-$I285+1)=2,RAMP_W2,IF((12-$I285+1)=3,RAMP_W3,RAMP_W4PLUS)))))*(INDEX(ACTIVE_MULT_TABLE,2,1))*(1+SUMPRODUCT(SIGN(((ACT_DOOR_SCOPE="ALL")+(ACT_DOOR_SCOPE="TIER_"&amp;$F285)+(ACT_DOOR_SCOPE=$B285)))*SIGN(((ACT_SKU_SCOPE="ALL")+(ACT_SKU_SCOPE=$G285)))*(ACT_START&lt;=12)*(ACT_END&gt;=12)*IFERROR(ACT_UPLIFT-1,0)))*(1+SUMPRODUCT(SIGN(((ACT_DOOR_SCOPE="ALL")+(ACT_DOOR_SCOPE="TIER_"&amp;$F285)+(ACT_DOOR_SCOPE=$B285)))*SIGN(((ACT_SKU_SCOPE="ALL")+(ACT_SKU_SCOPE=$G285)))*(12&gt;ACT_END)*(ACT_END&gt;0)*IFERROR(ACT_POSTLIFT,0))),0)))</f>
        <v/>
      </c>
      <c r="V285" s="10">
        <f>IF(OR($H285&lt;&gt;"Y",13&lt;$I285),0,IF(SUMPRODUCT(((BULK_ENABLED="Y")*((BULK_TIER="ALL")+(BULK_TIER=$F285))*((BULK_SKU="ALL")+(BULK_SKU=$G285))*(BULK_START&lt;=13)*(BULK_END&gt;=13)))&gt;0,IFERROR(SUMPRODUCT(((BULK_ENABLED="Y")*((BULK_TIER="ALL")+(BULK_TIER=$F285))*((BULK_SKU="ALL")+(BULK_SKU=$G285))*(BULK_START&lt;=13)*(BULK_END&gt;=13))*IFERROR(BULK_VALUE,0))/MAX(1,SUMPRODUCT(((BULK_ENABLED="Y")*((BULK_TIER="ALL")+(BULK_TIER=$F285))*((BULK_SKU="ALL")+(BULK_SKU=$G285))*(BULK_START&lt;=13)*(BULK_END&gt;=13)))),0),ROUND((INDEX(VELOCITY_TABLE,MATCH($F285,TIER_LIST,0),2))*(IF((13-$I285+1)&lt;=0,0,IF((13-$I285+1)=1,RAMP_W1,IF((13-$I285+1)=2,RAMP_W2,IF((13-$I285+1)=3,RAMP_W3,RAMP_W4PLUS)))))*(INDEX(ACTIVE_MULT_TABLE,2,1))*(1+SUMPRODUCT(SIGN(((ACT_DOOR_SCOPE="ALL")+(ACT_DOOR_SCOPE="TIER_"&amp;$F285)+(ACT_DOOR_SCOPE=$B285)))*SIGN(((ACT_SKU_SCOPE="ALL")+(ACT_SKU_SCOPE=$G285)))*(ACT_START&lt;=13)*(ACT_END&gt;=13)*IFERROR(ACT_UPLIFT-1,0)))*(1+SUMPRODUCT(SIGN(((ACT_DOOR_SCOPE="ALL")+(ACT_DOOR_SCOPE="TIER_"&amp;$F285)+(ACT_DOOR_SCOPE=$B285)))*SIGN(((ACT_SKU_SCOPE="ALL")+(ACT_SKU_SCOPE=$G285)))*(13&gt;ACT_END)*(ACT_END&gt;0)*IFERROR(ACT_POSTLIFT,0))),0)))</f>
        <v/>
      </c>
    </row>
    <row r="286">
      <c r="A286" t="inlineStr">
        <is>
          <t>R0282</t>
        </is>
      </c>
      <c r="B286">
        <f>Doors!$A$98</f>
        <v/>
      </c>
      <c r="C286">
        <f>Doors!$C$98</f>
        <v/>
      </c>
      <c r="D286">
        <f>Doors!$B$98</f>
        <v/>
      </c>
      <c r="E286">
        <f>Doors!$E$98</f>
        <v/>
      </c>
      <c r="F286">
        <f>Doors!$F$98</f>
        <v/>
      </c>
      <c r="G286" t="inlineStr">
        <is>
          <t>Raspberry</t>
        </is>
      </c>
      <c r="H286">
        <f>Doors!$I$98</f>
        <v/>
      </c>
      <c r="I286">
        <f>Doors!$J$98</f>
        <v/>
      </c>
      <c r="J286" s="10">
        <f>IF(OR($H286&lt;&gt;"Y",1&lt;$I286),0,IF(SUMPRODUCT(((BULK_ENABLED="Y")*((BULK_TIER="ALL")+(BULK_TIER=$F286))*((BULK_SKU="ALL")+(BULK_SKU=$G286))*(BULK_START&lt;=1)*(BULK_END&gt;=1)))&gt;0,IFERROR(SUMPRODUCT(((BULK_ENABLED="Y")*((BULK_TIER="ALL")+(BULK_TIER=$F286))*((BULK_SKU="ALL")+(BULK_SKU=$G286))*(BULK_START&lt;=1)*(BULK_END&gt;=1))*IFERROR(BULK_VALUE,0))/MAX(1,SUMPRODUCT(((BULK_ENABLED="Y")*((BULK_TIER="ALL")+(BULK_TIER=$F286))*((BULK_SKU="ALL")+(BULK_SKU=$G286))*(BULK_START&lt;=1)*(BULK_END&gt;=1)))),0),ROUND((INDEX(VELOCITY_TABLE,MATCH($F286,TIER_LIST,0),3))*(IF((1-$I286+1)&lt;=0,0,IF((1-$I286+1)=1,RAMP_W1,IF((1-$I286+1)=2,RAMP_W2,IF((1-$I286+1)=3,RAMP_W3,RAMP_W4PLUS)))))*(INDEX(ACTIVE_MULT_TABLE,3,1))*(1+SUMPRODUCT(SIGN(((ACT_DOOR_SCOPE="ALL")+(ACT_DOOR_SCOPE="TIER_"&amp;$F286)+(ACT_DOOR_SCOPE=$B286)))*SIGN(((ACT_SKU_SCOPE="ALL")+(ACT_SKU_SCOPE=$G286)))*(ACT_START&lt;=1)*(ACT_END&gt;=1)*IFERROR(ACT_UPLIFT-1,0)))*(1+SUMPRODUCT(SIGN(((ACT_DOOR_SCOPE="ALL")+(ACT_DOOR_SCOPE="TIER_"&amp;$F286)+(ACT_DOOR_SCOPE=$B286)))*SIGN(((ACT_SKU_SCOPE="ALL")+(ACT_SKU_SCOPE=$G286)))*(1&gt;ACT_END)*(ACT_END&gt;0)*IFERROR(ACT_POSTLIFT,0))),0)))</f>
        <v/>
      </c>
      <c r="K286" s="10">
        <f>IF(OR($H286&lt;&gt;"Y",2&lt;$I286),0,IF(SUMPRODUCT(((BULK_ENABLED="Y")*((BULK_TIER="ALL")+(BULK_TIER=$F286))*((BULK_SKU="ALL")+(BULK_SKU=$G286))*(BULK_START&lt;=2)*(BULK_END&gt;=2)))&gt;0,IFERROR(SUMPRODUCT(((BULK_ENABLED="Y")*((BULK_TIER="ALL")+(BULK_TIER=$F286))*((BULK_SKU="ALL")+(BULK_SKU=$G286))*(BULK_START&lt;=2)*(BULK_END&gt;=2))*IFERROR(BULK_VALUE,0))/MAX(1,SUMPRODUCT(((BULK_ENABLED="Y")*((BULK_TIER="ALL")+(BULK_TIER=$F286))*((BULK_SKU="ALL")+(BULK_SKU=$G286))*(BULK_START&lt;=2)*(BULK_END&gt;=2)))),0),ROUND((INDEX(VELOCITY_TABLE,MATCH($F286,TIER_LIST,0),3))*(IF((2-$I286+1)&lt;=0,0,IF((2-$I286+1)=1,RAMP_W1,IF((2-$I286+1)=2,RAMP_W2,IF((2-$I286+1)=3,RAMP_W3,RAMP_W4PLUS)))))*(INDEX(ACTIVE_MULT_TABLE,3,1))*(1+SUMPRODUCT(SIGN(((ACT_DOOR_SCOPE="ALL")+(ACT_DOOR_SCOPE="TIER_"&amp;$F286)+(ACT_DOOR_SCOPE=$B286)))*SIGN(((ACT_SKU_SCOPE="ALL")+(ACT_SKU_SCOPE=$G286)))*(ACT_START&lt;=2)*(ACT_END&gt;=2)*IFERROR(ACT_UPLIFT-1,0)))*(1+SUMPRODUCT(SIGN(((ACT_DOOR_SCOPE="ALL")+(ACT_DOOR_SCOPE="TIER_"&amp;$F286)+(ACT_DOOR_SCOPE=$B286)))*SIGN(((ACT_SKU_SCOPE="ALL")+(ACT_SKU_SCOPE=$G286)))*(2&gt;ACT_END)*(ACT_END&gt;0)*IFERROR(ACT_POSTLIFT,0))),0)))</f>
        <v/>
      </c>
      <c r="L286" s="10">
        <f>IF(OR($H286&lt;&gt;"Y",3&lt;$I286),0,IF(SUMPRODUCT(((BULK_ENABLED="Y")*((BULK_TIER="ALL")+(BULK_TIER=$F286))*((BULK_SKU="ALL")+(BULK_SKU=$G286))*(BULK_START&lt;=3)*(BULK_END&gt;=3)))&gt;0,IFERROR(SUMPRODUCT(((BULK_ENABLED="Y")*((BULK_TIER="ALL")+(BULK_TIER=$F286))*((BULK_SKU="ALL")+(BULK_SKU=$G286))*(BULK_START&lt;=3)*(BULK_END&gt;=3))*IFERROR(BULK_VALUE,0))/MAX(1,SUMPRODUCT(((BULK_ENABLED="Y")*((BULK_TIER="ALL")+(BULK_TIER=$F286))*((BULK_SKU="ALL")+(BULK_SKU=$G286))*(BULK_START&lt;=3)*(BULK_END&gt;=3)))),0),ROUND((INDEX(VELOCITY_TABLE,MATCH($F286,TIER_LIST,0),3))*(IF((3-$I286+1)&lt;=0,0,IF((3-$I286+1)=1,RAMP_W1,IF((3-$I286+1)=2,RAMP_W2,IF((3-$I286+1)=3,RAMP_W3,RAMP_W4PLUS)))))*(INDEX(ACTIVE_MULT_TABLE,3,1))*(1+SUMPRODUCT(SIGN(((ACT_DOOR_SCOPE="ALL")+(ACT_DOOR_SCOPE="TIER_"&amp;$F286)+(ACT_DOOR_SCOPE=$B286)))*SIGN(((ACT_SKU_SCOPE="ALL")+(ACT_SKU_SCOPE=$G286)))*(ACT_START&lt;=3)*(ACT_END&gt;=3)*IFERROR(ACT_UPLIFT-1,0)))*(1+SUMPRODUCT(SIGN(((ACT_DOOR_SCOPE="ALL")+(ACT_DOOR_SCOPE="TIER_"&amp;$F286)+(ACT_DOOR_SCOPE=$B286)))*SIGN(((ACT_SKU_SCOPE="ALL")+(ACT_SKU_SCOPE=$G286)))*(3&gt;ACT_END)*(ACT_END&gt;0)*IFERROR(ACT_POSTLIFT,0))),0)))</f>
        <v/>
      </c>
      <c r="M286" s="10">
        <f>IF(OR($H286&lt;&gt;"Y",4&lt;$I286),0,IF(SUMPRODUCT(((BULK_ENABLED="Y")*((BULK_TIER="ALL")+(BULK_TIER=$F286))*((BULK_SKU="ALL")+(BULK_SKU=$G286))*(BULK_START&lt;=4)*(BULK_END&gt;=4)))&gt;0,IFERROR(SUMPRODUCT(((BULK_ENABLED="Y")*((BULK_TIER="ALL")+(BULK_TIER=$F286))*((BULK_SKU="ALL")+(BULK_SKU=$G286))*(BULK_START&lt;=4)*(BULK_END&gt;=4))*IFERROR(BULK_VALUE,0))/MAX(1,SUMPRODUCT(((BULK_ENABLED="Y")*((BULK_TIER="ALL")+(BULK_TIER=$F286))*((BULK_SKU="ALL")+(BULK_SKU=$G286))*(BULK_START&lt;=4)*(BULK_END&gt;=4)))),0),ROUND((INDEX(VELOCITY_TABLE,MATCH($F286,TIER_LIST,0),3))*(IF((4-$I286+1)&lt;=0,0,IF((4-$I286+1)=1,RAMP_W1,IF((4-$I286+1)=2,RAMP_W2,IF((4-$I286+1)=3,RAMP_W3,RAMP_W4PLUS)))))*(INDEX(ACTIVE_MULT_TABLE,3,1))*(1+SUMPRODUCT(SIGN(((ACT_DOOR_SCOPE="ALL")+(ACT_DOOR_SCOPE="TIER_"&amp;$F286)+(ACT_DOOR_SCOPE=$B286)))*SIGN(((ACT_SKU_SCOPE="ALL")+(ACT_SKU_SCOPE=$G286)))*(ACT_START&lt;=4)*(ACT_END&gt;=4)*IFERROR(ACT_UPLIFT-1,0)))*(1+SUMPRODUCT(SIGN(((ACT_DOOR_SCOPE="ALL")+(ACT_DOOR_SCOPE="TIER_"&amp;$F286)+(ACT_DOOR_SCOPE=$B286)))*SIGN(((ACT_SKU_SCOPE="ALL")+(ACT_SKU_SCOPE=$G286)))*(4&gt;ACT_END)*(ACT_END&gt;0)*IFERROR(ACT_POSTLIFT,0))),0)))</f>
        <v/>
      </c>
      <c r="N286" s="10">
        <f>IF(OR($H286&lt;&gt;"Y",5&lt;$I286),0,IF(SUMPRODUCT(((BULK_ENABLED="Y")*((BULK_TIER="ALL")+(BULK_TIER=$F286))*((BULK_SKU="ALL")+(BULK_SKU=$G286))*(BULK_START&lt;=5)*(BULK_END&gt;=5)))&gt;0,IFERROR(SUMPRODUCT(((BULK_ENABLED="Y")*((BULK_TIER="ALL")+(BULK_TIER=$F286))*((BULK_SKU="ALL")+(BULK_SKU=$G286))*(BULK_START&lt;=5)*(BULK_END&gt;=5))*IFERROR(BULK_VALUE,0))/MAX(1,SUMPRODUCT(((BULK_ENABLED="Y")*((BULK_TIER="ALL")+(BULK_TIER=$F286))*((BULK_SKU="ALL")+(BULK_SKU=$G286))*(BULK_START&lt;=5)*(BULK_END&gt;=5)))),0),ROUND((INDEX(VELOCITY_TABLE,MATCH($F286,TIER_LIST,0),3))*(IF((5-$I286+1)&lt;=0,0,IF((5-$I286+1)=1,RAMP_W1,IF((5-$I286+1)=2,RAMP_W2,IF((5-$I286+1)=3,RAMP_W3,RAMP_W4PLUS)))))*(INDEX(ACTIVE_MULT_TABLE,3,1))*(1+SUMPRODUCT(SIGN(((ACT_DOOR_SCOPE="ALL")+(ACT_DOOR_SCOPE="TIER_"&amp;$F286)+(ACT_DOOR_SCOPE=$B286)))*SIGN(((ACT_SKU_SCOPE="ALL")+(ACT_SKU_SCOPE=$G286)))*(ACT_START&lt;=5)*(ACT_END&gt;=5)*IFERROR(ACT_UPLIFT-1,0)))*(1+SUMPRODUCT(SIGN(((ACT_DOOR_SCOPE="ALL")+(ACT_DOOR_SCOPE="TIER_"&amp;$F286)+(ACT_DOOR_SCOPE=$B286)))*SIGN(((ACT_SKU_SCOPE="ALL")+(ACT_SKU_SCOPE=$G286)))*(5&gt;ACT_END)*(ACT_END&gt;0)*IFERROR(ACT_POSTLIFT,0))),0)))</f>
        <v/>
      </c>
      <c r="O286" s="10">
        <f>IF(OR($H286&lt;&gt;"Y",6&lt;$I286),0,IF(SUMPRODUCT(((BULK_ENABLED="Y")*((BULK_TIER="ALL")+(BULK_TIER=$F286))*((BULK_SKU="ALL")+(BULK_SKU=$G286))*(BULK_START&lt;=6)*(BULK_END&gt;=6)))&gt;0,IFERROR(SUMPRODUCT(((BULK_ENABLED="Y")*((BULK_TIER="ALL")+(BULK_TIER=$F286))*((BULK_SKU="ALL")+(BULK_SKU=$G286))*(BULK_START&lt;=6)*(BULK_END&gt;=6))*IFERROR(BULK_VALUE,0))/MAX(1,SUMPRODUCT(((BULK_ENABLED="Y")*((BULK_TIER="ALL")+(BULK_TIER=$F286))*((BULK_SKU="ALL")+(BULK_SKU=$G286))*(BULK_START&lt;=6)*(BULK_END&gt;=6)))),0),ROUND((INDEX(VELOCITY_TABLE,MATCH($F286,TIER_LIST,0),3))*(IF((6-$I286+1)&lt;=0,0,IF((6-$I286+1)=1,RAMP_W1,IF((6-$I286+1)=2,RAMP_W2,IF((6-$I286+1)=3,RAMP_W3,RAMP_W4PLUS)))))*(INDEX(ACTIVE_MULT_TABLE,3,1))*(1+SUMPRODUCT(SIGN(((ACT_DOOR_SCOPE="ALL")+(ACT_DOOR_SCOPE="TIER_"&amp;$F286)+(ACT_DOOR_SCOPE=$B286)))*SIGN(((ACT_SKU_SCOPE="ALL")+(ACT_SKU_SCOPE=$G286)))*(ACT_START&lt;=6)*(ACT_END&gt;=6)*IFERROR(ACT_UPLIFT-1,0)))*(1+SUMPRODUCT(SIGN(((ACT_DOOR_SCOPE="ALL")+(ACT_DOOR_SCOPE="TIER_"&amp;$F286)+(ACT_DOOR_SCOPE=$B286)))*SIGN(((ACT_SKU_SCOPE="ALL")+(ACT_SKU_SCOPE=$G286)))*(6&gt;ACT_END)*(ACT_END&gt;0)*IFERROR(ACT_POSTLIFT,0))),0)))</f>
        <v/>
      </c>
      <c r="P286" s="10">
        <f>IF(OR($H286&lt;&gt;"Y",7&lt;$I286),0,IF(SUMPRODUCT(((BULK_ENABLED="Y")*((BULK_TIER="ALL")+(BULK_TIER=$F286))*((BULK_SKU="ALL")+(BULK_SKU=$G286))*(BULK_START&lt;=7)*(BULK_END&gt;=7)))&gt;0,IFERROR(SUMPRODUCT(((BULK_ENABLED="Y")*((BULK_TIER="ALL")+(BULK_TIER=$F286))*((BULK_SKU="ALL")+(BULK_SKU=$G286))*(BULK_START&lt;=7)*(BULK_END&gt;=7))*IFERROR(BULK_VALUE,0))/MAX(1,SUMPRODUCT(((BULK_ENABLED="Y")*((BULK_TIER="ALL")+(BULK_TIER=$F286))*((BULK_SKU="ALL")+(BULK_SKU=$G286))*(BULK_START&lt;=7)*(BULK_END&gt;=7)))),0),ROUND((INDEX(VELOCITY_TABLE,MATCH($F286,TIER_LIST,0),3))*(IF((7-$I286+1)&lt;=0,0,IF((7-$I286+1)=1,RAMP_W1,IF((7-$I286+1)=2,RAMP_W2,IF((7-$I286+1)=3,RAMP_W3,RAMP_W4PLUS)))))*(INDEX(ACTIVE_MULT_TABLE,3,1))*(1+SUMPRODUCT(SIGN(((ACT_DOOR_SCOPE="ALL")+(ACT_DOOR_SCOPE="TIER_"&amp;$F286)+(ACT_DOOR_SCOPE=$B286)))*SIGN(((ACT_SKU_SCOPE="ALL")+(ACT_SKU_SCOPE=$G286)))*(ACT_START&lt;=7)*(ACT_END&gt;=7)*IFERROR(ACT_UPLIFT-1,0)))*(1+SUMPRODUCT(SIGN(((ACT_DOOR_SCOPE="ALL")+(ACT_DOOR_SCOPE="TIER_"&amp;$F286)+(ACT_DOOR_SCOPE=$B286)))*SIGN(((ACT_SKU_SCOPE="ALL")+(ACT_SKU_SCOPE=$G286)))*(7&gt;ACT_END)*(ACT_END&gt;0)*IFERROR(ACT_POSTLIFT,0))),0)))</f>
        <v/>
      </c>
      <c r="Q286" s="10">
        <f>IF(OR($H286&lt;&gt;"Y",8&lt;$I286),0,IF(SUMPRODUCT(((BULK_ENABLED="Y")*((BULK_TIER="ALL")+(BULK_TIER=$F286))*((BULK_SKU="ALL")+(BULK_SKU=$G286))*(BULK_START&lt;=8)*(BULK_END&gt;=8)))&gt;0,IFERROR(SUMPRODUCT(((BULK_ENABLED="Y")*((BULK_TIER="ALL")+(BULK_TIER=$F286))*((BULK_SKU="ALL")+(BULK_SKU=$G286))*(BULK_START&lt;=8)*(BULK_END&gt;=8))*IFERROR(BULK_VALUE,0))/MAX(1,SUMPRODUCT(((BULK_ENABLED="Y")*((BULK_TIER="ALL")+(BULK_TIER=$F286))*((BULK_SKU="ALL")+(BULK_SKU=$G286))*(BULK_START&lt;=8)*(BULK_END&gt;=8)))),0),ROUND((INDEX(VELOCITY_TABLE,MATCH($F286,TIER_LIST,0),3))*(IF((8-$I286+1)&lt;=0,0,IF((8-$I286+1)=1,RAMP_W1,IF((8-$I286+1)=2,RAMP_W2,IF((8-$I286+1)=3,RAMP_W3,RAMP_W4PLUS)))))*(INDEX(ACTIVE_MULT_TABLE,3,1))*(1+SUMPRODUCT(SIGN(((ACT_DOOR_SCOPE="ALL")+(ACT_DOOR_SCOPE="TIER_"&amp;$F286)+(ACT_DOOR_SCOPE=$B286)))*SIGN(((ACT_SKU_SCOPE="ALL")+(ACT_SKU_SCOPE=$G286)))*(ACT_START&lt;=8)*(ACT_END&gt;=8)*IFERROR(ACT_UPLIFT-1,0)))*(1+SUMPRODUCT(SIGN(((ACT_DOOR_SCOPE="ALL")+(ACT_DOOR_SCOPE="TIER_"&amp;$F286)+(ACT_DOOR_SCOPE=$B286)))*SIGN(((ACT_SKU_SCOPE="ALL")+(ACT_SKU_SCOPE=$G286)))*(8&gt;ACT_END)*(ACT_END&gt;0)*IFERROR(ACT_POSTLIFT,0))),0)))</f>
        <v/>
      </c>
      <c r="R286" s="10">
        <f>IF(OR($H286&lt;&gt;"Y",9&lt;$I286),0,IF(SUMPRODUCT(((BULK_ENABLED="Y")*((BULK_TIER="ALL")+(BULK_TIER=$F286))*((BULK_SKU="ALL")+(BULK_SKU=$G286))*(BULK_START&lt;=9)*(BULK_END&gt;=9)))&gt;0,IFERROR(SUMPRODUCT(((BULK_ENABLED="Y")*((BULK_TIER="ALL")+(BULK_TIER=$F286))*((BULK_SKU="ALL")+(BULK_SKU=$G286))*(BULK_START&lt;=9)*(BULK_END&gt;=9))*IFERROR(BULK_VALUE,0))/MAX(1,SUMPRODUCT(((BULK_ENABLED="Y")*((BULK_TIER="ALL")+(BULK_TIER=$F286))*((BULK_SKU="ALL")+(BULK_SKU=$G286))*(BULK_START&lt;=9)*(BULK_END&gt;=9)))),0),ROUND((INDEX(VELOCITY_TABLE,MATCH($F286,TIER_LIST,0),3))*(IF((9-$I286+1)&lt;=0,0,IF((9-$I286+1)=1,RAMP_W1,IF((9-$I286+1)=2,RAMP_W2,IF((9-$I286+1)=3,RAMP_W3,RAMP_W4PLUS)))))*(INDEX(ACTIVE_MULT_TABLE,3,1))*(1+SUMPRODUCT(SIGN(((ACT_DOOR_SCOPE="ALL")+(ACT_DOOR_SCOPE="TIER_"&amp;$F286)+(ACT_DOOR_SCOPE=$B286)))*SIGN(((ACT_SKU_SCOPE="ALL")+(ACT_SKU_SCOPE=$G286)))*(ACT_START&lt;=9)*(ACT_END&gt;=9)*IFERROR(ACT_UPLIFT-1,0)))*(1+SUMPRODUCT(SIGN(((ACT_DOOR_SCOPE="ALL")+(ACT_DOOR_SCOPE="TIER_"&amp;$F286)+(ACT_DOOR_SCOPE=$B286)))*SIGN(((ACT_SKU_SCOPE="ALL")+(ACT_SKU_SCOPE=$G286)))*(9&gt;ACT_END)*(ACT_END&gt;0)*IFERROR(ACT_POSTLIFT,0))),0)))</f>
        <v/>
      </c>
      <c r="S286" s="10">
        <f>IF(OR($H286&lt;&gt;"Y",10&lt;$I286),0,IF(SUMPRODUCT(((BULK_ENABLED="Y")*((BULK_TIER="ALL")+(BULK_TIER=$F286))*((BULK_SKU="ALL")+(BULK_SKU=$G286))*(BULK_START&lt;=10)*(BULK_END&gt;=10)))&gt;0,IFERROR(SUMPRODUCT(((BULK_ENABLED="Y")*((BULK_TIER="ALL")+(BULK_TIER=$F286))*((BULK_SKU="ALL")+(BULK_SKU=$G286))*(BULK_START&lt;=10)*(BULK_END&gt;=10))*IFERROR(BULK_VALUE,0))/MAX(1,SUMPRODUCT(((BULK_ENABLED="Y")*((BULK_TIER="ALL")+(BULK_TIER=$F286))*((BULK_SKU="ALL")+(BULK_SKU=$G286))*(BULK_START&lt;=10)*(BULK_END&gt;=10)))),0),ROUND((INDEX(VELOCITY_TABLE,MATCH($F286,TIER_LIST,0),3))*(IF((10-$I286+1)&lt;=0,0,IF((10-$I286+1)=1,RAMP_W1,IF((10-$I286+1)=2,RAMP_W2,IF((10-$I286+1)=3,RAMP_W3,RAMP_W4PLUS)))))*(INDEX(ACTIVE_MULT_TABLE,3,1))*(1+SUMPRODUCT(SIGN(((ACT_DOOR_SCOPE="ALL")+(ACT_DOOR_SCOPE="TIER_"&amp;$F286)+(ACT_DOOR_SCOPE=$B286)))*SIGN(((ACT_SKU_SCOPE="ALL")+(ACT_SKU_SCOPE=$G286)))*(ACT_START&lt;=10)*(ACT_END&gt;=10)*IFERROR(ACT_UPLIFT-1,0)))*(1+SUMPRODUCT(SIGN(((ACT_DOOR_SCOPE="ALL")+(ACT_DOOR_SCOPE="TIER_"&amp;$F286)+(ACT_DOOR_SCOPE=$B286)))*SIGN(((ACT_SKU_SCOPE="ALL")+(ACT_SKU_SCOPE=$G286)))*(10&gt;ACT_END)*(ACT_END&gt;0)*IFERROR(ACT_POSTLIFT,0))),0)))</f>
        <v/>
      </c>
      <c r="T286" s="10">
        <f>IF(OR($H286&lt;&gt;"Y",11&lt;$I286),0,IF(SUMPRODUCT(((BULK_ENABLED="Y")*((BULK_TIER="ALL")+(BULK_TIER=$F286))*((BULK_SKU="ALL")+(BULK_SKU=$G286))*(BULK_START&lt;=11)*(BULK_END&gt;=11)))&gt;0,IFERROR(SUMPRODUCT(((BULK_ENABLED="Y")*((BULK_TIER="ALL")+(BULK_TIER=$F286))*((BULK_SKU="ALL")+(BULK_SKU=$G286))*(BULK_START&lt;=11)*(BULK_END&gt;=11))*IFERROR(BULK_VALUE,0))/MAX(1,SUMPRODUCT(((BULK_ENABLED="Y")*((BULK_TIER="ALL")+(BULK_TIER=$F286))*((BULK_SKU="ALL")+(BULK_SKU=$G286))*(BULK_START&lt;=11)*(BULK_END&gt;=11)))),0),ROUND((INDEX(VELOCITY_TABLE,MATCH($F286,TIER_LIST,0),3))*(IF((11-$I286+1)&lt;=0,0,IF((11-$I286+1)=1,RAMP_W1,IF((11-$I286+1)=2,RAMP_W2,IF((11-$I286+1)=3,RAMP_W3,RAMP_W4PLUS)))))*(INDEX(ACTIVE_MULT_TABLE,3,1))*(1+SUMPRODUCT(SIGN(((ACT_DOOR_SCOPE="ALL")+(ACT_DOOR_SCOPE="TIER_"&amp;$F286)+(ACT_DOOR_SCOPE=$B286)))*SIGN(((ACT_SKU_SCOPE="ALL")+(ACT_SKU_SCOPE=$G286)))*(ACT_START&lt;=11)*(ACT_END&gt;=11)*IFERROR(ACT_UPLIFT-1,0)))*(1+SUMPRODUCT(SIGN(((ACT_DOOR_SCOPE="ALL")+(ACT_DOOR_SCOPE="TIER_"&amp;$F286)+(ACT_DOOR_SCOPE=$B286)))*SIGN(((ACT_SKU_SCOPE="ALL")+(ACT_SKU_SCOPE=$G286)))*(11&gt;ACT_END)*(ACT_END&gt;0)*IFERROR(ACT_POSTLIFT,0))),0)))</f>
        <v/>
      </c>
      <c r="U286" s="10">
        <f>IF(OR($H286&lt;&gt;"Y",12&lt;$I286),0,IF(SUMPRODUCT(((BULK_ENABLED="Y")*((BULK_TIER="ALL")+(BULK_TIER=$F286))*((BULK_SKU="ALL")+(BULK_SKU=$G286))*(BULK_START&lt;=12)*(BULK_END&gt;=12)))&gt;0,IFERROR(SUMPRODUCT(((BULK_ENABLED="Y")*((BULK_TIER="ALL")+(BULK_TIER=$F286))*((BULK_SKU="ALL")+(BULK_SKU=$G286))*(BULK_START&lt;=12)*(BULK_END&gt;=12))*IFERROR(BULK_VALUE,0))/MAX(1,SUMPRODUCT(((BULK_ENABLED="Y")*((BULK_TIER="ALL")+(BULK_TIER=$F286))*((BULK_SKU="ALL")+(BULK_SKU=$G286))*(BULK_START&lt;=12)*(BULK_END&gt;=12)))),0),ROUND((INDEX(VELOCITY_TABLE,MATCH($F286,TIER_LIST,0),3))*(IF((12-$I286+1)&lt;=0,0,IF((12-$I286+1)=1,RAMP_W1,IF((12-$I286+1)=2,RAMP_W2,IF((12-$I286+1)=3,RAMP_W3,RAMP_W4PLUS)))))*(INDEX(ACTIVE_MULT_TABLE,3,1))*(1+SUMPRODUCT(SIGN(((ACT_DOOR_SCOPE="ALL")+(ACT_DOOR_SCOPE="TIER_"&amp;$F286)+(ACT_DOOR_SCOPE=$B286)))*SIGN(((ACT_SKU_SCOPE="ALL")+(ACT_SKU_SCOPE=$G286)))*(ACT_START&lt;=12)*(ACT_END&gt;=12)*IFERROR(ACT_UPLIFT-1,0)))*(1+SUMPRODUCT(SIGN(((ACT_DOOR_SCOPE="ALL")+(ACT_DOOR_SCOPE="TIER_"&amp;$F286)+(ACT_DOOR_SCOPE=$B286)))*SIGN(((ACT_SKU_SCOPE="ALL")+(ACT_SKU_SCOPE=$G286)))*(12&gt;ACT_END)*(ACT_END&gt;0)*IFERROR(ACT_POSTLIFT,0))),0)))</f>
        <v/>
      </c>
      <c r="V286" s="10">
        <f>IF(OR($H286&lt;&gt;"Y",13&lt;$I286),0,IF(SUMPRODUCT(((BULK_ENABLED="Y")*((BULK_TIER="ALL")+(BULK_TIER=$F286))*((BULK_SKU="ALL")+(BULK_SKU=$G286))*(BULK_START&lt;=13)*(BULK_END&gt;=13)))&gt;0,IFERROR(SUMPRODUCT(((BULK_ENABLED="Y")*((BULK_TIER="ALL")+(BULK_TIER=$F286))*((BULK_SKU="ALL")+(BULK_SKU=$G286))*(BULK_START&lt;=13)*(BULK_END&gt;=13))*IFERROR(BULK_VALUE,0))/MAX(1,SUMPRODUCT(((BULK_ENABLED="Y")*((BULK_TIER="ALL")+(BULK_TIER=$F286))*((BULK_SKU="ALL")+(BULK_SKU=$G286))*(BULK_START&lt;=13)*(BULK_END&gt;=13)))),0),ROUND((INDEX(VELOCITY_TABLE,MATCH($F286,TIER_LIST,0),3))*(IF((13-$I286+1)&lt;=0,0,IF((13-$I286+1)=1,RAMP_W1,IF((13-$I286+1)=2,RAMP_W2,IF((13-$I286+1)=3,RAMP_W3,RAMP_W4PLUS)))))*(INDEX(ACTIVE_MULT_TABLE,3,1))*(1+SUMPRODUCT(SIGN(((ACT_DOOR_SCOPE="ALL")+(ACT_DOOR_SCOPE="TIER_"&amp;$F286)+(ACT_DOOR_SCOPE=$B286)))*SIGN(((ACT_SKU_SCOPE="ALL")+(ACT_SKU_SCOPE=$G286)))*(ACT_START&lt;=13)*(ACT_END&gt;=13)*IFERROR(ACT_UPLIFT-1,0)))*(1+SUMPRODUCT(SIGN(((ACT_DOOR_SCOPE="ALL")+(ACT_DOOR_SCOPE="TIER_"&amp;$F286)+(ACT_DOOR_SCOPE=$B286)))*SIGN(((ACT_SKU_SCOPE="ALL")+(ACT_SKU_SCOPE=$G286)))*(13&gt;ACT_END)*(ACT_END&gt;0)*IFERROR(ACT_POSTLIFT,0))),0)))</f>
        <v/>
      </c>
    </row>
    <row r="287">
      <c r="A287" t="inlineStr">
        <is>
          <t>R0283</t>
        </is>
      </c>
      <c r="B287">
        <f>Doors!$A$99</f>
        <v/>
      </c>
      <c r="C287">
        <f>Doors!$C$99</f>
        <v/>
      </c>
      <c r="D287">
        <f>Doors!$B$99</f>
        <v/>
      </c>
      <c r="E287">
        <f>Doors!$E$99</f>
        <v/>
      </c>
      <c r="F287">
        <f>Doors!$F$99</f>
        <v/>
      </c>
      <c r="G287" t="inlineStr">
        <is>
          <t>Lime Lemon</t>
        </is>
      </c>
      <c r="H287">
        <f>Doors!$G$99</f>
        <v/>
      </c>
      <c r="I287">
        <f>Doors!$J$99</f>
        <v/>
      </c>
      <c r="J287" s="10">
        <f>IF(OR($H287&lt;&gt;"Y",1&lt;$I287),0,IF(SUMPRODUCT(((BULK_ENABLED="Y")*((BULK_TIER="ALL")+(BULK_TIER=$F287))*((BULK_SKU="ALL")+(BULK_SKU=$G287))*(BULK_START&lt;=1)*(BULK_END&gt;=1)))&gt;0,IFERROR(SUMPRODUCT(((BULK_ENABLED="Y")*((BULK_TIER="ALL")+(BULK_TIER=$F287))*((BULK_SKU="ALL")+(BULK_SKU=$G287))*(BULK_START&lt;=1)*(BULK_END&gt;=1))*IFERROR(BULK_VALUE,0))/MAX(1,SUMPRODUCT(((BULK_ENABLED="Y")*((BULK_TIER="ALL")+(BULK_TIER=$F287))*((BULK_SKU="ALL")+(BULK_SKU=$G287))*(BULK_START&lt;=1)*(BULK_END&gt;=1)))),0),ROUND((INDEX(VELOCITY_TABLE,MATCH($F287,TIER_LIST,0),1))*(IF((1-$I287+1)&lt;=0,0,IF((1-$I287+1)=1,RAMP_W1,IF((1-$I287+1)=2,RAMP_W2,IF((1-$I287+1)=3,RAMP_W3,RAMP_W4PLUS)))))*(INDEX(ACTIVE_MULT_TABLE,1,1))*(1+SUMPRODUCT(SIGN(((ACT_DOOR_SCOPE="ALL")+(ACT_DOOR_SCOPE="TIER_"&amp;$F287)+(ACT_DOOR_SCOPE=$B287)))*SIGN(((ACT_SKU_SCOPE="ALL")+(ACT_SKU_SCOPE=$G287)))*(ACT_START&lt;=1)*(ACT_END&gt;=1)*IFERROR(ACT_UPLIFT-1,0)))*(1+SUMPRODUCT(SIGN(((ACT_DOOR_SCOPE="ALL")+(ACT_DOOR_SCOPE="TIER_"&amp;$F287)+(ACT_DOOR_SCOPE=$B287)))*SIGN(((ACT_SKU_SCOPE="ALL")+(ACT_SKU_SCOPE=$G287)))*(1&gt;ACT_END)*(ACT_END&gt;0)*IFERROR(ACT_POSTLIFT,0))),0)))</f>
        <v/>
      </c>
      <c r="K287" s="10">
        <f>IF(OR($H287&lt;&gt;"Y",2&lt;$I287),0,IF(SUMPRODUCT(((BULK_ENABLED="Y")*((BULK_TIER="ALL")+(BULK_TIER=$F287))*((BULK_SKU="ALL")+(BULK_SKU=$G287))*(BULK_START&lt;=2)*(BULK_END&gt;=2)))&gt;0,IFERROR(SUMPRODUCT(((BULK_ENABLED="Y")*((BULK_TIER="ALL")+(BULK_TIER=$F287))*((BULK_SKU="ALL")+(BULK_SKU=$G287))*(BULK_START&lt;=2)*(BULK_END&gt;=2))*IFERROR(BULK_VALUE,0))/MAX(1,SUMPRODUCT(((BULK_ENABLED="Y")*((BULK_TIER="ALL")+(BULK_TIER=$F287))*((BULK_SKU="ALL")+(BULK_SKU=$G287))*(BULK_START&lt;=2)*(BULK_END&gt;=2)))),0),ROUND((INDEX(VELOCITY_TABLE,MATCH($F287,TIER_LIST,0),1))*(IF((2-$I287+1)&lt;=0,0,IF((2-$I287+1)=1,RAMP_W1,IF((2-$I287+1)=2,RAMP_W2,IF((2-$I287+1)=3,RAMP_W3,RAMP_W4PLUS)))))*(INDEX(ACTIVE_MULT_TABLE,1,1))*(1+SUMPRODUCT(SIGN(((ACT_DOOR_SCOPE="ALL")+(ACT_DOOR_SCOPE="TIER_"&amp;$F287)+(ACT_DOOR_SCOPE=$B287)))*SIGN(((ACT_SKU_SCOPE="ALL")+(ACT_SKU_SCOPE=$G287)))*(ACT_START&lt;=2)*(ACT_END&gt;=2)*IFERROR(ACT_UPLIFT-1,0)))*(1+SUMPRODUCT(SIGN(((ACT_DOOR_SCOPE="ALL")+(ACT_DOOR_SCOPE="TIER_"&amp;$F287)+(ACT_DOOR_SCOPE=$B287)))*SIGN(((ACT_SKU_SCOPE="ALL")+(ACT_SKU_SCOPE=$G287)))*(2&gt;ACT_END)*(ACT_END&gt;0)*IFERROR(ACT_POSTLIFT,0))),0)))</f>
        <v/>
      </c>
      <c r="L287" s="10">
        <f>IF(OR($H287&lt;&gt;"Y",3&lt;$I287),0,IF(SUMPRODUCT(((BULK_ENABLED="Y")*((BULK_TIER="ALL")+(BULK_TIER=$F287))*((BULK_SKU="ALL")+(BULK_SKU=$G287))*(BULK_START&lt;=3)*(BULK_END&gt;=3)))&gt;0,IFERROR(SUMPRODUCT(((BULK_ENABLED="Y")*((BULK_TIER="ALL")+(BULK_TIER=$F287))*((BULK_SKU="ALL")+(BULK_SKU=$G287))*(BULK_START&lt;=3)*(BULK_END&gt;=3))*IFERROR(BULK_VALUE,0))/MAX(1,SUMPRODUCT(((BULK_ENABLED="Y")*((BULK_TIER="ALL")+(BULK_TIER=$F287))*((BULK_SKU="ALL")+(BULK_SKU=$G287))*(BULK_START&lt;=3)*(BULK_END&gt;=3)))),0),ROUND((INDEX(VELOCITY_TABLE,MATCH($F287,TIER_LIST,0),1))*(IF((3-$I287+1)&lt;=0,0,IF((3-$I287+1)=1,RAMP_W1,IF((3-$I287+1)=2,RAMP_W2,IF((3-$I287+1)=3,RAMP_W3,RAMP_W4PLUS)))))*(INDEX(ACTIVE_MULT_TABLE,1,1))*(1+SUMPRODUCT(SIGN(((ACT_DOOR_SCOPE="ALL")+(ACT_DOOR_SCOPE="TIER_"&amp;$F287)+(ACT_DOOR_SCOPE=$B287)))*SIGN(((ACT_SKU_SCOPE="ALL")+(ACT_SKU_SCOPE=$G287)))*(ACT_START&lt;=3)*(ACT_END&gt;=3)*IFERROR(ACT_UPLIFT-1,0)))*(1+SUMPRODUCT(SIGN(((ACT_DOOR_SCOPE="ALL")+(ACT_DOOR_SCOPE="TIER_"&amp;$F287)+(ACT_DOOR_SCOPE=$B287)))*SIGN(((ACT_SKU_SCOPE="ALL")+(ACT_SKU_SCOPE=$G287)))*(3&gt;ACT_END)*(ACT_END&gt;0)*IFERROR(ACT_POSTLIFT,0))),0)))</f>
        <v/>
      </c>
      <c r="M287" s="10">
        <f>IF(OR($H287&lt;&gt;"Y",4&lt;$I287),0,IF(SUMPRODUCT(((BULK_ENABLED="Y")*((BULK_TIER="ALL")+(BULK_TIER=$F287))*((BULK_SKU="ALL")+(BULK_SKU=$G287))*(BULK_START&lt;=4)*(BULK_END&gt;=4)))&gt;0,IFERROR(SUMPRODUCT(((BULK_ENABLED="Y")*((BULK_TIER="ALL")+(BULK_TIER=$F287))*((BULK_SKU="ALL")+(BULK_SKU=$G287))*(BULK_START&lt;=4)*(BULK_END&gt;=4))*IFERROR(BULK_VALUE,0))/MAX(1,SUMPRODUCT(((BULK_ENABLED="Y")*((BULK_TIER="ALL")+(BULK_TIER=$F287))*((BULK_SKU="ALL")+(BULK_SKU=$G287))*(BULK_START&lt;=4)*(BULK_END&gt;=4)))),0),ROUND((INDEX(VELOCITY_TABLE,MATCH($F287,TIER_LIST,0),1))*(IF((4-$I287+1)&lt;=0,0,IF((4-$I287+1)=1,RAMP_W1,IF((4-$I287+1)=2,RAMP_W2,IF((4-$I287+1)=3,RAMP_W3,RAMP_W4PLUS)))))*(INDEX(ACTIVE_MULT_TABLE,1,1))*(1+SUMPRODUCT(SIGN(((ACT_DOOR_SCOPE="ALL")+(ACT_DOOR_SCOPE="TIER_"&amp;$F287)+(ACT_DOOR_SCOPE=$B287)))*SIGN(((ACT_SKU_SCOPE="ALL")+(ACT_SKU_SCOPE=$G287)))*(ACT_START&lt;=4)*(ACT_END&gt;=4)*IFERROR(ACT_UPLIFT-1,0)))*(1+SUMPRODUCT(SIGN(((ACT_DOOR_SCOPE="ALL")+(ACT_DOOR_SCOPE="TIER_"&amp;$F287)+(ACT_DOOR_SCOPE=$B287)))*SIGN(((ACT_SKU_SCOPE="ALL")+(ACT_SKU_SCOPE=$G287)))*(4&gt;ACT_END)*(ACT_END&gt;0)*IFERROR(ACT_POSTLIFT,0))),0)))</f>
        <v/>
      </c>
      <c r="N287" s="10">
        <f>IF(OR($H287&lt;&gt;"Y",5&lt;$I287),0,IF(SUMPRODUCT(((BULK_ENABLED="Y")*((BULK_TIER="ALL")+(BULK_TIER=$F287))*((BULK_SKU="ALL")+(BULK_SKU=$G287))*(BULK_START&lt;=5)*(BULK_END&gt;=5)))&gt;0,IFERROR(SUMPRODUCT(((BULK_ENABLED="Y")*((BULK_TIER="ALL")+(BULK_TIER=$F287))*((BULK_SKU="ALL")+(BULK_SKU=$G287))*(BULK_START&lt;=5)*(BULK_END&gt;=5))*IFERROR(BULK_VALUE,0))/MAX(1,SUMPRODUCT(((BULK_ENABLED="Y")*((BULK_TIER="ALL")+(BULK_TIER=$F287))*((BULK_SKU="ALL")+(BULK_SKU=$G287))*(BULK_START&lt;=5)*(BULK_END&gt;=5)))),0),ROUND((INDEX(VELOCITY_TABLE,MATCH($F287,TIER_LIST,0),1))*(IF((5-$I287+1)&lt;=0,0,IF((5-$I287+1)=1,RAMP_W1,IF((5-$I287+1)=2,RAMP_W2,IF((5-$I287+1)=3,RAMP_W3,RAMP_W4PLUS)))))*(INDEX(ACTIVE_MULT_TABLE,1,1))*(1+SUMPRODUCT(SIGN(((ACT_DOOR_SCOPE="ALL")+(ACT_DOOR_SCOPE="TIER_"&amp;$F287)+(ACT_DOOR_SCOPE=$B287)))*SIGN(((ACT_SKU_SCOPE="ALL")+(ACT_SKU_SCOPE=$G287)))*(ACT_START&lt;=5)*(ACT_END&gt;=5)*IFERROR(ACT_UPLIFT-1,0)))*(1+SUMPRODUCT(SIGN(((ACT_DOOR_SCOPE="ALL")+(ACT_DOOR_SCOPE="TIER_"&amp;$F287)+(ACT_DOOR_SCOPE=$B287)))*SIGN(((ACT_SKU_SCOPE="ALL")+(ACT_SKU_SCOPE=$G287)))*(5&gt;ACT_END)*(ACT_END&gt;0)*IFERROR(ACT_POSTLIFT,0))),0)))</f>
        <v/>
      </c>
      <c r="O287" s="10">
        <f>IF(OR($H287&lt;&gt;"Y",6&lt;$I287),0,IF(SUMPRODUCT(((BULK_ENABLED="Y")*((BULK_TIER="ALL")+(BULK_TIER=$F287))*((BULK_SKU="ALL")+(BULK_SKU=$G287))*(BULK_START&lt;=6)*(BULK_END&gt;=6)))&gt;0,IFERROR(SUMPRODUCT(((BULK_ENABLED="Y")*((BULK_TIER="ALL")+(BULK_TIER=$F287))*((BULK_SKU="ALL")+(BULK_SKU=$G287))*(BULK_START&lt;=6)*(BULK_END&gt;=6))*IFERROR(BULK_VALUE,0))/MAX(1,SUMPRODUCT(((BULK_ENABLED="Y")*((BULK_TIER="ALL")+(BULK_TIER=$F287))*((BULK_SKU="ALL")+(BULK_SKU=$G287))*(BULK_START&lt;=6)*(BULK_END&gt;=6)))),0),ROUND((INDEX(VELOCITY_TABLE,MATCH($F287,TIER_LIST,0),1))*(IF((6-$I287+1)&lt;=0,0,IF((6-$I287+1)=1,RAMP_W1,IF((6-$I287+1)=2,RAMP_W2,IF((6-$I287+1)=3,RAMP_W3,RAMP_W4PLUS)))))*(INDEX(ACTIVE_MULT_TABLE,1,1))*(1+SUMPRODUCT(SIGN(((ACT_DOOR_SCOPE="ALL")+(ACT_DOOR_SCOPE="TIER_"&amp;$F287)+(ACT_DOOR_SCOPE=$B287)))*SIGN(((ACT_SKU_SCOPE="ALL")+(ACT_SKU_SCOPE=$G287)))*(ACT_START&lt;=6)*(ACT_END&gt;=6)*IFERROR(ACT_UPLIFT-1,0)))*(1+SUMPRODUCT(SIGN(((ACT_DOOR_SCOPE="ALL")+(ACT_DOOR_SCOPE="TIER_"&amp;$F287)+(ACT_DOOR_SCOPE=$B287)))*SIGN(((ACT_SKU_SCOPE="ALL")+(ACT_SKU_SCOPE=$G287)))*(6&gt;ACT_END)*(ACT_END&gt;0)*IFERROR(ACT_POSTLIFT,0))),0)))</f>
        <v/>
      </c>
      <c r="P287" s="10">
        <f>IF(OR($H287&lt;&gt;"Y",7&lt;$I287),0,IF(SUMPRODUCT(((BULK_ENABLED="Y")*((BULK_TIER="ALL")+(BULK_TIER=$F287))*((BULK_SKU="ALL")+(BULK_SKU=$G287))*(BULK_START&lt;=7)*(BULK_END&gt;=7)))&gt;0,IFERROR(SUMPRODUCT(((BULK_ENABLED="Y")*((BULK_TIER="ALL")+(BULK_TIER=$F287))*((BULK_SKU="ALL")+(BULK_SKU=$G287))*(BULK_START&lt;=7)*(BULK_END&gt;=7))*IFERROR(BULK_VALUE,0))/MAX(1,SUMPRODUCT(((BULK_ENABLED="Y")*((BULK_TIER="ALL")+(BULK_TIER=$F287))*((BULK_SKU="ALL")+(BULK_SKU=$G287))*(BULK_START&lt;=7)*(BULK_END&gt;=7)))),0),ROUND((INDEX(VELOCITY_TABLE,MATCH($F287,TIER_LIST,0),1))*(IF((7-$I287+1)&lt;=0,0,IF((7-$I287+1)=1,RAMP_W1,IF((7-$I287+1)=2,RAMP_W2,IF((7-$I287+1)=3,RAMP_W3,RAMP_W4PLUS)))))*(INDEX(ACTIVE_MULT_TABLE,1,1))*(1+SUMPRODUCT(SIGN(((ACT_DOOR_SCOPE="ALL")+(ACT_DOOR_SCOPE="TIER_"&amp;$F287)+(ACT_DOOR_SCOPE=$B287)))*SIGN(((ACT_SKU_SCOPE="ALL")+(ACT_SKU_SCOPE=$G287)))*(ACT_START&lt;=7)*(ACT_END&gt;=7)*IFERROR(ACT_UPLIFT-1,0)))*(1+SUMPRODUCT(SIGN(((ACT_DOOR_SCOPE="ALL")+(ACT_DOOR_SCOPE="TIER_"&amp;$F287)+(ACT_DOOR_SCOPE=$B287)))*SIGN(((ACT_SKU_SCOPE="ALL")+(ACT_SKU_SCOPE=$G287)))*(7&gt;ACT_END)*(ACT_END&gt;0)*IFERROR(ACT_POSTLIFT,0))),0)))</f>
        <v/>
      </c>
      <c r="Q287" s="10">
        <f>IF(OR($H287&lt;&gt;"Y",8&lt;$I287),0,IF(SUMPRODUCT(((BULK_ENABLED="Y")*((BULK_TIER="ALL")+(BULK_TIER=$F287))*((BULK_SKU="ALL")+(BULK_SKU=$G287))*(BULK_START&lt;=8)*(BULK_END&gt;=8)))&gt;0,IFERROR(SUMPRODUCT(((BULK_ENABLED="Y")*((BULK_TIER="ALL")+(BULK_TIER=$F287))*((BULK_SKU="ALL")+(BULK_SKU=$G287))*(BULK_START&lt;=8)*(BULK_END&gt;=8))*IFERROR(BULK_VALUE,0))/MAX(1,SUMPRODUCT(((BULK_ENABLED="Y")*((BULK_TIER="ALL")+(BULK_TIER=$F287))*((BULK_SKU="ALL")+(BULK_SKU=$G287))*(BULK_START&lt;=8)*(BULK_END&gt;=8)))),0),ROUND((INDEX(VELOCITY_TABLE,MATCH($F287,TIER_LIST,0),1))*(IF((8-$I287+1)&lt;=0,0,IF((8-$I287+1)=1,RAMP_W1,IF((8-$I287+1)=2,RAMP_W2,IF((8-$I287+1)=3,RAMP_W3,RAMP_W4PLUS)))))*(INDEX(ACTIVE_MULT_TABLE,1,1))*(1+SUMPRODUCT(SIGN(((ACT_DOOR_SCOPE="ALL")+(ACT_DOOR_SCOPE="TIER_"&amp;$F287)+(ACT_DOOR_SCOPE=$B287)))*SIGN(((ACT_SKU_SCOPE="ALL")+(ACT_SKU_SCOPE=$G287)))*(ACT_START&lt;=8)*(ACT_END&gt;=8)*IFERROR(ACT_UPLIFT-1,0)))*(1+SUMPRODUCT(SIGN(((ACT_DOOR_SCOPE="ALL")+(ACT_DOOR_SCOPE="TIER_"&amp;$F287)+(ACT_DOOR_SCOPE=$B287)))*SIGN(((ACT_SKU_SCOPE="ALL")+(ACT_SKU_SCOPE=$G287)))*(8&gt;ACT_END)*(ACT_END&gt;0)*IFERROR(ACT_POSTLIFT,0))),0)))</f>
        <v/>
      </c>
      <c r="R287" s="10">
        <f>IF(OR($H287&lt;&gt;"Y",9&lt;$I287),0,IF(SUMPRODUCT(((BULK_ENABLED="Y")*((BULK_TIER="ALL")+(BULK_TIER=$F287))*((BULK_SKU="ALL")+(BULK_SKU=$G287))*(BULK_START&lt;=9)*(BULK_END&gt;=9)))&gt;0,IFERROR(SUMPRODUCT(((BULK_ENABLED="Y")*((BULK_TIER="ALL")+(BULK_TIER=$F287))*((BULK_SKU="ALL")+(BULK_SKU=$G287))*(BULK_START&lt;=9)*(BULK_END&gt;=9))*IFERROR(BULK_VALUE,0))/MAX(1,SUMPRODUCT(((BULK_ENABLED="Y")*((BULK_TIER="ALL")+(BULK_TIER=$F287))*((BULK_SKU="ALL")+(BULK_SKU=$G287))*(BULK_START&lt;=9)*(BULK_END&gt;=9)))),0),ROUND((INDEX(VELOCITY_TABLE,MATCH($F287,TIER_LIST,0),1))*(IF((9-$I287+1)&lt;=0,0,IF((9-$I287+1)=1,RAMP_W1,IF((9-$I287+1)=2,RAMP_W2,IF((9-$I287+1)=3,RAMP_W3,RAMP_W4PLUS)))))*(INDEX(ACTIVE_MULT_TABLE,1,1))*(1+SUMPRODUCT(SIGN(((ACT_DOOR_SCOPE="ALL")+(ACT_DOOR_SCOPE="TIER_"&amp;$F287)+(ACT_DOOR_SCOPE=$B287)))*SIGN(((ACT_SKU_SCOPE="ALL")+(ACT_SKU_SCOPE=$G287)))*(ACT_START&lt;=9)*(ACT_END&gt;=9)*IFERROR(ACT_UPLIFT-1,0)))*(1+SUMPRODUCT(SIGN(((ACT_DOOR_SCOPE="ALL")+(ACT_DOOR_SCOPE="TIER_"&amp;$F287)+(ACT_DOOR_SCOPE=$B287)))*SIGN(((ACT_SKU_SCOPE="ALL")+(ACT_SKU_SCOPE=$G287)))*(9&gt;ACT_END)*(ACT_END&gt;0)*IFERROR(ACT_POSTLIFT,0))),0)))</f>
        <v/>
      </c>
      <c r="S287" s="10">
        <f>IF(OR($H287&lt;&gt;"Y",10&lt;$I287),0,IF(SUMPRODUCT(((BULK_ENABLED="Y")*((BULK_TIER="ALL")+(BULK_TIER=$F287))*((BULK_SKU="ALL")+(BULK_SKU=$G287))*(BULK_START&lt;=10)*(BULK_END&gt;=10)))&gt;0,IFERROR(SUMPRODUCT(((BULK_ENABLED="Y")*((BULK_TIER="ALL")+(BULK_TIER=$F287))*((BULK_SKU="ALL")+(BULK_SKU=$G287))*(BULK_START&lt;=10)*(BULK_END&gt;=10))*IFERROR(BULK_VALUE,0))/MAX(1,SUMPRODUCT(((BULK_ENABLED="Y")*((BULK_TIER="ALL")+(BULK_TIER=$F287))*((BULK_SKU="ALL")+(BULK_SKU=$G287))*(BULK_START&lt;=10)*(BULK_END&gt;=10)))),0),ROUND((INDEX(VELOCITY_TABLE,MATCH($F287,TIER_LIST,0),1))*(IF((10-$I287+1)&lt;=0,0,IF((10-$I287+1)=1,RAMP_W1,IF((10-$I287+1)=2,RAMP_W2,IF((10-$I287+1)=3,RAMP_W3,RAMP_W4PLUS)))))*(INDEX(ACTIVE_MULT_TABLE,1,1))*(1+SUMPRODUCT(SIGN(((ACT_DOOR_SCOPE="ALL")+(ACT_DOOR_SCOPE="TIER_"&amp;$F287)+(ACT_DOOR_SCOPE=$B287)))*SIGN(((ACT_SKU_SCOPE="ALL")+(ACT_SKU_SCOPE=$G287)))*(ACT_START&lt;=10)*(ACT_END&gt;=10)*IFERROR(ACT_UPLIFT-1,0)))*(1+SUMPRODUCT(SIGN(((ACT_DOOR_SCOPE="ALL")+(ACT_DOOR_SCOPE="TIER_"&amp;$F287)+(ACT_DOOR_SCOPE=$B287)))*SIGN(((ACT_SKU_SCOPE="ALL")+(ACT_SKU_SCOPE=$G287)))*(10&gt;ACT_END)*(ACT_END&gt;0)*IFERROR(ACT_POSTLIFT,0))),0)))</f>
        <v/>
      </c>
      <c r="T287" s="10">
        <f>IF(OR($H287&lt;&gt;"Y",11&lt;$I287),0,IF(SUMPRODUCT(((BULK_ENABLED="Y")*((BULK_TIER="ALL")+(BULK_TIER=$F287))*((BULK_SKU="ALL")+(BULK_SKU=$G287))*(BULK_START&lt;=11)*(BULK_END&gt;=11)))&gt;0,IFERROR(SUMPRODUCT(((BULK_ENABLED="Y")*((BULK_TIER="ALL")+(BULK_TIER=$F287))*((BULK_SKU="ALL")+(BULK_SKU=$G287))*(BULK_START&lt;=11)*(BULK_END&gt;=11))*IFERROR(BULK_VALUE,0))/MAX(1,SUMPRODUCT(((BULK_ENABLED="Y")*((BULK_TIER="ALL")+(BULK_TIER=$F287))*((BULK_SKU="ALL")+(BULK_SKU=$G287))*(BULK_START&lt;=11)*(BULK_END&gt;=11)))),0),ROUND((INDEX(VELOCITY_TABLE,MATCH($F287,TIER_LIST,0),1))*(IF((11-$I287+1)&lt;=0,0,IF((11-$I287+1)=1,RAMP_W1,IF((11-$I287+1)=2,RAMP_W2,IF((11-$I287+1)=3,RAMP_W3,RAMP_W4PLUS)))))*(INDEX(ACTIVE_MULT_TABLE,1,1))*(1+SUMPRODUCT(SIGN(((ACT_DOOR_SCOPE="ALL")+(ACT_DOOR_SCOPE="TIER_"&amp;$F287)+(ACT_DOOR_SCOPE=$B287)))*SIGN(((ACT_SKU_SCOPE="ALL")+(ACT_SKU_SCOPE=$G287)))*(ACT_START&lt;=11)*(ACT_END&gt;=11)*IFERROR(ACT_UPLIFT-1,0)))*(1+SUMPRODUCT(SIGN(((ACT_DOOR_SCOPE="ALL")+(ACT_DOOR_SCOPE="TIER_"&amp;$F287)+(ACT_DOOR_SCOPE=$B287)))*SIGN(((ACT_SKU_SCOPE="ALL")+(ACT_SKU_SCOPE=$G287)))*(11&gt;ACT_END)*(ACT_END&gt;0)*IFERROR(ACT_POSTLIFT,0))),0)))</f>
        <v/>
      </c>
      <c r="U287" s="10">
        <f>IF(OR($H287&lt;&gt;"Y",12&lt;$I287),0,IF(SUMPRODUCT(((BULK_ENABLED="Y")*((BULK_TIER="ALL")+(BULK_TIER=$F287))*((BULK_SKU="ALL")+(BULK_SKU=$G287))*(BULK_START&lt;=12)*(BULK_END&gt;=12)))&gt;0,IFERROR(SUMPRODUCT(((BULK_ENABLED="Y")*((BULK_TIER="ALL")+(BULK_TIER=$F287))*((BULK_SKU="ALL")+(BULK_SKU=$G287))*(BULK_START&lt;=12)*(BULK_END&gt;=12))*IFERROR(BULK_VALUE,0))/MAX(1,SUMPRODUCT(((BULK_ENABLED="Y")*((BULK_TIER="ALL")+(BULK_TIER=$F287))*((BULK_SKU="ALL")+(BULK_SKU=$G287))*(BULK_START&lt;=12)*(BULK_END&gt;=12)))),0),ROUND((INDEX(VELOCITY_TABLE,MATCH($F287,TIER_LIST,0),1))*(IF((12-$I287+1)&lt;=0,0,IF((12-$I287+1)=1,RAMP_W1,IF((12-$I287+1)=2,RAMP_W2,IF((12-$I287+1)=3,RAMP_W3,RAMP_W4PLUS)))))*(INDEX(ACTIVE_MULT_TABLE,1,1))*(1+SUMPRODUCT(SIGN(((ACT_DOOR_SCOPE="ALL")+(ACT_DOOR_SCOPE="TIER_"&amp;$F287)+(ACT_DOOR_SCOPE=$B287)))*SIGN(((ACT_SKU_SCOPE="ALL")+(ACT_SKU_SCOPE=$G287)))*(ACT_START&lt;=12)*(ACT_END&gt;=12)*IFERROR(ACT_UPLIFT-1,0)))*(1+SUMPRODUCT(SIGN(((ACT_DOOR_SCOPE="ALL")+(ACT_DOOR_SCOPE="TIER_"&amp;$F287)+(ACT_DOOR_SCOPE=$B287)))*SIGN(((ACT_SKU_SCOPE="ALL")+(ACT_SKU_SCOPE=$G287)))*(12&gt;ACT_END)*(ACT_END&gt;0)*IFERROR(ACT_POSTLIFT,0))),0)))</f>
        <v/>
      </c>
      <c r="V287" s="10">
        <f>IF(OR($H287&lt;&gt;"Y",13&lt;$I287),0,IF(SUMPRODUCT(((BULK_ENABLED="Y")*((BULK_TIER="ALL")+(BULK_TIER=$F287))*((BULK_SKU="ALL")+(BULK_SKU=$G287))*(BULK_START&lt;=13)*(BULK_END&gt;=13)))&gt;0,IFERROR(SUMPRODUCT(((BULK_ENABLED="Y")*((BULK_TIER="ALL")+(BULK_TIER=$F287))*((BULK_SKU="ALL")+(BULK_SKU=$G287))*(BULK_START&lt;=13)*(BULK_END&gt;=13))*IFERROR(BULK_VALUE,0))/MAX(1,SUMPRODUCT(((BULK_ENABLED="Y")*((BULK_TIER="ALL")+(BULK_TIER=$F287))*((BULK_SKU="ALL")+(BULK_SKU=$G287))*(BULK_START&lt;=13)*(BULK_END&gt;=13)))),0),ROUND((INDEX(VELOCITY_TABLE,MATCH($F287,TIER_LIST,0),1))*(IF((13-$I287+1)&lt;=0,0,IF((13-$I287+1)=1,RAMP_W1,IF((13-$I287+1)=2,RAMP_W2,IF((13-$I287+1)=3,RAMP_W3,RAMP_W4PLUS)))))*(INDEX(ACTIVE_MULT_TABLE,1,1))*(1+SUMPRODUCT(SIGN(((ACT_DOOR_SCOPE="ALL")+(ACT_DOOR_SCOPE="TIER_"&amp;$F287)+(ACT_DOOR_SCOPE=$B287)))*SIGN(((ACT_SKU_SCOPE="ALL")+(ACT_SKU_SCOPE=$G287)))*(ACT_START&lt;=13)*(ACT_END&gt;=13)*IFERROR(ACT_UPLIFT-1,0)))*(1+SUMPRODUCT(SIGN(((ACT_DOOR_SCOPE="ALL")+(ACT_DOOR_SCOPE="TIER_"&amp;$F287)+(ACT_DOOR_SCOPE=$B287)))*SIGN(((ACT_SKU_SCOPE="ALL")+(ACT_SKU_SCOPE=$G287)))*(13&gt;ACT_END)*(ACT_END&gt;0)*IFERROR(ACT_POSTLIFT,0))),0)))</f>
        <v/>
      </c>
    </row>
    <row r="288">
      <c r="A288" t="inlineStr">
        <is>
          <t>R0284</t>
        </is>
      </c>
      <c r="B288">
        <f>Doors!$A$99</f>
        <v/>
      </c>
      <c r="C288">
        <f>Doors!$C$99</f>
        <v/>
      </c>
      <c r="D288">
        <f>Doors!$B$99</f>
        <v/>
      </c>
      <c r="E288">
        <f>Doors!$E$99</f>
        <v/>
      </c>
      <c r="F288">
        <f>Doors!$F$99</f>
        <v/>
      </c>
      <c r="G288" t="inlineStr">
        <is>
          <t>Pineapple Passion Fruit</t>
        </is>
      </c>
      <c r="H288">
        <f>Doors!$H$99</f>
        <v/>
      </c>
      <c r="I288">
        <f>Doors!$J$99</f>
        <v/>
      </c>
      <c r="J288" s="10">
        <f>IF(OR($H288&lt;&gt;"Y",1&lt;$I288),0,IF(SUMPRODUCT(((BULK_ENABLED="Y")*((BULK_TIER="ALL")+(BULK_TIER=$F288))*((BULK_SKU="ALL")+(BULK_SKU=$G288))*(BULK_START&lt;=1)*(BULK_END&gt;=1)))&gt;0,IFERROR(SUMPRODUCT(((BULK_ENABLED="Y")*((BULK_TIER="ALL")+(BULK_TIER=$F288))*((BULK_SKU="ALL")+(BULK_SKU=$G288))*(BULK_START&lt;=1)*(BULK_END&gt;=1))*IFERROR(BULK_VALUE,0))/MAX(1,SUMPRODUCT(((BULK_ENABLED="Y")*((BULK_TIER="ALL")+(BULK_TIER=$F288))*((BULK_SKU="ALL")+(BULK_SKU=$G288))*(BULK_START&lt;=1)*(BULK_END&gt;=1)))),0),ROUND((INDEX(VELOCITY_TABLE,MATCH($F288,TIER_LIST,0),2))*(IF((1-$I288+1)&lt;=0,0,IF((1-$I288+1)=1,RAMP_W1,IF((1-$I288+1)=2,RAMP_W2,IF((1-$I288+1)=3,RAMP_W3,RAMP_W4PLUS)))))*(INDEX(ACTIVE_MULT_TABLE,2,1))*(1+SUMPRODUCT(SIGN(((ACT_DOOR_SCOPE="ALL")+(ACT_DOOR_SCOPE="TIER_"&amp;$F288)+(ACT_DOOR_SCOPE=$B288)))*SIGN(((ACT_SKU_SCOPE="ALL")+(ACT_SKU_SCOPE=$G288)))*(ACT_START&lt;=1)*(ACT_END&gt;=1)*IFERROR(ACT_UPLIFT-1,0)))*(1+SUMPRODUCT(SIGN(((ACT_DOOR_SCOPE="ALL")+(ACT_DOOR_SCOPE="TIER_"&amp;$F288)+(ACT_DOOR_SCOPE=$B288)))*SIGN(((ACT_SKU_SCOPE="ALL")+(ACT_SKU_SCOPE=$G288)))*(1&gt;ACT_END)*(ACT_END&gt;0)*IFERROR(ACT_POSTLIFT,0))),0)))</f>
        <v/>
      </c>
      <c r="K288" s="10">
        <f>IF(OR($H288&lt;&gt;"Y",2&lt;$I288),0,IF(SUMPRODUCT(((BULK_ENABLED="Y")*((BULK_TIER="ALL")+(BULK_TIER=$F288))*((BULK_SKU="ALL")+(BULK_SKU=$G288))*(BULK_START&lt;=2)*(BULK_END&gt;=2)))&gt;0,IFERROR(SUMPRODUCT(((BULK_ENABLED="Y")*((BULK_TIER="ALL")+(BULK_TIER=$F288))*((BULK_SKU="ALL")+(BULK_SKU=$G288))*(BULK_START&lt;=2)*(BULK_END&gt;=2))*IFERROR(BULK_VALUE,0))/MAX(1,SUMPRODUCT(((BULK_ENABLED="Y")*((BULK_TIER="ALL")+(BULK_TIER=$F288))*((BULK_SKU="ALL")+(BULK_SKU=$G288))*(BULK_START&lt;=2)*(BULK_END&gt;=2)))),0),ROUND((INDEX(VELOCITY_TABLE,MATCH($F288,TIER_LIST,0),2))*(IF((2-$I288+1)&lt;=0,0,IF((2-$I288+1)=1,RAMP_W1,IF((2-$I288+1)=2,RAMP_W2,IF((2-$I288+1)=3,RAMP_W3,RAMP_W4PLUS)))))*(INDEX(ACTIVE_MULT_TABLE,2,1))*(1+SUMPRODUCT(SIGN(((ACT_DOOR_SCOPE="ALL")+(ACT_DOOR_SCOPE="TIER_"&amp;$F288)+(ACT_DOOR_SCOPE=$B288)))*SIGN(((ACT_SKU_SCOPE="ALL")+(ACT_SKU_SCOPE=$G288)))*(ACT_START&lt;=2)*(ACT_END&gt;=2)*IFERROR(ACT_UPLIFT-1,0)))*(1+SUMPRODUCT(SIGN(((ACT_DOOR_SCOPE="ALL")+(ACT_DOOR_SCOPE="TIER_"&amp;$F288)+(ACT_DOOR_SCOPE=$B288)))*SIGN(((ACT_SKU_SCOPE="ALL")+(ACT_SKU_SCOPE=$G288)))*(2&gt;ACT_END)*(ACT_END&gt;0)*IFERROR(ACT_POSTLIFT,0))),0)))</f>
        <v/>
      </c>
      <c r="L288" s="10">
        <f>IF(OR($H288&lt;&gt;"Y",3&lt;$I288),0,IF(SUMPRODUCT(((BULK_ENABLED="Y")*((BULK_TIER="ALL")+(BULK_TIER=$F288))*((BULK_SKU="ALL")+(BULK_SKU=$G288))*(BULK_START&lt;=3)*(BULK_END&gt;=3)))&gt;0,IFERROR(SUMPRODUCT(((BULK_ENABLED="Y")*((BULK_TIER="ALL")+(BULK_TIER=$F288))*((BULK_SKU="ALL")+(BULK_SKU=$G288))*(BULK_START&lt;=3)*(BULK_END&gt;=3))*IFERROR(BULK_VALUE,0))/MAX(1,SUMPRODUCT(((BULK_ENABLED="Y")*((BULK_TIER="ALL")+(BULK_TIER=$F288))*((BULK_SKU="ALL")+(BULK_SKU=$G288))*(BULK_START&lt;=3)*(BULK_END&gt;=3)))),0),ROUND((INDEX(VELOCITY_TABLE,MATCH($F288,TIER_LIST,0),2))*(IF((3-$I288+1)&lt;=0,0,IF((3-$I288+1)=1,RAMP_W1,IF((3-$I288+1)=2,RAMP_W2,IF((3-$I288+1)=3,RAMP_W3,RAMP_W4PLUS)))))*(INDEX(ACTIVE_MULT_TABLE,2,1))*(1+SUMPRODUCT(SIGN(((ACT_DOOR_SCOPE="ALL")+(ACT_DOOR_SCOPE="TIER_"&amp;$F288)+(ACT_DOOR_SCOPE=$B288)))*SIGN(((ACT_SKU_SCOPE="ALL")+(ACT_SKU_SCOPE=$G288)))*(ACT_START&lt;=3)*(ACT_END&gt;=3)*IFERROR(ACT_UPLIFT-1,0)))*(1+SUMPRODUCT(SIGN(((ACT_DOOR_SCOPE="ALL")+(ACT_DOOR_SCOPE="TIER_"&amp;$F288)+(ACT_DOOR_SCOPE=$B288)))*SIGN(((ACT_SKU_SCOPE="ALL")+(ACT_SKU_SCOPE=$G288)))*(3&gt;ACT_END)*(ACT_END&gt;0)*IFERROR(ACT_POSTLIFT,0))),0)))</f>
        <v/>
      </c>
      <c r="M288" s="10">
        <f>IF(OR($H288&lt;&gt;"Y",4&lt;$I288),0,IF(SUMPRODUCT(((BULK_ENABLED="Y")*((BULK_TIER="ALL")+(BULK_TIER=$F288))*((BULK_SKU="ALL")+(BULK_SKU=$G288))*(BULK_START&lt;=4)*(BULK_END&gt;=4)))&gt;0,IFERROR(SUMPRODUCT(((BULK_ENABLED="Y")*((BULK_TIER="ALL")+(BULK_TIER=$F288))*((BULK_SKU="ALL")+(BULK_SKU=$G288))*(BULK_START&lt;=4)*(BULK_END&gt;=4))*IFERROR(BULK_VALUE,0))/MAX(1,SUMPRODUCT(((BULK_ENABLED="Y")*((BULK_TIER="ALL")+(BULK_TIER=$F288))*((BULK_SKU="ALL")+(BULK_SKU=$G288))*(BULK_START&lt;=4)*(BULK_END&gt;=4)))),0),ROUND((INDEX(VELOCITY_TABLE,MATCH($F288,TIER_LIST,0),2))*(IF((4-$I288+1)&lt;=0,0,IF((4-$I288+1)=1,RAMP_W1,IF((4-$I288+1)=2,RAMP_W2,IF((4-$I288+1)=3,RAMP_W3,RAMP_W4PLUS)))))*(INDEX(ACTIVE_MULT_TABLE,2,1))*(1+SUMPRODUCT(SIGN(((ACT_DOOR_SCOPE="ALL")+(ACT_DOOR_SCOPE="TIER_"&amp;$F288)+(ACT_DOOR_SCOPE=$B288)))*SIGN(((ACT_SKU_SCOPE="ALL")+(ACT_SKU_SCOPE=$G288)))*(ACT_START&lt;=4)*(ACT_END&gt;=4)*IFERROR(ACT_UPLIFT-1,0)))*(1+SUMPRODUCT(SIGN(((ACT_DOOR_SCOPE="ALL")+(ACT_DOOR_SCOPE="TIER_"&amp;$F288)+(ACT_DOOR_SCOPE=$B288)))*SIGN(((ACT_SKU_SCOPE="ALL")+(ACT_SKU_SCOPE=$G288)))*(4&gt;ACT_END)*(ACT_END&gt;0)*IFERROR(ACT_POSTLIFT,0))),0)))</f>
        <v/>
      </c>
      <c r="N288" s="10">
        <f>IF(OR($H288&lt;&gt;"Y",5&lt;$I288),0,IF(SUMPRODUCT(((BULK_ENABLED="Y")*((BULK_TIER="ALL")+(BULK_TIER=$F288))*((BULK_SKU="ALL")+(BULK_SKU=$G288))*(BULK_START&lt;=5)*(BULK_END&gt;=5)))&gt;0,IFERROR(SUMPRODUCT(((BULK_ENABLED="Y")*((BULK_TIER="ALL")+(BULK_TIER=$F288))*((BULK_SKU="ALL")+(BULK_SKU=$G288))*(BULK_START&lt;=5)*(BULK_END&gt;=5))*IFERROR(BULK_VALUE,0))/MAX(1,SUMPRODUCT(((BULK_ENABLED="Y")*((BULK_TIER="ALL")+(BULK_TIER=$F288))*((BULK_SKU="ALL")+(BULK_SKU=$G288))*(BULK_START&lt;=5)*(BULK_END&gt;=5)))),0),ROUND((INDEX(VELOCITY_TABLE,MATCH($F288,TIER_LIST,0),2))*(IF((5-$I288+1)&lt;=0,0,IF((5-$I288+1)=1,RAMP_W1,IF((5-$I288+1)=2,RAMP_W2,IF((5-$I288+1)=3,RAMP_W3,RAMP_W4PLUS)))))*(INDEX(ACTIVE_MULT_TABLE,2,1))*(1+SUMPRODUCT(SIGN(((ACT_DOOR_SCOPE="ALL")+(ACT_DOOR_SCOPE="TIER_"&amp;$F288)+(ACT_DOOR_SCOPE=$B288)))*SIGN(((ACT_SKU_SCOPE="ALL")+(ACT_SKU_SCOPE=$G288)))*(ACT_START&lt;=5)*(ACT_END&gt;=5)*IFERROR(ACT_UPLIFT-1,0)))*(1+SUMPRODUCT(SIGN(((ACT_DOOR_SCOPE="ALL")+(ACT_DOOR_SCOPE="TIER_"&amp;$F288)+(ACT_DOOR_SCOPE=$B288)))*SIGN(((ACT_SKU_SCOPE="ALL")+(ACT_SKU_SCOPE=$G288)))*(5&gt;ACT_END)*(ACT_END&gt;0)*IFERROR(ACT_POSTLIFT,0))),0)))</f>
        <v/>
      </c>
      <c r="O288" s="10">
        <f>IF(OR($H288&lt;&gt;"Y",6&lt;$I288),0,IF(SUMPRODUCT(((BULK_ENABLED="Y")*((BULK_TIER="ALL")+(BULK_TIER=$F288))*((BULK_SKU="ALL")+(BULK_SKU=$G288))*(BULK_START&lt;=6)*(BULK_END&gt;=6)))&gt;0,IFERROR(SUMPRODUCT(((BULK_ENABLED="Y")*((BULK_TIER="ALL")+(BULK_TIER=$F288))*((BULK_SKU="ALL")+(BULK_SKU=$G288))*(BULK_START&lt;=6)*(BULK_END&gt;=6))*IFERROR(BULK_VALUE,0))/MAX(1,SUMPRODUCT(((BULK_ENABLED="Y")*((BULK_TIER="ALL")+(BULK_TIER=$F288))*((BULK_SKU="ALL")+(BULK_SKU=$G288))*(BULK_START&lt;=6)*(BULK_END&gt;=6)))),0),ROUND((INDEX(VELOCITY_TABLE,MATCH($F288,TIER_LIST,0),2))*(IF((6-$I288+1)&lt;=0,0,IF((6-$I288+1)=1,RAMP_W1,IF((6-$I288+1)=2,RAMP_W2,IF((6-$I288+1)=3,RAMP_W3,RAMP_W4PLUS)))))*(INDEX(ACTIVE_MULT_TABLE,2,1))*(1+SUMPRODUCT(SIGN(((ACT_DOOR_SCOPE="ALL")+(ACT_DOOR_SCOPE="TIER_"&amp;$F288)+(ACT_DOOR_SCOPE=$B288)))*SIGN(((ACT_SKU_SCOPE="ALL")+(ACT_SKU_SCOPE=$G288)))*(ACT_START&lt;=6)*(ACT_END&gt;=6)*IFERROR(ACT_UPLIFT-1,0)))*(1+SUMPRODUCT(SIGN(((ACT_DOOR_SCOPE="ALL")+(ACT_DOOR_SCOPE="TIER_"&amp;$F288)+(ACT_DOOR_SCOPE=$B288)))*SIGN(((ACT_SKU_SCOPE="ALL")+(ACT_SKU_SCOPE=$G288)))*(6&gt;ACT_END)*(ACT_END&gt;0)*IFERROR(ACT_POSTLIFT,0))),0)))</f>
        <v/>
      </c>
      <c r="P288" s="10">
        <f>IF(OR($H288&lt;&gt;"Y",7&lt;$I288),0,IF(SUMPRODUCT(((BULK_ENABLED="Y")*((BULK_TIER="ALL")+(BULK_TIER=$F288))*((BULK_SKU="ALL")+(BULK_SKU=$G288))*(BULK_START&lt;=7)*(BULK_END&gt;=7)))&gt;0,IFERROR(SUMPRODUCT(((BULK_ENABLED="Y")*((BULK_TIER="ALL")+(BULK_TIER=$F288))*((BULK_SKU="ALL")+(BULK_SKU=$G288))*(BULK_START&lt;=7)*(BULK_END&gt;=7))*IFERROR(BULK_VALUE,0))/MAX(1,SUMPRODUCT(((BULK_ENABLED="Y")*((BULK_TIER="ALL")+(BULK_TIER=$F288))*((BULK_SKU="ALL")+(BULK_SKU=$G288))*(BULK_START&lt;=7)*(BULK_END&gt;=7)))),0),ROUND((INDEX(VELOCITY_TABLE,MATCH($F288,TIER_LIST,0),2))*(IF((7-$I288+1)&lt;=0,0,IF((7-$I288+1)=1,RAMP_W1,IF((7-$I288+1)=2,RAMP_W2,IF((7-$I288+1)=3,RAMP_W3,RAMP_W4PLUS)))))*(INDEX(ACTIVE_MULT_TABLE,2,1))*(1+SUMPRODUCT(SIGN(((ACT_DOOR_SCOPE="ALL")+(ACT_DOOR_SCOPE="TIER_"&amp;$F288)+(ACT_DOOR_SCOPE=$B288)))*SIGN(((ACT_SKU_SCOPE="ALL")+(ACT_SKU_SCOPE=$G288)))*(ACT_START&lt;=7)*(ACT_END&gt;=7)*IFERROR(ACT_UPLIFT-1,0)))*(1+SUMPRODUCT(SIGN(((ACT_DOOR_SCOPE="ALL")+(ACT_DOOR_SCOPE="TIER_"&amp;$F288)+(ACT_DOOR_SCOPE=$B288)))*SIGN(((ACT_SKU_SCOPE="ALL")+(ACT_SKU_SCOPE=$G288)))*(7&gt;ACT_END)*(ACT_END&gt;0)*IFERROR(ACT_POSTLIFT,0))),0)))</f>
        <v/>
      </c>
      <c r="Q288" s="10">
        <f>IF(OR($H288&lt;&gt;"Y",8&lt;$I288),0,IF(SUMPRODUCT(((BULK_ENABLED="Y")*((BULK_TIER="ALL")+(BULK_TIER=$F288))*((BULK_SKU="ALL")+(BULK_SKU=$G288))*(BULK_START&lt;=8)*(BULK_END&gt;=8)))&gt;0,IFERROR(SUMPRODUCT(((BULK_ENABLED="Y")*((BULK_TIER="ALL")+(BULK_TIER=$F288))*((BULK_SKU="ALL")+(BULK_SKU=$G288))*(BULK_START&lt;=8)*(BULK_END&gt;=8))*IFERROR(BULK_VALUE,0))/MAX(1,SUMPRODUCT(((BULK_ENABLED="Y")*((BULK_TIER="ALL")+(BULK_TIER=$F288))*((BULK_SKU="ALL")+(BULK_SKU=$G288))*(BULK_START&lt;=8)*(BULK_END&gt;=8)))),0),ROUND((INDEX(VELOCITY_TABLE,MATCH($F288,TIER_LIST,0),2))*(IF((8-$I288+1)&lt;=0,0,IF((8-$I288+1)=1,RAMP_W1,IF((8-$I288+1)=2,RAMP_W2,IF((8-$I288+1)=3,RAMP_W3,RAMP_W4PLUS)))))*(INDEX(ACTIVE_MULT_TABLE,2,1))*(1+SUMPRODUCT(SIGN(((ACT_DOOR_SCOPE="ALL")+(ACT_DOOR_SCOPE="TIER_"&amp;$F288)+(ACT_DOOR_SCOPE=$B288)))*SIGN(((ACT_SKU_SCOPE="ALL")+(ACT_SKU_SCOPE=$G288)))*(ACT_START&lt;=8)*(ACT_END&gt;=8)*IFERROR(ACT_UPLIFT-1,0)))*(1+SUMPRODUCT(SIGN(((ACT_DOOR_SCOPE="ALL")+(ACT_DOOR_SCOPE="TIER_"&amp;$F288)+(ACT_DOOR_SCOPE=$B288)))*SIGN(((ACT_SKU_SCOPE="ALL")+(ACT_SKU_SCOPE=$G288)))*(8&gt;ACT_END)*(ACT_END&gt;0)*IFERROR(ACT_POSTLIFT,0))),0)))</f>
        <v/>
      </c>
      <c r="R288" s="10">
        <f>IF(OR($H288&lt;&gt;"Y",9&lt;$I288),0,IF(SUMPRODUCT(((BULK_ENABLED="Y")*((BULK_TIER="ALL")+(BULK_TIER=$F288))*((BULK_SKU="ALL")+(BULK_SKU=$G288))*(BULK_START&lt;=9)*(BULK_END&gt;=9)))&gt;0,IFERROR(SUMPRODUCT(((BULK_ENABLED="Y")*((BULK_TIER="ALL")+(BULK_TIER=$F288))*((BULK_SKU="ALL")+(BULK_SKU=$G288))*(BULK_START&lt;=9)*(BULK_END&gt;=9))*IFERROR(BULK_VALUE,0))/MAX(1,SUMPRODUCT(((BULK_ENABLED="Y")*((BULK_TIER="ALL")+(BULK_TIER=$F288))*((BULK_SKU="ALL")+(BULK_SKU=$G288))*(BULK_START&lt;=9)*(BULK_END&gt;=9)))),0),ROUND((INDEX(VELOCITY_TABLE,MATCH($F288,TIER_LIST,0),2))*(IF((9-$I288+1)&lt;=0,0,IF((9-$I288+1)=1,RAMP_W1,IF((9-$I288+1)=2,RAMP_W2,IF((9-$I288+1)=3,RAMP_W3,RAMP_W4PLUS)))))*(INDEX(ACTIVE_MULT_TABLE,2,1))*(1+SUMPRODUCT(SIGN(((ACT_DOOR_SCOPE="ALL")+(ACT_DOOR_SCOPE="TIER_"&amp;$F288)+(ACT_DOOR_SCOPE=$B288)))*SIGN(((ACT_SKU_SCOPE="ALL")+(ACT_SKU_SCOPE=$G288)))*(ACT_START&lt;=9)*(ACT_END&gt;=9)*IFERROR(ACT_UPLIFT-1,0)))*(1+SUMPRODUCT(SIGN(((ACT_DOOR_SCOPE="ALL")+(ACT_DOOR_SCOPE="TIER_"&amp;$F288)+(ACT_DOOR_SCOPE=$B288)))*SIGN(((ACT_SKU_SCOPE="ALL")+(ACT_SKU_SCOPE=$G288)))*(9&gt;ACT_END)*(ACT_END&gt;0)*IFERROR(ACT_POSTLIFT,0))),0)))</f>
        <v/>
      </c>
      <c r="S288" s="10">
        <f>IF(OR($H288&lt;&gt;"Y",10&lt;$I288),0,IF(SUMPRODUCT(((BULK_ENABLED="Y")*((BULK_TIER="ALL")+(BULK_TIER=$F288))*((BULK_SKU="ALL")+(BULK_SKU=$G288))*(BULK_START&lt;=10)*(BULK_END&gt;=10)))&gt;0,IFERROR(SUMPRODUCT(((BULK_ENABLED="Y")*((BULK_TIER="ALL")+(BULK_TIER=$F288))*((BULK_SKU="ALL")+(BULK_SKU=$G288))*(BULK_START&lt;=10)*(BULK_END&gt;=10))*IFERROR(BULK_VALUE,0))/MAX(1,SUMPRODUCT(((BULK_ENABLED="Y")*((BULK_TIER="ALL")+(BULK_TIER=$F288))*((BULK_SKU="ALL")+(BULK_SKU=$G288))*(BULK_START&lt;=10)*(BULK_END&gt;=10)))),0),ROUND((INDEX(VELOCITY_TABLE,MATCH($F288,TIER_LIST,0),2))*(IF((10-$I288+1)&lt;=0,0,IF((10-$I288+1)=1,RAMP_W1,IF((10-$I288+1)=2,RAMP_W2,IF((10-$I288+1)=3,RAMP_W3,RAMP_W4PLUS)))))*(INDEX(ACTIVE_MULT_TABLE,2,1))*(1+SUMPRODUCT(SIGN(((ACT_DOOR_SCOPE="ALL")+(ACT_DOOR_SCOPE="TIER_"&amp;$F288)+(ACT_DOOR_SCOPE=$B288)))*SIGN(((ACT_SKU_SCOPE="ALL")+(ACT_SKU_SCOPE=$G288)))*(ACT_START&lt;=10)*(ACT_END&gt;=10)*IFERROR(ACT_UPLIFT-1,0)))*(1+SUMPRODUCT(SIGN(((ACT_DOOR_SCOPE="ALL")+(ACT_DOOR_SCOPE="TIER_"&amp;$F288)+(ACT_DOOR_SCOPE=$B288)))*SIGN(((ACT_SKU_SCOPE="ALL")+(ACT_SKU_SCOPE=$G288)))*(10&gt;ACT_END)*(ACT_END&gt;0)*IFERROR(ACT_POSTLIFT,0))),0)))</f>
        <v/>
      </c>
      <c r="T288" s="10">
        <f>IF(OR($H288&lt;&gt;"Y",11&lt;$I288),0,IF(SUMPRODUCT(((BULK_ENABLED="Y")*((BULK_TIER="ALL")+(BULK_TIER=$F288))*((BULK_SKU="ALL")+(BULK_SKU=$G288))*(BULK_START&lt;=11)*(BULK_END&gt;=11)))&gt;0,IFERROR(SUMPRODUCT(((BULK_ENABLED="Y")*((BULK_TIER="ALL")+(BULK_TIER=$F288))*((BULK_SKU="ALL")+(BULK_SKU=$G288))*(BULK_START&lt;=11)*(BULK_END&gt;=11))*IFERROR(BULK_VALUE,0))/MAX(1,SUMPRODUCT(((BULK_ENABLED="Y")*((BULK_TIER="ALL")+(BULK_TIER=$F288))*((BULK_SKU="ALL")+(BULK_SKU=$G288))*(BULK_START&lt;=11)*(BULK_END&gt;=11)))),0),ROUND((INDEX(VELOCITY_TABLE,MATCH($F288,TIER_LIST,0),2))*(IF((11-$I288+1)&lt;=0,0,IF((11-$I288+1)=1,RAMP_W1,IF((11-$I288+1)=2,RAMP_W2,IF((11-$I288+1)=3,RAMP_W3,RAMP_W4PLUS)))))*(INDEX(ACTIVE_MULT_TABLE,2,1))*(1+SUMPRODUCT(SIGN(((ACT_DOOR_SCOPE="ALL")+(ACT_DOOR_SCOPE="TIER_"&amp;$F288)+(ACT_DOOR_SCOPE=$B288)))*SIGN(((ACT_SKU_SCOPE="ALL")+(ACT_SKU_SCOPE=$G288)))*(ACT_START&lt;=11)*(ACT_END&gt;=11)*IFERROR(ACT_UPLIFT-1,0)))*(1+SUMPRODUCT(SIGN(((ACT_DOOR_SCOPE="ALL")+(ACT_DOOR_SCOPE="TIER_"&amp;$F288)+(ACT_DOOR_SCOPE=$B288)))*SIGN(((ACT_SKU_SCOPE="ALL")+(ACT_SKU_SCOPE=$G288)))*(11&gt;ACT_END)*(ACT_END&gt;0)*IFERROR(ACT_POSTLIFT,0))),0)))</f>
        <v/>
      </c>
      <c r="U288" s="10">
        <f>IF(OR($H288&lt;&gt;"Y",12&lt;$I288),0,IF(SUMPRODUCT(((BULK_ENABLED="Y")*((BULK_TIER="ALL")+(BULK_TIER=$F288))*((BULK_SKU="ALL")+(BULK_SKU=$G288))*(BULK_START&lt;=12)*(BULK_END&gt;=12)))&gt;0,IFERROR(SUMPRODUCT(((BULK_ENABLED="Y")*((BULK_TIER="ALL")+(BULK_TIER=$F288))*((BULK_SKU="ALL")+(BULK_SKU=$G288))*(BULK_START&lt;=12)*(BULK_END&gt;=12))*IFERROR(BULK_VALUE,0))/MAX(1,SUMPRODUCT(((BULK_ENABLED="Y")*((BULK_TIER="ALL")+(BULK_TIER=$F288))*((BULK_SKU="ALL")+(BULK_SKU=$G288))*(BULK_START&lt;=12)*(BULK_END&gt;=12)))),0),ROUND((INDEX(VELOCITY_TABLE,MATCH($F288,TIER_LIST,0),2))*(IF((12-$I288+1)&lt;=0,0,IF((12-$I288+1)=1,RAMP_W1,IF((12-$I288+1)=2,RAMP_W2,IF((12-$I288+1)=3,RAMP_W3,RAMP_W4PLUS)))))*(INDEX(ACTIVE_MULT_TABLE,2,1))*(1+SUMPRODUCT(SIGN(((ACT_DOOR_SCOPE="ALL")+(ACT_DOOR_SCOPE="TIER_"&amp;$F288)+(ACT_DOOR_SCOPE=$B288)))*SIGN(((ACT_SKU_SCOPE="ALL")+(ACT_SKU_SCOPE=$G288)))*(ACT_START&lt;=12)*(ACT_END&gt;=12)*IFERROR(ACT_UPLIFT-1,0)))*(1+SUMPRODUCT(SIGN(((ACT_DOOR_SCOPE="ALL")+(ACT_DOOR_SCOPE="TIER_"&amp;$F288)+(ACT_DOOR_SCOPE=$B288)))*SIGN(((ACT_SKU_SCOPE="ALL")+(ACT_SKU_SCOPE=$G288)))*(12&gt;ACT_END)*(ACT_END&gt;0)*IFERROR(ACT_POSTLIFT,0))),0)))</f>
        <v/>
      </c>
      <c r="V288" s="10">
        <f>IF(OR($H288&lt;&gt;"Y",13&lt;$I288),0,IF(SUMPRODUCT(((BULK_ENABLED="Y")*((BULK_TIER="ALL")+(BULK_TIER=$F288))*((BULK_SKU="ALL")+(BULK_SKU=$G288))*(BULK_START&lt;=13)*(BULK_END&gt;=13)))&gt;0,IFERROR(SUMPRODUCT(((BULK_ENABLED="Y")*((BULK_TIER="ALL")+(BULK_TIER=$F288))*((BULK_SKU="ALL")+(BULK_SKU=$G288))*(BULK_START&lt;=13)*(BULK_END&gt;=13))*IFERROR(BULK_VALUE,0))/MAX(1,SUMPRODUCT(((BULK_ENABLED="Y")*((BULK_TIER="ALL")+(BULK_TIER=$F288))*((BULK_SKU="ALL")+(BULK_SKU=$G288))*(BULK_START&lt;=13)*(BULK_END&gt;=13)))),0),ROUND((INDEX(VELOCITY_TABLE,MATCH($F288,TIER_LIST,0),2))*(IF((13-$I288+1)&lt;=0,0,IF((13-$I288+1)=1,RAMP_W1,IF((13-$I288+1)=2,RAMP_W2,IF((13-$I288+1)=3,RAMP_W3,RAMP_W4PLUS)))))*(INDEX(ACTIVE_MULT_TABLE,2,1))*(1+SUMPRODUCT(SIGN(((ACT_DOOR_SCOPE="ALL")+(ACT_DOOR_SCOPE="TIER_"&amp;$F288)+(ACT_DOOR_SCOPE=$B288)))*SIGN(((ACT_SKU_SCOPE="ALL")+(ACT_SKU_SCOPE=$G288)))*(ACT_START&lt;=13)*(ACT_END&gt;=13)*IFERROR(ACT_UPLIFT-1,0)))*(1+SUMPRODUCT(SIGN(((ACT_DOOR_SCOPE="ALL")+(ACT_DOOR_SCOPE="TIER_"&amp;$F288)+(ACT_DOOR_SCOPE=$B288)))*SIGN(((ACT_SKU_SCOPE="ALL")+(ACT_SKU_SCOPE=$G288)))*(13&gt;ACT_END)*(ACT_END&gt;0)*IFERROR(ACT_POSTLIFT,0))),0)))</f>
        <v/>
      </c>
    </row>
    <row r="289">
      <c r="A289" t="inlineStr">
        <is>
          <t>R0285</t>
        </is>
      </c>
      <c r="B289">
        <f>Doors!$A$99</f>
        <v/>
      </c>
      <c r="C289">
        <f>Doors!$C$99</f>
        <v/>
      </c>
      <c r="D289">
        <f>Doors!$B$99</f>
        <v/>
      </c>
      <c r="E289">
        <f>Doors!$E$99</f>
        <v/>
      </c>
      <c r="F289">
        <f>Doors!$F$99</f>
        <v/>
      </c>
      <c r="G289" t="inlineStr">
        <is>
          <t>Raspberry</t>
        </is>
      </c>
      <c r="H289">
        <f>Doors!$I$99</f>
        <v/>
      </c>
      <c r="I289">
        <f>Doors!$J$99</f>
        <v/>
      </c>
      <c r="J289" s="10">
        <f>IF(OR($H289&lt;&gt;"Y",1&lt;$I289),0,IF(SUMPRODUCT(((BULK_ENABLED="Y")*((BULK_TIER="ALL")+(BULK_TIER=$F289))*((BULK_SKU="ALL")+(BULK_SKU=$G289))*(BULK_START&lt;=1)*(BULK_END&gt;=1)))&gt;0,IFERROR(SUMPRODUCT(((BULK_ENABLED="Y")*((BULK_TIER="ALL")+(BULK_TIER=$F289))*((BULK_SKU="ALL")+(BULK_SKU=$G289))*(BULK_START&lt;=1)*(BULK_END&gt;=1))*IFERROR(BULK_VALUE,0))/MAX(1,SUMPRODUCT(((BULK_ENABLED="Y")*((BULK_TIER="ALL")+(BULK_TIER=$F289))*((BULK_SKU="ALL")+(BULK_SKU=$G289))*(BULK_START&lt;=1)*(BULK_END&gt;=1)))),0),ROUND((INDEX(VELOCITY_TABLE,MATCH($F289,TIER_LIST,0),3))*(IF((1-$I289+1)&lt;=0,0,IF((1-$I289+1)=1,RAMP_W1,IF((1-$I289+1)=2,RAMP_W2,IF((1-$I289+1)=3,RAMP_W3,RAMP_W4PLUS)))))*(INDEX(ACTIVE_MULT_TABLE,3,1))*(1+SUMPRODUCT(SIGN(((ACT_DOOR_SCOPE="ALL")+(ACT_DOOR_SCOPE="TIER_"&amp;$F289)+(ACT_DOOR_SCOPE=$B289)))*SIGN(((ACT_SKU_SCOPE="ALL")+(ACT_SKU_SCOPE=$G289)))*(ACT_START&lt;=1)*(ACT_END&gt;=1)*IFERROR(ACT_UPLIFT-1,0)))*(1+SUMPRODUCT(SIGN(((ACT_DOOR_SCOPE="ALL")+(ACT_DOOR_SCOPE="TIER_"&amp;$F289)+(ACT_DOOR_SCOPE=$B289)))*SIGN(((ACT_SKU_SCOPE="ALL")+(ACT_SKU_SCOPE=$G289)))*(1&gt;ACT_END)*(ACT_END&gt;0)*IFERROR(ACT_POSTLIFT,0))),0)))</f>
        <v/>
      </c>
      <c r="K289" s="10">
        <f>IF(OR($H289&lt;&gt;"Y",2&lt;$I289),0,IF(SUMPRODUCT(((BULK_ENABLED="Y")*((BULK_TIER="ALL")+(BULK_TIER=$F289))*((BULK_SKU="ALL")+(BULK_SKU=$G289))*(BULK_START&lt;=2)*(BULK_END&gt;=2)))&gt;0,IFERROR(SUMPRODUCT(((BULK_ENABLED="Y")*((BULK_TIER="ALL")+(BULK_TIER=$F289))*((BULK_SKU="ALL")+(BULK_SKU=$G289))*(BULK_START&lt;=2)*(BULK_END&gt;=2))*IFERROR(BULK_VALUE,0))/MAX(1,SUMPRODUCT(((BULK_ENABLED="Y")*((BULK_TIER="ALL")+(BULK_TIER=$F289))*((BULK_SKU="ALL")+(BULK_SKU=$G289))*(BULK_START&lt;=2)*(BULK_END&gt;=2)))),0),ROUND((INDEX(VELOCITY_TABLE,MATCH($F289,TIER_LIST,0),3))*(IF((2-$I289+1)&lt;=0,0,IF((2-$I289+1)=1,RAMP_W1,IF((2-$I289+1)=2,RAMP_W2,IF((2-$I289+1)=3,RAMP_W3,RAMP_W4PLUS)))))*(INDEX(ACTIVE_MULT_TABLE,3,1))*(1+SUMPRODUCT(SIGN(((ACT_DOOR_SCOPE="ALL")+(ACT_DOOR_SCOPE="TIER_"&amp;$F289)+(ACT_DOOR_SCOPE=$B289)))*SIGN(((ACT_SKU_SCOPE="ALL")+(ACT_SKU_SCOPE=$G289)))*(ACT_START&lt;=2)*(ACT_END&gt;=2)*IFERROR(ACT_UPLIFT-1,0)))*(1+SUMPRODUCT(SIGN(((ACT_DOOR_SCOPE="ALL")+(ACT_DOOR_SCOPE="TIER_"&amp;$F289)+(ACT_DOOR_SCOPE=$B289)))*SIGN(((ACT_SKU_SCOPE="ALL")+(ACT_SKU_SCOPE=$G289)))*(2&gt;ACT_END)*(ACT_END&gt;0)*IFERROR(ACT_POSTLIFT,0))),0)))</f>
        <v/>
      </c>
      <c r="L289" s="10">
        <f>IF(OR($H289&lt;&gt;"Y",3&lt;$I289),0,IF(SUMPRODUCT(((BULK_ENABLED="Y")*((BULK_TIER="ALL")+(BULK_TIER=$F289))*((BULK_SKU="ALL")+(BULK_SKU=$G289))*(BULK_START&lt;=3)*(BULK_END&gt;=3)))&gt;0,IFERROR(SUMPRODUCT(((BULK_ENABLED="Y")*((BULK_TIER="ALL")+(BULK_TIER=$F289))*((BULK_SKU="ALL")+(BULK_SKU=$G289))*(BULK_START&lt;=3)*(BULK_END&gt;=3))*IFERROR(BULK_VALUE,0))/MAX(1,SUMPRODUCT(((BULK_ENABLED="Y")*((BULK_TIER="ALL")+(BULK_TIER=$F289))*((BULK_SKU="ALL")+(BULK_SKU=$G289))*(BULK_START&lt;=3)*(BULK_END&gt;=3)))),0),ROUND((INDEX(VELOCITY_TABLE,MATCH($F289,TIER_LIST,0),3))*(IF((3-$I289+1)&lt;=0,0,IF((3-$I289+1)=1,RAMP_W1,IF((3-$I289+1)=2,RAMP_W2,IF((3-$I289+1)=3,RAMP_W3,RAMP_W4PLUS)))))*(INDEX(ACTIVE_MULT_TABLE,3,1))*(1+SUMPRODUCT(SIGN(((ACT_DOOR_SCOPE="ALL")+(ACT_DOOR_SCOPE="TIER_"&amp;$F289)+(ACT_DOOR_SCOPE=$B289)))*SIGN(((ACT_SKU_SCOPE="ALL")+(ACT_SKU_SCOPE=$G289)))*(ACT_START&lt;=3)*(ACT_END&gt;=3)*IFERROR(ACT_UPLIFT-1,0)))*(1+SUMPRODUCT(SIGN(((ACT_DOOR_SCOPE="ALL")+(ACT_DOOR_SCOPE="TIER_"&amp;$F289)+(ACT_DOOR_SCOPE=$B289)))*SIGN(((ACT_SKU_SCOPE="ALL")+(ACT_SKU_SCOPE=$G289)))*(3&gt;ACT_END)*(ACT_END&gt;0)*IFERROR(ACT_POSTLIFT,0))),0)))</f>
        <v/>
      </c>
      <c r="M289" s="10">
        <f>IF(OR($H289&lt;&gt;"Y",4&lt;$I289),0,IF(SUMPRODUCT(((BULK_ENABLED="Y")*((BULK_TIER="ALL")+(BULK_TIER=$F289))*((BULK_SKU="ALL")+(BULK_SKU=$G289))*(BULK_START&lt;=4)*(BULK_END&gt;=4)))&gt;0,IFERROR(SUMPRODUCT(((BULK_ENABLED="Y")*((BULK_TIER="ALL")+(BULK_TIER=$F289))*((BULK_SKU="ALL")+(BULK_SKU=$G289))*(BULK_START&lt;=4)*(BULK_END&gt;=4))*IFERROR(BULK_VALUE,0))/MAX(1,SUMPRODUCT(((BULK_ENABLED="Y")*((BULK_TIER="ALL")+(BULK_TIER=$F289))*((BULK_SKU="ALL")+(BULK_SKU=$G289))*(BULK_START&lt;=4)*(BULK_END&gt;=4)))),0),ROUND((INDEX(VELOCITY_TABLE,MATCH($F289,TIER_LIST,0),3))*(IF((4-$I289+1)&lt;=0,0,IF((4-$I289+1)=1,RAMP_W1,IF((4-$I289+1)=2,RAMP_W2,IF((4-$I289+1)=3,RAMP_W3,RAMP_W4PLUS)))))*(INDEX(ACTIVE_MULT_TABLE,3,1))*(1+SUMPRODUCT(SIGN(((ACT_DOOR_SCOPE="ALL")+(ACT_DOOR_SCOPE="TIER_"&amp;$F289)+(ACT_DOOR_SCOPE=$B289)))*SIGN(((ACT_SKU_SCOPE="ALL")+(ACT_SKU_SCOPE=$G289)))*(ACT_START&lt;=4)*(ACT_END&gt;=4)*IFERROR(ACT_UPLIFT-1,0)))*(1+SUMPRODUCT(SIGN(((ACT_DOOR_SCOPE="ALL")+(ACT_DOOR_SCOPE="TIER_"&amp;$F289)+(ACT_DOOR_SCOPE=$B289)))*SIGN(((ACT_SKU_SCOPE="ALL")+(ACT_SKU_SCOPE=$G289)))*(4&gt;ACT_END)*(ACT_END&gt;0)*IFERROR(ACT_POSTLIFT,0))),0)))</f>
        <v/>
      </c>
      <c r="N289" s="10">
        <f>IF(OR($H289&lt;&gt;"Y",5&lt;$I289),0,IF(SUMPRODUCT(((BULK_ENABLED="Y")*((BULK_TIER="ALL")+(BULK_TIER=$F289))*((BULK_SKU="ALL")+(BULK_SKU=$G289))*(BULK_START&lt;=5)*(BULK_END&gt;=5)))&gt;0,IFERROR(SUMPRODUCT(((BULK_ENABLED="Y")*((BULK_TIER="ALL")+(BULK_TIER=$F289))*((BULK_SKU="ALL")+(BULK_SKU=$G289))*(BULK_START&lt;=5)*(BULK_END&gt;=5))*IFERROR(BULK_VALUE,0))/MAX(1,SUMPRODUCT(((BULK_ENABLED="Y")*((BULK_TIER="ALL")+(BULK_TIER=$F289))*((BULK_SKU="ALL")+(BULK_SKU=$G289))*(BULK_START&lt;=5)*(BULK_END&gt;=5)))),0),ROUND((INDEX(VELOCITY_TABLE,MATCH($F289,TIER_LIST,0),3))*(IF((5-$I289+1)&lt;=0,0,IF((5-$I289+1)=1,RAMP_W1,IF((5-$I289+1)=2,RAMP_W2,IF((5-$I289+1)=3,RAMP_W3,RAMP_W4PLUS)))))*(INDEX(ACTIVE_MULT_TABLE,3,1))*(1+SUMPRODUCT(SIGN(((ACT_DOOR_SCOPE="ALL")+(ACT_DOOR_SCOPE="TIER_"&amp;$F289)+(ACT_DOOR_SCOPE=$B289)))*SIGN(((ACT_SKU_SCOPE="ALL")+(ACT_SKU_SCOPE=$G289)))*(ACT_START&lt;=5)*(ACT_END&gt;=5)*IFERROR(ACT_UPLIFT-1,0)))*(1+SUMPRODUCT(SIGN(((ACT_DOOR_SCOPE="ALL")+(ACT_DOOR_SCOPE="TIER_"&amp;$F289)+(ACT_DOOR_SCOPE=$B289)))*SIGN(((ACT_SKU_SCOPE="ALL")+(ACT_SKU_SCOPE=$G289)))*(5&gt;ACT_END)*(ACT_END&gt;0)*IFERROR(ACT_POSTLIFT,0))),0)))</f>
        <v/>
      </c>
      <c r="O289" s="10">
        <f>IF(OR($H289&lt;&gt;"Y",6&lt;$I289),0,IF(SUMPRODUCT(((BULK_ENABLED="Y")*((BULK_TIER="ALL")+(BULK_TIER=$F289))*((BULK_SKU="ALL")+(BULK_SKU=$G289))*(BULK_START&lt;=6)*(BULK_END&gt;=6)))&gt;0,IFERROR(SUMPRODUCT(((BULK_ENABLED="Y")*((BULK_TIER="ALL")+(BULK_TIER=$F289))*((BULK_SKU="ALL")+(BULK_SKU=$G289))*(BULK_START&lt;=6)*(BULK_END&gt;=6))*IFERROR(BULK_VALUE,0))/MAX(1,SUMPRODUCT(((BULK_ENABLED="Y")*((BULK_TIER="ALL")+(BULK_TIER=$F289))*((BULK_SKU="ALL")+(BULK_SKU=$G289))*(BULK_START&lt;=6)*(BULK_END&gt;=6)))),0),ROUND((INDEX(VELOCITY_TABLE,MATCH($F289,TIER_LIST,0),3))*(IF((6-$I289+1)&lt;=0,0,IF((6-$I289+1)=1,RAMP_W1,IF((6-$I289+1)=2,RAMP_W2,IF((6-$I289+1)=3,RAMP_W3,RAMP_W4PLUS)))))*(INDEX(ACTIVE_MULT_TABLE,3,1))*(1+SUMPRODUCT(SIGN(((ACT_DOOR_SCOPE="ALL")+(ACT_DOOR_SCOPE="TIER_"&amp;$F289)+(ACT_DOOR_SCOPE=$B289)))*SIGN(((ACT_SKU_SCOPE="ALL")+(ACT_SKU_SCOPE=$G289)))*(ACT_START&lt;=6)*(ACT_END&gt;=6)*IFERROR(ACT_UPLIFT-1,0)))*(1+SUMPRODUCT(SIGN(((ACT_DOOR_SCOPE="ALL")+(ACT_DOOR_SCOPE="TIER_"&amp;$F289)+(ACT_DOOR_SCOPE=$B289)))*SIGN(((ACT_SKU_SCOPE="ALL")+(ACT_SKU_SCOPE=$G289)))*(6&gt;ACT_END)*(ACT_END&gt;0)*IFERROR(ACT_POSTLIFT,0))),0)))</f>
        <v/>
      </c>
      <c r="P289" s="10">
        <f>IF(OR($H289&lt;&gt;"Y",7&lt;$I289),0,IF(SUMPRODUCT(((BULK_ENABLED="Y")*((BULK_TIER="ALL")+(BULK_TIER=$F289))*((BULK_SKU="ALL")+(BULK_SKU=$G289))*(BULK_START&lt;=7)*(BULK_END&gt;=7)))&gt;0,IFERROR(SUMPRODUCT(((BULK_ENABLED="Y")*((BULK_TIER="ALL")+(BULK_TIER=$F289))*((BULK_SKU="ALL")+(BULK_SKU=$G289))*(BULK_START&lt;=7)*(BULK_END&gt;=7))*IFERROR(BULK_VALUE,0))/MAX(1,SUMPRODUCT(((BULK_ENABLED="Y")*((BULK_TIER="ALL")+(BULK_TIER=$F289))*((BULK_SKU="ALL")+(BULK_SKU=$G289))*(BULK_START&lt;=7)*(BULK_END&gt;=7)))),0),ROUND((INDEX(VELOCITY_TABLE,MATCH($F289,TIER_LIST,0),3))*(IF((7-$I289+1)&lt;=0,0,IF((7-$I289+1)=1,RAMP_W1,IF((7-$I289+1)=2,RAMP_W2,IF((7-$I289+1)=3,RAMP_W3,RAMP_W4PLUS)))))*(INDEX(ACTIVE_MULT_TABLE,3,1))*(1+SUMPRODUCT(SIGN(((ACT_DOOR_SCOPE="ALL")+(ACT_DOOR_SCOPE="TIER_"&amp;$F289)+(ACT_DOOR_SCOPE=$B289)))*SIGN(((ACT_SKU_SCOPE="ALL")+(ACT_SKU_SCOPE=$G289)))*(ACT_START&lt;=7)*(ACT_END&gt;=7)*IFERROR(ACT_UPLIFT-1,0)))*(1+SUMPRODUCT(SIGN(((ACT_DOOR_SCOPE="ALL")+(ACT_DOOR_SCOPE="TIER_"&amp;$F289)+(ACT_DOOR_SCOPE=$B289)))*SIGN(((ACT_SKU_SCOPE="ALL")+(ACT_SKU_SCOPE=$G289)))*(7&gt;ACT_END)*(ACT_END&gt;0)*IFERROR(ACT_POSTLIFT,0))),0)))</f>
        <v/>
      </c>
      <c r="Q289" s="10">
        <f>IF(OR($H289&lt;&gt;"Y",8&lt;$I289),0,IF(SUMPRODUCT(((BULK_ENABLED="Y")*((BULK_TIER="ALL")+(BULK_TIER=$F289))*((BULK_SKU="ALL")+(BULK_SKU=$G289))*(BULK_START&lt;=8)*(BULK_END&gt;=8)))&gt;0,IFERROR(SUMPRODUCT(((BULK_ENABLED="Y")*((BULK_TIER="ALL")+(BULK_TIER=$F289))*((BULK_SKU="ALL")+(BULK_SKU=$G289))*(BULK_START&lt;=8)*(BULK_END&gt;=8))*IFERROR(BULK_VALUE,0))/MAX(1,SUMPRODUCT(((BULK_ENABLED="Y")*((BULK_TIER="ALL")+(BULK_TIER=$F289))*((BULK_SKU="ALL")+(BULK_SKU=$G289))*(BULK_START&lt;=8)*(BULK_END&gt;=8)))),0),ROUND((INDEX(VELOCITY_TABLE,MATCH($F289,TIER_LIST,0),3))*(IF((8-$I289+1)&lt;=0,0,IF((8-$I289+1)=1,RAMP_W1,IF((8-$I289+1)=2,RAMP_W2,IF((8-$I289+1)=3,RAMP_W3,RAMP_W4PLUS)))))*(INDEX(ACTIVE_MULT_TABLE,3,1))*(1+SUMPRODUCT(SIGN(((ACT_DOOR_SCOPE="ALL")+(ACT_DOOR_SCOPE="TIER_"&amp;$F289)+(ACT_DOOR_SCOPE=$B289)))*SIGN(((ACT_SKU_SCOPE="ALL")+(ACT_SKU_SCOPE=$G289)))*(ACT_START&lt;=8)*(ACT_END&gt;=8)*IFERROR(ACT_UPLIFT-1,0)))*(1+SUMPRODUCT(SIGN(((ACT_DOOR_SCOPE="ALL")+(ACT_DOOR_SCOPE="TIER_"&amp;$F289)+(ACT_DOOR_SCOPE=$B289)))*SIGN(((ACT_SKU_SCOPE="ALL")+(ACT_SKU_SCOPE=$G289)))*(8&gt;ACT_END)*(ACT_END&gt;0)*IFERROR(ACT_POSTLIFT,0))),0)))</f>
        <v/>
      </c>
      <c r="R289" s="10">
        <f>IF(OR($H289&lt;&gt;"Y",9&lt;$I289),0,IF(SUMPRODUCT(((BULK_ENABLED="Y")*((BULK_TIER="ALL")+(BULK_TIER=$F289))*((BULK_SKU="ALL")+(BULK_SKU=$G289))*(BULK_START&lt;=9)*(BULK_END&gt;=9)))&gt;0,IFERROR(SUMPRODUCT(((BULK_ENABLED="Y")*((BULK_TIER="ALL")+(BULK_TIER=$F289))*((BULK_SKU="ALL")+(BULK_SKU=$G289))*(BULK_START&lt;=9)*(BULK_END&gt;=9))*IFERROR(BULK_VALUE,0))/MAX(1,SUMPRODUCT(((BULK_ENABLED="Y")*((BULK_TIER="ALL")+(BULK_TIER=$F289))*((BULK_SKU="ALL")+(BULK_SKU=$G289))*(BULK_START&lt;=9)*(BULK_END&gt;=9)))),0),ROUND((INDEX(VELOCITY_TABLE,MATCH($F289,TIER_LIST,0),3))*(IF((9-$I289+1)&lt;=0,0,IF((9-$I289+1)=1,RAMP_W1,IF((9-$I289+1)=2,RAMP_W2,IF((9-$I289+1)=3,RAMP_W3,RAMP_W4PLUS)))))*(INDEX(ACTIVE_MULT_TABLE,3,1))*(1+SUMPRODUCT(SIGN(((ACT_DOOR_SCOPE="ALL")+(ACT_DOOR_SCOPE="TIER_"&amp;$F289)+(ACT_DOOR_SCOPE=$B289)))*SIGN(((ACT_SKU_SCOPE="ALL")+(ACT_SKU_SCOPE=$G289)))*(ACT_START&lt;=9)*(ACT_END&gt;=9)*IFERROR(ACT_UPLIFT-1,0)))*(1+SUMPRODUCT(SIGN(((ACT_DOOR_SCOPE="ALL")+(ACT_DOOR_SCOPE="TIER_"&amp;$F289)+(ACT_DOOR_SCOPE=$B289)))*SIGN(((ACT_SKU_SCOPE="ALL")+(ACT_SKU_SCOPE=$G289)))*(9&gt;ACT_END)*(ACT_END&gt;0)*IFERROR(ACT_POSTLIFT,0))),0)))</f>
        <v/>
      </c>
      <c r="S289" s="10">
        <f>IF(OR($H289&lt;&gt;"Y",10&lt;$I289),0,IF(SUMPRODUCT(((BULK_ENABLED="Y")*((BULK_TIER="ALL")+(BULK_TIER=$F289))*((BULK_SKU="ALL")+(BULK_SKU=$G289))*(BULK_START&lt;=10)*(BULK_END&gt;=10)))&gt;0,IFERROR(SUMPRODUCT(((BULK_ENABLED="Y")*((BULK_TIER="ALL")+(BULK_TIER=$F289))*((BULK_SKU="ALL")+(BULK_SKU=$G289))*(BULK_START&lt;=10)*(BULK_END&gt;=10))*IFERROR(BULK_VALUE,0))/MAX(1,SUMPRODUCT(((BULK_ENABLED="Y")*((BULK_TIER="ALL")+(BULK_TIER=$F289))*((BULK_SKU="ALL")+(BULK_SKU=$G289))*(BULK_START&lt;=10)*(BULK_END&gt;=10)))),0),ROUND((INDEX(VELOCITY_TABLE,MATCH($F289,TIER_LIST,0),3))*(IF((10-$I289+1)&lt;=0,0,IF((10-$I289+1)=1,RAMP_W1,IF((10-$I289+1)=2,RAMP_W2,IF((10-$I289+1)=3,RAMP_W3,RAMP_W4PLUS)))))*(INDEX(ACTIVE_MULT_TABLE,3,1))*(1+SUMPRODUCT(SIGN(((ACT_DOOR_SCOPE="ALL")+(ACT_DOOR_SCOPE="TIER_"&amp;$F289)+(ACT_DOOR_SCOPE=$B289)))*SIGN(((ACT_SKU_SCOPE="ALL")+(ACT_SKU_SCOPE=$G289)))*(ACT_START&lt;=10)*(ACT_END&gt;=10)*IFERROR(ACT_UPLIFT-1,0)))*(1+SUMPRODUCT(SIGN(((ACT_DOOR_SCOPE="ALL")+(ACT_DOOR_SCOPE="TIER_"&amp;$F289)+(ACT_DOOR_SCOPE=$B289)))*SIGN(((ACT_SKU_SCOPE="ALL")+(ACT_SKU_SCOPE=$G289)))*(10&gt;ACT_END)*(ACT_END&gt;0)*IFERROR(ACT_POSTLIFT,0))),0)))</f>
        <v/>
      </c>
      <c r="T289" s="10">
        <f>IF(OR($H289&lt;&gt;"Y",11&lt;$I289),0,IF(SUMPRODUCT(((BULK_ENABLED="Y")*((BULK_TIER="ALL")+(BULK_TIER=$F289))*((BULK_SKU="ALL")+(BULK_SKU=$G289))*(BULK_START&lt;=11)*(BULK_END&gt;=11)))&gt;0,IFERROR(SUMPRODUCT(((BULK_ENABLED="Y")*((BULK_TIER="ALL")+(BULK_TIER=$F289))*((BULK_SKU="ALL")+(BULK_SKU=$G289))*(BULK_START&lt;=11)*(BULK_END&gt;=11))*IFERROR(BULK_VALUE,0))/MAX(1,SUMPRODUCT(((BULK_ENABLED="Y")*((BULK_TIER="ALL")+(BULK_TIER=$F289))*((BULK_SKU="ALL")+(BULK_SKU=$G289))*(BULK_START&lt;=11)*(BULK_END&gt;=11)))),0),ROUND((INDEX(VELOCITY_TABLE,MATCH($F289,TIER_LIST,0),3))*(IF((11-$I289+1)&lt;=0,0,IF((11-$I289+1)=1,RAMP_W1,IF((11-$I289+1)=2,RAMP_W2,IF((11-$I289+1)=3,RAMP_W3,RAMP_W4PLUS)))))*(INDEX(ACTIVE_MULT_TABLE,3,1))*(1+SUMPRODUCT(SIGN(((ACT_DOOR_SCOPE="ALL")+(ACT_DOOR_SCOPE="TIER_"&amp;$F289)+(ACT_DOOR_SCOPE=$B289)))*SIGN(((ACT_SKU_SCOPE="ALL")+(ACT_SKU_SCOPE=$G289)))*(ACT_START&lt;=11)*(ACT_END&gt;=11)*IFERROR(ACT_UPLIFT-1,0)))*(1+SUMPRODUCT(SIGN(((ACT_DOOR_SCOPE="ALL")+(ACT_DOOR_SCOPE="TIER_"&amp;$F289)+(ACT_DOOR_SCOPE=$B289)))*SIGN(((ACT_SKU_SCOPE="ALL")+(ACT_SKU_SCOPE=$G289)))*(11&gt;ACT_END)*(ACT_END&gt;0)*IFERROR(ACT_POSTLIFT,0))),0)))</f>
        <v/>
      </c>
      <c r="U289" s="10">
        <f>IF(OR($H289&lt;&gt;"Y",12&lt;$I289),0,IF(SUMPRODUCT(((BULK_ENABLED="Y")*((BULK_TIER="ALL")+(BULK_TIER=$F289))*((BULK_SKU="ALL")+(BULK_SKU=$G289))*(BULK_START&lt;=12)*(BULK_END&gt;=12)))&gt;0,IFERROR(SUMPRODUCT(((BULK_ENABLED="Y")*((BULK_TIER="ALL")+(BULK_TIER=$F289))*((BULK_SKU="ALL")+(BULK_SKU=$G289))*(BULK_START&lt;=12)*(BULK_END&gt;=12))*IFERROR(BULK_VALUE,0))/MAX(1,SUMPRODUCT(((BULK_ENABLED="Y")*((BULK_TIER="ALL")+(BULK_TIER=$F289))*((BULK_SKU="ALL")+(BULK_SKU=$G289))*(BULK_START&lt;=12)*(BULK_END&gt;=12)))),0),ROUND((INDEX(VELOCITY_TABLE,MATCH($F289,TIER_LIST,0),3))*(IF((12-$I289+1)&lt;=0,0,IF((12-$I289+1)=1,RAMP_W1,IF((12-$I289+1)=2,RAMP_W2,IF((12-$I289+1)=3,RAMP_W3,RAMP_W4PLUS)))))*(INDEX(ACTIVE_MULT_TABLE,3,1))*(1+SUMPRODUCT(SIGN(((ACT_DOOR_SCOPE="ALL")+(ACT_DOOR_SCOPE="TIER_"&amp;$F289)+(ACT_DOOR_SCOPE=$B289)))*SIGN(((ACT_SKU_SCOPE="ALL")+(ACT_SKU_SCOPE=$G289)))*(ACT_START&lt;=12)*(ACT_END&gt;=12)*IFERROR(ACT_UPLIFT-1,0)))*(1+SUMPRODUCT(SIGN(((ACT_DOOR_SCOPE="ALL")+(ACT_DOOR_SCOPE="TIER_"&amp;$F289)+(ACT_DOOR_SCOPE=$B289)))*SIGN(((ACT_SKU_SCOPE="ALL")+(ACT_SKU_SCOPE=$G289)))*(12&gt;ACT_END)*(ACT_END&gt;0)*IFERROR(ACT_POSTLIFT,0))),0)))</f>
        <v/>
      </c>
      <c r="V289" s="10">
        <f>IF(OR($H289&lt;&gt;"Y",13&lt;$I289),0,IF(SUMPRODUCT(((BULK_ENABLED="Y")*((BULK_TIER="ALL")+(BULK_TIER=$F289))*((BULK_SKU="ALL")+(BULK_SKU=$G289))*(BULK_START&lt;=13)*(BULK_END&gt;=13)))&gt;0,IFERROR(SUMPRODUCT(((BULK_ENABLED="Y")*((BULK_TIER="ALL")+(BULK_TIER=$F289))*((BULK_SKU="ALL")+(BULK_SKU=$G289))*(BULK_START&lt;=13)*(BULK_END&gt;=13))*IFERROR(BULK_VALUE,0))/MAX(1,SUMPRODUCT(((BULK_ENABLED="Y")*((BULK_TIER="ALL")+(BULK_TIER=$F289))*((BULK_SKU="ALL")+(BULK_SKU=$G289))*(BULK_START&lt;=13)*(BULK_END&gt;=13)))),0),ROUND((INDEX(VELOCITY_TABLE,MATCH($F289,TIER_LIST,0),3))*(IF((13-$I289+1)&lt;=0,0,IF((13-$I289+1)=1,RAMP_W1,IF((13-$I289+1)=2,RAMP_W2,IF((13-$I289+1)=3,RAMP_W3,RAMP_W4PLUS)))))*(INDEX(ACTIVE_MULT_TABLE,3,1))*(1+SUMPRODUCT(SIGN(((ACT_DOOR_SCOPE="ALL")+(ACT_DOOR_SCOPE="TIER_"&amp;$F289)+(ACT_DOOR_SCOPE=$B289)))*SIGN(((ACT_SKU_SCOPE="ALL")+(ACT_SKU_SCOPE=$G289)))*(ACT_START&lt;=13)*(ACT_END&gt;=13)*IFERROR(ACT_UPLIFT-1,0)))*(1+SUMPRODUCT(SIGN(((ACT_DOOR_SCOPE="ALL")+(ACT_DOOR_SCOPE="TIER_"&amp;$F289)+(ACT_DOOR_SCOPE=$B289)))*SIGN(((ACT_SKU_SCOPE="ALL")+(ACT_SKU_SCOPE=$G289)))*(13&gt;ACT_END)*(ACT_END&gt;0)*IFERROR(ACT_POSTLIFT,0))),0)))</f>
        <v/>
      </c>
    </row>
    <row r="290">
      <c r="A290" t="inlineStr">
        <is>
          <t>R0286</t>
        </is>
      </c>
      <c r="B290">
        <f>Doors!$A$100</f>
        <v/>
      </c>
      <c r="C290">
        <f>Doors!$C$100</f>
        <v/>
      </c>
      <c r="D290">
        <f>Doors!$B$100</f>
        <v/>
      </c>
      <c r="E290">
        <f>Doors!$E$100</f>
        <v/>
      </c>
      <c r="F290">
        <f>Doors!$F$100</f>
        <v/>
      </c>
      <c r="G290" t="inlineStr">
        <is>
          <t>Lime Lemon</t>
        </is>
      </c>
      <c r="H290">
        <f>Doors!$G$100</f>
        <v/>
      </c>
      <c r="I290">
        <f>Doors!$J$100</f>
        <v/>
      </c>
      <c r="J290" s="10">
        <f>IF(OR($H290&lt;&gt;"Y",1&lt;$I290),0,IF(SUMPRODUCT(((BULK_ENABLED="Y")*((BULK_TIER="ALL")+(BULK_TIER=$F290))*((BULK_SKU="ALL")+(BULK_SKU=$G290))*(BULK_START&lt;=1)*(BULK_END&gt;=1)))&gt;0,IFERROR(SUMPRODUCT(((BULK_ENABLED="Y")*((BULK_TIER="ALL")+(BULK_TIER=$F290))*((BULK_SKU="ALL")+(BULK_SKU=$G290))*(BULK_START&lt;=1)*(BULK_END&gt;=1))*IFERROR(BULK_VALUE,0))/MAX(1,SUMPRODUCT(((BULK_ENABLED="Y")*((BULK_TIER="ALL")+(BULK_TIER=$F290))*((BULK_SKU="ALL")+(BULK_SKU=$G290))*(BULK_START&lt;=1)*(BULK_END&gt;=1)))),0),ROUND((INDEX(VELOCITY_TABLE,MATCH($F290,TIER_LIST,0),1))*(IF((1-$I290+1)&lt;=0,0,IF((1-$I290+1)=1,RAMP_W1,IF((1-$I290+1)=2,RAMP_W2,IF((1-$I290+1)=3,RAMP_W3,RAMP_W4PLUS)))))*(INDEX(ACTIVE_MULT_TABLE,1,1))*(1+SUMPRODUCT(SIGN(((ACT_DOOR_SCOPE="ALL")+(ACT_DOOR_SCOPE="TIER_"&amp;$F290)+(ACT_DOOR_SCOPE=$B290)))*SIGN(((ACT_SKU_SCOPE="ALL")+(ACT_SKU_SCOPE=$G290)))*(ACT_START&lt;=1)*(ACT_END&gt;=1)*IFERROR(ACT_UPLIFT-1,0)))*(1+SUMPRODUCT(SIGN(((ACT_DOOR_SCOPE="ALL")+(ACT_DOOR_SCOPE="TIER_"&amp;$F290)+(ACT_DOOR_SCOPE=$B290)))*SIGN(((ACT_SKU_SCOPE="ALL")+(ACT_SKU_SCOPE=$G290)))*(1&gt;ACT_END)*(ACT_END&gt;0)*IFERROR(ACT_POSTLIFT,0))),0)))</f>
        <v/>
      </c>
      <c r="K290" s="10">
        <f>IF(OR($H290&lt;&gt;"Y",2&lt;$I290),0,IF(SUMPRODUCT(((BULK_ENABLED="Y")*((BULK_TIER="ALL")+(BULK_TIER=$F290))*((BULK_SKU="ALL")+(BULK_SKU=$G290))*(BULK_START&lt;=2)*(BULK_END&gt;=2)))&gt;0,IFERROR(SUMPRODUCT(((BULK_ENABLED="Y")*((BULK_TIER="ALL")+(BULK_TIER=$F290))*((BULK_SKU="ALL")+(BULK_SKU=$G290))*(BULK_START&lt;=2)*(BULK_END&gt;=2))*IFERROR(BULK_VALUE,0))/MAX(1,SUMPRODUCT(((BULK_ENABLED="Y")*((BULK_TIER="ALL")+(BULK_TIER=$F290))*((BULK_SKU="ALL")+(BULK_SKU=$G290))*(BULK_START&lt;=2)*(BULK_END&gt;=2)))),0),ROUND((INDEX(VELOCITY_TABLE,MATCH($F290,TIER_LIST,0),1))*(IF((2-$I290+1)&lt;=0,0,IF((2-$I290+1)=1,RAMP_W1,IF((2-$I290+1)=2,RAMP_W2,IF((2-$I290+1)=3,RAMP_W3,RAMP_W4PLUS)))))*(INDEX(ACTIVE_MULT_TABLE,1,1))*(1+SUMPRODUCT(SIGN(((ACT_DOOR_SCOPE="ALL")+(ACT_DOOR_SCOPE="TIER_"&amp;$F290)+(ACT_DOOR_SCOPE=$B290)))*SIGN(((ACT_SKU_SCOPE="ALL")+(ACT_SKU_SCOPE=$G290)))*(ACT_START&lt;=2)*(ACT_END&gt;=2)*IFERROR(ACT_UPLIFT-1,0)))*(1+SUMPRODUCT(SIGN(((ACT_DOOR_SCOPE="ALL")+(ACT_DOOR_SCOPE="TIER_"&amp;$F290)+(ACT_DOOR_SCOPE=$B290)))*SIGN(((ACT_SKU_SCOPE="ALL")+(ACT_SKU_SCOPE=$G290)))*(2&gt;ACT_END)*(ACT_END&gt;0)*IFERROR(ACT_POSTLIFT,0))),0)))</f>
        <v/>
      </c>
      <c r="L290" s="10">
        <f>IF(OR($H290&lt;&gt;"Y",3&lt;$I290),0,IF(SUMPRODUCT(((BULK_ENABLED="Y")*((BULK_TIER="ALL")+(BULK_TIER=$F290))*((BULK_SKU="ALL")+(BULK_SKU=$G290))*(BULK_START&lt;=3)*(BULK_END&gt;=3)))&gt;0,IFERROR(SUMPRODUCT(((BULK_ENABLED="Y")*((BULK_TIER="ALL")+(BULK_TIER=$F290))*((BULK_SKU="ALL")+(BULK_SKU=$G290))*(BULK_START&lt;=3)*(BULK_END&gt;=3))*IFERROR(BULK_VALUE,0))/MAX(1,SUMPRODUCT(((BULK_ENABLED="Y")*((BULK_TIER="ALL")+(BULK_TIER=$F290))*((BULK_SKU="ALL")+(BULK_SKU=$G290))*(BULK_START&lt;=3)*(BULK_END&gt;=3)))),0),ROUND((INDEX(VELOCITY_TABLE,MATCH($F290,TIER_LIST,0),1))*(IF((3-$I290+1)&lt;=0,0,IF((3-$I290+1)=1,RAMP_W1,IF((3-$I290+1)=2,RAMP_W2,IF((3-$I290+1)=3,RAMP_W3,RAMP_W4PLUS)))))*(INDEX(ACTIVE_MULT_TABLE,1,1))*(1+SUMPRODUCT(SIGN(((ACT_DOOR_SCOPE="ALL")+(ACT_DOOR_SCOPE="TIER_"&amp;$F290)+(ACT_DOOR_SCOPE=$B290)))*SIGN(((ACT_SKU_SCOPE="ALL")+(ACT_SKU_SCOPE=$G290)))*(ACT_START&lt;=3)*(ACT_END&gt;=3)*IFERROR(ACT_UPLIFT-1,0)))*(1+SUMPRODUCT(SIGN(((ACT_DOOR_SCOPE="ALL")+(ACT_DOOR_SCOPE="TIER_"&amp;$F290)+(ACT_DOOR_SCOPE=$B290)))*SIGN(((ACT_SKU_SCOPE="ALL")+(ACT_SKU_SCOPE=$G290)))*(3&gt;ACT_END)*(ACT_END&gt;0)*IFERROR(ACT_POSTLIFT,0))),0)))</f>
        <v/>
      </c>
      <c r="M290" s="10">
        <f>IF(OR($H290&lt;&gt;"Y",4&lt;$I290),0,IF(SUMPRODUCT(((BULK_ENABLED="Y")*((BULK_TIER="ALL")+(BULK_TIER=$F290))*((BULK_SKU="ALL")+(BULK_SKU=$G290))*(BULK_START&lt;=4)*(BULK_END&gt;=4)))&gt;0,IFERROR(SUMPRODUCT(((BULK_ENABLED="Y")*((BULK_TIER="ALL")+(BULK_TIER=$F290))*((BULK_SKU="ALL")+(BULK_SKU=$G290))*(BULK_START&lt;=4)*(BULK_END&gt;=4))*IFERROR(BULK_VALUE,0))/MAX(1,SUMPRODUCT(((BULK_ENABLED="Y")*((BULK_TIER="ALL")+(BULK_TIER=$F290))*((BULK_SKU="ALL")+(BULK_SKU=$G290))*(BULK_START&lt;=4)*(BULK_END&gt;=4)))),0),ROUND((INDEX(VELOCITY_TABLE,MATCH($F290,TIER_LIST,0),1))*(IF((4-$I290+1)&lt;=0,0,IF((4-$I290+1)=1,RAMP_W1,IF((4-$I290+1)=2,RAMP_W2,IF((4-$I290+1)=3,RAMP_W3,RAMP_W4PLUS)))))*(INDEX(ACTIVE_MULT_TABLE,1,1))*(1+SUMPRODUCT(SIGN(((ACT_DOOR_SCOPE="ALL")+(ACT_DOOR_SCOPE="TIER_"&amp;$F290)+(ACT_DOOR_SCOPE=$B290)))*SIGN(((ACT_SKU_SCOPE="ALL")+(ACT_SKU_SCOPE=$G290)))*(ACT_START&lt;=4)*(ACT_END&gt;=4)*IFERROR(ACT_UPLIFT-1,0)))*(1+SUMPRODUCT(SIGN(((ACT_DOOR_SCOPE="ALL")+(ACT_DOOR_SCOPE="TIER_"&amp;$F290)+(ACT_DOOR_SCOPE=$B290)))*SIGN(((ACT_SKU_SCOPE="ALL")+(ACT_SKU_SCOPE=$G290)))*(4&gt;ACT_END)*(ACT_END&gt;0)*IFERROR(ACT_POSTLIFT,0))),0)))</f>
        <v/>
      </c>
      <c r="N290" s="10">
        <f>IF(OR($H290&lt;&gt;"Y",5&lt;$I290),0,IF(SUMPRODUCT(((BULK_ENABLED="Y")*((BULK_TIER="ALL")+(BULK_TIER=$F290))*((BULK_SKU="ALL")+(BULK_SKU=$G290))*(BULK_START&lt;=5)*(BULK_END&gt;=5)))&gt;0,IFERROR(SUMPRODUCT(((BULK_ENABLED="Y")*((BULK_TIER="ALL")+(BULK_TIER=$F290))*((BULK_SKU="ALL")+(BULK_SKU=$G290))*(BULK_START&lt;=5)*(BULK_END&gt;=5))*IFERROR(BULK_VALUE,0))/MAX(1,SUMPRODUCT(((BULK_ENABLED="Y")*((BULK_TIER="ALL")+(BULK_TIER=$F290))*((BULK_SKU="ALL")+(BULK_SKU=$G290))*(BULK_START&lt;=5)*(BULK_END&gt;=5)))),0),ROUND((INDEX(VELOCITY_TABLE,MATCH($F290,TIER_LIST,0),1))*(IF((5-$I290+1)&lt;=0,0,IF((5-$I290+1)=1,RAMP_W1,IF((5-$I290+1)=2,RAMP_W2,IF((5-$I290+1)=3,RAMP_W3,RAMP_W4PLUS)))))*(INDEX(ACTIVE_MULT_TABLE,1,1))*(1+SUMPRODUCT(SIGN(((ACT_DOOR_SCOPE="ALL")+(ACT_DOOR_SCOPE="TIER_"&amp;$F290)+(ACT_DOOR_SCOPE=$B290)))*SIGN(((ACT_SKU_SCOPE="ALL")+(ACT_SKU_SCOPE=$G290)))*(ACT_START&lt;=5)*(ACT_END&gt;=5)*IFERROR(ACT_UPLIFT-1,0)))*(1+SUMPRODUCT(SIGN(((ACT_DOOR_SCOPE="ALL")+(ACT_DOOR_SCOPE="TIER_"&amp;$F290)+(ACT_DOOR_SCOPE=$B290)))*SIGN(((ACT_SKU_SCOPE="ALL")+(ACT_SKU_SCOPE=$G290)))*(5&gt;ACT_END)*(ACT_END&gt;0)*IFERROR(ACT_POSTLIFT,0))),0)))</f>
        <v/>
      </c>
      <c r="O290" s="10">
        <f>IF(OR($H290&lt;&gt;"Y",6&lt;$I290),0,IF(SUMPRODUCT(((BULK_ENABLED="Y")*((BULK_TIER="ALL")+(BULK_TIER=$F290))*((BULK_SKU="ALL")+(BULK_SKU=$G290))*(BULK_START&lt;=6)*(BULK_END&gt;=6)))&gt;0,IFERROR(SUMPRODUCT(((BULK_ENABLED="Y")*((BULK_TIER="ALL")+(BULK_TIER=$F290))*((BULK_SKU="ALL")+(BULK_SKU=$G290))*(BULK_START&lt;=6)*(BULK_END&gt;=6))*IFERROR(BULK_VALUE,0))/MAX(1,SUMPRODUCT(((BULK_ENABLED="Y")*((BULK_TIER="ALL")+(BULK_TIER=$F290))*((BULK_SKU="ALL")+(BULK_SKU=$G290))*(BULK_START&lt;=6)*(BULK_END&gt;=6)))),0),ROUND((INDEX(VELOCITY_TABLE,MATCH($F290,TIER_LIST,0),1))*(IF((6-$I290+1)&lt;=0,0,IF((6-$I290+1)=1,RAMP_W1,IF((6-$I290+1)=2,RAMP_W2,IF((6-$I290+1)=3,RAMP_W3,RAMP_W4PLUS)))))*(INDEX(ACTIVE_MULT_TABLE,1,1))*(1+SUMPRODUCT(SIGN(((ACT_DOOR_SCOPE="ALL")+(ACT_DOOR_SCOPE="TIER_"&amp;$F290)+(ACT_DOOR_SCOPE=$B290)))*SIGN(((ACT_SKU_SCOPE="ALL")+(ACT_SKU_SCOPE=$G290)))*(ACT_START&lt;=6)*(ACT_END&gt;=6)*IFERROR(ACT_UPLIFT-1,0)))*(1+SUMPRODUCT(SIGN(((ACT_DOOR_SCOPE="ALL")+(ACT_DOOR_SCOPE="TIER_"&amp;$F290)+(ACT_DOOR_SCOPE=$B290)))*SIGN(((ACT_SKU_SCOPE="ALL")+(ACT_SKU_SCOPE=$G290)))*(6&gt;ACT_END)*(ACT_END&gt;0)*IFERROR(ACT_POSTLIFT,0))),0)))</f>
        <v/>
      </c>
      <c r="P290" s="10">
        <f>IF(OR($H290&lt;&gt;"Y",7&lt;$I290),0,IF(SUMPRODUCT(((BULK_ENABLED="Y")*((BULK_TIER="ALL")+(BULK_TIER=$F290))*((BULK_SKU="ALL")+(BULK_SKU=$G290))*(BULK_START&lt;=7)*(BULK_END&gt;=7)))&gt;0,IFERROR(SUMPRODUCT(((BULK_ENABLED="Y")*((BULK_TIER="ALL")+(BULK_TIER=$F290))*((BULK_SKU="ALL")+(BULK_SKU=$G290))*(BULK_START&lt;=7)*(BULK_END&gt;=7))*IFERROR(BULK_VALUE,0))/MAX(1,SUMPRODUCT(((BULK_ENABLED="Y")*((BULK_TIER="ALL")+(BULK_TIER=$F290))*((BULK_SKU="ALL")+(BULK_SKU=$G290))*(BULK_START&lt;=7)*(BULK_END&gt;=7)))),0),ROUND((INDEX(VELOCITY_TABLE,MATCH($F290,TIER_LIST,0),1))*(IF((7-$I290+1)&lt;=0,0,IF((7-$I290+1)=1,RAMP_W1,IF((7-$I290+1)=2,RAMP_W2,IF((7-$I290+1)=3,RAMP_W3,RAMP_W4PLUS)))))*(INDEX(ACTIVE_MULT_TABLE,1,1))*(1+SUMPRODUCT(SIGN(((ACT_DOOR_SCOPE="ALL")+(ACT_DOOR_SCOPE="TIER_"&amp;$F290)+(ACT_DOOR_SCOPE=$B290)))*SIGN(((ACT_SKU_SCOPE="ALL")+(ACT_SKU_SCOPE=$G290)))*(ACT_START&lt;=7)*(ACT_END&gt;=7)*IFERROR(ACT_UPLIFT-1,0)))*(1+SUMPRODUCT(SIGN(((ACT_DOOR_SCOPE="ALL")+(ACT_DOOR_SCOPE="TIER_"&amp;$F290)+(ACT_DOOR_SCOPE=$B290)))*SIGN(((ACT_SKU_SCOPE="ALL")+(ACT_SKU_SCOPE=$G290)))*(7&gt;ACT_END)*(ACT_END&gt;0)*IFERROR(ACT_POSTLIFT,0))),0)))</f>
        <v/>
      </c>
      <c r="Q290" s="10">
        <f>IF(OR($H290&lt;&gt;"Y",8&lt;$I290),0,IF(SUMPRODUCT(((BULK_ENABLED="Y")*((BULK_TIER="ALL")+(BULK_TIER=$F290))*((BULK_SKU="ALL")+(BULK_SKU=$G290))*(BULK_START&lt;=8)*(BULK_END&gt;=8)))&gt;0,IFERROR(SUMPRODUCT(((BULK_ENABLED="Y")*((BULK_TIER="ALL")+(BULK_TIER=$F290))*((BULK_SKU="ALL")+(BULK_SKU=$G290))*(BULK_START&lt;=8)*(BULK_END&gt;=8))*IFERROR(BULK_VALUE,0))/MAX(1,SUMPRODUCT(((BULK_ENABLED="Y")*((BULK_TIER="ALL")+(BULK_TIER=$F290))*((BULK_SKU="ALL")+(BULK_SKU=$G290))*(BULK_START&lt;=8)*(BULK_END&gt;=8)))),0),ROUND((INDEX(VELOCITY_TABLE,MATCH($F290,TIER_LIST,0),1))*(IF((8-$I290+1)&lt;=0,0,IF((8-$I290+1)=1,RAMP_W1,IF((8-$I290+1)=2,RAMP_W2,IF((8-$I290+1)=3,RAMP_W3,RAMP_W4PLUS)))))*(INDEX(ACTIVE_MULT_TABLE,1,1))*(1+SUMPRODUCT(SIGN(((ACT_DOOR_SCOPE="ALL")+(ACT_DOOR_SCOPE="TIER_"&amp;$F290)+(ACT_DOOR_SCOPE=$B290)))*SIGN(((ACT_SKU_SCOPE="ALL")+(ACT_SKU_SCOPE=$G290)))*(ACT_START&lt;=8)*(ACT_END&gt;=8)*IFERROR(ACT_UPLIFT-1,0)))*(1+SUMPRODUCT(SIGN(((ACT_DOOR_SCOPE="ALL")+(ACT_DOOR_SCOPE="TIER_"&amp;$F290)+(ACT_DOOR_SCOPE=$B290)))*SIGN(((ACT_SKU_SCOPE="ALL")+(ACT_SKU_SCOPE=$G290)))*(8&gt;ACT_END)*(ACT_END&gt;0)*IFERROR(ACT_POSTLIFT,0))),0)))</f>
        <v/>
      </c>
      <c r="R290" s="10">
        <f>IF(OR($H290&lt;&gt;"Y",9&lt;$I290),0,IF(SUMPRODUCT(((BULK_ENABLED="Y")*((BULK_TIER="ALL")+(BULK_TIER=$F290))*((BULK_SKU="ALL")+(BULK_SKU=$G290))*(BULK_START&lt;=9)*(BULK_END&gt;=9)))&gt;0,IFERROR(SUMPRODUCT(((BULK_ENABLED="Y")*((BULK_TIER="ALL")+(BULK_TIER=$F290))*((BULK_SKU="ALL")+(BULK_SKU=$G290))*(BULK_START&lt;=9)*(BULK_END&gt;=9))*IFERROR(BULK_VALUE,0))/MAX(1,SUMPRODUCT(((BULK_ENABLED="Y")*((BULK_TIER="ALL")+(BULK_TIER=$F290))*((BULK_SKU="ALL")+(BULK_SKU=$G290))*(BULK_START&lt;=9)*(BULK_END&gt;=9)))),0),ROUND((INDEX(VELOCITY_TABLE,MATCH($F290,TIER_LIST,0),1))*(IF((9-$I290+1)&lt;=0,0,IF((9-$I290+1)=1,RAMP_W1,IF((9-$I290+1)=2,RAMP_W2,IF((9-$I290+1)=3,RAMP_W3,RAMP_W4PLUS)))))*(INDEX(ACTIVE_MULT_TABLE,1,1))*(1+SUMPRODUCT(SIGN(((ACT_DOOR_SCOPE="ALL")+(ACT_DOOR_SCOPE="TIER_"&amp;$F290)+(ACT_DOOR_SCOPE=$B290)))*SIGN(((ACT_SKU_SCOPE="ALL")+(ACT_SKU_SCOPE=$G290)))*(ACT_START&lt;=9)*(ACT_END&gt;=9)*IFERROR(ACT_UPLIFT-1,0)))*(1+SUMPRODUCT(SIGN(((ACT_DOOR_SCOPE="ALL")+(ACT_DOOR_SCOPE="TIER_"&amp;$F290)+(ACT_DOOR_SCOPE=$B290)))*SIGN(((ACT_SKU_SCOPE="ALL")+(ACT_SKU_SCOPE=$G290)))*(9&gt;ACT_END)*(ACT_END&gt;0)*IFERROR(ACT_POSTLIFT,0))),0)))</f>
        <v/>
      </c>
      <c r="S290" s="10">
        <f>IF(OR($H290&lt;&gt;"Y",10&lt;$I290),0,IF(SUMPRODUCT(((BULK_ENABLED="Y")*((BULK_TIER="ALL")+(BULK_TIER=$F290))*((BULK_SKU="ALL")+(BULK_SKU=$G290))*(BULK_START&lt;=10)*(BULK_END&gt;=10)))&gt;0,IFERROR(SUMPRODUCT(((BULK_ENABLED="Y")*((BULK_TIER="ALL")+(BULK_TIER=$F290))*((BULK_SKU="ALL")+(BULK_SKU=$G290))*(BULK_START&lt;=10)*(BULK_END&gt;=10))*IFERROR(BULK_VALUE,0))/MAX(1,SUMPRODUCT(((BULK_ENABLED="Y")*((BULK_TIER="ALL")+(BULK_TIER=$F290))*((BULK_SKU="ALL")+(BULK_SKU=$G290))*(BULK_START&lt;=10)*(BULK_END&gt;=10)))),0),ROUND((INDEX(VELOCITY_TABLE,MATCH($F290,TIER_LIST,0),1))*(IF((10-$I290+1)&lt;=0,0,IF((10-$I290+1)=1,RAMP_W1,IF((10-$I290+1)=2,RAMP_W2,IF((10-$I290+1)=3,RAMP_W3,RAMP_W4PLUS)))))*(INDEX(ACTIVE_MULT_TABLE,1,1))*(1+SUMPRODUCT(SIGN(((ACT_DOOR_SCOPE="ALL")+(ACT_DOOR_SCOPE="TIER_"&amp;$F290)+(ACT_DOOR_SCOPE=$B290)))*SIGN(((ACT_SKU_SCOPE="ALL")+(ACT_SKU_SCOPE=$G290)))*(ACT_START&lt;=10)*(ACT_END&gt;=10)*IFERROR(ACT_UPLIFT-1,0)))*(1+SUMPRODUCT(SIGN(((ACT_DOOR_SCOPE="ALL")+(ACT_DOOR_SCOPE="TIER_"&amp;$F290)+(ACT_DOOR_SCOPE=$B290)))*SIGN(((ACT_SKU_SCOPE="ALL")+(ACT_SKU_SCOPE=$G290)))*(10&gt;ACT_END)*(ACT_END&gt;0)*IFERROR(ACT_POSTLIFT,0))),0)))</f>
        <v/>
      </c>
      <c r="T290" s="10">
        <f>IF(OR($H290&lt;&gt;"Y",11&lt;$I290),0,IF(SUMPRODUCT(((BULK_ENABLED="Y")*((BULK_TIER="ALL")+(BULK_TIER=$F290))*((BULK_SKU="ALL")+(BULK_SKU=$G290))*(BULK_START&lt;=11)*(BULK_END&gt;=11)))&gt;0,IFERROR(SUMPRODUCT(((BULK_ENABLED="Y")*((BULK_TIER="ALL")+(BULK_TIER=$F290))*((BULK_SKU="ALL")+(BULK_SKU=$G290))*(BULK_START&lt;=11)*(BULK_END&gt;=11))*IFERROR(BULK_VALUE,0))/MAX(1,SUMPRODUCT(((BULK_ENABLED="Y")*((BULK_TIER="ALL")+(BULK_TIER=$F290))*((BULK_SKU="ALL")+(BULK_SKU=$G290))*(BULK_START&lt;=11)*(BULK_END&gt;=11)))),0),ROUND((INDEX(VELOCITY_TABLE,MATCH($F290,TIER_LIST,0),1))*(IF((11-$I290+1)&lt;=0,0,IF((11-$I290+1)=1,RAMP_W1,IF((11-$I290+1)=2,RAMP_W2,IF((11-$I290+1)=3,RAMP_W3,RAMP_W4PLUS)))))*(INDEX(ACTIVE_MULT_TABLE,1,1))*(1+SUMPRODUCT(SIGN(((ACT_DOOR_SCOPE="ALL")+(ACT_DOOR_SCOPE="TIER_"&amp;$F290)+(ACT_DOOR_SCOPE=$B290)))*SIGN(((ACT_SKU_SCOPE="ALL")+(ACT_SKU_SCOPE=$G290)))*(ACT_START&lt;=11)*(ACT_END&gt;=11)*IFERROR(ACT_UPLIFT-1,0)))*(1+SUMPRODUCT(SIGN(((ACT_DOOR_SCOPE="ALL")+(ACT_DOOR_SCOPE="TIER_"&amp;$F290)+(ACT_DOOR_SCOPE=$B290)))*SIGN(((ACT_SKU_SCOPE="ALL")+(ACT_SKU_SCOPE=$G290)))*(11&gt;ACT_END)*(ACT_END&gt;0)*IFERROR(ACT_POSTLIFT,0))),0)))</f>
        <v/>
      </c>
      <c r="U290" s="10">
        <f>IF(OR($H290&lt;&gt;"Y",12&lt;$I290),0,IF(SUMPRODUCT(((BULK_ENABLED="Y")*((BULK_TIER="ALL")+(BULK_TIER=$F290))*((BULK_SKU="ALL")+(BULK_SKU=$G290))*(BULK_START&lt;=12)*(BULK_END&gt;=12)))&gt;0,IFERROR(SUMPRODUCT(((BULK_ENABLED="Y")*((BULK_TIER="ALL")+(BULK_TIER=$F290))*((BULK_SKU="ALL")+(BULK_SKU=$G290))*(BULK_START&lt;=12)*(BULK_END&gt;=12))*IFERROR(BULK_VALUE,0))/MAX(1,SUMPRODUCT(((BULK_ENABLED="Y")*((BULK_TIER="ALL")+(BULK_TIER=$F290))*((BULK_SKU="ALL")+(BULK_SKU=$G290))*(BULK_START&lt;=12)*(BULK_END&gt;=12)))),0),ROUND((INDEX(VELOCITY_TABLE,MATCH($F290,TIER_LIST,0),1))*(IF((12-$I290+1)&lt;=0,0,IF((12-$I290+1)=1,RAMP_W1,IF((12-$I290+1)=2,RAMP_W2,IF((12-$I290+1)=3,RAMP_W3,RAMP_W4PLUS)))))*(INDEX(ACTIVE_MULT_TABLE,1,1))*(1+SUMPRODUCT(SIGN(((ACT_DOOR_SCOPE="ALL")+(ACT_DOOR_SCOPE="TIER_"&amp;$F290)+(ACT_DOOR_SCOPE=$B290)))*SIGN(((ACT_SKU_SCOPE="ALL")+(ACT_SKU_SCOPE=$G290)))*(ACT_START&lt;=12)*(ACT_END&gt;=12)*IFERROR(ACT_UPLIFT-1,0)))*(1+SUMPRODUCT(SIGN(((ACT_DOOR_SCOPE="ALL")+(ACT_DOOR_SCOPE="TIER_"&amp;$F290)+(ACT_DOOR_SCOPE=$B290)))*SIGN(((ACT_SKU_SCOPE="ALL")+(ACT_SKU_SCOPE=$G290)))*(12&gt;ACT_END)*(ACT_END&gt;0)*IFERROR(ACT_POSTLIFT,0))),0)))</f>
        <v/>
      </c>
      <c r="V290" s="10">
        <f>IF(OR($H290&lt;&gt;"Y",13&lt;$I290),0,IF(SUMPRODUCT(((BULK_ENABLED="Y")*((BULK_TIER="ALL")+(BULK_TIER=$F290))*((BULK_SKU="ALL")+(BULK_SKU=$G290))*(BULK_START&lt;=13)*(BULK_END&gt;=13)))&gt;0,IFERROR(SUMPRODUCT(((BULK_ENABLED="Y")*((BULK_TIER="ALL")+(BULK_TIER=$F290))*((BULK_SKU="ALL")+(BULK_SKU=$G290))*(BULK_START&lt;=13)*(BULK_END&gt;=13))*IFERROR(BULK_VALUE,0))/MAX(1,SUMPRODUCT(((BULK_ENABLED="Y")*((BULK_TIER="ALL")+(BULK_TIER=$F290))*((BULK_SKU="ALL")+(BULK_SKU=$G290))*(BULK_START&lt;=13)*(BULK_END&gt;=13)))),0),ROUND((INDEX(VELOCITY_TABLE,MATCH($F290,TIER_LIST,0),1))*(IF((13-$I290+1)&lt;=0,0,IF((13-$I290+1)=1,RAMP_W1,IF((13-$I290+1)=2,RAMP_W2,IF((13-$I290+1)=3,RAMP_W3,RAMP_W4PLUS)))))*(INDEX(ACTIVE_MULT_TABLE,1,1))*(1+SUMPRODUCT(SIGN(((ACT_DOOR_SCOPE="ALL")+(ACT_DOOR_SCOPE="TIER_"&amp;$F290)+(ACT_DOOR_SCOPE=$B290)))*SIGN(((ACT_SKU_SCOPE="ALL")+(ACT_SKU_SCOPE=$G290)))*(ACT_START&lt;=13)*(ACT_END&gt;=13)*IFERROR(ACT_UPLIFT-1,0)))*(1+SUMPRODUCT(SIGN(((ACT_DOOR_SCOPE="ALL")+(ACT_DOOR_SCOPE="TIER_"&amp;$F290)+(ACT_DOOR_SCOPE=$B290)))*SIGN(((ACT_SKU_SCOPE="ALL")+(ACT_SKU_SCOPE=$G290)))*(13&gt;ACT_END)*(ACT_END&gt;0)*IFERROR(ACT_POSTLIFT,0))),0)))</f>
        <v/>
      </c>
    </row>
    <row r="291">
      <c r="A291" t="inlineStr">
        <is>
          <t>R0287</t>
        </is>
      </c>
      <c r="B291">
        <f>Doors!$A$100</f>
        <v/>
      </c>
      <c r="C291">
        <f>Doors!$C$100</f>
        <v/>
      </c>
      <c r="D291">
        <f>Doors!$B$100</f>
        <v/>
      </c>
      <c r="E291">
        <f>Doors!$E$100</f>
        <v/>
      </c>
      <c r="F291">
        <f>Doors!$F$100</f>
        <v/>
      </c>
      <c r="G291" t="inlineStr">
        <is>
          <t>Pineapple Passion Fruit</t>
        </is>
      </c>
      <c r="H291">
        <f>Doors!$H$100</f>
        <v/>
      </c>
      <c r="I291">
        <f>Doors!$J$100</f>
        <v/>
      </c>
      <c r="J291" s="10">
        <f>IF(OR($H291&lt;&gt;"Y",1&lt;$I291),0,IF(SUMPRODUCT(((BULK_ENABLED="Y")*((BULK_TIER="ALL")+(BULK_TIER=$F291))*((BULK_SKU="ALL")+(BULK_SKU=$G291))*(BULK_START&lt;=1)*(BULK_END&gt;=1)))&gt;0,IFERROR(SUMPRODUCT(((BULK_ENABLED="Y")*((BULK_TIER="ALL")+(BULK_TIER=$F291))*((BULK_SKU="ALL")+(BULK_SKU=$G291))*(BULK_START&lt;=1)*(BULK_END&gt;=1))*IFERROR(BULK_VALUE,0))/MAX(1,SUMPRODUCT(((BULK_ENABLED="Y")*((BULK_TIER="ALL")+(BULK_TIER=$F291))*((BULK_SKU="ALL")+(BULK_SKU=$G291))*(BULK_START&lt;=1)*(BULK_END&gt;=1)))),0),ROUND((INDEX(VELOCITY_TABLE,MATCH($F291,TIER_LIST,0),2))*(IF((1-$I291+1)&lt;=0,0,IF((1-$I291+1)=1,RAMP_W1,IF((1-$I291+1)=2,RAMP_W2,IF((1-$I291+1)=3,RAMP_W3,RAMP_W4PLUS)))))*(INDEX(ACTIVE_MULT_TABLE,2,1))*(1+SUMPRODUCT(SIGN(((ACT_DOOR_SCOPE="ALL")+(ACT_DOOR_SCOPE="TIER_"&amp;$F291)+(ACT_DOOR_SCOPE=$B291)))*SIGN(((ACT_SKU_SCOPE="ALL")+(ACT_SKU_SCOPE=$G291)))*(ACT_START&lt;=1)*(ACT_END&gt;=1)*IFERROR(ACT_UPLIFT-1,0)))*(1+SUMPRODUCT(SIGN(((ACT_DOOR_SCOPE="ALL")+(ACT_DOOR_SCOPE="TIER_"&amp;$F291)+(ACT_DOOR_SCOPE=$B291)))*SIGN(((ACT_SKU_SCOPE="ALL")+(ACT_SKU_SCOPE=$G291)))*(1&gt;ACT_END)*(ACT_END&gt;0)*IFERROR(ACT_POSTLIFT,0))),0)))</f>
        <v/>
      </c>
      <c r="K291" s="10">
        <f>IF(OR($H291&lt;&gt;"Y",2&lt;$I291),0,IF(SUMPRODUCT(((BULK_ENABLED="Y")*((BULK_TIER="ALL")+(BULK_TIER=$F291))*((BULK_SKU="ALL")+(BULK_SKU=$G291))*(BULK_START&lt;=2)*(BULK_END&gt;=2)))&gt;0,IFERROR(SUMPRODUCT(((BULK_ENABLED="Y")*((BULK_TIER="ALL")+(BULK_TIER=$F291))*((BULK_SKU="ALL")+(BULK_SKU=$G291))*(BULK_START&lt;=2)*(BULK_END&gt;=2))*IFERROR(BULK_VALUE,0))/MAX(1,SUMPRODUCT(((BULK_ENABLED="Y")*((BULK_TIER="ALL")+(BULK_TIER=$F291))*((BULK_SKU="ALL")+(BULK_SKU=$G291))*(BULK_START&lt;=2)*(BULK_END&gt;=2)))),0),ROUND((INDEX(VELOCITY_TABLE,MATCH($F291,TIER_LIST,0),2))*(IF((2-$I291+1)&lt;=0,0,IF((2-$I291+1)=1,RAMP_W1,IF((2-$I291+1)=2,RAMP_W2,IF((2-$I291+1)=3,RAMP_W3,RAMP_W4PLUS)))))*(INDEX(ACTIVE_MULT_TABLE,2,1))*(1+SUMPRODUCT(SIGN(((ACT_DOOR_SCOPE="ALL")+(ACT_DOOR_SCOPE="TIER_"&amp;$F291)+(ACT_DOOR_SCOPE=$B291)))*SIGN(((ACT_SKU_SCOPE="ALL")+(ACT_SKU_SCOPE=$G291)))*(ACT_START&lt;=2)*(ACT_END&gt;=2)*IFERROR(ACT_UPLIFT-1,0)))*(1+SUMPRODUCT(SIGN(((ACT_DOOR_SCOPE="ALL")+(ACT_DOOR_SCOPE="TIER_"&amp;$F291)+(ACT_DOOR_SCOPE=$B291)))*SIGN(((ACT_SKU_SCOPE="ALL")+(ACT_SKU_SCOPE=$G291)))*(2&gt;ACT_END)*(ACT_END&gt;0)*IFERROR(ACT_POSTLIFT,0))),0)))</f>
        <v/>
      </c>
      <c r="L291" s="10">
        <f>IF(OR($H291&lt;&gt;"Y",3&lt;$I291),0,IF(SUMPRODUCT(((BULK_ENABLED="Y")*((BULK_TIER="ALL")+(BULK_TIER=$F291))*((BULK_SKU="ALL")+(BULK_SKU=$G291))*(BULK_START&lt;=3)*(BULK_END&gt;=3)))&gt;0,IFERROR(SUMPRODUCT(((BULK_ENABLED="Y")*((BULK_TIER="ALL")+(BULK_TIER=$F291))*((BULK_SKU="ALL")+(BULK_SKU=$G291))*(BULK_START&lt;=3)*(BULK_END&gt;=3))*IFERROR(BULK_VALUE,0))/MAX(1,SUMPRODUCT(((BULK_ENABLED="Y")*((BULK_TIER="ALL")+(BULK_TIER=$F291))*((BULK_SKU="ALL")+(BULK_SKU=$G291))*(BULK_START&lt;=3)*(BULK_END&gt;=3)))),0),ROUND((INDEX(VELOCITY_TABLE,MATCH($F291,TIER_LIST,0),2))*(IF((3-$I291+1)&lt;=0,0,IF((3-$I291+1)=1,RAMP_W1,IF((3-$I291+1)=2,RAMP_W2,IF((3-$I291+1)=3,RAMP_W3,RAMP_W4PLUS)))))*(INDEX(ACTIVE_MULT_TABLE,2,1))*(1+SUMPRODUCT(SIGN(((ACT_DOOR_SCOPE="ALL")+(ACT_DOOR_SCOPE="TIER_"&amp;$F291)+(ACT_DOOR_SCOPE=$B291)))*SIGN(((ACT_SKU_SCOPE="ALL")+(ACT_SKU_SCOPE=$G291)))*(ACT_START&lt;=3)*(ACT_END&gt;=3)*IFERROR(ACT_UPLIFT-1,0)))*(1+SUMPRODUCT(SIGN(((ACT_DOOR_SCOPE="ALL")+(ACT_DOOR_SCOPE="TIER_"&amp;$F291)+(ACT_DOOR_SCOPE=$B291)))*SIGN(((ACT_SKU_SCOPE="ALL")+(ACT_SKU_SCOPE=$G291)))*(3&gt;ACT_END)*(ACT_END&gt;0)*IFERROR(ACT_POSTLIFT,0))),0)))</f>
        <v/>
      </c>
      <c r="M291" s="10">
        <f>IF(OR($H291&lt;&gt;"Y",4&lt;$I291),0,IF(SUMPRODUCT(((BULK_ENABLED="Y")*((BULK_TIER="ALL")+(BULK_TIER=$F291))*((BULK_SKU="ALL")+(BULK_SKU=$G291))*(BULK_START&lt;=4)*(BULK_END&gt;=4)))&gt;0,IFERROR(SUMPRODUCT(((BULK_ENABLED="Y")*((BULK_TIER="ALL")+(BULK_TIER=$F291))*((BULK_SKU="ALL")+(BULK_SKU=$G291))*(BULK_START&lt;=4)*(BULK_END&gt;=4))*IFERROR(BULK_VALUE,0))/MAX(1,SUMPRODUCT(((BULK_ENABLED="Y")*((BULK_TIER="ALL")+(BULK_TIER=$F291))*((BULK_SKU="ALL")+(BULK_SKU=$G291))*(BULK_START&lt;=4)*(BULK_END&gt;=4)))),0),ROUND((INDEX(VELOCITY_TABLE,MATCH($F291,TIER_LIST,0),2))*(IF((4-$I291+1)&lt;=0,0,IF((4-$I291+1)=1,RAMP_W1,IF((4-$I291+1)=2,RAMP_W2,IF((4-$I291+1)=3,RAMP_W3,RAMP_W4PLUS)))))*(INDEX(ACTIVE_MULT_TABLE,2,1))*(1+SUMPRODUCT(SIGN(((ACT_DOOR_SCOPE="ALL")+(ACT_DOOR_SCOPE="TIER_"&amp;$F291)+(ACT_DOOR_SCOPE=$B291)))*SIGN(((ACT_SKU_SCOPE="ALL")+(ACT_SKU_SCOPE=$G291)))*(ACT_START&lt;=4)*(ACT_END&gt;=4)*IFERROR(ACT_UPLIFT-1,0)))*(1+SUMPRODUCT(SIGN(((ACT_DOOR_SCOPE="ALL")+(ACT_DOOR_SCOPE="TIER_"&amp;$F291)+(ACT_DOOR_SCOPE=$B291)))*SIGN(((ACT_SKU_SCOPE="ALL")+(ACT_SKU_SCOPE=$G291)))*(4&gt;ACT_END)*(ACT_END&gt;0)*IFERROR(ACT_POSTLIFT,0))),0)))</f>
        <v/>
      </c>
      <c r="N291" s="10">
        <f>IF(OR($H291&lt;&gt;"Y",5&lt;$I291),0,IF(SUMPRODUCT(((BULK_ENABLED="Y")*((BULK_TIER="ALL")+(BULK_TIER=$F291))*((BULK_SKU="ALL")+(BULK_SKU=$G291))*(BULK_START&lt;=5)*(BULK_END&gt;=5)))&gt;0,IFERROR(SUMPRODUCT(((BULK_ENABLED="Y")*((BULK_TIER="ALL")+(BULK_TIER=$F291))*((BULK_SKU="ALL")+(BULK_SKU=$G291))*(BULK_START&lt;=5)*(BULK_END&gt;=5))*IFERROR(BULK_VALUE,0))/MAX(1,SUMPRODUCT(((BULK_ENABLED="Y")*((BULK_TIER="ALL")+(BULK_TIER=$F291))*((BULK_SKU="ALL")+(BULK_SKU=$G291))*(BULK_START&lt;=5)*(BULK_END&gt;=5)))),0),ROUND((INDEX(VELOCITY_TABLE,MATCH($F291,TIER_LIST,0),2))*(IF((5-$I291+1)&lt;=0,0,IF((5-$I291+1)=1,RAMP_W1,IF((5-$I291+1)=2,RAMP_W2,IF((5-$I291+1)=3,RAMP_W3,RAMP_W4PLUS)))))*(INDEX(ACTIVE_MULT_TABLE,2,1))*(1+SUMPRODUCT(SIGN(((ACT_DOOR_SCOPE="ALL")+(ACT_DOOR_SCOPE="TIER_"&amp;$F291)+(ACT_DOOR_SCOPE=$B291)))*SIGN(((ACT_SKU_SCOPE="ALL")+(ACT_SKU_SCOPE=$G291)))*(ACT_START&lt;=5)*(ACT_END&gt;=5)*IFERROR(ACT_UPLIFT-1,0)))*(1+SUMPRODUCT(SIGN(((ACT_DOOR_SCOPE="ALL")+(ACT_DOOR_SCOPE="TIER_"&amp;$F291)+(ACT_DOOR_SCOPE=$B291)))*SIGN(((ACT_SKU_SCOPE="ALL")+(ACT_SKU_SCOPE=$G291)))*(5&gt;ACT_END)*(ACT_END&gt;0)*IFERROR(ACT_POSTLIFT,0))),0)))</f>
        <v/>
      </c>
      <c r="O291" s="10">
        <f>IF(OR($H291&lt;&gt;"Y",6&lt;$I291),0,IF(SUMPRODUCT(((BULK_ENABLED="Y")*((BULK_TIER="ALL")+(BULK_TIER=$F291))*((BULK_SKU="ALL")+(BULK_SKU=$G291))*(BULK_START&lt;=6)*(BULK_END&gt;=6)))&gt;0,IFERROR(SUMPRODUCT(((BULK_ENABLED="Y")*((BULK_TIER="ALL")+(BULK_TIER=$F291))*((BULK_SKU="ALL")+(BULK_SKU=$G291))*(BULK_START&lt;=6)*(BULK_END&gt;=6))*IFERROR(BULK_VALUE,0))/MAX(1,SUMPRODUCT(((BULK_ENABLED="Y")*((BULK_TIER="ALL")+(BULK_TIER=$F291))*((BULK_SKU="ALL")+(BULK_SKU=$G291))*(BULK_START&lt;=6)*(BULK_END&gt;=6)))),0),ROUND((INDEX(VELOCITY_TABLE,MATCH($F291,TIER_LIST,0),2))*(IF((6-$I291+1)&lt;=0,0,IF((6-$I291+1)=1,RAMP_W1,IF((6-$I291+1)=2,RAMP_W2,IF((6-$I291+1)=3,RAMP_W3,RAMP_W4PLUS)))))*(INDEX(ACTIVE_MULT_TABLE,2,1))*(1+SUMPRODUCT(SIGN(((ACT_DOOR_SCOPE="ALL")+(ACT_DOOR_SCOPE="TIER_"&amp;$F291)+(ACT_DOOR_SCOPE=$B291)))*SIGN(((ACT_SKU_SCOPE="ALL")+(ACT_SKU_SCOPE=$G291)))*(ACT_START&lt;=6)*(ACT_END&gt;=6)*IFERROR(ACT_UPLIFT-1,0)))*(1+SUMPRODUCT(SIGN(((ACT_DOOR_SCOPE="ALL")+(ACT_DOOR_SCOPE="TIER_"&amp;$F291)+(ACT_DOOR_SCOPE=$B291)))*SIGN(((ACT_SKU_SCOPE="ALL")+(ACT_SKU_SCOPE=$G291)))*(6&gt;ACT_END)*(ACT_END&gt;0)*IFERROR(ACT_POSTLIFT,0))),0)))</f>
        <v/>
      </c>
      <c r="P291" s="10">
        <f>IF(OR($H291&lt;&gt;"Y",7&lt;$I291),0,IF(SUMPRODUCT(((BULK_ENABLED="Y")*((BULK_TIER="ALL")+(BULK_TIER=$F291))*((BULK_SKU="ALL")+(BULK_SKU=$G291))*(BULK_START&lt;=7)*(BULK_END&gt;=7)))&gt;0,IFERROR(SUMPRODUCT(((BULK_ENABLED="Y")*((BULK_TIER="ALL")+(BULK_TIER=$F291))*((BULK_SKU="ALL")+(BULK_SKU=$G291))*(BULK_START&lt;=7)*(BULK_END&gt;=7))*IFERROR(BULK_VALUE,0))/MAX(1,SUMPRODUCT(((BULK_ENABLED="Y")*((BULK_TIER="ALL")+(BULK_TIER=$F291))*((BULK_SKU="ALL")+(BULK_SKU=$G291))*(BULK_START&lt;=7)*(BULK_END&gt;=7)))),0),ROUND((INDEX(VELOCITY_TABLE,MATCH($F291,TIER_LIST,0),2))*(IF((7-$I291+1)&lt;=0,0,IF((7-$I291+1)=1,RAMP_W1,IF((7-$I291+1)=2,RAMP_W2,IF((7-$I291+1)=3,RAMP_W3,RAMP_W4PLUS)))))*(INDEX(ACTIVE_MULT_TABLE,2,1))*(1+SUMPRODUCT(SIGN(((ACT_DOOR_SCOPE="ALL")+(ACT_DOOR_SCOPE="TIER_"&amp;$F291)+(ACT_DOOR_SCOPE=$B291)))*SIGN(((ACT_SKU_SCOPE="ALL")+(ACT_SKU_SCOPE=$G291)))*(ACT_START&lt;=7)*(ACT_END&gt;=7)*IFERROR(ACT_UPLIFT-1,0)))*(1+SUMPRODUCT(SIGN(((ACT_DOOR_SCOPE="ALL")+(ACT_DOOR_SCOPE="TIER_"&amp;$F291)+(ACT_DOOR_SCOPE=$B291)))*SIGN(((ACT_SKU_SCOPE="ALL")+(ACT_SKU_SCOPE=$G291)))*(7&gt;ACT_END)*(ACT_END&gt;0)*IFERROR(ACT_POSTLIFT,0))),0)))</f>
        <v/>
      </c>
      <c r="Q291" s="10">
        <f>IF(OR($H291&lt;&gt;"Y",8&lt;$I291),0,IF(SUMPRODUCT(((BULK_ENABLED="Y")*((BULK_TIER="ALL")+(BULK_TIER=$F291))*((BULK_SKU="ALL")+(BULK_SKU=$G291))*(BULK_START&lt;=8)*(BULK_END&gt;=8)))&gt;0,IFERROR(SUMPRODUCT(((BULK_ENABLED="Y")*((BULK_TIER="ALL")+(BULK_TIER=$F291))*((BULK_SKU="ALL")+(BULK_SKU=$G291))*(BULK_START&lt;=8)*(BULK_END&gt;=8))*IFERROR(BULK_VALUE,0))/MAX(1,SUMPRODUCT(((BULK_ENABLED="Y")*((BULK_TIER="ALL")+(BULK_TIER=$F291))*((BULK_SKU="ALL")+(BULK_SKU=$G291))*(BULK_START&lt;=8)*(BULK_END&gt;=8)))),0),ROUND((INDEX(VELOCITY_TABLE,MATCH($F291,TIER_LIST,0),2))*(IF((8-$I291+1)&lt;=0,0,IF((8-$I291+1)=1,RAMP_W1,IF((8-$I291+1)=2,RAMP_W2,IF((8-$I291+1)=3,RAMP_W3,RAMP_W4PLUS)))))*(INDEX(ACTIVE_MULT_TABLE,2,1))*(1+SUMPRODUCT(SIGN(((ACT_DOOR_SCOPE="ALL")+(ACT_DOOR_SCOPE="TIER_"&amp;$F291)+(ACT_DOOR_SCOPE=$B291)))*SIGN(((ACT_SKU_SCOPE="ALL")+(ACT_SKU_SCOPE=$G291)))*(ACT_START&lt;=8)*(ACT_END&gt;=8)*IFERROR(ACT_UPLIFT-1,0)))*(1+SUMPRODUCT(SIGN(((ACT_DOOR_SCOPE="ALL")+(ACT_DOOR_SCOPE="TIER_"&amp;$F291)+(ACT_DOOR_SCOPE=$B291)))*SIGN(((ACT_SKU_SCOPE="ALL")+(ACT_SKU_SCOPE=$G291)))*(8&gt;ACT_END)*(ACT_END&gt;0)*IFERROR(ACT_POSTLIFT,0))),0)))</f>
        <v/>
      </c>
      <c r="R291" s="10">
        <f>IF(OR($H291&lt;&gt;"Y",9&lt;$I291),0,IF(SUMPRODUCT(((BULK_ENABLED="Y")*((BULK_TIER="ALL")+(BULK_TIER=$F291))*((BULK_SKU="ALL")+(BULK_SKU=$G291))*(BULK_START&lt;=9)*(BULK_END&gt;=9)))&gt;0,IFERROR(SUMPRODUCT(((BULK_ENABLED="Y")*((BULK_TIER="ALL")+(BULK_TIER=$F291))*((BULK_SKU="ALL")+(BULK_SKU=$G291))*(BULK_START&lt;=9)*(BULK_END&gt;=9))*IFERROR(BULK_VALUE,0))/MAX(1,SUMPRODUCT(((BULK_ENABLED="Y")*((BULK_TIER="ALL")+(BULK_TIER=$F291))*((BULK_SKU="ALL")+(BULK_SKU=$G291))*(BULK_START&lt;=9)*(BULK_END&gt;=9)))),0),ROUND((INDEX(VELOCITY_TABLE,MATCH($F291,TIER_LIST,0),2))*(IF((9-$I291+1)&lt;=0,0,IF((9-$I291+1)=1,RAMP_W1,IF((9-$I291+1)=2,RAMP_W2,IF((9-$I291+1)=3,RAMP_W3,RAMP_W4PLUS)))))*(INDEX(ACTIVE_MULT_TABLE,2,1))*(1+SUMPRODUCT(SIGN(((ACT_DOOR_SCOPE="ALL")+(ACT_DOOR_SCOPE="TIER_"&amp;$F291)+(ACT_DOOR_SCOPE=$B291)))*SIGN(((ACT_SKU_SCOPE="ALL")+(ACT_SKU_SCOPE=$G291)))*(ACT_START&lt;=9)*(ACT_END&gt;=9)*IFERROR(ACT_UPLIFT-1,0)))*(1+SUMPRODUCT(SIGN(((ACT_DOOR_SCOPE="ALL")+(ACT_DOOR_SCOPE="TIER_"&amp;$F291)+(ACT_DOOR_SCOPE=$B291)))*SIGN(((ACT_SKU_SCOPE="ALL")+(ACT_SKU_SCOPE=$G291)))*(9&gt;ACT_END)*(ACT_END&gt;0)*IFERROR(ACT_POSTLIFT,0))),0)))</f>
        <v/>
      </c>
      <c r="S291" s="10">
        <f>IF(OR($H291&lt;&gt;"Y",10&lt;$I291),0,IF(SUMPRODUCT(((BULK_ENABLED="Y")*((BULK_TIER="ALL")+(BULK_TIER=$F291))*((BULK_SKU="ALL")+(BULK_SKU=$G291))*(BULK_START&lt;=10)*(BULK_END&gt;=10)))&gt;0,IFERROR(SUMPRODUCT(((BULK_ENABLED="Y")*((BULK_TIER="ALL")+(BULK_TIER=$F291))*((BULK_SKU="ALL")+(BULK_SKU=$G291))*(BULK_START&lt;=10)*(BULK_END&gt;=10))*IFERROR(BULK_VALUE,0))/MAX(1,SUMPRODUCT(((BULK_ENABLED="Y")*((BULK_TIER="ALL")+(BULK_TIER=$F291))*((BULK_SKU="ALL")+(BULK_SKU=$G291))*(BULK_START&lt;=10)*(BULK_END&gt;=10)))),0),ROUND((INDEX(VELOCITY_TABLE,MATCH($F291,TIER_LIST,0),2))*(IF((10-$I291+1)&lt;=0,0,IF((10-$I291+1)=1,RAMP_W1,IF((10-$I291+1)=2,RAMP_W2,IF((10-$I291+1)=3,RAMP_W3,RAMP_W4PLUS)))))*(INDEX(ACTIVE_MULT_TABLE,2,1))*(1+SUMPRODUCT(SIGN(((ACT_DOOR_SCOPE="ALL")+(ACT_DOOR_SCOPE="TIER_"&amp;$F291)+(ACT_DOOR_SCOPE=$B291)))*SIGN(((ACT_SKU_SCOPE="ALL")+(ACT_SKU_SCOPE=$G291)))*(ACT_START&lt;=10)*(ACT_END&gt;=10)*IFERROR(ACT_UPLIFT-1,0)))*(1+SUMPRODUCT(SIGN(((ACT_DOOR_SCOPE="ALL")+(ACT_DOOR_SCOPE="TIER_"&amp;$F291)+(ACT_DOOR_SCOPE=$B291)))*SIGN(((ACT_SKU_SCOPE="ALL")+(ACT_SKU_SCOPE=$G291)))*(10&gt;ACT_END)*(ACT_END&gt;0)*IFERROR(ACT_POSTLIFT,0))),0)))</f>
        <v/>
      </c>
      <c r="T291" s="10">
        <f>IF(OR($H291&lt;&gt;"Y",11&lt;$I291),0,IF(SUMPRODUCT(((BULK_ENABLED="Y")*((BULK_TIER="ALL")+(BULK_TIER=$F291))*((BULK_SKU="ALL")+(BULK_SKU=$G291))*(BULK_START&lt;=11)*(BULK_END&gt;=11)))&gt;0,IFERROR(SUMPRODUCT(((BULK_ENABLED="Y")*((BULK_TIER="ALL")+(BULK_TIER=$F291))*((BULK_SKU="ALL")+(BULK_SKU=$G291))*(BULK_START&lt;=11)*(BULK_END&gt;=11))*IFERROR(BULK_VALUE,0))/MAX(1,SUMPRODUCT(((BULK_ENABLED="Y")*((BULK_TIER="ALL")+(BULK_TIER=$F291))*((BULK_SKU="ALL")+(BULK_SKU=$G291))*(BULK_START&lt;=11)*(BULK_END&gt;=11)))),0),ROUND((INDEX(VELOCITY_TABLE,MATCH($F291,TIER_LIST,0),2))*(IF((11-$I291+1)&lt;=0,0,IF((11-$I291+1)=1,RAMP_W1,IF((11-$I291+1)=2,RAMP_W2,IF((11-$I291+1)=3,RAMP_W3,RAMP_W4PLUS)))))*(INDEX(ACTIVE_MULT_TABLE,2,1))*(1+SUMPRODUCT(SIGN(((ACT_DOOR_SCOPE="ALL")+(ACT_DOOR_SCOPE="TIER_"&amp;$F291)+(ACT_DOOR_SCOPE=$B291)))*SIGN(((ACT_SKU_SCOPE="ALL")+(ACT_SKU_SCOPE=$G291)))*(ACT_START&lt;=11)*(ACT_END&gt;=11)*IFERROR(ACT_UPLIFT-1,0)))*(1+SUMPRODUCT(SIGN(((ACT_DOOR_SCOPE="ALL")+(ACT_DOOR_SCOPE="TIER_"&amp;$F291)+(ACT_DOOR_SCOPE=$B291)))*SIGN(((ACT_SKU_SCOPE="ALL")+(ACT_SKU_SCOPE=$G291)))*(11&gt;ACT_END)*(ACT_END&gt;0)*IFERROR(ACT_POSTLIFT,0))),0)))</f>
        <v/>
      </c>
      <c r="U291" s="10">
        <f>IF(OR($H291&lt;&gt;"Y",12&lt;$I291),0,IF(SUMPRODUCT(((BULK_ENABLED="Y")*((BULK_TIER="ALL")+(BULK_TIER=$F291))*((BULK_SKU="ALL")+(BULK_SKU=$G291))*(BULK_START&lt;=12)*(BULK_END&gt;=12)))&gt;0,IFERROR(SUMPRODUCT(((BULK_ENABLED="Y")*((BULK_TIER="ALL")+(BULK_TIER=$F291))*((BULK_SKU="ALL")+(BULK_SKU=$G291))*(BULK_START&lt;=12)*(BULK_END&gt;=12))*IFERROR(BULK_VALUE,0))/MAX(1,SUMPRODUCT(((BULK_ENABLED="Y")*((BULK_TIER="ALL")+(BULK_TIER=$F291))*((BULK_SKU="ALL")+(BULK_SKU=$G291))*(BULK_START&lt;=12)*(BULK_END&gt;=12)))),0),ROUND((INDEX(VELOCITY_TABLE,MATCH($F291,TIER_LIST,0),2))*(IF((12-$I291+1)&lt;=0,0,IF((12-$I291+1)=1,RAMP_W1,IF((12-$I291+1)=2,RAMP_W2,IF((12-$I291+1)=3,RAMP_W3,RAMP_W4PLUS)))))*(INDEX(ACTIVE_MULT_TABLE,2,1))*(1+SUMPRODUCT(SIGN(((ACT_DOOR_SCOPE="ALL")+(ACT_DOOR_SCOPE="TIER_"&amp;$F291)+(ACT_DOOR_SCOPE=$B291)))*SIGN(((ACT_SKU_SCOPE="ALL")+(ACT_SKU_SCOPE=$G291)))*(ACT_START&lt;=12)*(ACT_END&gt;=12)*IFERROR(ACT_UPLIFT-1,0)))*(1+SUMPRODUCT(SIGN(((ACT_DOOR_SCOPE="ALL")+(ACT_DOOR_SCOPE="TIER_"&amp;$F291)+(ACT_DOOR_SCOPE=$B291)))*SIGN(((ACT_SKU_SCOPE="ALL")+(ACT_SKU_SCOPE=$G291)))*(12&gt;ACT_END)*(ACT_END&gt;0)*IFERROR(ACT_POSTLIFT,0))),0)))</f>
        <v/>
      </c>
      <c r="V291" s="10">
        <f>IF(OR($H291&lt;&gt;"Y",13&lt;$I291),0,IF(SUMPRODUCT(((BULK_ENABLED="Y")*((BULK_TIER="ALL")+(BULK_TIER=$F291))*((BULK_SKU="ALL")+(BULK_SKU=$G291))*(BULK_START&lt;=13)*(BULK_END&gt;=13)))&gt;0,IFERROR(SUMPRODUCT(((BULK_ENABLED="Y")*((BULK_TIER="ALL")+(BULK_TIER=$F291))*((BULK_SKU="ALL")+(BULK_SKU=$G291))*(BULK_START&lt;=13)*(BULK_END&gt;=13))*IFERROR(BULK_VALUE,0))/MAX(1,SUMPRODUCT(((BULK_ENABLED="Y")*((BULK_TIER="ALL")+(BULK_TIER=$F291))*((BULK_SKU="ALL")+(BULK_SKU=$G291))*(BULK_START&lt;=13)*(BULK_END&gt;=13)))),0),ROUND((INDEX(VELOCITY_TABLE,MATCH($F291,TIER_LIST,0),2))*(IF((13-$I291+1)&lt;=0,0,IF((13-$I291+1)=1,RAMP_W1,IF((13-$I291+1)=2,RAMP_W2,IF((13-$I291+1)=3,RAMP_W3,RAMP_W4PLUS)))))*(INDEX(ACTIVE_MULT_TABLE,2,1))*(1+SUMPRODUCT(SIGN(((ACT_DOOR_SCOPE="ALL")+(ACT_DOOR_SCOPE="TIER_"&amp;$F291)+(ACT_DOOR_SCOPE=$B291)))*SIGN(((ACT_SKU_SCOPE="ALL")+(ACT_SKU_SCOPE=$G291)))*(ACT_START&lt;=13)*(ACT_END&gt;=13)*IFERROR(ACT_UPLIFT-1,0)))*(1+SUMPRODUCT(SIGN(((ACT_DOOR_SCOPE="ALL")+(ACT_DOOR_SCOPE="TIER_"&amp;$F291)+(ACT_DOOR_SCOPE=$B291)))*SIGN(((ACT_SKU_SCOPE="ALL")+(ACT_SKU_SCOPE=$G291)))*(13&gt;ACT_END)*(ACT_END&gt;0)*IFERROR(ACT_POSTLIFT,0))),0)))</f>
        <v/>
      </c>
    </row>
    <row r="292">
      <c r="A292" t="inlineStr">
        <is>
          <t>R0288</t>
        </is>
      </c>
      <c r="B292">
        <f>Doors!$A$100</f>
        <v/>
      </c>
      <c r="C292">
        <f>Doors!$C$100</f>
        <v/>
      </c>
      <c r="D292">
        <f>Doors!$B$100</f>
        <v/>
      </c>
      <c r="E292">
        <f>Doors!$E$100</f>
        <v/>
      </c>
      <c r="F292">
        <f>Doors!$F$100</f>
        <v/>
      </c>
      <c r="G292" t="inlineStr">
        <is>
          <t>Raspberry</t>
        </is>
      </c>
      <c r="H292">
        <f>Doors!$I$100</f>
        <v/>
      </c>
      <c r="I292">
        <f>Doors!$J$100</f>
        <v/>
      </c>
      <c r="J292" s="10">
        <f>IF(OR($H292&lt;&gt;"Y",1&lt;$I292),0,IF(SUMPRODUCT(((BULK_ENABLED="Y")*((BULK_TIER="ALL")+(BULK_TIER=$F292))*((BULK_SKU="ALL")+(BULK_SKU=$G292))*(BULK_START&lt;=1)*(BULK_END&gt;=1)))&gt;0,IFERROR(SUMPRODUCT(((BULK_ENABLED="Y")*((BULK_TIER="ALL")+(BULK_TIER=$F292))*((BULK_SKU="ALL")+(BULK_SKU=$G292))*(BULK_START&lt;=1)*(BULK_END&gt;=1))*IFERROR(BULK_VALUE,0))/MAX(1,SUMPRODUCT(((BULK_ENABLED="Y")*((BULK_TIER="ALL")+(BULK_TIER=$F292))*((BULK_SKU="ALL")+(BULK_SKU=$G292))*(BULK_START&lt;=1)*(BULK_END&gt;=1)))),0),ROUND((INDEX(VELOCITY_TABLE,MATCH($F292,TIER_LIST,0),3))*(IF((1-$I292+1)&lt;=0,0,IF((1-$I292+1)=1,RAMP_W1,IF((1-$I292+1)=2,RAMP_W2,IF((1-$I292+1)=3,RAMP_W3,RAMP_W4PLUS)))))*(INDEX(ACTIVE_MULT_TABLE,3,1))*(1+SUMPRODUCT(SIGN(((ACT_DOOR_SCOPE="ALL")+(ACT_DOOR_SCOPE="TIER_"&amp;$F292)+(ACT_DOOR_SCOPE=$B292)))*SIGN(((ACT_SKU_SCOPE="ALL")+(ACT_SKU_SCOPE=$G292)))*(ACT_START&lt;=1)*(ACT_END&gt;=1)*IFERROR(ACT_UPLIFT-1,0)))*(1+SUMPRODUCT(SIGN(((ACT_DOOR_SCOPE="ALL")+(ACT_DOOR_SCOPE="TIER_"&amp;$F292)+(ACT_DOOR_SCOPE=$B292)))*SIGN(((ACT_SKU_SCOPE="ALL")+(ACT_SKU_SCOPE=$G292)))*(1&gt;ACT_END)*(ACT_END&gt;0)*IFERROR(ACT_POSTLIFT,0))),0)))</f>
        <v/>
      </c>
      <c r="K292" s="10">
        <f>IF(OR($H292&lt;&gt;"Y",2&lt;$I292),0,IF(SUMPRODUCT(((BULK_ENABLED="Y")*((BULK_TIER="ALL")+(BULK_TIER=$F292))*((BULK_SKU="ALL")+(BULK_SKU=$G292))*(BULK_START&lt;=2)*(BULK_END&gt;=2)))&gt;0,IFERROR(SUMPRODUCT(((BULK_ENABLED="Y")*((BULK_TIER="ALL")+(BULK_TIER=$F292))*((BULK_SKU="ALL")+(BULK_SKU=$G292))*(BULK_START&lt;=2)*(BULK_END&gt;=2))*IFERROR(BULK_VALUE,0))/MAX(1,SUMPRODUCT(((BULK_ENABLED="Y")*((BULK_TIER="ALL")+(BULK_TIER=$F292))*((BULK_SKU="ALL")+(BULK_SKU=$G292))*(BULK_START&lt;=2)*(BULK_END&gt;=2)))),0),ROUND((INDEX(VELOCITY_TABLE,MATCH($F292,TIER_LIST,0),3))*(IF((2-$I292+1)&lt;=0,0,IF((2-$I292+1)=1,RAMP_W1,IF((2-$I292+1)=2,RAMP_W2,IF((2-$I292+1)=3,RAMP_W3,RAMP_W4PLUS)))))*(INDEX(ACTIVE_MULT_TABLE,3,1))*(1+SUMPRODUCT(SIGN(((ACT_DOOR_SCOPE="ALL")+(ACT_DOOR_SCOPE="TIER_"&amp;$F292)+(ACT_DOOR_SCOPE=$B292)))*SIGN(((ACT_SKU_SCOPE="ALL")+(ACT_SKU_SCOPE=$G292)))*(ACT_START&lt;=2)*(ACT_END&gt;=2)*IFERROR(ACT_UPLIFT-1,0)))*(1+SUMPRODUCT(SIGN(((ACT_DOOR_SCOPE="ALL")+(ACT_DOOR_SCOPE="TIER_"&amp;$F292)+(ACT_DOOR_SCOPE=$B292)))*SIGN(((ACT_SKU_SCOPE="ALL")+(ACT_SKU_SCOPE=$G292)))*(2&gt;ACT_END)*(ACT_END&gt;0)*IFERROR(ACT_POSTLIFT,0))),0)))</f>
        <v/>
      </c>
      <c r="L292" s="10">
        <f>IF(OR($H292&lt;&gt;"Y",3&lt;$I292),0,IF(SUMPRODUCT(((BULK_ENABLED="Y")*((BULK_TIER="ALL")+(BULK_TIER=$F292))*((BULK_SKU="ALL")+(BULK_SKU=$G292))*(BULK_START&lt;=3)*(BULK_END&gt;=3)))&gt;0,IFERROR(SUMPRODUCT(((BULK_ENABLED="Y")*((BULK_TIER="ALL")+(BULK_TIER=$F292))*((BULK_SKU="ALL")+(BULK_SKU=$G292))*(BULK_START&lt;=3)*(BULK_END&gt;=3))*IFERROR(BULK_VALUE,0))/MAX(1,SUMPRODUCT(((BULK_ENABLED="Y")*((BULK_TIER="ALL")+(BULK_TIER=$F292))*((BULK_SKU="ALL")+(BULK_SKU=$G292))*(BULK_START&lt;=3)*(BULK_END&gt;=3)))),0),ROUND((INDEX(VELOCITY_TABLE,MATCH($F292,TIER_LIST,0),3))*(IF((3-$I292+1)&lt;=0,0,IF((3-$I292+1)=1,RAMP_W1,IF((3-$I292+1)=2,RAMP_W2,IF((3-$I292+1)=3,RAMP_W3,RAMP_W4PLUS)))))*(INDEX(ACTIVE_MULT_TABLE,3,1))*(1+SUMPRODUCT(SIGN(((ACT_DOOR_SCOPE="ALL")+(ACT_DOOR_SCOPE="TIER_"&amp;$F292)+(ACT_DOOR_SCOPE=$B292)))*SIGN(((ACT_SKU_SCOPE="ALL")+(ACT_SKU_SCOPE=$G292)))*(ACT_START&lt;=3)*(ACT_END&gt;=3)*IFERROR(ACT_UPLIFT-1,0)))*(1+SUMPRODUCT(SIGN(((ACT_DOOR_SCOPE="ALL")+(ACT_DOOR_SCOPE="TIER_"&amp;$F292)+(ACT_DOOR_SCOPE=$B292)))*SIGN(((ACT_SKU_SCOPE="ALL")+(ACT_SKU_SCOPE=$G292)))*(3&gt;ACT_END)*(ACT_END&gt;0)*IFERROR(ACT_POSTLIFT,0))),0)))</f>
        <v/>
      </c>
      <c r="M292" s="10">
        <f>IF(OR($H292&lt;&gt;"Y",4&lt;$I292),0,IF(SUMPRODUCT(((BULK_ENABLED="Y")*((BULK_TIER="ALL")+(BULK_TIER=$F292))*((BULK_SKU="ALL")+(BULK_SKU=$G292))*(BULK_START&lt;=4)*(BULK_END&gt;=4)))&gt;0,IFERROR(SUMPRODUCT(((BULK_ENABLED="Y")*((BULK_TIER="ALL")+(BULK_TIER=$F292))*((BULK_SKU="ALL")+(BULK_SKU=$G292))*(BULK_START&lt;=4)*(BULK_END&gt;=4))*IFERROR(BULK_VALUE,0))/MAX(1,SUMPRODUCT(((BULK_ENABLED="Y")*((BULK_TIER="ALL")+(BULK_TIER=$F292))*((BULK_SKU="ALL")+(BULK_SKU=$G292))*(BULK_START&lt;=4)*(BULK_END&gt;=4)))),0),ROUND((INDEX(VELOCITY_TABLE,MATCH($F292,TIER_LIST,0),3))*(IF((4-$I292+1)&lt;=0,0,IF((4-$I292+1)=1,RAMP_W1,IF((4-$I292+1)=2,RAMP_W2,IF((4-$I292+1)=3,RAMP_W3,RAMP_W4PLUS)))))*(INDEX(ACTIVE_MULT_TABLE,3,1))*(1+SUMPRODUCT(SIGN(((ACT_DOOR_SCOPE="ALL")+(ACT_DOOR_SCOPE="TIER_"&amp;$F292)+(ACT_DOOR_SCOPE=$B292)))*SIGN(((ACT_SKU_SCOPE="ALL")+(ACT_SKU_SCOPE=$G292)))*(ACT_START&lt;=4)*(ACT_END&gt;=4)*IFERROR(ACT_UPLIFT-1,0)))*(1+SUMPRODUCT(SIGN(((ACT_DOOR_SCOPE="ALL")+(ACT_DOOR_SCOPE="TIER_"&amp;$F292)+(ACT_DOOR_SCOPE=$B292)))*SIGN(((ACT_SKU_SCOPE="ALL")+(ACT_SKU_SCOPE=$G292)))*(4&gt;ACT_END)*(ACT_END&gt;0)*IFERROR(ACT_POSTLIFT,0))),0)))</f>
        <v/>
      </c>
      <c r="N292" s="10">
        <f>IF(OR($H292&lt;&gt;"Y",5&lt;$I292),0,IF(SUMPRODUCT(((BULK_ENABLED="Y")*((BULK_TIER="ALL")+(BULK_TIER=$F292))*((BULK_SKU="ALL")+(BULK_SKU=$G292))*(BULK_START&lt;=5)*(BULK_END&gt;=5)))&gt;0,IFERROR(SUMPRODUCT(((BULK_ENABLED="Y")*((BULK_TIER="ALL")+(BULK_TIER=$F292))*((BULK_SKU="ALL")+(BULK_SKU=$G292))*(BULK_START&lt;=5)*(BULK_END&gt;=5))*IFERROR(BULK_VALUE,0))/MAX(1,SUMPRODUCT(((BULK_ENABLED="Y")*((BULK_TIER="ALL")+(BULK_TIER=$F292))*((BULK_SKU="ALL")+(BULK_SKU=$G292))*(BULK_START&lt;=5)*(BULK_END&gt;=5)))),0),ROUND((INDEX(VELOCITY_TABLE,MATCH($F292,TIER_LIST,0),3))*(IF((5-$I292+1)&lt;=0,0,IF((5-$I292+1)=1,RAMP_W1,IF((5-$I292+1)=2,RAMP_W2,IF((5-$I292+1)=3,RAMP_W3,RAMP_W4PLUS)))))*(INDEX(ACTIVE_MULT_TABLE,3,1))*(1+SUMPRODUCT(SIGN(((ACT_DOOR_SCOPE="ALL")+(ACT_DOOR_SCOPE="TIER_"&amp;$F292)+(ACT_DOOR_SCOPE=$B292)))*SIGN(((ACT_SKU_SCOPE="ALL")+(ACT_SKU_SCOPE=$G292)))*(ACT_START&lt;=5)*(ACT_END&gt;=5)*IFERROR(ACT_UPLIFT-1,0)))*(1+SUMPRODUCT(SIGN(((ACT_DOOR_SCOPE="ALL")+(ACT_DOOR_SCOPE="TIER_"&amp;$F292)+(ACT_DOOR_SCOPE=$B292)))*SIGN(((ACT_SKU_SCOPE="ALL")+(ACT_SKU_SCOPE=$G292)))*(5&gt;ACT_END)*(ACT_END&gt;0)*IFERROR(ACT_POSTLIFT,0))),0)))</f>
        <v/>
      </c>
      <c r="O292" s="10">
        <f>IF(OR($H292&lt;&gt;"Y",6&lt;$I292),0,IF(SUMPRODUCT(((BULK_ENABLED="Y")*((BULK_TIER="ALL")+(BULK_TIER=$F292))*((BULK_SKU="ALL")+(BULK_SKU=$G292))*(BULK_START&lt;=6)*(BULK_END&gt;=6)))&gt;0,IFERROR(SUMPRODUCT(((BULK_ENABLED="Y")*((BULK_TIER="ALL")+(BULK_TIER=$F292))*((BULK_SKU="ALL")+(BULK_SKU=$G292))*(BULK_START&lt;=6)*(BULK_END&gt;=6))*IFERROR(BULK_VALUE,0))/MAX(1,SUMPRODUCT(((BULK_ENABLED="Y")*((BULK_TIER="ALL")+(BULK_TIER=$F292))*((BULK_SKU="ALL")+(BULK_SKU=$G292))*(BULK_START&lt;=6)*(BULK_END&gt;=6)))),0),ROUND((INDEX(VELOCITY_TABLE,MATCH($F292,TIER_LIST,0),3))*(IF((6-$I292+1)&lt;=0,0,IF((6-$I292+1)=1,RAMP_W1,IF((6-$I292+1)=2,RAMP_W2,IF((6-$I292+1)=3,RAMP_W3,RAMP_W4PLUS)))))*(INDEX(ACTIVE_MULT_TABLE,3,1))*(1+SUMPRODUCT(SIGN(((ACT_DOOR_SCOPE="ALL")+(ACT_DOOR_SCOPE="TIER_"&amp;$F292)+(ACT_DOOR_SCOPE=$B292)))*SIGN(((ACT_SKU_SCOPE="ALL")+(ACT_SKU_SCOPE=$G292)))*(ACT_START&lt;=6)*(ACT_END&gt;=6)*IFERROR(ACT_UPLIFT-1,0)))*(1+SUMPRODUCT(SIGN(((ACT_DOOR_SCOPE="ALL")+(ACT_DOOR_SCOPE="TIER_"&amp;$F292)+(ACT_DOOR_SCOPE=$B292)))*SIGN(((ACT_SKU_SCOPE="ALL")+(ACT_SKU_SCOPE=$G292)))*(6&gt;ACT_END)*(ACT_END&gt;0)*IFERROR(ACT_POSTLIFT,0))),0)))</f>
        <v/>
      </c>
      <c r="P292" s="10">
        <f>IF(OR($H292&lt;&gt;"Y",7&lt;$I292),0,IF(SUMPRODUCT(((BULK_ENABLED="Y")*((BULK_TIER="ALL")+(BULK_TIER=$F292))*((BULK_SKU="ALL")+(BULK_SKU=$G292))*(BULK_START&lt;=7)*(BULK_END&gt;=7)))&gt;0,IFERROR(SUMPRODUCT(((BULK_ENABLED="Y")*((BULK_TIER="ALL")+(BULK_TIER=$F292))*((BULK_SKU="ALL")+(BULK_SKU=$G292))*(BULK_START&lt;=7)*(BULK_END&gt;=7))*IFERROR(BULK_VALUE,0))/MAX(1,SUMPRODUCT(((BULK_ENABLED="Y")*((BULK_TIER="ALL")+(BULK_TIER=$F292))*((BULK_SKU="ALL")+(BULK_SKU=$G292))*(BULK_START&lt;=7)*(BULK_END&gt;=7)))),0),ROUND((INDEX(VELOCITY_TABLE,MATCH($F292,TIER_LIST,0),3))*(IF((7-$I292+1)&lt;=0,0,IF((7-$I292+1)=1,RAMP_W1,IF((7-$I292+1)=2,RAMP_W2,IF((7-$I292+1)=3,RAMP_W3,RAMP_W4PLUS)))))*(INDEX(ACTIVE_MULT_TABLE,3,1))*(1+SUMPRODUCT(SIGN(((ACT_DOOR_SCOPE="ALL")+(ACT_DOOR_SCOPE="TIER_"&amp;$F292)+(ACT_DOOR_SCOPE=$B292)))*SIGN(((ACT_SKU_SCOPE="ALL")+(ACT_SKU_SCOPE=$G292)))*(ACT_START&lt;=7)*(ACT_END&gt;=7)*IFERROR(ACT_UPLIFT-1,0)))*(1+SUMPRODUCT(SIGN(((ACT_DOOR_SCOPE="ALL")+(ACT_DOOR_SCOPE="TIER_"&amp;$F292)+(ACT_DOOR_SCOPE=$B292)))*SIGN(((ACT_SKU_SCOPE="ALL")+(ACT_SKU_SCOPE=$G292)))*(7&gt;ACT_END)*(ACT_END&gt;0)*IFERROR(ACT_POSTLIFT,0))),0)))</f>
        <v/>
      </c>
      <c r="Q292" s="10">
        <f>IF(OR($H292&lt;&gt;"Y",8&lt;$I292),0,IF(SUMPRODUCT(((BULK_ENABLED="Y")*((BULK_TIER="ALL")+(BULK_TIER=$F292))*((BULK_SKU="ALL")+(BULK_SKU=$G292))*(BULK_START&lt;=8)*(BULK_END&gt;=8)))&gt;0,IFERROR(SUMPRODUCT(((BULK_ENABLED="Y")*((BULK_TIER="ALL")+(BULK_TIER=$F292))*((BULK_SKU="ALL")+(BULK_SKU=$G292))*(BULK_START&lt;=8)*(BULK_END&gt;=8))*IFERROR(BULK_VALUE,0))/MAX(1,SUMPRODUCT(((BULK_ENABLED="Y")*((BULK_TIER="ALL")+(BULK_TIER=$F292))*((BULK_SKU="ALL")+(BULK_SKU=$G292))*(BULK_START&lt;=8)*(BULK_END&gt;=8)))),0),ROUND((INDEX(VELOCITY_TABLE,MATCH($F292,TIER_LIST,0),3))*(IF((8-$I292+1)&lt;=0,0,IF((8-$I292+1)=1,RAMP_W1,IF((8-$I292+1)=2,RAMP_W2,IF((8-$I292+1)=3,RAMP_W3,RAMP_W4PLUS)))))*(INDEX(ACTIVE_MULT_TABLE,3,1))*(1+SUMPRODUCT(SIGN(((ACT_DOOR_SCOPE="ALL")+(ACT_DOOR_SCOPE="TIER_"&amp;$F292)+(ACT_DOOR_SCOPE=$B292)))*SIGN(((ACT_SKU_SCOPE="ALL")+(ACT_SKU_SCOPE=$G292)))*(ACT_START&lt;=8)*(ACT_END&gt;=8)*IFERROR(ACT_UPLIFT-1,0)))*(1+SUMPRODUCT(SIGN(((ACT_DOOR_SCOPE="ALL")+(ACT_DOOR_SCOPE="TIER_"&amp;$F292)+(ACT_DOOR_SCOPE=$B292)))*SIGN(((ACT_SKU_SCOPE="ALL")+(ACT_SKU_SCOPE=$G292)))*(8&gt;ACT_END)*(ACT_END&gt;0)*IFERROR(ACT_POSTLIFT,0))),0)))</f>
        <v/>
      </c>
      <c r="R292" s="10">
        <f>IF(OR($H292&lt;&gt;"Y",9&lt;$I292),0,IF(SUMPRODUCT(((BULK_ENABLED="Y")*((BULK_TIER="ALL")+(BULK_TIER=$F292))*((BULK_SKU="ALL")+(BULK_SKU=$G292))*(BULK_START&lt;=9)*(BULK_END&gt;=9)))&gt;0,IFERROR(SUMPRODUCT(((BULK_ENABLED="Y")*((BULK_TIER="ALL")+(BULK_TIER=$F292))*((BULK_SKU="ALL")+(BULK_SKU=$G292))*(BULK_START&lt;=9)*(BULK_END&gt;=9))*IFERROR(BULK_VALUE,0))/MAX(1,SUMPRODUCT(((BULK_ENABLED="Y")*((BULK_TIER="ALL")+(BULK_TIER=$F292))*((BULK_SKU="ALL")+(BULK_SKU=$G292))*(BULK_START&lt;=9)*(BULK_END&gt;=9)))),0),ROUND((INDEX(VELOCITY_TABLE,MATCH($F292,TIER_LIST,0),3))*(IF((9-$I292+1)&lt;=0,0,IF((9-$I292+1)=1,RAMP_W1,IF((9-$I292+1)=2,RAMP_W2,IF((9-$I292+1)=3,RAMP_W3,RAMP_W4PLUS)))))*(INDEX(ACTIVE_MULT_TABLE,3,1))*(1+SUMPRODUCT(SIGN(((ACT_DOOR_SCOPE="ALL")+(ACT_DOOR_SCOPE="TIER_"&amp;$F292)+(ACT_DOOR_SCOPE=$B292)))*SIGN(((ACT_SKU_SCOPE="ALL")+(ACT_SKU_SCOPE=$G292)))*(ACT_START&lt;=9)*(ACT_END&gt;=9)*IFERROR(ACT_UPLIFT-1,0)))*(1+SUMPRODUCT(SIGN(((ACT_DOOR_SCOPE="ALL")+(ACT_DOOR_SCOPE="TIER_"&amp;$F292)+(ACT_DOOR_SCOPE=$B292)))*SIGN(((ACT_SKU_SCOPE="ALL")+(ACT_SKU_SCOPE=$G292)))*(9&gt;ACT_END)*(ACT_END&gt;0)*IFERROR(ACT_POSTLIFT,0))),0)))</f>
        <v/>
      </c>
      <c r="S292" s="10">
        <f>IF(OR($H292&lt;&gt;"Y",10&lt;$I292),0,IF(SUMPRODUCT(((BULK_ENABLED="Y")*((BULK_TIER="ALL")+(BULK_TIER=$F292))*((BULK_SKU="ALL")+(BULK_SKU=$G292))*(BULK_START&lt;=10)*(BULK_END&gt;=10)))&gt;0,IFERROR(SUMPRODUCT(((BULK_ENABLED="Y")*((BULK_TIER="ALL")+(BULK_TIER=$F292))*((BULK_SKU="ALL")+(BULK_SKU=$G292))*(BULK_START&lt;=10)*(BULK_END&gt;=10))*IFERROR(BULK_VALUE,0))/MAX(1,SUMPRODUCT(((BULK_ENABLED="Y")*((BULK_TIER="ALL")+(BULK_TIER=$F292))*((BULK_SKU="ALL")+(BULK_SKU=$G292))*(BULK_START&lt;=10)*(BULK_END&gt;=10)))),0),ROUND((INDEX(VELOCITY_TABLE,MATCH($F292,TIER_LIST,0),3))*(IF((10-$I292+1)&lt;=0,0,IF((10-$I292+1)=1,RAMP_W1,IF((10-$I292+1)=2,RAMP_W2,IF((10-$I292+1)=3,RAMP_W3,RAMP_W4PLUS)))))*(INDEX(ACTIVE_MULT_TABLE,3,1))*(1+SUMPRODUCT(SIGN(((ACT_DOOR_SCOPE="ALL")+(ACT_DOOR_SCOPE="TIER_"&amp;$F292)+(ACT_DOOR_SCOPE=$B292)))*SIGN(((ACT_SKU_SCOPE="ALL")+(ACT_SKU_SCOPE=$G292)))*(ACT_START&lt;=10)*(ACT_END&gt;=10)*IFERROR(ACT_UPLIFT-1,0)))*(1+SUMPRODUCT(SIGN(((ACT_DOOR_SCOPE="ALL")+(ACT_DOOR_SCOPE="TIER_"&amp;$F292)+(ACT_DOOR_SCOPE=$B292)))*SIGN(((ACT_SKU_SCOPE="ALL")+(ACT_SKU_SCOPE=$G292)))*(10&gt;ACT_END)*(ACT_END&gt;0)*IFERROR(ACT_POSTLIFT,0))),0)))</f>
        <v/>
      </c>
      <c r="T292" s="10">
        <f>IF(OR($H292&lt;&gt;"Y",11&lt;$I292),0,IF(SUMPRODUCT(((BULK_ENABLED="Y")*((BULK_TIER="ALL")+(BULK_TIER=$F292))*((BULK_SKU="ALL")+(BULK_SKU=$G292))*(BULK_START&lt;=11)*(BULK_END&gt;=11)))&gt;0,IFERROR(SUMPRODUCT(((BULK_ENABLED="Y")*((BULK_TIER="ALL")+(BULK_TIER=$F292))*((BULK_SKU="ALL")+(BULK_SKU=$G292))*(BULK_START&lt;=11)*(BULK_END&gt;=11))*IFERROR(BULK_VALUE,0))/MAX(1,SUMPRODUCT(((BULK_ENABLED="Y")*((BULK_TIER="ALL")+(BULK_TIER=$F292))*((BULK_SKU="ALL")+(BULK_SKU=$G292))*(BULK_START&lt;=11)*(BULK_END&gt;=11)))),0),ROUND((INDEX(VELOCITY_TABLE,MATCH($F292,TIER_LIST,0),3))*(IF((11-$I292+1)&lt;=0,0,IF((11-$I292+1)=1,RAMP_W1,IF((11-$I292+1)=2,RAMP_W2,IF((11-$I292+1)=3,RAMP_W3,RAMP_W4PLUS)))))*(INDEX(ACTIVE_MULT_TABLE,3,1))*(1+SUMPRODUCT(SIGN(((ACT_DOOR_SCOPE="ALL")+(ACT_DOOR_SCOPE="TIER_"&amp;$F292)+(ACT_DOOR_SCOPE=$B292)))*SIGN(((ACT_SKU_SCOPE="ALL")+(ACT_SKU_SCOPE=$G292)))*(ACT_START&lt;=11)*(ACT_END&gt;=11)*IFERROR(ACT_UPLIFT-1,0)))*(1+SUMPRODUCT(SIGN(((ACT_DOOR_SCOPE="ALL")+(ACT_DOOR_SCOPE="TIER_"&amp;$F292)+(ACT_DOOR_SCOPE=$B292)))*SIGN(((ACT_SKU_SCOPE="ALL")+(ACT_SKU_SCOPE=$G292)))*(11&gt;ACT_END)*(ACT_END&gt;0)*IFERROR(ACT_POSTLIFT,0))),0)))</f>
        <v/>
      </c>
      <c r="U292" s="10">
        <f>IF(OR($H292&lt;&gt;"Y",12&lt;$I292),0,IF(SUMPRODUCT(((BULK_ENABLED="Y")*((BULK_TIER="ALL")+(BULK_TIER=$F292))*((BULK_SKU="ALL")+(BULK_SKU=$G292))*(BULK_START&lt;=12)*(BULK_END&gt;=12)))&gt;0,IFERROR(SUMPRODUCT(((BULK_ENABLED="Y")*((BULK_TIER="ALL")+(BULK_TIER=$F292))*((BULK_SKU="ALL")+(BULK_SKU=$G292))*(BULK_START&lt;=12)*(BULK_END&gt;=12))*IFERROR(BULK_VALUE,0))/MAX(1,SUMPRODUCT(((BULK_ENABLED="Y")*((BULK_TIER="ALL")+(BULK_TIER=$F292))*((BULK_SKU="ALL")+(BULK_SKU=$G292))*(BULK_START&lt;=12)*(BULK_END&gt;=12)))),0),ROUND((INDEX(VELOCITY_TABLE,MATCH($F292,TIER_LIST,0),3))*(IF((12-$I292+1)&lt;=0,0,IF((12-$I292+1)=1,RAMP_W1,IF((12-$I292+1)=2,RAMP_W2,IF((12-$I292+1)=3,RAMP_W3,RAMP_W4PLUS)))))*(INDEX(ACTIVE_MULT_TABLE,3,1))*(1+SUMPRODUCT(SIGN(((ACT_DOOR_SCOPE="ALL")+(ACT_DOOR_SCOPE="TIER_"&amp;$F292)+(ACT_DOOR_SCOPE=$B292)))*SIGN(((ACT_SKU_SCOPE="ALL")+(ACT_SKU_SCOPE=$G292)))*(ACT_START&lt;=12)*(ACT_END&gt;=12)*IFERROR(ACT_UPLIFT-1,0)))*(1+SUMPRODUCT(SIGN(((ACT_DOOR_SCOPE="ALL")+(ACT_DOOR_SCOPE="TIER_"&amp;$F292)+(ACT_DOOR_SCOPE=$B292)))*SIGN(((ACT_SKU_SCOPE="ALL")+(ACT_SKU_SCOPE=$G292)))*(12&gt;ACT_END)*(ACT_END&gt;0)*IFERROR(ACT_POSTLIFT,0))),0)))</f>
        <v/>
      </c>
      <c r="V292" s="10">
        <f>IF(OR($H292&lt;&gt;"Y",13&lt;$I292),0,IF(SUMPRODUCT(((BULK_ENABLED="Y")*((BULK_TIER="ALL")+(BULK_TIER=$F292))*((BULK_SKU="ALL")+(BULK_SKU=$G292))*(BULK_START&lt;=13)*(BULK_END&gt;=13)))&gt;0,IFERROR(SUMPRODUCT(((BULK_ENABLED="Y")*((BULK_TIER="ALL")+(BULK_TIER=$F292))*((BULK_SKU="ALL")+(BULK_SKU=$G292))*(BULK_START&lt;=13)*(BULK_END&gt;=13))*IFERROR(BULK_VALUE,0))/MAX(1,SUMPRODUCT(((BULK_ENABLED="Y")*((BULK_TIER="ALL")+(BULK_TIER=$F292))*((BULK_SKU="ALL")+(BULK_SKU=$G292))*(BULK_START&lt;=13)*(BULK_END&gt;=13)))),0),ROUND((INDEX(VELOCITY_TABLE,MATCH($F292,TIER_LIST,0),3))*(IF((13-$I292+1)&lt;=0,0,IF((13-$I292+1)=1,RAMP_W1,IF((13-$I292+1)=2,RAMP_W2,IF((13-$I292+1)=3,RAMP_W3,RAMP_W4PLUS)))))*(INDEX(ACTIVE_MULT_TABLE,3,1))*(1+SUMPRODUCT(SIGN(((ACT_DOOR_SCOPE="ALL")+(ACT_DOOR_SCOPE="TIER_"&amp;$F292)+(ACT_DOOR_SCOPE=$B292)))*SIGN(((ACT_SKU_SCOPE="ALL")+(ACT_SKU_SCOPE=$G292)))*(ACT_START&lt;=13)*(ACT_END&gt;=13)*IFERROR(ACT_UPLIFT-1,0)))*(1+SUMPRODUCT(SIGN(((ACT_DOOR_SCOPE="ALL")+(ACT_DOOR_SCOPE="TIER_"&amp;$F292)+(ACT_DOOR_SCOPE=$B292)))*SIGN(((ACT_SKU_SCOPE="ALL")+(ACT_SKU_SCOPE=$G292)))*(13&gt;ACT_END)*(ACT_END&gt;0)*IFERROR(ACT_POSTLIFT,0))),0)))</f>
        <v/>
      </c>
    </row>
    <row r="293">
      <c r="A293" t="inlineStr">
        <is>
          <t>R0289</t>
        </is>
      </c>
      <c r="B293">
        <f>Doors!$A$101</f>
        <v/>
      </c>
      <c r="C293">
        <f>Doors!$C$101</f>
        <v/>
      </c>
      <c r="D293">
        <f>Doors!$B$101</f>
        <v/>
      </c>
      <c r="E293">
        <f>Doors!$E$101</f>
        <v/>
      </c>
      <c r="F293">
        <f>Doors!$F$101</f>
        <v/>
      </c>
      <c r="G293" t="inlineStr">
        <is>
          <t>Lime Lemon</t>
        </is>
      </c>
      <c r="H293">
        <f>Doors!$G$101</f>
        <v/>
      </c>
      <c r="I293">
        <f>Doors!$J$101</f>
        <v/>
      </c>
      <c r="J293" s="10">
        <f>IF(OR($H293&lt;&gt;"Y",1&lt;$I293),0,IF(SUMPRODUCT(((BULK_ENABLED="Y")*((BULK_TIER="ALL")+(BULK_TIER=$F293))*((BULK_SKU="ALL")+(BULK_SKU=$G293))*(BULK_START&lt;=1)*(BULK_END&gt;=1)))&gt;0,IFERROR(SUMPRODUCT(((BULK_ENABLED="Y")*((BULK_TIER="ALL")+(BULK_TIER=$F293))*((BULK_SKU="ALL")+(BULK_SKU=$G293))*(BULK_START&lt;=1)*(BULK_END&gt;=1))*IFERROR(BULK_VALUE,0))/MAX(1,SUMPRODUCT(((BULK_ENABLED="Y")*((BULK_TIER="ALL")+(BULK_TIER=$F293))*((BULK_SKU="ALL")+(BULK_SKU=$G293))*(BULK_START&lt;=1)*(BULK_END&gt;=1)))),0),ROUND((INDEX(VELOCITY_TABLE,MATCH($F293,TIER_LIST,0),1))*(IF((1-$I293+1)&lt;=0,0,IF((1-$I293+1)=1,RAMP_W1,IF((1-$I293+1)=2,RAMP_W2,IF((1-$I293+1)=3,RAMP_W3,RAMP_W4PLUS)))))*(INDEX(ACTIVE_MULT_TABLE,1,1))*(1+SUMPRODUCT(SIGN(((ACT_DOOR_SCOPE="ALL")+(ACT_DOOR_SCOPE="TIER_"&amp;$F293)+(ACT_DOOR_SCOPE=$B293)))*SIGN(((ACT_SKU_SCOPE="ALL")+(ACT_SKU_SCOPE=$G293)))*(ACT_START&lt;=1)*(ACT_END&gt;=1)*IFERROR(ACT_UPLIFT-1,0)))*(1+SUMPRODUCT(SIGN(((ACT_DOOR_SCOPE="ALL")+(ACT_DOOR_SCOPE="TIER_"&amp;$F293)+(ACT_DOOR_SCOPE=$B293)))*SIGN(((ACT_SKU_SCOPE="ALL")+(ACT_SKU_SCOPE=$G293)))*(1&gt;ACT_END)*(ACT_END&gt;0)*IFERROR(ACT_POSTLIFT,0))),0)))</f>
        <v/>
      </c>
      <c r="K293" s="10">
        <f>IF(OR($H293&lt;&gt;"Y",2&lt;$I293),0,IF(SUMPRODUCT(((BULK_ENABLED="Y")*((BULK_TIER="ALL")+(BULK_TIER=$F293))*((BULK_SKU="ALL")+(BULK_SKU=$G293))*(BULK_START&lt;=2)*(BULK_END&gt;=2)))&gt;0,IFERROR(SUMPRODUCT(((BULK_ENABLED="Y")*((BULK_TIER="ALL")+(BULK_TIER=$F293))*((BULK_SKU="ALL")+(BULK_SKU=$G293))*(BULK_START&lt;=2)*(BULK_END&gt;=2))*IFERROR(BULK_VALUE,0))/MAX(1,SUMPRODUCT(((BULK_ENABLED="Y")*((BULK_TIER="ALL")+(BULK_TIER=$F293))*((BULK_SKU="ALL")+(BULK_SKU=$G293))*(BULK_START&lt;=2)*(BULK_END&gt;=2)))),0),ROUND((INDEX(VELOCITY_TABLE,MATCH($F293,TIER_LIST,0),1))*(IF((2-$I293+1)&lt;=0,0,IF((2-$I293+1)=1,RAMP_W1,IF((2-$I293+1)=2,RAMP_W2,IF((2-$I293+1)=3,RAMP_W3,RAMP_W4PLUS)))))*(INDEX(ACTIVE_MULT_TABLE,1,1))*(1+SUMPRODUCT(SIGN(((ACT_DOOR_SCOPE="ALL")+(ACT_DOOR_SCOPE="TIER_"&amp;$F293)+(ACT_DOOR_SCOPE=$B293)))*SIGN(((ACT_SKU_SCOPE="ALL")+(ACT_SKU_SCOPE=$G293)))*(ACT_START&lt;=2)*(ACT_END&gt;=2)*IFERROR(ACT_UPLIFT-1,0)))*(1+SUMPRODUCT(SIGN(((ACT_DOOR_SCOPE="ALL")+(ACT_DOOR_SCOPE="TIER_"&amp;$F293)+(ACT_DOOR_SCOPE=$B293)))*SIGN(((ACT_SKU_SCOPE="ALL")+(ACT_SKU_SCOPE=$G293)))*(2&gt;ACT_END)*(ACT_END&gt;0)*IFERROR(ACT_POSTLIFT,0))),0)))</f>
        <v/>
      </c>
      <c r="L293" s="10">
        <f>IF(OR($H293&lt;&gt;"Y",3&lt;$I293),0,IF(SUMPRODUCT(((BULK_ENABLED="Y")*((BULK_TIER="ALL")+(BULK_TIER=$F293))*((BULK_SKU="ALL")+(BULK_SKU=$G293))*(BULK_START&lt;=3)*(BULK_END&gt;=3)))&gt;0,IFERROR(SUMPRODUCT(((BULK_ENABLED="Y")*((BULK_TIER="ALL")+(BULK_TIER=$F293))*((BULK_SKU="ALL")+(BULK_SKU=$G293))*(BULK_START&lt;=3)*(BULK_END&gt;=3))*IFERROR(BULK_VALUE,0))/MAX(1,SUMPRODUCT(((BULK_ENABLED="Y")*((BULK_TIER="ALL")+(BULK_TIER=$F293))*((BULK_SKU="ALL")+(BULK_SKU=$G293))*(BULK_START&lt;=3)*(BULK_END&gt;=3)))),0),ROUND((INDEX(VELOCITY_TABLE,MATCH($F293,TIER_LIST,0),1))*(IF((3-$I293+1)&lt;=0,0,IF((3-$I293+1)=1,RAMP_W1,IF((3-$I293+1)=2,RAMP_W2,IF((3-$I293+1)=3,RAMP_W3,RAMP_W4PLUS)))))*(INDEX(ACTIVE_MULT_TABLE,1,1))*(1+SUMPRODUCT(SIGN(((ACT_DOOR_SCOPE="ALL")+(ACT_DOOR_SCOPE="TIER_"&amp;$F293)+(ACT_DOOR_SCOPE=$B293)))*SIGN(((ACT_SKU_SCOPE="ALL")+(ACT_SKU_SCOPE=$G293)))*(ACT_START&lt;=3)*(ACT_END&gt;=3)*IFERROR(ACT_UPLIFT-1,0)))*(1+SUMPRODUCT(SIGN(((ACT_DOOR_SCOPE="ALL")+(ACT_DOOR_SCOPE="TIER_"&amp;$F293)+(ACT_DOOR_SCOPE=$B293)))*SIGN(((ACT_SKU_SCOPE="ALL")+(ACT_SKU_SCOPE=$G293)))*(3&gt;ACT_END)*(ACT_END&gt;0)*IFERROR(ACT_POSTLIFT,0))),0)))</f>
        <v/>
      </c>
      <c r="M293" s="10">
        <f>IF(OR($H293&lt;&gt;"Y",4&lt;$I293),0,IF(SUMPRODUCT(((BULK_ENABLED="Y")*((BULK_TIER="ALL")+(BULK_TIER=$F293))*((BULK_SKU="ALL")+(BULK_SKU=$G293))*(BULK_START&lt;=4)*(BULK_END&gt;=4)))&gt;0,IFERROR(SUMPRODUCT(((BULK_ENABLED="Y")*((BULK_TIER="ALL")+(BULK_TIER=$F293))*((BULK_SKU="ALL")+(BULK_SKU=$G293))*(BULK_START&lt;=4)*(BULK_END&gt;=4))*IFERROR(BULK_VALUE,0))/MAX(1,SUMPRODUCT(((BULK_ENABLED="Y")*((BULK_TIER="ALL")+(BULK_TIER=$F293))*((BULK_SKU="ALL")+(BULK_SKU=$G293))*(BULK_START&lt;=4)*(BULK_END&gt;=4)))),0),ROUND((INDEX(VELOCITY_TABLE,MATCH($F293,TIER_LIST,0),1))*(IF((4-$I293+1)&lt;=0,0,IF((4-$I293+1)=1,RAMP_W1,IF((4-$I293+1)=2,RAMP_W2,IF((4-$I293+1)=3,RAMP_W3,RAMP_W4PLUS)))))*(INDEX(ACTIVE_MULT_TABLE,1,1))*(1+SUMPRODUCT(SIGN(((ACT_DOOR_SCOPE="ALL")+(ACT_DOOR_SCOPE="TIER_"&amp;$F293)+(ACT_DOOR_SCOPE=$B293)))*SIGN(((ACT_SKU_SCOPE="ALL")+(ACT_SKU_SCOPE=$G293)))*(ACT_START&lt;=4)*(ACT_END&gt;=4)*IFERROR(ACT_UPLIFT-1,0)))*(1+SUMPRODUCT(SIGN(((ACT_DOOR_SCOPE="ALL")+(ACT_DOOR_SCOPE="TIER_"&amp;$F293)+(ACT_DOOR_SCOPE=$B293)))*SIGN(((ACT_SKU_SCOPE="ALL")+(ACT_SKU_SCOPE=$G293)))*(4&gt;ACT_END)*(ACT_END&gt;0)*IFERROR(ACT_POSTLIFT,0))),0)))</f>
        <v/>
      </c>
      <c r="N293" s="10">
        <f>IF(OR($H293&lt;&gt;"Y",5&lt;$I293),0,IF(SUMPRODUCT(((BULK_ENABLED="Y")*((BULK_TIER="ALL")+(BULK_TIER=$F293))*((BULK_SKU="ALL")+(BULK_SKU=$G293))*(BULK_START&lt;=5)*(BULK_END&gt;=5)))&gt;0,IFERROR(SUMPRODUCT(((BULK_ENABLED="Y")*((BULK_TIER="ALL")+(BULK_TIER=$F293))*((BULK_SKU="ALL")+(BULK_SKU=$G293))*(BULK_START&lt;=5)*(BULK_END&gt;=5))*IFERROR(BULK_VALUE,0))/MAX(1,SUMPRODUCT(((BULK_ENABLED="Y")*((BULK_TIER="ALL")+(BULK_TIER=$F293))*((BULK_SKU="ALL")+(BULK_SKU=$G293))*(BULK_START&lt;=5)*(BULK_END&gt;=5)))),0),ROUND((INDEX(VELOCITY_TABLE,MATCH($F293,TIER_LIST,0),1))*(IF((5-$I293+1)&lt;=0,0,IF((5-$I293+1)=1,RAMP_W1,IF((5-$I293+1)=2,RAMP_W2,IF((5-$I293+1)=3,RAMP_W3,RAMP_W4PLUS)))))*(INDEX(ACTIVE_MULT_TABLE,1,1))*(1+SUMPRODUCT(SIGN(((ACT_DOOR_SCOPE="ALL")+(ACT_DOOR_SCOPE="TIER_"&amp;$F293)+(ACT_DOOR_SCOPE=$B293)))*SIGN(((ACT_SKU_SCOPE="ALL")+(ACT_SKU_SCOPE=$G293)))*(ACT_START&lt;=5)*(ACT_END&gt;=5)*IFERROR(ACT_UPLIFT-1,0)))*(1+SUMPRODUCT(SIGN(((ACT_DOOR_SCOPE="ALL")+(ACT_DOOR_SCOPE="TIER_"&amp;$F293)+(ACT_DOOR_SCOPE=$B293)))*SIGN(((ACT_SKU_SCOPE="ALL")+(ACT_SKU_SCOPE=$G293)))*(5&gt;ACT_END)*(ACT_END&gt;0)*IFERROR(ACT_POSTLIFT,0))),0)))</f>
        <v/>
      </c>
      <c r="O293" s="10">
        <f>IF(OR($H293&lt;&gt;"Y",6&lt;$I293),0,IF(SUMPRODUCT(((BULK_ENABLED="Y")*((BULK_TIER="ALL")+(BULK_TIER=$F293))*((BULK_SKU="ALL")+(BULK_SKU=$G293))*(BULK_START&lt;=6)*(BULK_END&gt;=6)))&gt;0,IFERROR(SUMPRODUCT(((BULK_ENABLED="Y")*((BULK_TIER="ALL")+(BULK_TIER=$F293))*((BULK_SKU="ALL")+(BULK_SKU=$G293))*(BULK_START&lt;=6)*(BULK_END&gt;=6))*IFERROR(BULK_VALUE,0))/MAX(1,SUMPRODUCT(((BULK_ENABLED="Y")*((BULK_TIER="ALL")+(BULK_TIER=$F293))*((BULK_SKU="ALL")+(BULK_SKU=$G293))*(BULK_START&lt;=6)*(BULK_END&gt;=6)))),0),ROUND((INDEX(VELOCITY_TABLE,MATCH($F293,TIER_LIST,0),1))*(IF((6-$I293+1)&lt;=0,0,IF((6-$I293+1)=1,RAMP_W1,IF((6-$I293+1)=2,RAMP_W2,IF((6-$I293+1)=3,RAMP_W3,RAMP_W4PLUS)))))*(INDEX(ACTIVE_MULT_TABLE,1,1))*(1+SUMPRODUCT(SIGN(((ACT_DOOR_SCOPE="ALL")+(ACT_DOOR_SCOPE="TIER_"&amp;$F293)+(ACT_DOOR_SCOPE=$B293)))*SIGN(((ACT_SKU_SCOPE="ALL")+(ACT_SKU_SCOPE=$G293)))*(ACT_START&lt;=6)*(ACT_END&gt;=6)*IFERROR(ACT_UPLIFT-1,0)))*(1+SUMPRODUCT(SIGN(((ACT_DOOR_SCOPE="ALL")+(ACT_DOOR_SCOPE="TIER_"&amp;$F293)+(ACT_DOOR_SCOPE=$B293)))*SIGN(((ACT_SKU_SCOPE="ALL")+(ACT_SKU_SCOPE=$G293)))*(6&gt;ACT_END)*(ACT_END&gt;0)*IFERROR(ACT_POSTLIFT,0))),0)))</f>
        <v/>
      </c>
      <c r="P293" s="10">
        <f>IF(OR($H293&lt;&gt;"Y",7&lt;$I293),0,IF(SUMPRODUCT(((BULK_ENABLED="Y")*((BULK_TIER="ALL")+(BULK_TIER=$F293))*((BULK_SKU="ALL")+(BULK_SKU=$G293))*(BULK_START&lt;=7)*(BULK_END&gt;=7)))&gt;0,IFERROR(SUMPRODUCT(((BULK_ENABLED="Y")*((BULK_TIER="ALL")+(BULK_TIER=$F293))*((BULK_SKU="ALL")+(BULK_SKU=$G293))*(BULK_START&lt;=7)*(BULK_END&gt;=7))*IFERROR(BULK_VALUE,0))/MAX(1,SUMPRODUCT(((BULK_ENABLED="Y")*((BULK_TIER="ALL")+(BULK_TIER=$F293))*((BULK_SKU="ALL")+(BULK_SKU=$G293))*(BULK_START&lt;=7)*(BULK_END&gt;=7)))),0),ROUND((INDEX(VELOCITY_TABLE,MATCH($F293,TIER_LIST,0),1))*(IF((7-$I293+1)&lt;=0,0,IF((7-$I293+1)=1,RAMP_W1,IF((7-$I293+1)=2,RAMP_W2,IF((7-$I293+1)=3,RAMP_W3,RAMP_W4PLUS)))))*(INDEX(ACTIVE_MULT_TABLE,1,1))*(1+SUMPRODUCT(SIGN(((ACT_DOOR_SCOPE="ALL")+(ACT_DOOR_SCOPE="TIER_"&amp;$F293)+(ACT_DOOR_SCOPE=$B293)))*SIGN(((ACT_SKU_SCOPE="ALL")+(ACT_SKU_SCOPE=$G293)))*(ACT_START&lt;=7)*(ACT_END&gt;=7)*IFERROR(ACT_UPLIFT-1,0)))*(1+SUMPRODUCT(SIGN(((ACT_DOOR_SCOPE="ALL")+(ACT_DOOR_SCOPE="TIER_"&amp;$F293)+(ACT_DOOR_SCOPE=$B293)))*SIGN(((ACT_SKU_SCOPE="ALL")+(ACT_SKU_SCOPE=$G293)))*(7&gt;ACT_END)*(ACT_END&gt;0)*IFERROR(ACT_POSTLIFT,0))),0)))</f>
        <v/>
      </c>
      <c r="Q293" s="10">
        <f>IF(OR($H293&lt;&gt;"Y",8&lt;$I293),0,IF(SUMPRODUCT(((BULK_ENABLED="Y")*((BULK_TIER="ALL")+(BULK_TIER=$F293))*((BULK_SKU="ALL")+(BULK_SKU=$G293))*(BULK_START&lt;=8)*(BULK_END&gt;=8)))&gt;0,IFERROR(SUMPRODUCT(((BULK_ENABLED="Y")*((BULK_TIER="ALL")+(BULK_TIER=$F293))*((BULK_SKU="ALL")+(BULK_SKU=$G293))*(BULK_START&lt;=8)*(BULK_END&gt;=8))*IFERROR(BULK_VALUE,0))/MAX(1,SUMPRODUCT(((BULK_ENABLED="Y")*((BULK_TIER="ALL")+(BULK_TIER=$F293))*((BULK_SKU="ALL")+(BULK_SKU=$G293))*(BULK_START&lt;=8)*(BULK_END&gt;=8)))),0),ROUND((INDEX(VELOCITY_TABLE,MATCH($F293,TIER_LIST,0),1))*(IF((8-$I293+1)&lt;=0,0,IF((8-$I293+1)=1,RAMP_W1,IF((8-$I293+1)=2,RAMP_W2,IF((8-$I293+1)=3,RAMP_W3,RAMP_W4PLUS)))))*(INDEX(ACTIVE_MULT_TABLE,1,1))*(1+SUMPRODUCT(SIGN(((ACT_DOOR_SCOPE="ALL")+(ACT_DOOR_SCOPE="TIER_"&amp;$F293)+(ACT_DOOR_SCOPE=$B293)))*SIGN(((ACT_SKU_SCOPE="ALL")+(ACT_SKU_SCOPE=$G293)))*(ACT_START&lt;=8)*(ACT_END&gt;=8)*IFERROR(ACT_UPLIFT-1,0)))*(1+SUMPRODUCT(SIGN(((ACT_DOOR_SCOPE="ALL")+(ACT_DOOR_SCOPE="TIER_"&amp;$F293)+(ACT_DOOR_SCOPE=$B293)))*SIGN(((ACT_SKU_SCOPE="ALL")+(ACT_SKU_SCOPE=$G293)))*(8&gt;ACT_END)*(ACT_END&gt;0)*IFERROR(ACT_POSTLIFT,0))),0)))</f>
        <v/>
      </c>
      <c r="R293" s="10">
        <f>IF(OR($H293&lt;&gt;"Y",9&lt;$I293),0,IF(SUMPRODUCT(((BULK_ENABLED="Y")*((BULK_TIER="ALL")+(BULK_TIER=$F293))*((BULK_SKU="ALL")+(BULK_SKU=$G293))*(BULK_START&lt;=9)*(BULK_END&gt;=9)))&gt;0,IFERROR(SUMPRODUCT(((BULK_ENABLED="Y")*((BULK_TIER="ALL")+(BULK_TIER=$F293))*((BULK_SKU="ALL")+(BULK_SKU=$G293))*(BULK_START&lt;=9)*(BULK_END&gt;=9))*IFERROR(BULK_VALUE,0))/MAX(1,SUMPRODUCT(((BULK_ENABLED="Y")*((BULK_TIER="ALL")+(BULK_TIER=$F293))*((BULK_SKU="ALL")+(BULK_SKU=$G293))*(BULK_START&lt;=9)*(BULK_END&gt;=9)))),0),ROUND((INDEX(VELOCITY_TABLE,MATCH($F293,TIER_LIST,0),1))*(IF((9-$I293+1)&lt;=0,0,IF((9-$I293+1)=1,RAMP_W1,IF((9-$I293+1)=2,RAMP_W2,IF((9-$I293+1)=3,RAMP_W3,RAMP_W4PLUS)))))*(INDEX(ACTIVE_MULT_TABLE,1,1))*(1+SUMPRODUCT(SIGN(((ACT_DOOR_SCOPE="ALL")+(ACT_DOOR_SCOPE="TIER_"&amp;$F293)+(ACT_DOOR_SCOPE=$B293)))*SIGN(((ACT_SKU_SCOPE="ALL")+(ACT_SKU_SCOPE=$G293)))*(ACT_START&lt;=9)*(ACT_END&gt;=9)*IFERROR(ACT_UPLIFT-1,0)))*(1+SUMPRODUCT(SIGN(((ACT_DOOR_SCOPE="ALL")+(ACT_DOOR_SCOPE="TIER_"&amp;$F293)+(ACT_DOOR_SCOPE=$B293)))*SIGN(((ACT_SKU_SCOPE="ALL")+(ACT_SKU_SCOPE=$G293)))*(9&gt;ACT_END)*(ACT_END&gt;0)*IFERROR(ACT_POSTLIFT,0))),0)))</f>
        <v/>
      </c>
      <c r="S293" s="10">
        <f>IF(OR($H293&lt;&gt;"Y",10&lt;$I293),0,IF(SUMPRODUCT(((BULK_ENABLED="Y")*((BULK_TIER="ALL")+(BULK_TIER=$F293))*((BULK_SKU="ALL")+(BULK_SKU=$G293))*(BULK_START&lt;=10)*(BULK_END&gt;=10)))&gt;0,IFERROR(SUMPRODUCT(((BULK_ENABLED="Y")*((BULK_TIER="ALL")+(BULK_TIER=$F293))*((BULK_SKU="ALL")+(BULK_SKU=$G293))*(BULK_START&lt;=10)*(BULK_END&gt;=10))*IFERROR(BULK_VALUE,0))/MAX(1,SUMPRODUCT(((BULK_ENABLED="Y")*((BULK_TIER="ALL")+(BULK_TIER=$F293))*((BULK_SKU="ALL")+(BULK_SKU=$G293))*(BULK_START&lt;=10)*(BULK_END&gt;=10)))),0),ROUND((INDEX(VELOCITY_TABLE,MATCH($F293,TIER_LIST,0),1))*(IF((10-$I293+1)&lt;=0,0,IF((10-$I293+1)=1,RAMP_W1,IF((10-$I293+1)=2,RAMP_W2,IF((10-$I293+1)=3,RAMP_W3,RAMP_W4PLUS)))))*(INDEX(ACTIVE_MULT_TABLE,1,1))*(1+SUMPRODUCT(SIGN(((ACT_DOOR_SCOPE="ALL")+(ACT_DOOR_SCOPE="TIER_"&amp;$F293)+(ACT_DOOR_SCOPE=$B293)))*SIGN(((ACT_SKU_SCOPE="ALL")+(ACT_SKU_SCOPE=$G293)))*(ACT_START&lt;=10)*(ACT_END&gt;=10)*IFERROR(ACT_UPLIFT-1,0)))*(1+SUMPRODUCT(SIGN(((ACT_DOOR_SCOPE="ALL")+(ACT_DOOR_SCOPE="TIER_"&amp;$F293)+(ACT_DOOR_SCOPE=$B293)))*SIGN(((ACT_SKU_SCOPE="ALL")+(ACT_SKU_SCOPE=$G293)))*(10&gt;ACT_END)*(ACT_END&gt;0)*IFERROR(ACT_POSTLIFT,0))),0)))</f>
        <v/>
      </c>
      <c r="T293" s="10">
        <f>IF(OR($H293&lt;&gt;"Y",11&lt;$I293),0,IF(SUMPRODUCT(((BULK_ENABLED="Y")*((BULK_TIER="ALL")+(BULK_TIER=$F293))*((BULK_SKU="ALL")+(BULK_SKU=$G293))*(BULK_START&lt;=11)*(BULK_END&gt;=11)))&gt;0,IFERROR(SUMPRODUCT(((BULK_ENABLED="Y")*((BULK_TIER="ALL")+(BULK_TIER=$F293))*((BULK_SKU="ALL")+(BULK_SKU=$G293))*(BULK_START&lt;=11)*(BULK_END&gt;=11))*IFERROR(BULK_VALUE,0))/MAX(1,SUMPRODUCT(((BULK_ENABLED="Y")*((BULK_TIER="ALL")+(BULK_TIER=$F293))*((BULK_SKU="ALL")+(BULK_SKU=$G293))*(BULK_START&lt;=11)*(BULK_END&gt;=11)))),0),ROUND((INDEX(VELOCITY_TABLE,MATCH($F293,TIER_LIST,0),1))*(IF((11-$I293+1)&lt;=0,0,IF((11-$I293+1)=1,RAMP_W1,IF((11-$I293+1)=2,RAMP_W2,IF((11-$I293+1)=3,RAMP_W3,RAMP_W4PLUS)))))*(INDEX(ACTIVE_MULT_TABLE,1,1))*(1+SUMPRODUCT(SIGN(((ACT_DOOR_SCOPE="ALL")+(ACT_DOOR_SCOPE="TIER_"&amp;$F293)+(ACT_DOOR_SCOPE=$B293)))*SIGN(((ACT_SKU_SCOPE="ALL")+(ACT_SKU_SCOPE=$G293)))*(ACT_START&lt;=11)*(ACT_END&gt;=11)*IFERROR(ACT_UPLIFT-1,0)))*(1+SUMPRODUCT(SIGN(((ACT_DOOR_SCOPE="ALL")+(ACT_DOOR_SCOPE="TIER_"&amp;$F293)+(ACT_DOOR_SCOPE=$B293)))*SIGN(((ACT_SKU_SCOPE="ALL")+(ACT_SKU_SCOPE=$G293)))*(11&gt;ACT_END)*(ACT_END&gt;0)*IFERROR(ACT_POSTLIFT,0))),0)))</f>
        <v/>
      </c>
      <c r="U293" s="10">
        <f>IF(OR($H293&lt;&gt;"Y",12&lt;$I293),0,IF(SUMPRODUCT(((BULK_ENABLED="Y")*((BULK_TIER="ALL")+(BULK_TIER=$F293))*((BULK_SKU="ALL")+(BULK_SKU=$G293))*(BULK_START&lt;=12)*(BULK_END&gt;=12)))&gt;0,IFERROR(SUMPRODUCT(((BULK_ENABLED="Y")*((BULK_TIER="ALL")+(BULK_TIER=$F293))*((BULK_SKU="ALL")+(BULK_SKU=$G293))*(BULK_START&lt;=12)*(BULK_END&gt;=12))*IFERROR(BULK_VALUE,0))/MAX(1,SUMPRODUCT(((BULK_ENABLED="Y")*((BULK_TIER="ALL")+(BULK_TIER=$F293))*((BULK_SKU="ALL")+(BULK_SKU=$G293))*(BULK_START&lt;=12)*(BULK_END&gt;=12)))),0),ROUND((INDEX(VELOCITY_TABLE,MATCH($F293,TIER_LIST,0),1))*(IF((12-$I293+1)&lt;=0,0,IF((12-$I293+1)=1,RAMP_W1,IF((12-$I293+1)=2,RAMP_W2,IF((12-$I293+1)=3,RAMP_W3,RAMP_W4PLUS)))))*(INDEX(ACTIVE_MULT_TABLE,1,1))*(1+SUMPRODUCT(SIGN(((ACT_DOOR_SCOPE="ALL")+(ACT_DOOR_SCOPE="TIER_"&amp;$F293)+(ACT_DOOR_SCOPE=$B293)))*SIGN(((ACT_SKU_SCOPE="ALL")+(ACT_SKU_SCOPE=$G293)))*(ACT_START&lt;=12)*(ACT_END&gt;=12)*IFERROR(ACT_UPLIFT-1,0)))*(1+SUMPRODUCT(SIGN(((ACT_DOOR_SCOPE="ALL")+(ACT_DOOR_SCOPE="TIER_"&amp;$F293)+(ACT_DOOR_SCOPE=$B293)))*SIGN(((ACT_SKU_SCOPE="ALL")+(ACT_SKU_SCOPE=$G293)))*(12&gt;ACT_END)*(ACT_END&gt;0)*IFERROR(ACT_POSTLIFT,0))),0)))</f>
        <v/>
      </c>
      <c r="V293" s="10">
        <f>IF(OR($H293&lt;&gt;"Y",13&lt;$I293),0,IF(SUMPRODUCT(((BULK_ENABLED="Y")*((BULK_TIER="ALL")+(BULK_TIER=$F293))*((BULK_SKU="ALL")+(BULK_SKU=$G293))*(BULK_START&lt;=13)*(BULK_END&gt;=13)))&gt;0,IFERROR(SUMPRODUCT(((BULK_ENABLED="Y")*((BULK_TIER="ALL")+(BULK_TIER=$F293))*((BULK_SKU="ALL")+(BULK_SKU=$G293))*(BULK_START&lt;=13)*(BULK_END&gt;=13))*IFERROR(BULK_VALUE,0))/MAX(1,SUMPRODUCT(((BULK_ENABLED="Y")*((BULK_TIER="ALL")+(BULK_TIER=$F293))*((BULK_SKU="ALL")+(BULK_SKU=$G293))*(BULK_START&lt;=13)*(BULK_END&gt;=13)))),0),ROUND((INDEX(VELOCITY_TABLE,MATCH($F293,TIER_LIST,0),1))*(IF((13-$I293+1)&lt;=0,0,IF((13-$I293+1)=1,RAMP_W1,IF((13-$I293+1)=2,RAMP_W2,IF((13-$I293+1)=3,RAMP_W3,RAMP_W4PLUS)))))*(INDEX(ACTIVE_MULT_TABLE,1,1))*(1+SUMPRODUCT(SIGN(((ACT_DOOR_SCOPE="ALL")+(ACT_DOOR_SCOPE="TIER_"&amp;$F293)+(ACT_DOOR_SCOPE=$B293)))*SIGN(((ACT_SKU_SCOPE="ALL")+(ACT_SKU_SCOPE=$G293)))*(ACT_START&lt;=13)*(ACT_END&gt;=13)*IFERROR(ACT_UPLIFT-1,0)))*(1+SUMPRODUCT(SIGN(((ACT_DOOR_SCOPE="ALL")+(ACT_DOOR_SCOPE="TIER_"&amp;$F293)+(ACT_DOOR_SCOPE=$B293)))*SIGN(((ACT_SKU_SCOPE="ALL")+(ACT_SKU_SCOPE=$G293)))*(13&gt;ACT_END)*(ACT_END&gt;0)*IFERROR(ACT_POSTLIFT,0))),0)))</f>
        <v/>
      </c>
    </row>
    <row r="294">
      <c r="A294" t="inlineStr">
        <is>
          <t>R0290</t>
        </is>
      </c>
      <c r="B294">
        <f>Doors!$A$101</f>
        <v/>
      </c>
      <c r="C294">
        <f>Doors!$C$101</f>
        <v/>
      </c>
      <c r="D294">
        <f>Doors!$B$101</f>
        <v/>
      </c>
      <c r="E294">
        <f>Doors!$E$101</f>
        <v/>
      </c>
      <c r="F294">
        <f>Doors!$F$101</f>
        <v/>
      </c>
      <c r="G294" t="inlineStr">
        <is>
          <t>Pineapple Passion Fruit</t>
        </is>
      </c>
      <c r="H294">
        <f>Doors!$H$101</f>
        <v/>
      </c>
      <c r="I294">
        <f>Doors!$J$101</f>
        <v/>
      </c>
      <c r="J294" s="10">
        <f>IF(OR($H294&lt;&gt;"Y",1&lt;$I294),0,IF(SUMPRODUCT(((BULK_ENABLED="Y")*((BULK_TIER="ALL")+(BULK_TIER=$F294))*((BULK_SKU="ALL")+(BULK_SKU=$G294))*(BULK_START&lt;=1)*(BULK_END&gt;=1)))&gt;0,IFERROR(SUMPRODUCT(((BULK_ENABLED="Y")*((BULK_TIER="ALL")+(BULK_TIER=$F294))*((BULK_SKU="ALL")+(BULK_SKU=$G294))*(BULK_START&lt;=1)*(BULK_END&gt;=1))*IFERROR(BULK_VALUE,0))/MAX(1,SUMPRODUCT(((BULK_ENABLED="Y")*((BULK_TIER="ALL")+(BULK_TIER=$F294))*((BULK_SKU="ALL")+(BULK_SKU=$G294))*(BULK_START&lt;=1)*(BULK_END&gt;=1)))),0),ROUND((INDEX(VELOCITY_TABLE,MATCH($F294,TIER_LIST,0),2))*(IF((1-$I294+1)&lt;=0,0,IF((1-$I294+1)=1,RAMP_W1,IF((1-$I294+1)=2,RAMP_W2,IF((1-$I294+1)=3,RAMP_W3,RAMP_W4PLUS)))))*(INDEX(ACTIVE_MULT_TABLE,2,1))*(1+SUMPRODUCT(SIGN(((ACT_DOOR_SCOPE="ALL")+(ACT_DOOR_SCOPE="TIER_"&amp;$F294)+(ACT_DOOR_SCOPE=$B294)))*SIGN(((ACT_SKU_SCOPE="ALL")+(ACT_SKU_SCOPE=$G294)))*(ACT_START&lt;=1)*(ACT_END&gt;=1)*IFERROR(ACT_UPLIFT-1,0)))*(1+SUMPRODUCT(SIGN(((ACT_DOOR_SCOPE="ALL")+(ACT_DOOR_SCOPE="TIER_"&amp;$F294)+(ACT_DOOR_SCOPE=$B294)))*SIGN(((ACT_SKU_SCOPE="ALL")+(ACT_SKU_SCOPE=$G294)))*(1&gt;ACT_END)*(ACT_END&gt;0)*IFERROR(ACT_POSTLIFT,0))),0)))</f>
        <v/>
      </c>
      <c r="K294" s="10">
        <f>IF(OR($H294&lt;&gt;"Y",2&lt;$I294),0,IF(SUMPRODUCT(((BULK_ENABLED="Y")*((BULK_TIER="ALL")+(BULK_TIER=$F294))*((BULK_SKU="ALL")+(BULK_SKU=$G294))*(BULK_START&lt;=2)*(BULK_END&gt;=2)))&gt;0,IFERROR(SUMPRODUCT(((BULK_ENABLED="Y")*((BULK_TIER="ALL")+(BULK_TIER=$F294))*((BULK_SKU="ALL")+(BULK_SKU=$G294))*(BULK_START&lt;=2)*(BULK_END&gt;=2))*IFERROR(BULK_VALUE,0))/MAX(1,SUMPRODUCT(((BULK_ENABLED="Y")*((BULK_TIER="ALL")+(BULK_TIER=$F294))*((BULK_SKU="ALL")+(BULK_SKU=$G294))*(BULK_START&lt;=2)*(BULK_END&gt;=2)))),0),ROUND((INDEX(VELOCITY_TABLE,MATCH($F294,TIER_LIST,0),2))*(IF((2-$I294+1)&lt;=0,0,IF((2-$I294+1)=1,RAMP_W1,IF((2-$I294+1)=2,RAMP_W2,IF((2-$I294+1)=3,RAMP_W3,RAMP_W4PLUS)))))*(INDEX(ACTIVE_MULT_TABLE,2,1))*(1+SUMPRODUCT(SIGN(((ACT_DOOR_SCOPE="ALL")+(ACT_DOOR_SCOPE="TIER_"&amp;$F294)+(ACT_DOOR_SCOPE=$B294)))*SIGN(((ACT_SKU_SCOPE="ALL")+(ACT_SKU_SCOPE=$G294)))*(ACT_START&lt;=2)*(ACT_END&gt;=2)*IFERROR(ACT_UPLIFT-1,0)))*(1+SUMPRODUCT(SIGN(((ACT_DOOR_SCOPE="ALL")+(ACT_DOOR_SCOPE="TIER_"&amp;$F294)+(ACT_DOOR_SCOPE=$B294)))*SIGN(((ACT_SKU_SCOPE="ALL")+(ACT_SKU_SCOPE=$G294)))*(2&gt;ACT_END)*(ACT_END&gt;0)*IFERROR(ACT_POSTLIFT,0))),0)))</f>
        <v/>
      </c>
      <c r="L294" s="10">
        <f>IF(OR($H294&lt;&gt;"Y",3&lt;$I294),0,IF(SUMPRODUCT(((BULK_ENABLED="Y")*((BULK_TIER="ALL")+(BULK_TIER=$F294))*((BULK_SKU="ALL")+(BULK_SKU=$G294))*(BULK_START&lt;=3)*(BULK_END&gt;=3)))&gt;0,IFERROR(SUMPRODUCT(((BULK_ENABLED="Y")*((BULK_TIER="ALL")+(BULK_TIER=$F294))*((BULK_SKU="ALL")+(BULK_SKU=$G294))*(BULK_START&lt;=3)*(BULK_END&gt;=3))*IFERROR(BULK_VALUE,0))/MAX(1,SUMPRODUCT(((BULK_ENABLED="Y")*((BULK_TIER="ALL")+(BULK_TIER=$F294))*((BULK_SKU="ALL")+(BULK_SKU=$G294))*(BULK_START&lt;=3)*(BULK_END&gt;=3)))),0),ROUND((INDEX(VELOCITY_TABLE,MATCH($F294,TIER_LIST,0),2))*(IF((3-$I294+1)&lt;=0,0,IF((3-$I294+1)=1,RAMP_W1,IF((3-$I294+1)=2,RAMP_W2,IF((3-$I294+1)=3,RAMP_W3,RAMP_W4PLUS)))))*(INDEX(ACTIVE_MULT_TABLE,2,1))*(1+SUMPRODUCT(SIGN(((ACT_DOOR_SCOPE="ALL")+(ACT_DOOR_SCOPE="TIER_"&amp;$F294)+(ACT_DOOR_SCOPE=$B294)))*SIGN(((ACT_SKU_SCOPE="ALL")+(ACT_SKU_SCOPE=$G294)))*(ACT_START&lt;=3)*(ACT_END&gt;=3)*IFERROR(ACT_UPLIFT-1,0)))*(1+SUMPRODUCT(SIGN(((ACT_DOOR_SCOPE="ALL")+(ACT_DOOR_SCOPE="TIER_"&amp;$F294)+(ACT_DOOR_SCOPE=$B294)))*SIGN(((ACT_SKU_SCOPE="ALL")+(ACT_SKU_SCOPE=$G294)))*(3&gt;ACT_END)*(ACT_END&gt;0)*IFERROR(ACT_POSTLIFT,0))),0)))</f>
        <v/>
      </c>
      <c r="M294" s="10">
        <f>IF(OR($H294&lt;&gt;"Y",4&lt;$I294),0,IF(SUMPRODUCT(((BULK_ENABLED="Y")*((BULK_TIER="ALL")+(BULK_TIER=$F294))*((BULK_SKU="ALL")+(BULK_SKU=$G294))*(BULK_START&lt;=4)*(BULK_END&gt;=4)))&gt;0,IFERROR(SUMPRODUCT(((BULK_ENABLED="Y")*((BULK_TIER="ALL")+(BULK_TIER=$F294))*((BULK_SKU="ALL")+(BULK_SKU=$G294))*(BULK_START&lt;=4)*(BULK_END&gt;=4))*IFERROR(BULK_VALUE,0))/MAX(1,SUMPRODUCT(((BULK_ENABLED="Y")*((BULK_TIER="ALL")+(BULK_TIER=$F294))*((BULK_SKU="ALL")+(BULK_SKU=$G294))*(BULK_START&lt;=4)*(BULK_END&gt;=4)))),0),ROUND((INDEX(VELOCITY_TABLE,MATCH($F294,TIER_LIST,0),2))*(IF((4-$I294+1)&lt;=0,0,IF((4-$I294+1)=1,RAMP_W1,IF((4-$I294+1)=2,RAMP_W2,IF((4-$I294+1)=3,RAMP_W3,RAMP_W4PLUS)))))*(INDEX(ACTIVE_MULT_TABLE,2,1))*(1+SUMPRODUCT(SIGN(((ACT_DOOR_SCOPE="ALL")+(ACT_DOOR_SCOPE="TIER_"&amp;$F294)+(ACT_DOOR_SCOPE=$B294)))*SIGN(((ACT_SKU_SCOPE="ALL")+(ACT_SKU_SCOPE=$G294)))*(ACT_START&lt;=4)*(ACT_END&gt;=4)*IFERROR(ACT_UPLIFT-1,0)))*(1+SUMPRODUCT(SIGN(((ACT_DOOR_SCOPE="ALL")+(ACT_DOOR_SCOPE="TIER_"&amp;$F294)+(ACT_DOOR_SCOPE=$B294)))*SIGN(((ACT_SKU_SCOPE="ALL")+(ACT_SKU_SCOPE=$G294)))*(4&gt;ACT_END)*(ACT_END&gt;0)*IFERROR(ACT_POSTLIFT,0))),0)))</f>
        <v/>
      </c>
      <c r="N294" s="10">
        <f>IF(OR($H294&lt;&gt;"Y",5&lt;$I294),0,IF(SUMPRODUCT(((BULK_ENABLED="Y")*((BULK_TIER="ALL")+(BULK_TIER=$F294))*((BULK_SKU="ALL")+(BULK_SKU=$G294))*(BULK_START&lt;=5)*(BULK_END&gt;=5)))&gt;0,IFERROR(SUMPRODUCT(((BULK_ENABLED="Y")*((BULK_TIER="ALL")+(BULK_TIER=$F294))*((BULK_SKU="ALL")+(BULK_SKU=$G294))*(BULK_START&lt;=5)*(BULK_END&gt;=5))*IFERROR(BULK_VALUE,0))/MAX(1,SUMPRODUCT(((BULK_ENABLED="Y")*((BULK_TIER="ALL")+(BULK_TIER=$F294))*((BULK_SKU="ALL")+(BULK_SKU=$G294))*(BULK_START&lt;=5)*(BULK_END&gt;=5)))),0),ROUND((INDEX(VELOCITY_TABLE,MATCH($F294,TIER_LIST,0),2))*(IF((5-$I294+1)&lt;=0,0,IF((5-$I294+1)=1,RAMP_W1,IF((5-$I294+1)=2,RAMP_W2,IF((5-$I294+1)=3,RAMP_W3,RAMP_W4PLUS)))))*(INDEX(ACTIVE_MULT_TABLE,2,1))*(1+SUMPRODUCT(SIGN(((ACT_DOOR_SCOPE="ALL")+(ACT_DOOR_SCOPE="TIER_"&amp;$F294)+(ACT_DOOR_SCOPE=$B294)))*SIGN(((ACT_SKU_SCOPE="ALL")+(ACT_SKU_SCOPE=$G294)))*(ACT_START&lt;=5)*(ACT_END&gt;=5)*IFERROR(ACT_UPLIFT-1,0)))*(1+SUMPRODUCT(SIGN(((ACT_DOOR_SCOPE="ALL")+(ACT_DOOR_SCOPE="TIER_"&amp;$F294)+(ACT_DOOR_SCOPE=$B294)))*SIGN(((ACT_SKU_SCOPE="ALL")+(ACT_SKU_SCOPE=$G294)))*(5&gt;ACT_END)*(ACT_END&gt;0)*IFERROR(ACT_POSTLIFT,0))),0)))</f>
        <v/>
      </c>
      <c r="O294" s="10">
        <f>IF(OR($H294&lt;&gt;"Y",6&lt;$I294),0,IF(SUMPRODUCT(((BULK_ENABLED="Y")*((BULK_TIER="ALL")+(BULK_TIER=$F294))*((BULK_SKU="ALL")+(BULK_SKU=$G294))*(BULK_START&lt;=6)*(BULK_END&gt;=6)))&gt;0,IFERROR(SUMPRODUCT(((BULK_ENABLED="Y")*((BULK_TIER="ALL")+(BULK_TIER=$F294))*((BULK_SKU="ALL")+(BULK_SKU=$G294))*(BULK_START&lt;=6)*(BULK_END&gt;=6))*IFERROR(BULK_VALUE,0))/MAX(1,SUMPRODUCT(((BULK_ENABLED="Y")*((BULK_TIER="ALL")+(BULK_TIER=$F294))*((BULK_SKU="ALL")+(BULK_SKU=$G294))*(BULK_START&lt;=6)*(BULK_END&gt;=6)))),0),ROUND((INDEX(VELOCITY_TABLE,MATCH($F294,TIER_LIST,0),2))*(IF((6-$I294+1)&lt;=0,0,IF((6-$I294+1)=1,RAMP_W1,IF((6-$I294+1)=2,RAMP_W2,IF((6-$I294+1)=3,RAMP_W3,RAMP_W4PLUS)))))*(INDEX(ACTIVE_MULT_TABLE,2,1))*(1+SUMPRODUCT(SIGN(((ACT_DOOR_SCOPE="ALL")+(ACT_DOOR_SCOPE="TIER_"&amp;$F294)+(ACT_DOOR_SCOPE=$B294)))*SIGN(((ACT_SKU_SCOPE="ALL")+(ACT_SKU_SCOPE=$G294)))*(ACT_START&lt;=6)*(ACT_END&gt;=6)*IFERROR(ACT_UPLIFT-1,0)))*(1+SUMPRODUCT(SIGN(((ACT_DOOR_SCOPE="ALL")+(ACT_DOOR_SCOPE="TIER_"&amp;$F294)+(ACT_DOOR_SCOPE=$B294)))*SIGN(((ACT_SKU_SCOPE="ALL")+(ACT_SKU_SCOPE=$G294)))*(6&gt;ACT_END)*(ACT_END&gt;0)*IFERROR(ACT_POSTLIFT,0))),0)))</f>
        <v/>
      </c>
      <c r="P294" s="10">
        <f>IF(OR($H294&lt;&gt;"Y",7&lt;$I294),0,IF(SUMPRODUCT(((BULK_ENABLED="Y")*((BULK_TIER="ALL")+(BULK_TIER=$F294))*((BULK_SKU="ALL")+(BULK_SKU=$G294))*(BULK_START&lt;=7)*(BULK_END&gt;=7)))&gt;0,IFERROR(SUMPRODUCT(((BULK_ENABLED="Y")*((BULK_TIER="ALL")+(BULK_TIER=$F294))*((BULK_SKU="ALL")+(BULK_SKU=$G294))*(BULK_START&lt;=7)*(BULK_END&gt;=7))*IFERROR(BULK_VALUE,0))/MAX(1,SUMPRODUCT(((BULK_ENABLED="Y")*((BULK_TIER="ALL")+(BULK_TIER=$F294))*((BULK_SKU="ALL")+(BULK_SKU=$G294))*(BULK_START&lt;=7)*(BULK_END&gt;=7)))),0),ROUND((INDEX(VELOCITY_TABLE,MATCH($F294,TIER_LIST,0),2))*(IF((7-$I294+1)&lt;=0,0,IF((7-$I294+1)=1,RAMP_W1,IF((7-$I294+1)=2,RAMP_W2,IF((7-$I294+1)=3,RAMP_W3,RAMP_W4PLUS)))))*(INDEX(ACTIVE_MULT_TABLE,2,1))*(1+SUMPRODUCT(SIGN(((ACT_DOOR_SCOPE="ALL")+(ACT_DOOR_SCOPE="TIER_"&amp;$F294)+(ACT_DOOR_SCOPE=$B294)))*SIGN(((ACT_SKU_SCOPE="ALL")+(ACT_SKU_SCOPE=$G294)))*(ACT_START&lt;=7)*(ACT_END&gt;=7)*IFERROR(ACT_UPLIFT-1,0)))*(1+SUMPRODUCT(SIGN(((ACT_DOOR_SCOPE="ALL")+(ACT_DOOR_SCOPE="TIER_"&amp;$F294)+(ACT_DOOR_SCOPE=$B294)))*SIGN(((ACT_SKU_SCOPE="ALL")+(ACT_SKU_SCOPE=$G294)))*(7&gt;ACT_END)*(ACT_END&gt;0)*IFERROR(ACT_POSTLIFT,0))),0)))</f>
        <v/>
      </c>
      <c r="Q294" s="10">
        <f>IF(OR($H294&lt;&gt;"Y",8&lt;$I294),0,IF(SUMPRODUCT(((BULK_ENABLED="Y")*((BULK_TIER="ALL")+(BULK_TIER=$F294))*((BULK_SKU="ALL")+(BULK_SKU=$G294))*(BULK_START&lt;=8)*(BULK_END&gt;=8)))&gt;0,IFERROR(SUMPRODUCT(((BULK_ENABLED="Y")*((BULK_TIER="ALL")+(BULK_TIER=$F294))*((BULK_SKU="ALL")+(BULK_SKU=$G294))*(BULK_START&lt;=8)*(BULK_END&gt;=8))*IFERROR(BULK_VALUE,0))/MAX(1,SUMPRODUCT(((BULK_ENABLED="Y")*((BULK_TIER="ALL")+(BULK_TIER=$F294))*((BULK_SKU="ALL")+(BULK_SKU=$G294))*(BULK_START&lt;=8)*(BULK_END&gt;=8)))),0),ROUND((INDEX(VELOCITY_TABLE,MATCH($F294,TIER_LIST,0),2))*(IF((8-$I294+1)&lt;=0,0,IF((8-$I294+1)=1,RAMP_W1,IF((8-$I294+1)=2,RAMP_W2,IF((8-$I294+1)=3,RAMP_W3,RAMP_W4PLUS)))))*(INDEX(ACTIVE_MULT_TABLE,2,1))*(1+SUMPRODUCT(SIGN(((ACT_DOOR_SCOPE="ALL")+(ACT_DOOR_SCOPE="TIER_"&amp;$F294)+(ACT_DOOR_SCOPE=$B294)))*SIGN(((ACT_SKU_SCOPE="ALL")+(ACT_SKU_SCOPE=$G294)))*(ACT_START&lt;=8)*(ACT_END&gt;=8)*IFERROR(ACT_UPLIFT-1,0)))*(1+SUMPRODUCT(SIGN(((ACT_DOOR_SCOPE="ALL")+(ACT_DOOR_SCOPE="TIER_"&amp;$F294)+(ACT_DOOR_SCOPE=$B294)))*SIGN(((ACT_SKU_SCOPE="ALL")+(ACT_SKU_SCOPE=$G294)))*(8&gt;ACT_END)*(ACT_END&gt;0)*IFERROR(ACT_POSTLIFT,0))),0)))</f>
        <v/>
      </c>
      <c r="R294" s="10">
        <f>IF(OR($H294&lt;&gt;"Y",9&lt;$I294),0,IF(SUMPRODUCT(((BULK_ENABLED="Y")*((BULK_TIER="ALL")+(BULK_TIER=$F294))*((BULK_SKU="ALL")+(BULK_SKU=$G294))*(BULK_START&lt;=9)*(BULK_END&gt;=9)))&gt;0,IFERROR(SUMPRODUCT(((BULK_ENABLED="Y")*((BULK_TIER="ALL")+(BULK_TIER=$F294))*((BULK_SKU="ALL")+(BULK_SKU=$G294))*(BULK_START&lt;=9)*(BULK_END&gt;=9))*IFERROR(BULK_VALUE,0))/MAX(1,SUMPRODUCT(((BULK_ENABLED="Y")*((BULK_TIER="ALL")+(BULK_TIER=$F294))*((BULK_SKU="ALL")+(BULK_SKU=$G294))*(BULK_START&lt;=9)*(BULK_END&gt;=9)))),0),ROUND((INDEX(VELOCITY_TABLE,MATCH($F294,TIER_LIST,0),2))*(IF((9-$I294+1)&lt;=0,0,IF((9-$I294+1)=1,RAMP_W1,IF((9-$I294+1)=2,RAMP_W2,IF((9-$I294+1)=3,RAMP_W3,RAMP_W4PLUS)))))*(INDEX(ACTIVE_MULT_TABLE,2,1))*(1+SUMPRODUCT(SIGN(((ACT_DOOR_SCOPE="ALL")+(ACT_DOOR_SCOPE="TIER_"&amp;$F294)+(ACT_DOOR_SCOPE=$B294)))*SIGN(((ACT_SKU_SCOPE="ALL")+(ACT_SKU_SCOPE=$G294)))*(ACT_START&lt;=9)*(ACT_END&gt;=9)*IFERROR(ACT_UPLIFT-1,0)))*(1+SUMPRODUCT(SIGN(((ACT_DOOR_SCOPE="ALL")+(ACT_DOOR_SCOPE="TIER_"&amp;$F294)+(ACT_DOOR_SCOPE=$B294)))*SIGN(((ACT_SKU_SCOPE="ALL")+(ACT_SKU_SCOPE=$G294)))*(9&gt;ACT_END)*(ACT_END&gt;0)*IFERROR(ACT_POSTLIFT,0))),0)))</f>
        <v/>
      </c>
      <c r="S294" s="10">
        <f>IF(OR($H294&lt;&gt;"Y",10&lt;$I294),0,IF(SUMPRODUCT(((BULK_ENABLED="Y")*((BULK_TIER="ALL")+(BULK_TIER=$F294))*((BULK_SKU="ALL")+(BULK_SKU=$G294))*(BULK_START&lt;=10)*(BULK_END&gt;=10)))&gt;0,IFERROR(SUMPRODUCT(((BULK_ENABLED="Y")*((BULK_TIER="ALL")+(BULK_TIER=$F294))*((BULK_SKU="ALL")+(BULK_SKU=$G294))*(BULK_START&lt;=10)*(BULK_END&gt;=10))*IFERROR(BULK_VALUE,0))/MAX(1,SUMPRODUCT(((BULK_ENABLED="Y")*((BULK_TIER="ALL")+(BULK_TIER=$F294))*((BULK_SKU="ALL")+(BULK_SKU=$G294))*(BULK_START&lt;=10)*(BULK_END&gt;=10)))),0),ROUND((INDEX(VELOCITY_TABLE,MATCH($F294,TIER_LIST,0),2))*(IF((10-$I294+1)&lt;=0,0,IF((10-$I294+1)=1,RAMP_W1,IF((10-$I294+1)=2,RAMP_W2,IF((10-$I294+1)=3,RAMP_W3,RAMP_W4PLUS)))))*(INDEX(ACTIVE_MULT_TABLE,2,1))*(1+SUMPRODUCT(SIGN(((ACT_DOOR_SCOPE="ALL")+(ACT_DOOR_SCOPE="TIER_"&amp;$F294)+(ACT_DOOR_SCOPE=$B294)))*SIGN(((ACT_SKU_SCOPE="ALL")+(ACT_SKU_SCOPE=$G294)))*(ACT_START&lt;=10)*(ACT_END&gt;=10)*IFERROR(ACT_UPLIFT-1,0)))*(1+SUMPRODUCT(SIGN(((ACT_DOOR_SCOPE="ALL")+(ACT_DOOR_SCOPE="TIER_"&amp;$F294)+(ACT_DOOR_SCOPE=$B294)))*SIGN(((ACT_SKU_SCOPE="ALL")+(ACT_SKU_SCOPE=$G294)))*(10&gt;ACT_END)*(ACT_END&gt;0)*IFERROR(ACT_POSTLIFT,0))),0)))</f>
        <v/>
      </c>
      <c r="T294" s="10">
        <f>IF(OR($H294&lt;&gt;"Y",11&lt;$I294),0,IF(SUMPRODUCT(((BULK_ENABLED="Y")*((BULK_TIER="ALL")+(BULK_TIER=$F294))*((BULK_SKU="ALL")+(BULK_SKU=$G294))*(BULK_START&lt;=11)*(BULK_END&gt;=11)))&gt;0,IFERROR(SUMPRODUCT(((BULK_ENABLED="Y")*((BULK_TIER="ALL")+(BULK_TIER=$F294))*((BULK_SKU="ALL")+(BULK_SKU=$G294))*(BULK_START&lt;=11)*(BULK_END&gt;=11))*IFERROR(BULK_VALUE,0))/MAX(1,SUMPRODUCT(((BULK_ENABLED="Y")*((BULK_TIER="ALL")+(BULK_TIER=$F294))*((BULK_SKU="ALL")+(BULK_SKU=$G294))*(BULK_START&lt;=11)*(BULK_END&gt;=11)))),0),ROUND((INDEX(VELOCITY_TABLE,MATCH($F294,TIER_LIST,0),2))*(IF((11-$I294+1)&lt;=0,0,IF((11-$I294+1)=1,RAMP_W1,IF((11-$I294+1)=2,RAMP_W2,IF((11-$I294+1)=3,RAMP_W3,RAMP_W4PLUS)))))*(INDEX(ACTIVE_MULT_TABLE,2,1))*(1+SUMPRODUCT(SIGN(((ACT_DOOR_SCOPE="ALL")+(ACT_DOOR_SCOPE="TIER_"&amp;$F294)+(ACT_DOOR_SCOPE=$B294)))*SIGN(((ACT_SKU_SCOPE="ALL")+(ACT_SKU_SCOPE=$G294)))*(ACT_START&lt;=11)*(ACT_END&gt;=11)*IFERROR(ACT_UPLIFT-1,0)))*(1+SUMPRODUCT(SIGN(((ACT_DOOR_SCOPE="ALL")+(ACT_DOOR_SCOPE="TIER_"&amp;$F294)+(ACT_DOOR_SCOPE=$B294)))*SIGN(((ACT_SKU_SCOPE="ALL")+(ACT_SKU_SCOPE=$G294)))*(11&gt;ACT_END)*(ACT_END&gt;0)*IFERROR(ACT_POSTLIFT,0))),0)))</f>
        <v/>
      </c>
      <c r="U294" s="10">
        <f>IF(OR($H294&lt;&gt;"Y",12&lt;$I294),0,IF(SUMPRODUCT(((BULK_ENABLED="Y")*((BULK_TIER="ALL")+(BULK_TIER=$F294))*((BULK_SKU="ALL")+(BULK_SKU=$G294))*(BULK_START&lt;=12)*(BULK_END&gt;=12)))&gt;0,IFERROR(SUMPRODUCT(((BULK_ENABLED="Y")*((BULK_TIER="ALL")+(BULK_TIER=$F294))*((BULK_SKU="ALL")+(BULK_SKU=$G294))*(BULK_START&lt;=12)*(BULK_END&gt;=12))*IFERROR(BULK_VALUE,0))/MAX(1,SUMPRODUCT(((BULK_ENABLED="Y")*((BULK_TIER="ALL")+(BULK_TIER=$F294))*((BULK_SKU="ALL")+(BULK_SKU=$G294))*(BULK_START&lt;=12)*(BULK_END&gt;=12)))),0),ROUND((INDEX(VELOCITY_TABLE,MATCH($F294,TIER_LIST,0),2))*(IF((12-$I294+1)&lt;=0,0,IF((12-$I294+1)=1,RAMP_W1,IF((12-$I294+1)=2,RAMP_W2,IF((12-$I294+1)=3,RAMP_W3,RAMP_W4PLUS)))))*(INDEX(ACTIVE_MULT_TABLE,2,1))*(1+SUMPRODUCT(SIGN(((ACT_DOOR_SCOPE="ALL")+(ACT_DOOR_SCOPE="TIER_"&amp;$F294)+(ACT_DOOR_SCOPE=$B294)))*SIGN(((ACT_SKU_SCOPE="ALL")+(ACT_SKU_SCOPE=$G294)))*(ACT_START&lt;=12)*(ACT_END&gt;=12)*IFERROR(ACT_UPLIFT-1,0)))*(1+SUMPRODUCT(SIGN(((ACT_DOOR_SCOPE="ALL")+(ACT_DOOR_SCOPE="TIER_"&amp;$F294)+(ACT_DOOR_SCOPE=$B294)))*SIGN(((ACT_SKU_SCOPE="ALL")+(ACT_SKU_SCOPE=$G294)))*(12&gt;ACT_END)*(ACT_END&gt;0)*IFERROR(ACT_POSTLIFT,0))),0)))</f>
        <v/>
      </c>
      <c r="V294" s="10">
        <f>IF(OR($H294&lt;&gt;"Y",13&lt;$I294),0,IF(SUMPRODUCT(((BULK_ENABLED="Y")*((BULK_TIER="ALL")+(BULK_TIER=$F294))*((BULK_SKU="ALL")+(BULK_SKU=$G294))*(BULK_START&lt;=13)*(BULK_END&gt;=13)))&gt;0,IFERROR(SUMPRODUCT(((BULK_ENABLED="Y")*((BULK_TIER="ALL")+(BULK_TIER=$F294))*((BULK_SKU="ALL")+(BULK_SKU=$G294))*(BULK_START&lt;=13)*(BULK_END&gt;=13))*IFERROR(BULK_VALUE,0))/MAX(1,SUMPRODUCT(((BULK_ENABLED="Y")*((BULK_TIER="ALL")+(BULK_TIER=$F294))*((BULK_SKU="ALL")+(BULK_SKU=$G294))*(BULK_START&lt;=13)*(BULK_END&gt;=13)))),0),ROUND((INDEX(VELOCITY_TABLE,MATCH($F294,TIER_LIST,0),2))*(IF((13-$I294+1)&lt;=0,0,IF((13-$I294+1)=1,RAMP_W1,IF((13-$I294+1)=2,RAMP_W2,IF((13-$I294+1)=3,RAMP_W3,RAMP_W4PLUS)))))*(INDEX(ACTIVE_MULT_TABLE,2,1))*(1+SUMPRODUCT(SIGN(((ACT_DOOR_SCOPE="ALL")+(ACT_DOOR_SCOPE="TIER_"&amp;$F294)+(ACT_DOOR_SCOPE=$B294)))*SIGN(((ACT_SKU_SCOPE="ALL")+(ACT_SKU_SCOPE=$G294)))*(ACT_START&lt;=13)*(ACT_END&gt;=13)*IFERROR(ACT_UPLIFT-1,0)))*(1+SUMPRODUCT(SIGN(((ACT_DOOR_SCOPE="ALL")+(ACT_DOOR_SCOPE="TIER_"&amp;$F294)+(ACT_DOOR_SCOPE=$B294)))*SIGN(((ACT_SKU_SCOPE="ALL")+(ACT_SKU_SCOPE=$G294)))*(13&gt;ACT_END)*(ACT_END&gt;0)*IFERROR(ACT_POSTLIFT,0))),0)))</f>
        <v/>
      </c>
    </row>
    <row r="295">
      <c r="A295" t="inlineStr">
        <is>
          <t>R0291</t>
        </is>
      </c>
      <c r="B295">
        <f>Doors!$A$101</f>
        <v/>
      </c>
      <c r="C295">
        <f>Doors!$C$101</f>
        <v/>
      </c>
      <c r="D295">
        <f>Doors!$B$101</f>
        <v/>
      </c>
      <c r="E295">
        <f>Doors!$E$101</f>
        <v/>
      </c>
      <c r="F295">
        <f>Doors!$F$101</f>
        <v/>
      </c>
      <c r="G295" t="inlineStr">
        <is>
          <t>Raspberry</t>
        </is>
      </c>
      <c r="H295">
        <f>Doors!$I$101</f>
        <v/>
      </c>
      <c r="I295">
        <f>Doors!$J$101</f>
        <v/>
      </c>
      <c r="J295" s="10">
        <f>IF(OR($H295&lt;&gt;"Y",1&lt;$I295),0,IF(SUMPRODUCT(((BULK_ENABLED="Y")*((BULK_TIER="ALL")+(BULK_TIER=$F295))*((BULK_SKU="ALL")+(BULK_SKU=$G295))*(BULK_START&lt;=1)*(BULK_END&gt;=1)))&gt;0,IFERROR(SUMPRODUCT(((BULK_ENABLED="Y")*((BULK_TIER="ALL")+(BULK_TIER=$F295))*((BULK_SKU="ALL")+(BULK_SKU=$G295))*(BULK_START&lt;=1)*(BULK_END&gt;=1))*IFERROR(BULK_VALUE,0))/MAX(1,SUMPRODUCT(((BULK_ENABLED="Y")*((BULK_TIER="ALL")+(BULK_TIER=$F295))*((BULK_SKU="ALL")+(BULK_SKU=$G295))*(BULK_START&lt;=1)*(BULK_END&gt;=1)))),0),ROUND((INDEX(VELOCITY_TABLE,MATCH($F295,TIER_LIST,0),3))*(IF((1-$I295+1)&lt;=0,0,IF((1-$I295+1)=1,RAMP_W1,IF((1-$I295+1)=2,RAMP_W2,IF((1-$I295+1)=3,RAMP_W3,RAMP_W4PLUS)))))*(INDEX(ACTIVE_MULT_TABLE,3,1))*(1+SUMPRODUCT(SIGN(((ACT_DOOR_SCOPE="ALL")+(ACT_DOOR_SCOPE="TIER_"&amp;$F295)+(ACT_DOOR_SCOPE=$B295)))*SIGN(((ACT_SKU_SCOPE="ALL")+(ACT_SKU_SCOPE=$G295)))*(ACT_START&lt;=1)*(ACT_END&gt;=1)*IFERROR(ACT_UPLIFT-1,0)))*(1+SUMPRODUCT(SIGN(((ACT_DOOR_SCOPE="ALL")+(ACT_DOOR_SCOPE="TIER_"&amp;$F295)+(ACT_DOOR_SCOPE=$B295)))*SIGN(((ACT_SKU_SCOPE="ALL")+(ACT_SKU_SCOPE=$G295)))*(1&gt;ACT_END)*(ACT_END&gt;0)*IFERROR(ACT_POSTLIFT,0))),0)))</f>
        <v/>
      </c>
      <c r="K295" s="10">
        <f>IF(OR($H295&lt;&gt;"Y",2&lt;$I295),0,IF(SUMPRODUCT(((BULK_ENABLED="Y")*((BULK_TIER="ALL")+(BULK_TIER=$F295))*((BULK_SKU="ALL")+(BULK_SKU=$G295))*(BULK_START&lt;=2)*(BULK_END&gt;=2)))&gt;0,IFERROR(SUMPRODUCT(((BULK_ENABLED="Y")*((BULK_TIER="ALL")+(BULK_TIER=$F295))*((BULK_SKU="ALL")+(BULK_SKU=$G295))*(BULK_START&lt;=2)*(BULK_END&gt;=2))*IFERROR(BULK_VALUE,0))/MAX(1,SUMPRODUCT(((BULK_ENABLED="Y")*((BULK_TIER="ALL")+(BULK_TIER=$F295))*((BULK_SKU="ALL")+(BULK_SKU=$G295))*(BULK_START&lt;=2)*(BULK_END&gt;=2)))),0),ROUND((INDEX(VELOCITY_TABLE,MATCH($F295,TIER_LIST,0),3))*(IF((2-$I295+1)&lt;=0,0,IF((2-$I295+1)=1,RAMP_W1,IF((2-$I295+1)=2,RAMP_W2,IF((2-$I295+1)=3,RAMP_W3,RAMP_W4PLUS)))))*(INDEX(ACTIVE_MULT_TABLE,3,1))*(1+SUMPRODUCT(SIGN(((ACT_DOOR_SCOPE="ALL")+(ACT_DOOR_SCOPE="TIER_"&amp;$F295)+(ACT_DOOR_SCOPE=$B295)))*SIGN(((ACT_SKU_SCOPE="ALL")+(ACT_SKU_SCOPE=$G295)))*(ACT_START&lt;=2)*(ACT_END&gt;=2)*IFERROR(ACT_UPLIFT-1,0)))*(1+SUMPRODUCT(SIGN(((ACT_DOOR_SCOPE="ALL")+(ACT_DOOR_SCOPE="TIER_"&amp;$F295)+(ACT_DOOR_SCOPE=$B295)))*SIGN(((ACT_SKU_SCOPE="ALL")+(ACT_SKU_SCOPE=$G295)))*(2&gt;ACT_END)*(ACT_END&gt;0)*IFERROR(ACT_POSTLIFT,0))),0)))</f>
        <v/>
      </c>
      <c r="L295" s="10">
        <f>IF(OR($H295&lt;&gt;"Y",3&lt;$I295),0,IF(SUMPRODUCT(((BULK_ENABLED="Y")*((BULK_TIER="ALL")+(BULK_TIER=$F295))*((BULK_SKU="ALL")+(BULK_SKU=$G295))*(BULK_START&lt;=3)*(BULK_END&gt;=3)))&gt;0,IFERROR(SUMPRODUCT(((BULK_ENABLED="Y")*((BULK_TIER="ALL")+(BULK_TIER=$F295))*((BULK_SKU="ALL")+(BULK_SKU=$G295))*(BULK_START&lt;=3)*(BULK_END&gt;=3))*IFERROR(BULK_VALUE,0))/MAX(1,SUMPRODUCT(((BULK_ENABLED="Y")*((BULK_TIER="ALL")+(BULK_TIER=$F295))*((BULK_SKU="ALL")+(BULK_SKU=$G295))*(BULK_START&lt;=3)*(BULK_END&gt;=3)))),0),ROUND((INDEX(VELOCITY_TABLE,MATCH($F295,TIER_LIST,0),3))*(IF((3-$I295+1)&lt;=0,0,IF((3-$I295+1)=1,RAMP_W1,IF((3-$I295+1)=2,RAMP_W2,IF((3-$I295+1)=3,RAMP_W3,RAMP_W4PLUS)))))*(INDEX(ACTIVE_MULT_TABLE,3,1))*(1+SUMPRODUCT(SIGN(((ACT_DOOR_SCOPE="ALL")+(ACT_DOOR_SCOPE="TIER_"&amp;$F295)+(ACT_DOOR_SCOPE=$B295)))*SIGN(((ACT_SKU_SCOPE="ALL")+(ACT_SKU_SCOPE=$G295)))*(ACT_START&lt;=3)*(ACT_END&gt;=3)*IFERROR(ACT_UPLIFT-1,0)))*(1+SUMPRODUCT(SIGN(((ACT_DOOR_SCOPE="ALL")+(ACT_DOOR_SCOPE="TIER_"&amp;$F295)+(ACT_DOOR_SCOPE=$B295)))*SIGN(((ACT_SKU_SCOPE="ALL")+(ACT_SKU_SCOPE=$G295)))*(3&gt;ACT_END)*(ACT_END&gt;0)*IFERROR(ACT_POSTLIFT,0))),0)))</f>
        <v/>
      </c>
      <c r="M295" s="10">
        <f>IF(OR($H295&lt;&gt;"Y",4&lt;$I295),0,IF(SUMPRODUCT(((BULK_ENABLED="Y")*((BULK_TIER="ALL")+(BULK_TIER=$F295))*((BULK_SKU="ALL")+(BULK_SKU=$G295))*(BULK_START&lt;=4)*(BULK_END&gt;=4)))&gt;0,IFERROR(SUMPRODUCT(((BULK_ENABLED="Y")*((BULK_TIER="ALL")+(BULK_TIER=$F295))*((BULK_SKU="ALL")+(BULK_SKU=$G295))*(BULK_START&lt;=4)*(BULK_END&gt;=4))*IFERROR(BULK_VALUE,0))/MAX(1,SUMPRODUCT(((BULK_ENABLED="Y")*((BULK_TIER="ALL")+(BULK_TIER=$F295))*((BULK_SKU="ALL")+(BULK_SKU=$G295))*(BULK_START&lt;=4)*(BULK_END&gt;=4)))),0),ROUND((INDEX(VELOCITY_TABLE,MATCH($F295,TIER_LIST,0),3))*(IF((4-$I295+1)&lt;=0,0,IF((4-$I295+1)=1,RAMP_W1,IF((4-$I295+1)=2,RAMP_W2,IF((4-$I295+1)=3,RAMP_W3,RAMP_W4PLUS)))))*(INDEX(ACTIVE_MULT_TABLE,3,1))*(1+SUMPRODUCT(SIGN(((ACT_DOOR_SCOPE="ALL")+(ACT_DOOR_SCOPE="TIER_"&amp;$F295)+(ACT_DOOR_SCOPE=$B295)))*SIGN(((ACT_SKU_SCOPE="ALL")+(ACT_SKU_SCOPE=$G295)))*(ACT_START&lt;=4)*(ACT_END&gt;=4)*IFERROR(ACT_UPLIFT-1,0)))*(1+SUMPRODUCT(SIGN(((ACT_DOOR_SCOPE="ALL")+(ACT_DOOR_SCOPE="TIER_"&amp;$F295)+(ACT_DOOR_SCOPE=$B295)))*SIGN(((ACT_SKU_SCOPE="ALL")+(ACT_SKU_SCOPE=$G295)))*(4&gt;ACT_END)*(ACT_END&gt;0)*IFERROR(ACT_POSTLIFT,0))),0)))</f>
        <v/>
      </c>
      <c r="N295" s="10">
        <f>IF(OR($H295&lt;&gt;"Y",5&lt;$I295),0,IF(SUMPRODUCT(((BULK_ENABLED="Y")*((BULK_TIER="ALL")+(BULK_TIER=$F295))*((BULK_SKU="ALL")+(BULK_SKU=$G295))*(BULK_START&lt;=5)*(BULK_END&gt;=5)))&gt;0,IFERROR(SUMPRODUCT(((BULK_ENABLED="Y")*((BULK_TIER="ALL")+(BULK_TIER=$F295))*((BULK_SKU="ALL")+(BULK_SKU=$G295))*(BULK_START&lt;=5)*(BULK_END&gt;=5))*IFERROR(BULK_VALUE,0))/MAX(1,SUMPRODUCT(((BULK_ENABLED="Y")*((BULK_TIER="ALL")+(BULK_TIER=$F295))*((BULK_SKU="ALL")+(BULK_SKU=$G295))*(BULK_START&lt;=5)*(BULK_END&gt;=5)))),0),ROUND((INDEX(VELOCITY_TABLE,MATCH($F295,TIER_LIST,0),3))*(IF((5-$I295+1)&lt;=0,0,IF((5-$I295+1)=1,RAMP_W1,IF((5-$I295+1)=2,RAMP_W2,IF((5-$I295+1)=3,RAMP_W3,RAMP_W4PLUS)))))*(INDEX(ACTIVE_MULT_TABLE,3,1))*(1+SUMPRODUCT(SIGN(((ACT_DOOR_SCOPE="ALL")+(ACT_DOOR_SCOPE="TIER_"&amp;$F295)+(ACT_DOOR_SCOPE=$B295)))*SIGN(((ACT_SKU_SCOPE="ALL")+(ACT_SKU_SCOPE=$G295)))*(ACT_START&lt;=5)*(ACT_END&gt;=5)*IFERROR(ACT_UPLIFT-1,0)))*(1+SUMPRODUCT(SIGN(((ACT_DOOR_SCOPE="ALL")+(ACT_DOOR_SCOPE="TIER_"&amp;$F295)+(ACT_DOOR_SCOPE=$B295)))*SIGN(((ACT_SKU_SCOPE="ALL")+(ACT_SKU_SCOPE=$G295)))*(5&gt;ACT_END)*(ACT_END&gt;0)*IFERROR(ACT_POSTLIFT,0))),0)))</f>
        <v/>
      </c>
      <c r="O295" s="10">
        <f>IF(OR($H295&lt;&gt;"Y",6&lt;$I295),0,IF(SUMPRODUCT(((BULK_ENABLED="Y")*((BULK_TIER="ALL")+(BULK_TIER=$F295))*((BULK_SKU="ALL")+(BULK_SKU=$G295))*(BULK_START&lt;=6)*(BULK_END&gt;=6)))&gt;0,IFERROR(SUMPRODUCT(((BULK_ENABLED="Y")*((BULK_TIER="ALL")+(BULK_TIER=$F295))*((BULK_SKU="ALL")+(BULK_SKU=$G295))*(BULK_START&lt;=6)*(BULK_END&gt;=6))*IFERROR(BULK_VALUE,0))/MAX(1,SUMPRODUCT(((BULK_ENABLED="Y")*((BULK_TIER="ALL")+(BULK_TIER=$F295))*((BULK_SKU="ALL")+(BULK_SKU=$G295))*(BULK_START&lt;=6)*(BULK_END&gt;=6)))),0),ROUND((INDEX(VELOCITY_TABLE,MATCH($F295,TIER_LIST,0),3))*(IF((6-$I295+1)&lt;=0,0,IF((6-$I295+1)=1,RAMP_W1,IF((6-$I295+1)=2,RAMP_W2,IF((6-$I295+1)=3,RAMP_W3,RAMP_W4PLUS)))))*(INDEX(ACTIVE_MULT_TABLE,3,1))*(1+SUMPRODUCT(SIGN(((ACT_DOOR_SCOPE="ALL")+(ACT_DOOR_SCOPE="TIER_"&amp;$F295)+(ACT_DOOR_SCOPE=$B295)))*SIGN(((ACT_SKU_SCOPE="ALL")+(ACT_SKU_SCOPE=$G295)))*(ACT_START&lt;=6)*(ACT_END&gt;=6)*IFERROR(ACT_UPLIFT-1,0)))*(1+SUMPRODUCT(SIGN(((ACT_DOOR_SCOPE="ALL")+(ACT_DOOR_SCOPE="TIER_"&amp;$F295)+(ACT_DOOR_SCOPE=$B295)))*SIGN(((ACT_SKU_SCOPE="ALL")+(ACT_SKU_SCOPE=$G295)))*(6&gt;ACT_END)*(ACT_END&gt;0)*IFERROR(ACT_POSTLIFT,0))),0)))</f>
        <v/>
      </c>
      <c r="P295" s="10">
        <f>IF(OR($H295&lt;&gt;"Y",7&lt;$I295),0,IF(SUMPRODUCT(((BULK_ENABLED="Y")*((BULK_TIER="ALL")+(BULK_TIER=$F295))*((BULK_SKU="ALL")+(BULK_SKU=$G295))*(BULK_START&lt;=7)*(BULK_END&gt;=7)))&gt;0,IFERROR(SUMPRODUCT(((BULK_ENABLED="Y")*((BULK_TIER="ALL")+(BULK_TIER=$F295))*((BULK_SKU="ALL")+(BULK_SKU=$G295))*(BULK_START&lt;=7)*(BULK_END&gt;=7))*IFERROR(BULK_VALUE,0))/MAX(1,SUMPRODUCT(((BULK_ENABLED="Y")*((BULK_TIER="ALL")+(BULK_TIER=$F295))*((BULK_SKU="ALL")+(BULK_SKU=$G295))*(BULK_START&lt;=7)*(BULK_END&gt;=7)))),0),ROUND((INDEX(VELOCITY_TABLE,MATCH($F295,TIER_LIST,0),3))*(IF((7-$I295+1)&lt;=0,0,IF((7-$I295+1)=1,RAMP_W1,IF((7-$I295+1)=2,RAMP_W2,IF((7-$I295+1)=3,RAMP_W3,RAMP_W4PLUS)))))*(INDEX(ACTIVE_MULT_TABLE,3,1))*(1+SUMPRODUCT(SIGN(((ACT_DOOR_SCOPE="ALL")+(ACT_DOOR_SCOPE="TIER_"&amp;$F295)+(ACT_DOOR_SCOPE=$B295)))*SIGN(((ACT_SKU_SCOPE="ALL")+(ACT_SKU_SCOPE=$G295)))*(ACT_START&lt;=7)*(ACT_END&gt;=7)*IFERROR(ACT_UPLIFT-1,0)))*(1+SUMPRODUCT(SIGN(((ACT_DOOR_SCOPE="ALL")+(ACT_DOOR_SCOPE="TIER_"&amp;$F295)+(ACT_DOOR_SCOPE=$B295)))*SIGN(((ACT_SKU_SCOPE="ALL")+(ACT_SKU_SCOPE=$G295)))*(7&gt;ACT_END)*(ACT_END&gt;0)*IFERROR(ACT_POSTLIFT,0))),0)))</f>
        <v/>
      </c>
      <c r="Q295" s="10">
        <f>IF(OR($H295&lt;&gt;"Y",8&lt;$I295),0,IF(SUMPRODUCT(((BULK_ENABLED="Y")*((BULK_TIER="ALL")+(BULK_TIER=$F295))*((BULK_SKU="ALL")+(BULK_SKU=$G295))*(BULK_START&lt;=8)*(BULK_END&gt;=8)))&gt;0,IFERROR(SUMPRODUCT(((BULK_ENABLED="Y")*((BULK_TIER="ALL")+(BULK_TIER=$F295))*((BULK_SKU="ALL")+(BULK_SKU=$G295))*(BULK_START&lt;=8)*(BULK_END&gt;=8))*IFERROR(BULK_VALUE,0))/MAX(1,SUMPRODUCT(((BULK_ENABLED="Y")*((BULK_TIER="ALL")+(BULK_TIER=$F295))*((BULK_SKU="ALL")+(BULK_SKU=$G295))*(BULK_START&lt;=8)*(BULK_END&gt;=8)))),0),ROUND((INDEX(VELOCITY_TABLE,MATCH($F295,TIER_LIST,0),3))*(IF((8-$I295+1)&lt;=0,0,IF((8-$I295+1)=1,RAMP_W1,IF((8-$I295+1)=2,RAMP_W2,IF((8-$I295+1)=3,RAMP_W3,RAMP_W4PLUS)))))*(INDEX(ACTIVE_MULT_TABLE,3,1))*(1+SUMPRODUCT(SIGN(((ACT_DOOR_SCOPE="ALL")+(ACT_DOOR_SCOPE="TIER_"&amp;$F295)+(ACT_DOOR_SCOPE=$B295)))*SIGN(((ACT_SKU_SCOPE="ALL")+(ACT_SKU_SCOPE=$G295)))*(ACT_START&lt;=8)*(ACT_END&gt;=8)*IFERROR(ACT_UPLIFT-1,0)))*(1+SUMPRODUCT(SIGN(((ACT_DOOR_SCOPE="ALL")+(ACT_DOOR_SCOPE="TIER_"&amp;$F295)+(ACT_DOOR_SCOPE=$B295)))*SIGN(((ACT_SKU_SCOPE="ALL")+(ACT_SKU_SCOPE=$G295)))*(8&gt;ACT_END)*(ACT_END&gt;0)*IFERROR(ACT_POSTLIFT,0))),0)))</f>
        <v/>
      </c>
      <c r="R295" s="10">
        <f>IF(OR($H295&lt;&gt;"Y",9&lt;$I295),0,IF(SUMPRODUCT(((BULK_ENABLED="Y")*((BULK_TIER="ALL")+(BULK_TIER=$F295))*((BULK_SKU="ALL")+(BULK_SKU=$G295))*(BULK_START&lt;=9)*(BULK_END&gt;=9)))&gt;0,IFERROR(SUMPRODUCT(((BULK_ENABLED="Y")*((BULK_TIER="ALL")+(BULK_TIER=$F295))*((BULK_SKU="ALL")+(BULK_SKU=$G295))*(BULK_START&lt;=9)*(BULK_END&gt;=9))*IFERROR(BULK_VALUE,0))/MAX(1,SUMPRODUCT(((BULK_ENABLED="Y")*((BULK_TIER="ALL")+(BULK_TIER=$F295))*((BULK_SKU="ALL")+(BULK_SKU=$G295))*(BULK_START&lt;=9)*(BULK_END&gt;=9)))),0),ROUND((INDEX(VELOCITY_TABLE,MATCH($F295,TIER_LIST,0),3))*(IF((9-$I295+1)&lt;=0,0,IF((9-$I295+1)=1,RAMP_W1,IF((9-$I295+1)=2,RAMP_W2,IF((9-$I295+1)=3,RAMP_W3,RAMP_W4PLUS)))))*(INDEX(ACTIVE_MULT_TABLE,3,1))*(1+SUMPRODUCT(SIGN(((ACT_DOOR_SCOPE="ALL")+(ACT_DOOR_SCOPE="TIER_"&amp;$F295)+(ACT_DOOR_SCOPE=$B295)))*SIGN(((ACT_SKU_SCOPE="ALL")+(ACT_SKU_SCOPE=$G295)))*(ACT_START&lt;=9)*(ACT_END&gt;=9)*IFERROR(ACT_UPLIFT-1,0)))*(1+SUMPRODUCT(SIGN(((ACT_DOOR_SCOPE="ALL")+(ACT_DOOR_SCOPE="TIER_"&amp;$F295)+(ACT_DOOR_SCOPE=$B295)))*SIGN(((ACT_SKU_SCOPE="ALL")+(ACT_SKU_SCOPE=$G295)))*(9&gt;ACT_END)*(ACT_END&gt;0)*IFERROR(ACT_POSTLIFT,0))),0)))</f>
        <v/>
      </c>
      <c r="S295" s="10">
        <f>IF(OR($H295&lt;&gt;"Y",10&lt;$I295),0,IF(SUMPRODUCT(((BULK_ENABLED="Y")*((BULK_TIER="ALL")+(BULK_TIER=$F295))*((BULK_SKU="ALL")+(BULK_SKU=$G295))*(BULK_START&lt;=10)*(BULK_END&gt;=10)))&gt;0,IFERROR(SUMPRODUCT(((BULK_ENABLED="Y")*((BULK_TIER="ALL")+(BULK_TIER=$F295))*((BULK_SKU="ALL")+(BULK_SKU=$G295))*(BULK_START&lt;=10)*(BULK_END&gt;=10))*IFERROR(BULK_VALUE,0))/MAX(1,SUMPRODUCT(((BULK_ENABLED="Y")*((BULK_TIER="ALL")+(BULK_TIER=$F295))*((BULK_SKU="ALL")+(BULK_SKU=$G295))*(BULK_START&lt;=10)*(BULK_END&gt;=10)))),0),ROUND((INDEX(VELOCITY_TABLE,MATCH($F295,TIER_LIST,0),3))*(IF((10-$I295+1)&lt;=0,0,IF((10-$I295+1)=1,RAMP_W1,IF((10-$I295+1)=2,RAMP_W2,IF((10-$I295+1)=3,RAMP_W3,RAMP_W4PLUS)))))*(INDEX(ACTIVE_MULT_TABLE,3,1))*(1+SUMPRODUCT(SIGN(((ACT_DOOR_SCOPE="ALL")+(ACT_DOOR_SCOPE="TIER_"&amp;$F295)+(ACT_DOOR_SCOPE=$B295)))*SIGN(((ACT_SKU_SCOPE="ALL")+(ACT_SKU_SCOPE=$G295)))*(ACT_START&lt;=10)*(ACT_END&gt;=10)*IFERROR(ACT_UPLIFT-1,0)))*(1+SUMPRODUCT(SIGN(((ACT_DOOR_SCOPE="ALL")+(ACT_DOOR_SCOPE="TIER_"&amp;$F295)+(ACT_DOOR_SCOPE=$B295)))*SIGN(((ACT_SKU_SCOPE="ALL")+(ACT_SKU_SCOPE=$G295)))*(10&gt;ACT_END)*(ACT_END&gt;0)*IFERROR(ACT_POSTLIFT,0))),0)))</f>
        <v/>
      </c>
      <c r="T295" s="10">
        <f>IF(OR($H295&lt;&gt;"Y",11&lt;$I295),0,IF(SUMPRODUCT(((BULK_ENABLED="Y")*((BULK_TIER="ALL")+(BULK_TIER=$F295))*((BULK_SKU="ALL")+(BULK_SKU=$G295))*(BULK_START&lt;=11)*(BULK_END&gt;=11)))&gt;0,IFERROR(SUMPRODUCT(((BULK_ENABLED="Y")*((BULK_TIER="ALL")+(BULK_TIER=$F295))*((BULK_SKU="ALL")+(BULK_SKU=$G295))*(BULK_START&lt;=11)*(BULK_END&gt;=11))*IFERROR(BULK_VALUE,0))/MAX(1,SUMPRODUCT(((BULK_ENABLED="Y")*((BULK_TIER="ALL")+(BULK_TIER=$F295))*((BULK_SKU="ALL")+(BULK_SKU=$G295))*(BULK_START&lt;=11)*(BULK_END&gt;=11)))),0),ROUND((INDEX(VELOCITY_TABLE,MATCH($F295,TIER_LIST,0),3))*(IF((11-$I295+1)&lt;=0,0,IF((11-$I295+1)=1,RAMP_W1,IF((11-$I295+1)=2,RAMP_W2,IF((11-$I295+1)=3,RAMP_W3,RAMP_W4PLUS)))))*(INDEX(ACTIVE_MULT_TABLE,3,1))*(1+SUMPRODUCT(SIGN(((ACT_DOOR_SCOPE="ALL")+(ACT_DOOR_SCOPE="TIER_"&amp;$F295)+(ACT_DOOR_SCOPE=$B295)))*SIGN(((ACT_SKU_SCOPE="ALL")+(ACT_SKU_SCOPE=$G295)))*(ACT_START&lt;=11)*(ACT_END&gt;=11)*IFERROR(ACT_UPLIFT-1,0)))*(1+SUMPRODUCT(SIGN(((ACT_DOOR_SCOPE="ALL")+(ACT_DOOR_SCOPE="TIER_"&amp;$F295)+(ACT_DOOR_SCOPE=$B295)))*SIGN(((ACT_SKU_SCOPE="ALL")+(ACT_SKU_SCOPE=$G295)))*(11&gt;ACT_END)*(ACT_END&gt;0)*IFERROR(ACT_POSTLIFT,0))),0)))</f>
        <v/>
      </c>
      <c r="U295" s="10">
        <f>IF(OR($H295&lt;&gt;"Y",12&lt;$I295),0,IF(SUMPRODUCT(((BULK_ENABLED="Y")*((BULK_TIER="ALL")+(BULK_TIER=$F295))*((BULK_SKU="ALL")+(BULK_SKU=$G295))*(BULK_START&lt;=12)*(BULK_END&gt;=12)))&gt;0,IFERROR(SUMPRODUCT(((BULK_ENABLED="Y")*((BULK_TIER="ALL")+(BULK_TIER=$F295))*((BULK_SKU="ALL")+(BULK_SKU=$G295))*(BULK_START&lt;=12)*(BULK_END&gt;=12))*IFERROR(BULK_VALUE,0))/MAX(1,SUMPRODUCT(((BULK_ENABLED="Y")*((BULK_TIER="ALL")+(BULK_TIER=$F295))*((BULK_SKU="ALL")+(BULK_SKU=$G295))*(BULK_START&lt;=12)*(BULK_END&gt;=12)))),0),ROUND((INDEX(VELOCITY_TABLE,MATCH($F295,TIER_LIST,0),3))*(IF((12-$I295+1)&lt;=0,0,IF((12-$I295+1)=1,RAMP_W1,IF((12-$I295+1)=2,RAMP_W2,IF((12-$I295+1)=3,RAMP_W3,RAMP_W4PLUS)))))*(INDEX(ACTIVE_MULT_TABLE,3,1))*(1+SUMPRODUCT(SIGN(((ACT_DOOR_SCOPE="ALL")+(ACT_DOOR_SCOPE="TIER_"&amp;$F295)+(ACT_DOOR_SCOPE=$B295)))*SIGN(((ACT_SKU_SCOPE="ALL")+(ACT_SKU_SCOPE=$G295)))*(ACT_START&lt;=12)*(ACT_END&gt;=12)*IFERROR(ACT_UPLIFT-1,0)))*(1+SUMPRODUCT(SIGN(((ACT_DOOR_SCOPE="ALL")+(ACT_DOOR_SCOPE="TIER_"&amp;$F295)+(ACT_DOOR_SCOPE=$B295)))*SIGN(((ACT_SKU_SCOPE="ALL")+(ACT_SKU_SCOPE=$G295)))*(12&gt;ACT_END)*(ACT_END&gt;0)*IFERROR(ACT_POSTLIFT,0))),0)))</f>
        <v/>
      </c>
      <c r="V295" s="10">
        <f>IF(OR($H295&lt;&gt;"Y",13&lt;$I295),0,IF(SUMPRODUCT(((BULK_ENABLED="Y")*((BULK_TIER="ALL")+(BULK_TIER=$F295))*((BULK_SKU="ALL")+(BULK_SKU=$G295))*(BULK_START&lt;=13)*(BULK_END&gt;=13)))&gt;0,IFERROR(SUMPRODUCT(((BULK_ENABLED="Y")*((BULK_TIER="ALL")+(BULK_TIER=$F295))*((BULK_SKU="ALL")+(BULK_SKU=$G295))*(BULK_START&lt;=13)*(BULK_END&gt;=13))*IFERROR(BULK_VALUE,0))/MAX(1,SUMPRODUCT(((BULK_ENABLED="Y")*((BULK_TIER="ALL")+(BULK_TIER=$F295))*((BULK_SKU="ALL")+(BULK_SKU=$G295))*(BULK_START&lt;=13)*(BULK_END&gt;=13)))),0),ROUND((INDEX(VELOCITY_TABLE,MATCH($F295,TIER_LIST,0),3))*(IF((13-$I295+1)&lt;=0,0,IF((13-$I295+1)=1,RAMP_W1,IF((13-$I295+1)=2,RAMP_W2,IF((13-$I295+1)=3,RAMP_W3,RAMP_W4PLUS)))))*(INDEX(ACTIVE_MULT_TABLE,3,1))*(1+SUMPRODUCT(SIGN(((ACT_DOOR_SCOPE="ALL")+(ACT_DOOR_SCOPE="TIER_"&amp;$F295)+(ACT_DOOR_SCOPE=$B295)))*SIGN(((ACT_SKU_SCOPE="ALL")+(ACT_SKU_SCOPE=$G295)))*(ACT_START&lt;=13)*(ACT_END&gt;=13)*IFERROR(ACT_UPLIFT-1,0)))*(1+SUMPRODUCT(SIGN(((ACT_DOOR_SCOPE="ALL")+(ACT_DOOR_SCOPE="TIER_"&amp;$F295)+(ACT_DOOR_SCOPE=$B295)))*SIGN(((ACT_SKU_SCOPE="ALL")+(ACT_SKU_SCOPE=$G295)))*(13&gt;ACT_END)*(ACT_END&gt;0)*IFERROR(ACT_POSTLIFT,0))),0)))</f>
        <v/>
      </c>
    </row>
    <row r="296">
      <c r="A296" t="inlineStr">
        <is>
          <t>R0292</t>
        </is>
      </c>
      <c r="B296">
        <f>Doors!$A$102</f>
        <v/>
      </c>
      <c r="C296">
        <f>Doors!$C$102</f>
        <v/>
      </c>
      <c r="D296">
        <f>Doors!$B$102</f>
        <v/>
      </c>
      <c r="E296">
        <f>Doors!$E$102</f>
        <v/>
      </c>
      <c r="F296">
        <f>Doors!$F$102</f>
        <v/>
      </c>
      <c r="G296" t="inlineStr">
        <is>
          <t>Lime Lemon</t>
        </is>
      </c>
      <c r="H296">
        <f>Doors!$G$102</f>
        <v/>
      </c>
      <c r="I296">
        <f>Doors!$J$102</f>
        <v/>
      </c>
      <c r="J296" s="10">
        <f>IF(OR($H296&lt;&gt;"Y",1&lt;$I296),0,IF(SUMPRODUCT(((BULK_ENABLED="Y")*((BULK_TIER="ALL")+(BULK_TIER=$F296))*((BULK_SKU="ALL")+(BULK_SKU=$G296))*(BULK_START&lt;=1)*(BULK_END&gt;=1)))&gt;0,IFERROR(SUMPRODUCT(((BULK_ENABLED="Y")*((BULK_TIER="ALL")+(BULK_TIER=$F296))*((BULK_SKU="ALL")+(BULK_SKU=$G296))*(BULK_START&lt;=1)*(BULK_END&gt;=1))*IFERROR(BULK_VALUE,0))/MAX(1,SUMPRODUCT(((BULK_ENABLED="Y")*((BULK_TIER="ALL")+(BULK_TIER=$F296))*((BULK_SKU="ALL")+(BULK_SKU=$G296))*(BULK_START&lt;=1)*(BULK_END&gt;=1)))),0),ROUND((INDEX(VELOCITY_TABLE,MATCH($F296,TIER_LIST,0),1))*(IF((1-$I296+1)&lt;=0,0,IF((1-$I296+1)=1,RAMP_W1,IF((1-$I296+1)=2,RAMP_W2,IF((1-$I296+1)=3,RAMP_W3,RAMP_W4PLUS)))))*(INDEX(ACTIVE_MULT_TABLE,1,1))*(1+SUMPRODUCT(SIGN(((ACT_DOOR_SCOPE="ALL")+(ACT_DOOR_SCOPE="TIER_"&amp;$F296)+(ACT_DOOR_SCOPE=$B296)))*SIGN(((ACT_SKU_SCOPE="ALL")+(ACT_SKU_SCOPE=$G296)))*(ACT_START&lt;=1)*(ACT_END&gt;=1)*IFERROR(ACT_UPLIFT-1,0)))*(1+SUMPRODUCT(SIGN(((ACT_DOOR_SCOPE="ALL")+(ACT_DOOR_SCOPE="TIER_"&amp;$F296)+(ACT_DOOR_SCOPE=$B296)))*SIGN(((ACT_SKU_SCOPE="ALL")+(ACT_SKU_SCOPE=$G296)))*(1&gt;ACT_END)*(ACT_END&gt;0)*IFERROR(ACT_POSTLIFT,0))),0)))</f>
        <v/>
      </c>
      <c r="K296" s="10">
        <f>IF(OR($H296&lt;&gt;"Y",2&lt;$I296),0,IF(SUMPRODUCT(((BULK_ENABLED="Y")*((BULK_TIER="ALL")+(BULK_TIER=$F296))*((BULK_SKU="ALL")+(BULK_SKU=$G296))*(BULK_START&lt;=2)*(BULK_END&gt;=2)))&gt;0,IFERROR(SUMPRODUCT(((BULK_ENABLED="Y")*((BULK_TIER="ALL")+(BULK_TIER=$F296))*((BULK_SKU="ALL")+(BULK_SKU=$G296))*(BULK_START&lt;=2)*(BULK_END&gt;=2))*IFERROR(BULK_VALUE,0))/MAX(1,SUMPRODUCT(((BULK_ENABLED="Y")*((BULK_TIER="ALL")+(BULK_TIER=$F296))*((BULK_SKU="ALL")+(BULK_SKU=$G296))*(BULK_START&lt;=2)*(BULK_END&gt;=2)))),0),ROUND((INDEX(VELOCITY_TABLE,MATCH($F296,TIER_LIST,0),1))*(IF((2-$I296+1)&lt;=0,0,IF((2-$I296+1)=1,RAMP_W1,IF((2-$I296+1)=2,RAMP_W2,IF((2-$I296+1)=3,RAMP_W3,RAMP_W4PLUS)))))*(INDEX(ACTIVE_MULT_TABLE,1,1))*(1+SUMPRODUCT(SIGN(((ACT_DOOR_SCOPE="ALL")+(ACT_DOOR_SCOPE="TIER_"&amp;$F296)+(ACT_DOOR_SCOPE=$B296)))*SIGN(((ACT_SKU_SCOPE="ALL")+(ACT_SKU_SCOPE=$G296)))*(ACT_START&lt;=2)*(ACT_END&gt;=2)*IFERROR(ACT_UPLIFT-1,0)))*(1+SUMPRODUCT(SIGN(((ACT_DOOR_SCOPE="ALL")+(ACT_DOOR_SCOPE="TIER_"&amp;$F296)+(ACT_DOOR_SCOPE=$B296)))*SIGN(((ACT_SKU_SCOPE="ALL")+(ACT_SKU_SCOPE=$G296)))*(2&gt;ACT_END)*(ACT_END&gt;0)*IFERROR(ACT_POSTLIFT,0))),0)))</f>
        <v/>
      </c>
      <c r="L296" s="10">
        <f>IF(OR($H296&lt;&gt;"Y",3&lt;$I296),0,IF(SUMPRODUCT(((BULK_ENABLED="Y")*((BULK_TIER="ALL")+(BULK_TIER=$F296))*((BULK_SKU="ALL")+(BULK_SKU=$G296))*(BULK_START&lt;=3)*(BULK_END&gt;=3)))&gt;0,IFERROR(SUMPRODUCT(((BULK_ENABLED="Y")*((BULK_TIER="ALL")+(BULK_TIER=$F296))*((BULK_SKU="ALL")+(BULK_SKU=$G296))*(BULK_START&lt;=3)*(BULK_END&gt;=3))*IFERROR(BULK_VALUE,0))/MAX(1,SUMPRODUCT(((BULK_ENABLED="Y")*((BULK_TIER="ALL")+(BULK_TIER=$F296))*((BULK_SKU="ALL")+(BULK_SKU=$G296))*(BULK_START&lt;=3)*(BULK_END&gt;=3)))),0),ROUND((INDEX(VELOCITY_TABLE,MATCH($F296,TIER_LIST,0),1))*(IF((3-$I296+1)&lt;=0,0,IF((3-$I296+1)=1,RAMP_W1,IF((3-$I296+1)=2,RAMP_W2,IF((3-$I296+1)=3,RAMP_W3,RAMP_W4PLUS)))))*(INDEX(ACTIVE_MULT_TABLE,1,1))*(1+SUMPRODUCT(SIGN(((ACT_DOOR_SCOPE="ALL")+(ACT_DOOR_SCOPE="TIER_"&amp;$F296)+(ACT_DOOR_SCOPE=$B296)))*SIGN(((ACT_SKU_SCOPE="ALL")+(ACT_SKU_SCOPE=$G296)))*(ACT_START&lt;=3)*(ACT_END&gt;=3)*IFERROR(ACT_UPLIFT-1,0)))*(1+SUMPRODUCT(SIGN(((ACT_DOOR_SCOPE="ALL")+(ACT_DOOR_SCOPE="TIER_"&amp;$F296)+(ACT_DOOR_SCOPE=$B296)))*SIGN(((ACT_SKU_SCOPE="ALL")+(ACT_SKU_SCOPE=$G296)))*(3&gt;ACT_END)*(ACT_END&gt;0)*IFERROR(ACT_POSTLIFT,0))),0)))</f>
        <v/>
      </c>
      <c r="M296" s="10">
        <f>IF(OR($H296&lt;&gt;"Y",4&lt;$I296),0,IF(SUMPRODUCT(((BULK_ENABLED="Y")*((BULK_TIER="ALL")+(BULK_TIER=$F296))*((BULK_SKU="ALL")+(BULK_SKU=$G296))*(BULK_START&lt;=4)*(BULK_END&gt;=4)))&gt;0,IFERROR(SUMPRODUCT(((BULK_ENABLED="Y")*((BULK_TIER="ALL")+(BULK_TIER=$F296))*((BULK_SKU="ALL")+(BULK_SKU=$G296))*(BULK_START&lt;=4)*(BULK_END&gt;=4))*IFERROR(BULK_VALUE,0))/MAX(1,SUMPRODUCT(((BULK_ENABLED="Y")*((BULK_TIER="ALL")+(BULK_TIER=$F296))*((BULK_SKU="ALL")+(BULK_SKU=$G296))*(BULK_START&lt;=4)*(BULK_END&gt;=4)))),0),ROUND((INDEX(VELOCITY_TABLE,MATCH($F296,TIER_LIST,0),1))*(IF((4-$I296+1)&lt;=0,0,IF((4-$I296+1)=1,RAMP_W1,IF((4-$I296+1)=2,RAMP_W2,IF((4-$I296+1)=3,RAMP_W3,RAMP_W4PLUS)))))*(INDEX(ACTIVE_MULT_TABLE,1,1))*(1+SUMPRODUCT(SIGN(((ACT_DOOR_SCOPE="ALL")+(ACT_DOOR_SCOPE="TIER_"&amp;$F296)+(ACT_DOOR_SCOPE=$B296)))*SIGN(((ACT_SKU_SCOPE="ALL")+(ACT_SKU_SCOPE=$G296)))*(ACT_START&lt;=4)*(ACT_END&gt;=4)*IFERROR(ACT_UPLIFT-1,0)))*(1+SUMPRODUCT(SIGN(((ACT_DOOR_SCOPE="ALL")+(ACT_DOOR_SCOPE="TIER_"&amp;$F296)+(ACT_DOOR_SCOPE=$B296)))*SIGN(((ACT_SKU_SCOPE="ALL")+(ACT_SKU_SCOPE=$G296)))*(4&gt;ACT_END)*(ACT_END&gt;0)*IFERROR(ACT_POSTLIFT,0))),0)))</f>
        <v/>
      </c>
      <c r="N296" s="10">
        <f>IF(OR($H296&lt;&gt;"Y",5&lt;$I296),0,IF(SUMPRODUCT(((BULK_ENABLED="Y")*((BULK_TIER="ALL")+(BULK_TIER=$F296))*((BULK_SKU="ALL")+(BULK_SKU=$G296))*(BULK_START&lt;=5)*(BULK_END&gt;=5)))&gt;0,IFERROR(SUMPRODUCT(((BULK_ENABLED="Y")*((BULK_TIER="ALL")+(BULK_TIER=$F296))*((BULK_SKU="ALL")+(BULK_SKU=$G296))*(BULK_START&lt;=5)*(BULK_END&gt;=5))*IFERROR(BULK_VALUE,0))/MAX(1,SUMPRODUCT(((BULK_ENABLED="Y")*((BULK_TIER="ALL")+(BULK_TIER=$F296))*((BULK_SKU="ALL")+(BULK_SKU=$G296))*(BULK_START&lt;=5)*(BULK_END&gt;=5)))),0),ROUND((INDEX(VELOCITY_TABLE,MATCH($F296,TIER_LIST,0),1))*(IF((5-$I296+1)&lt;=0,0,IF((5-$I296+1)=1,RAMP_W1,IF((5-$I296+1)=2,RAMP_W2,IF((5-$I296+1)=3,RAMP_W3,RAMP_W4PLUS)))))*(INDEX(ACTIVE_MULT_TABLE,1,1))*(1+SUMPRODUCT(SIGN(((ACT_DOOR_SCOPE="ALL")+(ACT_DOOR_SCOPE="TIER_"&amp;$F296)+(ACT_DOOR_SCOPE=$B296)))*SIGN(((ACT_SKU_SCOPE="ALL")+(ACT_SKU_SCOPE=$G296)))*(ACT_START&lt;=5)*(ACT_END&gt;=5)*IFERROR(ACT_UPLIFT-1,0)))*(1+SUMPRODUCT(SIGN(((ACT_DOOR_SCOPE="ALL")+(ACT_DOOR_SCOPE="TIER_"&amp;$F296)+(ACT_DOOR_SCOPE=$B296)))*SIGN(((ACT_SKU_SCOPE="ALL")+(ACT_SKU_SCOPE=$G296)))*(5&gt;ACT_END)*(ACT_END&gt;0)*IFERROR(ACT_POSTLIFT,0))),0)))</f>
        <v/>
      </c>
      <c r="O296" s="10">
        <f>IF(OR($H296&lt;&gt;"Y",6&lt;$I296),0,IF(SUMPRODUCT(((BULK_ENABLED="Y")*((BULK_TIER="ALL")+(BULK_TIER=$F296))*((BULK_SKU="ALL")+(BULK_SKU=$G296))*(BULK_START&lt;=6)*(BULK_END&gt;=6)))&gt;0,IFERROR(SUMPRODUCT(((BULK_ENABLED="Y")*((BULK_TIER="ALL")+(BULK_TIER=$F296))*((BULK_SKU="ALL")+(BULK_SKU=$G296))*(BULK_START&lt;=6)*(BULK_END&gt;=6))*IFERROR(BULK_VALUE,0))/MAX(1,SUMPRODUCT(((BULK_ENABLED="Y")*((BULK_TIER="ALL")+(BULK_TIER=$F296))*((BULK_SKU="ALL")+(BULK_SKU=$G296))*(BULK_START&lt;=6)*(BULK_END&gt;=6)))),0),ROUND((INDEX(VELOCITY_TABLE,MATCH($F296,TIER_LIST,0),1))*(IF((6-$I296+1)&lt;=0,0,IF((6-$I296+1)=1,RAMP_W1,IF((6-$I296+1)=2,RAMP_W2,IF((6-$I296+1)=3,RAMP_W3,RAMP_W4PLUS)))))*(INDEX(ACTIVE_MULT_TABLE,1,1))*(1+SUMPRODUCT(SIGN(((ACT_DOOR_SCOPE="ALL")+(ACT_DOOR_SCOPE="TIER_"&amp;$F296)+(ACT_DOOR_SCOPE=$B296)))*SIGN(((ACT_SKU_SCOPE="ALL")+(ACT_SKU_SCOPE=$G296)))*(ACT_START&lt;=6)*(ACT_END&gt;=6)*IFERROR(ACT_UPLIFT-1,0)))*(1+SUMPRODUCT(SIGN(((ACT_DOOR_SCOPE="ALL")+(ACT_DOOR_SCOPE="TIER_"&amp;$F296)+(ACT_DOOR_SCOPE=$B296)))*SIGN(((ACT_SKU_SCOPE="ALL")+(ACT_SKU_SCOPE=$G296)))*(6&gt;ACT_END)*(ACT_END&gt;0)*IFERROR(ACT_POSTLIFT,0))),0)))</f>
        <v/>
      </c>
      <c r="P296" s="10">
        <f>IF(OR($H296&lt;&gt;"Y",7&lt;$I296),0,IF(SUMPRODUCT(((BULK_ENABLED="Y")*((BULK_TIER="ALL")+(BULK_TIER=$F296))*((BULK_SKU="ALL")+(BULK_SKU=$G296))*(BULK_START&lt;=7)*(BULK_END&gt;=7)))&gt;0,IFERROR(SUMPRODUCT(((BULK_ENABLED="Y")*((BULK_TIER="ALL")+(BULK_TIER=$F296))*((BULK_SKU="ALL")+(BULK_SKU=$G296))*(BULK_START&lt;=7)*(BULK_END&gt;=7))*IFERROR(BULK_VALUE,0))/MAX(1,SUMPRODUCT(((BULK_ENABLED="Y")*((BULK_TIER="ALL")+(BULK_TIER=$F296))*((BULK_SKU="ALL")+(BULK_SKU=$G296))*(BULK_START&lt;=7)*(BULK_END&gt;=7)))),0),ROUND((INDEX(VELOCITY_TABLE,MATCH($F296,TIER_LIST,0),1))*(IF((7-$I296+1)&lt;=0,0,IF((7-$I296+1)=1,RAMP_W1,IF((7-$I296+1)=2,RAMP_W2,IF((7-$I296+1)=3,RAMP_W3,RAMP_W4PLUS)))))*(INDEX(ACTIVE_MULT_TABLE,1,1))*(1+SUMPRODUCT(SIGN(((ACT_DOOR_SCOPE="ALL")+(ACT_DOOR_SCOPE="TIER_"&amp;$F296)+(ACT_DOOR_SCOPE=$B296)))*SIGN(((ACT_SKU_SCOPE="ALL")+(ACT_SKU_SCOPE=$G296)))*(ACT_START&lt;=7)*(ACT_END&gt;=7)*IFERROR(ACT_UPLIFT-1,0)))*(1+SUMPRODUCT(SIGN(((ACT_DOOR_SCOPE="ALL")+(ACT_DOOR_SCOPE="TIER_"&amp;$F296)+(ACT_DOOR_SCOPE=$B296)))*SIGN(((ACT_SKU_SCOPE="ALL")+(ACT_SKU_SCOPE=$G296)))*(7&gt;ACT_END)*(ACT_END&gt;0)*IFERROR(ACT_POSTLIFT,0))),0)))</f>
        <v/>
      </c>
      <c r="Q296" s="10">
        <f>IF(OR($H296&lt;&gt;"Y",8&lt;$I296),0,IF(SUMPRODUCT(((BULK_ENABLED="Y")*((BULK_TIER="ALL")+(BULK_TIER=$F296))*((BULK_SKU="ALL")+(BULK_SKU=$G296))*(BULK_START&lt;=8)*(BULK_END&gt;=8)))&gt;0,IFERROR(SUMPRODUCT(((BULK_ENABLED="Y")*((BULK_TIER="ALL")+(BULK_TIER=$F296))*((BULK_SKU="ALL")+(BULK_SKU=$G296))*(BULK_START&lt;=8)*(BULK_END&gt;=8))*IFERROR(BULK_VALUE,0))/MAX(1,SUMPRODUCT(((BULK_ENABLED="Y")*((BULK_TIER="ALL")+(BULK_TIER=$F296))*((BULK_SKU="ALL")+(BULK_SKU=$G296))*(BULK_START&lt;=8)*(BULK_END&gt;=8)))),0),ROUND((INDEX(VELOCITY_TABLE,MATCH($F296,TIER_LIST,0),1))*(IF((8-$I296+1)&lt;=0,0,IF((8-$I296+1)=1,RAMP_W1,IF((8-$I296+1)=2,RAMP_W2,IF((8-$I296+1)=3,RAMP_W3,RAMP_W4PLUS)))))*(INDEX(ACTIVE_MULT_TABLE,1,1))*(1+SUMPRODUCT(SIGN(((ACT_DOOR_SCOPE="ALL")+(ACT_DOOR_SCOPE="TIER_"&amp;$F296)+(ACT_DOOR_SCOPE=$B296)))*SIGN(((ACT_SKU_SCOPE="ALL")+(ACT_SKU_SCOPE=$G296)))*(ACT_START&lt;=8)*(ACT_END&gt;=8)*IFERROR(ACT_UPLIFT-1,0)))*(1+SUMPRODUCT(SIGN(((ACT_DOOR_SCOPE="ALL")+(ACT_DOOR_SCOPE="TIER_"&amp;$F296)+(ACT_DOOR_SCOPE=$B296)))*SIGN(((ACT_SKU_SCOPE="ALL")+(ACT_SKU_SCOPE=$G296)))*(8&gt;ACT_END)*(ACT_END&gt;0)*IFERROR(ACT_POSTLIFT,0))),0)))</f>
        <v/>
      </c>
      <c r="R296" s="10">
        <f>IF(OR($H296&lt;&gt;"Y",9&lt;$I296),0,IF(SUMPRODUCT(((BULK_ENABLED="Y")*((BULK_TIER="ALL")+(BULK_TIER=$F296))*((BULK_SKU="ALL")+(BULK_SKU=$G296))*(BULK_START&lt;=9)*(BULK_END&gt;=9)))&gt;0,IFERROR(SUMPRODUCT(((BULK_ENABLED="Y")*((BULK_TIER="ALL")+(BULK_TIER=$F296))*((BULK_SKU="ALL")+(BULK_SKU=$G296))*(BULK_START&lt;=9)*(BULK_END&gt;=9))*IFERROR(BULK_VALUE,0))/MAX(1,SUMPRODUCT(((BULK_ENABLED="Y")*((BULK_TIER="ALL")+(BULK_TIER=$F296))*((BULK_SKU="ALL")+(BULK_SKU=$G296))*(BULK_START&lt;=9)*(BULK_END&gt;=9)))),0),ROUND((INDEX(VELOCITY_TABLE,MATCH($F296,TIER_LIST,0),1))*(IF((9-$I296+1)&lt;=0,0,IF((9-$I296+1)=1,RAMP_W1,IF((9-$I296+1)=2,RAMP_W2,IF((9-$I296+1)=3,RAMP_W3,RAMP_W4PLUS)))))*(INDEX(ACTIVE_MULT_TABLE,1,1))*(1+SUMPRODUCT(SIGN(((ACT_DOOR_SCOPE="ALL")+(ACT_DOOR_SCOPE="TIER_"&amp;$F296)+(ACT_DOOR_SCOPE=$B296)))*SIGN(((ACT_SKU_SCOPE="ALL")+(ACT_SKU_SCOPE=$G296)))*(ACT_START&lt;=9)*(ACT_END&gt;=9)*IFERROR(ACT_UPLIFT-1,0)))*(1+SUMPRODUCT(SIGN(((ACT_DOOR_SCOPE="ALL")+(ACT_DOOR_SCOPE="TIER_"&amp;$F296)+(ACT_DOOR_SCOPE=$B296)))*SIGN(((ACT_SKU_SCOPE="ALL")+(ACT_SKU_SCOPE=$G296)))*(9&gt;ACT_END)*(ACT_END&gt;0)*IFERROR(ACT_POSTLIFT,0))),0)))</f>
        <v/>
      </c>
      <c r="S296" s="10">
        <f>IF(OR($H296&lt;&gt;"Y",10&lt;$I296),0,IF(SUMPRODUCT(((BULK_ENABLED="Y")*((BULK_TIER="ALL")+(BULK_TIER=$F296))*((BULK_SKU="ALL")+(BULK_SKU=$G296))*(BULK_START&lt;=10)*(BULK_END&gt;=10)))&gt;0,IFERROR(SUMPRODUCT(((BULK_ENABLED="Y")*((BULK_TIER="ALL")+(BULK_TIER=$F296))*((BULK_SKU="ALL")+(BULK_SKU=$G296))*(BULK_START&lt;=10)*(BULK_END&gt;=10))*IFERROR(BULK_VALUE,0))/MAX(1,SUMPRODUCT(((BULK_ENABLED="Y")*((BULK_TIER="ALL")+(BULK_TIER=$F296))*((BULK_SKU="ALL")+(BULK_SKU=$G296))*(BULK_START&lt;=10)*(BULK_END&gt;=10)))),0),ROUND((INDEX(VELOCITY_TABLE,MATCH($F296,TIER_LIST,0),1))*(IF((10-$I296+1)&lt;=0,0,IF((10-$I296+1)=1,RAMP_W1,IF((10-$I296+1)=2,RAMP_W2,IF((10-$I296+1)=3,RAMP_W3,RAMP_W4PLUS)))))*(INDEX(ACTIVE_MULT_TABLE,1,1))*(1+SUMPRODUCT(SIGN(((ACT_DOOR_SCOPE="ALL")+(ACT_DOOR_SCOPE="TIER_"&amp;$F296)+(ACT_DOOR_SCOPE=$B296)))*SIGN(((ACT_SKU_SCOPE="ALL")+(ACT_SKU_SCOPE=$G296)))*(ACT_START&lt;=10)*(ACT_END&gt;=10)*IFERROR(ACT_UPLIFT-1,0)))*(1+SUMPRODUCT(SIGN(((ACT_DOOR_SCOPE="ALL")+(ACT_DOOR_SCOPE="TIER_"&amp;$F296)+(ACT_DOOR_SCOPE=$B296)))*SIGN(((ACT_SKU_SCOPE="ALL")+(ACT_SKU_SCOPE=$G296)))*(10&gt;ACT_END)*(ACT_END&gt;0)*IFERROR(ACT_POSTLIFT,0))),0)))</f>
        <v/>
      </c>
      <c r="T296" s="10">
        <f>IF(OR($H296&lt;&gt;"Y",11&lt;$I296),0,IF(SUMPRODUCT(((BULK_ENABLED="Y")*((BULK_TIER="ALL")+(BULK_TIER=$F296))*((BULK_SKU="ALL")+(BULK_SKU=$G296))*(BULK_START&lt;=11)*(BULK_END&gt;=11)))&gt;0,IFERROR(SUMPRODUCT(((BULK_ENABLED="Y")*((BULK_TIER="ALL")+(BULK_TIER=$F296))*((BULK_SKU="ALL")+(BULK_SKU=$G296))*(BULK_START&lt;=11)*(BULK_END&gt;=11))*IFERROR(BULK_VALUE,0))/MAX(1,SUMPRODUCT(((BULK_ENABLED="Y")*((BULK_TIER="ALL")+(BULK_TIER=$F296))*((BULK_SKU="ALL")+(BULK_SKU=$G296))*(BULK_START&lt;=11)*(BULK_END&gt;=11)))),0),ROUND((INDEX(VELOCITY_TABLE,MATCH($F296,TIER_LIST,0),1))*(IF((11-$I296+1)&lt;=0,0,IF((11-$I296+1)=1,RAMP_W1,IF((11-$I296+1)=2,RAMP_W2,IF((11-$I296+1)=3,RAMP_W3,RAMP_W4PLUS)))))*(INDEX(ACTIVE_MULT_TABLE,1,1))*(1+SUMPRODUCT(SIGN(((ACT_DOOR_SCOPE="ALL")+(ACT_DOOR_SCOPE="TIER_"&amp;$F296)+(ACT_DOOR_SCOPE=$B296)))*SIGN(((ACT_SKU_SCOPE="ALL")+(ACT_SKU_SCOPE=$G296)))*(ACT_START&lt;=11)*(ACT_END&gt;=11)*IFERROR(ACT_UPLIFT-1,0)))*(1+SUMPRODUCT(SIGN(((ACT_DOOR_SCOPE="ALL")+(ACT_DOOR_SCOPE="TIER_"&amp;$F296)+(ACT_DOOR_SCOPE=$B296)))*SIGN(((ACT_SKU_SCOPE="ALL")+(ACT_SKU_SCOPE=$G296)))*(11&gt;ACT_END)*(ACT_END&gt;0)*IFERROR(ACT_POSTLIFT,0))),0)))</f>
        <v/>
      </c>
      <c r="U296" s="10">
        <f>IF(OR($H296&lt;&gt;"Y",12&lt;$I296),0,IF(SUMPRODUCT(((BULK_ENABLED="Y")*((BULK_TIER="ALL")+(BULK_TIER=$F296))*((BULK_SKU="ALL")+(BULK_SKU=$G296))*(BULK_START&lt;=12)*(BULK_END&gt;=12)))&gt;0,IFERROR(SUMPRODUCT(((BULK_ENABLED="Y")*((BULK_TIER="ALL")+(BULK_TIER=$F296))*((BULK_SKU="ALL")+(BULK_SKU=$G296))*(BULK_START&lt;=12)*(BULK_END&gt;=12))*IFERROR(BULK_VALUE,0))/MAX(1,SUMPRODUCT(((BULK_ENABLED="Y")*((BULK_TIER="ALL")+(BULK_TIER=$F296))*((BULK_SKU="ALL")+(BULK_SKU=$G296))*(BULK_START&lt;=12)*(BULK_END&gt;=12)))),0),ROUND((INDEX(VELOCITY_TABLE,MATCH($F296,TIER_LIST,0),1))*(IF((12-$I296+1)&lt;=0,0,IF((12-$I296+1)=1,RAMP_W1,IF((12-$I296+1)=2,RAMP_W2,IF((12-$I296+1)=3,RAMP_W3,RAMP_W4PLUS)))))*(INDEX(ACTIVE_MULT_TABLE,1,1))*(1+SUMPRODUCT(SIGN(((ACT_DOOR_SCOPE="ALL")+(ACT_DOOR_SCOPE="TIER_"&amp;$F296)+(ACT_DOOR_SCOPE=$B296)))*SIGN(((ACT_SKU_SCOPE="ALL")+(ACT_SKU_SCOPE=$G296)))*(ACT_START&lt;=12)*(ACT_END&gt;=12)*IFERROR(ACT_UPLIFT-1,0)))*(1+SUMPRODUCT(SIGN(((ACT_DOOR_SCOPE="ALL")+(ACT_DOOR_SCOPE="TIER_"&amp;$F296)+(ACT_DOOR_SCOPE=$B296)))*SIGN(((ACT_SKU_SCOPE="ALL")+(ACT_SKU_SCOPE=$G296)))*(12&gt;ACT_END)*(ACT_END&gt;0)*IFERROR(ACT_POSTLIFT,0))),0)))</f>
        <v/>
      </c>
      <c r="V296" s="10">
        <f>IF(OR($H296&lt;&gt;"Y",13&lt;$I296),0,IF(SUMPRODUCT(((BULK_ENABLED="Y")*((BULK_TIER="ALL")+(BULK_TIER=$F296))*((BULK_SKU="ALL")+(BULK_SKU=$G296))*(BULK_START&lt;=13)*(BULK_END&gt;=13)))&gt;0,IFERROR(SUMPRODUCT(((BULK_ENABLED="Y")*((BULK_TIER="ALL")+(BULK_TIER=$F296))*((BULK_SKU="ALL")+(BULK_SKU=$G296))*(BULK_START&lt;=13)*(BULK_END&gt;=13))*IFERROR(BULK_VALUE,0))/MAX(1,SUMPRODUCT(((BULK_ENABLED="Y")*((BULK_TIER="ALL")+(BULK_TIER=$F296))*((BULK_SKU="ALL")+(BULK_SKU=$G296))*(BULK_START&lt;=13)*(BULK_END&gt;=13)))),0),ROUND((INDEX(VELOCITY_TABLE,MATCH($F296,TIER_LIST,0),1))*(IF((13-$I296+1)&lt;=0,0,IF((13-$I296+1)=1,RAMP_W1,IF((13-$I296+1)=2,RAMP_W2,IF((13-$I296+1)=3,RAMP_W3,RAMP_W4PLUS)))))*(INDEX(ACTIVE_MULT_TABLE,1,1))*(1+SUMPRODUCT(SIGN(((ACT_DOOR_SCOPE="ALL")+(ACT_DOOR_SCOPE="TIER_"&amp;$F296)+(ACT_DOOR_SCOPE=$B296)))*SIGN(((ACT_SKU_SCOPE="ALL")+(ACT_SKU_SCOPE=$G296)))*(ACT_START&lt;=13)*(ACT_END&gt;=13)*IFERROR(ACT_UPLIFT-1,0)))*(1+SUMPRODUCT(SIGN(((ACT_DOOR_SCOPE="ALL")+(ACT_DOOR_SCOPE="TIER_"&amp;$F296)+(ACT_DOOR_SCOPE=$B296)))*SIGN(((ACT_SKU_SCOPE="ALL")+(ACT_SKU_SCOPE=$G296)))*(13&gt;ACT_END)*(ACT_END&gt;0)*IFERROR(ACT_POSTLIFT,0))),0)))</f>
        <v/>
      </c>
    </row>
    <row r="297">
      <c r="A297" t="inlineStr">
        <is>
          <t>R0293</t>
        </is>
      </c>
      <c r="B297">
        <f>Doors!$A$102</f>
        <v/>
      </c>
      <c r="C297">
        <f>Doors!$C$102</f>
        <v/>
      </c>
      <c r="D297">
        <f>Doors!$B$102</f>
        <v/>
      </c>
      <c r="E297">
        <f>Doors!$E$102</f>
        <v/>
      </c>
      <c r="F297">
        <f>Doors!$F$102</f>
        <v/>
      </c>
      <c r="G297" t="inlineStr">
        <is>
          <t>Pineapple Passion Fruit</t>
        </is>
      </c>
      <c r="H297">
        <f>Doors!$H$102</f>
        <v/>
      </c>
      <c r="I297">
        <f>Doors!$J$102</f>
        <v/>
      </c>
      <c r="J297" s="10">
        <f>IF(OR($H297&lt;&gt;"Y",1&lt;$I297),0,IF(SUMPRODUCT(((BULK_ENABLED="Y")*((BULK_TIER="ALL")+(BULK_TIER=$F297))*((BULK_SKU="ALL")+(BULK_SKU=$G297))*(BULK_START&lt;=1)*(BULK_END&gt;=1)))&gt;0,IFERROR(SUMPRODUCT(((BULK_ENABLED="Y")*((BULK_TIER="ALL")+(BULK_TIER=$F297))*((BULK_SKU="ALL")+(BULK_SKU=$G297))*(BULK_START&lt;=1)*(BULK_END&gt;=1))*IFERROR(BULK_VALUE,0))/MAX(1,SUMPRODUCT(((BULK_ENABLED="Y")*((BULK_TIER="ALL")+(BULK_TIER=$F297))*((BULK_SKU="ALL")+(BULK_SKU=$G297))*(BULK_START&lt;=1)*(BULK_END&gt;=1)))),0),ROUND((INDEX(VELOCITY_TABLE,MATCH($F297,TIER_LIST,0),2))*(IF((1-$I297+1)&lt;=0,0,IF((1-$I297+1)=1,RAMP_W1,IF((1-$I297+1)=2,RAMP_W2,IF((1-$I297+1)=3,RAMP_W3,RAMP_W4PLUS)))))*(INDEX(ACTIVE_MULT_TABLE,2,1))*(1+SUMPRODUCT(SIGN(((ACT_DOOR_SCOPE="ALL")+(ACT_DOOR_SCOPE="TIER_"&amp;$F297)+(ACT_DOOR_SCOPE=$B297)))*SIGN(((ACT_SKU_SCOPE="ALL")+(ACT_SKU_SCOPE=$G297)))*(ACT_START&lt;=1)*(ACT_END&gt;=1)*IFERROR(ACT_UPLIFT-1,0)))*(1+SUMPRODUCT(SIGN(((ACT_DOOR_SCOPE="ALL")+(ACT_DOOR_SCOPE="TIER_"&amp;$F297)+(ACT_DOOR_SCOPE=$B297)))*SIGN(((ACT_SKU_SCOPE="ALL")+(ACT_SKU_SCOPE=$G297)))*(1&gt;ACT_END)*(ACT_END&gt;0)*IFERROR(ACT_POSTLIFT,0))),0)))</f>
        <v/>
      </c>
      <c r="K297" s="10">
        <f>IF(OR($H297&lt;&gt;"Y",2&lt;$I297),0,IF(SUMPRODUCT(((BULK_ENABLED="Y")*((BULK_TIER="ALL")+(BULK_TIER=$F297))*((BULK_SKU="ALL")+(BULK_SKU=$G297))*(BULK_START&lt;=2)*(BULK_END&gt;=2)))&gt;0,IFERROR(SUMPRODUCT(((BULK_ENABLED="Y")*((BULK_TIER="ALL")+(BULK_TIER=$F297))*((BULK_SKU="ALL")+(BULK_SKU=$G297))*(BULK_START&lt;=2)*(BULK_END&gt;=2))*IFERROR(BULK_VALUE,0))/MAX(1,SUMPRODUCT(((BULK_ENABLED="Y")*((BULK_TIER="ALL")+(BULK_TIER=$F297))*((BULK_SKU="ALL")+(BULK_SKU=$G297))*(BULK_START&lt;=2)*(BULK_END&gt;=2)))),0),ROUND((INDEX(VELOCITY_TABLE,MATCH($F297,TIER_LIST,0),2))*(IF((2-$I297+1)&lt;=0,0,IF((2-$I297+1)=1,RAMP_W1,IF((2-$I297+1)=2,RAMP_W2,IF((2-$I297+1)=3,RAMP_W3,RAMP_W4PLUS)))))*(INDEX(ACTIVE_MULT_TABLE,2,1))*(1+SUMPRODUCT(SIGN(((ACT_DOOR_SCOPE="ALL")+(ACT_DOOR_SCOPE="TIER_"&amp;$F297)+(ACT_DOOR_SCOPE=$B297)))*SIGN(((ACT_SKU_SCOPE="ALL")+(ACT_SKU_SCOPE=$G297)))*(ACT_START&lt;=2)*(ACT_END&gt;=2)*IFERROR(ACT_UPLIFT-1,0)))*(1+SUMPRODUCT(SIGN(((ACT_DOOR_SCOPE="ALL")+(ACT_DOOR_SCOPE="TIER_"&amp;$F297)+(ACT_DOOR_SCOPE=$B297)))*SIGN(((ACT_SKU_SCOPE="ALL")+(ACT_SKU_SCOPE=$G297)))*(2&gt;ACT_END)*(ACT_END&gt;0)*IFERROR(ACT_POSTLIFT,0))),0)))</f>
        <v/>
      </c>
      <c r="L297" s="10">
        <f>IF(OR($H297&lt;&gt;"Y",3&lt;$I297),0,IF(SUMPRODUCT(((BULK_ENABLED="Y")*((BULK_TIER="ALL")+(BULK_TIER=$F297))*((BULK_SKU="ALL")+(BULK_SKU=$G297))*(BULK_START&lt;=3)*(BULK_END&gt;=3)))&gt;0,IFERROR(SUMPRODUCT(((BULK_ENABLED="Y")*((BULK_TIER="ALL")+(BULK_TIER=$F297))*((BULK_SKU="ALL")+(BULK_SKU=$G297))*(BULK_START&lt;=3)*(BULK_END&gt;=3))*IFERROR(BULK_VALUE,0))/MAX(1,SUMPRODUCT(((BULK_ENABLED="Y")*((BULK_TIER="ALL")+(BULK_TIER=$F297))*((BULK_SKU="ALL")+(BULK_SKU=$G297))*(BULK_START&lt;=3)*(BULK_END&gt;=3)))),0),ROUND((INDEX(VELOCITY_TABLE,MATCH($F297,TIER_LIST,0),2))*(IF((3-$I297+1)&lt;=0,0,IF((3-$I297+1)=1,RAMP_W1,IF((3-$I297+1)=2,RAMP_W2,IF((3-$I297+1)=3,RAMP_W3,RAMP_W4PLUS)))))*(INDEX(ACTIVE_MULT_TABLE,2,1))*(1+SUMPRODUCT(SIGN(((ACT_DOOR_SCOPE="ALL")+(ACT_DOOR_SCOPE="TIER_"&amp;$F297)+(ACT_DOOR_SCOPE=$B297)))*SIGN(((ACT_SKU_SCOPE="ALL")+(ACT_SKU_SCOPE=$G297)))*(ACT_START&lt;=3)*(ACT_END&gt;=3)*IFERROR(ACT_UPLIFT-1,0)))*(1+SUMPRODUCT(SIGN(((ACT_DOOR_SCOPE="ALL")+(ACT_DOOR_SCOPE="TIER_"&amp;$F297)+(ACT_DOOR_SCOPE=$B297)))*SIGN(((ACT_SKU_SCOPE="ALL")+(ACT_SKU_SCOPE=$G297)))*(3&gt;ACT_END)*(ACT_END&gt;0)*IFERROR(ACT_POSTLIFT,0))),0)))</f>
        <v/>
      </c>
      <c r="M297" s="10">
        <f>IF(OR($H297&lt;&gt;"Y",4&lt;$I297),0,IF(SUMPRODUCT(((BULK_ENABLED="Y")*((BULK_TIER="ALL")+(BULK_TIER=$F297))*((BULK_SKU="ALL")+(BULK_SKU=$G297))*(BULK_START&lt;=4)*(BULK_END&gt;=4)))&gt;0,IFERROR(SUMPRODUCT(((BULK_ENABLED="Y")*((BULK_TIER="ALL")+(BULK_TIER=$F297))*((BULK_SKU="ALL")+(BULK_SKU=$G297))*(BULK_START&lt;=4)*(BULK_END&gt;=4))*IFERROR(BULK_VALUE,0))/MAX(1,SUMPRODUCT(((BULK_ENABLED="Y")*((BULK_TIER="ALL")+(BULK_TIER=$F297))*((BULK_SKU="ALL")+(BULK_SKU=$G297))*(BULK_START&lt;=4)*(BULK_END&gt;=4)))),0),ROUND((INDEX(VELOCITY_TABLE,MATCH($F297,TIER_LIST,0),2))*(IF((4-$I297+1)&lt;=0,0,IF((4-$I297+1)=1,RAMP_W1,IF((4-$I297+1)=2,RAMP_W2,IF((4-$I297+1)=3,RAMP_W3,RAMP_W4PLUS)))))*(INDEX(ACTIVE_MULT_TABLE,2,1))*(1+SUMPRODUCT(SIGN(((ACT_DOOR_SCOPE="ALL")+(ACT_DOOR_SCOPE="TIER_"&amp;$F297)+(ACT_DOOR_SCOPE=$B297)))*SIGN(((ACT_SKU_SCOPE="ALL")+(ACT_SKU_SCOPE=$G297)))*(ACT_START&lt;=4)*(ACT_END&gt;=4)*IFERROR(ACT_UPLIFT-1,0)))*(1+SUMPRODUCT(SIGN(((ACT_DOOR_SCOPE="ALL")+(ACT_DOOR_SCOPE="TIER_"&amp;$F297)+(ACT_DOOR_SCOPE=$B297)))*SIGN(((ACT_SKU_SCOPE="ALL")+(ACT_SKU_SCOPE=$G297)))*(4&gt;ACT_END)*(ACT_END&gt;0)*IFERROR(ACT_POSTLIFT,0))),0)))</f>
        <v/>
      </c>
      <c r="N297" s="10">
        <f>IF(OR($H297&lt;&gt;"Y",5&lt;$I297),0,IF(SUMPRODUCT(((BULK_ENABLED="Y")*((BULK_TIER="ALL")+(BULK_TIER=$F297))*((BULK_SKU="ALL")+(BULK_SKU=$G297))*(BULK_START&lt;=5)*(BULK_END&gt;=5)))&gt;0,IFERROR(SUMPRODUCT(((BULK_ENABLED="Y")*((BULK_TIER="ALL")+(BULK_TIER=$F297))*((BULK_SKU="ALL")+(BULK_SKU=$G297))*(BULK_START&lt;=5)*(BULK_END&gt;=5))*IFERROR(BULK_VALUE,0))/MAX(1,SUMPRODUCT(((BULK_ENABLED="Y")*((BULK_TIER="ALL")+(BULK_TIER=$F297))*((BULK_SKU="ALL")+(BULK_SKU=$G297))*(BULK_START&lt;=5)*(BULK_END&gt;=5)))),0),ROUND((INDEX(VELOCITY_TABLE,MATCH($F297,TIER_LIST,0),2))*(IF((5-$I297+1)&lt;=0,0,IF((5-$I297+1)=1,RAMP_W1,IF((5-$I297+1)=2,RAMP_W2,IF((5-$I297+1)=3,RAMP_W3,RAMP_W4PLUS)))))*(INDEX(ACTIVE_MULT_TABLE,2,1))*(1+SUMPRODUCT(SIGN(((ACT_DOOR_SCOPE="ALL")+(ACT_DOOR_SCOPE="TIER_"&amp;$F297)+(ACT_DOOR_SCOPE=$B297)))*SIGN(((ACT_SKU_SCOPE="ALL")+(ACT_SKU_SCOPE=$G297)))*(ACT_START&lt;=5)*(ACT_END&gt;=5)*IFERROR(ACT_UPLIFT-1,0)))*(1+SUMPRODUCT(SIGN(((ACT_DOOR_SCOPE="ALL")+(ACT_DOOR_SCOPE="TIER_"&amp;$F297)+(ACT_DOOR_SCOPE=$B297)))*SIGN(((ACT_SKU_SCOPE="ALL")+(ACT_SKU_SCOPE=$G297)))*(5&gt;ACT_END)*(ACT_END&gt;0)*IFERROR(ACT_POSTLIFT,0))),0)))</f>
        <v/>
      </c>
      <c r="O297" s="10">
        <f>IF(OR($H297&lt;&gt;"Y",6&lt;$I297),0,IF(SUMPRODUCT(((BULK_ENABLED="Y")*((BULK_TIER="ALL")+(BULK_TIER=$F297))*((BULK_SKU="ALL")+(BULK_SKU=$G297))*(BULK_START&lt;=6)*(BULK_END&gt;=6)))&gt;0,IFERROR(SUMPRODUCT(((BULK_ENABLED="Y")*((BULK_TIER="ALL")+(BULK_TIER=$F297))*((BULK_SKU="ALL")+(BULK_SKU=$G297))*(BULK_START&lt;=6)*(BULK_END&gt;=6))*IFERROR(BULK_VALUE,0))/MAX(1,SUMPRODUCT(((BULK_ENABLED="Y")*((BULK_TIER="ALL")+(BULK_TIER=$F297))*((BULK_SKU="ALL")+(BULK_SKU=$G297))*(BULK_START&lt;=6)*(BULK_END&gt;=6)))),0),ROUND((INDEX(VELOCITY_TABLE,MATCH($F297,TIER_LIST,0),2))*(IF((6-$I297+1)&lt;=0,0,IF((6-$I297+1)=1,RAMP_W1,IF((6-$I297+1)=2,RAMP_W2,IF((6-$I297+1)=3,RAMP_W3,RAMP_W4PLUS)))))*(INDEX(ACTIVE_MULT_TABLE,2,1))*(1+SUMPRODUCT(SIGN(((ACT_DOOR_SCOPE="ALL")+(ACT_DOOR_SCOPE="TIER_"&amp;$F297)+(ACT_DOOR_SCOPE=$B297)))*SIGN(((ACT_SKU_SCOPE="ALL")+(ACT_SKU_SCOPE=$G297)))*(ACT_START&lt;=6)*(ACT_END&gt;=6)*IFERROR(ACT_UPLIFT-1,0)))*(1+SUMPRODUCT(SIGN(((ACT_DOOR_SCOPE="ALL")+(ACT_DOOR_SCOPE="TIER_"&amp;$F297)+(ACT_DOOR_SCOPE=$B297)))*SIGN(((ACT_SKU_SCOPE="ALL")+(ACT_SKU_SCOPE=$G297)))*(6&gt;ACT_END)*(ACT_END&gt;0)*IFERROR(ACT_POSTLIFT,0))),0)))</f>
        <v/>
      </c>
      <c r="P297" s="10">
        <f>IF(OR($H297&lt;&gt;"Y",7&lt;$I297),0,IF(SUMPRODUCT(((BULK_ENABLED="Y")*((BULK_TIER="ALL")+(BULK_TIER=$F297))*((BULK_SKU="ALL")+(BULK_SKU=$G297))*(BULK_START&lt;=7)*(BULK_END&gt;=7)))&gt;0,IFERROR(SUMPRODUCT(((BULK_ENABLED="Y")*((BULK_TIER="ALL")+(BULK_TIER=$F297))*((BULK_SKU="ALL")+(BULK_SKU=$G297))*(BULK_START&lt;=7)*(BULK_END&gt;=7))*IFERROR(BULK_VALUE,0))/MAX(1,SUMPRODUCT(((BULK_ENABLED="Y")*((BULK_TIER="ALL")+(BULK_TIER=$F297))*((BULK_SKU="ALL")+(BULK_SKU=$G297))*(BULK_START&lt;=7)*(BULK_END&gt;=7)))),0),ROUND((INDEX(VELOCITY_TABLE,MATCH($F297,TIER_LIST,0),2))*(IF((7-$I297+1)&lt;=0,0,IF((7-$I297+1)=1,RAMP_W1,IF((7-$I297+1)=2,RAMP_W2,IF((7-$I297+1)=3,RAMP_W3,RAMP_W4PLUS)))))*(INDEX(ACTIVE_MULT_TABLE,2,1))*(1+SUMPRODUCT(SIGN(((ACT_DOOR_SCOPE="ALL")+(ACT_DOOR_SCOPE="TIER_"&amp;$F297)+(ACT_DOOR_SCOPE=$B297)))*SIGN(((ACT_SKU_SCOPE="ALL")+(ACT_SKU_SCOPE=$G297)))*(ACT_START&lt;=7)*(ACT_END&gt;=7)*IFERROR(ACT_UPLIFT-1,0)))*(1+SUMPRODUCT(SIGN(((ACT_DOOR_SCOPE="ALL")+(ACT_DOOR_SCOPE="TIER_"&amp;$F297)+(ACT_DOOR_SCOPE=$B297)))*SIGN(((ACT_SKU_SCOPE="ALL")+(ACT_SKU_SCOPE=$G297)))*(7&gt;ACT_END)*(ACT_END&gt;0)*IFERROR(ACT_POSTLIFT,0))),0)))</f>
        <v/>
      </c>
      <c r="Q297" s="10">
        <f>IF(OR($H297&lt;&gt;"Y",8&lt;$I297),0,IF(SUMPRODUCT(((BULK_ENABLED="Y")*((BULK_TIER="ALL")+(BULK_TIER=$F297))*((BULK_SKU="ALL")+(BULK_SKU=$G297))*(BULK_START&lt;=8)*(BULK_END&gt;=8)))&gt;0,IFERROR(SUMPRODUCT(((BULK_ENABLED="Y")*((BULK_TIER="ALL")+(BULK_TIER=$F297))*((BULK_SKU="ALL")+(BULK_SKU=$G297))*(BULK_START&lt;=8)*(BULK_END&gt;=8))*IFERROR(BULK_VALUE,0))/MAX(1,SUMPRODUCT(((BULK_ENABLED="Y")*((BULK_TIER="ALL")+(BULK_TIER=$F297))*((BULK_SKU="ALL")+(BULK_SKU=$G297))*(BULK_START&lt;=8)*(BULK_END&gt;=8)))),0),ROUND((INDEX(VELOCITY_TABLE,MATCH($F297,TIER_LIST,0),2))*(IF((8-$I297+1)&lt;=0,0,IF((8-$I297+1)=1,RAMP_W1,IF((8-$I297+1)=2,RAMP_W2,IF((8-$I297+1)=3,RAMP_W3,RAMP_W4PLUS)))))*(INDEX(ACTIVE_MULT_TABLE,2,1))*(1+SUMPRODUCT(SIGN(((ACT_DOOR_SCOPE="ALL")+(ACT_DOOR_SCOPE="TIER_"&amp;$F297)+(ACT_DOOR_SCOPE=$B297)))*SIGN(((ACT_SKU_SCOPE="ALL")+(ACT_SKU_SCOPE=$G297)))*(ACT_START&lt;=8)*(ACT_END&gt;=8)*IFERROR(ACT_UPLIFT-1,0)))*(1+SUMPRODUCT(SIGN(((ACT_DOOR_SCOPE="ALL")+(ACT_DOOR_SCOPE="TIER_"&amp;$F297)+(ACT_DOOR_SCOPE=$B297)))*SIGN(((ACT_SKU_SCOPE="ALL")+(ACT_SKU_SCOPE=$G297)))*(8&gt;ACT_END)*(ACT_END&gt;0)*IFERROR(ACT_POSTLIFT,0))),0)))</f>
        <v/>
      </c>
      <c r="R297" s="10">
        <f>IF(OR($H297&lt;&gt;"Y",9&lt;$I297),0,IF(SUMPRODUCT(((BULK_ENABLED="Y")*((BULK_TIER="ALL")+(BULK_TIER=$F297))*((BULK_SKU="ALL")+(BULK_SKU=$G297))*(BULK_START&lt;=9)*(BULK_END&gt;=9)))&gt;0,IFERROR(SUMPRODUCT(((BULK_ENABLED="Y")*((BULK_TIER="ALL")+(BULK_TIER=$F297))*((BULK_SKU="ALL")+(BULK_SKU=$G297))*(BULK_START&lt;=9)*(BULK_END&gt;=9))*IFERROR(BULK_VALUE,0))/MAX(1,SUMPRODUCT(((BULK_ENABLED="Y")*((BULK_TIER="ALL")+(BULK_TIER=$F297))*((BULK_SKU="ALL")+(BULK_SKU=$G297))*(BULK_START&lt;=9)*(BULK_END&gt;=9)))),0),ROUND((INDEX(VELOCITY_TABLE,MATCH($F297,TIER_LIST,0),2))*(IF((9-$I297+1)&lt;=0,0,IF((9-$I297+1)=1,RAMP_W1,IF((9-$I297+1)=2,RAMP_W2,IF((9-$I297+1)=3,RAMP_W3,RAMP_W4PLUS)))))*(INDEX(ACTIVE_MULT_TABLE,2,1))*(1+SUMPRODUCT(SIGN(((ACT_DOOR_SCOPE="ALL")+(ACT_DOOR_SCOPE="TIER_"&amp;$F297)+(ACT_DOOR_SCOPE=$B297)))*SIGN(((ACT_SKU_SCOPE="ALL")+(ACT_SKU_SCOPE=$G297)))*(ACT_START&lt;=9)*(ACT_END&gt;=9)*IFERROR(ACT_UPLIFT-1,0)))*(1+SUMPRODUCT(SIGN(((ACT_DOOR_SCOPE="ALL")+(ACT_DOOR_SCOPE="TIER_"&amp;$F297)+(ACT_DOOR_SCOPE=$B297)))*SIGN(((ACT_SKU_SCOPE="ALL")+(ACT_SKU_SCOPE=$G297)))*(9&gt;ACT_END)*(ACT_END&gt;0)*IFERROR(ACT_POSTLIFT,0))),0)))</f>
        <v/>
      </c>
      <c r="S297" s="10">
        <f>IF(OR($H297&lt;&gt;"Y",10&lt;$I297),0,IF(SUMPRODUCT(((BULK_ENABLED="Y")*((BULK_TIER="ALL")+(BULK_TIER=$F297))*((BULK_SKU="ALL")+(BULK_SKU=$G297))*(BULK_START&lt;=10)*(BULK_END&gt;=10)))&gt;0,IFERROR(SUMPRODUCT(((BULK_ENABLED="Y")*((BULK_TIER="ALL")+(BULK_TIER=$F297))*((BULK_SKU="ALL")+(BULK_SKU=$G297))*(BULK_START&lt;=10)*(BULK_END&gt;=10))*IFERROR(BULK_VALUE,0))/MAX(1,SUMPRODUCT(((BULK_ENABLED="Y")*((BULK_TIER="ALL")+(BULK_TIER=$F297))*((BULK_SKU="ALL")+(BULK_SKU=$G297))*(BULK_START&lt;=10)*(BULK_END&gt;=10)))),0),ROUND((INDEX(VELOCITY_TABLE,MATCH($F297,TIER_LIST,0),2))*(IF((10-$I297+1)&lt;=0,0,IF((10-$I297+1)=1,RAMP_W1,IF((10-$I297+1)=2,RAMP_W2,IF((10-$I297+1)=3,RAMP_W3,RAMP_W4PLUS)))))*(INDEX(ACTIVE_MULT_TABLE,2,1))*(1+SUMPRODUCT(SIGN(((ACT_DOOR_SCOPE="ALL")+(ACT_DOOR_SCOPE="TIER_"&amp;$F297)+(ACT_DOOR_SCOPE=$B297)))*SIGN(((ACT_SKU_SCOPE="ALL")+(ACT_SKU_SCOPE=$G297)))*(ACT_START&lt;=10)*(ACT_END&gt;=10)*IFERROR(ACT_UPLIFT-1,0)))*(1+SUMPRODUCT(SIGN(((ACT_DOOR_SCOPE="ALL")+(ACT_DOOR_SCOPE="TIER_"&amp;$F297)+(ACT_DOOR_SCOPE=$B297)))*SIGN(((ACT_SKU_SCOPE="ALL")+(ACT_SKU_SCOPE=$G297)))*(10&gt;ACT_END)*(ACT_END&gt;0)*IFERROR(ACT_POSTLIFT,0))),0)))</f>
        <v/>
      </c>
      <c r="T297" s="10">
        <f>IF(OR($H297&lt;&gt;"Y",11&lt;$I297),0,IF(SUMPRODUCT(((BULK_ENABLED="Y")*((BULK_TIER="ALL")+(BULK_TIER=$F297))*((BULK_SKU="ALL")+(BULK_SKU=$G297))*(BULK_START&lt;=11)*(BULK_END&gt;=11)))&gt;0,IFERROR(SUMPRODUCT(((BULK_ENABLED="Y")*((BULK_TIER="ALL")+(BULK_TIER=$F297))*((BULK_SKU="ALL")+(BULK_SKU=$G297))*(BULK_START&lt;=11)*(BULK_END&gt;=11))*IFERROR(BULK_VALUE,0))/MAX(1,SUMPRODUCT(((BULK_ENABLED="Y")*((BULK_TIER="ALL")+(BULK_TIER=$F297))*((BULK_SKU="ALL")+(BULK_SKU=$G297))*(BULK_START&lt;=11)*(BULK_END&gt;=11)))),0),ROUND((INDEX(VELOCITY_TABLE,MATCH($F297,TIER_LIST,0),2))*(IF((11-$I297+1)&lt;=0,0,IF((11-$I297+1)=1,RAMP_W1,IF((11-$I297+1)=2,RAMP_W2,IF((11-$I297+1)=3,RAMP_W3,RAMP_W4PLUS)))))*(INDEX(ACTIVE_MULT_TABLE,2,1))*(1+SUMPRODUCT(SIGN(((ACT_DOOR_SCOPE="ALL")+(ACT_DOOR_SCOPE="TIER_"&amp;$F297)+(ACT_DOOR_SCOPE=$B297)))*SIGN(((ACT_SKU_SCOPE="ALL")+(ACT_SKU_SCOPE=$G297)))*(ACT_START&lt;=11)*(ACT_END&gt;=11)*IFERROR(ACT_UPLIFT-1,0)))*(1+SUMPRODUCT(SIGN(((ACT_DOOR_SCOPE="ALL")+(ACT_DOOR_SCOPE="TIER_"&amp;$F297)+(ACT_DOOR_SCOPE=$B297)))*SIGN(((ACT_SKU_SCOPE="ALL")+(ACT_SKU_SCOPE=$G297)))*(11&gt;ACT_END)*(ACT_END&gt;0)*IFERROR(ACT_POSTLIFT,0))),0)))</f>
        <v/>
      </c>
      <c r="U297" s="10">
        <f>IF(OR($H297&lt;&gt;"Y",12&lt;$I297),0,IF(SUMPRODUCT(((BULK_ENABLED="Y")*((BULK_TIER="ALL")+(BULK_TIER=$F297))*((BULK_SKU="ALL")+(BULK_SKU=$G297))*(BULK_START&lt;=12)*(BULK_END&gt;=12)))&gt;0,IFERROR(SUMPRODUCT(((BULK_ENABLED="Y")*((BULK_TIER="ALL")+(BULK_TIER=$F297))*((BULK_SKU="ALL")+(BULK_SKU=$G297))*(BULK_START&lt;=12)*(BULK_END&gt;=12))*IFERROR(BULK_VALUE,0))/MAX(1,SUMPRODUCT(((BULK_ENABLED="Y")*((BULK_TIER="ALL")+(BULK_TIER=$F297))*((BULK_SKU="ALL")+(BULK_SKU=$G297))*(BULK_START&lt;=12)*(BULK_END&gt;=12)))),0),ROUND((INDEX(VELOCITY_TABLE,MATCH($F297,TIER_LIST,0),2))*(IF((12-$I297+1)&lt;=0,0,IF((12-$I297+1)=1,RAMP_W1,IF((12-$I297+1)=2,RAMP_W2,IF((12-$I297+1)=3,RAMP_W3,RAMP_W4PLUS)))))*(INDEX(ACTIVE_MULT_TABLE,2,1))*(1+SUMPRODUCT(SIGN(((ACT_DOOR_SCOPE="ALL")+(ACT_DOOR_SCOPE="TIER_"&amp;$F297)+(ACT_DOOR_SCOPE=$B297)))*SIGN(((ACT_SKU_SCOPE="ALL")+(ACT_SKU_SCOPE=$G297)))*(ACT_START&lt;=12)*(ACT_END&gt;=12)*IFERROR(ACT_UPLIFT-1,0)))*(1+SUMPRODUCT(SIGN(((ACT_DOOR_SCOPE="ALL")+(ACT_DOOR_SCOPE="TIER_"&amp;$F297)+(ACT_DOOR_SCOPE=$B297)))*SIGN(((ACT_SKU_SCOPE="ALL")+(ACT_SKU_SCOPE=$G297)))*(12&gt;ACT_END)*(ACT_END&gt;0)*IFERROR(ACT_POSTLIFT,0))),0)))</f>
        <v/>
      </c>
      <c r="V297" s="10">
        <f>IF(OR($H297&lt;&gt;"Y",13&lt;$I297),0,IF(SUMPRODUCT(((BULK_ENABLED="Y")*((BULK_TIER="ALL")+(BULK_TIER=$F297))*((BULK_SKU="ALL")+(BULK_SKU=$G297))*(BULK_START&lt;=13)*(BULK_END&gt;=13)))&gt;0,IFERROR(SUMPRODUCT(((BULK_ENABLED="Y")*((BULK_TIER="ALL")+(BULK_TIER=$F297))*((BULK_SKU="ALL")+(BULK_SKU=$G297))*(BULK_START&lt;=13)*(BULK_END&gt;=13))*IFERROR(BULK_VALUE,0))/MAX(1,SUMPRODUCT(((BULK_ENABLED="Y")*((BULK_TIER="ALL")+(BULK_TIER=$F297))*((BULK_SKU="ALL")+(BULK_SKU=$G297))*(BULK_START&lt;=13)*(BULK_END&gt;=13)))),0),ROUND((INDEX(VELOCITY_TABLE,MATCH($F297,TIER_LIST,0),2))*(IF((13-$I297+1)&lt;=0,0,IF((13-$I297+1)=1,RAMP_W1,IF((13-$I297+1)=2,RAMP_W2,IF((13-$I297+1)=3,RAMP_W3,RAMP_W4PLUS)))))*(INDEX(ACTIVE_MULT_TABLE,2,1))*(1+SUMPRODUCT(SIGN(((ACT_DOOR_SCOPE="ALL")+(ACT_DOOR_SCOPE="TIER_"&amp;$F297)+(ACT_DOOR_SCOPE=$B297)))*SIGN(((ACT_SKU_SCOPE="ALL")+(ACT_SKU_SCOPE=$G297)))*(ACT_START&lt;=13)*(ACT_END&gt;=13)*IFERROR(ACT_UPLIFT-1,0)))*(1+SUMPRODUCT(SIGN(((ACT_DOOR_SCOPE="ALL")+(ACT_DOOR_SCOPE="TIER_"&amp;$F297)+(ACT_DOOR_SCOPE=$B297)))*SIGN(((ACT_SKU_SCOPE="ALL")+(ACT_SKU_SCOPE=$G297)))*(13&gt;ACT_END)*(ACT_END&gt;0)*IFERROR(ACT_POSTLIFT,0))),0)))</f>
        <v/>
      </c>
    </row>
    <row r="298">
      <c r="A298" t="inlineStr">
        <is>
          <t>R0294</t>
        </is>
      </c>
      <c r="B298">
        <f>Doors!$A$102</f>
        <v/>
      </c>
      <c r="C298">
        <f>Doors!$C$102</f>
        <v/>
      </c>
      <c r="D298">
        <f>Doors!$B$102</f>
        <v/>
      </c>
      <c r="E298">
        <f>Doors!$E$102</f>
        <v/>
      </c>
      <c r="F298">
        <f>Doors!$F$102</f>
        <v/>
      </c>
      <c r="G298" t="inlineStr">
        <is>
          <t>Raspberry</t>
        </is>
      </c>
      <c r="H298">
        <f>Doors!$I$102</f>
        <v/>
      </c>
      <c r="I298">
        <f>Doors!$J$102</f>
        <v/>
      </c>
      <c r="J298" s="10">
        <f>IF(OR($H298&lt;&gt;"Y",1&lt;$I298),0,IF(SUMPRODUCT(((BULK_ENABLED="Y")*((BULK_TIER="ALL")+(BULK_TIER=$F298))*((BULK_SKU="ALL")+(BULK_SKU=$G298))*(BULK_START&lt;=1)*(BULK_END&gt;=1)))&gt;0,IFERROR(SUMPRODUCT(((BULK_ENABLED="Y")*((BULK_TIER="ALL")+(BULK_TIER=$F298))*((BULK_SKU="ALL")+(BULK_SKU=$G298))*(BULK_START&lt;=1)*(BULK_END&gt;=1))*IFERROR(BULK_VALUE,0))/MAX(1,SUMPRODUCT(((BULK_ENABLED="Y")*((BULK_TIER="ALL")+(BULK_TIER=$F298))*((BULK_SKU="ALL")+(BULK_SKU=$G298))*(BULK_START&lt;=1)*(BULK_END&gt;=1)))),0),ROUND((INDEX(VELOCITY_TABLE,MATCH($F298,TIER_LIST,0),3))*(IF((1-$I298+1)&lt;=0,0,IF((1-$I298+1)=1,RAMP_W1,IF((1-$I298+1)=2,RAMP_W2,IF((1-$I298+1)=3,RAMP_W3,RAMP_W4PLUS)))))*(INDEX(ACTIVE_MULT_TABLE,3,1))*(1+SUMPRODUCT(SIGN(((ACT_DOOR_SCOPE="ALL")+(ACT_DOOR_SCOPE="TIER_"&amp;$F298)+(ACT_DOOR_SCOPE=$B298)))*SIGN(((ACT_SKU_SCOPE="ALL")+(ACT_SKU_SCOPE=$G298)))*(ACT_START&lt;=1)*(ACT_END&gt;=1)*IFERROR(ACT_UPLIFT-1,0)))*(1+SUMPRODUCT(SIGN(((ACT_DOOR_SCOPE="ALL")+(ACT_DOOR_SCOPE="TIER_"&amp;$F298)+(ACT_DOOR_SCOPE=$B298)))*SIGN(((ACT_SKU_SCOPE="ALL")+(ACT_SKU_SCOPE=$G298)))*(1&gt;ACT_END)*(ACT_END&gt;0)*IFERROR(ACT_POSTLIFT,0))),0)))</f>
        <v/>
      </c>
      <c r="K298" s="10">
        <f>IF(OR($H298&lt;&gt;"Y",2&lt;$I298),0,IF(SUMPRODUCT(((BULK_ENABLED="Y")*((BULK_TIER="ALL")+(BULK_TIER=$F298))*((BULK_SKU="ALL")+(BULK_SKU=$G298))*(BULK_START&lt;=2)*(BULK_END&gt;=2)))&gt;0,IFERROR(SUMPRODUCT(((BULK_ENABLED="Y")*((BULK_TIER="ALL")+(BULK_TIER=$F298))*((BULK_SKU="ALL")+(BULK_SKU=$G298))*(BULK_START&lt;=2)*(BULK_END&gt;=2))*IFERROR(BULK_VALUE,0))/MAX(1,SUMPRODUCT(((BULK_ENABLED="Y")*((BULK_TIER="ALL")+(BULK_TIER=$F298))*((BULK_SKU="ALL")+(BULK_SKU=$G298))*(BULK_START&lt;=2)*(BULK_END&gt;=2)))),0),ROUND((INDEX(VELOCITY_TABLE,MATCH($F298,TIER_LIST,0),3))*(IF((2-$I298+1)&lt;=0,0,IF((2-$I298+1)=1,RAMP_W1,IF((2-$I298+1)=2,RAMP_W2,IF((2-$I298+1)=3,RAMP_W3,RAMP_W4PLUS)))))*(INDEX(ACTIVE_MULT_TABLE,3,1))*(1+SUMPRODUCT(SIGN(((ACT_DOOR_SCOPE="ALL")+(ACT_DOOR_SCOPE="TIER_"&amp;$F298)+(ACT_DOOR_SCOPE=$B298)))*SIGN(((ACT_SKU_SCOPE="ALL")+(ACT_SKU_SCOPE=$G298)))*(ACT_START&lt;=2)*(ACT_END&gt;=2)*IFERROR(ACT_UPLIFT-1,0)))*(1+SUMPRODUCT(SIGN(((ACT_DOOR_SCOPE="ALL")+(ACT_DOOR_SCOPE="TIER_"&amp;$F298)+(ACT_DOOR_SCOPE=$B298)))*SIGN(((ACT_SKU_SCOPE="ALL")+(ACT_SKU_SCOPE=$G298)))*(2&gt;ACT_END)*(ACT_END&gt;0)*IFERROR(ACT_POSTLIFT,0))),0)))</f>
        <v/>
      </c>
      <c r="L298" s="10">
        <f>IF(OR($H298&lt;&gt;"Y",3&lt;$I298),0,IF(SUMPRODUCT(((BULK_ENABLED="Y")*((BULK_TIER="ALL")+(BULK_TIER=$F298))*((BULK_SKU="ALL")+(BULK_SKU=$G298))*(BULK_START&lt;=3)*(BULK_END&gt;=3)))&gt;0,IFERROR(SUMPRODUCT(((BULK_ENABLED="Y")*((BULK_TIER="ALL")+(BULK_TIER=$F298))*((BULK_SKU="ALL")+(BULK_SKU=$G298))*(BULK_START&lt;=3)*(BULK_END&gt;=3))*IFERROR(BULK_VALUE,0))/MAX(1,SUMPRODUCT(((BULK_ENABLED="Y")*((BULK_TIER="ALL")+(BULK_TIER=$F298))*((BULK_SKU="ALL")+(BULK_SKU=$G298))*(BULK_START&lt;=3)*(BULK_END&gt;=3)))),0),ROUND((INDEX(VELOCITY_TABLE,MATCH($F298,TIER_LIST,0),3))*(IF((3-$I298+1)&lt;=0,0,IF((3-$I298+1)=1,RAMP_W1,IF((3-$I298+1)=2,RAMP_W2,IF((3-$I298+1)=3,RAMP_W3,RAMP_W4PLUS)))))*(INDEX(ACTIVE_MULT_TABLE,3,1))*(1+SUMPRODUCT(SIGN(((ACT_DOOR_SCOPE="ALL")+(ACT_DOOR_SCOPE="TIER_"&amp;$F298)+(ACT_DOOR_SCOPE=$B298)))*SIGN(((ACT_SKU_SCOPE="ALL")+(ACT_SKU_SCOPE=$G298)))*(ACT_START&lt;=3)*(ACT_END&gt;=3)*IFERROR(ACT_UPLIFT-1,0)))*(1+SUMPRODUCT(SIGN(((ACT_DOOR_SCOPE="ALL")+(ACT_DOOR_SCOPE="TIER_"&amp;$F298)+(ACT_DOOR_SCOPE=$B298)))*SIGN(((ACT_SKU_SCOPE="ALL")+(ACT_SKU_SCOPE=$G298)))*(3&gt;ACT_END)*(ACT_END&gt;0)*IFERROR(ACT_POSTLIFT,0))),0)))</f>
        <v/>
      </c>
      <c r="M298" s="10">
        <f>IF(OR($H298&lt;&gt;"Y",4&lt;$I298),0,IF(SUMPRODUCT(((BULK_ENABLED="Y")*((BULK_TIER="ALL")+(BULK_TIER=$F298))*((BULK_SKU="ALL")+(BULK_SKU=$G298))*(BULK_START&lt;=4)*(BULK_END&gt;=4)))&gt;0,IFERROR(SUMPRODUCT(((BULK_ENABLED="Y")*((BULK_TIER="ALL")+(BULK_TIER=$F298))*((BULK_SKU="ALL")+(BULK_SKU=$G298))*(BULK_START&lt;=4)*(BULK_END&gt;=4))*IFERROR(BULK_VALUE,0))/MAX(1,SUMPRODUCT(((BULK_ENABLED="Y")*((BULK_TIER="ALL")+(BULK_TIER=$F298))*((BULK_SKU="ALL")+(BULK_SKU=$G298))*(BULK_START&lt;=4)*(BULK_END&gt;=4)))),0),ROUND((INDEX(VELOCITY_TABLE,MATCH($F298,TIER_LIST,0),3))*(IF((4-$I298+1)&lt;=0,0,IF((4-$I298+1)=1,RAMP_W1,IF((4-$I298+1)=2,RAMP_W2,IF((4-$I298+1)=3,RAMP_W3,RAMP_W4PLUS)))))*(INDEX(ACTIVE_MULT_TABLE,3,1))*(1+SUMPRODUCT(SIGN(((ACT_DOOR_SCOPE="ALL")+(ACT_DOOR_SCOPE="TIER_"&amp;$F298)+(ACT_DOOR_SCOPE=$B298)))*SIGN(((ACT_SKU_SCOPE="ALL")+(ACT_SKU_SCOPE=$G298)))*(ACT_START&lt;=4)*(ACT_END&gt;=4)*IFERROR(ACT_UPLIFT-1,0)))*(1+SUMPRODUCT(SIGN(((ACT_DOOR_SCOPE="ALL")+(ACT_DOOR_SCOPE="TIER_"&amp;$F298)+(ACT_DOOR_SCOPE=$B298)))*SIGN(((ACT_SKU_SCOPE="ALL")+(ACT_SKU_SCOPE=$G298)))*(4&gt;ACT_END)*(ACT_END&gt;0)*IFERROR(ACT_POSTLIFT,0))),0)))</f>
        <v/>
      </c>
      <c r="N298" s="10">
        <f>IF(OR($H298&lt;&gt;"Y",5&lt;$I298),0,IF(SUMPRODUCT(((BULK_ENABLED="Y")*((BULK_TIER="ALL")+(BULK_TIER=$F298))*((BULK_SKU="ALL")+(BULK_SKU=$G298))*(BULK_START&lt;=5)*(BULK_END&gt;=5)))&gt;0,IFERROR(SUMPRODUCT(((BULK_ENABLED="Y")*((BULK_TIER="ALL")+(BULK_TIER=$F298))*((BULK_SKU="ALL")+(BULK_SKU=$G298))*(BULK_START&lt;=5)*(BULK_END&gt;=5))*IFERROR(BULK_VALUE,0))/MAX(1,SUMPRODUCT(((BULK_ENABLED="Y")*((BULK_TIER="ALL")+(BULK_TIER=$F298))*((BULK_SKU="ALL")+(BULK_SKU=$G298))*(BULK_START&lt;=5)*(BULK_END&gt;=5)))),0),ROUND((INDEX(VELOCITY_TABLE,MATCH($F298,TIER_LIST,0),3))*(IF((5-$I298+1)&lt;=0,0,IF((5-$I298+1)=1,RAMP_W1,IF((5-$I298+1)=2,RAMP_W2,IF((5-$I298+1)=3,RAMP_W3,RAMP_W4PLUS)))))*(INDEX(ACTIVE_MULT_TABLE,3,1))*(1+SUMPRODUCT(SIGN(((ACT_DOOR_SCOPE="ALL")+(ACT_DOOR_SCOPE="TIER_"&amp;$F298)+(ACT_DOOR_SCOPE=$B298)))*SIGN(((ACT_SKU_SCOPE="ALL")+(ACT_SKU_SCOPE=$G298)))*(ACT_START&lt;=5)*(ACT_END&gt;=5)*IFERROR(ACT_UPLIFT-1,0)))*(1+SUMPRODUCT(SIGN(((ACT_DOOR_SCOPE="ALL")+(ACT_DOOR_SCOPE="TIER_"&amp;$F298)+(ACT_DOOR_SCOPE=$B298)))*SIGN(((ACT_SKU_SCOPE="ALL")+(ACT_SKU_SCOPE=$G298)))*(5&gt;ACT_END)*(ACT_END&gt;0)*IFERROR(ACT_POSTLIFT,0))),0)))</f>
        <v/>
      </c>
      <c r="O298" s="10">
        <f>IF(OR($H298&lt;&gt;"Y",6&lt;$I298),0,IF(SUMPRODUCT(((BULK_ENABLED="Y")*((BULK_TIER="ALL")+(BULK_TIER=$F298))*((BULK_SKU="ALL")+(BULK_SKU=$G298))*(BULK_START&lt;=6)*(BULK_END&gt;=6)))&gt;0,IFERROR(SUMPRODUCT(((BULK_ENABLED="Y")*((BULK_TIER="ALL")+(BULK_TIER=$F298))*((BULK_SKU="ALL")+(BULK_SKU=$G298))*(BULK_START&lt;=6)*(BULK_END&gt;=6))*IFERROR(BULK_VALUE,0))/MAX(1,SUMPRODUCT(((BULK_ENABLED="Y")*((BULK_TIER="ALL")+(BULK_TIER=$F298))*((BULK_SKU="ALL")+(BULK_SKU=$G298))*(BULK_START&lt;=6)*(BULK_END&gt;=6)))),0),ROUND((INDEX(VELOCITY_TABLE,MATCH($F298,TIER_LIST,0),3))*(IF((6-$I298+1)&lt;=0,0,IF((6-$I298+1)=1,RAMP_W1,IF((6-$I298+1)=2,RAMP_W2,IF((6-$I298+1)=3,RAMP_W3,RAMP_W4PLUS)))))*(INDEX(ACTIVE_MULT_TABLE,3,1))*(1+SUMPRODUCT(SIGN(((ACT_DOOR_SCOPE="ALL")+(ACT_DOOR_SCOPE="TIER_"&amp;$F298)+(ACT_DOOR_SCOPE=$B298)))*SIGN(((ACT_SKU_SCOPE="ALL")+(ACT_SKU_SCOPE=$G298)))*(ACT_START&lt;=6)*(ACT_END&gt;=6)*IFERROR(ACT_UPLIFT-1,0)))*(1+SUMPRODUCT(SIGN(((ACT_DOOR_SCOPE="ALL")+(ACT_DOOR_SCOPE="TIER_"&amp;$F298)+(ACT_DOOR_SCOPE=$B298)))*SIGN(((ACT_SKU_SCOPE="ALL")+(ACT_SKU_SCOPE=$G298)))*(6&gt;ACT_END)*(ACT_END&gt;0)*IFERROR(ACT_POSTLIFT,0))),0)))</f>
        <v/>
      </c>
      <c r="P298" s="10">
        <f>IF(OR($H298&lt;&gt;"Y",7&lt;$I298),0,IF(SUMPRODUCT(((BULK_ENABLED="Y")*((BULK_TIER="ALL")+(BULK_TIER=$F298))*((BULK_SKU="ALL")+(BULK_SKU=$G298))*(BULK_START&lt;=7)*(BULK_END&gt;=7)))&gt;0,IFERROR(SUMPRODUCT(((BULK_ENABLED="Y")*((BULK_TIER="ALL")+(BULK_TIER=$F298))*((BULK_SKU="ALL")+(BULK_SKU=$G298))*(BULK_START&lt;=7)*(BULK_END&gt;=7))*IFERROR(BULK_VALUE,0))/MAX(1,SUMPRODUCT(((BULK_ENABLED="Y")*((BULK_TIER="ALL")+(BULK_TIER=$F298))*((BULK_SKU="ALL")+(BULK_SKU=$G298))*(BULK_START&lt;=7)*(BULK_END&gt;=7)))),0),ROUND((INDEX(VELOCITY_TABLE,MATCH($F298,TIER_LIST,0),3))*(IF((7-$I298+1)&lt;=0,0,IF((7-$I298+1)=1,RAMP_W1,IF((7-$I298+1)=2,RAMP_W2,IF((7-$I298+1)=3,RAMP_W3,RAMP_W4PLUS)))))*(INDEX(ACTIVE_MULT_TABLE,3,1))*(1+SUMPRODUCT(SIGN(((ACT_DOOR_SCOPE="ALL")+(ACT_DOOR_SCOPE="TIER_"&amp;$F298)+(ACT_DOOR_SCOPE=$B298)))*SIGN(((ACT_SKU_SCOPE="ALL")+(ACT_SKU_SCOPE=$G298)))*(ACT_START&lt;=7)*(ACT_END&gt;=7)*IFERROR(ACT_UPLIFT-1,0)))*(1+SUMPRODUCT(SIGN(((ACT_DOOR_SCOPE="ALL")+(ACT_DOOR_SCOPE="TIER_"&amp;$F298)+(ACT_DOOR_SCOPE=$B298)))*SIGN(((ACT_SKU_SCOPE="ALL")+(ACT_SKU_SCOPE=$G298)))*(7&gt;ACT_END)*(ACT_END&gt;0)*IFERROR(ACT_POSTLIFT,0))),0)))</f>
        <v/>
      </c>
      <c r="Q298" s="10">
        <f>IF(OR($H298&lt;&gt;"Y",8&lt;$I298),0,IF(SUMPRODUCT(((BULK_ENABLED="Y")*((BULK_TIER="ALL")+(BULK_TIER=$F298))*((BULK_SKU="ALL")+(BULK_SKU=$G298))*(BULK_START&lt;=8)*(BULK_END&gt;=8)))&gt;0,IFERROR(SUMPRODUCT(((BULK_ENABLED="Y")*((BULK_TIER="ALL")+(BULK_TIER=$F298))*((BULK_SKU="ALL")+(BULK_SKU=$G298))*(BULK_START&lt;=8)*(BULK_END&gt;=8))*IFERROR(BULK_VALUE,0))/MAX(1,SUMPRODUCT(((BULK_ENABLED="Y")*((BULK_TIER="ALL")+(BULK_TIER=$F298))*((BULK_SKU="ALL")+(BULK_SKU=$G298))*(BULK_START&lt;=8)*(BULK_END&gt;=8)))),0),ROUND((INDEX(VELOCITY_TABLE,MATCH($F298,TIER_LIST,0),3))*(IF((8-$I298+1)&lt;=0,0,IF((8-$I298+1)=1,RAMP_W1,IF((8-$I298+1)=2,RAMP_W2,IF((8-$I298+1)=3,RAMP_W3,RAMP_W4PLUS)))))*(INDEX(ACTIVE_MULT_TABLE,3,1))*(1+SUMPRODUCT(SIGN(((ACT_DOOR_SCOPE="ALL")+(ACT_DOOR_SCOPE="TIER_"&amp;$F298)+(ACT_DOOR_SCOPE=$B298)))*SIGN(((ACT_SKU_SCOPE="ALL")+(ACT_SKU_SCOPE=$G298)))*(ACT_START&lt;=8)*(ACT_END&gt;=8)*IFERROR(ACT_UPLIFT-1,0)))*(1+SUMPRODUCT(SIGN(((ACT_DOOR_SCOPE="ALL")+(ACT_DOOR_SCOPE="TIER_"&amp;$F298)+(ACT_DOOR_SCOPE=$B298)))*SIGN(((ACT_SKU_SCOPE="ALL")+(ACT_SKU_SCOPE=$G298)))*(8&gt;ACT_END)*(ACT_END&gt;0)*IFERROR(ACT_POSTLIFT,0))),0)))</f>
        <v/>
      </c>
      <c r="R298" s="10">
        <f>IF(OR($H298&lt;&gt;"Y",9&lt;$I298),0,IF(SUMPRODUCT(((BULK_ENABLED="Y")*((BULK_TIER="ALL")+(BULK_TIER=$F298))*((BULK_SKU="ALL")+(BULK_SKU=$G298))*(BULK_START&lt;=9)*(BULK_END&gt;=9)))&gt;0,IFERROR(SUMPRODUCT(((BULK_ENABLED="Y")*((BULK_TIER="ALL")+(BULK_TIER=$F298))*((BULK_SKU="ALL")+(BULK_SKU=$G298))*(BULK_START&lt;=9)*(BULK_END&gt;=9))*IFERROR(BULK_VALUE,0))/MAX(1,SUMPRODUCT(((BULK_ENABLED="Y")*((BULK_TIER="ALL")+(BULK_TIER=$F298))*((BULK_SKU="ALL")+(BULK_SKU=$G298))*(BULK_START&lt;=9)*(BULK_END&gt;=9)))),0),ROUND((INDEX(VELOCITY_TABLE,MATCH($F298,TIER_LIST,0),3))*(IF((9-$I298+1)&lt;=0,0,IF((9-$I298+1)=1,RAMP_W1,IF((9-$I298+1)=2,RAMP_W2,IF((9-$I298+1)=3,RAMP_W3,RAMP_W4PLUS)))))*(INDEX(ACTIVE_MULT_TABLE,3,1))*(1+SUMPRODUCT(SIGN(((ACT_DOOR_SCOPE="ALL")+(ACT_DOOR_SCOPE="TIER_"&amp;$F298)+(ACT_DOOR_SCOPE=$B298)))*SIGN(((ACT_SKU_SCOPE="ALL")+(ACT_SKU_SCOPE=$G298)))*(ACT_START&lt;=9)*(ACT_END&gt;=9)*IFERROR(ACT_UPLIFT-1,0)))*(1+SUMPRODUCT(SIGN(((ACT_DOOR_SCOPE="ALL")+(ACT_DOOR_SCOPE="TIER_"&amp;$F298)+(ACT_DOOR_SCOPE=$B298)))*SIGN(((ACT_SKU_SCOPE="ALL")+(ACT_SKU_SCOPE=$G298)))*(9&gt;ACT_END)*(ACT_END&gt;0)*IFERROR(ACT_POSTLIFT,0))),0)))</f>
        <v/>
      </c>
      <c r="S298" s="10">
        <f>IF(OR($H298&lt;&gt;"Y",10&lt;$I298),0,IF(SUMPRODUCT(((BULK_ENABLED="Y")*((BULK_TIER="ALL")+(BULK_TIER=$F298))*((BULK_SKU="ALL")+(BULK_SKU=$G298))*(BULK_START&lt;=10)*(BULK_END&gt;=10)))&gt;0,IFERROR(SUMPRODUCT(((BULK_ENABLED="Y")*((BULK_TIER="ALL")+(BULK_TIER=$F298))*((BULK_SKU="ALL")+(BULK_SKU=$G298))*(BULK_START&lt;=10)*(BULK_END&gt;=10))*IFERROR(BULK_VALUE,0))/MAX(1,SUMPRODUCT(((BULK_ENABLED="Y")*((BULK_TIER="ALL")+(BULK_TIER=$F298))*((BULK_SKU="ALL")+(BULK_SKU=$G298))*(BULK_START&lt;=10)*(BULK_END&gt;=10)))),0),ROUND((INDEX(VELOCITY_TABLE,MATCH($F298,TIER_LIST,0),3))*(IF((10-$I298+1)&lt;=0,0,IF((10-$I298+1)=1,RAMP_W1,IF((10-$I298+1)=2,RAMP_W2,IF((10-$I298+1)=3,RAMP_W3,RAMP_W4PLUS)))))*(INDEX(ACTIVE_MULT_TABLE,3,1))*(1+SUMPRODUCT(SIGN(((ACT_DOOR_SCOPE="ALL")+(ACT_DOOR_SCOPE="TIER_"&amp;$F298)+(ACT_DOOR_SCOPE=$B298)))*SIGN(((ACT_SKU_SCOPE="ALL")+(ACT_SKU_SCOPE=$G298)))*(ACT_START&lt;=10)*(ACT_END&gt;=10)*IFERROR(ACT_UPLIFT-1,0)))*(1+SUMPRODUCT(SIGN(((ACT_DOOR_SCOPE="ALL")+(ACT_DOOR_SCOPE="TIER_"&amp;$F298)+(ACT_DOOR_SCOPE=$B298)))*SIGN(((ACT_SKU_SCOPE="ALL")+(ACT_SKU_SCOPE=$G298)))*(10&gt;ACT_END)*(ACT_END&gt;0)*IFERROR(ACT_POSTLIFT,0))),0)))</f>
        <v/>
      </c>
      <c r="T298" s="10">
        <f>IF(OR($H298&lt;&gt;"Y",11&lt;$I298),0,IF(SUMPRODUCT(((BULK_ENABLED="Y")*((BULK_TIER="ALL")+(BULK_TIER=$F298))*((BULK_SKU="ALL")+(BULK_SKU=$G298))*(BULK_START&lt;=11)*(BULK_END&gt;=11)))&gt;0,IFERROR(SUMPRODUCT(((BULK_ENABLED="Y")*((BULK_TIER="ALL")+(BULK_TIER=$F298))*((BULK_SKU="ALL")+(BULK_SKU=$G298))*(BULK_START&lt;=11)*(BULK_END&gt;=11))*IFERROR(BULK_VALUE,0))/MAX(1,SUMPRODUCT(((BULK_ENABLED="Y")*((BULK_TIER="ALL")+(BULK_TIER=$F298))*((BULK_SKU="ALL")+(BULK_SKU=$G298))*(BULK_START&lt;=11)*(BULK_END&gt;=11)))),0),ROUND((INDEX(VELOCITY_TABLE,MATCH($F298,TIER_LIST,0),3))*(IF((11-$I298+1)&lt;=0,0,IF((11-$I298+1)=1,RAMP_W1,IF((11-$I298+1)=2,RAMP_W2,IF((11-$I298+1)=3,RAMP_W3,RAMP_W4PLUS)))))*(INDEX(ACTIVE_MULT_TABLE,3,1))*(1+SUMPRODUCT(SIGN(((ACT_DOOR_SCOPE="ALL")+(ACT_DOOR_SCOPE="TIER_"&amp;$F298)+(ACT_DOOR_SCOPE=$B298)))*SIGN(((ACT_SKU_SCOPE="ALL")+(ACT_SKU_SCOPE=$G298)))*(ACT_START&lt;=11)*(ACT_END&gt;=11)*IFERROR(ACT_UPLIFT-1,0)))*(1+SUMPRODUCT(SIGN(((ACT_DOOR_SCOPE="ALL")+(ACT_DOOR_SCOPE="TIER_"&amp;$F298)+(ACT_DOOR_SCOPE=$B298)))*SIGN(((ACT_SKU_SCOPE="ALL")+(ACT_SKU_SCOPE=$G298)))*(11&gt;ACT_END)*(ACT_END&gt;0)*IFERROR(ACT_POSTLIFT,0))),0)))</f>
        <v/>
      </c>
      <c r="U298" s="10">
        <f>IF(OR($H298&lt;&gt;"Y",12&lt;$I298),0,IF(SUMPRODUCT(((BULK_ENABLED="Y")*((BULK_TIER="ALL")+(BULK_TIER=$F298))*((BULK_SKU="ALL")+(BULK_SKU=$G298))*(BULK_START&lt;=12)*(BULK_END&gt;=12)))&gt;0,IFERROR(SUMPRODUCT(((BULK_ENABLED="Y")*((BULK_TIER="ALL")+(BULK_TIER=$F298))*((BULK_SKU="ALL")+(BULK_SKU=$G298))*(BULK_START&lt;=12)*(BULK_END&gt;=12))*IFERROR(BULK_VALUE,0))/MAX(1,SUMPRODUCT(((BULK_ENABLED="Y")*((BULK_TIER="ALL")+(BULK_TIER=$F298))*((BULK_SKU="ALL")+(BULK_SKU=$G298))*(BULK_START&lt;=12)*(BULK_END&gt;=12)))),0),ROUND((INDEX(VELOCITY_TABLE,MATCH($F298,TIER_LIST,0),3))*(IF((12-$I298+1)&lt;=0,0,IF((12-$I298+1)=1,RAMP_W1,IF((12-$I298+1)=2,RAMP_W2,IF((12-$I298+1)=3,RAMP_W3,RAMP_W4PLUS)))))*(INDEX(ACTIVE_MULT_TABLE,3,1))*(1+SUMPRODUCT(SIGN(((ACT_DOOR_SCOPE="ALL")+(ACT_DOOR_SCOPE="TIER_"&amp;$F298)+(ACT_DOOR_SCOPE=$B298)))*SIGN(((ACT_SKU_SCOPE="ALL")+(ACT_SKU_SCOPE=$G298)))*(ACT_START&lt;=12)*(ACT_END&gt;=12)*IFERROR(ACT_UPLIFT-1,0)))*(1+SUMPRODUCT(SIGN(((ACT_DOOR_SCOPE="ALL")+(ACT_DOOR_SCOPE="TIER_"&amp;$F298)+(ACT_DOOR_SCOPE=$B298)))*SIGN(((ACT_SKU_SCOPE="ALL")+(ACT_SKU_SCOPE=$G298)))*(12&gt;ACT_END)*(ACT_END&gt;0)*IFERROR(ACT_POSTLIFT,0))),0)))</f>
        <v/>
      </c>
      <c r="V298" s="10">
        <f>IF(OR($H298&lt;&gt;"Y",13&lt;$I298),0,IF(SUMPRODUCT(((BULK_ENABLED="Y")*((BULK_TIER="ALL")+(BULK_TIER=$F298))*((BULK_SKU="ALL")+(BULK_SKU=$G298))*(BULK_START&lt;=13)*(BULK_END&gt;=13)))&gt;0,IFERROR(SUMPRODUCT(((BULK_ENABLED="Y")*((BULK_TIER="ALL")+(BULK_TIER=$F298))*((BULK_SKU="ALL")+(BULK_SKU=$G298))*(BULK_START&lt;=13)*(BULK_END&gt;=13))*IFERROR(BULK_VALUE,0))/MAX(1,SUMPRODUCT(((BULK_ENABLED="Y")*((BULK_TIER="ALL")+(BULK_TIER=$F298))*((BULK_SKU="ALL")+(BULK_SKU=$G298))*(BULK_START&lt;=13)*(BULK_END&gt;=13)))),0),ROUND((INDEX(VELOCITY_TABLE,MATCH($F298,TIER_LIST,0),3))*(IF((13-$I298+1)&lt;=0,0,IF((13-$I298+1)=1,RAMP_W1,IF((13-$I298+1)=2,RAMP_W2,IF((13-$I298+1)=3,RAMP_W3,RAMP_W4PLUS)))))*(INDEX(ACTIVE_MULT_TABLE,3,1))*(1+SUMPRODUCT(SIGN(((ACT_DOOR_SCOPE="ALL")+(ACT_DOOR_SCOPE="TIER_"&amp;$F298)+(ACT_DOOR_SCOPE=$B298)))*SIGN(((ACT_SKU_SCOPE="ALL")+(ACT_SKU_SCOPE=$G298)))*(ACT_START&lt;=13)*(ACT_END&gt;=13)*IFERROR(ACT_UPLIFT-1,0)))*(1+SUMPRODUCT(SIGN(((ACT_DOOR_SCOPE="ALL")+(ACT_DOOR_SCOPE="TIER_"&amp;$F298)+(ACT_DOOR_SCOPE=$B298)))*SIGN(((ACT_SKU_SCOPE="ALL")+(ACT_SKU_SCOPE=$G298)))*(13&gt;ACT_END)*(ACT_END&gt;0)*IFERROR(ACT_POSTLIFT,0))),0)))</f>
        <v/>
      </c>
    </row>
    <row r="299">
      <c r="A299" t="inlineStr">
        <is>
          <t>R0295</t>
        </is>
      </c>
      <c r="B299">
        <f>Doors!$A$103</f>
        <v/>
      </c>
      <c r="C299">
        <f>Doors!$C$103</f>
        <v/>
      </c>
      <c r="D299">
        <f>Doors!$B$103</f>
        <v/>
      </c>
      <c r="E299">
        <f>Doors!$E$103</f>
        <v/>
      </c>
      <c r="F299">
        <f>Doors!$F$103</f>
        <v/>
      </c>
      <c r="G299" t="inlineStr">
        <is>
          <t>Lime Lemon</t>
        </is>
      </c>
      <c r="H299">
        <f>Doors!$G$103</f>
        <v/>
      </c>
      <c r="I299">
        <f>Doors!$J$103</f>
        <v/>
      </c>
      <c r="J299" s="10">
        <f>IF(OR($H299&lt;&gt;"Y",1&lt;$I299),0,IF(SUMPRODUCT(((BULK_ENABLED="Y")*((BULK_TIER="ALL")+(BULK_TIER=$F299))*((BULK_SKU="ALL")+(BULK_SKU=$G299))*(BULK_START&lt;=1)*(BULK_END&gt;=1)))&gt;0,IFERROR(SUMPRODUCT(((BULK_ENABLED="Y")*((BULK_TIER="ALL")+(BULK_TIER=$F299))*((BULK_SKU="ALL")+(BULK_SKU=$G299))*(BULK_START&lt;=1)*(BULK_END&gt;=1))*IFERROR(BULK_VALUE,0))/MAX(1,SUMPRODUCT(((BULK_ENABLED="Y")*((BULK_TIER="ALL")+(BULK_TIER=$F299))*((BULK_SKU="ALL")+(BULK_SKU=$G299))*(BULK_START&lt;=1)*(BULK_END&gt;=1)))),0),ROUND((INDEX(VELOCITY_TABLE,MATCH($F299,TIER_LIST,0),1))*(IF((1-$I299+1)&lt;=0,0,IF((1-$I299+1)=1,RAMP_W1,IF((1-$I299+1)=2,RAMP_W2,IF((1-$I299+1)=3,RAMP_W3,RAMP_W4PLUS)))))*(INDEX(ACTIVE_MULT_TABLE,1,1))*(1+SUMPRODUCT(SIGN(((ACT_DOOR_SCOPE="ALL")+(ACT_DOOR_SCOPE="TIER_"&amp;$F299)+(ACT_DOOR_SCOPE=$B299)))*SIGN(((ACT_SKU_SCOPE="ALL")+(ACT_SKU_SCOPE=$G299)))*(ACT_START&lt;=1)*(ACT_END&gt;=1)*IFERROR(ACT_UPLIFT-1,0)))*(1+SUMPRODUCT(SIGN(((ACT_DOOR_SCOPE="ALL")+(ACT_DOOR_SCOPE="TIER_"&amp;$F299)+(ACT_DOOR_SCOPE=$B299)))*SIGN(((ACT_SKU_SCOPE="ALL")+(ACT_SKU_SCOPE=$G299)))*(1&gt;ACT_END)*(ACT_END&gt;0)*IFERROR(ACT_POSTLIFT,0))),0)))</f>
        <v/>
      </c>
      <c r="K299" s="10">
        <f>IF(OR($H299&lt;&gt;"Y",2&lt;$I299),0,IF(SUMPRODUCT(((BULK_ENABLED="Y")*((BULK_TIER="ALL")+(BULK_TIER=$F299))*((BULK_SKU="ALL")+(BULK_SKU=$G299))*(BULK_START&lt;=2)*(BULK_END&gt;=2)))&gt;0,IFERROR(SUMPRODUCT(((BULK_ENABLED="Y")*((BULK_TIER="ALL")+(BULK_TIER=$F299))*((BULK_SKU="ALL")+(BULK_SKU=$G299))*(BULK_START&lt;=2)*(BULK_END&gt;=2))*IFERROR(BULK_VALUE,0))/MAX(1,SUMPRODUCT(((BULK_ENABLED="Y")*((BULK_TIER="ALL")+(BULK_TIER=$F299))*((BULK_SKU="ALL")+(BULK_SKU=$G299))*(BULK_START&lt;=2)*(BULK_END&gt;=2)))),0),ROUND((INDEX(VELOCITY_TABLE,MATCH($F299,TIER_LIST,0),1))*(IF((2-$I299+1)&lt;=0,0,IF((2-$I299+1)=1,RAMP_W1,IF((2-$I299+1)=2,RAMP_W2,IF((2-$I299+1)=3,RAMP_W3,RAMP_W4PLUS)))))*(INDEX(ACTIVE_MULT_TABLE,1,1))*(1+SUMPRODUCT(SIGN(((ACT_DOOR_SCOPE="ALL")+(ACT_DOOR_SCOPE="TIER_"&amp;$F299)+(ACT_DOOR_SCOPE=$B299)))*SIGN(((ACT_SKU_SCOPE="ALL")+(ACT_SKU_SCOPE=$G299)))*(ACT_START&lt;=2)*(ACT_END&gt;=2)*IFERROR(ACT_UPLIFT-1,0)))*(1+SUMPRODUCT(SIGN(((ACT_DOOR_SCOPE="ALL")+(ACT_DOOR_SCOPE="TIER_"&amp;$F299)+(ACT_DOOR_SCOPE=$B299)))*SIGN(((ACT_SKU_SCOPE="ALL")+(ACT_SKU_SCOPE=$G299)))*(2&gt;ACT_END)*(ACT_END&gt;0)*IFERROR(ACT_POSTLIFT,0))),0)))</f>
        <v/>
      </c>
      <c r="L299" s="10">
        <f>IF(OR($H299&lt;&gt;"Y",3&lt;$I299),0,IF(SUMPRODUCT(((BULK_ENABLED="Y")*((BULK_TIER="ALL")+(BULK_TIER=$F299))*((BULK_SKU="ALL")+(BULK_SKU=$G299))*(BULK_START&lt;=3)*(BULK_END&gt;=3)))&gt;0,IFERROR(SUMPRODUCT(((BULK_ENABLED="Y")*((BULK_TIER="ALL")+(BULK_TIER=$F299))*((BULK_SKU="ALL")+(BULK_SKU=$G299))*(BULK_START&lt;=3)*(BULK_END&gt;=3))*IFERROR(BULK_VALUE,0))/MAX(1,SUMPRODUCT(((BULK_ENABLED="Y")*((BULK_TIER="ALL")+(BULK_TIER=$F299))*((BULK_SKU="ALL")+(BULK_SKU=$G299))*(BULK_START&lt;=3)*(BULK_END&gt;=3)))),0),ROUND((INDEX(VELOCITY_TABLE,MATCH($F299,TIER_LIST,0),1))*(IF((3-$I299+1)&lt;=0,0,IF((3-$I299+1)=1,RAMP_W1,IF((3-$I299+1)=2,RAMP_W2,IF((3-$I299+1)=3,RAMP_W3,RAMP_W4PLUS)))))*(INDEX(ACTIVE_MULT_TABLE,1,1))*(1+SUMPRODUCT(SIGN(((ACT_DOOR_SCOPE="ALL")+(ACT_DOOR_SCOPE="TIER_"&amp;$F299)+(ACT_DOOR_SCOPE=$B299)))*SIGN(((ACT_SKU_SCOPE="ALL")+(ACT_SKU_SCOPE=$G299)))*(ACT_START&lt;=3)*(ACT_END&gt;=3)*IFERROR(ACT_UPLIFT-1,0)))*(1+SUMPRODUCT(SIGN(((ACT_DOOR_SCOPE="ALL")+(ACT_DOOR_SCOPE="TIER_"&amp;$F299)+(ACT_DOOR_SCOPE=$B299)))*SIGN(((ACT_SKU_SCOPE="ALL")+(ACT_SKU_SCOPE=$G299)))*(3&gt;ACT_END)*(ACT_END&gt;0)*IFERROR(ACT_POSTLIFT,0))),0)))</f>
        <v/>
      </c>
      <c r="M299" s="10">
        <f>IF(OR($H299&lt;&gt;"Y",4&lt;$I299),0,IF(SUMPRODUCT(((BULK_ENABLED="Y")*((BULK_TIER="ALL")+(BULK_TIER=$F299))*((BULK_SKU="ALL")+(BULK_SKU=$G299))*(BULK_START&lt;=4)*(BULK_END&gt;=4)))&gt;0,IFERROR(SUMPRODUCT(((BULK_ENABLED="Y")*((BULK_TIER="ALL")+(BULK_TIER=$F299))*((BULK_SKU="ALL")+(BULK_SKU=$G299))*(BULK_START&lt;=4)*(BULK_END&gt;=4))*IFERROR(BULK_VALUE,0))/MAX(1,SUMPRODUCT(((BULK_ENABLED="Y")*((BULK_TIER="ALL")+(BULK_TIER=$F299))*((BULK_SKU="ALL")+(BULK_SKU=$G299))*(BULK_START&lt;=4)*(BULK_END&gt;=4)))),0),ROUND((INDEX(VELOCITY_TABLE,MATCH($F299,TIER_LIST,0),1))*(IF((4-$I299+1)&lt;=0,0,IF((4-$I299+1)=1,RAMP_W1,IF((4-$I299+1)=2,RAMP_W2,IF((4-$I299+1)=3,RAMP_W3,RAMP_W4PLUS)))))*(INDEX(ACTIVE_MULT_TABLE,1,1))*(1+SUMPRODUCT(SIGN(((ACT_DOOR_SCOPE="ALL")+(ACT_DOOR_SCOPE="TIER_"&amp;$F299)+(ACT_DOOR_SCOPE=$B299)))*SIGN(((ACT_SKU_SCOPE="ALL")+(ACT_SKU_SCOPE=$G299)))*(ACT_START&lt;=4)*(ACT_END&gt;=4)*IFERROR(ACT_UPLIFT-1,0)))*(1+SUMPRODUCT(SIGN(((ACT_DOOR_SCOPE="ALL")+(ACT_DOOR_SCOPE="TIER_"&amp;$F299)+(ACT_DOOR_SCOPE=$B299)))*SIGN(((ACT_SKU_SCOPE="ALL")+(ACT_SKU_SCOPE=$G299)))*(4&gt;ACT_END)*(ACT_END&gt;0)*IFERROR(ACT_POSTLIFT,0))),0)))</f>
        <v/>
      </c>
      <c r="N299" s="10">
        <f>IF(OR($H299&lt;&gt;"Y",5&lt;$I299),0,IF(SUMPRODUCT(((BULK_ENABLED="Y")*((BULK_TIER="ALL")+(BULK_TIER=$F299))*((BULK_SKU="ALL")+(BULK_SKU=$G299))*(BULK_START&lt;=5)*(BULK_END&gt;=5)))&gt;0,IFERROR(SUMPRODUCT(((BULK_ENABLED="Y")*((BULK_TIER="ALL")+(BULK_TIER=$F299))*((BULK_SKU="ALL")+(BULK_SKU=$G299))*(BULK_START&lt;=5)*(BULK_END&gt;=5))*IFERROR(BULK_VALUE,0))/MAX(1,SUMPRODUCT(((BULK_ENABLED="Y")*((BULK_TIER="ALL")+(BULK_TIER=$F299))*((BULK_SKU="ALL")+(BULK_SKU=$G299))*(BULK_START&lt;=5)*(BULK_END&gt;=5)))),0),ROUND((INDEX(VELOCITY_TABLE,MATCH($F299,TIER_LIST,0),1))*(IF((5-$I299+1)&lt;=0,0,IF((5-$I299+1)=1,RAMP_W1,IF((5-$I299+1)=2,RAMP_W2,IF((5-$I299+1)=3,RAMP_W3,RAMP_W4PLUS)))))*(INDEX(ACTIVE_MULT_TABLE,1,1))*(1+SUMPRODUCT(SIGN(((ACT_DOOR_SCOPE="ALL")+(ACT_DOOR_SCOPE="TIER_"&amp;$F299)+(ACT_DOOR_SCOPE=$B299)))*SIGN(((ACT_SKU_SCOPE="ALL")+(ACT_SKU_SCOPE=$G299)))*(ACT_START&lt;=5)*(ACT_END&gt;=5)*IFERROR(ACT_UPLIFT-1,0)))*(1+SUMPRODUCT(SIGN(((ACT_DOOR_SCOPE="ALL")+(ACT_DOOR_SCOPE="TIER_"&amp;$F299)+(ACT_DOOR_SCOPE=$B299)))*SIGN(((ACT_SKU_SCOPE="ALL")+(ACT_SKU_SCOPE=$G299)))*(5&gt;ACT_END)*(ACT_END&gt;0)*IFERROR(ACT_POSTLIFT,0))),0)))</f>
        <v/>
      </c>
      <c r="O299" s="10">
        <f>IF(OR($H299&lt;&gt;"Y",6&lt;$I299),0,IF(SUMPRODUCT(((BULK_ENABLED="Y")*((BULK_TIER="ALL")+(BULK_TIER=$F299))*((BULK_SKU="ALL")+(BULK_SKU=$G299))*(BULK_START&lt;=6)*(BULK_END&gt;=6)))&gt;0,IFERROR(SUMPRODUCT(((BULK_ENABLED="Y")*((BULK_TIER="ALL")+(BULK_TIER=$F299))*((BULK_SKU="ALL")+(BULK_SKU=$G299))*(BULK_START&lt;=6)*(BULK_END&gt;=6))*IFERROR(BULK_VALUE,0))/MAX(1,SUMPRODUCT(((BULK_ENABLED="Y")*((BULK_TIER="ALL")+(BULK_TIER=$F299))*((BULK_SKU="ALL")+(BULK_SKU=$G299))*(BULK_START&lt;=6)*(BULK_END&gt;=6)))),0),ROUND((INDEX(VELOCITY_TABLE,MATCH($F299,TIER_LIST,0),1))*(IF((6-$I299+1)&lt;=0,0,IF((6-$I299+1)=1,RAMP_W1,IF((6-$I299+1)=2,RAMP_W2,IF((6-$I299+1)=3,RAMP_W3,RAMP_W4PLUS)))))*(INDEX(ACTIVE_MULT_TABLE,1,1))*(1+SUMPRODUCT(SIGN(((ACT_DOOR_SCOPE="ALL")+(ACT_DOOR_SCOPE="TIER_"&amp;$F299)+(ACT_DOOR_SCOPE=$B299)))*SIGN(((ACT_SKU_SCOPE="ALL")+(ACT_SKU_SCOPE=$G299)))*(ACT_START&lt;=6)*(ACT_END&gt;=6)*IFERROR(ACT_UPLIFT-1,0)))*(1+SUMPRODUCT(SIGN(((ACT_DOOR_SCOPE="ALL")+(ACT_DOOR_SCOPE="TIER_"&amp;$F299)+(ACT_DOOR_SCOPE=$B299)))*SIGN(((ACT_SKU_SCOPE="ALL")+(ACT_SKU_SCOPE=$G299)))*(6&gt;ACT_END)*(ACT_END&gt;0)*IFERROR(ACT_POSTLIFT,0))),0)))</f>
        <v/>
      </c>
      <c r="P299" s="10">
        <f>IF(OR($H299&lt;&gt;"Y",7&lt;$I299),0,IF(SUMPRODUCT(((BULK_ENABLED="Y")*((BULK_TIER="ALL")+(BULK_TIER=$F299))*((BULK_SKU="ALL")+(BULK_SKU=$G299))*(BULK_START&lt;=7)*(BULK_END&gt;=7)))&gt;0,IFERROR(SUMPRODUCT(((BULK_ENABLED="Y")*((BULK_TIER="ALL")+(BULK_TIER=$F299))*((BULK_SKU="ALL")+(BULK_SKU=$G299))*(BULK_START&lt;=7)*(BULK_END&gt;=7))*IFERROR(BULK_VALUE,0))/MAX(1,SUMPRODUCT(((BULK_ENABLED="Y")*((BULK_TIER="ALL")+(BULK_TIER=$F299))*((BULK_SKU="ALL")+(BULK_SKU=$G299))*(BULK_START&lt;=7)*(BULK_END&gt;=7)))),0),ROUND((INDEX(VELOCITY_TABLE,MATCH($F299,TIER_LIST,0),1))*(IF((7-$I299+1)&lt;=0,0,IF((7-$I299+1)=1,RAMP_W1,IF((7-$I299+1)=2,RAMP_W2,IF((7-$I299+1)=3,RAMP_W3,RAMP_W4PLUS)))))*(INDEX(ACTIVE_MULT_TABLE,1,1))*(1+SUMPRODUCT(SIGN(((ACT_DOOR_SCOPE="ALL")+(ACT_DOOR_SCOPE="TIER_"&amp;$F299)+(ACT_DOOR_SCOPE=$B299)))*SIGN(((ACT_SKU_SCOPE="ALL")+(ACT_SKU_SCOPE=$G299)))*(ACT_START&lt;=7)*(ACT_END&gt;=7)*IFERROR(ACT_UPLIFT-1,0)))*(1+SUMPRODUCT(SIGN(((ACT_DOOR_SCOPE="ALL")+(ACT_DOOR_SCOPE="TIER_"&amp;$F299)+(ACT_DOOR_SCOPE=$B299)))*SIGN(((ACT_SKU_SCOPE="ALL")+(ACT_SKU_SCOPE=$G299)))*(7&gt;ACT_END)*(ACT_END&gt;0)*IFERROR(ACT_POSTLIFT,0))),0)))</f>
        <v/>
      </c>
      <c r="Q299" s="10">
        <f>IF(OR($H299&lt;&gt;"Y",8&lt;$I299),0,IF(SUMPRODUCT(((BULK_ENABLED="Y")*((BULK_TIER="ALL")+(BULK_TIER=$F299))*((BULK_SKU="ALL")+(BULK_SKU=$G299))*(BULK_START&lt;=8)*(BULK_END&gt;=8)))&gt;0,IFERROR(SUMPRODUCT(((BULK_ENABLED="Y")*((BULK_TIER="ALL")+(BULK_TIER=$F299))*((BULK_SKU="ALL")+(BULK_SKU=$G299))*(BULK_START&lt;=8)*(BULK_END&gt;=8))*IFERROR(BULK_VALUE,0))/MAX(1,SUMPRODUCT(((BULK_ENABLED="Y")*((BULK_TIER="ALL")+(BULK_TIER=$F299))*((BULK_SKU="ALL")+(BULK_SKU=$G299))*(BULK_START&lt;=8)*(BULK_END&gt;=8)))),0),ROUND((INDEX(VELOCITY_TABLE,MATCH($F299,TIER_LIST,0),1))*(IF((8-$I299+1)&lt;=0,0,IF((8-$I299+1)=1,RAMP_W1,IF((8-$I299+1)=2,RAMP_W2,IF((8-$I299+1)=3,RAMP_W3,RAMP_W4PLUS)))))*(INDEX(ACTIVE_MULT_TABLE,1,1))*(1+SUMPRODUCT(SIGN(((ACT_DOOR_SCOPE="ALL")+(ACT_DOOR_SCOPE="TIER_"&amp;$F299)+(ACT_DOOR_SCOPE=$B299)))*SIGN(((ACT_SKU_SCOPE="ALL")+(ACT_SKU_SCOPE=$G299)))*(ACT_START&lt;=8)*(ACT_END&gt;=8)*IFERROR(ACT_UPLIFT-1,0)))*(1+SUMPRODUCT(SIGN(((ACT_DOOR_SCOPE="ALL")+(ACT_DOOR_SCOPE="TIER_"&amp;$F299)+(ACT_DOOR_SCOPE=$B299)))*SIGN(((ACT_SKU_SCOPE="ALL")+(ACT_SKU_SCOPE=$G299)))*(8&gt;ACT_END)*(ACT_END&gt;0)*IFERROR(ACT_POSTLIFT,0))),0)))</f>
        <v/>
      </c>
      <c r="R299" s="10">
        <f>IF(OR($H299&lt;&gt;"Y",9&lt;$I299),0,IF(SUMPRODUCT(((BULK_ENABLED="Y")*((BULK_TIER="ALL")+(BULK_TIER=$F299))*((BULK_SKU="ALL")+(BULK_SKU=$G299))*(BULK_START&lt;=9)*(BULK_END&gt;=9)))&gt;0,IFERROR(SUMPRODUCT(((BULK_ENABLED="Y")*((BULK_TIER="ALL")+(BULK_TIER=$F299))*((BULK_SKU="ALL")+(BULK_SKU=$G299))*(BULK_START&lt;=9)*(BULK_END&gt;=9))*IFERROR(BULK_VALUE,0))/MAX(1,SUMPRODUCT(((BULK_ENABLED="Y")*((BULK_TIER="ALL")+(BULK_TIER=$F299))*((BULK_SKU="ALL")+(BULK_SKU=$G299))*(BULK_START&lt;=9)*(BULK_END&gt;=9)))),0),ROUND((INDEX(VELOCITY_TABLE,MATCH($F299,TIER_LIST,0),1))*(IF((9-$I299+1)&lt;=0,0,IF((9-$I299+1)=1,RAMP_W1,IF((9-$I299+1)=2,RAMP_W2,IF((9-$I299+1)=3,RAMP_W3,RAMP_W4PLUS)))))*(INDEX(ACTIVE_MULT_TABLE,1,1))*(1+SUMPRODUCT(SIGN(((ACT_DOOR_SCOPE="ALL")+(ACT_DOOR_SCOPE="TIER_"&amp;$F299)+(ACT_DOOR_SCOPE=$B299)))*SIGN(((ACT_SKU_SCOPE="ALL")+(ACT_SKU_SCOPE=$G299)))*(ACT_START&lt;=9)*(ACT_END&gt;=9)*IFERROR(ACT_UPLIFT-1,0)))*(1+SUMPRODUCT(SIGN(((ACT_DOOR_SCOPE="ALL")+(ACT_DOOR_SCOPE="TIER_"&amp;$F299)+(ACT_DOOR_SCOPE=$B299)))*SIGN(((ACT_SKU_SCOPE="ALL")+(ACT_SKU_SCOPE=$G299)))*(9&gt;ACT_END)*(ACT_END&gt;0)*IFERROR(ACT_POSTLIFT,0))),0)))</f>
        <v/>
      </c>
      <c r="S299" s="10">
        <f>IF(OR($H299&lt;&gt;"Y",10&lt;$I299),0,IF(SUMPRODUCT(((BULK_ENABLED="Y")*((BULK_TIER="ALL")+(BULK_TIER=$F299))*((BULK_SKU="ALL")+(BULK_SKU=$G299))*(BULK_START&lt;=10)*(BULK_END&gt;=10)))&gt;0,IFERROR(SUMPRODUCT(((BULK_ENABLED="Y")*((BULK_TIER="ALL")+(BULK_TIER=$F299))*((BULK_SKU="ALL")+(BULK_SKU=$G299))*(BULK_START&lt;=10)*(BULK_END&gt;=10))*IFERROR(BULK_VALUE,0))/MAX(1,SUMPRODUCT(((BULK_ENABLED="Y")*((BULK_TIER="ALL")+(BULK_TIER=$F299))*((BULK_SKU="ALL")+(BULK_SKU=$G299))*(BULK_START&lt;=10)*(BULK_END&gt;=10)))),0),ROUND((INDEX(VELOCITY_TABLE,MATCH($F299,TIER_LIST,0),1))*(IF((10-$I299+1)&lt;=0,0,IF((10-$I299+1)=1,RAMP_W1,IF((10-$I299+1)=2,RAMP_W2,IF((10-$I299+1)=3,RAMP_W3,RAMP_W4PLUS)))))*(INDEX(ACTIVE_MULT_TABLE,1,1))*(1+SUMPRODUCT(SIGN(((ACT_DOOR_SCOPE="ALL")+(ACT_DOOR_SCOPE="TIER_"&amp;$F299)+(ACT_DOOR_SCOPE=$B299)))*SIGN(((ACT_SKU_SCOPE="ALL")+(ACT_SKU_SCOPE=$G299)))*(ACT_START&lt;=10)*(ACT_END&gt;=10)*IFERROR(ACT_UPLIFT-1,0)))*(1+SUMPRODUCT(SIGN(((ACT_DOOR_SCOPE="ALL")+(ACT_DOOR_SCOPE="TIER_"&amp;$F299)+(ACT_DOOR_SCOPE=$B299)))*SIGN(((ACT_SKU_SCOPE="ALL")+(ACT_SKU_SCOPE=$G299)))*(10&gt;ACT_END)*(ACT_END&gt;0)*IFERROR(ACT_POSTLIFT,0))),0)))</f>
        <v/>
      </c>
      <c r="T299" s="10">
        <f>IF(OR($H299&lt;&gt;"Y",11&lt;$I299),0,IF(SUMPRODUCT(((BULK_ENABLED="Y")*((BULK_TIER="ALL")+(BULK_TIER=$F299))*((BULK_SKU="ALL")+(BULK_SKU=$G299))*(BULK_START&lt;=11)*(BULK_END&gt;=11)))&gt;0,IFERROR(SUMPRODUCT(((BULK_ENABLED="Y")*((BULK_TIER="ALL")+(BULK_TIER=$F299))*((BULK_SKU="ALL")+(BULK_SKU=$G299))*(BULK_START&lt;=11)*(BULK_END&gt;=11))*IFERROR(BULK_VALUE,0))/MAX(1,SUMPRODUCT(((BULK_ENABLED="Y")*((BULK_TIER="ALL")+(BULK_TIER=$F299))*((BULK_SKU="ALL")+(BULK_SKU=$G299))*(BULK_START&lt;=11)*(BULK_END&gt;=11)))),0),ROUND((INDEX(VELOCITY_TABLE,MATCH($F299,TIER_LIST,0),1))*(IF((11-$I299+1)&lt;=0,0,IF((11-$I299+1)=1,RAMP_W1,IF((11-$I299+1)=2,RAMP_W2,IF((11-$I299+1)=3,RAMP_W3,RAMP_W4PLUS)))))*(INDEX(ACTIVE_MULT_TABLE,1,1))*(1+SUMPRODUCT(SIGN(((ACT_DOOR_SCOPE="ALL")+(ACT_DOOR_SCOPE="TIER_"&amp;$F299)+(ACT_DOOR_SCOPE=$B299)))*SIGN(((ACT_SKU_SCOPE="ALL")+(ACT_SKU_SCOPE=$G299)))*(ACT_START&lt;=11)*(ACT_END&gt;=11)*IFERROR(ACT_UPLIFT-1,0)))*(1+SUMPRODUCT(SIGN(((ACT_DOOR_SCOPE="ALL")+(ACT_DOOR_SCOPE="TIER_"&amp;$F299)+(ACT_DOOR_SCOPE=$B299)))*SIGN(((ACT_SKU_SCOPE="ALL")+(ACT_SKU_SCOPE=$G299)))*(11&gt;ACT_END)*(ACT_END&gt;0)*IFERROR(ACT_POSTLIFT,0))),0)))</f>
        <v/>
      </c>
      <c r="U299" s="10">
        <f>IF(OR($H299&lt;&gt;"Y",12&lt;$I299),0,IF(SUMPRODUCT(((BULK_ENABLED="Y")*((BULK_TIER="ALL")+(BULK_TIER=$F299))*((BULK_SKU="ALL")+(BULK_SKU=$G299))*(BULK_START&lt;=12)*(BULK_END&gt;=12)))&gt;0,IFERROR(SUMPRODUCT(((BULK_ENABLED="Y")*((BULK_TIER="ALL")+(BULK_TIER=$F299))*((BULK_SKU="ALL")+(BULK_SKU=$G299))*(BULK_START&lt;=12)*(BULK_END&gt;=12))*IFERROR(BULK_VALUE,0))/MAX(1,SUMPRODUCT(((BULK_ENABLED="Y")*((BULK_TIER="ALL")+(BULK_TIER=$F299))*((BULK_SKU="ALL")+(BULK_SKU=$G299))*(BULK_START&lt;=12)*(BULK_END&gt;=12)))),0),ROUND((INDEX(VELOCITY_TABLE,MATCH($F299,TIER_LIST,0),1))*(IF((12-$I299+1)&lt;=0,0,IF((12-$I299+1)=1,RAMP_W1,IF((12-$I299+1)=2,RAMP_W2,IF((12-$I299+1)=3,RAMP_W3,RAMP_W4PLUS)))))*(INDEX(ACTIVE_MULT_TABLE,1,1))*(1+SUMPRODUCT(SIGN(((ACT_DOOR_SCOPE="ALL")+(ACT_DOOR_SCOPE="TIER_"&amp;$F299)+(ACT_DOOR_SCOPE=$B299)))*SIGN(((ACT_SKU_SCOPE="ALL")+(ACT_SKU_SCOPE=$G299)))*(ACT_START&lt;=12)*(ACT_END&gt;=12)*IFERROR(ACT_UPLIFT-1,0)))*(1+SUMPRODUCT(SIGN(((ACT_DOOR_SCOPE="ALL")+(ACT_DOOR_SCOPE="TIER_"&amp;$F299)+(ACT_DOOR_SCOPE=$B299)))*SIGN(((ACT_SKU_SCOPE="ALL")+(ACT_SKU_SCOPE=$G299)))*(12&gt;ACT_END)*(ACT_END&gt;0)*IFERROR(ACT_POSTLIFT,0))),0)))</f>
        <v/>
      </c>
      <c r="V299" s="10">
        <f>IF(OR($H299&lt;&gt;"Y",13&lt;$I299),0,IF(SUMPRODUCT(((BULK_ENABLED="Y")*((BULK_TIER="ALL")+(BULK_TIER=$F299))*((BULK_SKU="ALL")+(BULK_SKU=$G299))*(BULK_START&lt;=13)*(BULK_END&gt;=13)))&gt;0,IFERROR(SUMPRODUCT(((BULK_ENABLED="Y")*((BULK_TIER="ALL")+(BULK_TIER=$F299))*((BULK_SKU="ALL")+(BULK_SKU=$G299))*(BULK_START&lt;=13)*(BULK_END&gt;=13))*IFERROR(BULK_VALUE,0))/MAX(1,SUMPRODUCT(((BULK_ENABLED="Y")*((BULK_TIER="ALL")+(BULK_TIER=$F299))*((BULK_SKU="ALL")+(BULK_SKU=$G299))*(BULK_START&lt;=13)*(BULK_END&gt;=13)))),0),ROUND((INDEX(VELOCITY_TABLE,MATCH($F299,TIER_LIST,0),1))*(IF((13-$I299+1)&lt;=0,0,IF((13-$I299+1)=1,RAMP_W1,IF((13-$I299+1)=2,RAMP_W2,IF((13-$I299+1)=3,RAMP_W3,RAMP_W4PLUS)))))*(INDEX(ACTIVE_MULT_TABLE,1,1))*(1+SUMPRODUCT(SIGN(((ACT_DOOR_SCOPE="ALL")+(ACT_DOOR_SCOPE="TIER_"&amp;$F299)+(ACT_DOOR_SCOPE=$B299)))*SIGN(((ACT_SKU_SCOPE="ALL")+(ACT_SKU_SCOPE=$G299)))*(ACT_START&lt;=13)*(ACT_END&gt;=13)*IFERROR(ACT_UPLIFT-1,0)))*(1+SUMPRODUCT(SIGN(((ACT_DOOR_SCOPE="ALL")+(ACT_DOOR_SCOPE="TIER_"&amp;$F299)+(ACT_DOOR_SCOPE=$B299)))*SIGN(((ACT_SKU_SCOPE="ALL")+(ACT_SKU_SCOPE=$G299)))*(13&gt;ACT_END)*(ACT_END&gt;0)*IFERROR(ACT_POSTLIFT,0))),0)))</f>
        <v/>
      </c>
    </row>
    <row r="300">
      <c r="A300" t="inlineStr">
        <is>
          <t>R0296</t>
        </is>
      </c>
      <c r="B300">
        <f>Doors!$A$103</f>
        <v/>
      </c>
      <c r="C300">
        <f>Doors!$C$103</f>
        <v/>
      </c>
      <c r="D300">
        <f>Doors!$B$103</f>
        <v/>
      </c>
      <c r="E300">
        <f>Doors!$E$103</f>
        <v/>
      </c>
      <c r="F300">
        <f>Doors!$F$103</f>
        <v/>
      </c>
      <c r="G300" t="inlineStr">
        <is>
          <t>Pineapple Passion Fruit</t>
        </is>
      </c>
      <c r="H300">
        <f>Doors!$H$103</f>
        <v/>
      </c>
      <c r="I300">
        <f>Doors!$J$103</f>
        <v/>
      </c>
      <c r="J300" s="10">
        <f>IF(OR($H300&lt;&gt;"Y",1&lt;$I300),0,IF(SUMPRODUCT(((BULK_ENABLED="Y")*((BULK_TIER="ALL")+(BULK_TIER=$F300))*((BULK_SKU="ALL")+(BULK_SKU=$G300))*(BULK_START&lt;=1)*(BULK_END&gt;=1)))&gt;0,IFERROR(SUMPRODUCT(((BULK_ENABLED="Y")*((BULK_TIER="ALL")+(BULK_TIER=$F300))*((BULK_SKU="ALL")+(BULK_SKU=$G300))*(BULK_START&lt;=1)*(BULK_END&gt;=1))*IFERROR(BULK_VALUE,0))/MAX(1,SUMPRODUCT(((BULK_ENABLED="Y")*((BULK_TIER="ALL")+(BULK_TIER=$F300))*((BULK_SKU="ALL")+(BULK_SKU=$G300))*(BULK_START&lt;=1)*(BULK_END&gt;=1)))),0),ROUND((INDEX(VELOCITY_TABLE,MATCH($F300,TIER_LIST,0),2))*(IF((1-$I300+1)&lt;=0,0,IF((1-$I300+1)=1,RAMP_W1,IF((1-$I300+1)=2,RAMP_W2,IF((1-$I300+1)=3,RAMP_W3,RAMP_W4PLUS)))))*(INDEX(ACTIVE_MULT_TABLE,2,1))*(1+SUMPRODUCT(SIGN(((ACT_DOOR_SCOPE="ALL")+(ACT_DOOR_SCOPE="TIER_"&amp;$F300)+(ACT_DOOR_SCOPE=$B300)))*SIGN(((ACT_SKU_SCOPE="ALL")+(ACT_SKU_SCOPE=$G300)))*(ACT_START&lt;=1)*(ACT_END&gt;=1)*IFERROR(ACT_UPLIFT-1,0)))*(1+SUMPRODUCT(SIGN(((ACT_DOOR_SCOPE="ALL")+(ACT_DOOR_SCOPE="TIER_"&amp;$F300)+(ACT_DOOR_SCOPE=$B300)))*SIGN(((ACT_SKU_SCOPE="ALL")+(ACT_SKU_SCOPE=$G300)))*(1&gt;ACT_END)*(ACT_END&gt;0)*IFERROR(ACT_POSTLIFT,0))),0)))</f>
        <v/>
      </c>
      <c r="K300" s="10">
        <f>IF(OR($H300&lt;&gt;"Y",2&lt;$I300),0,IF(SUMPRODUCT(((BULK_ENABLED="Y")*((BULK_TIER="ALL")+(BULK_TIER=$F300))*((BULK_SKU="ALL")+(BULK_SKU=$G300))*(BULK_START&lt;=2)*(BULK_END&gt;=2)))&gt;0,IFERROR(SUMPRODUCT(((BULK_ENABLED="Y")*((BULK_TIER="ALL")+(BULK_TIER=$F300))*((BULK_SKU="ALL")+(BULK_SKU=$G300))*(BULK_START&lt;=2)*(BULK_END&gt;=2))*IFERROR(BULK_VALUE,0))/MAX(1,SUMPRODUCT(((BULK_ENABLED="Y")*((BULK_TIER="ALL")+(BULK_TIER=$F300))*((BULK_SKU="ALL")+(BULK_SKU=$G300))*(BULK_START&lt;=2)*(BULK_END&gt;=2)))),0),ROUND((INDEX(VELOCITY_TABLE,MATCH($F300,TIER_LIST,0),2))*(IF((2-$I300+1)&lt;=0,0,IF((2-$I300+1)=1,RAMP_W1,IF((2-$I300+1)=2,RAMP_W2,IF((2-$I300+1)=3,RAMP_W3,RAMP_W4PLUS)))))*(INDEX(ACTIVE_MULT_TABLE,2,1))*(1+SUMPRODUCT(SIGN(((ACT_DOOR_SCOPE="ALL")+(ACT_DOOR_SCOPE="TIER_"&amp;$F300)+(ACT_DOOR_SCOPE=$B300)))*SIGN(((ACT_SKU_SCOPE="ALL")+(ACT_SKU_SCOPE=$G300)))*(ACT_START&lt;=2)*(ACT_END&gt;=2)*IFERROR(ACT_UPLIFT-1,0)))*(1+SUMPRODUCT(SIGN(((ACT_DOOR_SCOPE="ALL")+(ACT_DOOR_SCOPE="TIER_"&amp;$F300)+(ACT_DOOR_SCOPE=$B300)))*SIGN(((ACT_SKU_SCOPE="ALL")+(ACT_SKU_SCOPE=$G300)))*(2&gt;ACT_END)*(ACT_END&gt;0)*IFERROR(ACT_POSTLIFT,0))),0)))</f>
        <v/>
      </c>
      <c r="L300" s="10">
        <f>IF(OR($H300&lt;&gt;"Y",3&lt;$I300),0,IF(SUMPRODUCT(((BULK_ENABLED="Y")*((BULK_TIER="ALL")+(BULK_TIER=$F300))*((BULK_SKU="ALL")+(BULK_SKU=$G300))*(BULK_START&lt;=3)*(BULK_END&gt;=3)))&gt;0,IFERROR(SUMPRODUCT(((BULK_ENABLED="Y")*((BULK_TIER="ALL")+(BULK_TIER=$F300))*((BULK_SKU="ALL")+(BULK_SKU=$G300))*(BULK_START&lt;=3)*(BULK_END&gt;=3))*IFERROR(BULK_VALUE,0))/MAX(1,SUMPRODUCT(((BULK_ENABLED="Y")*((BULK_TIER="ALL")+(BULK_TIER=$F300))*((BULK_SKU="ALL")+(BULK_SKU=$G300))*(BULK_START&lt;=3)*(BULK_END&gt;=3)))),0),ROUND((INDEX(VELOCITY_TABLE,MATCH($F300,TIER_LIST,0),2))*(IF((3-$I300+1)&lt;=0,0,IF((3-$I300+1)=1,RAMP_W1,IF((3-$I300+1)=2,RAMP_W2,IF((3-$I300+1)=3,RAMP_W3,RAMP_W4PLUS)))))*(INDEX(ACTIVE_MULT_TABLE,2,1))*(1+SUMPRODUCT(SIGN(((ACT_DOOR_SCOPE="ALL")+(ACT_DOOR_SCOPE="TIER_"&amp;$F300)+(ACT_DOOR_SCOPE=$B300)))*SIGN(((ACT_SKU_SCOPE="ALL")+(ACT_SKU_SCOPE=$G300)))*(ACT_START&lt;=3)*(ACT_END&gt;=3)*IFERROR(ACT_UPLIFT-1,0)))*(1+SUMPRODUCT(SIGN(((ACT_DOOR_SCOPE="ALL")+(ACT_DOOR_SCOPE="TIER_"&amp;$F300)+(ACT_DOOR_SCOPE=$B300)))*SIGN(((ACT_SKU_SCOPE="ALL")+(ACT_SKU_SCOPE=$G300)))*(3&gt;ACT_END)*(ACT_END&gt;0)*IFERROR(ACT_POSTLIFT,0))),0)))</f>
        <v/>
      </c>
      <c r="M300" s="10">
        <f>IF(OR($H300&lt;&gt;"Y",4&lt;$I300),0,IF(SUMPRODUCT(((BULK_ENABLED="Y")*((BULK_TIER="ALL")+(BULK_TIER=$F300))*((BULK_SKU="ALL")+(BULK_SKU=$G300))*(BULK_START&lt;=4)*(BULK_END&gt;=4)))&gt;0,IFERROR(SUMPRODUCT(((BULK_ENABLED="Y")*((BULK_TIER="ALL")+(BULK_TIER=$F300))*((BULK_SKU="ALL")+(BULK_SKU=$G300))*(BULK_START&lt;=4)*(BULK_END&gt;=4))*IFERROR(BULK_VALUE,0))/MAX(1,SUMPRODUCT(((BULK_ENABLED="Y")*((BULK_TIER="ALL")+(BULK_TIER=$F300))*((BULK_SKU="ALL")+(BULK_SKU=$G300))*(BULK_START&lt;=4)*(BULK_END&gt;=4)))),0),ROUND((INDEX(VELOCITY_TABLE,MATCH($F300,TIER_LIST,0),2))*(IF((4-$I300+1)&lt;=0,0,IF((4-$I300+1)=1,RAMP_W1,IF((4-$I300+1)=2,RAMP_W2,IF((4-$I300+1)=3,RAMP_W3,RAMP_W4PLUS)))))*(INDEX(ACTIVE_MULT_TABLE,2,1))*(1+SUMPRODUCT(SIGN(((ACT_DOOR_SCOPE="ALL")+(ACT_DOOR_SCOPE="TIER_"&amp;$F300)+(ACT_DOOR_SCOPE=$B300)))*SIGN(((ACT_SKU_SCOPE="ALL")+(ACT_SKU_SCOPE=$G300)))*(ACT_START&lt;=4)*(ACT_END&gt;=4)*IFERROR(ACT_UPLIFT-1,0)))*(1+SUMPRODUCT(SIGN(((ACT_DOOR_SCOPE="ALL")+(ACT_DOOR_SCOPE="TIER_"&amp;$F300)+(ACT_DOOR_SCOPE=$B300)))*SIGN(((ACT_SKU_SCOPE="ALL")+(ACT_SKU_SCOPE=$G300)))*(4&gt;ACT_END)*(ACT_END&gt;0)*IFERROR(ACT_POSTLIFT,0))),0)))</f>
        <v/>
      </c>
      <c r="N300" s="10">
        <f>IF(OR($H300&lt;&gt;"Y",5&lt;$I300),0,IF(SUMPRODUCT(((BULK_ENABLED="Y")*((BULK_TIER="ALL")+(BULK_TIER=$F300))*((BULK_SKU="ALL")+(BULK_SKU=$G300))*(BULK_START&lt;=5)*(BULK_END&gt;=5)))&gt;0,IFERROR(SUMPRODUCT(((BULK_ENABLED="Y")*((BULK_TIER="ALL")+(BULK_TIER=$F300))*((BULK_SKU="ALL")+(BULK_SKU=$G300))*(BULK_START&lt;=5)*(BULK_END&gt;=5))*IFERROR(BULK_VALUE,0))/MAX(1,SUMPRODUCT(((BULK_ENABLED="Y")*((BULK_TIER="ALL")+(BULK_TIER=$F300))*((BULK_SKU="ALL")+(BULK_SKU=$G300))*(BULK_START&lt;=5)*(BULK_END&gt;=5)))),0),ROUND((INDEX(VELOCITY_TABLE,MATCH($F300,TIER_LIST,0),2))*(IF((5-$I300+1)&lt;=0,0,IF((5-$I300+1)=1,RAMP_W1,IF((5-$I300+1)=2,RAMP_W2,IF((5-$I300+1)=3,RAMP_W3,RAMP_W4PLUS)))))*(INDEX(ACTIVE_MULT_TABLE,2,1))*(1+SUMPRODUCT(SIGN(((ACT_DOOR_SCOPE="ALL")+(ACT_DOOR_SCOPE="TIER_"&amp;$F300)+(ACT_DOOR_SCOPE=$B300)))*SIGN(((ACT_SKU_SCOPE="ALL")+(ACT_SKU_SCOPE=$G300)))*(ACT_START&lt;=5)*(ACT_END&gt;=5)*IFERROR(ACT_UPLIFT-1,0)))*(1+SUMPRODUCT(SIGN(((ACT_DOOR_SCOPE="ALL")+(ACT_DOOR_SCOPE="TIER_"&amp;$F300)+(ACT_DOOR_SCOPE=$B300)))*SIGN(((ACT_SKU_SCOPE="ALL")+(ACT_SKU_SCOPE=$G300)))*(5&gt;ACT_END)*(ACT_END&gt;0)*IFERROR(ACT_POSTLIFT,0))),0)))</f>
        <v/>
      </c>
      <c r="O300" s="10">
        <f>IF(OR($H300&lt;&gt;"Y",6&lt;$I300),0,IF(SUMPRODUCT(((BULK_ENABLED="Y")*((BULK_TIER="ALL")+(BULK_TIER=$F300))*((BULK_SKU="ALL")+(BULK_SKU=$G300))*(BULK_START&lt;=6)*(BULK_END&gt;=6)))&gt;0,IFERROR(SUMPRODUCT(((BULK_ENABLED="Y")*((BULK_TIER="ALL")+(BULK_TIER=$F300))*((BULK_SKU="ALL")+(BULK_SKU=$G300))*(BULK_START&lt;=6)*(BULK_END&gt;=6))*IFERROR(BULK_VALUE,0))/MAX(1,SUMPRODUCT(((BULK_ENABLED="Y")*((BULK_TIER="ALL")+(BULK_TIER=$F300))*((BULK_SKU="ALL")+(BULK_SKU=$G300))*(BULK_START&lt;=6)*(BULK_END&gt;=6)))),0),ROUND((INDEX(VELOCITY_TABLE,MATCH($F300,TIER_LIST,0),2))*(IF((6-$I300+1)&lt;=0,0,IF((6-$I300+1)=1,RAMP_W1,IF((6-$I300+1)=2,RAMP_W2,IF((6-$I300+1)=3,RAMP_W3,RAMP_W4PLUS)))))*(INDEX(ACTIVE_MULT_TABLE,2,1))*(1+SUMPRODUCT(SIGN(((ACT_DOOR_SCOPE="ALL")+(ACT_DOOR_SCOPE="TIER_"&amp;$F300)+(ACT_DOOR_SCOPE=$B300)))*SIGN(((ACT_SKU_SCOPE="ALL")+(ACT_SKU_SCOPE=$G300)))*(ACT_START&lt;=6)*(ACT_END&gt;=6)*IFERROR(ACT_UPLIFT-1,0)))*(1+SUMPRODUCT(SIGN(((ACT_DOOR_SCOPE="ALL")+(ACT_DOOR_SCOPE="TIER_"&amp;$F300)+(ACT_DOOR_SCOPE=$B300)))*SIGN(((ACT_SKU_SCOPE="ALL")+(ACT_SKU_SCOPE=$G300)))*(6&gt;ACT_END)*(ACT_END&gt;0)*IFERROR(ACT_POSTLIFT,0))),0)))</f>
        <v/>
      </c>
      <c r="P300" s="10">
        <f>IF(OR($H300&lt;&gt;"Y",7&lt;$I300),0,IF(SUMPRODUCT(((BULK_ENABLED="Y")*((BULK_TIER="ALL")+(BULK_TIER=$F300))*((BULK_SKU="ALL")+(BULK_SKU=$G300))*(BULK_START&lt;=7)*(BULK_END&gt;=7)))&gt;0,IFERROR(SUMPRODUCT(((BULK_ENABLED="Y")*((BULK_TIER="ALL")+(BULK_TIER=$F300))*((BULK_SKU="ALL")+(BULK_SKU=$G300))*(BULK_START&lt;=7)*(BULK_END&gt;=7))*IFERROR(BULK_VALUE,0))/MAX(1,SUMPRODUCT(((BULK_ENABLED="Y")*((BULK_TIER="ALL")+(BULK_TIER=$F300))*((BULK_SKU="ALL")+(BULK_SKU=$G300))*(BULK_START&lt;=7)*(BULK_END&gt;=7)))),0),ROUND((INDEX(VELOCITY_TABLE,MATCH($F300,TIER_LIST,0),2))*(IF((7-$I300+1)&lt;=0,0,IF((7-$I300+1)=1,RAMP_W1,IF((7-$I300+1)=2,RAMP_W2,IF((7-$I300+1)=3,RAMP_W3,RAMP_W4PLUS)))))*(INDEX(ACTIVE_MULT_TABLE,2,1))*(1+SUMPRODUCT(SIGN(((ACT_DOOR_SCOPE="ALL")+(ACT_DOOR_SCOPE="TIER_"&amp;$F300)+(ACT_DOOR_SCOPE=$B300)))*SIGN(((ACT_SKU_SCOPE="ALL")+(ACT_SKU_SCOPE=$G300)))*(ACT_START&lt;=7)*(ACT_END&gt;=7)*IFERROR(ACT_UPLIFT-1,0)))*(1+SUMPRODUCT(SIGN(((ACT_DOOR_SCOPE="ALL")+(ACT_DOOR_SCOPE="TIER_"&amp;$F300)+(ACT_DOOR_SCOPE=$B300)))*SIGN(((ACT_SKU_SCOPE="ALL")+(ACT_SKU_SCOPE=$G300)))*(7&gt;ACT_END)*(ACT_END&gt;0)*IFERROR(ACT_POSTLIFT,0))),0)))</f>
        <v/>
      </c>
      <c r="Q300" s="10">
        <f>IF(OR($H300&lt;&gt;"Y",8&lt;$I300),0,IF(SUMPRODUCT(((BULK_ENABLED="Y")*((BULK_TIER="ALL")+(BULK_TIER=$F300))*((BULK_SKU="ALL")+(BULK_SKU=$G300))*(BULK_START&lt;=8)*(BULK_END&gt;=8)))&gt;0,IFERROR(SUMPRODUCT(((BULK_ENABLED="Y")*((BULK_TIER="ALL")+(BULK_TIER=$F300))*((BULK_SKU="ALL")+(BULK_SKU=$G300))*(BULK_START&lt;=8)*(BULK_END&gt;=8))*IFERROR(BULK_VALUE,0))/MAX(1,SUMPRODUCT(((BULK_ENABLED="Y")*((BULK_TIER="ALL")+(BULK_TIER=$F300))*((BULK_SKU="ALL")+(BULK_SKU=$G300))*(BULK_START&lt;=8)*(BULK_END&gt;=8)))),0),ROUND((INDEX(VELOCITY_TABLE,MATCH($F300,TIER_LIST,0),2))*(IF((8-$I300+1)&lt;=0,0,IF((8-$I300+1)=1,RAMP_W1,IF((8-$I300+1)=2,RAMP_W2,IF((8-$I300+1)=3,RAMP_W3,RAMP_W4PLUS)))))*(INDEX(ACTIVE_MULT_TABLE,2,1))*(1+SUMPRODUCT(SIGN(((ACT_DOOR_SCOPE="ALL")+(ACT_DOOR_SCOPE="TIER_"&amp;$F300)+(ACT_DOOR_SCOPE=$B300)))*SIGN(((ACT_SKU_SCOPE="ALL")+(ACT_SKU_SCOPE=$G300)))*(ACT_START&lt;=8)*(ACT_END&gt;=8)*IFERROR(ACT_UPLIFT-1,0)))*(1+SUMPRODUCT(SIGN(((ACT_DOOR_SCOPE="ALL")+(ACT_DOOR_SCOPE="TIER_"&amp;$F300)+(ACT_DOOR_SCOPE=$B300)))*SIGN(((ACT_SKU_SCOPE="ALL")+(ACT_SKU_SCOPE=$G300)))*(8&gt;ACT_END)*(ACT_END&gt;0)*IFERROR(ACT_POSTLIFT,0))),0)))</f>
        <v/>
      </c>
      <c r="R300" s="10">
        <f>IF(OR($H300&lt;&gt;"Y",9&lt;$I300),0,IF(SUMPRODUCT(((BULK_ENABLED="Y")*((BULK_TIER="ALL")+(BULK_TIER=$F300))*((BULK_SKU="ALL")+(BULK_SKU=$G300))*(BULK_START&lt;=9)*(BULK_END&gt;=9)))&gt;0,IFERROR(SUMPRODUCT(((BULK_ENABLED="Y")*((BULK_TIER="ALL")+(BULK_TIER=$F300))*((BULK_SKU="ALL")+(BULK_SKU=$G300))*(BULK_START&lt;=9)*(BULK_END&gt;=9))*IFERROR(BULK_VALUE,0))/MAX(1,SUMPRODUCT(((BULK_ENABLED="Y")*((BULK_TIER="ALL")+(BULK_TIER=$F300))*((BULK_SKU="ALL")+(BULK_SKU=$G300))*(BULK_START&lt;=9)*(BULK_END&gt;=9)))),0),ROUND((INDEX(VELOCITY_TABLE,MATCH($F300,TIER_LIST,0),2))*(IF((9-$I300+1)&lt;=0,0,IF((9-$I300+1)=1,RAMP_W1,IF((9-$I300+1)=2,RAMP_W2,IF((9-$I300+1)=3,RAMP_W3,RAMP_W4PLUS)))))*(INDEX(ACTIVE_MULT_TABLE,2,1))*(1+SUMPRODUCT(SIGN(((ACT_DOOR_SCOPE="ALL")+(ACT_DOOR_SCOPE="TIER_"&amp;$F300)+(ACT_DOOR_SCOPE=$B300)))*SIGN(((ACT_SKU_SCOPE="ALL")+(ACT_SKU_SCOPE=$G300)))*(ACT_START&lt;=9)*(ACT_END&gt;=9)*IFERROR(ACT_UPLIFT-1,0)))*(1+SUMPRODUCT(SIGN(((ACT_DOOR_SCOPE="ALL")+(ACT_DOOR_SCOPE="TIER_"&amp;$F300)+(ACT_DOOR_SCOPE=$B300)))*SIGN(((ACT_SKU_SCOPE="ALL")+(ACT_SKU_SCOPE=$G300)))*(9&gt;ACT_END)*(ACT_END&gt;0)*IFERROR(ACT_POSTLIFT,0))),0)))</f>
        <v/>
      </c>
      <c r="S300" s="10">
        <f>IF(OR($H300&lt;&gt;"Y",10&lt;$I300),0,IF(SUMPRODUCT(((BULK_ENABLED="Y")*((BULK_TIER="ALL")+(BULK_TIER=$F300))*((BULK_SKU="ALL")+(BULK_SKU=$G300))*(BULK_START&lt;=10)*(BULK_END&gt;=10)))&gt;0,IFERROR(SUMPRODUCT(((BULK_ENABLED="Y")*((BULK_TIER="ALL")+(BULK_TIER=$F300))*((BULK_SKU="ALL")+(BULK_SKU=$G300))*(BULK_START&lt;=10)*(BULK_END&gt;=10))*IFERROR(BULK_VALUE,0))/MAX(1,SUMPRODUCT(((BULK_ENABLED="Y")*((BULK_TIER="ALL")+(BULK_TIER=$F300))*((BULK_SKU="ALL")+(BULK_SKU=$G300))*(BULK_START&lt;=10)*(BULK_END&gt;=10)))),0),ROUND((INDEX(VELOCITY_TABLE,MATCH($F300,TIER_LIST,0),2))*(IF((10-$I300+1)&lt;=0,0,IF((10-$I300+1)=1,RAMP_W1,IF((10-$I300+1)=2,RAMP_W2,IF((10-$I300+1)=3,RAMP_W3,RAMP_W4PLUS)))))*(INDEX(ACTIVE_MULT_TABLE,2,1))*(1+SUMPRODUCT(SIGN(((ACT_DOOR_SCOPE="ALL")+(ACT_DOOR_SCOPE="TIER_"&amp;$F300)+(ACT_DOOR_SCOPE=$B300)))*SIGN(((ACT_SKU_SCOPE="ALL")+(ACT_SKU_SCOPE=$G300)))*(ACT_START&lt;=10)*(ACT_END&gt;=10)*IFERROR(ACT_UPLIFT-1,0)))*(1+SUMPRODUCT(SIGN(((ACT_DOOR_SCOPE="ALL")+(ACT_DOOR_SCOPE="TIER_"&amp;$F300)+(ACT_DOOR_SCOPE=$B300)))*SIGN(((ACT_SKU_SCOPE="ALL")+(ACT_SKU_SCOPE=$G300)))*(10&gt;ACT_END)*(ACT_END&gt;0)*IFERROR(ACT_POSTLIFT,0))),0)))</f>
        <v/>
      </c>
      <c r="T300" s="10">
        <f>IF(OR($H300&lt;&gt;"Y",11&lt;$I300),0,IF(SUMPRODUCT(((BULK_ENABLED="Y")*((BULK_TIER="ALL")+(BULK_TIER=$F300))*((BULK_SKU="ALL")+(BULK_SKU=$G300))*(BULK_START&lt;=11)*(BULK_END&gt;=11)))&gt;0,IFERROR(SUMPRODUCT(((BULK_ENABLED="Y")*((BULK_TIER="ALL")+(BULK_TIER=$F300))*((BULK_SKU="ALL")+(BULK_SKU=$G300))*(BULK_START&lt;=11)*(BULK_END&gt;=11))*IFERROR(BULK_VALUE,0))/MAX(1,SUMPRODUCT(((BULK_ENABLED="Y")*((BULK_TIER="ALL")+(BULK_TIER=$F300))*((BULK_SKU="ALL")+(BULK_SKU=$G300))*(BULK_START&lt;=11)*(BULK_END&gt;=11)))),0),ROUND((INDEX(VELOCITY_TABLE,MATCH($F300,TIER_LIST,0),2))*(IF((11-$I300+1)&lt;=0,0,IF((11-$I300+1)=1,RAMP_W1,IF((11-$I300+1)=2,RAMP_W2,IF((11-$I300+1)=3,RAMP_W3,RAMP_W4PLUS)))))*(INDEX(ACTIVE_MULT_TABLE,2,1))*(1+SUMPRODUCT(SIGN(((ACT_DOOR_SCOPE="ALL")+(ACT_DOOR_SCOPE="TIER_"&amp;$F300)+(ACT_DOOR_SCOPE=$B300)))*SIGN(((ACT_SKU_SCOPE="ALL")+(ACT_SKU_SCOPE=$G300)))*(ACT_START&lt;=11)*(ACT_END&gt;=11)*IFERROR(ACT_UPLIFT-1,0)))*(1+SUMPRODUCT(SIGN(((ACT_DOOR_SCOPE="ALL")+(ACT_DOOR_SCOPE="TIER_"&amp;$F300)+(ACT_DOOR_SCOPE=$B300)))*SIGN(((ACT_SKU_SCOPE="ALL")+(ACT_SKU_SCOPE=$G300)))*(11&gt;ACT_END)*(ACT_END&gt;0)*IFERROR(ACT_POSTLIFT,0))),0)))</f>
        <v/>
      </c>
      <c r="U300" s="10">
        <f>IF(OR($H300&lt;&gt;"Y",12&lt;$I300),0,IF(SUMPRODUCT(((BULK_ENABLED="Y")*((BULK_TIER="ALL")+(BULK_TIER=$F300))*((BULK_SKU="ALL")+(BULK_SKU=$G300))*(BULK_START&lt;=12)*(BULK_END&gt;=12)))&gt;0,IFERROR(SUMPRODUCT(((BULK_ENABLED="Y")*((BULK_TIER="ALL")+(BULK_TIER=$F300))*((BULK_SKU="ALL")+(BULK_SKU=$G300))*(BULK_START&lt;=12)*(BULK_END&gt;=12))*IFERROR(BULK_VALUE,0))/MAX(1,SUMPRODUCT(((BULK_ENABLED="Y")*((BULK_TIER="ALL")+(BULK_TIER=$F300))*((BULK_SKU="ALL")+(BULK_SKU=$G300))*(BULK_START&lt;=12)*(BULK_END&gt;=12)))),0),ROUND((INDEX(VELOCITY_TABLE,MATCH($F300,TIER_LIST,0),2))*(IF((12-$I300+1)&lt;=0,0,IF((12-$I300+1)=1,RAMP_W1,IF((12-$I300+1)=2,RAMP_W2,IF((12-$I300+1)=3,RAMP_W3,RAMP_W4PLUS)))))*(INDEX(ACTIVE_MULT_TABLE,2,1))*(1+SUMPRODUCT(SIGN(((ACT_DOOR_SCOPE="ALL")+(ACT_DOOR_SCOPE="TIER_"&amp;$F300)+(ACT_DOOR_SCOPE=$B300)))*SIGN(((ACT_SKU_SCOPE="ALL")+(ACT_SKU_SCOPE=$G300)))*(ACT_START&lt;=12)*(ACT_END&gt;=12)*IFERROR(ACT_UPLIFT-1,0)))*(1+SUMPRODUCT(SIGN(((ACT_DOOR_SCOPE="ALL")+(ACT_DOOR_SCOPE="TIER_"&amp;$F300)+(ACT_DOOR_SCOPE=$B300)))*SIGN(((ACT_SKU_SCOPE="ALL")+(ACT_SKU_SCOPE=$G300)))*(12&gt;ACT_END)*(ACT_END&gt;0)*IFERROR(ACT_POSTLIFT,0))),0)))</f>
        <v/>
      </c>
      <c r="V300" s="10">
        <f>IF(OR($H300&lt;&gt;"Y",13&lt;$I300),0,IF(SUMPRODUCT(((BULK_ENABLED="Y")*((BULK_TIER="ALL")+(BULK_TIER=$F300))*((BULK_SKU="ALL")+(BULK_SKU=$G300))*(BULK_START&lt;=13)*(BULK_END&gt;=13)))&gt;0,IFERROR(SUMPRODUCT(((BULK_ENABLED="Y")*((BULK_TIER="ALL")+(BULK_TIER=$F300))*((BULK_SKU="ALL")+(BULK_SKU=$G300))*(BULK_START&lt;=13)*(BULK_END&gt;=13))*IFERROR(BULK_VALUE,0))/MAX(1,SUMPRODUCT(((BULK_ENABLED="Y")*((BULK_TIER="ALL")+(BULK_TIER=$F300))*((BULK_SKU="ALL")+(BULK_SKU=$G300))*(BULK_START&lt;=13)*(BULK_END&gt;=13)))),0),ROUND((INDEX(VELOCITY_TABLE,MATCH($F300,TIER_LIST,0),2))*(IF((13-$I300+1)&lt;=0,0,IF((13-$I300+1)=1,RAMP_W1,IF((13-$I300+1)=2,RAMP_W2,IF((13-$I300+1)=3,RAMP_W3,RAMP_W4PLUS)))))*(INDEX(ACTIVE_MULT_TABLE,2,1))*(1+SUMPRODUCT(SIGN(((ACT_DOOR_SCOPE="ALL")+(ACT_DOOR_SCOPE="TIER_"&amp;$F300)+(ACT_DOOR_SCOPE=$B300)))*SIGN(((ACT_SKU_SCOPE="ALL")+(ACT_SKU_SCOPE=$G300)))*(ACT_START&lt;=13)*(ACT_END&gt;=13)*IFERROR(ACT_UPLIFT-1,0)))*(1+SUMPRODUCT(SIGN(((ACT_DOOR_SCOPE="ALL")+(ACT_DOOR_SCOPE="TIER_"&amp;$F300)+(ACT_DOOR_SCOPE=$B300)))*SIGN(((ACT_SKU_SCOPE="ALL")+(ACT_SKU_SCOPE=$G300)))*(13&gt;ACT_END)*(ACT_END&gt;0)*IFERROR(ACT_POSTLIFT,0))),0)))</f>
        <v/>
      </c>
    </row>
    <row r="301">
      <c r="A301" t="inlineStr">
        <is>
          <t>R0297</t>
        </is>
      </c>
      <c r="B301">
        <f>Doors!$A$103</f>
        <v/>
      </c>
      <c r="C301">
        <f>Doors!$C$103</f>
        <v/>
      </c>
      <c r="D301">
        <f>Doors!$B$103</f>
        <v/>
      </c>
      <c r="E301">
        <f>Doors!$E$103</f>
        <v/>
      </c>
      <c r="F301">
        <f>Doors!$F$103</f>
        <v/>
      </c>
      <c r="G301" t="inlineStr">
        <is>
          <t>Raspberry</t>
        </is>
      </c>
      <c r="H301">
        <f>Doors!$I$103</f>
        <v/>
      </c>
      <c r="I301">
        <f>Doors!$J$103</f>
        <v/>
      </c>
      <c r="J301" s="10">
        <f>IF(OR($H301&lt;&gt;"Y",1&lt;$I301),0,IF(SUMPRODUCT(((BULK_ENABLED="Y")*((BULK_TIER="ALL")+(BULK_TIER=$F301))*((BULK_SKU="ALL")+(BULK_SKU=$G301))*(BULK_START&lt;=1)*(BULK_END&gt;=1)))&gt;0,IFERROR(SUMPRODUCT(((BULK_ENABLED="Y")*((BULK_TIER="ALL")+(BULK_TIER=$F301))*((BULK_SKU="ALL")+(BULK_SKU=$G301))*(BULK_START&lt;=1)*(BULK_END&gt;=1))*IFERROR(BULK_VALUE,0))/MAX(1,SUMPRODUCT(((BULK_ENABLED="Y")*((BULK_TIER="ALL")+(BULK_TIER=$F301))*((BULK_SKU="ALL")+(BULK_SKU=$G301))*(BULK_START&lt;=1)*(BULK_END&gt;=1)))),0),ROUND((INDEX(VELOCITY_TABLE,MATCH($F301,TIER_LIST,0),3))*(IF((1-$I301+1)&lt;=0,0,IF((1-$I301+1)=1,RAMP_W1,IF((1-$I301+1)=2,RAMP_W2,IF((1-$I301+1)=3,RAMP_W3,RAMP_W4PLUS)))))*(INDEX(ACTIVE_MULT_TABLE,3,1))*(1+SUMPRODUCT(SIGN(((ACT_DOOR_SCOPE="ALL")+(ACT_DOOR_SCOPE="TIER_"&amp;$F301)+(ACT_DOOR_SCOPE=$B301)))*SIGN(((ACT_SKU_SCOPE="ALL")+(ACT_SKU_SCOPE=$G301)))*(ACT_START&lt;=1)*(ACT_END&gt;=1)*IFERROR(ACT_UPLIFT-1,0)))*(1+SUMPRODUCT(SIGN(((ACT_DOOR_SCOPE="ALL")+(ACT_DOOR_SCOPE="TIER_"&amp;$F301)+(ACT_DOOR_SCOPE=$B301)))*SIGN(((ACT_SKU_SCOPE="ALL")+(ACT_SKU_SCOPE=$G301)))*(1&gt;ACT_END)*(ACT_END&gt;0)*IFERROR(ACT_POSTLIFT,0))),0)))</f>
        <v/>
      </c>
      <c r="K301" s="10">
        <f>IF(OR($H301&lt;&gt;"Y",2&lt;$I301),0,IF(SUMPRODUCT(((BULK_ENABLED="Y")*((BULK_TIER="ALL")+(BULK_TIER=$F301))*((BULK_SKU="ALL")+(BULK_SKU=$G301))*(BULK_START&lt;=2)*(BULK_END&gt;=2)))&gt;0,IFERROR(SUMPRODUCT(((BULK_ENABLED="Y")*((BULK_TIER="ALL")+(BULK_TIER=$F301))*((BULK_SKU="ALL")+(BULK_SKU=$G301))*(BULK_START&lt;=2)*(BULK_END&gt;=2))*IFERROR(BULK_VALUE,0))/MAX(1,SUMPRODUCT(((BULK_ENABLED="Y")*((BULK_TIER="ALL")+(BULK_TIER=$F301))*((BULK_SKU="ALL")+(BULK_SKU=$G301))*(BULK_START&lt;=2)*(BULK_END&gt;=2)))),0),ROUND((INDEX(VELOCITY_TABLE,MATCH($F301,TIER_LIST,0),3))*(IF((2-$I301+1)&lt;=0,0,IF((2-$I301+1)=1,RAMP_W1,IF((2-$I301+1)=2,RAMP_W2,IF((2-$I301+1)=3,RAMP_W3,RAMP_W4PLUS)))))*(INDEX(ACTIVE_MULT_TABLE,3,1))*(1+SUMPRODUCT(SIGN(((ACT_DOOR_SCOPE="ALL")+(ACT_DOOR_SCOPE="TIER_"&amp;$F301)+(ACT_DOOR_SCOPE=$B301)))*SIGN(((ACT_SKU_SCOPE="ALL")+(ACT_SKU_SCOPE=$G301)))*(ACT_START&lt;=2)*(ACT_END&gt;=2)*IFERROR(ACT_UPLIFT-1,0)))*(1+SUMPRODUCT(SIGN(((ACT_DOOR_SCOPE="ALL")+(ACT_DOOR_SCOPE="TIER_"&amp;$F301)+(ACT_DOOR_SCOPE=$B301)))*SIGN(((ACT_SKU_SCOPE="ALL")+(ACT_SKU_SCOPE=$G301)))*(2&gt;ACT_END)*(ACT_END&gt;0)*IFERROR(ACT_POSTLIFT,0))),0)))</f>
        <v/>
      </c>
      <c r="L301" s="10">
        <f>IF(OR($H301&lt;&gt;"Y",3&lt;$I301),0,IF(SUMPRODUCT(((BULK_ENABLED="Y")*((BULK_TIER="ALL")+(BULK_TIER=$F301))*((BULK_SKU="ALL")+(BULK_SKU=$G301))*(BULK_START&lt;=3)*(BULK_END&gt;=3)))&gt;0,IFERROR(SUMPRODUCT(((BULK_ENABLED="Y")*((BULK_TIER="ALL")+(BULK_TIER=$F301))*((BULK_SKU="ALL")+(BULK_SKU=$G301))*(BULK_START&lt;=3)*(BULK_END&gt;=3))*IFERROR(BULK_VALUE,0))/MAX(1,SUMPRODUCT(((BULK_ENABLED="Y")*((BULK_TIER="ALL")+(BULK_TIER=$F301))*((BULK_SKU="ALL")+(BULK_SKU=$G301))*(BULK_START&lt;=3)*(BULK_END&gt;=3)))),0),ROUND((INDEX(VELOCITY_TABLE,MATCH($F301,TIER_LIST,0),3))*(IF((3-$I301+1)&lt;=0,0,IF((3-$I301+1)=1,RAMP_W1,IF((3-$I301+1)=2,RAMP_W2,IF((3-$I301+1)=3,RAMP_W3,RAMP_W4PLUS)))))*(INDEX(ACTIVE_MULT_TABLE,3,1))*(1+SUMPRODUCT(SIGN(((ACT_DOOR_SCOPE="ALL")+(ACT_DOOR_SCOPE="TIER_"&amp;$F301)+(ACT_DOOR_SCOPE=$B301)))*SIGN(((ACT_SKU_SCOPE="ALL")+(ACT_SKU_SCOPE=$G301)))*(ACT_START&lt;=3)*(ACT_END&gt;=3)*IFERROR(ACT_UPLIFT-1,0)))*(1+SUMPRODUCT(SIGN(((ACT_DOOR_SCOPE="ALL")+(ACT_DOOR_SCOPE="TIER_"&amp;$F301)+(ACT_DOOR_SCOPE=$B301)))*SIGN(((ACT_SKU_SCOPE="ALL")+(ACT_SKU_SCOPE=$G301)))*(3&gt;ACT_END)*(ACT_END&gt;0)*IFERROR(ACT_POSTLIFT,0))),0)))</f>
        <v/>
      </c>
      <c r="M301" s="10">
        <f>IF(OR($H301&lt;&gt;"Y",4&lt;$I301),0,IF(SUMPRODUCT(((BULK_ENABLED="Y")*((BULK_TIER="ALL")+(BULK_TIER=$F301))*((BULK_SKU="ALL")+(BULK_SKU=$G301))*(BULK_START&lt;=4)*(BULK_END&gt;=4)))&gt;0,IFERROR(SUMPRODUCT(((BULK_ENABLED="Y")*((BULK_TIER="ALL")+(BULK_TIER=$F301))*((BULK_SKU="ALL")+(BULK_SKU=$G301))*(BULK_START&lt;=4)*(BULK_END&gt;=4))*IFERROR(BULK_VALUE,0))/MAX(1,SUMPRODUCT(((BULK_ENABLED="Y")*((BULK_TIER="ALL")+(BULK_TIER=$F301))*((BULK_SKU="ALL")+(BULK_SKU=$G301))*(BULK_START&lt;=4)*(BULK_END&gt;=4)))),0),ROUND((INDEX(VELOCITY_TABLE,MATCH($F301,TIER_LIST,0),3))*(IF((4-$I301+1)&lt;=0,0,IF((4-$I301+1)=1,RAMP_W1,IF((4-$I301+1)=2,RAMP_W2,IF((4-$I301+1)=3,RAMP_W3,RAMP_W4PLUS)))))*(INDEX(ACTIVE_MULT_TABLE,3,1))*(1+SUMPRODUCT(SIGN(((ACT_DOOR_SCOPE="ALL")+(ACT_DOOR_SCOPE="TIER_"&amp;$F301)+(ACT_DOOR_SCOPE=$B301)))*SIGN(((ACT_SKU_SCOPE="ALL")+(ACT_SKU_SCOPE=$G301)))*(ACT_START&lt;=4)*(ACT_END&gt;=4)*IFERROR(ACT_UPLIFT-1,0)))*(1+SUMPRODUCT(SIGN(((ACT_DOOR_SCOPE="ALL")+(ACT_DOOR_SCOPE="TIER_"&amp;$F301)+(ACT_DOOR_SCOPE=$B301)))*SIGN(((ACT_SKU_SCOPE="ALL")+(ACT_SKU_SCOPE=$G301)))*(4&gt;ACT_END)*(ACT_END&gt;0)*IFERROR(ACT_POSTLIFT,0))),0)))</f>
        <v/>
      </c>
      <c r="N301" s="10">
        <f>IF(OR($H301&lt;&gt;"Y",5&lt;$I301),0,IF(SUMPRODUCT(((BULK_ENABLED="Y")*((BULK_TIER="ALL")+(BULK_TIER=$F301))*((BULK_SKU="ALL")+(BULK_SKU=$G301))*(BULK_START&lt;=5)*(BULK_END&gt;=5)))&gt;0,IFERROR(SUMPRODUCT(((BULK_ENABLED="Y")*((BULK_TIER="ALL")+(BULK_TIER=$F301))*((BULK_SKU="ALL")+(BULK_SKU=$G301))*(BULK_START&lt;=5)*(BULK_END&gt;=5))*IFERROR(BULK_VALUE,0))/MAX(1,SUMPRODUCT(((BULK_ENABLED="Y")*((BULK_TIER="ALL")+(BULK_TIER=$F301))*((BULK_SKU="ALL")+(BULK_SKU=$G301))*(BULK_START&lt;=5)*(BULK_END&gt;=5)))),0),ROUND((INDEX(VELOCITY_TABLE,MATCH($F301,TIER_LIST,0),3))*(IF((5-$I301+1)&lt;=0,0,IF((5-$I301+1)=1,RAMP_W1,IF((5-$I301+1)=2,RAMP_W2,IF((5-$I301+1)=3,RAMP_W3,RAMP_W4PLUS)))))*(INDEX(ACTIVE_MULT_TABLE,3,1))*(1+SUMPRODUCT(SIGN(((ACT_DOOR_SCOPE="ALL")+(ACT_DOOR_SCOPE="TIER_"&amp;$F301)+(ACT_DOOR_SCOPE=$B301)))*SIGN(((ACT_SKU_SCOPE="ALL")+(ACT_SKU_SCOPE=$G301)))*(ACT_START&lt;=5)*(ACT_END&gt;=5)*IFERROR(ACT_UPLIFT-1,0)))*(1+SUMPRODUCT(SIGN(((ACT_DOOR_SCOPE="ALL")+(ACT_DOOR_SCOPE="TIER_"&amp;$F301)+(ACT_DOOR_SCOPE=$B301)))*SIGN(((ACT_SKU_SCOPE="ALL")+(ACT_SKU_SCOPE=$G301)))*(5&gt;ACT_END)*(ACT_END&gt;0)*IFERROR(ACT_POSTLIFT,0))),0)))</f>
        <v/>
      </c>
      <c r="O301" s="10">
        <f>IF(OR($H301&lt;&gt;"Y",6&lt;$I301),0,IF(SUMPRODUCT(((BULK_ENABLED="Y")*((BULK_TIER="ALL")+(BULK_TIER=$F301))*((BULK_SKU="ALL")+(BULK_SKU=$G301))*(BULK_START&lt;=6)*(BULK_END&gt;=6)))&gt;0,IFERROR(SUMPRODUCT(((BULK_ENABLED="Y")*((BULK_TIER="ALL")+(BULK_TIER=$F301))*((BULK_SKU="ALL")+(BULK_SKU=$G301))*(BULK_START&lt;=6)*(BULK_END&gt;=6))*IFERROR(BULK_VALUE,0))/MAX(1,SUMPRODUCT(((BULK_ENABLED="Y")*((BULK_TIER="ALL")+(BULK_TIER=$F301))*((BULK_SKU="ALL")+(BULK_SKU=$G301))*(BULK_START&lt;=6)*(BULK_END&gt;=6)))),0),ROUND((INDEX(VELOCITY_TABLE,MATCH($F301,TIER_LIST,0),3))*(IF((6-$I301+1)&lt;=0,0,IF((6-$I301+1)=1,RAMP_W1,IF((6-$I301+1)=2,RAMP_W2,IF((6-$I301+1)=3,RAMP_W3,RAMP_W4PLUS)))))*(INDEX(ACTIVE_MULT_TABLE,3,1))*(1+SUMPRODUCT(SIGN(((ACT_DOOR_SCOPE="ALL")+(ACT_DOOR_SCOPE="TIER_"&amp;$F301)+(ACT_DOOR_SCOPE=$B301)))*SIGN(((ACT_SKU_SCOPE="ALL")+(ACT_SKU_SCOPE=$G301)))*(ACT_START&lt;=6)*(ACT_END&gt;=6)*IFERROR(ACT_UPLIFT-1,0)))*(1+SUMPRODUCT(SIGN(((ACT_DOOR_SCOPE="ALL")+(ACT_DOOR_SCOPE="TIER_"&amp;$F301)+(ACT_DOOR_SCOPE=$B301)))*SIGN(((ACT_SKU_SCOPE="ALL")+(ACT_SKU_SCOPE=$G301)))*(6&gt;ACT_END)*(ACT_END&gt;0)*IFERROR(ACT_POSTLIFT,0))),0)))</f>
        <v/>
      </c>
      <c r="P301" s="10">
        <f>IF(OR($H301&lt;&gt;"Y",7&lt;$I301),0,IF(SUMPRODUCT(((BULK_ENABLED="Y")*((BULK_TIER="ALL")+(BULK_TIER=$F301))*((BULK_SKU="ALL")+(BULK_SKU=$G301))*(BULK_START&lt;=7)*(BULK_END&gt;=7)))&gt;0,IFERROR(SUMPRODUCT(((BULK_ENABLED="Y")*((BULK_TIER="ALL")+(BULK_TIER=$F301))*((BULK_SKU="ALL")+(BULK_SKU=$G301))*(BULK_START&lt;=7)*(BULK_END&gt;=7))*IFERROR(BULK_VALUE,0))/MAX(1,SUMPRODUCT(((BULK_ENABLED="Y")*((BULK_TIER="ALL")+(BULK_TIER=$F301))*((BULK_SKU="ALL")+(BULK_SKU=$G301))*(BULK_START&lt;=7)*(BULK_END&gt;=7)))),0),ROUND((INDEX(VELOCITY_TABLE,MATCH($F301,TIER_LIST,0),3))*(IF((7-$I301+1)&lt;=0,0,IF((7-$I301+1)=1,RAMP_W1,IF((7-$I301+1)=2,RAMP_W2,IF((7-$I301+1)=3,RAMP_W3,RAMP_W4PLUS)))))*(INDEX(ACTIVE_MULT_TABLE,3,1))*(1+SUMPRODUCT(SIGN(((ACT_DOOR_SCOPE="ALL")+(ACT_DOOR_SCOPE="TIER_"&amp;$F301)+(ACT_DOOR_SCOPE=$B301)))*SIGN(((ACT_SKU_SCOPE="ALL")+(ACT_SKU_SCOPE=$G301)))*(ACT_START&lt;=7)*(ACT_END&gt;=7)*IFERROR(ACT_UPLIFT-1,0)))*(1+SUMPRODUCT(SIGN(((ACT_DOOR_SCOPE="ALL")+(ACT_DOOR_SCOPE="TIER_"&amp;$F301)+(ACT_DOOR_SCOPE=$B301)))*SIGN(((ACT_SKU_SCOPE="ALL")+(ACT_SKU_SCOPE=$G301)))*(7&gt;ACT_END)*(ACT_END&gt;0)*IFERROR(ACT_POSTLIFT,0))),0)))</f>
        <v/>
      </c>
      <c r="Q301" s="10">
        <f>IF(OR($H301&lt;&gt;"Y",8&lt;$I301),0,IF(SUMPRODUCT(((BULK_ENABLED="Y")*((BULK_TIER="ALL")+(BULK_TIER=$F301))*((BULK_SKU="ALL")+(BULK_SKU=$G301))*(BULK_START&lt;=8)*(BULK_END&gt;=8)))&gt;0,IFERROR(SUMPRODUCT(((BULK_ENABLED="Y")*((BULK_TIER="ALL")+(BULK_TIER=$F301))*((BULK_SKU="ALL")+(BULK_SKU=$G301))*(BULK_START&lt;=8)*(BULK_END&gt;=8))*IFERROR(BULK_VALUE,0))/MAX(1,SUMPRODUCT(((BULK_ENABLED="Y")*((BULK_TIER="ALL")+(BULK_TIER=$F301))*((BULK_SKU="ALL")+(BULK_SKU=$G301))*(BULK_START&lt;=8)*(BULK_END&gt;=8)))),0),ROUND((INDEX(VELOCITY_TABLE,MATCH($F301,TIER_LIST,0),3))*(IF((8-$I301+1)&lt;=0,0,IF((8-$I301+1)=1,RAMP_W1,IF((8-$I301+1)=2,RAMP_W2,IF((8-$I301+1)=3,RAMP_W3,RAMP_W4PLUS)))))*(INDEX(ACTIVE_MULT_TABLE,3,1))*(1+SUMPRODUCT(SIGN(((ACT_DOOR_SCOPE="ALL")+(ACT_DOOR_SCOPE="TIER_"&amp;$F301)+(ACT_DOOR_SCOPE=$B301)))*SIGN(((ACT_SKU_SCOPE="ALL")+(ACT_SKU_SCOPE=$G301)))*(ACT_START&lt;=8)*(ACT_END&gt;=8)*IFERROR(ACT_UPLIFT-1,0)))*(1+SUMPRODUCT(SIGN(((ACT_DOOR_SCOPE="ALL")+(ACT_DOOR_SCOPE="TIER_"&amp;$F301)+(ACT_DOOR_SCOPE=$B301)))*SIGN(((ACT_SKU_SCOPE="ALL")+(ACT_SKU_SCOPE=$G301)))*(8&gt;ACT_END)*(ACT_END&gt;0)*IFERROR(ACT_POSTLIFT,0))),0)))</f>
        <v/>
      </c>
      <c r="R301" s="10">
        <f>IF(OR($H301&lt;&gt;"Y",9&lt;$I301),0,IF(SUMPRODUCT(((BULK_ENABLED="Y")*((BULK_TIER="ALL")+(BULK_TIER=$F301))*((BULK_SKU="ALL")+(BULK_SKU=$G301))*(BULK_START&lt;=9)*(BULK_END&gt;=9)))&gt;0,IFERROR(SUMPRODUCT(((BULK_ENABLED="Y")*((BULK_TIER="ALL")+(BULK_TIER=$F301))*((BULK_SKU="ALL")+(BULK_SKU=$G301))*(BULK_START&lt;=9)*(BULK_END&gt;=9))*IFERROR(BULK_VALUE,0))/MAX(1,SUMPRODUCT(((BULK_ENABLED="Y")*((BULK_TIER="ALL")+(BULK_TIER=$F301))*((BULK_SKU="ALL")+(BULK_SKU=$G301))*(BULK_START&lt;=9)*(BULK_END&gt;=9)))),0),ROUND((INDEX(VELOCITY_TABLE,MATCH($F301,TIER_LIST,0),3))*(IF((9-$I301+1)&lt;=0,0,IF((9-$I301+1)=1,RAMP_W1,IF((9-$I301+1)=2,RAMP_W2,IF((9-$I301+1)=3,RAMP_W3,RAMP_W4PLUS)))))*(INDEX(ACTIVE_MULT_TABLE,3,1))*(1+SUMPRODUCT(SIGN(((ACT_DOOR_SCOPE="ALL")+(ACT_DOOR_SCOPE="TIER_"&amp;$F301)+(ACT_DOOR_SCOPE=$B301)))*SIGN(((ACT_SKU_SCOPE="ALL")+(ACT_SKU_SCOPE=$G301)))*(ACT_START&lt;=9)*(ACT_END&gt;=9)*IFERROR(ACT_UPLIFT-1,0)))*(1+SUMPRODUCT(SIGN(((ACT_DOOR_SCOPE="ALL")+(ACT_DOOR_SCOPE="TIER_"&amp;$F301)+(ACT_DOOR_SCOPE=$B301)))*SIGN(((ACT_SKU_SCOPE="ALL")+(ACT_SKU_SCOPE=$G301)))*(9&gt;ACT_END)*(ACT_END&gt;0)*IFERROR(ACT_POSTLIFT,0))),0)))</f>
        <v/>
      </c>
      <c r="S301" s="10">
        <f>IF(OR($H301&lt;&gt;"Y",10&lt;$I301),0,IF(SUMPRODUCT(((BULK_ENABLED="Y")*((BULK_TIER="ALL")+(BULK_TIER=$F301))*((BULK_SKU="ALL")+(BULK_SKU=$G301))*(BULK_START&lt;=10)*(BULK_END&gt;=10)))&gt;0,IFERROR(SUMPRODUCT(((BULK_ENABLED="Y")*((BULK_TIER="ALL")+(BULK_TIER=$F301))*((BULK_SKU="ALL")+(BULK_SKU=$G301))*(BULK_START&lt;=10)*(BULK_END&gt;=10))*IFERROR(BULK_VALUE,0))/MAX(1,SUMPRODUCT(((BULK_ENABLED="Y")*((BULK_TIER="ALL")+(BULK_TIER=$F301))*((BULK_SKU="ALL")+(BULK_SKU=$G301))*(BULK_START&lt;=10)*(BULK_END&gt;=10)))),0),ROUND((INDEX(VELOCITY_TABLE,MATCH($F301,TIER_LIST,0),3))*(IF((10-$I301+1)&lt;=0,0,IF((10-$I301+1)=1,RAMP_W1,IF((10-$I301+1)=2,RAMP_W2,IF((10-$I301+1)=3,RAMP_W3,RAMP_W4PLUS)))))*(INDEX(ACTIVE_MULT_TABLE,3,1))*(1+SUMPRODUCT(SIGN(((ACT_DOOR_SCOPE="ALL")+(ACT_DOOR_SCOPE="TIER_"&amp;$F301)+(ACT_DOOR_SCOPE=$B301)))*SIGN(((ACT_SKU_SCOPE="ALL")+(ACT_SKU_SCOPE=$G301)))*(ACT_START&lt;=10)*(ACT_END&gt;=10)*IFERROR(ACT_UPLIFT-1,0)))*(1+SUMPRODUCT(SIGN(((ACT_DOOR_SCOPE="ALL")+(ACT_DOOR_SCOPE="TIER_"&amp;$F301)+(ACT_DOOR_SCOPE=$B301)))*SIGN(((ACT_SKU_SCOPE="ALL")+(ACT_SKU_SCOPE=$G301)))*(10&gt;ACT_END)*(ACT_END&gt;0)*IFERROR(ACT_POSTLIFT,0))),0)))</f>
        <v/>
      </c>
      <c r="T301" s="10">
        <f>IF(OR($H301&lt;&gt;"Y",11&lt;$I301),0,IF(SUMPRODUCT(((BULK_ENABLED="Y")*((BULK_TIER="ALL")+(BULK_TIER=$F301))*((BULK_SKU="ALL")+(BULK_SKU=$G301))*(BULK_START&lt;=11)*(BULK_END&gt;=11)))&gt;0,IFERROR(SUMPRODUCT(((BULK_ENABLED="Y")*((BULK_TIER="ALL")+(BULK_TIER=$F301))*((BULK_SKU="ALL")+(BULK_SKU=$G301))*(BULK_START&lt;=11)*(BULK_END&gt;=11))*IFERROR(BULK_VALUE,0))/MAX(1,SUMPRODUCT(((BULK_ENABLED="Y")*((BULK_TIER="ALL")+(BULK_TIER=$F301))*((BULK_SKU="ALL")+(BULK_SKU=$G301))*(BULK_START&lt;=11)*(BULK_END&gt;=11)))),0),ROUND((INDEX(VELOCITY_TABLE,MATCH($F301,TIER_LIST,0),3))*(IF((11-$I301+1)&lt;=0,0,IF((11-$I301+1)=1,RAMP_W1,IF((11-$I301+1)=2,RAMP_W2,IF((11-$I301+1)=3,RAMP_W3,RAMP_W4PLUS)))))*(INDEX(ACTIVE_MULT_TABLE,3,1))*(1+SUMPRODUCT(SIGN(((ACT_DOOR_SCOPE="ALL")+(ACT_DOOR_SCOPE="TIER_"&amp;$F301)+(ACT_DOOR_SCOPE=$B301)))*SIGN(((ACT_SKU_SCOPE="ALL")+(ACT_SKU_SCOPE=$G301)))*(ACT_START&lt;=11)*(ACT_END&gt;=11)*IFERROR(ACT_UPLIFT-1,0)))*(1+SUMPRODUCT(SIGN(((ACT_DOOR_SCOPE="ALL")+(ACT_DOOR_SCOPE="TIER_"&amp;$F301)+(ACT_DOOR_SCOPE=$B301)))*SIGN(((ACT_SKU_SCOPE="ALL")+(ACT_SKU_SCOPE=$G301)))*(11&gt;ACT_END)*(ACT_END&gt;0)*IFERROR(ACT_POSTLIFT,0))),0)))</f>
        <v/>
      </c>
      <c r="U301" s="10">
        <f>IF(OR($H301&lt;&gt;"Y",12&lt;$I301),0,IF(SUMPRODUCT(((BULK_ENABLED="Y")*((BULK_TIER="ALL")+(BULK_TIER=$F301))*((BULK_SKU="ALL")+(BULK_SKU=$G301))*(BULK_START&lt;=12)*(BULK_END&gt;=12)))&gt;0,IFERROR(SUMPRODUCT(((BULK_ENABLED="Y")*((BULK_TIER="ALL")+(BULK_TIER=$F301))*((BULK_SKU="ALL")+(BULK_SKU=$G301))*(BULK_START&lt;=12)*(BULK_END&gt;=12))*IFERROR(BULK_VALUE,0))/MAX(1,SUMPRODUCT(((BULK_ENABLED="Y")*((BULK_TIER="ALL")+(BULK_TIER=$F301))*((BULK_SKU="ALL")+(BULK_SKU=$G301))*(BULK_START&lt;=12)*(BULK_END&gt;=12)))),0),ROUND((INDEX(VELOCITY_TABLE,MATCH($F301,TIER_LIST,0),3))*(IF((12-$I301+1)&lt;=0,0,IF((12-$I301+1)=1,RAMP_W1,IF((12-$I301+1)=2,RAMP_W2,IF((12-$I301+1)=3,RAMP_W3,RAMP_W4PLUS)))))*(INDEX(ACTIVE_MULT_TABLE,3,1))*(1+SUMPRODUCT(SIGN(((ACT_DOOR_SCOPE="ALL")+(ACT_DOOR_SCOPE="TIER_"&amp;$F301)+(ACT_DOOR_SCOPE=$B301)))*SIGN(((ACT_SKU_SCOPE="ALL")+(ACT_SKU_SCOPE=$G301)))*(ACT_START&lt;=12)*(ACT_END&gt;=12)*IFERROR(ACT_UPLIFT-1,0)))*(1+SUMPRODUCT(SIGN(((ACT_DOOR_SCOPE="ALL")+(ACT_DOOR_SCOPE="TIER_"&amp;$F301)+(ACT_DOOR_SCOPE=$B301)))*SIGN(((ACT_SKU_SCOPE="ALL")+(ACT_SKU_SCOPE=$G301)))*(12&gt;ACT_END)*(ACT_END&gt;0)*IFERROR(ACT_POSTLIFT,0))),0)))</f>
        <v/>
      </c>
      <c r="V301" s="10">
        <f>IF(OR($H301&lt;&gt;"Y",13&lt;$I301),0,IF(SUMPRODUCT(((BULK_ENABLED="Y")*((BULK_TIER="ALL")+(BULK_TIER=$F301))*((BULK_SKU="ALL")+(BULK_SKU=$G301))*(BULK_START&lt;=13)*(BULK_END&gt;=13)))&gt;0,IFERROR(SUMPRODUCT(((BULK_ENABLED="Y")*((BULK_TIER="ALL")+(BULK_TIER=$F301))*((BULK_SKU="ALL")+(BULK_SKU=$G301))*(BULK_START&lt;=13)*(BULK_END&gt;=13))*IFERROR(BULK_VALUE,0))/MAX(1,SUMPRODUCT(((BULK_ENABLED="Y")*((BULK_TIER="ALL")+(BULK_TIER=$F301))*((BULK_SKU="ALL")+(BULK_SKU=$G301))*(BULK_START&lt;=13)*(BULK_END&gt;=13)))),0),ROUND((INDEX(VELOCITY_TABLE,MATCH($F301,TIER_LIST,0),3))*(IF((13-$I301+1)&lt;=0,0,IF((13-$I301+1)=1,RAMP_W1,IF((13-$I301+1)=2,RAMP_W2,IF((13-$I301+1)=3,RAMP_W3,RAMP_W4PLUS)))))*(INDEX(ACTIVE_MULT_TABLE,3,1))*(1+SUMPRODUCT(SIGN(((ACT_DOOR_SCOPE="ALL")+(ACT_DOOR_SCOPE="TIER_"&amp;$F301)+(ACT_DOOR_SCOPE=$B301)))*SIGN(((ACT_SKU_SCOPE="ALL")+(ACT_SKU_SCOPE=$G301)))*(ACT_START&lt;=13)*(ACT_END&gt;=13)*IFERROR(ACT_UPLIFT-1,0)))*(1+SUMPRODUCT(SIGN(((ACT_DOOR_SCOPE="ALL")+(ACT_DOOR_SCOPE="TIER_"&amp;$F301)+(ACT_DOOR_SCOPE=$B301)))*SIGN(((ACT_SKU_SCOPE="ALL")+(ACT_SKU_SCOPE=$G301)))*(13&gt;ACT_END)*(ACT_END&gt;0)*IFERROR(ACT_POSTLIFT,0))),0)))</f>
        <v/>
      </c>
    </row>
    <row r="302">
      <c r="A302" t="inlineStr">
        <is>
          <t>R0298</t>
        </is>
      </c>
      <c r="B302">
        <f>Doors!$A$104</f>
        <v/>
      </c>
      <c r="C302">
        <f>Doors!$C$104</f>
        <v/>
      </c>
      <c r="D302">
        <f>Doors!$B$104</f>
        <v/>
      </c>
      <c r="E302">
        <f>Doors!$E$104</f>
        <v/>
      </c>
      <c r="F302">
        <f>Doors!$F$104</f>
        <v/>
      </c>
      <c r="G302" t="inlineStr">
        <is>
          <t>Lime Lemon</t>
        </is>
      </c>
      <c r="H302">
        <f>Doors!$G$104</f>
        <v/>
      </c>
      <c r="I302">
        <f>Doors!$J$104</f>
        <v/>
      </c>
      <c r="J302" s="10">
        <f>IF(OR($H302&lt;&gt;"Y",1&lt;$I302),0,IF(SUMPRODUCT(((BULK_ENABLED="Y")*((BULK_TIER="ALL")+(BULK_TIER=$F302))*((BULK_SKU="ALL")+(BULK_SKU=$G302))*(BULK_START&lt;=1)*(BULK_END&gt;=1)))&gt;0,IFERROR(SUMPRODUCT(((BULK_ENABLED="Y")*((BULK_TIER="ALL")+(BULK_TIER=$F302))*((BULK_SKU="ALL")+(BULK_SKU=$G302))*(BULK_START&lt;=1)*(BULK_END&gt;=1))*IFERROR(BULK_VALUE,0))/MAX(1,SUMPRODUCT(((BULK_ENABLED="Y")*((BULK_TIER="ALL")+(BULK_TIER=$F302))*((BULK_SKU="ALL")+(BULK_SKU=$G302))*(BULK_START&lt;=1)*(BULK_END&gt;=1)))),0),ROUND((INDEX(VELOCITY_TABLE,MATCH($F302,TIER_LIST,0),1))*(IF((1-$I302+1)&lt;=0,0,IF((1-$I302+1)=1,RAMP_W1,IF((1-$I302+1)=2,RAMP_W2,IF((1-$I302+1)=3,RAMP_W3,RAMP_W4PLUS)))))*(INDEX(ACTIVE_MULT_TABLE,1,1))*(1+SUMPRODUCT(SIGN(((ACT_DOOR_SCOPE="ALL")+(ACT_DOOR_SCOPE="TIER_"&amp;$F302)+(ACT_DOOR_SCOPE=$B302)))*SIGN(((ACT_SKU_SCOPE="ALL")+(ACT_SKU_SCOPE=$G302)))*(ACT_START&lt;=1)*(ACT_END&gt;=1)*IFERROR(ACT_UPLIFT-1,0)))*(1+SUMPRODUCT(SIGN(((ACT_DOOR_SCOPE="ALL")+(ACT_DOOR_SCOPE="TIER_"&amp;$F302)+(ACT_DOOR_SCOPE=$B302)))*SIGN(((ACT_SKU_SCOPE="ALL")+(ACT_SKU_SCOPE=$G302)))*(1&gt;ACT_END)*(ACT_END&gt;0)*IFERROR(ACT_POSTLIFT,0))),0)))</f>
        <v/>
      </c>
      <c r="K302" s="10">
        <f>IF(OR($H302&lt;&gt;"Y",2&lt;$I302),0,IF(SUMPRODUCT(((BULK_ENABLED="Y")*((BULK_TIER="ALL")+(BULK_TIER=$F302))*((BULK_SKU="ALL")+(BULK_SKU=$G302))*(BULK_START&lt;=2)*(BULK_END&gt;=2)))&gt;0,IFERROR(SUMPRODUCT(((BULK_ENABLED="Y")*((BULK_TIER="ALL")+(BULK_TIER=$F302))*((BULK_SKU="ALL")+(BULK_SKU=$G302))*(BULK_START&lt;=2)*(BULK_END&gt;=2))*IFERROR(BULK_VALUE,0))/MAX(1,SUMPRODUCT(((BULK_ENABLED="Y")*((BULK_TIER="ALL")+(BULK_TIER=$F302))*((BULK_SKU="ALL")+(BULK_SKU=$G302))*(BULK_START&lt;=2)*(BULK_END&gt;=2)))),0),ROUND((INDEX(VELOCITY_TABLE,MATCH($F302,TIER_LIST,0),1))*(IF((2-$I302+1)&lt;=0,0,IF((2-$I302+1)=1,RAMP_W1,IF((2-$I302+1)=2,RAMP_W2,IF((2-$I302+1)=3,RAMP_W3,RAMP_W4PLUS)))))*(INDEX(ACTIVE_MULT_TABLE,1,1))*(1+SUMPRODUCT(SIGN(((ACT_DOOR_SCOPE="ALL")+(ACT_DOOR_SCOPE="TIER_"&amp;$F302)+(ACT_DOOR_SCOPE=$B302)))*SIGN(((ACT_SKU_SCOPE="ALL")+(ACT_SKU_SCOPE=$G302)))*(ACT_START&lt;=2)*(ACT_END&gt;=2)*IFERROR(ACT_UPLIFT-1,0)))*(1+SUMPRODUCT(SIGN(((ACT_DOOR_SCOPE="ALL")+(ACT_DOOR_SCOPE="TIER_"&amp;$F302)+(ACT_DOOR_SCOPE=$B302)))*SIGN(((ACT_SKU_SCOPE="ALL")+(ACT_SKU_SCOPE=$G302)))*(2&gt;ACT_END)*(ACT_END&gt;0)*IFERROR(ACT_POSTLIFT,0))),0)))</f>
        <v/>
      </c>
      <c r="L302" s="10">
        <f>IF(OR($H302&lt;&gt;"Y",3&lt;$I302),0,IF(SUMPRODUCT(((BULK_ENABLED="Y")*((BULK_TIER="ALL")+(BULK_TIER=$F302))*((BULK_SKU="ALL")+(BULK_SKU=$G302))*(BULK_START&lt;=3)*(BULK_END&gt;=3)))&gt;0,IFERROR(SUMPRODUCT(((BULK_ENABLED="Y")*((BULK_TIER="ALL")+(BULK_TIER=$F302))*((BULK_SKU="ALL")+(BULK_SKU=$G302))*(BULK_START&lt;=3)*(BULK_END&gt;=3))*IFERROR(BULK_VALUE,0))/MAX(1,SUMPRODUCT(((BULK_ENABLED="Y")*((BULK_TIER="ALL")+(BULK_TIER=$F302))*((BULK_SKU="ALL")+(BULK_SKU=$G302))*(BULK_START&lt;=3)*(BULK_END&gt;=3)))),0),ROUND((INDEX(VELOCITY_TABLE,MATCH($F302,TIER_LIST,0),1))*(IF((3-$I302+1)&lt;=0,0,IF((3-$I302+1)=1,RAMP_W1,IF((3-$I302+1)=2,RAMP_W2,IF((3-$I302+1)=3,RAMP_W3,RAMP_W4PLUS)))))*(INDEX(ACTIVE_MULT_TABLE,1,1))*(1+SUMPRODUCT(SIGN(((ACT_DOOR_SCOPE="ALL")+(ACT_DOOR_SCOPE="TIER_"&amp;$F302)+(ACT_DOOR_SCOPE=$B302)))*SIGN(((ACT_SKU_SCOPE="ALL")+(ACT_SKU_SCOPE=$G302)))*(ACT_START&lt;=3)*(ACT_END&gt;=3)*IFERROR(ACT_UPLIFT-1,0)))*(1+SUMPRODUCT(SIGN(((ACT_DOOR_SCOPE="ALL")+(ACT_DOOR_SCOPE="TIER_"&amp;$F302)+(ACT_DOOR_SCOPE=$B302)))*SIGN(((ACT_SKU_SCOPE="ALL")+(ACT_SKU_SCOPE=$G302)))*(3&gt;ACT_END)*(ACT_END&gt;0)*IFERROR(ACT_POSTLIFT,0))),0)))</f>
        <v/>
      </c>
      <c r="M302" s="10">
        <f>IF(OR($H302&lt;&gt;"Y",4&lt;$I302),0,IF(SUMPRODUCT(((BULK_ENABLED="Y")*((BULK_TIER="ALL")+(BULK_TIER=$F302))*((BULK_SKU="ALL")+(BULK_SKU=$G302))*(BULK_START&lt;=4)*(BULK_END&gt;=4)))&gt;0,IFERROR(SUMPRODUCT(((BULK_ENABLED="Y")*((BULK_TIER="ALL")+(BULK_TIER=$F302))*((BULK_SKU="ALL")+(BULK_SKU=$G302))*(BULK_START&lt;=4)*(BULK_END&gt;=4))*IFERROR(BULK_VALUE,0))/MAX(1,SUMPRODUCT(((BULK_ENABLED="Y")*((BULK_TIER="ALL")+(BULK_TIER=$F302))*((BULK_SKU="ALL")+(BULK_SKU=$G302))*(BULK_START&lt;=4)*(BULK_END&gt;=4)))),0),ROUND((INDEX(VELOCITY_TABLE,MATCH($F302,TIER_LIST,0),1))*(IF((4-$I302+1)&lt;=0,0,IF((4-$I302+1)=1,RAMP_W1,IF((4-$I302+1)=2,RAMP_W2,IF((4-$I302+1)=3,RAMP_W3,RAMP_W4PLUS)))))*(INDEX(ACTIVE_MULT_TABLE,1,1))*(1+SUMPRODUCT(SIGN(((ACT_DOOR_SCOPE="ALL")+(ACT_DOOR_SCOPE="TIER_"&amp;$F302)+(ACT_DOOR_SCOPE=$B302)))*SIGN(((ACT_SKU_SCOPE="ALL")+(ACT_SKU_SCOPE=$G302)))*(ACT_START&lt;=4)*(ACT_END&gt;=4)*IFERROR(ACT_UPLIFT-1,0)))*(1+SUMPRODUCT(SIGN(((ACT_DOOR_SCOPE="ALL")+(ACT_DOOR_SCOPE="TIER_"&amp;$F302)+(ACT_DOOR_SCOPE=$B302)))*SIGN(((ACT_SKU_SCOPE="ALL")+(ACT_SKU_SCOPE=$G302)))*(4&gt;ACT_END)*(ACT_END&gt;0)*IFERROR(ACT_POSTLIFT,0))),0)))</f>
        <v/>
      </c>
      <c r="N302" s="10">
        <f>IF(OR($H302&lt;&gt;"Y",5&lt;$I302),0,IF(SUMPRODUCT(((BULK_ENABLED="Y")*((BULK_TIER="ALL")+(BULK_TIER=$F302))*((BULK_SKU="ALL")+(BULK_SKU=$G302))*(BULK_START&lt;=5)*(BULK_END&gt;=5)))&gt;0,IFERROR(SUMPRODUCT(((BULK_ENABLED="Y")*((BULK_TIER="ALL")+(BULK_TIER=$F302))*((BULK_SKU="ALL")+(BULK_SKU=$G302))*(BULK_START&lt;=5)*(BULK_END&gt;=5))*IFERROR(BULK_VALUE,0))/MAX(1,SUMPRODUCT(((BULK_ENABLED="Y")*((BULK_TIER="ALL")+(BULK_TIER=$F302))*((BULK_SKU="ALL")+(BULK_SKU=$G302))*(BULK_START&lt;=5)*(BULK_END&gt;=5)))),0),ROUND((INDEX(VELOCITY_TABLE,MATCH($F302,TIER_LIST,0),1))*(IF((5-$I302+1)&lt;=0,0,IF((5-$I302+1)=1,RAMP_W1,IF((5-$I302+1)=2,RAMP_W2,IF((5-$I302+1)=3,RAMP_W3,RAMP_W4PLUS)))))*(INDEX(ACTIVE_MULT_TABLE,1,1))*(1+SUMPRODUCT(SIGN(((ACT_DOOR_SCOPE="ALL")+(ACT_DOOR_SCOPE="TIER_"&amp;$F302)+(ACT_DOOR_SCOPE=$B302)))*SIGN(((ACT_SKU_SCOPE="ALL")+(ACT_SKU_SCOPE=$G302)))*(ACT_START&lt;=5)*(ACT_END&gt;=5)*IFERROR(ACT_UPLIFT-1,0)))*(1+SUMPRODUCT(SIGN(((ACT_DOOR_SCOPE="ALL")+(ACT_DOOR_SCOPE="TIER_"&amp;$F302)+(ACT_DOOR_SCOPE=$B302)))*SIGN(((ACT_SKU_SCOPE="ALL")+(ACT_SKU_SCOPE=$G302)))*(5&gt;ACT_END)*(ACT_END&gt;0)*IFERROR(ACT_POSTLIFT,0))),0)))</f>
        <v/>
      </c>
      <c r="O302" s="10">
        <f>IF(OR($H302&lt;&gt;"Y",6&lt;$I302),0,IF(SUMPRODUCT(((BULK_ENABLED="Y")*((BULK_TIER="ALL")+(BULK_TIER=$F302))*((BULK_SKU="ALL")+(BULK_SKU=$G302))*(BULK_START&lt;=6)*(BULK_END&gt;=6)))&gt;0,IFERROR(SUMPRODUCT(((BULK_ENABLED="Y")*((BULK_TIER="ALL")+(BULK_TIER=$F302))*((BULK_SKU="ALL")+(BULK_SKU=$G302))*(BULK_START&lt;=6)*(BULK_END&gt;=6))*IFERROR(BULK_VALUE,0))/MAX(1,SUMPRODUCT(((BULK_ENABLED="Y")*((BULK_TIER="ALL")+(BULK_TIER=$F302))*((BULK_SKU="ALL")+(BULK_SKU=$G302))*(BULK_START&lt;=6)*(BULK_END&gt;=6)))),0),ROUND((INDEX(VELOCITY_TABLE,MATCH($F302,TIER_LIST,0),1))*(IF((6-$I302+1)&lt;=0,0,IF((6-$I302+1)=1,RAMP_W1,IF((6-$I302+1)=2,RAMP_W2,IF((6-$I302+1)=3,RAMP_W3,RAMP_W4PLUS)))))*(INDEX(ACTIVE_MULT_TABLE,1,1))*(1+SUMPRODUCT(SIGN(((ACT_DOOR_SCOPE="ALL")+(ACT_DOOR_SCOPE="TIER_"&amp;$F302)+(ACT_DOOR_SCOPE=$B302)))*SIGN(((ACT_SKU_SCOPE="ALL")+(ACT_SKU_SCOPE=$G302)))*(ACT_START&lt;=6)*(ACT_END&gt;=6)*IFERROR(ACT_UPLIFT-1,0)))*(1+SUMPRODUCT(SIGN(((ACT_DOOR_SCOPE="ALL")+(ACT_DOOR_SCOPE="TIER_"&amp;$F302)+(ACT_DOOR_SCOPE=$B302)))*SIGN(((ACT_SKU_SCOPE="ALL")+(ACT_SKU_SCOPE=$G302)))*(6&gt;ACT_END)*(ACT_END&gt;0)*IFERROR(ACT_POSTLIFT,0))),0)))</f>
        <v/>
      </c>
      <c r="P302" s="10">
        <f>IF(OR($H302&lt;&gt;"Y",7&lt;$I302),0,IF(SUMPRODUCT(((BULK_ENABLED="Y")*((BULK_TIER="ALL")+(BULK_TIER=$F302))*((BULK_SKU="ALL")+(BULK_SKU=$G302))*(BULK_START&lt;=7)*(BULK_END&gt;=7)))&gt;0,IFERROR(SUMPRODUCT(((BULK_ENABLED="Y")*((BULK_TIER="ALL")+(BULK_TIER=$F302))*((BULK_SKU="ALL")+(BULK_SKU=$G302))*(BULK_START&lt;=7)*(BULK_END&gt;=7))*IFERROR(BULK_VALUE,0))/MAX(1,SUMPRODUCT(((BULK_ENABLED="Y")*((BULK_TIER="ALL")+(BULK_TIER=$F302))*((BULK_SKU="ALL")+(BULK_SKU=$G302))*(BULK_START&lt;=7)*(BULK_END&gt;=7)))),0),ROUND((INDEX(VELOCITY_TABLE,MATCH($F302,TIER_LIST,0),1))*(IF((7-$I302+1)&lt;=0,0,IF((7-$I302+1)=1,RAMP_W1,IF((7-$I302+1)=2,RAMP_W2,IF((7-$I302+1)=3,RAMP_W3,RAMP_W4PLUS)))))*(INDEX(ACTIVE_MULT_TABLE,1,1))*(1+SUMPRODUCT(SIGN(((ACT_DOOR_SCOPE="ALL")+(ACT_DOOR_SCOPE="TIER_"&amp;$F302)+(ACT_DOOR_SCOPE=$B302)))*SIGN(((ACT_SKU_SCOPE="ALL")+(ACT_SKU_SCOPE=$G302)))*(ACT_START&lt;=7)*(ACT_END&gt;=7)*IFERROR(ACT_UPLIFT-1,0)))*(1+SUMPRODUCT(SIGN(((ACT_DOOR_SCOPE="ALL")+(ACT_DOOR_SCOPE="TIER_"&amp;$F302)+(ACT_DOOR_SCOPE=$B302)))*SIGN(((ACT_SKU_SCOPE="ALL")+(ACT_SKU_SCOPE=$G302)))*(7&gt;ACT_END)*(ACT_END&gt;0)*IFERROR(ACT_POSTLIFT,0))),0)))</f>
        <v/>
      </c>
      <c r="Q302" s="10">
        <f>IF(OR($H302&lt;&gt;"Y",8&lt;$I302),0,IF(SUMPRODUCT(((BULK_ENABLED="Y")*((BULK_TIER="ALL")+(BULK_TIER=$F302))*((BULK_SKU="ALL")+(BULK_SKU=$G302))*(BULK_START&lt;=8)*(BULK_END&gt;=8)))&gt;0,IFERROR(SUMPRODUCT(((BULK_ENABLED="Y")*((BULK_TIER="ALL")+(BULK_TIER=$F302))*((BULK_SKU="ALL")+(BULK_SKU=$G302))*(BULK_START&lt;=8)*(BULK_END&gt;=8))*IFERROR(BULK_VALUE,0))/MAX(1,SUMPRODUCT(((BULK_ENABLED="Y")*((BULK_TIER="ALL")+(BULK_TIER=$F302))*((BULK_SKU="ALL")+(BULK_SKU=$G302))*(BULK_START&lt;=8)*(BULK_END&gt;=8)))),0),ROUND((INDEX(VELOCITY_TABLE,MATCH($F302,TIER_LIST,0),1))*(IF((8-$I302+1)&lt;=0,0,IF((8-$I302+1)=1,RAMP_W1,IF((8-$I302+1)=2,RAMP_W2,IF((8-$I302+1)=3,RAMP_W3,RAMP_W4PLUS)))))*(INDEX(ACTIVE_MULT_TABLE,1,1))*(1+SUMPRODUCT(SIGN(((ACT_DOOR_SCOPE="ALL")+(ACT_DOOR_SCOPE="TIER_"&amp;$F302)+(ACT_DOOR_SCOPE=$B302)))*SIGN(((ACT_SKU_SCOPE="ALL")+(ACT_SKU_SCOPE=$G302)))*(ACT_START&lt;=8)*(ACT_END&gt;=8)*IFERROR(ACT_UPLIFT-1,0)))*(1+SUMPRODUCT(SIGN(((ACT_DOOR_SCOPE="ALL")+(ACT_DOOR_SCOPE="TIER_"&amp;$F302)+(ACT_DOOR_SCOPE=$B302)))*SIGN(((ACT_SKU_SCOPE="ALL")+(ACT_SKU_SCOPE=$G302)))*(8&gt;ACT_END)*(ACT_END&gt;0)*IFERROR(ACT_POSTLIFT,0))),0)))</f>
        <v/>
      </c>
      <c r="R302" s="10">
        <f>IF(OR($H302&lt;&gt;"Y",9&lt;$I302),0,IF(SUMPRODUCT(((BULK_ENABLED="Y")*((BULK_TIER="ALL")+(BULK_TIER=$F302))*((BULK_SKU="ALL")+(BULK_SKU=$G302))*(BULK_START&lt;=9)*(BULK_END&gt;=9)))&gt;0,IFERROR(SUMPRODUCT(((BULK_ENABLED="Y")*((BULK_TIER="ALL")+(BULK_TIER=$F302))*((BULK_SKU="ALL")+(BULK_SKU=$G302))*(BULK_START&lt;=9)*(BULK_END&gt;=9))*IFERROR(BULK_VALUE,0))/MAX(1,SUMPRODUCT(((BULK_ENABLED="Y")*((BULK_TIER="ALL")+(BULK_TIER=$F302))*((BULK_SKU="ALL")+(BULK_SKU=$G302))*(BULK_START&lt;=9)*(BULK_END&gt;=9)))),0),ROUND((INDEX(VELOCITY_TABLE,MATCH($F302,TIER_LIST,0),1))*(IF((9-$I302+1)&lt;=0,0,IF((9-$I302+1)=1,RAMP_W1,IF((9-$I302+1)=2,RAMP_W2,IF((9-$I302+1)=3,RAMP_W3,RAMP_W4PLUS)))))*(INDEX(ACTIVE_MULT_TABLE,1,1))*(1+SUMPRODUCT(SIGN(((ACT_DOOR_SCOPE="ALL")+(ACT_DOOR_SCOPE="TIER_"&amp;$F302)+(ACT_DOOR_SCOPE=$B302)))*SIGN(((ACT_SKU_SCOPE="ALL")+(ACT_SKU_SCOPE=$G302)))*(ACT_START&lt;=9)*(ACT_END&gt;=9)*IFERROR(ACT_UPLIFT-1,0)))*(1+SUMPRODUCT(SIGN(((ACT_DOOR_SCOPE="ALL")+(ACT_DOOR_SCOPE="TIER_"&amp;$F302)+(ACT_DOOR_SCOPE=$B302)))*SIGN(((ACT_SKU_SCOPE="ALL")+(ACT_SKU_SCOPE=$G302)))*(9&gt;ACT_END)*(ACT_END&gt;0)*IFERROR(ACT_POSTLIFT,0))),0)))</f>
        <v/>
      </c>
      <c r="S302" s="10">
        <f>IF(OR($H302&lt;&gt;"Y",10&lt;$I302),0,IF(SUMPRODUCT(((BULK_ENABLED="Y")*((BULK_TIER="ALL")+(BULK_TIER=$F302))*((BULK_SKU="ALL")+(BULK_SKU=$G302))*(BULK_START&lt;=10)*(BULK_END&gt;=10)))&gt;0,IFERROR(SUMPRODUCT(((BULK_ENABLED="Y")*((BULK_TIER="ALL")+(BULK_TIER=$F302))*((BULK_SKU="ALL")+(BULK_SKU=$G302))*(BULK_START&lt;=10)*(BULK_END&gt;=10))*IFERROR(BULK_VALUE,0))/MAX(1,SUMPRODUCT(((BULK_ENABLED="Y")*((BULK_TIER="ALL")+(BULK_TIER=$F302))*((BULK_SKU="ALL")+(BULK_SKU=$G302))*(BULK_START&lt;=10)*(BULK_END&gt;=10)))),0),ROUND((INDEX(VELOCITY_TABLE,MATCH($F302,TIER_LIST,0),1))*(IF((10-$I302+1)&lt;=0,0,IF((10-$I302+1)=1,RAMP_W1,IF((10-$I302+1)=2,RAMP_W2,IF((10-$I302+1)=3,RAMP_W3,RAMP_W4PLUS)))))*(INDEX(ACTIVE_MULT_TABLE,1,1))*(1+SUMPRODUCT(SIGN(((ACT_DOOR_SCOPE="ALL")+(ACT_DOOR_SCOPE="TIER_"&amp;$F302)+(ACT_DOOR_SCOPE=$B302)))*SIGN(((ACT_SKU_SCOPE="ALL")+(ACT_SKU_SCOPE=$G302)))*(ACT_START&lt;=10)*(ACT_END&gt;=10)*IFERROR(ACT_UPLIFT-1,0)))*(1+SUMPRODUCT(SIGN(((ACT_DOOR_SCOPE="ALL")+(ACT_DOOR_SCOPE="TIER_"&amp;$F302)+(ACT_DOOR_SCOPE=$B302)))*SIGN(((ACT_SKU_SCOPE="ALL")+(ACT_SKU_SCOPE=$G302)))*(10&gt;ACT_END)*(ACT_END&gt;0)*IFERROR(ACT_POSTLIFT,0))),0)))</f>
        <v/>
      </c>
      <c r="T302" s="10">
        <f>IF(OR($H302&lt;&gt;"Y",11&lt;$I302),0,IF(SUMPRODUCT(((BULK_ENABLED="Y")*((BULK_TIER="ALL")+(BULK_TIER=$F302))*((BULK_SKU="ALL")+(BULK_SKU=$G302))*(BULK_START&lt;=11)*(BULK_END&gt;=11)))&gt;0,IFERROR(SUMPRODUCT(((BULK_ENABLED="Y")*((BULK_TIER="ALL")+(BULK_TIER=$F302))*((BULK_SKU="ALL")+(BULK_SKU=$G302))*(BULK_START&lt;=11)*(BULK_END&gt;=11))*IFERROR(BULK_VALUE,0))/MAX(1,SUMPRODUCT(((BULK_ENABLED="Y")*((BULK_TIER="ALL")+(BULK_TIER=$F302))*((BULK_SKU="ALL")+(BULK_SKU=$G302))*(BULK_START&lt;=11)*(BULK_END&gt;=11)))),0),ROUND((INDEX(VELOCITY_TABLE,MATCH($F302,TIER_LIST,0),1))*(IF((11-$I302+1)&lt;=0,0,IF((11-$I302+1)=1,RAMP_W1,IF((11-$I302+1)=2,RAMP_W2,IF((11-$I302+1)=3,RAMP_W3,RAMP_W4PLUS)))))*(INDEX(ACTIVE_MULT_TABLE,1,1))*(1+SUMPRODUCT(SIGN(((ACT_DOOR_SCOPE="ALL")+(ACT_DOOR_SCOPE="TIER_"&amp;$F302)+(ACT_DOOR_SCOPE=$B302)))*SIGN(((ACT_SKU_SCOPE="ALL")+(ACT_SKU_SCOPE=$G302)))*(ACT_START&lt;=11)*(ACT_END&gt;=11)*IFERROR(ACT_UPLIFT-1,0)))*(1+SUMPRODUCT(SIGN(((ACT_DOOR_SCOPE="ALL")+(ACT_DOOR_SCOPE="TIER_"&amp;$F302)+(ACT_DOOR_SCOPE=$B302)))*SIGN(((ACT_SKU_SCOPE="ALL")+(ACT_SKU_SCOPE=$G302)))*(11&gt;ACT_END)*(ACT_END&gt;0)*IFERROR(ACT_POSTLIFT,0))),0)))</f>
        <v/>
      </c>
      <c r="U302" s="10">
        <f>IF(OR($H302&lt;&gt;"Y",12&lt;$I302),0,IF(SUMPRODUCT(((BULK_ENABLED="Y")*((BULK_TIER="ALL")+(BULK_TIER=$F302))*((BULK_SKU="ALL")+(BULK_SKU=$G302))*(BULK_START&lt;=12)*(BULK_END&gt;=12)))&gt;0,IFERROR(SUMPRODUCT(((BULK_ENABLED="Y")*((BULK_TIER="ALL")+(BULK_TIER=$F302))*((BULK_SKU="ALL")+(BULK_SKU=$G302))*(BULK_START&lt;=12)*(BULK_END&gt;=12))*IFERROR(BULK_VALUE,0))/MAX(1,SUMPRODUCT(((BULK_ENABLED="Y")*((BULK_TIER="ALL")+(BULK_TIER=$F302))*((BULK_SKU="ALL")+(BULK_SKU=$G302))*(BULK_START&lt;=12)*(BULK_END&gt;=12)))),0),ROUND((INDEX(VELOCITY_TABLE,MATCH($F302,TIER_LIST,0),1))*(IF((12-$I302+1)&lt;=0,0,IF((12-$I302+1)=1,RAMP_W1,IF((12-$I302+1)=2,RAMP_W2,IF((12-$I302+1)=3,RAMP_W3,RAMP_W4PLUS)))))*(INDEX(ACTIVE_MULT_TABLE,1,1))*(1+SUMPRODUCT(SIGN(((ACT_DOOR_SCOPE="ALL")+(ACT_DOOR_SCOPE="TIER_"&amp;$F302)+(ACT_DOOR_SCOPE=$B302)))*SIGN(((ACT_SKU_SCOPE="ALL")+(ACT_SKU_SCOPE=$G302)))*(ACT_START&lt;=12)*(ACT_END&gt;=12)*IFERROR(ACT_UPLIFT-1,0)))*(1+SUMPRODUCT(SIGN(((ACT_DOOR_SCOPE="ALL")+(ACT_DOOR_SCOPE="TIER_"&amp;$F302)+(ACT_DOOR_SCOPE=$B302)))*SIGN(((ACT_SKU_SCOPE="ALL")+(ACT_SKU_SCOPE=$G302)))*(12&gt;ACT_END)*(ACT_END&gt;0)*IFERROR(ACT_POSTLIFT,0))),0)))</f>
        <v/>
      </c>
      <c r="V302" s="10">
        <f>IF(OR($H302&lt;&gt;"Y",13&lt;$I302),0,IF(SUMPRODUCT(((BULK_ENABLED="Y")*((BULK_TIER="ALL")+(BULK_TIER=$F302))*((BULK_SKU="ALL")+(BULK_SKU=$G302))*(BULK_START&lt;=13)*(BULK_END&gt;=13)))&gt;0,IFERROR(SUMPRODUCT(((BULK_ENABLED="Y")*((BULK_TIER="ALL")+(BULK_TIER=$F302))*((BULK_SKU="ALL")+(BULK_SKU=$G302))*(BULK_START&lt;=13)*(BULK_END&gt;=13))*IFERROR(BULK_VALUE,0))/MAX(1,SUMPRODUCT(((BULK_ENABLED="Y")*((BULK_TIER="ALL")+(BULK_TIER=$F302))*((BULK_SKU="ALL")+(BULK_SKU=$G302))*(BULK_START&lt;=13)*(BULK_END&gt;=13)))),0),ROUND((INDEX(VELOCITY_TABLE,MATCH($F302,TIER_LIST,0),1))*(IF((13-$I302+1)&lt;=0,0,IF((13-$I302+1)=1,RAMP_W1,IF((13-$I302+1)=2,RAMP_W2,IF((13-$I302+1)=3,RAMP_W3,RAMP_W4PLUS)))))*(INDEX(ACTIVE_MULT_TABLE,1,1))*(1+SUMPRODUCT(SIGN(((ACT_DOOR_SCOPE="ALL")+(ACT_DOOR_SCOPE="TIER_"&amp;$F302)+(ACT_DOOR_SCOPE=$B302)))*SIGN(((ACT_SKU_SCOPE="ALL")+(ACT_SKU_SCOPE=$G302)))*(ACT_START&lt;=13)*(ACT_END&gt;=13)*IFERROR(ACT_UPLIFT-1,0)))*(1+SUMPRODUCT(SIGN(((ACT_DOOR_SCOPE="ALL")+(ACT_DOOR_SCOPE="TIER_"&amp;$F302)+(ACT_DOOR_SCOPE=$B302)))*SIGN(((ACT_SKU_SCOPE="ALL")+(ACT_SKU_SCOPE=$G302)))*(13&gt;ACT_END)*(ACT_END&gt;0)*IFERROR(ACT_POSTLIFT,0))),0)))</f>
        <v/>
      </c>
    </row>
    <row r="303">
      <c r="A303" t="inlineStr">
        <is>
          <t>R0299</t>
        </is>
      </c>
      <c r="B303">
        <f>Doors!$A$104</f>
        <v/>
      </c>
      <c r="C303">
        <f>Doors!$C$104</f>
        <v/>
      </c>
      <c r="D303">
        <f>Doors!$B$104</f>
        <v/>
      </c>
      <c r="E303">
        <f>Doors!$E$104</f>
        <v/>
      </c>
      <c r="F303">
        <f>Doors!$F$104</f>
        <v/>
      </c>
      <c r="G303" t="inlineStr">
        <is>
          <t>Pineapple Passion Fruit</t>
        </is>
      </c>
      <c r="H303">
        <f>Doors!$H$104</f>
        <v/>
      </c>
      <c r="I303">
        <f>Doors!$J$104</f>
        <v/>
      </c>
      <c r="J303" s="10">
        <f>IF(OR($H303&lt;&gt;"Y",1&lt;$I303),0,IF(SUMPRODUCT(((BULK_ENABLED="Y")*((BULK_TIER="ALL")+(BULK_TIER=$F303))*((BULK_SKU="ALL")+(BULK_SKU=$G303))*(BULK_START&lt;=1)*(BULK_END&gt;=1)))&gt;0,IFERROR(SUMPRODUCT(((BULK_ENABLED="Y")*((BULK_TIER="ALL")+(BULK_TIER=$F303))*((BULK_SKU="ALL")+(BULK_SKU=$G303))*(BULK_START&lt;=1)*(BULK_END&gt;=1))*IFERROR(BULK_VALUE,0))/MAX(1,SUMPRODUCT(((BULK_ENABLED="Y")*((BULK_TIER="ALL")+(BULK_TIER=$F303))*((BULK_SKU="ALL")+(BULK_SKU=$G303))*(BULK_START&lt;=1)*(BULK_END&gt;=1)))),0),ROUND((INDEX(VELOCITY_TABLE,MATCH($F303,TIER_LIST,0),2))*(IF((1-$I303+1)&lt;=0,0,IF((1-$I303+1)=1,RAMP_W1,IF((1-$I303+1)=2,RAMP_W2,IF((1-$I303+1)=3,RAMP_W3,RAMP_W4PLUS)))))*(INDEX(ACTIVE_MULT_TABLE,2,1))*(1+SUMPRODUCT(SIGN(((ACT_DOOR_SCOPE="ALL")+(ACT_DOOR_SCOPE="TIER_"&amp;$F303)+(ACT_DOOR_SCOPE=$B303)))*SIGN(((ACT_SKU_SCOPE="ALL")+(ACT_SKU_SCOPE=$G303)))*(ACT_START&lt;=1)*(ACT_END&gt;=1)*IFERROR(ACT_UPLIFT-1,0)))*(1+SUMPRODUCT(SIGN(((ACT_DOOR_SCOPE="ALL")+(ACT_DOOR_SCOPE="TIER_"&amp;$F303)+(ACT_DOOR_SCOPE=$B303)))*SIGN(((ACT_SKU_SCOPE="ALL")+(ACT_SKU_SCOPE=$G303)))*(1&gt;ACT_END)*(ACT_END&gt;0)*IFERROR(ACT_POSTLIFT,0))),0)))</f>
        <v/>
      </c>
      <c r="K303" s="10">
        <f>IF(OR($H303&lt;&gt;"Y",2&lt;$I303),0,IF(SUMPRODUCT(((BULK_ENABLED="Y")*((BULK_TIER="ALL")+(BULK_TIER=$F303))*((BULK_SKU="ALL")+(BULK_SKU=$G303))*(BULK_START&lt;=2)*(BULK_END&gt;=2)))&gt;0,IFERROR(SUMPRODUCT(((BULK_ENABLED="Y")*((BULK_TIER="ALL")+(BULK_TIER=$F303))*((BULK_SKU="ALL")+(BULK_SKU=$G303))*(BULK_START&lt;=2)*(BULK_END&gt;=2))*IFERROR(BULK_VALUE,0))/MAX(1,SUMPRODUCT(((BULK_ENABLED="Y")*((BULK_TIER="ALL")+(BULK_TIER=$F303))*((BULK_SKU="ALL")+(BULK_SKU=$G303))*(BULK_START&lt;=2)*(BULK_END&gt;=2)))),0),ROUND((INDEX(VELOCITY_TABLE,MATCH($F303,TIER_LIST,0),2))*(IF((2-$I303+1)&lt;=0,0,IF((2-$I303+1)=1,RAMP_W1,IF((2-$I303+1)=2,RAMP_W2,IF((2-$I303+1)=3,RAMP_W3,RAMP_W4PLUS)))))*(INDEX(ACTIVE_MULT_TABLE,2,1))*(1+SUMPRODUCT(SIGN(((ACT_DOOR_SCOPE="ALL")+(ACT_DOOR_SCOPE="TIER_"&amp;$F303)+(ACT_DOOR_SCOPE=$B303)))*SIGN(((ACT_SKU_SCOPE="ALL")+(ACT_SKU_SCOPE=$G303)))*(ACT_START&lt;=2)*(ACT_END&gt;=2)*IFERROR(ACT_UPLIFT-1,0)))*(1+SUMPRODUCT(SIGN(((ACT_DOOR_SCOPE="ALL")+(ACT_DOOR_SCOPE="TIER_"&amp;$F303)+(ACT_DOOR_SCOPE=$B303)))*SIGN(((ACT_SKU_SCOPE="ALL")+(ACT_SKU_SCOPE=$G303)))*(2&gt;ACT_END)*(ACT_END&gt;0)*IFERROR(ACT_POSTLIFT,0))),0)))</f>
        <v/>
      </c>
      <c r="L303" s="10">
        <f>IF(OR($H303&lt;&gt;"Y",3&lt;$I303),0,IF(SUMPRODUCT(((BULK_ENABLED="Y")*((BULK_TIER="ALL")+(BULK_TIER=$F303))*((BULK_SKU="ALL")+(BULK_SKU=$G303))*(BULK_START&lt;=3)*(BULK_END&gt;=3)))&gt;0,IFERROR(SUMPRODUCT(((BULK_ENABLED="Y")*((BULK_TIER="ALL")+(BULK_TIER=$F303))*((BULK_SKU="ALL")+(BULK_SKU=$G303))*(BULK_START&lt;=3)*(BULK_END&gt;=3))*IFERROR(BULK_VALUE,0))/MAX(1,SUMPRODUCT(((BULK_ENABLED="Y")*((BULK_TIER="ALL")+(BULK_TIER=$F303))*((BULK_SKU="ALL")+(BULK_SKU=$G303))*(BULK_START&lt;=3)*(BULK_END&gt;=3)))),0),ROUND((INDEX(VELOCITY_TABLE,MATCH($F303,TIER_LIST,0),2))*(IF((3-$I303+1)&lt;=0,0,IF((3-$I303+1)=1,RAMP_W1,IF((3-$I303+1)=2,RAMP_W2,IF((3-$I303+1)=3,RAMP_W3,RAMP_W4PLUS)))))*(INDEX(ACTIVE_MULT_TABLE,2,1))*(1+SUMPRODUCT(SIGN(((ACT_DOOR_SCOPE="ALL")+(ACT_DOOR_SCOPE="TIER_"&amp;$F303)+(ACT_DOOR_SCOPE=$B303)))*SIGN(((ACT_SKU_SCOPE="ALL")+(ACT_SKU_SCOPE=$G303)))*(ACT_START&lt;=3)*(ACT_END&gt;=3)*IFERROR(ACT_UPLIFT-1,0)))*(1+SUMPRODUCT(SIGN(((ACT_DOOR_SCOPE="ALL")+(ACT_DOOR_SCOPE="TIER_"&amp;$F303)+(ACT_DOOR_SCOPE=$B303)))*SIGN(((ACT_SKU_SCOPE="ALL")+(ACT_SKU_SCOPE=$G303)))*(3&gt;ACT_END)*(ACT_END&gt;0)*IFERROR(ACT_POSTLIFT,0))),0)))</f>
        <v/>
      </c>
      <c r="M303" s="10">
        <f>IF(OR($H303&lt;&gt;"Y",4&lt;$I303),0,IF(SUMPRODUCT(((BULK_ENABLED="Y")*((BULK_TIER="ALL")+(BULK_TIER=$F303))*((BULK_SKU="ALL")+(BULK_SKU=$G303))*(BULK_START&lt;=4)*(BULK_END&gt;=4)))&gt;0,IFERROR(SUMPRODUCT(((BULK_ENABLED="Y")*((BULK_TIER="ALL")+(BULK_TIER=$F303))*((BULK_SKU="ALL")+(BULK_SKU=$G303))*(BULK_START&lt;=4)*(BULK_END&gt;=4))*IFERROR(BULK_VALUE,0))/MAX(1,SUMPRODUCT(((BULK_ENABLED="Y")*((BULK_TIER="ALL")+(BULK_TIER=$F303))*((BULK_SKU="ALL")+(BULK_SKU=$G303))*(BULK_START&lt;=4)*(BULK_END&gt;=4)))),0),ROUND((INDEX(VELOCITY_TABLE,MATCH($F303,TIER_LIST,0),2))*(IF((4-$I303+1)&lt;=0,0,IF((4-$I303+1)=1,RAMP_W1,IF((4-$I303+1)=2,RAMP_W2,IF((4-$I303+1)=3,RAMP_W3,RAMP_W4PLUS)))))*(INDEX(ACTIVE_MULT_TABLE,2,1))*(1+SUMPRODUCT(SIGN(((ACT_DOOR_SCOPE="ALL")+(ACT_DOOR_SCOPE="TIER_"&amp;$F303)+(ACT_DOOR_SCOPE=$B303)))*SIGN(((ACT_SKU_SCOPE="ALL")+(ACT_SKU_SCOPE=$G303)))*(ACT_START&lt;=4)*(ACT_END&gt;=4)*IFERROR(ACT_UPLIFT-1,0)))*(1+SUMPRODUCT(SIGN(((ACT_DOOR_SCOPE="ALL")+(ACT_DOOR_SCOPE="TIER_"&amp;$F303)+(ACT_DOOR_SCOPE=$B303)))*SIGN(((ACT_SKU_SCOPE="ALL")+(ACT_SKU_SCOPE=$G303)))*(4&gt;ACT_END)*(ACT_END&gt;0)*IFERROR(ACT_POSTLIFT,0))),0)))</f>
        <v/>
      </c>
      <c r="N303" s="10">
        <f>IF(OR($H303&lt;&gt;"Y",5&lt;$I303),0,IF(SUMPRODUCT(((BULK_ENABLED="Y")*((BULK_TIER="ALL")+(BULK_TIER=$F303))*((BULK_SKU="ALL")+(BULK_SKU=$G303))*(BULK_START&lt;=5)*(BULK_END&gt;=5)))&gt;0,IFERROR(SUMPRODUCT(((BULK_ENABLED="Y")*((BULK_TIER="ALL")+(BULK_TIER=$F303))*((BULK_SKU="ALL")+(BULK_SKU=$G303))*(BULK_START&lt;=5)*(BULK_END&gt;=5))*IFERROR(BULK_VALUE,0))/MAX(1,SUMPRODUCT(((BULK_ENABLED="Y")*((BULK_TIER="ALL")+(BULK_TIER=$F303))*((BULK_SKU="ALL")+(BULK_SKU=$G303))*(BULK_START&lt;=5)*(BULK_END&gt;=5)))),0),ROUND((INDEX(VELOCITY_TABLE,MATCH($F303,TIER_LIST,0),2))*(IF((5-$I303+1)&lt;=0,0,IF((5-$I303+1)=1,RAMP_W1,IF((5-$I303+1)=2,RAMP_W2,IF((5-$I303+1)=3,RAMP_W3,RAMP_W4PLUS)))))*(INDEX(ACTIVE_MULT_TABLE,2,1))*(1+SUMPRODUCT(SIGN(((ACT_DOOR_SCOPE="ALL")+(ACT_DOOR_SCOPE="TIER_"&amp;$F303)+(ACT_DOOR_SCOPE=$B303)))*SIGN(((ACT_SKU_SCOPE="ALL")+(ACT_SKU_SCOPE=$G303)))*(ACT_START&lt;=5)*(ACT_END&gt;=5)*IFERROR(ACT_UPLIFT-1,0)))*(1+SUMPRODUCT(SIGN(((ACT_DOOR_SCOPE="ALL")+(ACT_DOOR_SCOPE="TIER_"&amp;$F303)+(ACT_DOOR_SCOPE=$B303)))*SIGN(((ACT_SKU_SCOPE="ALL")+(ACT_SKU_SCOPE=$G303)))*(5&gt;ACT_END)*(ACT_END&gt;0)*IFERROR(ACT_POSTLIFT,0))),0)))</f>
        <v/>
      </c>
      <c r="O303" s="10">
        <f>IF(OR($H303&lt;&gt;"Y",6&lt;$I303),0,IF(SUMPRODUCT(((BULK_ENABLED="Y")*((BULK_TIER="ALL")+(BULK_TIER=$F303))*((BULK_SKU="ALL")+(BULK_SKU=$G303))*(BULK_START&lt;=6)*(BULK_END&gt;=6)))&gt;0,IFERROR(SUMPRODUCT(((BULK_ENABLED="Y")*((BULK_TIER="ALL")+(BULK_TIER=$F303))*((BULK_SKU="ALL")+(BULK_SKU=$G303))*(BULK_START&lt;=6)*(BULK_END&gt;=6))*IFERROR(BULK_VALUE,0))/MAX(1,SUMPRODUCT(((BULK_ENABLED="Y")*((BULK_TIER="ALL")+(BULK_TIER=$F303))*((BULK_SKU="ALL")+(BULK_SKU=$G303))*(BULK_START&lt;=6)*(BULK_END&gt;=6)))),0),ROUND((INDEX(VELOCITY_TABLE,MATCH($F303,TIER_LIST,0),2))*(IF((6-$I303+1)&lt;=0,0,IF((6-$I303+1)=1,RAMP_W1,IF((6-$I303+1)=2,RAMP_W2,IF((6-$I303+1)=3,RAMP_W3,RAMP_W4PLUS)))))*(INDEX(ACTIVE_MULT_TABLE,2,1))*(1+SUMPRODUCT(SIGN(((ACT_DOOR_SCOPE="ALL")+(ACT_DOOR_SCOPE="TIER_"&amp;$F303)+(ACT_DOOR_SCOPE=$B303)))*SIGN(((ACT_SKU_SCOPE="ALL")+(ACT_SKU_SCOPE=$G303)))*(ACT_START&lt;=6)*(ACT_END&gt;=6)*IFERROR(ACT_UPLIFT-1,0)))*(1+SUMPRODUCT(SIGN(((ACT_DOOR_SCOPE="ALL")+(ACT_DOOR_SCOPE="TIER_"&amp;$F303)+(ACT_DOOR_SCOPE=$B303)))*SIGN(((ACT_SKU_SCOPE="ALL")+(ACT_SKU_SCOPE=$G303)))*(6&gt;ACT_END)*(ACT_END&gt;0)*IFERROR(ACT_POSTLIFT,0))),0)))</f>
        <v/>
      </c>
      <c r="P303" s="10">
        <f>IF(OR($H303&lt;&gt;"Y",7&lt;$I303),0,IF(SUMPRODUCT(((BULK_ENABLED="Y")*((BULK_TIER="ALL")+(BULK_TIER=$F303))*((BULK_SKU="ALL")+(BULK_SKU=$G303))*(BULK_START&lt;=7)*(BULK_END&gt;=7)))&gt;0,IFERROR(SUMPRODUCT(((BULK_ENABLED="Y")*((BULK_TIER="ALL")+(BULK_TIER=$F303))*((BULK_SKU="ALL")+(BULK_SKU=$G303))*(BULK_START&lt;=7)*(BULK_END&gt;=7))*IFERROR(BULK_VALUE,0))/MAX(1,SUMPRODUCT(((BULK_ENABLED="Y")*((BULK_TIER="ALL")+(BULK_TIER=$F303))*((BULK_SKU="ALL")+(BULK_SKU=$G303))*(BULK_START&lt;=7)*(BULK_END&gt;=7)))),0),ROUND((INDEX(VELOCITY_TABLE,MATCH($F303,TIER_LIST,0),2))*(IF((7-$I303+1)&lt;=0,0,IF((7-$I303+1)=1,RAMP_W1,IF((7-$I303+1)=2,RAMP_W2,IF((7-$I303+1)=3,RAMP_W3,RAMP_W4PLUS)))))*(INDEX(ACTIVE_MULT_TABLE,2,1))*(1+SUMPRODUCT(SIGN(((ACT_DOOR_SCOPE="ALL")+(ACT_DOOR_SCOPE="TIER_"&amp;$F303)+(ACT_DOOR_SCOPE=$B303)))*SIGN(((ACT_SKU_SCOPE="ALL")+(ACT_SKU_SCOPE=$G303)))*(ACT_START&lt;=7)*(ACT_END&gt;=7)*IFERROR(ACT_UPLIFT-1,0)))*(1+SUMPRODUCT(SIGN(((ACT_DOOR_SCOPE="ALL")+(ACT_DOOR_SCOPE="TIER_"&amp;$F303)+(ACT_DOOR_SCOPE=$B303)))*SIGN(((ACT_SKU_SCOPE="ALL")+(ACT_SKU_SCOPE=$G303)))*(7&gt;ACT_END)*(ACT_END&gt;0)*IFERROR(ACT_POSTLIFT,0))),0)))</f>
        <v/>
      </c>
      <c r="Q303" s="10">
        <f>IF(OR($H303&lt;&gt;"Y",8&lt;$I303),0,IF(SUMPRODUCT(((BULK_ENABLED="Y")*((BULK_TIER="ALL")+(BULK_TIER=$F303))*((BULK_SKU="ALL")+(BULK_SKU=$G303))*(BULK_START&lt;=8)*(BULK_END&gt;=8)))&gt;0,IFERROR(SUMPRODUCT(((BULK_ENABLED="Y")*((BULK_TIER="ALL")+(BULK_TIER=$F303))*((BULK_SKU="ALL")+(BULK_SKU=$G303))*(BULK_START&lt;=8)*(BULK_END&gt;=8))*IFERROR(BULK_VALUE,0))/MAX(1,SUMPRODUCT(((BULK_ENABLED="Y")*((BULK_TIER="ALL")+(BULK_TIER=$F303))*((BULK_SKU="ALL")+(BULK_SKU=$G303))*(BULK_START&lt;=8)*(BULK_END&gt;=8)))),0),ROUND((INDEX(VELOCITY_TABLE,MATCH($F303,TIER_LIST,0),2))*(IF((8-$I303+1)&lt;=0,0,IF((8-$I303+1)=1,RAMP_W1,IF((8-$I303+1)=2,RAMP_W2,IF((8-$I303+1)=3,RAMP_W3,RAMP_W4PLUS)))))*(INDEX(ACTIVE_MULT_TABLE,2,1))*(1+SUMPRODUCT(SIGN(((ACT_DOOR_SCOPE="ALL")+(ACT_DOOR_SCOPE="TIER_"&amp;$F303)+(ACT_DOOR_SCOPE=$B303)))*SIGN(((ACT_SKU_SCOPE="ALL")+(ACT_SKU_SCOPE=$G303)))*(ACT_START&lt;=8)*(ACT_END&gt;=8)*IFERROR(ACT_UPLIFT-1,0)))*(1+SUMPRODUCT(SIGN(((ACT_DOOR_SCOPE="ALL")+(ACT_DOOR_SCOPE="TIER_"&amp;$F303)+(ACT_DOOR_SCOPE=$B303)))*SIGN(((ACT_SKU_SCOPE="ALL")+(ACT_SKU_SCOPE=$G303)))*(8&gt;ACT_END)*(ACT_END&gt;0)*IFERROR(ACT_POSTLIFT,0))),0)))</f>
        <v/>
      </c>
      <c r="R303" s="10">
        <f>IF(OR($H303&lt;&gt;"Y",9&lt;$I303),0,IF(SUMPRODUCT(((BULK_ENABLED="Y")*((BULK_TIER="ALL")+(BULK_TIER=$F303))*((BULK_SKU="ALL")+(BULK_SKU=$G303))*(BULK_START&lt;=9)*(BULK_END&gt;=9)))&gt;0,IFERROR(SUMPRODUCT(((BULK_ENABLED="Y")*((BULK_TIER="ALL")+(BULK_TIER=$F303))*((BULK_SKU="ALL")+(BULK_SKU=$G303))*(BULK_START&lt;=9)*(BULK_END&gt;=9))*IFERROR(BULK_VALUE,0))/MAX(1,SUMPRODUCT(((BULK_ENABLED="Y")*((BULK_TIER="ALL")+(BULK_TIER=$F303))*((BULK_SKU="ALL")+(BULK_SKU=$G303))*(BULK_START&lt;=9)*(BULK_END&gt;=9)))),0),ROUND((INDEX(VELOCITY_TABLE,MATCH($F303,TIER_LIST,0),2))*(IF((9-$I303+1)&lt;=0,0,IF((9-$I303+1)=1,RAMP_W1,IF((9-$I303+1)=2,RAMP_W2,IF((9-$I303+1)=3,RAMP_W3,RAMP_W4PLUS)))))*(INDEX(ACTIVE_MULT_TABLE,2,1))*(1+SUMPRODUCT(SIGN(((ACT_DOOR_SCOPE="ALL")+(ACT_DOOR_SCOPE="TIER_"&amp;$F303)+(ACT_DOOR_SCOPE=$B303)))*SIGN(((ACT_SKU_SCOPE="ALL")+(ACT_SKU_SCOPE=$G303)))*(ACT_START&lt;=9)*(ACT_END&gt;=9)*IFERROR(ACT_UPLIFT-1,0)))*(1+SUMPRODUCT(SIGN(((ACT_DOOR_SCOPE="ALL")+(ACT_DOOR_SCOPE="TIER_"&amp;$F303)+(ACT_DOOR_SCOPE=$B303)))*SIGN(((ACT_SKU_SCOPE="ALL")+(ACT_SKU_SCOPE=$G303)))*(9&gt;ACT_END)*(ACT_END&gt;0)*IFERROR(ACT_POSTLIFT,0))),0)))</f>
        <v/>
      </c>
      <c r="S303" s="10">
        <f>IF(OR($H303&lt;&gt;"Y",10&lt;$I303),0,IF(SUMPRODUCT(((BULK_ENABLED="Y")*((BULK_TIER="ALL")+(BULK_TIER=$F303))*((BULK_SKU="ALL")+(BULK_SKU=$G303))*(BULK_START&lt;=10)*(BULK_END&gt;=10)))&gt;0,IFERROR(SUMPRODUCT(((BULK_ENABLED="Y")*((BULK_TIER="ALL")+(BULK_TIER=$F303))*((BULK_SKU="ALL")+(BULK_SKU=$G303))*(BULK_START&lt;=10)*(BULK_END&gt;=10))*IFERROR(BULK_VALUE,0))/MAX(1,SUMPRODUCT(((BULK_ENABLED="Y")*((BULK_TIER="ALL")+(BULK_TIER=$F303))*((BULK_SKU="ALL")+(BULK_SKU=$G303))*(BULK_START&lt;=10)*(BULK_END&gt;=10)))),0),ROUND((INDEX(VELOCITY_TABLE,MATCH($F303,TIER_LIST,0),2))*(IF((10-$I303+1)&lt;=0,0,IF((10-$I303+1)=1,RAMP_W1,IF((10-$I303+1)=2,RAMP_W2,IF((10-$I303+1)=3,RAMP_W3,RAMP_W4PLUS)))))*(INDEX(ACTIVE_MULT_TABLE,2,1))*(1+SUMPRODUCT(SIGN(((ACT_DOOR_SCOPE="ALL")+(ACT_DOOR_SCOPE="TIER_"&amp;$F303)+(ACT_DOOR_SCOPE=$B303)))*SIGN(((ACT_SKU_SCOPE="ALL")+(ACT_SKU_SCOPE=$G303)))*(ACT_START&lt;=10)*(ACT_END&gt;=10)*IFERROR(ACT_UPLIFT-1,0)))*(1+SUMPRODUCT(SIGN(((ACT_DOOR_SCOPE="ALL")+(ACT_DOOR_SCOPE="TIER_"&amp;$F303)+(ACT_DOOR_SCOPE=$B303)))*SIGN(((ACT_SKU_SCOPE="ALL")+(ACT_SKU_SCOPE=$G303)))*(10&gt;ACT_END)*(ACT_END&gt;0)*IFERROR(ACT_POSTLIFT,0))),0)))</f>
        <v/>
      </c>
      <c r="T303" s="10">
        <f>IF(OR($H303&lt;&gt;"Y",11&lt;$I303),0,IF(SUMPRODUCT(((BULK_ENABLED="Y")*((BULK_TIER="ALL")+(BULK_TIER=$F303))*((BULK_SKU="ALL")+(BULK_SKU=$G303))*(BULK_START&lt;=11)*(BULK_END&gt;=11)))&gt;0,IFERROR(SUMPRODUCT(((BULK_ENABLED="Y")*((BULK_TIER="ALL")+(BULK_TIER=$F303))*((BULK_SKU="ALL")+(BULK_SKU=$G303))*(BULK_START&lt;=11)*(BULK_END&gt;=11))*IFERROR(BULK_VALUE,0))/MAX(1,SUMPRODUCT(((BULK_ENABLED="Y")*((BULK_TIER="ALL")+(BULK_TIER=$F303))*((BULK_SKU="ALL")+(BULK_SKU=$G303))*(BULK_START&lt;=11)*(BULK_END&gt;=11)))),0),ROUND((INDEX(VELOCITY_TABLE,MATCH($F303,TIER_LIST,0),2))*(IF((11-$I303+1)&lt;=0,0,IF((11-$I303+1)=1,RAMP_W1,IF((11-$I303+1)=2,RAMP_W2,IF((11-$I303+1)=3,RAMP_W3,RAMP_W4PLUS)))))*(INDEX(ACTIVE_MULT_TABLE,2,1))*(1+SUMPRODUCT(SIGN(((ACT_DOOR_SCOPE="ALL")+(ACT_DOOR_SCOPE="TIER_"&amp;$F303)+(ACT_DOOR_SCOPE=$B303)))*SIGN(((ACT_SKU_SCOPE="ALL")+(ACT_SKU_SCOPE=$G303)))*(ACT_START&lt;=11)*(ACT_END&gt;=11)*IFERROR(ACT_UPLIFT-1,0)))*(1+SUMPRODUCT(SIGN(((ACT_DOOR_SCOPE="ALL")+(ACT_DOOR_SCOPE="TIER_"&amp;$F303)+(ACT_DOOR_SCOPE=$B303)))*SIGN(((ACT_SKU_SCOPE="ALL")+(ACT_SKU_SCOPE=$G303)))*(11&gt;ACT_END)*(ACT_END&gt;0)*IFERROR(ACT_POSTLIFT,0))),0)))</f>
        <v/>
      </c>
      <c r="U303" s="10">
        <f>IF(OR($H303&lt;&gt;"Y",12&lt;$I303),0,IF(SUMPRODUCT(((BULK_ENABLED="Y")*((BULK_TIER="ALL")+(BULK_TIER=$F303))*((BULK_SKU="ALL")+(BULK_SKU=$G303))*(BULK_START&lt;=12)*(BULK_END&gt;=12)))&gt;0,IFERROR(SUMPRODUCT(((BULK_ENABLED="Y")*((BULK_TIER="ALL")+(BULK_TIER=$F303))*((BULK_SKU="ALL")+(BULK_SKU=$G303))*(BULK_START&lt;=12)*(BULK_END&gt;=12))*IFERROR(BULK_VALUE,0))/MAX(1,SUMPRODUCT(((BULK_ENABLED="Y")*((BULK_TIER="ALL")+(BULK_TIER=$F303))*((BULK_SKU="ALL")+(BULK_SKU=$G303))*(BULK_START&lt;=12)*(BULK_END&gt;=12)))),0),ROUND((INDEX(VELOCITY_TABLE,MATCH($F303,TIER_LIST,0),2))*(IF((12-$I303+1)&lt;=0,0,IF((12-$I303+1)=1,RAMP_W1,IF((12-$I303+1)=2,RAMP_W2,IF((12-$I303+1)=3,RAMP_W3,RAMP_W4PLUS)))))*(INDEX(ACTIVE_MULT_TABLE,2,1))*(1+SUMPRODUCT(SIGN(((ACT_DOOR_SCOPE="ALL")+(ACT_DOOR_SCOPE="TIER_"&amp;$F303)+(ACT_DOOR_SCOPE=$B303)))*SIGN(((ACT_SKU_SCOPE="ALL")+(ACT_SKU_SCOPE=$G303)))*(ACT_START&lt;=12)*(ACT_END&gt;=12)*IFERROR(ACT_UPLIFT-1,0)))*(1+SUMPRODUCT(SIGN(((ACT_DOOR_SCOPE="ALL")+(ACT_DOOR_SCOPE="TIER_"&amp;$F303)+(ACT_DOOR_SCOPE=$B303)))*SIGN(((ACT_SKU_SCOPE="ALL")+(ACT_SKU_SCOPE=$G303)))*(12&gt;ACT_END)*(ACT_END&gt;0)*IFERROR(ACT_POSTLIFT,0))),0)))</f>
        <v/>
      </c>
      <c r="V303" s="10">
        <f>IF(OR($H303&lt;&gt;"Y",13&lt;$I303),0,IF(SUMPRODUCT(((BULK_ENABLED="Y")*((BULK_TIER="ALL")+(BULK_TIER=$F303))*((BULK_SKU="ALL")+(BULK_SKU=$G303))*(BULK_START&lt;=13)*(BULK_END&gt;=13)))&gt;0,IFERROR(SUMPRODUCT(((BULK_ENABLED="Y")*((BULK_TIER="ALL")+(BULK_TIER=$F303))*((BULK_SKU="ALL")+(BULK_SKU=$G303))*(BULK_START&lt;=13)*(BULK_END&gt;=13))*IFERROR(BULK_VALUE,0))/MAX(1,SUMPRODUCT(((BULK_ENABLED="Y")*((BULK_TIER="ALL")+(BULK_TIER=$F303))*((BULK_SKU="ALL")+(BULK_SKU=$G303))*(BULK_START&lt;=13)*(BULK_END&gt;=13)))),0),ROUND((INDEX(VELOCITY_TABLE,MATCH($F303,TIER_LIST,0),2))*(IF((13-$I303+1)&lt;=0,0,IF((13-$I303+1)=1,RAMP_W1,IF((13-$I303+1)=2,RAMP_W2,IF((13-$I303+1)=3,RAMP_W3,RAMP_W4PLUS)))))*(INDEX(ACTIVE_MULT_TABLE,2,1))*(1+SUMPRODUCT(SIGN(((ACT_DOOR_SCOPE="ALL")+(ACT_DOOR_SCOPE="TIER_"&amp;$F303)+(ACT_DOOR_SCOPE=$B303)))*SIGN(((ACT_SKU_SCOPE="ALL")+(ACT_SKU_SCOPE=$G303)))*(ACT_START&lt;=13)*(ACT_END&gt;=13)*IFERROR(ACT_UPLIFT-1,0)))*(1+SUMPRODUCT(SIGN(((ACT_DOOR_SCOPE="ALL")+(ACT_DOOR_SCOPE="TIER_"&amp;$F303)+(ACT_DOOR_SCOPE=$B303)))*SIGN(((ACT_SKU_SCOPE="ALL")+(ACT_SKU_SCOPE=$G303)))*(13&gt;ACT_END)*(ACT_END&gt;0)*IFERROR(ACT_POSTLIFT,0))),0)))</f>
        <v/>
      </c>
    </row>
    <row r="304">
      <c r="A304" t="inlineStr">
        <is>
          <t>R0300</t>
        </is>
      </c>
      <c r="B304">
        <f>Doors!$A$104</f>
        <v/>
      </c>
      <c r="C304">
        <f>Doors!$C$104</f>
        <v/>
      </c>
      <c r="D304">
        <f>Doors!$B$104</f>
        <v/>
      </c>
      <c r="E304">
        <f>Doors!$E$104</f>
        <v/>
      </c>
      <c r="F304">
        <f>Doors!$F$104</f>
        <v/>
      </c>
      <c r="G304" t="inlineStr">
        <is>
          <t>Raspberry</t>
        </is>
      </c>
      <c r="H304">
        <f>Doors!$I$104</f>
        <v/>
      </c>
      <c r="I304">
        <f>Doors!$J$104</f>
        <v/>
      </c>
      <c r="J304" s="10">
        <f>IF(OR($H304&lt;&gt;"Y",1&lt;$I304),0,IF(SUMPRODUCT(((BULK_ENABLED="Y")*((BULK_TIER="ALL")+(BULK_TIER=$F304))*((BULK_SKU="ALL")+(BULK_SKU=$G304))*(BULK_START&lt;=1)*(BULK_END&gt;=1)))&gt;0,IFERROR(SUMPRODUCT(((BULK_ENABLED="Y")*((BULK_TIER="ALL")+(BULK_TIER=$F304))*((BULK_SKU="ALL")+(BULK_SKU=$G304))*(BULK_START&lt;=1)*(BULK_END&gt;=1))*IFERROR(BULK_VALUE,0))/MAX(1,SUMPRODUCT(((BULK_ENABLED="Y")*((BULK_TIER="ALL")+(BULK_TIER=$F304))*((BULK_SKU="ALL")+(BULK_SKU=$G304))*(BULK_START&lt;=1)*(BULK_END&gt;=1)))),0),ROUND((INDEX(VELOCITY_TABLE,MATCH($F304,TIER_LIST,0),3))*(IF((1-$I304+1)&lt;=0,0,IF((1-$I304+1)=1,RAMP_W1,IF((1-$I304+1)=2,RAMP_W2,IF((1-$I304+1)=3,RAMP_W3,RAMP_W4PLUS)))))*(INDEX(ACTIVE_MULT_TABLE,3,1))*(1+SUMPRODUCT(SIGN(((ACT_DOOR_SCOPE="ALL")+(ACT_DOOR_SCOPE="TIER_"&amp;$F304)+(ACT_DOOR_SCOPE=$B304)))*SIGN(((ACT_SKU_SCOPE="ALL")+(ACT_SKU_SCOPE=$G304)))*(ACT_START&lt;=1)*(ACT_END&gt;=1)*IFERROR(ACT_UPLIFT-1,0)))*(1+SUMPRODUCT(SIGN(((ACT_DOOR_SCOPE="ALL")+(ACT_DOOR_SCOPE="TIER_"&amp;$F304)+(ACT_DOOR_SCOPE=$B304)))*SIGN(((ACT_SKU_SCOPE="ALL")+(ACT_SKU_SCOPE=$G304)))*(1&gt;ACT_END)*(ACT_END&gt;0)*IFERROR(ACT_POSTLIFT,0))),0)))</f>
        <v/>
      </c>
      <c r="K304" s="10">
        <f>IF(OR($H304&lt;&gt;"Y",2&lt;$I304),0,IF(SUMPRODUCT(((BULK_ENABLED="Y")*((BULK_TIER="ALL")+(BULK_TIER=$F304))*((BULK_SKU="ALL")+(BULK_SKU=$G304))*(BULK_START&lt;=2)*(BULK_END&gt;=2)))&gt;0,IFERROR(SUMPRODUCT(((BULK_ENABLED="Y")*((BULK_TIER="ALL")+(BULK_TIER=$F304))*((BULK_SKU="ALL")+(BULK_SKU=$G304))*(BULK_START&lt;=2)*(BULK_END&gt;=2))*IFERROR(BULK_VALUE,0))/MAX(1,SUMPRODUCT(((BULK_ENABLED="Y")*((BULK_TIER="ALL")+(BULK_TIER=$F304))*((BULK_SKU="ALL")+(BULK_SKU=$G304))*(BULK_START&lt;=2)*(BULK_END&gt;=2)))),0),ROUND((INDEX(VELOCITY_TABLE,MATCH($F304,TIER_LIST,0),3))*(IF((2-$I304+1)&lt;=0,0,IF((2-$I304+1)=1,RAMP_W1,IF((2-$I304+1)=2,RAMP_W2,IF((2-$I304+1)=3,RAMP_W3,RAMP_W4PLUS)))))*(INDEX(ACTIVE_MULT_TABLE,3,1))*(1+SUMPRODUCT(SIGN(((ACT_DOOR_SCOPE="ALL")+(ACT_DOOR_SCOPE="TIER_"&amp;$F304)+(ACT_DOOR_SCOPE=$B304)))*SIGN(((ACT_SKU_SCOPE="ALL")+(ACT_SKU_SCOPE=$G304)))*(ACT_START&lt;=2)*(ACT_END&gt;=2)*IFERROR(ACT_UPLIFT-1,0)))*(1+SUMPRODUCT(SIGN(((ACT_DOOR_SCOPE="ALL")+(ACT_DOOR_SCOPE="TIER_"&amp;$F304)+(ACT_DOOR_SCOPE=$B304)))*SIGN(((ACT_SKU_SCOPE="ALL")+(ACT_SKU_SCOPE=$G304)))*(2&gt;ACT_END)*(ACT_END&gt;0)*IFERROR(ACT_POSTLIFT,0))),0)))</f>
        <v/>
      </c>
      <c r="L304" s="10">
        <f>IF(OR($H304&lt;&gt;"Y",3&lt;$I304),0,IF(SUMPRODUCT(((BULK_ENABLED="Y")*((BULK_TIER="ALL")+(BULK_TIER=$F304))*((BULK_SKU="ALL")+(BULK_SKU=$G304))*(BULK_START&lt;=3)*(BULK_END&gt;=3)))&gt;0,IFERROR(SUMPRODUCT(((BULK_ENABLED="Y")*((BULK_TIER="ALL")+(BULK_TIER=$F304))*((BULK_SKU="ALL")+(BULK_SKU=$G304))*(BULK_START&lt;=3)*(BULK_END&gt;=3))*IFERROR(BULK_VALUE,0))/MAX(1,SUMPRODUCT(((BULK_ENABLED="Y")*((BULK_TIER="ALL")+(BULK_TIER=$F304))*((BULK_SKU="ALL")+(BULK_SKU=$G304))*(BULK_START&lt;=3)*(BULK_END&gt;=3)))),0),ROUND((INDEX(VELOCITY_TABLE,MATCH($F304,TIER_LIST,0),3))*(IF((3-$I304+1)&lt;=0,0,IF((3-$I304+1)=1,RAMP_W1,IF((3-$I304+1)=2,RAMP_W2,IF((3-$I304+1)=3,RAMP_W3,RAMP_W4PLUS)))))*(INDEX(ACTIVE_MULT_TABLE,3,1))*(1+SUMPRODUCT(SIGN(((ACT_DOOR_SCOPE="ALL")+(ACT_DOOR_SCOPE="TIER_"&amp;$F304)+(ACT_DOOR_SCOPE=$B304)))*SIGN(((ACT_SKU_SCOPE="ALL")+(ACT_SKU_SCOPE=$G304)))*(ACT_START&lt;=3)*(ACT_END&gt;=3)*IFERROR(ACT_UPLIFT-1,0)))*(1+SUMPRODUCT(SIGN(((ACT_DOOR_SCOPE="ALL")+(ACT_DOOR_SCOPE="TIER_"&amp;$F304)+(ACT_DOOR_SCOPE=$B304)))*SIGN(((ACT_SKU_SCOPE="ALL")+(ACT_SKU_SCOPE=$G304)))*(3&gt;ACT_END)*(ACT_END&gt;0)*IFERROR(ACT_POSTLIFT,0))),0)))</f>
        <v/>
      </c>
      <c r="M304" s="10">
        <f>IF(OR($H304&lt;&gt;"Y",4&lt;$I304),0,IF(SUMPRODUCT(((BULK_ENABLED="Y")*((BULK_TIER="ALL")+(BULK_TIER=$F304))*((BULK_SKU="ALL")+(BULK_SKU=$G304))*(BULK_START&lt;=4)*(BULK_END&gt;=4)))&gt;0,IFERROR(SUMPRODUCT(((BULK_ENABLED="Y")*((BULK_TIER="ALL")+(BULK_TIER=$F304))*((BULK_SKU="ALL")+(BULK_SKU=$G304))*(BULK_START&lt;=4)*(BULK_END&gt;=4))*IFERROR(BULK_VALUE,0))/MAX(1,SUMPRODUCT(((BULK_ENABLED="Y")*((BULK_TIER="ALL")+(BULK_TIER=$F304))*((BULK_SKU="ALL")+(BULK_SKU=$G304))*(BULK_START&lt;=4)*(BULK_END&gt;=4)))),0),ROUND((INDEX(VELOCITY_TABLE,MATCH($F304,TIER_LIST,0),3))*(IF((4-$I304+1)&lt;=0,0,IF((4-$I304+1)=1,RAMP_W1,IF((4-$I304+1)=2,RAMP_W2,IF((4-$I304+1)=3,RAMP_W3,RAMP_W4PLUS)))))*(INDEX(ACTIVE_MULT_TABLE,3,1))*(1+SUMPRODUCT(SIGN(((ACT_DOOR_SCOPE="ALL")+(ACT_DOOR_SCOPE="TIER_"&amp;$F304)+(ACT_DOOR_SCOPE=$B304)))*SIGN(((ACT_SKU_SCOPE="ALL")+(ACT_SKU_SCOPE=$G304)))*(ACT_START&lt;=4)*(ACT_END&gt;=4)*IFERROR(ACT_UPLIFT-1,0)))*(1+SUMPRODUCT(SIGN(((ACT_DOOR_SCOPE="ALL")+(ACT_DOOR_SCOPE="TIER_"&amp;$F304)+(ACT_DOOR_SCOPE=$B304)))*SIGN(((ACT_SKU_SCOPE="ALL")+(ACT_SKU_SCOPE=$G304)))*(4&gt;ACT_END)*(ACT_END&gt;0)*IFERROR(ACT_POSTLIFT,0))),0)))</f>
        <v/>
      </c>
      <c r="N304" s="10">
        <f>IF(OR($H304&lt;&gt;"Y",5&lt;$I304),0,IF(SUMPRODUCT(((BULK_ENABLED="Y")*((BULK_TIER="ALL")+(BULK_TIER=$F304))*((BULK_SKU="ALL")+(BULK_SKU=$G304))*(BULK_START&lt;=5)*(BULK_END&gt;=5)))&gt;0,IFERROR(SUMPRODUCT(((BULK_ENABLED="Y")*((BULK_TIER="ALL")+(BULK_TIER=$F304))*((BULK_SKU="ALL")+(BULK_SKU=$G304))*(BULK_START&lt;=5)*(BULK_END&gt;=5))*IFERROR(BULK_VALUE,0))/MAX(1,SUMPRODUCT(((BULK_ENABLED="Y")*((BULK_TIER="ALL")+(BULK_TIER=$F304))*((BULK_SKU="ALL")+(BULK_SKU=$G304))*(BULK_START&lt;=5)*(BULK_END&gt;=5)))),0),ROUND((INDEX(VELOCITY_TABLE,MATCH($F304,TIER_LIST,0),3))*(IF((5-$I304+1)&lt;=0,0,IF((5-$I304+1)=1,RAMP_W1,IF((5-$I304+1)=2,RAMP_W2,IF((5-$I304+1)=3,RAMP_W3,RAMP_W4PLUS)))))*(INDEX(ACTIVE_MULT_TABLE,3,1))*(1+SUMPRODUCT(SIGN(((ACT_DOOR_SCOPE="ALL")+(ACT_DOOR_SCOPE="TIER_"&amp;$F304)+(ACT_DOOR_SCOPE=$B304)))*SIGN(((ACT_SKU_SCOPE="ALL")+(ACT_SKU_SCOPE=$G304)))*(ACT_START&lt;=5)*(ACT_END&gt;=5)*IFERROR(ACT_UPLIFT-1,0)))*(1+SUMPRODUCT(SIGN(((ACT_DOOR_SCOPE="ALL")+(ACT_DOOR_SCOPE="TIER_"&amp;$F304)+(ACT_DOOR_SCOPE=$B304)))*SIGN(((ACT_SKU_SCOPE="ALL")+(ACT_SKU_SCOPE=$G304)))*(5&gt;ACT_END)*(ACT_END&gt;0)*IFERROR(ACT_POSTLIFT,0))),0)))</f>
        <v/>
      </c>
      <c r="O304" s="10">
        <f>IF(OR($H304&lt;&gt;"Y",6&lt;$I304),0,IF(SUMPRODUCT(((BULK_ENABLED="Y")*((BULK_TIER="ALL")+(BULK_TIER=$F304))*((BULK_SKU="ALL")+(BULK_SKU=$G304))*(BULK_START&lt;=6)*(BULK_END&gt;=6)))&gt;0,IFERROR(SUMPRODUCT(((BULK_ENABLED="Y")*((BULK_TIER="ALL")+(BULK_TIER=$F304))*((BULK_SKU="ALL")+(BULK_SKU=$G304))*(BULK_START&lt;=6)*(BULK_END&gt;=6))*IFERROR(BULK_VALUE,0))/MAX(1,SUMPRODUCT(((BULK_ENABLED="Y")*((BULK_TIER="ALL")+(BULK_TIER=$F304))*((BULK_SKU="ALL")+(BULK_SKU=$G304))*(BULK_START&lt;=6)*(BULK_END&gt;=6)))),0),ROUND((INDEX(VELOCITY_TABLE,MATCH($F304,TIER_LIST,0),3))*(IF((6-$I304+1)&lt;=0,0,IF((6-$I304+1)=1,RAMP_W1,IF((6-$I304+1)=2,RAMP_W2,IF((6-$I304+1)=3,RAMP_W3,RAMP_W4PLUS)))))*(INDEX(ACTIVE_MULT_TABLE,3,1))*(1+SUMPRODUCT(SIGN(((ACT_DOOR_SCOPE="ALL")+(ACT_DOOR_SCOPE="TIER_"&amp;$F304)+(ACT_DOOR_SCOPE=$B304)))*SIGN(((ACT_SKU_SCOPE="ALL")+(ACT_SKU_SCOPE=$G304)))*(ACT_START&lt;=6)*(ACT_END&gt;=6)*IFERROR(ACT_UPLIFT-1,0)))*(1+SUMPRODUCT(SIGN(((ACT_DOOR_SCOPE="ALL")+(ACT_DOOR_SCOPE="TIER_"&amp;$F304)+(ACT_DOOR_SCOPE=$B304)))*SIGN(((ACT_SKU_SCOPE="ALL")+(ACT_SKU_SCOPE=$G304)))*(6&gt;ACT_END)*(ACT_END&gt;0)*IFERROR(ACT_POSTLIFT,0))),0)))</f>
        <v/>
      </c>
      <c r="P304" s="10">
        <f>IF(OR($H304&lt;&gt;"Y",7&lt;$I304),0,IF(SUMPRODUCT(((BULK_ENABLED="Y")*((BULK_TIER="ALL")+(BULK_TIER=$F304))*((BULK_SKU="ALL")+(BULK_SKU=$G304))*(BULK_START&lt;=7)*(BULK_END&gt;=7)))&gt;0,IFERROR(SUMPRODUCT(((BULK_ENABLED="Y")*((BULK_TIER="ALL")+(BULK_TIER=$F304))*((BULK_SKU="ALL")+(BULK_SKU=$G304))*(BULK_START&lt;=7)*(BULK_END&gt;=7))*IFERROR(BULK_VALUE,0))/MAX(1,SUMPRODUCT(((BULK_ENABLED="Y")*((BULK_TIER="ALL")+(BULK_TIER=$F304))*((BULK_SKU="ALL")+(BULK_SKU=$G304))*(BULK_START&lt;=7)*(BULK_END&gt;=7)))),0),ROUND((INDEX(VELOCITY_TABLE,MATCH($F304,TIER_LIST,0),3))*(IF((7-$I304+1)&lt;=0,0,IF((7-$I304+1)=1,RAMP_W1,IF((7-$I304+1)=2,RAMP_W2,IF((7-$I304+1)=3,RAMP_W3,RAMP_W4PLUS)))))*(INDEX(ACTIVE_MULT_TABLE,3,1))*(1+SUMPRODUCT(SIGN(((ACT_DOOR_SCOPE="ALL")+(ACT_DOOR_SCOPE="TIER_"&amp;$F304)+(ACT_DOOR_SCOPE=$B304)))*SIGN(((ACT_SKU_SCOPE="ALL")+(ACT_SKU_SCOPE=$G304)))*(ACT_START&lt;=7)*(ACT_END&gt;=7)*IFERROR(ACT_UPLIFT-1,0)))*(1+SUMPRODUCT(SIGN(((ACT_DOOR_SCOPE="ALL")+(ACT_DOOR_SCOPE="TIER_"&amp;$F304)+(ACT_DOOR_SCOPE=$B304)))*SIGN(((ACT_SKU_SCOPE="ALL")+(ACT_SKU_SCOPE=$G304)))*(7&gt;ACT_END)*(ACT_END&gt;0)*IFERROR(ACT_POSTLIFT,0))),0)))</f>
        <v/>
      </c>
      <c r="Q304" s="10">
        <f>IF(OR($H304&lt;&gt;"Y",8&lt;$I304),0,IF(SUMPRODUCT(((BULK_ENABLED="Y")*((BULK_TIER="ALL")+(BULK_TIER=$F304))*((BULK_SKU="ALL")+(BULK_SKU=$G304))*(BULK_START&lt;=8)*(BULK_END&gt;=8)))&gt;0,IFERROR(SUMPRODUCT(((BULK_ENABLED="Y")*((BULK_TIER="ALL")+(BULK_TIER=$F304))*((BULK_SKU="ALL")+(BULK_SKU=$G304))*(BULK_START&lt;=8)*(BULK_END&gt;=8))*IFERROR(BULK_VALUE,0))/MAX(1,SUMPRODUCT(((BULK_ENABLED="Y")*((BULK_TIER="ALL")+(BULK_TIER=$F304))*((BULK_SKU="ALL")+(BULK_SKU=$G304))*(BULK_START&lt;=8)*(BULK_END&gt;=8)))),0),ROUND((INDEX(VELOCITY_TABLE,MATCH($F304,TIER_LIST,0),3))*(IF((8-$I304+1)&lt;=0,0,IF((8-$I304+1)=1,RAMP_W1,IF((8-$I304+1)=2,RAMP_W2,IF((8-$I304+1)=3,RAMP_W3,RAMP_W4PLUS)))))*(INDEX(ACTIVE_MULT_TABLE,3,1))*(1+SUMPRODUCT(SIGN(((ACT_DOOR_SCOPE="ALL")+(ACT_DOOR_SCOPE="TIER_"&amp;$F304)+(ACT_DOOR_SCOPE=$B304)))*SIGN(((ACT_SKU_SCOPE="ALL")+(ACT_SKU_SCOPE=$G304)))*(ACT_START&lt;=8)*(ACT_END&gt;=8)*IFERROR(ACT_UPLIFT-1,0)))*(1+SUMPRODUCT(SIGN(((ACT_DOOR_SCOPE="ALL")+(ACT_DOOR_SCOPE="TIER_"&amp;$F304)+(ACT_DOOR_SCOPE=$B304)))*SIGN(((ACT_SKU_SCOPE="ALL")+(ACT_SKU_SCOPE=$G304)))*(8&gt;ACT_END)*(ACT_END&gt;0)*IFERROR(ACT_POSTLIFT,0))),0)))</f>
        <v/>
      </c>
      <c r="R304" s="10">
        <f>IF(OR($H304&lt;&gt;"Y",9&lt;$I304),0,IF(SUMPRODUCT(((BULK_ENABLED="Y")*((BULK_TIER="ALL")+(BULK_TIER=$F304))*((BULK_SKU="ALL")+(BULK_SKU=$G304))*(BULK_START&lt;=9)*(BULK_END&gt;=9)))&gt;0,IFERROR(SUMPRODUCT(((BULK_ENABLED="Y")*((BULK_TIER="ALL")+(BULK_TIER=$F304))*((BULK_SKU="ALL")+(BULK_SKU=$G304))*(BULK_START&lt;=9)*(BULK_END&gt;=9))*IFERROR(BULK_VALUE,0))/MAX(1,SUMPRODUCT(((BULK_ENABLED="Y")*((BULK_TIER="ALL")+(BULK_TIER=$F304))*((BULK_SKU="ALL")+(BULK_SKU=$G304))*(BULK_START&lt;=9)*(BULK_END&gt;=9)))),0),ROUND((INDEX(VELOCITY_TABLE,MATCH($F304,TIER_LIST,0),3))*(IF((9-$I304+1)&lt;=0,0,IF((9-$I304+1)=1,RAMP_W1,IF((9-$I304+1)=2,RAMP_W2,IF((9-$I304+1)=3,RAMP_W3,RAMP_W4PLUS)))))*(INDEX(ACTIVE_MULT_TABLE,3,1))*(1+SUMPRODUCT(SIGN(((ACT_DOOR_SCOPE="ALL")+(ACT_DOOR_SCOPE="TIER_"&amp;$F304)+(ACT_DOOR_SCOPE=$B304)))*SIGN(((ACT_SKU_SCOPE="ALL")+(ACT_SKU_SCOPE=$G304)))*(ACT_START&lt;=9)*(ACT_END&gt;=9)*IFERROR(ACT_UPLIFT-1,0)))*(1+SUMPRODUCT(SIGN(((ACT_DOOR_SCOPE="ALL")+(ACT_DOOR_SCOPE="TIER_"&amp;$F304)+(ACT_DOOR_SCOPE=$B304)))*SIGN(((ACT_SKU_SCOPE="ALL")+(ACT_SKU_SCOPE=$G304)))*(9&gt;ACT_END)*(ACT_END&gt;0)*IFERROR(ACT_POSTLIFT,0))),0)))</f>
        <v/>
      </c>
      <c r="S304" s="10">
        <f>IF(OR($H304&lt;&gt;"Y",10&lt;$I304),0,IF(SUMPRODUCT(((BULK_ENABLED="Y")*((BULK_TIER="ALL")+(BULK_TIER=$F304))*((BULK_SKU="ALL")+(BULK_SKU=$G304))*(BULK_START&lt;=10)*(BULK_END&gt;=10)))&gt;0,IFERROR(SUMPRODUCT(((BULK_ENABLED="Y")*((BULK_TIER="ALL")+(BULK_TIER=$F304))*((BULK_SKU="ALL")+(BULK_SKU=$G304))*(BULK_START&lt;=10)*(BULK_END&gt;=10))*IFERROR(BULK_VALUE,0))/MAX(1,SUMPRODUCT(((BULK_ENABLED="Y")*((BULK_TIER="ALL")+(BULK_TIER=$F304))*((BULK_SKU="ALL")+(BULK_SKU=$G304))*(BULK_START&lt;=10)*(BULK_END&gt;=10)))),0),ROUND((INDEX(VELOCITY_TABLE,MATCH($F304,TIER_LIST,0),3))*(IF((10-$I304+1)&lt;=0,0,IF((10-$I304+1)=1,RAMP_W1,IF((10-$I304+1)=2,RAMP_W2,IF((10-$I304+1)=3,RAMP_W3,RAMP_W4PLUS)))))*(INDEX(ACTIVE_MULT_TABLE,3,1))*(1+SUMPRODUCT(SIGN(((ACT_DOOR_SCOPE="ALL")+(ACT_DOOR_SCOPE="TIER_"&amp;$F304)+(ACT_DOOR_SCOPE=$B304)))*SIGN(((ACT_SKU_SCOPE="ALL")+(ACT_SKU_SCOPE=$G304)))*(ACT_START&lt;=10)*(ACT_END&gt;=10)*IFERROR(ACT_UPLIFT-1,0)))*(1+SUMPRODUCT(SIGN(((ACT_DOOR_SCOPE="ALL")+(ACT_DOOR_SCOPE="TIER_"&amp;$F304)+(ACT_DOOR_SCOPE=$B304)))*SIGN(((ACT_SKU_SCOPE="ALL")+(ACT_SKU_SCOPE=$G304)))*(10&gt;ACT_END)*(ACT_END&gt;0)*IFERROR(ACT_POSTLIFT,0))),0)))</f>
        <v/>
      </c>
      <c r="T304" s="10">
        <f>IF(OR($H304&lt;&gt;"Y",11&lt;$I304),0,IF(SUMPRODUCT(((BULK_ENABLED="Y")*((BULK_TIER="ALL")+(BULK_TIER=$F304))*((BULK_SKU="ALL")+(BULK_SKU=$G304))*(BULK_START&lt;=11)*(BULK_END&gt;=11)))&gt;0,IFERROR(SUMPRODUCT(((BULK_ENABLED="Y")*((BULK_TIER="ALL")+(BULK_TIER=$F304))*((BULK_SKU="ALL")+(BULK_SKU=$G304))*(BULK_START&lt;=11)*(BULK_END&gt;=11))*IFERROR(BULK_VALUE,0))/MAX(1,SUMPRODUCT(((BULK_ENABLED="Y")*((BULK_TIER="ALL")+(BULK_TIER=$F304))*((BULK_SKU="ALL")+(BULK_SKU=$G304))*(BULK_START&lt;=11)*(BULK_END&gt;=11)))),0),ROUND((INDEX(VELOCITY_TABLE,MATCH($F304,TIER_LIST,0),3))*(IF((11-$I304+1)&lt;=0,0,IF((11-$I304+1)=1,RAMP_W1,IF((11-$I304+1)=2,RAMP_W2,IF((11-$I304+1)=3,RAMP_W3,RAMP_W4PLUS)))))*(INDEX(ACTIVE_MULT_TABLE,3,1))*(1+SUMPRODUCT(SIGN(((ACT_DOOR_SCOPE="ALL")+(ACT_DOOR_SCOPE="TIER_"&amp;$F304)+(ACT_DOOR_SCOPE=$B304)))*SIGN(((ACT_SKU_SCOPE="ALL")+(ACT_SKU_SCOPE=$G304)))*(ACT_START&lt;=11)*(ACT_END&gt;=11)*IFERROR(ACT_UPLIFT-1,0)))*(1+SUMPRODUCT(SIGN(((ACT_DOOR_SCOPE="ALL")+(ACT_DOOR_SCOPE="TIER_"&amp;$F304)+(ACT_DOOR_SCOPE=$B304)))*SIGN(((ACT_SKU_SCOPE="ALL")+(ACT_SKU_SCOPE=$G304)))*(11&gt;ACT_END)*(ACT_END&gt;0)*IFERROR(ACT_POSTLIFT,0))),0)))</f>
        <v/>
      </c>
      <c r="U304" s="10">
        <f>IF(OR($H304&lt;&gt;"Y",12&lt;$I304),0,IF(SUMPRODUCT(((BULK_ENABLED="Y")*((BULK_TIER="ALL")+(BULK_TIER=$F304))*((BULK_SKU="ALL")+(BULK_SKU=$G304))*(BULK_START&lt;=12)*(BULK_END&gt;=12)))&gt;0,IFERROR(SUMPRODUCT(((BULK_ENABLED="Y")*((BULK_TIER="ALL")+(BULK_TIER=$F304))*((BULK_SKU="ALL")+(BULK_SKU=$G304))*(BULK_START&lt;=12)*(BULK_END&gt;=12))*IFERROR(BULK_VALUE,0))/MAX(1,SUMPRODUCT(((BULK_ENABLED="Y")*((BULK_TIER="ALL")+(BULK_TIER=$F304))*((BULK_SKU="ALL")+(BULK_SKU=$G304))*(BULK_START&lt;=12)*(BULK_END&gt;=12)))),0),ROUND((INDEX(VELOCITY_TABLE,MATCH($F304,TIER_LIST,0),3))*(IF((12-$I304+1)&lt;=0,0,IF((12-$I304+1)=1,RAMP_W1,IF((12-$I304+1)=2,RAMP_W2,IF((12-$I304+1)=3,RAMP_W3,RAMP_W4PLUS)))))*(INDEX(ACTIVE_MULT_TABLE,3,1))*(1+SUMPRODUCT(SIGN(((ACT_DOOR_SCOPE="ALL")+(ACT_DOOR_SCOPE="TIER_"&amp;$F304)+(ACT_DOOR_SCOPE=$B304)))*SIGN(((ACT_SKU_SCOPE="ALL")+(ACT_SKU_SCOPE=$G304)))*(ACT_START&lt;=12)*(ACT_END&gt;=12)*IFERROR(ACT_UPLIFT-1,0)))*(1+SUMPRODUCT(SIGN(((ACT_DOOR_SCOPE="ALL")+(ACT_DOOR_SCOPE="TIER_"&amp;$F304)+(ACT_DOOR_SCOPE=$B304)))*SIGN(((ACT_SKU_SCOPE="ALL")+(ACT_SKU_SCOPE=$G304)))*(12&gt;ACT_END)*(ACT_END&gt;0)*IFERROR(ACT_POSTLIFT,0))),0)))</f>
        <v/>
      </c>
      <c r="V304" s="10">
        <f>IF(OR($H304&lt;&gt;"Y",13&lt;$I304),0,IF(SUMPRODUCT(((BULK_ENABLED="Y")*((BULK_TIER="ALL")+(BULK_TIER=$F304))*((BULK_SKU="ALL")+(BULK_SKU=$G304))*(BULK_START&lt;=13)*(BULK_END&gt;=13)))&gt;0,IFERROR(SUMPRODUCT(((BULK_ENABLED="Y")*((BULK_TIER="ALL")+(BULK_TIER=$F304))*((BULK_SKU="ALL")+(BULK_SKU=$G304))*(BULK_START&lt;=13)*(BULK_END&gt;=13))*IFERROR(BULK_VALUE,0))/MAX(1,SUMPRODUCT(((BULK_ENABLED="Y")*((BULK_TIER="ALL")+(BULK_TIER=$F304))*((BULK_SKU="ALL")+(BULK_SKU=$G304))*(BULK_START&lt;=13)*(BULK_END&gt;=13)))),0),ROUND((INDEX(VELOCITY_TABLE,MATCH($F304,TIER_LIST,0),3))*(IF((13-$I304+1)&lt;=0,0,IF((13-$I304+1)=1,RAMP_W1,IF((13-$I304+1)=2,RAMP_W2,IF((13-$I304+1)=3,RAMP_W3,RAMP_W4PLUS)))))*(INDEX(ACTIVE_MULT_TABLE,3,1))*(1+SUMPRODUCT(SIGN(((ACT_DOOR_SCOPE="ALL")+(ACT_DOOR_SCOPE="TIER_"&amp;$F304)+(ACT_DOOR_SCOPE=$B304)))*SIGN(((ACT_SKU_SCOPE="ALL")+(ACT_SKU_SCOPE=$G304)))*(ACT_START&lt;=13)*(ACT_END&gt;=13)*IFERROR(ACT_UPLIFT-1,0)))*(1+SUMPRODUCT(SIGN(((ACT_DOOR_SCOPE="ALL")+(ACT_DOOR_SCOPE="TIER_"&amp;$F304)+(ACT_DOOR_SCOPE=$B304)))*SIGN(((ACT_SKU_SCOPE="ALL")+(ACT_SKU_SCOPE=$G304)))*(13&gt;ACT_END)*(ACT_END&gt;0)*IFERROR(ACT_POSTLIFT,0))),0)))</f>
        <v/>
      </c>
    </row>
  </sheetData>
  <conditionalFormatting sqref="J5:V304">
    <cfRule type="expression" priority="1" dxfId="0">
      <formula>AND(ISNUMBER(J5),NOT(ISFORMULA(J5)))</formula>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4"/>
  <sheetViews>
    <sheetView showGridLines="0" workbookViewId="0">
      <pane ySplit="4" topLeftCell="A5" activePane="bottomLeft" state="frozen"/>
      <selection pane="bottomLeft" activeCell="A1" sqref="A1"/>
    </sheetView>
  </sheetViews>
  <sheetFormatPr baseColWidth="8" defaultRowHeight="15"/>
  <cols>
    <col width="10" customWidth="1" min="1" max="1"/>
    <col width="12" customWidth="1" min="2" max="2"/>
    <col width="10" customWidth="1" min="3" max="3"/>
    <col width="16" customWidth="1" min="4" max="4"/>
    <col width="12" customWidth="1" min="5" max="5"/>
    <col width="12" customWidth="1" min="6" max="6"/>
    <col width="18" customWidth="1" min="7" max="7"/>
  </cols>
  <sheetData>
    <row r="1">
      <c r="A1" s="1" t="inlineStr">
        <is>
          <t>Bulk velocity overrides</t>
        </is>
      </c>
    </row>
    <row r="2">
      <c r="A2" s="2" t="inlineStr">
        <is>
          <t>Each enabled row overrides matching Velocity Grid cells. Last matching enabled row wins. Tier accepts A, B, C, or ALL. SKU accepts Lime Lemon, Pineapple Passion Fruit, Raspberry, or ALL. Use to push a flat value into many cells without hand editing the grid.</t>
        </is>
      </c>
    </row>
    <row r="4">
      <c r="A4" s="5" t="inlineStr">
        <is>
          <t>Rule ID</t>
        </is>
      </c>
      <c r="B4" s="5" t="inlineStr">
        <is>
          <t>Enabled</t>
        </is>
      </c>
      <c r="C4" s="5" t="inlineStr">
        <is>
          <t>Tier</t>
        </is>
      </c>
      <c r="D4" s="5" t="inlineStr">
        <is>
          <t>SKU</t>
        </is>
      </c>
      <c r="E4" s="5" t="inlineStr">
        <is>
          <t>Start Week</t>
        </is>
      </c>
      <c r="F4" s="5" t="inlineStr">
        <is>
          <t>End Week</t>
        </is>
      </c>
      <c r="G4" s="5" t="inlineStr">
        <is>
          <t>New Units Value</t>
        </is>
      </c>
    </row>
    <row r="5">
      <c r="A5" t="inlineStr">
        <is>
          <t>B01</t>
        </is>
      </c>
      <c r="B5" s="11" t="n"/>
      <c r="C5" s="11" t="n"/>
      <c r="D5" s="11" t="n"/>
      <c r="E5" s="11" t="n"/>
      <c r="F5" s="11" t="n"/>
      <c r="G5" s="11" t="n"/>
    </row>
    <row r="6">
      <c r="A6" t="inlineStr">
        <is>
          <t>B02</t>
        </is>
      </c>
      <c r="B6" s="11" t="n"/>
      <c r="C6" s="11" t="n"/>
      <c r="D6" s="11" t="n"/>
      <c r="E6" s="11" t="n"/>
      <c r="F6" s="11" t="n"/>
      <c r="G6" s="11" t="n"/>
    </row>
    <row r="7">
      <c r="A7" t="inlineStr">
        <is>
          <t>B03</t>
        </is>
      </c>
      <c r="B7" s="11" t="n"/>
      <c r="C7" s="11" t="n"/>
      <c r="D7" s="11" t="n"/>
      <c r="E7" s="11" t="n"/>
      <c r="F7" s="11" t="n"/>
      <c r="G7" s="11" t="n"/>
    </row>
    <row r="8">
      <c r="A8" t="inlineStr">
        <is>
          <t>B04</t>
        </is>
      </c>
      <c r="B8" s="11" t="n"/>
      <c r="C8" s="11" t="n"/>
      <c r="D8" s="11" t="n"/>
      <c r="E8" s="11" t="n"/>
      <c r="F8" s="11" t="n"/>
      <c r="G8" s="11" t="n"/>
    </row>
    <row r="9">
      <c r="A9" t="inlineStr">
        <is>
          <t>B05</t>
        </is>
      </c>
      <c r="B9" s="11" t="n"/>
      <c r="C9" s="11" t="n"/>
      <c r="D9" s="11" t="n"/>
      <c r="E9" s="11" t="n"/>
      <c r="F9" s="11" t="n"/>
      <c r="G9" s="11" t="n"/>
    </row>
    <row r="10">
      <c r="A10" t="inlineStr">
        <is>
          <t>B06</t>
        </is>
      </c>
      <c r="B10" s="11" t="n"/>
      <c r="C10" s="11" t="n"/>
      <c r="D10" s="11" t="n"/>
      <c r="E10" s="11" t="n"/>
      <c r="F10" s="11" t="n"/>
      <c r="G10" s="11" t="n"/>
    </row>
    <row r="11">
      <c r="A11" t="inlineStr">
        <is>
          <t>B07</t>
        </is>
      </c>
      <c r="B11" s="11" t="n"/>
      <c r="C11" s="11" t="n"/>
      <c r="D11" s="11" t="n"/>
      <c r="E11" s="11" t="n"/>
      <c r="F11" s="11" t="n"/>
      <c r="G11" s="11" t="n"/>
    </row>
    <row r="12">
      <c r="A12" t="inlineStr">
        <is>
          <t>B08</t>
        </is>
      </c>
      <c r="B12" s="11" t="n"/>
      <c r="C12" s="11" t="n"/>
      <c r="D12" s="11" t="n"/>
      <c r="E12" s="11" t="n"/>
      <c r="F12" s="11" t="n"/>
      <c r="G12" s="11" t="n"/>
    </row>
    <row r="13">
      <c r="A13" t="inlineStr">
        <is>
          <t>B09</t>
        </is>
      </c>
      <c r="B13" s="11" t="n"/>
      <c r="C13" s="11" t="n"/>
      <c r="D13" s="11" t="n"/>
      <c r="E13" s="11" t="n"/>
      <c r="F13" s="11" t="n"/>
      <c r="G13" s="11" t="n"/>
    </row>
    <row r="14">
      <c r="A14" t="inlineStr">
        <is>
          <t>B10</t>
        </is>
      </c>
      <c r="B14" s="11" t="n"/>
      <c r="C14" s="11" t="n"/>
      <c r="D14" s="11" t="n"/>
      <c r="E14" s="11" t="n"/>
      <c r="F14" s="11" t="n"/>
      <c r="G14" s="11" t="n"/>
    </row>
    <row r="15">
      <c r="A15" t="inlineStr">
        <is>
          <t>B11</t>
        </is>
      </c>
      <c r="B15" s="11" t="n"/>
      <c r="C15" s="11" t="n"/>
      <c r="D15" s="11" t="n"/>
      <c r="E15" s="11" t="n"/>
      <c r="F15" s="11" t="n"/>
      <c r="G15" s="11" t="n"/>
    </row>
    <row r="16">
      <c r="A16" t="inlineStr">
        <is>
          <t>B12</t>
        </is>
      </c>
      <c r="B16" s="11" t="n"/>
      <c r="C16" s="11" t="n"/>
      <c r="D16" s="11" t="n"/>
      <c r="E16" s="11" t="n"/>
      <c r="F16" s="11" t="n"/>
      <c r="G16" s="11" t="n"/>
    </row>
    <row r="17">
      <c r="A17" t="inlineStr">
        <is>
          <t>B13</t>
        </is>
      </c>
      <c r="B17" s="11" t="n"/>
      <c r="C17" s="11" t="n"/>
      <c r="D17" s="11" t="n"/>
      <c r="E17" s="11" t="n"/>
      <c r="F17" s="11" t="n"/>
      <c r="G17" s="11" t="n"/>
    </row>
    <row r="18">
      <c r="A18" t="inlineStr">
        <is>
          <t>B14</t>
        </is>
      </c>
      <c r="B18" s="11" t="n"/>
      <c r="C18" s="11" t="n"/>
      <c r="D18" s="11" t="n"/>
      <c r="E18" s="11" t="n"/>
      <c r="F18" s="11" t="n"/>
      <c r="G18" s="11" t="n"/>
    </row>
    <row r="19">
      <c r="A19" t="inlineStr">
        <is>
          <t>B15</t>
        </is>
      </c>
      <c r="B19" s="11" t="n"/>
      <c r="C19" s="11" t="n"/>
      <c r="D19" s="11" t="n"/>
      <c r="E19" s="11" t="n"/>
      <c r="F19" s="11" t="n"/>
      <c r="G19" s="11" t="n"/>
    </row>
    <row r="20">
      <c r="A20" t="inlineStr">
        <is>
          <t>B16</t>
        </is>
      </c>
      <c r="B20" s="11" t="n"/>
      <c r="C20" s="11" t="n"/>
      <c r="D20" s="11" t="n"/>
      <c r="E20" s="11" t="n"/>
      <c r="F20" s="11" t="n"/>
      <c r="G20" s="11" t="n"/>
    </row>
    <row r="21">
      <c r="A21" t="inlineStr">
        <is>
          <t>B17</t>
        </is>
      </c>
      <c r="B21" s="11" t="n"/>
      <c r="C21" s="11" t="n"/>
      <c r="D21" s="11" t="n"/>
      <c r="E21" s="11" t="n"/>
      <c r="F21" s="11" t="n"/>
      <c r="G21" s="11" t="n"/>
    </row>
    <row r="22">
      <c r="A22" t="inlineStr">
        <is>
          <t>B18</t>
        </is>
      </c>
      <c r="B22" s="11" t="n"/>
      <c r="C22" s="11" t="n"/>
      <c r="D22" s="11" t="n"/>
      <c r="E22" s="11" t="n"/>
      <c r="F22" s="11" t="n"/>
      <c r="G22" s="11" t="n"/>
    </row>
    <row r="23">
      <c r="A23" t="inlineStr">
        <is>
          <t>B19</t>
        </is>
      </c>
      <c r="B23" s="11" t="n"/>
      <c r="C23" s="11" t="n"/>
      <c r="D23" s="11" t="n"/>
      <c r="E23" s="11" t="n"/>
      <c r="F23" s="11" t="n"/>
      <c r="G23" s="11" t="n"/>
    </row>
    <row r="24">
      <c r="A24" t="inlineStr">
        <is>
          <t>B20</t>
        </is>
      </c>
      <c r="B24" s="11" t="n"/>
      <c r="C24" s="11" t="n"/>
      <c r="D24" s="11" t="n"/>
      <c r="E24" s="11" t="n"/>
      <c r="F24" s="11" t="n"/>
      <c r="G24" s="11" t="n"/>
    </row>
  </sheetData>
  <dataValidations count="4">
    <dataValidation sqref="B5:B24" showDropDown="0" showInputMessage="0" showErrorMessage="0" allowBlank="1" type="list">
      <formula1>"Y,N"</formula1>
    </dataValidation>
    <dataValidation sqref="C5:C24" showDropDown="0" showInputMessage="0" showErrorMessage="0" allowBlank="1" type="list">
      <formula1>"A,B,C,ALL"</formula1>
    </dataValidation>
    <dataValidation sqref="D5:D24" showDropDown="0" showInputMessage="0" showErrorMessage="0" allowBlank="1" type="list">
      <formula1>"Lime Lemon,Pineapple Passion Fruit,Raspberry,ALL"</formula1>
    </dataValidation>
    <dataValidation sqref="E5:F24" showDropDown="0" showInputMessage="0" showErrorMessage="0" allowBlank="1" type="whole" operator="between">
      <formula1>1</formula1>
      <formula2>13</formula2>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34"/>
  <sheetViews>
    <sheetView showGridLines="0" workbookViewId="0">
      <pane ySplit="4" topLeftCell="A5" activePane="bottomLeft" state="frozen"/>
      <selection pane="bottomLeft" activeCell="A1" sqref="A1"/>
    </sheetView>
  </sheetViews>
  <sheetFormatPr baseColWidth="8" defaultRowHeight="15"/>
  <cols>
    <col width="14" customWidth="1" min="1" max="1"/>
    <col width="22" customWidth="1" min="2" max="2"/>
    <col width="16" customWidth="1" min="3" max="3"/>
    <col width="14" customWidth="1" min="4" max="4"/>
    <col width="12" customWidth="1" min="5" max="5"/>
    <col width="12" customWidth="1" min="6" max="6"/>
    <col width="18" customWidth="1" min="7" max="7"/>
    <col width="20" customWidth="1" min="8" max="8"/>
    <col width="22" customWidth="1" min="9" max="9"/>
    <col width="14" customWidth="1" min="10" max="10"/>
  </cols>
  <sheetData>
    <row r="1">
      <c r="A1" s="1" t="inlineStr">
        <is>
          <t>Activation calendar</t>
        </is>
      </c>
    </row>
    <row r="2">
      <c r="A2" s="2" t="inlineStr">
        <is>
          <t>One row per event. Door Scope accepts ALL, TIER_A, TIER_B, TIER_C, or a specific Door ID. SKU Scope accepts ALL, Lime Lemon, Pineapple Passion Fruit, or Raspberry. Multiple tiers or flavors need multiple rows.</t>
        </is>
      </c>
    </row>
    <row r="4">
      <c r="A4" s="5" t="inlineStr">
        <is>
          <t>Activation ID</t>
        </is>
      </c>
      <c r="B4" s="5" t="inlineStr">
        <is>
          <t>Type</t>
        </is>
      </c>
      <c r="C4" s="5" t="inlineStr">
        <is>
          <t>Door Scope</t>
        </is>
      </c>
      <c r="D4" s="5" t="inlineStr">
        <is>
          <t>SKU Scope</t>
        </is>
      </c>
      <c r="E4" s="5" t="inlineStr">
        <is>
          <t>Start Week</t>
        </is>
      </c>
      <c r="F4" s="5" t="inlineStr">
        <is>
          <t>End Week</t>
        </is>
      </c>
      <c r="G4" s="5" t="inlineStr">
        <is>
          <t>Uplift Multiplier</t>
        </is>
      </c>
      <c r="H4" s="5" t="inlineStr">
        <is>
          <t>Post Activation Lift</t>
        </is>
      </c>
      <c r="I4" s="5" t="inlineStr">
        <is>
          <t>Incremental Trial Units</t>
        </is>
      </c>
      <c r="J4" s="5" t="inlineStr">
        <is>
          <t>Cost</t>
        </is>
      </c>
    </row>
    <row r="5">
      <c r="A5" s="11" t="n"/>
      <c r="B5" s="11" t="n"/>
      <c r="C5" s="11" t="n"/>
      <c r="D5" s="11" t="n"/>
      <c r="E5" s="11" t="n"/>
      <c r="F5" s="11" t="n"/>
      <c r="G5" s="12" t="n"/>
      <c r="H5" s="13" t="n"/>
      <c r="I5" s="11" t="n"/>
      <c r="J5" s="14" t="n"/>
    </row>
    <row r="6">
      <c r="A6" s="11" t="n"/>
      <c r="B6" s="11" t="n"/>
      <c r="C6" s="11" t="n"/>
      <c r="D6" s="11" t="n"/>
      <c r="E6" s="11" t="n"/>
      <c r="F6" s="11" t="n"/>
      <c r="G6" s="12" t="n"/>
      <c r="H6" s="13" t="n"/>
      <c r="I6" s="11" t="n"/>
      <c r="J6" s="14" t="n"/>
    </row>
    <row r="7">
      <c r="A7" s="11" t="n"/>
      <c r="B7" s="11" t="n"/>
      <c r="C7" s="11" t="n"/>
      <c r="D7" s="11" t="n"/>
      <c r="E7" s="11" t="n"/>
      <c r="F7" s="11" t="n"/>
      <c r="G7" s="12" t="n"/>
      <c r="H7" s="13" t="n"/>
      <c r="I7" s="11" t="n"/>
      <c r="J7" s="14" t="n"/>
    </row>
    <row r="8">
      <c r="A8" s="11" t="n"/>
      <c r="B8" s="11" t="n"/>
      <c r="C8" s="11" t="n"/>
      <c r="D8" s="11" t="n"/>
      <c r="E8" s="11" t="n"/>
      <c r="F8" s="11" t="n"/>
      <c r="G8" s="12" t="n"/>
      <c r="H8" s="13" t="n"/>
      <c r="I8" s="11" t="n"/>
      <c r="J8" s="14" t="n"/>
    </row>
    <row r="9">
      <c r="A9" s="11" t="n"/>
      <c r="B9" s="11" t="n"/>
      <c r="C9" s="11" t="n"/>
      <c r="D9" s="11" t="n"/>
      <c r="E9" s="11" t="n"/>
      <c r="F9" s="11" t="n"/>
      <c r="G9" s="12" t="n"/>
      <c r="H9" s="13" t="n"/>
      <c r="I9" s="11" t="n"/>
      <c r="J9" s="14" t="n"/>
    </row>
    <row r="10">
      <c r="A10" s="11" t="n"/>
      <c r="B10" s="11" t="n"/>
      <c r="C10" s="11" t="n"/>
      <c r="D10" s="11" t="n"/>
      <c r="E10" s="11" t="n"/>
      <c r="F10" s="11" t="n"/>
      <c r="G10" s="12" t="n"/>
      <c r="H10" s="13" t="n"/>
      <c r="I10" s="11" t="n"/>
      <c r="J10" s="14" t="n"/>
    </row>
    <row r="11">
      <c r="A11" s="11" t="n"/>
      <c r="B11" s="11" t="n"/>
      <c r="C11" s="11" t="n"/>
      <c r="D11" s="11" t="n"/>
      <c r="E11" s="11" t="n"/>
      <c r="F11" s="11" t="n"/>
      <c r="G11" s="12" t="n"/>
      <c r="H11" s="13" t="n"/>
      <c r="I11" s="11" t="n"/>
      <c r="J11" s="14" t="n"/>
    </row>
    <row r="12">
      <c r="A12" s="11" t="n"/>
      <c r="B12" s="11" t="n"/>
      <c r="C12" s="11" t="n"/>
      <c r="D12" s="11" t="n"/>
      <c r="E12" s="11" t="n"/>
      <c r="F12" s="11" t="n"/>
      <c r="G12" s="12" t="n"/>
      <c r="H12" s="13" t="n"/>
      <c r="I12" s="11" t="n"/>
      <c r="J12" s="14" t="n"/>
    </row>
    <row r="13">
      <c r="A13" s="11" t="n"/>
      <c r="B13" s="11" t="n"/>
      <c r="C13" s="11" t="n"/>
      <c r="D13" s="11" t="n"/>
      <c r="E13" s="11" t="n"/>
      <c r="F13" s="11" t="n"/>
      <c r="G13" s="12" t="n"/>
      <c r="H13" s="13" t="n"/>
      <c r="I13" s="11" t="n"/>
      <c r="J13" s="14" t="n"/>
    </row>
    <row r="14">
      <c r="A14" s="11" t="n"/>
      <c r="B14" s="11" t="n"/>
      <c r="C14" s="11" t="n"/>
      <c r="D14" s="11" t="n"/>
      <c r="E14" s="11" t="n"/>
      <c r="F14" s="11" t="n"/>
      <c r="G14" s="12" t="n"/>
      <c r="H14" s="13" t="n"/>
      <c r="I14" s="11" t="n"/>
      <c r="J14" s="14" t="n"/>
    </row>
    <row r="15">
      <c r="A15" s="11" t="n"/>
      <c r="B15" s="11" t="n"/>
      <c r="C15" s="11" t="n"/>
      <c r="D15" s="11" t="n"/>
      <c r="E15" s="11" t="n"/>
      <c r="F15" s="11" t="n"/>
      <c r="G15" s="12" t="n"/>
      <c r="H15" s="13" t="n"/>
      <c r="I15" s="11" t="n"/>
      <c r="J15" s="14" t="n"/>
    </row>
    <row r="16">
      <c r="A16" s="11" t="n"/>
      <c r="B16" s="11" t="n"/>
      <c r="C16" s="11" t="n"/>
      <c r="D16" s="11" t="n"/>
      <c r="E16" s="11" t="n"/>
      <c r="F16" s="11" t="n"/>
      <c r="G16" s="12" t="n"/>
      <c r="H16" s="13" t="n"/>
      <c r="I16" s="11" t="n"/>
      <c r="J16" s="14" t="n"/>
    </row>
    <row r="17">
      <c r="A17" s="11" t="n"/>
      <c r="B17" s="11" t="n"/>
      <c r="C17" s="11" t="n"/>
      <c r="D17" s="11" t="n"/>
      <c r="E17" s="11" t="n"/>
      <c r="F17" s="11" t="n"/>
      <c r="G17" s="12" t="n"/>
      <c r="H17" s="13" t="n"/>
      <c r="I17" s="11" t="n"/>
      <c r="J17" s="14" t="n"/>
    </row>
    <row r="18">
      <c r="A18" s="11" t="n"/>
      <c r="B18" s="11" t="n"/>
      <c r="C18" s="11" t="n"/>
      <c r="D18" s="11" t="n"/>
      <c r="E18" s="11" t="n"/>
      <c r="F18" s="11" t="n"/>
      <c r="G18" s="12" t="n"/>
      <c r="H18" s="13" t="n"/>
      <c r="I18" s="11" t="n"/>
      <c r="J18" s="14" t="n"/>
    </row>
    <row r="19">
      <c r="A19" s="11" t="n"/>
      <c r="B19" s="11" t="n"/>
      <c r="C19" s="11" t="n"/>
      <c r="D19" s="11" t="n"/>
      <c r="E19" s="11" t="n"/>
      <c r="F19" s="11" t="n"/>
      <c r="G19" s="12" t="n"/>
      <c r="H19" s="13" t="n"/>
      <c r="I19" s="11" t="n"/>
      <c r="J19" s="14" t="n"/>
    </row>
    <row r="20">
      <c r="A20" s="11" t="n"/>
      <c r="B20" s="11" t="n"/>
      <c r="C20" s="11" t="n"/>
      <c r="D20" s="11" t="n"/>
      <c r="E20" s="11" t="n"/>
      <c r="F20" s="11" t="n"/>
      <c r="G20" s="12" t="n"/>
      <c r="H20" s="13" t="n"/>
      <c r="I20" s="11" t="n"/>
      <c r="J20" s="14" t="n"/>
    </row>
    <row r="21">
      <c r="A21" s="11" t="n"/>
      <c r="B21" s="11" t="n"/>
      <c r="C21" s="11" t="n"/>
      <c r="D21" s="11" t="n"/>
      <c r="E21" s="11" t="n"/>
      <c r="F21" s="11" t="n"/>
      <c r="G21" s="12" t="n"/>
      <c r="H21" s="13" t="n"/>
      <c r="I21" s="11" t="n"/>
      <c r="J21" s="14" t="n"/>
    </row>
    <row r="22">
      <c r="A22" s="11" t="n"/>
      <c r="B22" s="11" t="n"/>
      <c r="C22" s="11" t="n"/>
      <c r="D22" s="11" t="n"/>
      <c r="E22" s="11" t="n"/>
      <c r="F22" s="11" t="n"/>
      <c r="G22" s="12" t="n"/>
      <c r="H22" s="13" t="n"/>
      <c r="I22" s="11" t="n"/>
      <c r="J22" s="14" t="n"/>
    </row>
    <row r="23">
      <c r="A23" s="11" t="n"/>
      <c r="B23" s="11" t="n"/>
      <c r="C23" s="11" t="n"/>
      <c r="D23" s="11" t="n"/>
      <c r="E23" s="11" t="n"/>
      <c r="F23" s="11" t="n"/>
      <c r="G23" s="12" t="n"/>
      <c r="H23" s="13" t="n"/>
      <c r="I23" s="11" t="n"/>
      <c r="J23" s="14" t="n"/>
    </row>
    <row r="24">
      <c r="A24" s="11" t="n"/>
      <c r="B24" s="11" t="n"/>
      <c r="C24" s="11" t="n"/>
      <c r="D24" s="11" t="n"/>
      <c r="E24" s="11" t="n"/>
      <c r="F24" s="11" t="n"/>
      <c r="G24" s="12" t="n"/>
      <c r="H24" s="13" t="n"/>
      <c r="I24" s="11" t="n"/>
      <c r="J24" s="14" t="n"/>
    </row>
    <row r="25">
      <c r="A25" s="11" t="n"/>
      <c r="B25" s="11" t="n"/>
      <c r="C25" s="11" t="n"/>
      <c r="D25" s="11" t="n"/>
      <c r="E25" s="11" t="n"/>
      <c r="F25" s="11" t="n"/>
      <c r="G25" s="12" t="n"/>
      <c r="H25" s="13" t="n"/>
      <c r="I25" s="11" t="n"/>
      <c r="J25" s="14" t="n"/>
    </row>
    <row r="26">
      <c r="A26" s="11" t="n"/>
      <c r="B26" s="11" t="n"/>
      <c r="C26" s="11" t="n"/>
      <c r="D26" s="11" t="n"/>
      <c r="E26" s="11" t="n"/>
      <c r="F26" s="11" t="n"/>
      <c r="G26" s="12" t="n"/>
      <c r="H26" s="13" t="n"/>
      <c r="I26" s="11" t="n"/>
      <c r="J26" s="14" t="n"/>
    </row>
    <row r="27">
      <c r="A27" s="11" t="n"/>
      <c r="B27" s="11" t="n"/>
      <c r="C27" s="11" t="n"/>
      <c r="D27" s="11" t="n"/>
      <c r="E27" s="11" t="n"/>
      <c r="F27" s="11" t="n"/>
      <c r="G27" s="12" t="n"/>
      <c r="H27" s="13" t="n"/>
      <c r="I27" s="11" t="n"/>
      <c r="J27" s="14" t="n"/>
    </row>
    <row r="28">
      <c r="A28" s="11" t="n"/>
      <c r="B28" s="11" t="n"/>
      <c r="C28" s="11" t="n"/>
      <c r="D28" s="11" t="n"/>
      <c r="E28" s="11" t="n"/>
      <c r="F28" s="11" t="n"/>
      <c r="G28" s="12" t="n"/>
      <c r="H28" s="13" t="n"/>
      <c r="I28" s="11" t="n"/>
      <c r="J28" s="14" t="n"/>
    </row>
    <row r="29">
      <c r="A29" s="11" t="n"/>
      <c r="B29" s="11" t="n"/>
      <c r="C29" s="11" t="n"/>
      <c r="D29" s="11" t="n"/>
      <c r="E29" s="11" t="n"/>
      <c r="F29" s="11" t="n"/>
      <c r="G29" s="12" t="n"/>
      <c r="H29" s="13" t="n"/>
      <c r="I29" s="11" t="n"/>
      <c r="J29" s="14" t="n"/>
    </row>
    <row r="30">
      <c r="A30" s="11" t="n"/>
      <c r="B30" s="11" t="n"/>
      <c r="C30" s="11" t="n"/>
      <c r="D30" s="11" t="n"/>
      <c r="E30" s="11" t="n"/>
      <c r="F30" s="11" t="n"/>
      <c r="G30" s="12" t="n"/>
      <c r="H30" s="13" t="n"/>
      <c r="I30" s="11" t="n"/>
      <c r="J30" s="14" t="n"/>
    </row>
    <row r="31">
      <c r="A31" s="11" t="n"/>
      <c r="B31" s="11" t="n"/>
      <c r="C31" s="11" t="n"/>
      <c r="D31" s="11" t="n"/>
      <c r="E31" s="11" t="n"/>
      <c r="F31" s="11" t="n"/>
      <c r="G31" s="12" t="n"/>
      <c r="H31" s="13" t="n"/>
      <c r="I31" s="11" t="n"/>
      <c r="J31" s="14" t="n"/>
    </row>
    <row r="32">
      <c r="A32" s="11" t="n"/>
      <c r="B32" s="11" t="n"/>
      <c r="C32" s="11" t="n"/>
      <c r="D32" s="11" t="n"/>
      <c r="E32" s="11" t="n"/>
      <c r="F32" s="11" t="n"/>
      <c r="G32" s="12" t="n"/>
      <c r="H32" s="13" t="n"/>
      <c r="I32" s="11" t="n"/>
      <c r="J32" s="14" t="n"/>
    </row>
    <row r="33">
      <c r="A33" s="11" t="n"/>
      <c r="B33" s="11" t="n"/>
      <c r="C33" s="11" t="n"/>
      <c r="D33" s="11" t="n"/>
      <c r="E33" s="11" t="n"/>
      <c r="F33" s="11" t="n"/>
      <c r="G33" s="12" t="n"/>
      <c r="H33" s="13" t="n"/>
      <c r="I33" s="11" t="n"/>
      <c r="J33" s="14" t="n"/>
    </row>
    <row r="34">
      <c r="A34" s="11" t="n"/>
      <c r="B34" s="11" t="n"/>
      <c r="C34" s="11" t="n"/>
      <c r="D34" s="11" t="n"/>
      <c r="E34" s="11" t="n"/>
      <c r="F34" s="11" t="n"/>
      <c r="G34" s="12" t="n"/>
      <c r="H34" s="13" t="n"/>
      <c r="I34" s="11" t="n"/>
      <c r="J34" s="14" t="n"/>
    </row>
  </sheetData>
  <dataValidations count="3">
    <dataValidation sqref="B5:B34" showDropDown="0" showInputMessage="0" showErrorMessage="0" allowBlank="1" type="list">
      <formula1>"in store demo,retailer sampling,influencer drop,paid social burst,retailer feature,festival sampling"</formula1>
    </dataValidation>
    <dataValidation sqref="D5:D34" showDropDown="0" showInputMessage="0" showErrorMessage="0" allowBlank="1" type="list">
      <formula1>"ALL,Lime Lemon,Pineapple Passion Fruit,Raspberry"</formula1>
    </dataValidation>
    <dataValidation sqref="E5:F34" showDropDown="0" showInputMessage="0" showErrorMessage="0" allowBlank="1" type="whole" operator="between">
      <formula1>1</formula1>
      <formula2>13</formula2>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Q11"/>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16" customWidth="1" min="1" max="1"/>
    <col width="14" customWidth="1" min="2" max="2"/>
    <col width="8" customWidth="1" min="3" max="3"/>
    <col width="8" customWidth="1" min="4" max="4"/>
    <col width="8" customWidth="1" min="5" max="5"/>
    <col width="8" customWidth="1" min="6" max="6"/>
    <col width="8" customWidth="1" min="7" max="7"/>
    <col width="8" customWidth="1" min="8" max="8"/>
    <col width="8" customWidth="1" min="9" max="9"/>
    <col width="8" customWidth="1" min="10" max="10"/>
    <col width="8" customWidth="1" min="11" max="11"/>
    <col width="8" customWidth="1" min="12" max="12"/>
    <col width="8" customWidth="1" min="13" max="13"/>
    <col width="8" customWidth="1" min="14" max="14"/>
    <col width="8" customWidth="1" min="15" max="15"/>
    <col width="14" customWidth="1" min="16" max="16"/>
    <col width="14" customWidth="1" min="17" max="17"/>
  </cols>
  <sheetData>
    <row r="1">
      <c r="A1" s="1" t="inlineStr">
        <is>
          <t>Online Forecast</t>
        </is>
      </c>
    </row>
    <row r="2">
      <c r="A2" s="2" t="inlineStr">
        <is>
          <t>Units per week by SKU and channel. Ramp uses the same curve as door velocity, starting from week 1. Online volume sums into total at the case math stage and is not blended into door volume.</t>
        </is>
      </c>
    </row>
    <row r="4">
      <c r="A4" s="5" t="inlineStr">
        <is>
          <t>SKU</t>
        </is>
      </c>
      <c r="B4" s="5" t="inlineStr">
        <is>
          <t>Channel</t>
        </is>
      </c>
      <c r="C4" s="5" t="inlineStr">
        <is>
          <t>W1</t>
        </is>
      </c>
      <c r="D4" s="5" t="inlineStr">
        <is>
          <t>W2</t>
        </is>
      </c>
      <c r="E4" s="5" t="inlineStr">
        <is>
          <t>W3</t>
        </is>
      </c>
      <c r="F4" s="5" t="inlineStr">
        <is>
          <t>W4</t>
        </is>
      </c>
      <c r="G4" s="5" t="inlineStr">
        <is>
          <t>W5</t>
        </is>
      </c>
      <c r="H4" s="5" t="inlineStr">
        <is>
          <t>W6</t>
        </is>
      </c>
      <c r="I4" s="5" t="inlineStr">
        <is>
          <t>W7</t>
        </is>
      </c>
      <c r="J4" s="5" t="inlineStr">
        <is>
          <t>W8</t>
        </is>
      </c>
      <c r="K4" s="5" t="inlineStr">
        <is>
          <t>W9</t>
        </is>
      </c>
      <c r="L4" s="5" t="inlineStr">
        <is>
          <t>W10</t>
        </is>
      </c>
      <c r="M4" s="5" t="inlineStr">
        <is>
          <t>W11</t>
        </is>
      </c>
      <c r="N4" s="5" t="inlineStr">
        <is>
          <t>W12</t>
        </is>
      </c>
      <c r="O4" s="5" t="inlineStr">
        <is>
          <t>W13</t>
        </is>
      </c>
      <c r="P4" s="5" t="inlineStr">
        <is>
          <t>Total Units</t>
        </is>
      </c>
      <c r="Q4" s="5" t="inlineStr">
        <is>
          <t>Total Cases</t>
        </is>
      </c>
    </row>
    <row r="5">
      <c r="A5" t="inlineStr">
        <is>
          <t>Lime Lemon</t>
        </is>
      </c>
      <c r="B5" t="inlineStr">
        <is>
          <t>Amazon.ca</t>
        </is>
      </c>
      <c r="C5" s="15">
        <f>ROUND(INDEX(ONLINE_AMZ,1)*(IF(1=1,RAMP_W1,IF(1=2,RAMP_W2,IF(1=3,RAMP_W3,RAMP_W4PLUS))))*(INDEX(ACTIVE_MULT_TABLE,1,1)),0)</f>
        <v/>
      </c>
      <c r="D5" s="15">
        <f>ROUND(INDEX(ONLINE_AMZ,1)*(IF(2=1,RAMP_W1,IF(2=2,RAMP_W2,IF(2=3,RAMP_W3,RAMP_W4PLUS))))*(INDEX(ACTIVE_MULT_TABLE,1,1)),0)</f>
        <v/>
      </c>
      <c r="E5" s="15">
        <f>ROUND(INDEX(ONLINE_AMZ,1)*(IF(3=1,RAMP_W1,IF(3=2,RAMP_W2,IF(3=3,RAMP_W3,RAMP_W4PLUS))))*(INDEX(ACTIVE_MULT_TABLE,1,1)),0)</f>
        <v/>
      </c>
      <c r="F5" s="15">
        <f>ROUND(INDEX(ONLINE_AMZ,1)*(IF(4=1,RAMP_W1,IF(4=2,RAMP_W2,IF(4=3,RAMP_W3,RAMP_W4PLUS))))*(INDEX(ACTIVE_MULT_TABLE,1,1)),0)</f>
        <v/>
      </c>
      <c r="G5" s="15">
        <f>ROUND(INDEX(ONLINE_AMZ,1)*(IF(5=1,RAMP_W1,IF(5=2,RAMP_W2,IF(5=3,RAMP_W3,RAMP_W4PLUS))))*(INDEX(ACTIVE_MULT_TABLE,1,1)),0)</f>
        <v/>
      </c>
      <c r="H5" s="15">
        <f>ROUND(INDEX(ONLINE_AMZ,1)*(IF(6=1,RAMP_W1,IF(6=2,RAMP_W2,IF(6=3,RAMP_W3,RAMP_W4PLUS))))*(INDEX(ACTIVE_MULT_TABLE,1,1)),0)</f>
        <v/>
      </c>
      <c r="I5" s="15">
        <f>ROUND(INDEX(ONLINE_AMZ,1)*(IF(7=1,RAMP_W1,IF(7=2,RAMP_W2,IF(7=3,RAMP_W3,RAMP_W4PLUS))))*(INDEX(ACTIVE_MULT_TABLE,1,1)),0)</f>
        <v/>
      </c>
      <c r="J5" s="15">
        <f>ROUND(INDEX(ONLINE_AMZ,1)*(IF(8=1,RAMP_W1,IF(8=2,RAMP_W2,IF(8=3,RAMP_W3,RAMP_W4PLUS))))*(INDEX(ACTIVE_MULT_TABLE,1,1)),0)</f>
        <v/>
      </c>
      <c r="K5" s="15">
        <f>ROUND(INDEX(ONLINE_AMZ,1)*(IF(9=1,RAMP_W1,IF(9=2,RAMP_W2,IF(9=3,RAMP_W3,RAMP_W4PLUS))))*(INDEX(ACTIVE_MULT_TABLE,1,1)),0)</f>
        <v/>
      </c>
      <c r="L5" s="15">
        <f>ROUND(INDEX(ONLINE_AMZ,1)*(IF(10=1,RAMP_W1,IF(10=2,RAMP_W2,IF(10=3,RAMP_W3,RAMP_W4PLUS))))*(INDEX(ACTIVE_MULT_TABLE,1,1)),0)</f>
        <v/>
      </c>
      <c r="M5" s="15">
        <f>ROUND(INDEX(ONLINE_AMZ,1)*(IF(11=1,RAMP_W1,IF(11=2,RAMP_W2,IF(11=3,RAMP_W3,RAMP_W4PLUS))))*(INDEX(ACTIVE_MULT_TABLE,1,1)),0)</f>
        <v/>
      </c>
      <c r="N5" s="15">
        <f>ROUND(INDEX(ONLINE_AMZ,1)*(IF(12=1,RAMP_W1,IF(12=2,RAMP_W2,IF(12=3,RAMP_W3,RAMP_W4PLUS))))*(INDEX(ACTIVE_MULT_TABLE,1,1)),0)</f>
        <v/>
      </c>
      <c r="O5" s="15">
        <f>ROUND(INDEX(ONLINE_AMZ,1)*(IF(13=1,RAMP_W1,IF(13=2,RAMP_W2,IF(13=3,RAMP_W3,RAMP_W4PLUS))))*(INDEX(ACTIVE_MULT_TABLE,1,1)),0)</f>
        <v/>
      </c>
      <c r="P5" s="16">
        <f>SUM(C5:O5)</f>
        <v/>
      </c>
      <c r="Q5" s="16">
        <f>ROUNDUP(P5/UNITS_PER_CASE,0)</f>
        <v/>
      </c>
    </row>
    <row r="6">
      <c r="A6" t="inlineStr">
        <is>
          <t>Lime Lemon</t>
        </is>
      </c>
      <c r="B6" t="inlineStr">
        <is>
          <t>Shopify DTC</t>
        </is>
      </c>
      <c r="C6" s="15">
        <f>ROUND(INDEX(ONLINE_DTC,1)*(IF(1=1,RAMP_W1,IF(1=2,RAMP_W2,IF(1=3,RAMP_W3,RAMP_W4PLUS))))*(INDEX(ACTIVE_MULT_TABLE,1,1)),0)</f>
        <v/>
      </c>
      <c r="D6" s="15">
        <f>ROUND(INDEX(ONLINE_DTC,1)*(IF(2=1,RAMP_W1,IF(2=2,RAMP_W2,IF(2=3,RAMP_W3,RAMP_W4PLUS))))*(INDEX(ACTIVE_MULT_TABLE,1,1)),0)</f>
        <v/>
      </c>
      <c r="E6" s="15">
        <f>ROUND(INDEX(ONLINE_DTC,1)*(IF(3=1,RAMP_W1,IF(3=2,RAMP_W2,IF(3=3,RAMP_W3,RAMP_W4PLUS))))*(INDEX(ACTIVE_MULT_TABLE,1,1)),0)</f>
        <v/>
      </c>
      <c r="F6" s="15">
        <f>ROUND(INDEX(ONLINE_DTC,1)*(IF(4=1,RAMP_W1,IF(4=2,RAMP_W2,IF(4=3,RAMP_W3,RAMP_W4PLUS))))*(INDEX(ACTIVE_MULT_TABLE,1,1)),0)</f>
        <v/>
      </c>
      <c r="G6" s="15">
        <f>ROUND(INDEX(ONLINE_DTC,1)*(IF(5=1,RAMP_W1,IF(5=2,RAMP_W2,IF(5=3,RAMP_W3,RAMP_W4PLUS))))*(INDEX(ACTIVE_MULT_TABLE,1,1)),0)</f>
        <v/>
      </c>
      <c r="H6" s="15">
        <f>ROUND(INDEX(ONLINE_DTC,1)*(IF(6=1,RAMP_W1,IF(6=2,RAMP_W2,IF(6=3,RAMP_W3,RAMP_W4PLUS))))*(INDEX(ACTIVE_MULT_TABLE,1,1)),0)</f>
        <v/>
      </c>
      <c r="I6" s="15">
        <f>ROUND(INDEX(ONLINE_DTC,1)*(IF(7=1,RAMP_W1,IF(7=2,RAMP_W2,IF(7=3,RAMP_W3,RAMP_W4PLUS))))*(INDEX(ACTIVE_MULT_TABLE,1,1)),0)</f>
        <v/>
      </c>
      <c r="J6" s="15">
        <f>ROUND(INDEX(ONLINE_DTC,1)*(IF(8=1,RAMP_W1,IF(8=2,RAMP_W2,IF(8=3,RAMP_W3,RAMP_W4PLUS))))*(INDEX(ACTIVE_MULT_TABLE,1,1)),0)</f>
        <v/>
      </c>
      <c r="K6" s="15">
        <f>ROUND(INDEX(ONLINE_DTC,1)*(IF(9=1,RAMP_W1,IF(9=2,RAMP_W2,IF(9=3,RAMP_W3,RAMP_W4PLUS))))*(INDEX(ACTIVE_MULT_TABLE,1,1)),0)</f>
        <v/>
      </c>
      <c r="L6" s="15">
        <f>ROUND(INDEX(ONLINE_DTC,1)*(IF(10=1,RAMP_W1,IF(10=2,RAMP_W2,IF(10=3,RAMP_W3,RAMP_W4PLUS))))*(INDEX(ACTIVE_MULT_TABLE,1,1)),0)</f>
        <v/>
      </c>
      <c r="M6" s="15">
        <f>ROUND(INDEX(ONLINE_DTC,1)*(IF(11=1,RAMP_W1,IF(11=2,RAMP_W2,IF(11=3,RAMP_W3,RAMP_W4PLUS))))*(INDEX(ACTIVE_MULT_TABLE,1,1)),0)</f>
        <v/>
      </c>
      <c r="N6" s="15">
        <f>ROUND(INDEX(ONLINE_DTC,1)*(IF(12=1,RAMP_W1,IF(12=2,RAMP_W2,IF(12=3,RAMP_W3,RAMP_W4PLUS))))*(INDEX(ACTIVE_MULT_TABLE,1,1)),0)</f>
        <v/>
      </c>
      <c r="O6" s="15">
        <f>ROUND(INDEX(ONLINE_DTC,1)*(IF(13=1,RAMP_W1,IF(13=2,RAMP_W2,IF(13=3,RAMP_W3,RAMP_W4PLUS))))*(INDEX(ACTIVE_MULT_TABLE,1,1)),0)</f>
        <v/>
      </c>
      <c r="P6" s="16">
        <f>SUM(C6:O6)</f>
        <v/>
      </c>
      <c r="Q6" s="16">
        <f>ROUNDUP(P6/UNITS_PER_CASE,0)</f>
        <v/>
      </c>
    </row>
    <row r="7">
      <c r="A7" t="inlineStr">
        <is>
          <t>Pineapple Passion Fruit</t>
        </is>
      </c>
      <c r="B7" t="inlineStr">
        <is>
          <t>Amazon.ca</t>
        </is>
      </c>
      <c r="C7" s="15">
        <f>ROUND(INDEX(ONLINE_AMZ,2)*(IF(1=1,RAMP_W1,IF(1=2,RAMP_W2,IF(1=3,RAMP_W3,RAMP_W4PLUS))))*(INDEX(ACTIVE_MULT_TABLE,2,1)),0)</f>
        <v/>
      </c>
      <c r="D7" s="15">
        <f>ROUND(INDEX(ONLINE_AMZ,2)*(IF(2=1,RAMP_W1,IF(2=2,RAMP_W2,IF(2=3,RAMP_W3,RAMP_W4PLUS))))*(INDEX(ACTIVE_MULT_TABLE,2,1)),0)</f>
        <v/>
      </c>
      <c r="E7" s="15">
        <f>ROUND(INDEX(ONLINE_AMZ,2)*(IF(3=1,RAMP_W1,IF(3=2,RAMP_W2,IF(3=3,RAMP_W3,RAMP_W4PLUS))))*(INDEX(ACTIVE_MULT_TABLE,2,1)),0)</f>
        <v/>
      </c>
      <c r="F7" s="15">
        <f>ROUND(INDEX(ONLINE_AMZ,2)*(IF(4=1,RAMP_W1,IF(4=2,RAMP_W2,IF(4=3,RAMP_W3,RAMP_W4PLUS))))*(INDEX(ACTIVE_MULT_TABLE,2,1)),0)</f>
        <v/>
      </c>
      <c r="G7" s="15">
        <f>ROUND(INDEX(ONLINE_AMZ,2)*(IF(5=1,RAMP_W1,IF(5=2,RAMP_W2,IF(5=3,RAMP_W3,RAMP_W4PLUS))))*(INDEX(ACTIVE_MULT_TABLE,2,1)),0)</f>
        <v/>
      </c>
      <c r="H7" s="15">
        <f>ROUND(INDEX(ONLINE_AMZ,2)*(IF(6=1,RAMP_W1,IF(6=2,RAMP_W2,IF(6=3,RAMP_W3,RAMP_W4PLUS))))*(INDEX(ACTIVE_MULT_TABLE,2,1)),0)</f>
        <v/>
      </c>
      <c r="I7" s="15">
        <f>ROUND(INDEX(ONLINE_AMZ,2)*(IF(7=1,RAMP_W1,IF(7=2,RAMP_W2,IF(7=3,RAMP_W3,RAMP_W4PLUS))))*(INDEX(ACTIVE_MULT_TABLE,2,1)),0)</f>
        <v/>
      </c>
      <c r="J7" s="15">
        <f>ROUND(INDEX(ONLINE_AMZ,2)*(IF(8=1,RAMP_W1,IF(8=2,RAMP_W2,IF(8=3,RAMP_W3,RAMP_W4PLUS))))*(INDEX(ACTIVE_MULT_TABLE,2,1)),0)</f>
        <v/>
      </c>
      <c r="K7" s="15">
        <f>ROUND(INDEX(ONLINE_AMZ,2)*(IF(9=1,RAMP_W1,IF(9=2,RAMP_W2,IF(9=3,RAMP_W3,RAMP_W4PLUS))))*(INDEX(ACTIVE_MULT_TABLE,2,1)),0)</f>
        <v/>
      </c>
      <c r="L7" s="15">
        <f>ROUND(INDEX(ONLINE_AMZ,2)*(IF(10=1,RAMP_W1,IF(10=2,RAMP_W2,IF(10=3,RAMP_W3,RAMP_W4PLUS))))*(INDEX(ACTIVE_MULT_TABLE,2,1)),0)</f>
        <v/>
      </c>
      <c r="M7" s="15">
        <f>ROUND(INDEX(ONLINE_AMZ,2)*(IF(11=1,RAMP_W1,IF(11=2,RAMP_W2,IF(11=3,RAMP_W3,RAMP_W4PLUS))))*(INDEX(ACTIVE_MULT_TABLE,2,1)),0)</f>
        <v/>
      </c>
      <c r="N7" s="15">
        <f>ROUND(INDEX(ONLINE_AMZ,2)*(IF(12=1,RAMP_W1,IF(12=2,RAMP_W2,IF(12=3,RAMP_W3,RAMP_W4PLUS))))*(INDEX(ACTIVE_MULT_TABLE,2,1)),0)</f>
        <v/>
      </c>
      <c r="O7" s="15">
        <f>ROUND(INDEX(ONLINE_AMZ,2)*(IF(13=1,RAMP_W1,IF(13=2,RAMP_W2,IF(13=3,RAMP_W3,RAMP_W4PLUS))))*(INDEX(ACTIVE_MULT_TABLE,2,1)),0)</f>
        <v/>
      </c>
      <c r="P7" s="16">
        <f>SUM(C7:O7)</f>
        <v/>
      </c>
      <c r="Q7" s="16">
        <f>ROUNDUP(P7/UNITS_PER_CASE,0)</f>
        <v/>
      </c>
    </row>
    <row r="8">
      <c r="A8" t="inlineStr">
        <is>
          <t>Pineapple Passion Fruit</t>
        </is>
      </c>
      <c r="B8" t="inlineStr">
        <is>
          <t>Shopify DTC</t>
        </is>
      </c>
      <c r="C8" s="15">
        <f>ROUND(INDEX(ONLINE_DTC,2)*(IF(1=1,RAMP_W1,IF(1=2,RAMP_W2,IF(1=3,RAMP_W3,RAMP_W4PLUS))))*(INDEX(ACTIVE_MULT_TABLE,2,1)),0)</f>
        <v/>
      </c>
      <c r="D8" s="15">
        <f>ROUND(INDEX(ONLINE_DTC,2)*(IF(2=1,RAMP_W1,IF(2=2,RAMP_W2,IF(2=3,RAMP_W3,RAMP_W4PLUS))))*(INDEX(ACTIVE_MULT_TABLE,2,1)),0)</f>
        <v/>
      </c>
      <c r="E8" s="15">
        <f>ROUND(INDEX(ONLINE_DTC,2)*(IF(3=1,RAMP_W1,IF(3=2,RAMP_W2,IF(3=3,RAMP_W3,RAMP_W4PLUS))))*(INDEX(ACTIVE_MULT_TABLE,2,1)),0)</f>
        <v/>
      </c>
      <c r="F8" s="15">
        <f>ROUND(INDEX(ONLINE_DTC,2)*(IF(4=1,RAMP_W1,IF(4=2,RAMP_W2,IF(4=3,RAMP_W3,RAMP_W4PLUS))))*(INDEX(ACTIVE_MULT_TABLE,2,1)),0)</f>
        <v/>
      </c>
      <c r="G8" s="15">
        <f>ROUND(INDEX(ONLINE_DTC,2)*(IF(5=1,RAMP_W1,IF(5=2,RAMP_W2,IF(5=3,RAMP_W3,RAMP_W4PLUS))))*(INDEX(ACTIVE_MULT_TABLE,2,1)),0)</f>
        <v/>
      </c>
      <c r="H8" s="15">
        <f>ROUND(INDEX(ONLINE_DTC,2)*(IF(6=1,RAMP_W1,IF(6=2,RAMP_W2,IF(6=3,RAMP_W3,RAMP_W4PLUS))))*(INDEX(ACTIVE_MULT_TABLE,2,1)),0)</f>
        <v/>
      </c>
      <c r="I8" s="15">
        <f>ROUND(INDEX(ONLINE_DTC,2)*(IF(7=1,RAMP_W1,IF(7=2,RAMP_W2,IF(7=3,RAMP_W3,RAMP_W4PLUS))))*(INDEX(ACTIVE_MULT_TABLE,2,1)),0)</f>
        <v/>
      </c>
      <c r="J8" s="15">
        <f>ROUND(INDEX(ONLINE_DTC,2)*(IF(8=1,RAMP_W1,IF(8=2,RAMP_W2,IF(8=3,RAMP_W3,RAMP_W4PLUS))))*(INDEX(ACTIVE_MULT_TABLE,2,1)),0)</f>
        <v/>
      </c>
      <c r="K8" s="15">
        <f>ROUND(INDEX(ONLINE_DTC,2)*(IF(9=1,RAMP_W1,IF(9=2,RAMP_W2,IF(9=3,RAMP_W3,RAMP_W4PLUS))))*(INDEX(ACTIVE_MULT_TABLE,2,1)),0)</f>
        <v/>
      </c>
      <c r="L8" s="15">
        <f>ROUND(INDEX(ONLINE_DTC,2)*(IF(10=1,RAMP_W1,IF(10=2,RAMP_W2,IF(10=3,RAMP_W3,RAMP_W4PLUS))))*(INDEX(ACTIVE_MULT_TABLE,2,1)),0)</f>
        <v/>
      </c>
      <c r="M8" s="15">
        <f>ROUND(INDEX(ONLINE_DTC,2)*(IF(11=1,RAMP_W1,IF(11=2,RAMP_W2,IF(11=3,RAMP_W3,RAMP_W4PLUS))))*(INDEX(ACTIVE_MULT_TABLE,2,1)),0)</f>
        <v/>
      </c>
      <c r="N8" s="15">
        <f>ROUND(INDEX(ONLINE_DTC,2)*(IF(12=1,RAMP_W1,IF(12=2,RAMP_W2,IF(12=3,RAMP_W3,RAMP_W4PLUS))))*(INDEX(ACTIVE_MULT_TABLE,2,1)),0)</f>
        <v/>
      </c>
      <c r="O8" s="15">
        <f>ROUND(INDEX(ONLINE_DTC,2)*(IF(13=1,RAMP_W1,IF(13=2,RAMP_W2,IF(13=3,RAMP_W3,RAMP_W4PLUS))))*(INDEX(ACTIVE_MULT_TABLE,2,1)),0)</f>
        <v/>
      </c>
      <c r="P8" s="16">
        <f>SUM(C8:O8)</f>
        <v/>
      </c>
      <c r="Q8" s="16">
        <f>ROUNDUP(P8/UNITS_PER_CASE,0)</f>
        <v/>
      </c>
    </row>
    <row r="9">
      <c r="A9" t="inlineStr">
        <is>
          <t>Raspberry</t>
        </is>
      </c>
      <c r="B9" t="inlineStr">
        <is>
          <t>Amazon.ca</t>
        </is>
      </c>
      <c r="C9" s="15">
        <f>ROUND(INDEX(ONLINE_AMZ,3)*(IF(1=1,RAMP_W1,IF(1=2,RAMP_W2,IF(1=3,RAMP_W3,RAMP_W4PLUS))))*(INDEX(ACTIVE_MULT_TABLE,3,1)),0)</f>
        <v/>
      </c>
      <c r="D9" s="15">
        <f>ROUND(INDEX(ONLINE_AMZ,3)*(IF(2=1,RAMP_W1,IF(2=2,RAMP_W2,IF(2=3,RAMP_W3,RAMP_W4PLUS))))*(INDEX(ACTIVE_MULT_TABLE,3,1)),0)</f>
        <v/>
      </c>
      <c r="E9" s="15">
        <f>ROUND(INDEX(ONLINE_AMZ,3)*(IF(3=1,RAMP_W1,IF(3=2,RAMP_W2,IF(3=3,RAMP_W3,RAMP_W4PLUS))))*(INDEX(ACTIVE_MULT_TABLE,3,1)),0)</f>
        <v/>
      </c>
      <c r="F9" s="15">
        <f>ROUND(INDEX(ONLINE_AMZ,3)*(IF(4=1,RAMP_W1,IF(4=2,RAMP_W2,IF(4=3,RAMP_W3,RAMP_W4PLUS))))*(INDEX(ACTIVE_MULT_TABLE,3,1)),0)</f>
        <v/>
      </c>
      <c r="G9" s="15">
        <f>ROUND(INDEX(ONLINE_AMZ,3)*(IF(5=1,RAMP_W1,IF(5=2,RAMP_W2,IF(5=3,RAMP_W3,RAMP_W4PLUS))))*(INDEX(ACTIVE_MULT_TABLE,3,1)),0)</f>
        <v/>
      </c>
      <c r="H9" s="15">
        <f>ROUND(INDEX(ONLINE_AMZ,3)*(IF(6=1,RAMP_W1,IF(6=2,RAMP_W2,IF(6=3,RAMP_W3,RAMP_W4PLUS))))*(INDEX(ACTIVE_MULT_TABLE,3,1)),0)</f>
        <v/>
      </c>
      <c r="I9" s="15">
        <f>ROUND(INDEX(ONLINE_AMZ,3)*(IF(7=1,RAMP_W1,IF(7=2,RAMP_W2,IF(7=3,RAMP_W3,RAMP_W4PLUS))))*(INDEX(ACTIVE_MULT_TABLE,3,1)),0)</f>
        <v/>
      </c>
      <c r="J9" s="15">
        <f>ROUND(INDEX(ONLINE_AMZ,3)*(IF(8=1,RAMP_W1,IF(8=2,RAMP_W2,IF(8=3,RAMP_W3,RAMP_W4PLUS))))*(INDEX(ACTIVE_MULT_TABLE,3,1)),0)</f>
        <v/>
      </c>
      <c r="K9" s="15">
        <f>ROUND(INDEX(ONLINE_AMZ,3)*(IF(9=1,RAMP_W1,IF(9=2,RAMP_W2,IF(9=3,RAMP_W3,RAMP_W4PLUS))))*(INDEX(ACTIVE_MULT_TABLE,3,1)),0)</f>
        <v/>
      </c>
      <c r="L9" s="15">
        <f>ROUND(INDEX(ONLINE_AMZ,3)*(IF(10=1,RAMP_W1,IF(10=2,RAMP_W2,IF(10=3,RAMP_W3,RAMP_W4PLUS))))*(INDEX(ACTIVE_MULT_TABLE,3,1)),0)</f>
        <v/>
      </c>
      <c r="M9" s="15">
        <f>ROUND(INDEX(ONLINE_AMZ,3)*(IF(11=1,RAMP_W1,IF(11=2,RAMP_W2,IF(11=3,RAMP_W3,RAMP_W4PLUS))))*(INDEX(ACTIVE_MULT_TABLE,3,1)),0)</f>
        <v/>
      </c>
      <c r="N9" s="15">
        <f>ROUND(INDEX(ONLINE_AMZ,3)*(IF(12=1,RAMP_W1,IF(12=2,RAMP_W2,IF(12=3,RAMP_W3,RAMP_W4PLUS))))*(INDEX(ACTIVE_MULT_TABLE,3,1)),0)</f>
        <v/>
      </c>
      <c r="O9" s="15">
        <f>ROUND(INDEX(ONLINE_AMZ,3)*(IF(13=1,RAMP_W1,IF(13=2,RAMP_W2,IF(13=3,RAMP_W3,RAMP_W4PLUS))))*(INDEX(ACTIVE_MULT_TABLE,3,1)),0)</f>
        <v/>
      </c>
      <c r="P9" s="16">
        <f>SUM(C9:O9)</f>
        <v/>
      </c>
      <c r="Q9" s="16">
        <f>ROUNDUP(P9/UNITS_PER_CASE,0)</f>
        <v/>
      </c>
    </row>
    <row r="10">
      <c r="A10" t="inlineStr">
        <is>
          <t>Raspberry</t>
        </is>
      </c>
      <c r="B10" t="inlineStr">
        <is>
          <t>Shopify DTC</t>
        </is>
      </c>
      <c r="C10" s="15">
        <f>ROUND(INDEX(ONLINE_DTC,3)*(IF(1=1,RAMP_W1,IF(1=2,RAMP_W2,IF(1=3,RAMP_W3,RAMP_W4PLUS))))*(INDEX(ACTIVE_MULT_TABLE,3,1)),0)</f>
        <v/>
      </c>
      <c r="D10" s="15">
        <f>ROUND(INDEX(ONLINE_DTC,3)*(IF(2=1,RAMP_W1,IF(2=2,RAMP_W2,IF(2=3,RAMP_W3,RAMP_W4PLUS))))*(INDEX(ACTIVE_MULT_TABLE,3,1)),0)</f>
        <v/>
      </c>
      <c r="E10" s="15">
        <f>ROUND(INDEX(ONLINE_DTC,3)*(IF(3=1,RAMP_W1,IF(3=2,RAMP_W2,IF(3=3,RAMP_W3,RAMP_W4PLUS))))*(INDEX(ACTIVE_MULT_TABLE,3,1)),0)</f>
        <v/>
      </c>
      <c r="F10" s="15">
        <f>ROUND(INDEX(ONLINE_DTC,3)*(IF(4=1,RAMP_W1,IF(4=2,RAMP_W2,IF(4=3,RAMP_W3,RAMP_W4PLUS))))*(INDEX(ACTIVE_MULT_TABLE,3,1)),0)</f>
        <v/>
      </c>
      <c r="G10" s="15">
        <f>ROUND(INDEX(ONLINE_DTC,3)*(IF(5=1,RAMP_W1,IF(5=2,RAMP_W2,IF(5=3,RAMP_W3,RAMP_W4PLUS))))*(INDEX(ACTIVE_MULT_TABLE,3,1)),0)</f>
        <v/>
      </c>
      <c r="H10" s="15">
        <f>ROUND(INDEX(ONLINE_DTC,3)*(IF(6=1,RAMP_W1,IF(6=2,RAMP_W2,IF(6=3,RAMP_W3,RAMP_W4PLUS))))*(INDEX(ACTIVE_MULT_TABLE,3,1)),0)</f>
        <v/>
      </c>
      <c r="I10" s="15">
        <f>ROUND(INDEX(ONLINE_DTC,3)*(IF(7=1,RAMP_W1,IF(7=2,RAMP_W2,IF(7=3,RAMP_W3,RAMP_W4PLUS))))*(INDEX(ACTIVE_MULT_TABLE,3,1)),0)</f>
        <v/>
      </c>
      <c r="J10" s="15">
        <f>ROUND(INDEX(ONLINE_DTC,3)*(IF(8=1,RAMP_W1,IF(8=2,RAMP_W2,IF(8=3,RAMP_W3,RAMP_W4PLUS))))*(INDEX(ACTIVE_MULT_TABLE,3,1)),0)</f>
        <v/>
      </c>
      <c r="K10" s="15">
        <f>ROUND(INDEX(ONLINE_DTC,3)*(IF(9=1,RAMP_W1,IF(9=2,RAMP_W2,IF(9=3,RAMP_W3,RAMP_W4PLUS))))*(INDEX(ACTIVE_MULT_TABLE,3,1)),0)</f>
        <v/>
      </c>
      <c r="L10" s="15">
        <f>ROUND(INDEX(ONLINE_DTC,3)*(IF(10=1,RAMP_W1,IF(10=2,RAMP_W2,IF(10=3,RAMP_W3,RAMP_W4PLUS))))*(INDEX(ACTIVE_MULT_TABLE,3,1)),0)</f>
        <v/>
      </c>
      <c r="M10" s="15">
        <f>ROUND(INDEX(ONLINE_DTC,3)*(IF(11=1,RAMP_W1,IF(11=2,RAMP_W2,IF(11=3,RAMP_W3,RAMP_W4PLUS))))*(INDEX(ACTIVE_MULT_TABLE,3,1)),0)</f>
        <v/>
      </c>
      <c r="N10" s="15">
        <f>ROUND(INDEX(ONLINE_DTC,3)*(IF(12=1,RAMP_W1,IF(12=2,RAMP_W2,IF(12=3,RAMP_W3,RAMP_W4PLUS))))*(INDEX(ACTIVE_MULT_TABLE,3,1)),0)</f>
        <v/>
      </c>
      <c r="O10" s="15">
        <f>ROUND(INDEX(ONLINE_DTC,3)*(IF(13=1,RAMP_W1,IF(13=2,RAMP_W2,IF(13=3,RAMP_W3,RAMP_W4PLUS))))*(INDEX(ACTIVE_MULT_TABLE,3,1)),0)</f>
        <v/>
      </c>
      <c r="P10" s="16">
        <f>SUM(C10:O10)</f>
        <v/>
      </c>
      <c r="Q10" s="16">
        <f>ROUNDUP(P10/UNITS_PER_CASE,0)</f>
        <v/>
      </c>
    </row>
    <row r="11">
      <c r="A11" s="17" t="inlineStr">
        <is>
          <t>Channel total units</t>
        </is>
      </c>
      <c r="C11" s="18">
        <f>SUM(C5:C10)</f>
        <v/>
      </c>
      <c r="D11" s="18">
        <f>SUM(D5:D10)</f>
        <v/>
      </c>
      <c r="E11" s="18">
        <f>SUM(E5:E10)</f>
        <v/>
      </c>
      <c r="F11" s="18">
        <f>SUM(F5:F10)</f>
        <v/>
      </c>
      <c r="G11" s="18">
        <f>SUM(G5:G10)</f>
        <v/>
      </c>
      <c r="H11" s="18">
        <f>SUM(H5:H10)</f>
        <v/>
      </c>
      <c r="I11" s="18">
        <f>SUM(I5:I10)</f>
        <v/>
      </c>
      <c r="J11" s="18">
        <f>SUM(J5:J10)</f>
        <v/>
      </c>
      <c r="K11" s="18">
        <f>SUM(K5:K10)</f>
        <v/>
      </c>
      <c r="L11" s="18">
        <f>SUM(L5:L10)</f>
        <v/>
      </c>
      <c r="M11" s="18">
        <f>SUM(M5:M10)</f>
        <v/>
      </c>
      <c r="N11" s="18">
        <f>SUM(N5:N10)</f>
        <v/>
      </c>
      <c r="O11" s="18">
        <f>SUM(O5:O10)</f>
        <v/>
      </c>
      <c r="P11" s="18">
        <f>SUM(P5:P10)</f>
        <v/>
      </c>
      <c r="Q11" s="18">
        <f>SUM(Q5:Q10)</f>
        <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57"/>
  <sheetViews>
    <sheetView showGridLines="0" workbookViewId="0">
      <selection activeCell="A1" sqref="A1"/>
    </sheetView>
  </sheetViews>
  <sheetFormatPr baseColWidth="8" defaultRowHeight="15"/>
  <cols>
    <col width="22" customWidth="1" min="1" max="1"/>
    <col width="18" customWidth="1" min="2" max="2"/>
    <col width="26" customWidth="1" min="3" max="3"/>
    <col width="16" customWidth="1" min="4" max="4"/>
    <col width="14" customWidth="1" min="5" max="5"/>
    <col width="18" customWidth="1" min="6" max="6"/>
    <col width="26" customWidth="1" min="7" max="7"/>
    <col width="16" customWidth="1" min="8" max="8"/>
    <col width="14" customWidth="1" min="9" max="9"/>
    <col width="12" customWidth="1" min="10" max="10"/>
    <col width="12" customWidth="1" min="11" max="11"/>
    <col width="12" customWidth="1" min="12" max="12"/>
    <col width="12" customWidth="1" min="13" max="13"/>
    <col width="12" customWidth="1" min="14" max="14"/>
    <col width="12" customWidth="1" min="15" max="15"/>
  </cols>
  <sheetData>
    <row r="1">
      <c r="A1" s="1" t="inlineStr">
        <is>
          <t>Weekly Forecast</t>
        </is>
      </c>
    </row>
    <row r="2">
      <c r="A2" s="2" t="inlineStr">
        <is>
          <t>Aggregates Velocity Grid by week, SKU, region, banner, and tier. Units sum directly. Cases round up at the door level then sum. Cross check cell compares total units against the Velocity Grid sum and flags any mismatch.</t>
        </is>
      </c>
    </row>
    <row r="4">
      <c r="A4" s="3" t="inlineStr">
        <is>
          <t>By week</t>
        </is>
      </c>
    </row>
    <row r="5">
      <c r="A5" s="5" t="inlineStr">
        <is>
          <t>Week</t>
        </is>
      </c>
      <c r="B5" s="5" t="inlineStr">
        <is>
          <t>Lime Lemon units</t>
        </is>
      </c>
      <c r="C5" s="5" t="inlineStr">
        <is>
          <t>Pineapple Passion Fruit units</t>
        </is>
      </c>
      <c r="D5" s="5" t="inlineStr">
        <is>
          <t>Raspberry units</t>
        </is>
      </c>
      <c r="E5" s="5" t="inlineStr">
        <is>
          <t>Total units</t>
        </is>
      </c>
      <c r="F5" s="5" t="inlineStr">
        <is>
          <t>Lime Lemon cases</t>
        </is>
      </c>
      <c r="G5" s="5" t="inlineStr">
        <is>
          <t>Pineapple Passion Fruit cases</t>
        </is>
      </c>
      <c r="H5" s="5" t="inlineStr">
        <is>
          <t>Raspberry cases</t>
        </is>
      </c>
      <c r="I5" s="5" t="inlineStr">
        <is>
          <t>Total cases</t>
        </is>
      </c>
    </row>
    <row r="6">
      <c r="A6" t="inlineStr">
        <is>
          <t>W1</t>
        </is>
      </c>
      <c r="B6" s="16">
        <f>SUMPRODUCT((VG_SKU="Lime Lemon")*VG_W1)</f>
        <v/>
      </c>
      <c r="C6" s="16">
        <f>SUMPRODUCT((VG_SKU="Pineapple Passion Fruit")*VG_W1)</f>
        <v/>
      </c>
      <c r="D6" s="16">
        <f>SUMPRODUCT((VG_SKU="Raspberry")*VG_W1)</f>
        <v/>
      </c>
      <c r="E6" s="16">
        <f>SUM(B6:D6)</f>
        <v/>
      </c>
      <c r="F6" s="16">
        <f>SUMPRODUCT((VG_SKU="Lime Lemon")*(VG_W1&gt;0)*(CEILING(VG_W1,UNITS_PER_CASE)/UNITS_PER_CASE))</f>
        <v/>
      </c>
      <c r="G6" s="16">
        <f>SUMPRODUCT((VG_SKU="Pineapple Passion Fruit")*(VG_W1&gt;0)*(CEILING(VG_W1,UNITS_PER_CASE)/UNITS_PER_CASE))</f>
        <v/>
      </c>
      <c r="H6" s="16">
        <f>SUMPRODUCT((VG_SKU="Raspberry")*(VG_W1&gt;0)*(CEILING(VG_W1,UNITS_PER_CASE)/UNITS_PER_CASE))</f>
        <v/>
      </c>
      <c r="I6" s="16">
        <f>SUM(F6:H6)</f>
        <v/>
      </c>
    </row>
    <row r="7">
      <c r="A7" t="inlineStr">
        <is>
          <t>W2</t>
        </is>
      </c>
      <c r="B7" s="16">
        <f>SUMPRODUCT((VG_SKU="Lime Lemon")*VG_W2)</f>
        <v/>
      </c>
      <c r="C7" s="16">
        <f>SUMPRODUCT((VG_SKU="Pineapple Passion Fruit")*VG_W2)</f>
        <v/>
      </c>
      <c r="D7" s="16">
        <f>SUMPRODUCT((VG_SKU="Raspberry")*VG_W2)</f>
        <v/>
      </c>
      <c r="E7" s="16">
        <f>SUM(B7:D7)</f>
        <v/>
      </c>
      <c r="F7" s="16">
        <f>SUMPRODUCT((VG_SKU="Lime Lemon")*(VG_W2&gt;0)*(CEILING(VG_W2,UNITS_PER_CASE)/UNITS_PER_CASE))</f>
        <v/>
      </c>
      <c r="G7" s="16">
        <f>SUMPRODUCT((VG_SKU="Pineapple Passion Fruit")*(VG_W2&gt;0)*(CEILING(VG_W2,UNITS_PER_CASE)/UNITS_PER_CASE))</f>
        <v/>
      </c>
      <c r="H7" s="16">
        <f>SUMPRODUCT((VG_SKU="Raspberry")*(VG_W2&gt;0)*(CEILING(VG_W2,UNITS_PER_CASE)/UNITS_PER_CASE))</f>
        <v/>
      </c>
      <c r="I7" s="16">
        <f>SUM(F7:H7)</f>
        <v/>
      </c>
    </row>
    <row r="8">
      <c r="A8" t="inlineStr">
        <is>
          <t>W3</t>
        </is>
      </c>
      <c r="B8" s="16">
        <f>SUMPRODUCT((VG_SKU="Lime Lemon")*VG_W3)</f>
        <v/>
      </c>
      <c r="C8" s="16">
        <f>SUMPRODUCT((VG_SKU="Pineapple Passion Fruit")*VG_W3)</f>
        <v/>
      </c>
      <c r="D8" s="16">
        <f>SUMPRODUCT((VG_SKU="Raspberry")*VG_W3)</f>
        <v/>
      </c>
      <c r="E8" s="16">
        <f>SUM(B8:D8)</f>
        <v/>
      </c>
      <c r="F8" s="16">
        <f>SUMPRODUCT((VG_SKU="Lime Lemon")*(VG_W3&gt;0)*(CEILING(VG_W3,UNITS_PER_CASE)/UNITS_PER_CASE))</f>
        <v/>
      </c>
      <c r="G8" s="16">
        <f>SUMPRODUCT((VG_SKU="Pineapple Passion Fruit")*(VG_W3&gt;0)*(CEILING(VG_W3,UNITS_PER_CASE)/UNITS_PER_CASE))</f>
        <v/>
      </c>
      <c r="H8" s="16">
        <f>SUMPRODUCT((VG_SKU="Raspberry")*(VG_W3&gt;0)*(CEILING(VG_W3,UNITS_PER_CASE)/UNITS_PER_CASE))</f>
        <v/>
      </c>
      <c r="I8" s="16">
        <f>SUM(F8:H8)</f>
        <v/>
      </c>
    </row>
    <row r="9">
      <c r="A9" t="inlineStr">
        <is>
          <t>W4</t>
        </is>
      </c>
      <c r="B9" s="16">
        <f>SUMPRODUCT((VG_SKU="Lime Lemon")*VG_W4)</f>
        <v/>
      </c>
      <c r="C9" s="16">
        <f>SUMPRODUCT((VG_SKU="Pineapple Passion Fruit")*VG_W4)</f>
        <v/>
      </c>
      <c r="D9" s="16">
        <f>SUMPRODUCT((VG_SKU="Raspberry")*VG_W4)</f>
        <v/>
      </c>
      <c r="E9" s="16">
        <f>SUM(B9:D9)</f>
        <v/>
      </c>
      <c r="F9" s="16">
        <f>SUMPRODUCT((VG_SKU="Lime Lemon")*(VG_W4&gt;0)*(CEILING(VG_W4,UNITS_PER_CASE)/UNITS_PER_CASE))</f>
        <v/>
      </c>
      <c r="G9" s="16">
        <f>SUMPRODUCT((VG_SKU="Pineapple Passion Fruit")*(VG_W4&gt;0)*(CEILING(VG_W4,UNITS_PER_CASE)/UNITS_PER_CASE))</f>
        <v/>
      </c>
      <c r="H9" s="16">
        <f>SUMPRODUCT((VG_SKU="Raspberry")*(VG_W4&gt;0)*(CEILING(VG_W4,UNITS_PER_CASE)/UNITS_PER_CASE))</f>
        <v/>
      </c>
      <c r="I9" s="16">
        <f>SUM(F9:H9)</f>
        <v/>
      </c>
    </row>
    <row r="10">
      <c r="A10" t="inlineStr">
        <is>
          <t>W5</t>
        </is>
      </c>
      <c r="B10" s="16">
        <f>SUMPRODUCT((VG_SKU="Lime Lemon")*VG_W5)</f>
        <v/>
      </c>
      <c r="C10" s="16">
        <f>SUMPRODUCT((VG_SKU="Pineapple Passion Fruit")*VG_W5)</f>
        <v/>
      </c>
      <c r="D10" s="16">
        <f>SUMPRODUCT((VG_SKU="Raspberry")*VG_W5)</f>
        <v/>
      </c>
      <c r="E10" s="16">
        <f>SUM(B10:D10)</f>
        <v/>
      </c>
      <c r="F10" s="16">
        <f>SUMPRODUCT((VG_SKU="Lime Lemon")*(VG_W5&gt;0)*(CEILING(VG_W5,UNITS_PER_CASE)/UNITS_PER_CASE))</f>
        <v/>
      </c>
      <c r="G10" s="16">
        <f>SUMPRODUCT((VG_SKU="Pineapple Passion Fruit")*(VG_W5&gt;0)*(CEILING(VG_W5,UNITS_PER_CASE)/UNITS_PER_CASE))</f>
        <v/>
      </c>
      <c r="H10" s="16">
        <f>SUMPRODUCT((VG_SKU="Raspberry")*(VG_W5&gt;0)*(CEILING(VG_W5,UNITS_PER_CASE)/UNITS_PER_CASE))</f>
        <v/>
      </c>
      <c r="I10" s="16">
        <f>SUM(F10:H10)</f>
        <v/>
      </c>
    </row>
    <row r="11">
      <c r="A11" t="inlineStr">
        <is>
          <t>W6</t>
        </is>
      </c>
      <c r="B11" s="16">
        <f>SUMPRODUCT((VG_SKU="Lime Lemon")*VG_W6)</f>
        <v/>
      </c>
      <c r="C11" s="16">
        <f>SUMPRODUCT((VG_SKU="Pineapple Passion Fruit")*VG_W6)</f>
        <v/>
      </c>
      <c r="D11" s="16">
        <f>SUMPRODUCT((VG_SKU="Raspberry")*VG_W6)</f>
        <v/>
      </c>
      <c r="E11" s="16">
        <f>SUM(B11:D11)</f>
        <v/>
      </c>
      <c r="F11" s="16">
        <f>SUMPRODUCT((VG_SKU="Lime Lemon")*(VG_W6&gt;0)*(CEILING(VG_W6,UNITS_PER_CASE)/UNITS_PER_CASE))</f>
        <v/>
      </c>
      <c r="G11" s="16">
        <f>SUMPRODUCT((VG_SKU="Pineapple Passion Fruit")*(VG_W6&gt;0)*(CEILING(VG_W6,UNITS_PER_CASE)/UNITS_PER_CASE))</f>
        <v/>
      </c>
      <c r="H11" s="16">
        <f>SUMPRODUCT((VG_SKU="Raspberry")*(VG_W6&gt;0)*(CEILING(VG_W6,UNITS_PER_CASE)/UNITS_PER_CASE))</f>
        <v/>
      </c>
      <c r="I11" s="16">
        <f>SUM(F11:H11)</f>
        <v/>
      </c>
    </row>
    <row r="12">
      <c r="A12" t="inlineStr">
        <is>
          <t>W7</t>
        </is>
      </c>
      <c r="B12" s="16">
        <f>SUMPRODUCT((VG_SKU="Lime Lemon")*VG_W7)</f>
        <v/>
      </c>
      <c r="C12" s="16">
        <f>SUMPRODUCT((VG_SKU="Pineapple Passion Fruit")*VG_W7)</f>
        <v/>
      </c>
      <c r="D12" s="16">
        <f>SUMPRODUCT((VG_SKU="Raspberry")*VG_W7)</f>
        <v/>
      </c>
      <c r="E12" s="16">
        <f>SUM(B12:D12)</f>
        <v/>
      </c>
      <c r="F12" s="16">
        <f>SUMPRODUCT((VG_SKU="Lime Lemon")*(VG_W7&gt;0)*(CEILING(VG_W7,UNITS_PER_CASE)/UNITS_PER_CASE))</f>
        <v/>
      </c>
      <c r="G12" s="16">
        <f>SUMPRODUCT((VG_SKU="Pineapple Passion Fruit")*(VG_W7&gt;0)*(CEILING(VG_W7,UNITS_PER_CASE)/UNITS_PER_CASE))</f>
        <v/>
      </c>
      <c r="H12" s="16">
        <f>SUMPRODUCT((VG_SKU="Raspberry")*(VG_W7&gt;0)*(CEILING(VG_W7,UNITS_PER_CASE)/UNITS_PER_CASE))</f>
        <v/>
      </c>
      <c r="I12" s="16">
        <f>SUM(F12:H12)</f>
        <v/>
      </c>
    </row>
    <row r="13">
      <c r="A13" t="inlineStr">
        <is>
          <t>W8</t>
        </is>
      </c>
      <c r="B13" s="16">
        <f>SUMPRODUCT((VG_SKU="Lime Lemon")*VG_W8)</f>
        <v/>
      </c>
      <c r="C13" s="16">
        <f>SUMPRODUCT((VG_SKU="Pineapple Passion Fruit")*VG_W8)</f>
        <v/>
      </c>
      <c r="D13" s="16">
        <f>SUMPRODUCT((VG_SKU="Raspberry")*VG_W8)</f>
        <v/>
      </c>
      <c r="E13" s="16">
        <f>SUM(B13:D13)</f>
        <v/>
      </c>
      <c r="F13" s="16">
        <f>SUMPRODUCT((VG_SKU="Lime Lemon")*(VG_W8&gt;0)*(CEILING(VG_W8,UNITS_PER_CASE)/UNITS_PER_CASE))</f>
        <v/>
      </c>
      <c r="G13" s="16">
        <f>SUMPRODUCT((VG_SKU="Pineapple Passion Fruit")*(VG_W8&gt;0)*(CEILING(VG_W8,UNITS_PER_CASE)/UNITS_PER_CASE))</f>
        <v/>
      </c>
      <c r="H13" s="16">
        <f>SUMPRODUCT((VG_SKU="Raspberry")*(VG_W8&gt;0)*(CEILING(VG_W8,UNITS_PER_CASE)/UNITS_PER_CASE))</f>
        <v/>
      </c>
      <c r="I13" s="16">
        <f>SUM(F13:H13)</f>
        <v/>
      </c>
    </row>
    <row r="14">
      <c r="A14" t="inlineStr">
        <is>
          <t>W9</t>
        </is>
      </c>
      <c r="B14" s="16">
        <f>SUMPRODUCT((VG_SKU="Lime Lemon")*VG_W9)</f>
        <v/>
      </c>
      <c r="C14" s="16">
        <f>SUMPRODUCT((VG_SKU="Pineapple Passion Fruit")*VG_W9)</f>
        <v/>
      </c>
      <c r="D14" s="16">
        <f>SUMPRODUCT((VG_SKU="Raspberry")*VG_W9)</f>
        <v/>
      </c>
      <c r="E14" s="16">
        <f>SUM(B14:D14)</f>
        <v/>
      </c>
      <c r="F14" s="16">
        <f>SUMPRODUCT((VG_SKU="Lime Lemon")*(VG_W9&gt;0)*(CEILING(VG_W9,UNITS_PER_CASE)/UNITS_PER_CASE))</f>
        <v/>
      </c>
      <c r="G14" s="16">
        <f>SUMPRODUCT((VG_SKU="Pineapple Passion Fruit")*(VG_W9&gt;0)*(CEILING(VG_W9,UNITS_PER_CASE)/UNITS_PER_CASE))</f>
        <v/>
      </c>
      <c r="H14" s="16">
        <f>SUMPRODUCT((VG_SKU="Raspberry")*(VG_W9&gt;0)*(CEILING(VG_W9,UNITS_PER_CASE)/UNITS_PER_CASE))</f>
        <v/>
      </c>
      <c r="I14" s="16">
        <f>SUM(F14:H14)</f>
        <v/>
      </c>
    </row>
    <row r="15">
      <c r="A15" t="inlineStr">
        <is>
          <t>W10</t>
        </is>
      </c>
      <c r="B15" s="16">
        <f>SUMPRODUCT((VG_SKU="Lime Lemon")*VG_W10)</f>
        <v/>
      </c>
      <c r="C15" s="16">
        <f>SUMPRODUCT((VG_SKU="Pineapple Passion Fruit")*VG_W10)</f>
        <v/>
      </c>
      <c r="D15" s="16">
        <f>SUMPRODUCT((VG_SKU="Raspberry")*VG_W10)</f>
        <v/>
      </c>
      <c r="E15" s="16">
        <f>SUM(B15:D15)</f>
        <v/>
      </c>
      <c r="F15" s="16">
        <f>SUMPRODUCT((VG_SKU="Lime Lemon")*(VG_W10&gt;0)*(CEILING(VG_W10,UNITS_PER_CASE)/UNITS_PER_CASE))</f>
        <v/>
      </c>
      <c r="G15" s="16">
        <f>SUMPRODUCT((VG_SKU="Pineapple Passion Fruit")*(VG_W10&gt;0)*(CEILING(VG_W10,UNITS_PER_CASE)/UNITS_PER_CASE))</f>
        <v/>
      </c>
      <c r="H15" s="16">
        <f>SUMPRODUCT((VG_SKU="Raspberry")*(VG_W10&gt;0)*(CEILING(VG_W10,UNITS_PER_CASE)/UNITS_PER_CASE))</f>
        <v/>
      </c>
      <c r="I15" s="16">
        <f>SUM(F15:H15)</f>
        <v/>
      </c>
    </row>
    <row r="16">
      <c r="A16" t="inlineStr">
        <is>
          <t>W11</t>
        </is>
      </c>
      <c r="B16" s="16">
        <f>SUMPRODUCT((VG_SKU="Lime Lemon")*VG_W11)</f>
        <v/>
      </c>
      <c r="C16" s="16">
        <f>SUMPRODUCT((VG_SKU="Pineapple Passion Fruit")*VG_W11)</f>
        <v/>
      </c>
      <c r="D16" s="16">
        <f>SUMPRODUCT((VG_SKU="Raspberry")*VG_W11)</f>
        <v/>
      </c>
      <c r="E16" s="16">
        <f>SUM(B16:D16)</f>
        <v/>
      </c>
      <c r="F16" s="16">
        <f>SUMPRODUCT((VG_SKU="Lime Lemon")*(VG_W11&gt;0)*(CEILING(VG_W11,UNITS_PER_CASE)/UNITS_PER_CASE))</f>
        <v/>
      </c>
      <c r="G16" s="16">
        <f>SUMPRODUCT((VG_SKU="Pineapple Passion Fruit")*(VG_W11&gt;0)*(CEILING(VG_W11,UNITS_PER_CASE)/UNITS_PER_CASE))</f>
        <v/>
      </c>
      <c r="H16" s="16">
        <f>SUMPRODUCT((VG_SKU="Raspberry")*(VG_W11&gt;0)*(CEILING(VG_W11,UNITS_PER_CASE)/UNITS_PER_CASE))</f>
        <v/>
      </c>
      <c r="I16" s="16">
        <f>SUM(F16:H16)</f>
        <v/>
      </c>
    </row>
    <row r="17">
      <c r="A17" t="inlineStr">
        <is>
          <t>W12</t>
        </is>
      </c>
      <c r="B17" s="16">
        <f>SUMPRODUCT((VG_SKU="Lime Lemon")*VG_W12)</f>
        <v/>
      </c>
      <c r="C17" s="16">
        <f>SUMPRODUCT((VG_SKU="Pineapple Passion Fruit")*VG_W12)</f>
        <v/>
      </c>
      <c r="D17" s="16">
        <f>SUMPRODUCT((VG_SKU="Raspberry")*VG_W12)</f>
        <v/>
      </c>
      <c r="E17" s="16">
        <f>SUM(B17:D17)</f>
        <v/>
      </c>
      <c r="F17" s="16">
        <f>SUMPRODUCT((VG_SKU="Lime Lemon")*(VG_W12&gt;0)*(CEILING(VG_W12,UNITS_PER_CASE)/UNITS_PER_CASE))</f>
        <v/>
      </c>
      <c r="G17" s="16">
        <f>SUMPRODUCT((VG_SKU="Pineapple Passion Fruit")*(VG_W12&gt;0)*(CEILING(VG_W12,UNITS_PER_CASE)/UNITS_PER_CASE))</f>
        <v/>
      </c>
      <c r="H17" s="16">
        <f>SUMPRODUCT((VG_SKU="Raspberry")*(VG_W12&gt;0)*(CEILING(VG_W12,UNITS_PER_CASE)/UNITS_PER_CASE))</f>
        <v/>
      </c>
      <c r="I17" s="16">
        <f>SUM(F17:H17)</f>
        <v/>
      </c>
    </row>
    <row r="18">
      <c r="A18" t="inlineStr">
        <is>
          <t>W13</t>
        </is>
      </c>
      <c r="B18" s="16">
        <f>SUMPRODUCT((VG_SKU="Lime Lemon")*VG_W13)</f>
        <v/>
      </c>
      <c r="C18" s="16">
        <f>SUMPRODUCT((VG_SKU="Pineapple Passion Fruit")*VG_W13)</f>
        <v/>
      </c>
      <c r="D18" s="16">
        <f>SUMPRODUCT((VG_SKU="Raspberry")*VG_W13)</f>
        <v/>
      </c>
      <c r="E18" s="16">
        <f>SUM(B18:D18)</f>
        <v/>
      </c>
      <c r="F18" s="16">
        <f>SUMPRODUCT((VG_SKU="Lime Lemon")*(VG_W13&gt;0)*(CEILING(VG_W13,UNITS_PER_CASE)/UNITS_PER_CASE))</f>
        <v/>
      </c>
      <c r="G18" s="16">
        <f>SUMPRODUCT((VG_SKU="Pineapple Passion Fruit")*(VG_W13&gt;0)*(CEILING(VG_W13,UNITS_PER_CASE)/UNITS_PER_CASE))</f>
        <v/>
      </c>
      <c r="H18" s="16">
        <f>SUMPRODUCT((VG_SKU="Raspberry")*(VG_W13&gt;0)*(CEILING(VG_W13,UNITS_PER_CASE)/UNITS_PER_CASE))</f>
        <v/>
      </c>
      <c r="I18" s="16">
        <f>SUM(F18:H18)</f>
        <v/>
      </c>
    </row>
    <row r="19">
      <c r="A19" s="17" t="inlineStr">
        <is>
          <t>Total</t>
        </is>
      </c>
      <c r="B19" s="18">
        <f>SUM(B6:B18)</f>
        <v/>
      </c>
      <c r="C19" s="18">
        <f>SUM(C6:C18)</f>
        <v/>
      </c>
      <c r="D19" s="18">
        <f>SUM(D6:D18)</f>
        <v/>
      </c>
      <c r="E19" s="18">
        <f>SUM(E6:E18)</f>
        <v/>
      </c>
      <c r="F19" s="18">
        <f>SUM(F6:F18)</f>
        <v/>
      </c>
      <c r="G19" s="18">
        <f>SUM(G6:G18)</f>
        <v/>
      </c>
      <c r="H19" s="18">
        <f>SUM(H6:H18)</f>
        <v/>
      </c>
      <c r="I19" s="18">
        <f>SUM(I6:I18)</f>
        <v/>
      </c>
    </row>
    <row r="21">
      <c r="A21" s="17" t="inlineStr">
        <is>
          <t>Cross check units</t>
        </is>
      </c>
      <c r="B21" s="16">
        <f>E19-SUM(VG_UNITS_BLOCK)</f>
        <v/>
      </c>
      <c r="C21">
        <f>IF(B21=0,"Match","Mismatch")</f>
        <v/>
      </c>
    </row>
    <row r="24">
      <c r="A24" s="3" t="inlineStr">
        <is>
          <t>By SKU across weeks, units</t>
        </is>
      </c>
    </row>
    <row r="25">
      <c r="A25" s="5" t="inlineStr">
        <is>
          <t>SKU</t>
        </is>
      </c>
      <c r="B25" s="5" t="inlineStr">
        <is>
          <t>W1</t>
        </is>
      </c>
      <c r="C25" s="5" t="inlineStr">
        <is>
          <t>W2</t>
        </is>
      </c>
      <c r="D25" s="5" t="inlineStr">
        <is>
          <t>W3</t>
        </is>
      </c>
      <c r="E25" s="5" t="inlineStr">
        <is>
          <t>W4</t>
        </is>
      </c>
      <c r="F25" s="5" t="inlineStr">
        <is>
          <t>W5</t>
        </is>
      </c>
      <c r="G25" s="5" t="inlineStr">
        <is>
          <t>W6</t>
        </is>
      </c>
      <c r="H25" s="5" t="inlineStr">
        <is>
          <t>W7</t>
        </is>
      </c>
      <c r="I25" s="5" t="inlineStr">
        <is>
          <t>W8</t>
        </is>
      </c>
      <c r="J25" s="5" t="inlineStr">
        <is>
          <t>W9</t>
        </is>
      </c>
      <c r="K25" s="5" t="inlineStr">
        <is>
          <t>W10</t>
        </is>
      </c>
      <c r="L25" s="5" t="inlineStr">
        <is>
          <t>W11</t>
        </is>
      </c>
      <c r="M25" s="5" t="inlineStr">
        <is>
          <t>W12</t>
        </is>
      </c>
      <c r="N25" s="5" t="inlineStr">
        <is>
          <t>W13</t>
        </is>
      </c>
      <c r="O25" s="5" t="inlineStr">
        <is>
          <t>Total</t>
        </is>
      </c>
    </row>
    <row r="26">
      <c r="A26" t="inlineStr">
        <is>
          <t>Lime Lemon</t>
        </is>
      </c>
      <c r="B26" s="16">
        <f>SUMPRODUCT((VG_SKU="Lime Lemon")*VG_W1)</f>
        <v/>
      </c>
      <c r="C26" s="16">
        <f>SUMPRODUCT((VG_SKU="Lime Lemon")*VG_W2)</f>
        <v/>
      </c>
      <c r="D26" s="16">
        <f>SUMPRODUCT((VG_SKU="Lime Lemon")*VG_W3)</f>
        <v/>
      </c>
      <c r="E26" s="16">
        <f>SUMPRODUCT((VG_SKU="Lime Lemon")*VG_W4)</f>
        <v/>
      </c>
      <c r="F26" s="16">
        <f>SUMPRODUCT((VG_SKU="Lime Lemon")*VG_W5)</f>
        <v/>
      </c>
      <c r="G26" s="16">
        <f>SUMPRODUCT((VG_SKU="Lime Lemon")*VG_W6)</f>
        <v/>
      </c>
      <c r="H26" s="16">
        <f>SUMPRODUCT((VG_SKU="Lime Lemon")*VG_W7)</f>
        <v/>
      </c>
      <c r="I26" s="16">
        <f>SUMPRODUCT((VG_SKU="Lime Lemon")*VG_W8)</f>
        <v/>
      </c>
      <c r="J26" s="16">
        <f>SUMPRODUCT((VG_SKU="Lime Lemon")*VG_W9)</f>
        <v/>
      </c>
      <c r="K26" s="16">
        <f>SUMPRODUCT((VG_SKU="Lime Lemon")*VG_W10)</f>
        <v/>
      </c>
      <c r="L26" s="16">
        <f>SUMPRODUCT((VG_SKU="Lime Lemon")*VG_W11)</f>
        <v/>
      </c>
      <c r="M26" s="16">
        <f>SUMPRODUCT((VG_SKU="Lime Lemon")*VG_W12)</f>
        <v/>
      </c>
      <c r="N26" s="16">
        <f>SUMPRODUCT((VG_SKU="Lime Lemon")*VG_W13)</f>
        <v/>
      </c>
      <c r="O26" s="16">
        <f>SUM(B26:N26)</f>
        <v/>
      </c>
    </row>
    <row r="27">
      <c r="A27" t="inlineStr">
        <is>
          <t>Pineapple Passion Fruit</t>
        </is>
      </c>
      <c r="B27" s="16">
        <f>SUMPRODUCT((VG_SKU="Pineapple Passion Fruit")*VG_W1)</f>
        <v/>
      </c>
      <c r="C27" s="16">
        <f>SUMPRODUCT((VG_SKU="Pineapple Passion Fruit")*VG_W2)</f>
        <v/>
      </c>
      <c r="D27" s="16">
        <f>SUMPRODUCT((VG_SKU="Pineapple Passion Fruit")*VG_W3)</f>
        <v/>
      </c>
      <c r="E27" s="16">
        <f>SUMPRODUCT((VG_SKU="Pineapple Passion Fruit")*VG_W4)</f>
        <v/>
      </c>
      <c r="F27" s="16">
        <f>SUMPRODUCT((VG_SKU="Pineapple Passion Fruit")*VG_W5)</f>
        <v/>
      </c>
      <c r="G27" s="16">
        <f>SUMPRODUCT((VG_SKU="Pineapple Passion Fruit")*VG_W6)</f>
        <v/>
      </c>
      <c r="H27" s="16">
        <f>SUMPRODUCT((VG_SKU="Pineapple Passion Fruit")*VG_W7)</f>
        <v/>
      </c>
      <c r="I27" s="16">
        <f>SUMPRODUCT((VG_SKU="Pineapple Passion Fruit")*VG_W8)</f>
        <v/>
      </c>
      <c r="J27" s="16">
        <f>SUMPRODUCT((VG_SKU="Pineapple Passion Fruit")*VG_W9)</f>
        <v/>
      </c>
      <c r="K27" s="16">
        <f>SUMPRODUCT((VG_SKU="Pineapple Passion Fruit")*VG_W10)</f>
        <v/>
      </c>
      <c r="L27" s="16">
        <f>SUMPRODUCT((VG_SKU="Pineapple Passion Fruit")*VG_W11)</f>
        <v/>
      </c>
      <c r="M27" s="16">
        <f>SUMPRODUCT((VG_SKU="Pineapple Passion Fruit")*VG_W12)</f>
        <v/>
      </c>
      <c r="N27" s="16">
        <f>SUMPRODUCT((VG_SKU="Pineapple Passion Fruit")*VG_W13)</f>
        <v/>
      </c>
      <c r="O27" s="16">
        <f>SUM(B27:N27)</f>
        <v/>
      </c>
    </row>
    <row r="28">
      <c r="A28" t="inlineStr">
        <is>
          <t>Raspberry</t>
        </is>
      </c>
      <c r="B28" s="16">
        <f>SUMPRODUCT((VG_SKU="Raspberry")*VG_W1)</f>
        <v/>
      </c>
      <c r="C28" s="16">
        <f>SUMPRODUCT((VG_SKU="Raspberry")*VG_W2)</f>
        <v/>
      </c>
      <c r="D28" s="16">
        <f>SUMPRODUCT((VG_SKU="Raspberry")*VG_W3)</f>
        <v/>
      </c>
      <c r="E28" s="16">
        <f>SUMPRODUCT((VG_SKU="Raspberry")*VG_W4)</f>
        <v/>
      </c>
      <c r="F28" s="16">
        <f>SUMPRODUCT((VG_SKU="Raspberry")*VG_W5)</f>
        <v/>
      </c>
      <c r="G28" s="16">
        <f>SUMPRODUCT((VG_SKU="Raspberry")*VG_W6)</f>
        <v/>
      </c>
      <c r="H28" s="16">
        <f>SUMPRODUCT((VG_SKU="Raspberry")*VG_W7)</f>
        <v/>
      </c>
      <c r="I28" s="16">
        <f>SUMPRODUCT((VG_SKU="Raspberry")*VG_W8)</f>
        <v/>
      </c>
      <c r="J28" s="16">
        <f>SUMPRODUCT((VG_SKU="Raspberry")*VG_W9)</f>
        <v/>
      </c>
      <c r="K28" s="16">
        <f>SUMPRODUCT((VG_SKU="Raspberry")*VG_W10)</f>
        <v/>
      </c>
      <c r="L28" s="16">
        <f>SUMPRODUCT((VG_SKU="Raspberry")*VG_W11)</f>
        <v/>
      </c>
      <c r="M28" s="16">
        <f>SUMPRODUCT((VG_SKU="Raspberry")*VG_W12)</f>
        <v/>
      </c>
      <c r="N28" s="16">
        <f>SUMPRODUCT((VG_SKU="Raspberry")*VG_W13)</f>
        <v/>
      </c>
      <c r="O28" s="16">
        <f>SUM(B28:N28)</f>
        <v/>
      </c>
    </row>
    <row r="31">
      <c r="A31" s="3" t="inlineStr">
        <is>
          <t>By region, totals</t>
        </is>
      </c>
    </row>
    <row r="32">
      <c r="A32" s="5" t="inlineStr">
        <is>
          <t>Region</t>
        </is>
      </c>
      <c r="B32" s="5" t="inlineStr">
        <is>
          <t>Total units</t>
        </is>
      </c>
      <c r="C32" s="5" t="inlineStr">
        <is>
          <t>Total cases</t>
        </is>
      </c>
    </row>
    <row r="33">
      <c r="A33" t="inlineStr">
        <is>
          <t>Lower Mainland</t>
        </is>
      </c>
      <c r="B33" s="16">
        <f>SUMPRODUCT((VG_REGION=$A$33)*VG_W1)+SUMPRODUCT((VG_REGION=$A$33)*VG_W2)+SUMPRODUCT((VG_REGION=$A$33)*VG_W3)+SUMPRODUCT((VG_REGION=$A$33)*VG_W4)+SUMPRODUCT((VG_REGION=$A$33)*VG_W5)+SUMPRODUCT((VG_REGION=$A$33)*VG_W6)+SUMPRODUCT((VG_REGION=$A$33)*VG_W7)+SUMPRODUCT((VG_REGION=$A$33)*VG_W8)+SUMPRODUCT((VG_REGION=$A$33)*VG_W9)+SUMPRODUCT((VG_REGION=$A$33)*VG_W10)+SUMPRODUCT((VG_REGION=$A$33)*VG_W11)+SUMPRODUCT((VG_REGION=$A$33)*VG_W12)+SUMPRODUCT((VG_REGION=$A$33)*VG_W13)</f>
        <v/>
      </c>
      <c r="C33" s="16">
        <f>SUMPRODUCT((VG_REGION=$A$33)*(VG_W1&gt;0)*(CEILING(VG_W1,UNITS_PER_CASE)/UNITS_PER_CASE))+SUMPRODUCT((VG_REGION=$A$33)*(VG_W2&gt;0)*(CEILING(VG_W2,UNITS_PER_CASE)/UNITS_PER_CASE))+SUMPRODUCT((VG_REGION=$A$33)*(VG_W3&gt;0)*(CEILING(VG_W3,UNITS_PER_CASE)/UNITS_PER_CASE))+SUMPRODUCT((VG_REGION=$A$33)*(VG_W4&gt;0)*(CEILING(VG_W4,UNITS_PER_CASE)/UNITS_PER_CASE))+SUMPRODUCT((VG_REGION=$A$33)*(VG_W5&gt;0)*(CEILING(VG_W5,UNITS_PER_CASE)/UNITS_PER_CASE))+SUMPRODUCT((VG_REGION=$A$33)*(VG_W6&gt;0)*(CEILING(VG_W6,UNITS_PER_CASE)/UNITS_PER_CASE))+SUMPRODUCT((VG_REGION=$A$33)*(VG_W7&gt;0)*(CEILING(VG_W7,UNITS_PER_CASE)/UNITS_PER_CASE))+SUMPRODUCT((VG_REGION=$A$33)*(VG_W8&gt;0)*(CEILING(VG_W8,UNITS_PER_CASE)/UNITS_PER_CASE))+SUMPRODUCT((VG_REGION=$A$33)*(VG_W9&gt;0)*(CEILING(VG_W9,UNITS_PER_CASE)/UNITS_PER_CASE))+SUMPRODUCT((VG_REGION=$A$33)*(VG_W10&gt;0)*(CEILING(VG_W10,UNITS_PER_CASE)/UNITS_PER_CASE))+SUMPRODUCT((VG_REGION=$A$33)*(VG_W11&gt;0)*(CEILING(VG_W11,UNITS_PER_CASE)/UNITS_PER_CASE))+SUMPRODUCT((VG_REGION=$A$33)*(VG_W12&gt;0)*(CEILING(VG_W12,UNITS_PER_CASE)/UNITS_PER_CASE))+SUMPRODUCT((VG_REGION=$A$33)*(VG_W13&gt;0)*(CEILING(VG_W13,UNITS_PER_CASE)/UNITS_PER_CASE))</f>
        <v/>
      </c>
    </row>
    <row r="34">
      <c r="A34" t="inlineStr">
        <is>
          <t>Vancouver Island</t>
        </is>
      </c>
      <c r="B34" s="16">
        <f>SUMPRODUCT((VG_REGION=$A$34)*VG_W1)+SUMPRODUCT((VG_REGION=$A$34)*VG_W2)+SUMPRODUCT((VG_REGION=$A$34)*VG_W3)+SUMPRODUCT((VG_REGION=$A$34)*VG_W4)+SUMPRODUCT((VG_REGION=$A$34)*VG_W5)+SUMPRODUCT((VG_REGION=$A$34)*VG_W6)+SUMPRODUCT((VG_REGION=$A$34)*VG_W7)+SUMPRODUCT((VG_REGION=$A$34)*VG_W8)+SUMPRODUCT((VG_REGION=$A$34)*VG_W9)+SUMPRODUCT((VG_REGION=$A$34)*VG_W10)+SUMPRODUCT((VG_REGION=$A$34)*VG_W11)+SUMPRODUCT((VG_REGION=$A$34)*VG_W12)+SUMPRODUCT((VG_REGION=$A$34)*VG_W13)</f>
        <v/>
      </c>
      <c r="C34" s="16">
        <f>SUMPRODUCT((VG_REGION=$A$34)*(VG_W1&gt;0)*(CEILING(VG_W1,UNITS_PER_CASE)/UNITS_PER_CASE))+SUMPRODUCT((VG_REGION=$A$34)*(VG_W2&gt;0)*(CEILING(VG_W2,UNITS_PER_CASE)/UNITS_PER_CASE))+SUMPRODUCT((VG_REGION=$A$34)*(VG_W3&gt;0)*(CEILING(VG_W3,UNITS_PER_CASE)/UNITS_PER_CASE))+SUMPRODUCT((VG_REGION=$A$34)*(VG_W4&gt;0)*(CEILING(VG_W4,UNITS_PER_CASE)/UNITS_PER_CASE))+SUMPRODUCT((VG_REGION=$A$34)*(VG_W5&gt;0)*(CEILING(VG_W5,UNITS_PER_CASE)/UNITS_PER_CASE))+SUMPRODUCT((VG_REGION=$A$34)*(VG_W6&gt;0)*(CEILING(VG_W6,UNITS_PER_CASE)/UNITS_PER_CASE))+SUMPRODUCT((VG_REGION=$A$34)*(VG_W7&gt;0)*(CEILING(VG_W7,UNITS_PER_CASE)/UNITS_PER_CASE))+SUMPRODUCT((VG_REGION=$A$34)*(VG_W8&gt;0)*(CEILING(VG_W8,UNITS_PER_CASE)/UNITS_PER_CASE))+SUMPRODUCT((VG_REGION=$A$34)*(VG_W9&gt;0)*(CEILING(VG_W9,UNITS_PER_CASE)/UNITS_PER_CASE))+SUMPRODUCT((VG_REGION=$A$34)*(VG_W10&gt;0)*(CEILING(VG_W10,UNITS_PER_CASE)/UNITS_PER_CASE))+SUMPRODUCT((VG_REGION=$A$34)*(VG_W11&gt;0)*(CEILING(VG_W11,UNITS_PER_CASE)/UNITS_PER_CASE))+SUMPRODUCT((VG_REGION=$A$34)*(VG_W12&gt;0)*(CEILING(VG_W12,UNITS_PER_CASE)/UNITS_PER_CASE))+SUMPRODUCT((VG_REGION=$A$34)*(VG_W13&gt;0)*(CEILING(VG_W13,UNITS_PER_CASE)/UNITS_PER_CASE))</f>
        <v/>
      </c>
    </row>
    <row r="35">
      <c r="A35" t="inlineStr">
        <is>
          <t>Interior</t>
        </is>
      </c>
      <c r="B35" s="16">
        <f>SUMPRODUCT((VG_REGION=$A$35)*VG_W1)+SUMPRODUCT((VG_REGION=$A$35)*VG_W2)+SUMPRODUCT((VG_REGION=$A$35)*VG_W3)+SUMPRODUCT((VG_REGION=$A$35)*VG_W4)+SUMPRODUCT((VG_REGION=$A$35)*VG_W5)+SUMPRODUCT((VG_REGION=$A$35)*VG_W6)+SUMPRODUCT((VG_REGION=$A$35)*VG_W7)+SUMPRODUCT((VG_REGION=$A$35)*VG_W8)+SUMPRODUCT((VG_REGION=$A$35)*VG_W9)+SUMPRODUCT((VG_REGION=$A$35)*VG_W10)+SUMPRODUCT((VG_REGION=$A$35)*VG_W11)+SUMPRODUCT((VG_REGION=$A$35)*VG_W12)+SUMPRODUCT((VG_REGION=$A$35)*VG_W13)</f>
        <v/>
      </c>
      <c r="C35" s="16">
        <f>SUMPRODUCT((VG_REGION=$A$35)*(VG_W1&gt;0)*(CEILING(VG_W1,UNITS_PER_CASE)/UNITS_PER_CASE))+SUMPRODUCT((VG_REGION=$A$35)*(VG_W2&gt;0)*(CEILING(VG_W2,UNITS_PER_CASE)/UNITS_PER_CASE))+SUMPRODUCT((VG_REGION=$A$35)*(VG_W3&gt;0)*(CEILING(VG_W3,UNITS_PER_CASE)/UNITS_PER_CASE))+SUMPRODUCT((VG_REGION=$A$35)*(VG_W4&gt;0)*(CEILING(VG_W4,UNITS_PER_CASE)/UNITS_PER_CASE))+SUMPRODUCT((VG_REGION=$A$35)*(VG_W5&gt;0)*(CEILING(VG_W5,UNITS_PER_CASE)/UNITS_PER_CASE))+SUMPRODUCT((VG_REGION=$A$35)*(VG_W6&gt;0)*(CEILING(VG_W6,UNITS_PER_CASE)/UNITS_PER_CASE))+SUMPRODUCT((VG_REGION=$A$35)*(VG_W7&gt;0)*(CEILING(VG_W7,UNITS_PER_CASE)/UNITS_PER_CASE))+SUMPRODUCT((VG_REGION=$A$35)*(VG_W8&gt;0)*(CEILING(VG_W8,UNITS_PER_CASE)/UNITS_PER_CASE))+SUMPRODUCT((VG_REGION=$A$35)*(VG_W9&gt;0)*(CEILING(VG_W9,UNITS_PER_CASE)/UNITS_PER_CASE))+SUMPRODUCT((VG_REGION=$A$35)*(VG_W10&gt;0)*(CEILING(VG_W10,UNITS_PER_CASE)/UNITS_PER_CASE))+SUMPRODUCT((VG_REGION=$A$35)*(VG_W11&gt;0)*(CEILING(VG_W11,UNITS_PER_CASE)/UNITS_PER_CASE))+SUMPRODUCT((VG_REGION=$A$35)*(VG_W12&gt;0)*(CEILING(VG_W12,UNITS_PER_CASE)/UNITS_PER_CASE))+SUMPRODUCT((VG_REGION=$A$35)*(VG_W13&gt;0)*(CEILING(VG_W13,UNITS_PER_CASE)/UNITS_PER_CASE))</f>
        <v/>
      </c>
    </row>
    <row r="36">
      <c r="A36" t="inlineStr">
        <is>
          <t>North</t>
        </is>
      </c>
      <c r="B36" s="16">
        <f>SUMPRODUCT((VG_REGION=$A$36)*VG_W1)+SUMPRODUCT((VG_REGION=$A$36)*VG_W2)+SUMPRODUCT((VG_REGION=$A$36)*VG_W3)+SUMPRODUCT((VG_REGION=$A$36)*VG_W4)+SUMPRODUCT((VG_REGION=$A$36)*VG_W5)+SUMPRODUCT((VG_REGION=$A$36)*VG_W6)+SUMPRODUCT((VG_REGION=$A$36)*VG_W7)+SUMPRODUCT((VG_REGION=$A$36)*VG_W8)+SUMPRODUCT((VG_REGION=$A$36)*VG_W9)+SUMPRODUCT((VG_REGION=$A$36)*VG_W10)+SUMPRODUCT((VG_REGION=$A$36)*VG_W11)+SUMPRODUCT((VG_REGION=$A$36)*VG_W12)+SUMPRODUCT((VG_REGION=$A$36)*VG_W13)</f>
        <v/>
      </c>
      <c r="C36" s="16">
        <f>SUMPRODUCT((VG_REGION=$A$36)*(VG_W1&gt;0)*(CEILING(VG_W1,UNITS_PER_CASE)/UNITS_PER_CASE))+SUMPRODUCT((VG_REGION=$A$36)*(VG_W2&gt;0)*(CEILING(VG_W2,UNITS_PER_CASE)/UNITS_PER_CASE))+SUMPRODUCT((VG_REGION=$A$36)*(VG_W3&gt;0)*(CEILING(VG_W3,UNITS_PER_CASE)/UNITS_PER_CASE))+SUMPRODUCT((VG_REGION=$A$36)*(VG_W4&gt;0)*(CEILING(VG_W4,UNITS_PER_CASE)/UNITS_PER_CASE))+SUMPRODUCT((VG_REGION=$A$36)*(VG_W5&gt;0)*(CEILING(VG_W5,UNITS_PER_CASE)/UNITS_PER_CASE))+SUMPRODUCT((VG_REGION=$A$36)*(VG_W6&gt;0)*(CEILING(VG_W6,UNITS_PER_CASE)/UNITS_PER_CASE))+SUMPRODUCT((VG_REGION=$A$36)*(VG_W7&gt;0)*(CEILING(VG_W7,UNITS_PER_CASE)/UNITS_PER_CASE))+SUMPRODUCT((VG_REGION=$A$36)*(VG_W8&gt;0)*(CEILING(VG_W8,UNITS_PER_CASE)/UNITS_PER_CASE))+SUMPRODUCT((VG_REGION=$A$36)*(VG_W9&gt;0)*(CEILING(VG_W9,UNITS_PER_CASE)/UNITS_PER_CASE))+SUMPRODUCT((VG_REGION=$A$36)*(VG_W10&gt;0)*(CEILING(VG_W10,UNITS_PER_CASE)/UNITS_PER_CASE))+SUMPRODUCT((VG_REGION=$A$36)*(VG_W11&gt;0)*(CEILING(VG_W11,UNITS_PER_CASE)/UNITS_PER_CASE))+SUMPRODUCT((VG_REGION=$A$36)*(VG_W12&gt;0)*(CEILING(VG_W12,UNITS_PER_CASE)/UNITS_PER_CASE))+SUMPRODUCT((VG_REGION=$A$36)*(VG_W13&gt;0)*(CEILING(VG_W13,UNITS_PER_CASE)/UNITS_PER_CASE))</f>
        <v/>
      </c>
    </row>
    <row r="39">
      <c r="A39" s="3" t="inlineStr">
        <is>
          <t>By tier, totals</t>
        </is>
      </c>
    </row>
    <row r="40">
      <c r="A40" s="5" t="inlineStr">
        <is>
          <t>Tier</t>
        </is>
      </c>
      <c r="B40" s="5" t="inlineStr">
        <is>
          <t>Total units</t>
        </is>
      </c>
      <c r="C40" s="5" t="inlineStr">
        <is>
          <t>Total cases</t>
        </is>
      </c>
    </row>
    <row r="41">
      <c r="A41" t="inlineStr">
        <is>
          <t>A</t>
        </is>
      </c>
      <c r="B41" s="16">
        <f>SUMPRODUCT((VG_TIER=$A$41)*VG_W1)+SUMPRODUCT((VG_TIER=$A$41)*VG_W2)+SUMPRODUCT((VG_TIER=$A$41)*VG_W3)+SUMPRODUCT((VG_TIER=$A$41)*VG_W4)+SUMPRODUCT((VG_TIER=$A$41)*VG_W5)+SUMPRODUCT((VG_TIER=$A$41)*VG_W6)+SUMPRODUCT((VG_TIER=$A$41)*VG_W7)+SUMPRODUCT((VG_TIER=$A$41)*VG_W8)+SUMPRODUCT((VG_TIER=$A$41)*VG_W9)+SUMPRODUCT((VG_TIER=$A$41)*VG_W10)+SUMPRODUCT((VG_TIER=$A$41)*VG_W11)+SUMPRODUCT((VG_TIER=$A$41)*VG_W12)+SUMPRODUCT((VG_TIER=$A$41)*VG_W13)</f>
        <v/>
      </c>
      <c r="C41" s="16">
        <f>SUMPRODUCT((VG_TIER=$A$41)*(VG_W1&gt;0)*(CEILING(VG_W1,UNITS_PER_CASE)/UNITS_PER_CASE))+SUMPRODUCT((VG_TIER=$A$41)*(VG_W2&gt;0)*(CEILING(VG_W2,UNITS_PER_CASE)/UNITS_PER_CASE))+SUMPRODUCT((VG_TIER=$A$41)*(VG_W3&gt;0)*(CEILING(VG_W3,UNITS_PER_CASE)/UNITS_PER_CASE))+SUMPRODUCT((VG_TIER=$A$41)*(VG_W4&gt;0)*(CEILING(VG_W4,UNITS_PER_CASE)/UNITS_PER_CASE))+SUMPRODUCT((VG_TIER=$A$41)*(VG_W5&gt;0)*(CEILING(VG_W5,UNITS_PER_CASE)/UNITS_PER_CASE))+SUMPRODUCT((VG_TIER=$A$41)*(VG_W6&gt;0)*(CEILING(VG_W6,UNITS_PER_CASE)/UNITS_PER_CASE))+SUMPRODUCT((VG_TIER=$A$41)*(VG_W7&gt;0)*(CEILING(VG_W7,UNITS_PER_CASE)/UNITS_PER_CASE))+SUMPRODUCT((VG_TIER=$A$41)*(VG_W8&gt;0)*(CEILING(VG_W8,UNITS_PER_CASE)/UNITS_PER_CASE))+SUMPRODUCT((VG_TIER=$A$41)*(VG_W9&gt;0)*(CEILING(VG_W9,UNITS_PER_CASE)/UNITS_PER_CASE))+SUMPRODUCT((VG_TIER=$A$41)*(VG_W10&gt;0)*(CEILING(VG_W10,UNITS_PER_CASE)/UNITS_PER_CASE))+SUMPRODUCT((VG_TIER=$A$41)*(VG_W11&gt;0)*(CEILING(VG_W11,UNITS_PER_CASE)/UNITS_PER_CASE))+SUMPRODUCT((VG_TIER=$A$41)*(VG_W12&gt;0)*(CEILING(VG_W12,UNITS_PER_CASE)/UNITS_PER_CASE))+SUMPRODUCT((VG_TIER=$A$41)*(VG_W13&gt;0)*(CEILING(VG_W13,UNITS_PER_CASE)/UNITS_PER_CASE))</f>
        <v/>
      </c>
    </row>
    <row r="42">
      <c r="A42" t="inlineStr">
        <is>
          <t>B</t>
        </is>
      </c>
      <c r="B42" s="16">
        <f>SUMPRODUCT((VG_TIER=$A$42)*VG_W1)+SUMPRODUCT((VG_TIER=$A$42)*VG_W2)+SUMPRODUCT((VG_TIER=$A$42)*VG_W3)+SUMPRODUCT((VG_TIER=$A$42)*VG_W4)+SUMPRODUCT((VG_TIER=$A$42)*VG_W5)+SUMPRODUCT((VG_TIER=$A$42)*VG_W6)+SUMPRODUCT((VG_TIER=$A$42)*VG_W7)+SUMPRODUCT((VG_TIER=$A$42)*VG_W8)+SUMPRODUCT((VG_TIER=$A$42)*VG_W9)+SUMPRODUCT((VG_TIER=$A$42)*VG_W10)+SUMPRODUCT((VG_TIER=$A$42)*VG_W11)+SUMPRODUCT((VG_TIER=$A$42)*VG_W12)+SUMPRODUCT((VG_TIER=$A$42)*VG_W13)</f>
        <v/>
      </c>
      <c r="C42" s="16">
        <f>SUMPRODUCT((VG_TIER=$A$42)*(VG_W1&gt;0)*(CEILING(VG_W1,UNITS_PER_CASE)/UNITS_PER_CASE))+SUMPRODUCT((VG_TIER=$A$42)*(VG_W2&gt;0)*(CEILING(VG_W2,UNITS_PER_CASE)/UNITS_PER_CASE))+SUMPRODUCT((VG_TIER=$A$42)*(VG_W3&gt;0)*(CEILING(VG_W3,UNITS_PER_CASE)/UNITS_PER_CASE))+SUMPRODUCT((VG_TIER=$A$42)*(VG_W4&gt;0)*(CEILING(VG_W4,UNITS_PER_CASE)/UNITS_PER_CASE))+SUMPRODUCT((VG_TIER=$A$42)*(VG_W5&gt;0)*(CEILING(VG_W5,UNITS_PER_CASE)/UNITS_PER_CASE))+SUMPRODUCT((VG_TIER=$A$42)*(VG_W6&gt;0)*(CEILING(VG_W6,UNITS_PER_CASE)/UNITS_PER_CASE))+SUMPRODUCT((VG_TIER=$A$42)*(VG_W7&gt;0)*(CEILING(VG_W7,UNITS_PER_CASE)/UNITS_PER_CASE))+SUMPRODUCT((VG_TIER=$A$42)*(VG_W8&gt;0)*(CEILING(VG_W8,UNITS_PER_CASE)/UNITS_PER_CASE))+SUMPRODUCT((VG_TIER=$A$42)*(VG_W9&gt;0)*(CEILING(VG_W9,UNITS_PER_CASE)/UNITS_PER_CASE))+SUMPRODUCT((VG_TIER=$A$42)*(VG_W10&gt;0)*(CEILING(VG_W10,UNITS_PER_CASE)/UNITS_PER_CASE))+SUMPRODUCT((VG_TIER=$A$42)*(VG_W11&gt;0)*(CEILING(VG_W11,UNITS_PER_CASE)/UNITS_PER_CASE))+SUMPRODUCT((VG_TIER=$A$42)*(VG_W12&gt;0)*(CEILING(VG_W12,UNITS_PER_CASE)/UNITS_PER_CASE))+SUMPRODUCT((VG_TIER=$A$42)*(VG_W13&gt;0)*(CEILING(VG_W13,UNITS_PER_CASE)/UNITS_PER_CASE))</f>
        <v/>
      </c>
    </row>
    <row r="43">
      <c r="A43" t="inlineStr">
        <is>
          <t>C</t>
        </is>
      </c>
      <c r="B43" s="16">
        <f>SUMPRODUCT((VG_TIER=$A$43)*VG_W1)+SUMPRODUCT((VG_TIER=$A$43)*VG_W2)+SUMPRODUCT((VG_TIER=$A$43)*VG_W3)+SUMPRODUCT((VG_TIER=$A$43)*VG_W4)+SUMPRODUCT((VG_TIER=$A$43)*VG_W5)+SUMPRODUCT((VG_TIER=$A$43)*VG_W6)+SUMPRODUCT((VG_TIER=$A$43)*VG_W7)+SUMPRODUCT((VG_TIER=$A$43)*VG_W8)+SUMPRODUCT((VG_TIER=$A$43)*VG_W9)+SUMPRODUCT((VG_TIER=$A$43)*VG_W10)+SUMPRODUCT((VG_TIER=$A$43)*VG_W11)+SUMPRODUCT((VG_TIER=$A$43)*VG_W12)+SUMPRODUCT((VG_TIER=$A$43)*VG_W13)</f>
        <v/>
      </c>
      <c r="C43" s="16">
        <f>SUMPRODUCT((VG_TIER=$A$43)*(VG_W1&gt;0)*(CEILING(VG_W1,UNITS_PER_CASE)/UNITS_PER_CASE))+SUMPRODUCT((VG_TIER=$A$43)*(VG_W2&gt;0)*(CEILING(VG_W2,UNITS_PER_CASE)/UNITS_PER_CASE))+SUMPRODUCT((VG_TIER=$A$43)*(VG_W3&gt;0)*(CEILING(VG_W3,UNITS_PER_CASE)/UNITS_PER_CASE))+SUMPRODUCT((VG_TIER=$A$43)*(VG_W4&gt;0)*(CEILING(VG_W4,UNITS_PER_CASE)/UNITS_PER_CASE))+SUMPRODUCT((VG_TIER=$A$43)*(VG_W5&gt;0)*(CEILING(VG_W5,UNITS_PER_CASE)/UNITS_PER_CASE))+SUMPRODUCT((VG_TIER=$A$43)*(VG_W6&gt;0)*(CEILING(VG_W6,UNITS_PER_CASE)/UNITS_PER_CASE))+SUMPRODUCT((VG_TIER=$A$43)*(VG_W7&gt;0)*(CEILING(VG_W7,UNITS_PER_CASE)/UNITS_PER_CASE))+SUMPRODUCT((VG_TIER=$A$43)*(VG_W8&gt;0)*(CEILING(VG_W8,UNITS_PER_CASE)/UNITS_PER_CASE))+SUMPRODUCT((VG_TIER=$A$43)*(VG_W9&gt;0)*(CEILING(VG_W9,UNITS_PER_CASE)/UNITS_PER_CASE))+SUMPRODUCT((VG_TIER=$A$43)*(VG_W10&gt;0)*(CEILING(VG_W10,UNITS_PER_CASE)/UNITS_PER_CASE))+SUMPRODUCT((VG_TIER=$A$43)*(VG_W11&gt;0)*(CEILING(VG_W11,UNITS_PER_CASE)/UNITS_PER_CASE))+SUMPRODUCT((VG_TIER=$A$43)*(VG_W12&gt;0)*(CEILING(VG_W12,UNITS_PER_CASE)/UNITS_PER_CASE))+SUMPRODUCT((VG_TIER=$A$43)*(VG_W13&gt;0)*(CEILING(VG_W13,UNITS_PER_CASE)/UNITS_PER_CASE))</f>
        <v/>
      </c>
    </row>
    <row r="46">
      <c r="A46" s="3" t="inlineStr">
        <is>
          <t>By banner, totals</t>
        </is>
      </c>
    </row>
    <row r="47">
      <c r="A47" s="5" t="inlineStr">
        <is>
          <t>Banner</t>
        </is>
      </c>
      <c r="B47" s="5" t="inlineStr">
        <is>
          <t>Total units</t>
        </is>
      </c>
      <c r="C47" s="5" t="inlineStr">
        <is>
          <t>Total cases</t>
        </is>
      </c>
    </row>
    <row r="48">
      <c r="A48" t="inlineStr">
        <is>
          <t>Choices Markets</t>
        </is>
      </c>
      <c r="B48" s="16">
        <f>SUMPRODUCT((VG_BANNER=$A$48)*VG_W1)+SUMPRODUCT((VG_BANNER=$A$48)*VG_W2)+SUMPRODUCT((VG_BANNER=$A$48)*VG_W3)+SUMPRODUCT((VG_BANNER=$A$48)*VG_W4)+SUMPRODUCT((VG_BANNER=$A$48)*VG_W5)+SUMPRODUCT((VG_BANNER=$A$48)*VG_W6)+SUMPRODUCT((VG_BANNER=$A$48)*VG_W7)+SUMPRODUCT((VG_BANNER=$A$48)*VG_W8)+SUMPRODUCT((VG_BANNER=$A$48)*VG_W9)+SUMPRODUCT((VG_BANNER=$A$48)*VG_W10)+SUMPRODUCT((VG_BANNER=$A$48)*VG_W11)+SUMPRODUCT((VG_BANNER=$A$48)*VG_W12)+SUMPRODUCT((VG_BANNER=$A$48)*VG_W13)</f>
        <v/>
      </c>
      <c r="C48" s="16">
        <f>SUMPRODUCT((VG_BANNER=$A$48)*(VG_W1&gt;0)*(CEILING(VG_W1,UNITS_PER_CASE)/UNITS_PER_CASE))+SUMPRODUCT((VG_BANNER=$A$48)*(VG_W2&gt;0)*(CEILING(VG_W2,UNITS_PER_CASE)/UNITS_PER_CASE))+SUMPRODUCT((VG_BANNER=$A$48)*(VG_W3&gt;0)*(CEILING(VG_W3,UNITS_PER_CASE)/UNITS_PER_CASE))+SUMPRODUCT((VG_BANNER=$A$48)*(VG_W4&gt;0)*(CEILING(VG_W4,UNITS_PER_CASE)/UNITS_PER_CASE))+SUMPRODUCT((VG_BANNER=$A$48)*(VG_W5&gt;0)*(CEILING(VG_W5,UNITS_PER_CASE)/UNITS_PER_CASE))+SUMPRODUCT((VG_BANNER=$A$48)*(VG_W6&gt;0)*(CEILING(VG_W6,UNITS_PER_CASE)/UNITS_PER_CASE))+SUMPRODUCT((VG_BANNER=$A$48)*(VG_W7&gt;0)*(CEILING(VG_W7,UNITS_PER_CASE)/UNITS_PER_CASE))+SUMPRODUCT((VG_BANNER=$A$48)*(VG_W8&gt;0)*(CEILING(VG_W8,UNITS_PER_CASE)/UNITS_PER_CASE))+SUMPRODUCT((VG_BANNER=$A$48)*(VG_W9&gt;0)*(CEILING(VG_W9,UNITS_PER_CASE)/UNITS_PER_CASE))+SUMPRODUCT((VG_BANNER=$A$48)*(VG_W10&gt;0)*(CEILING(VG_W10,UNITS_PER_CASE)/UNITS_PER_CASE))+SUMPRODUCT((VG_BANNER=$A$48)*(VG_W11&gt;0)*(CEILING(VG_W11,UNITS_PER_CASE)/UNITS_PER_CASE))+SUMPRODUCT((VG_BANNER=$A$48)*(VG_W12&gt;0)*(CEILING(VG_W12,UNITS_PER_CASE)/UNITS_PER_CASE))+SUMPRODUCT((VG_BANNER=$A$48)*(VG_W13&gt;0)*(CEILING(VG_W13,UNITS_PER_CASE)/UNITS_PER_CASE))</f>
        <v/>
      </c>
    </row>
    <row r="49">
      <c r="A49" t="inlineStr">
        <is>
          <t>Fresh St Market</t>
        </is>
      </c>
      <c r="B49" s="16">
        <f>SUMPRODUCT((VG_BANNER=$A$49)*VG_W1)+SUMPRODUCT((VG_BANNER=$A$49)*VG_W2)+SUMPRODUCT((VG_BANNER=$A$49)*VG_W3)+SUMPRODUCT((VG_BANNER=$A$49)*VG_W4)+SUMPRODUCT((VG_BANNER=$A$49)*VG_W5)+SUMPRODUCT((VG_BANNER=$A$49)*VG_W6)+SUMPRODUCT((VG_BANNER=$A$49)*VG_W7)+SUMPRODUCT((VG_BANNER=$A$49)*VG_W8)+SUMPRODUCT((VG_BANNER=$A$49)*VG_W9)+SUMPRODUCT((VG_BANNER=$A$49)*VG_W10)+SUMPRODUCT((VG_BANNER=$A$49)*VG_W11)+SUMPRODUCT((VG_BANNER=$A$49)*VG_W12)+SUMPRODUCT((VG_BANNER=$A$49)*VG_W13)</f>
        <v/>
      </c>
      <c r="C49" s="16">
        <f>SUMPRODUCT((VG_BANNER=$A$49)*(VG_W1&gt;0)*(CEILING(VG_W1,UNITS_PER_CASE)/UNITS_PER_CASE))+SUMPRODUCT((VG_BANNER=$A$49)*(VG_W2&gt;0)*(CEILING(VG_W2,UNITS_PER_CASE)/UNITS_PER_CASE))+SUMPRODUCT((VG_BANNER=$A$49)*(VG_W3&gt;0)*(CEILING(VG_W3,UNITS_PER_CASE)/UNITS_PER_CASE))+SUMPRODUCT((VG_BANNER=$A$49)*(VG_W4&gt;0)*(CEILING(VG_W4,UNITS_PER_CASE)/UNITS_PER_CASE))+SUMPRODUCT((VG_BANNER=$A$49)*(VG_W5&gt;0)*(CEILING(VG_W5,UNITS_PER_CASE)/UNITS_PER_CASE))+SUMPRODUCT((VG_BANNER=$A$49)*(VG_W6&gt;0)*(CEILING(VG_W6,UNITS_PER_CASE)/UNITS_PER_CASE))+SUMPRODUCT((VG_BANNER=$A$49)*(VG_W7&gt;0)*(CEILING(VG_W7,UNITS_PER_CASE)/UNITS_PER_CASE))+SUMPRODUCT((VG_BANNER=$A$49)*(VG_W8&gt;0)*(CEILING(VG_W8,UNITS_PER_CASE)/UNITS_PER_CASE))+SUMPRODUCT((VG_BANNER=$A$49)*(VG_W9&gt;0)*(CEILING(VG_W9,UNITS_PER_CASE)/UNITS_PER_CASE))+SUMPRODUCT((VG_BANNER=$A$49)*(VG_W10&gt;0)*(CEILING(VG_W10,UNITS_PER_CASE)/UNITS_PER_CASE))+SUMPRODUCT((VG_BANNER=$A$49)*(VG_W11&gt;0)*(CEILING(VG_W11,UNITS_PER_CASE)/UNITS_PER_CASE))+SUMPRODUCT((VG_BANNER=$A$49)*(VG_W12&gt;0)*(CEILING(VG_W12,UNITS_PER_CASE)/UNITS_PER_CASE))+SUMPRODUCT((VG_BANNER=$A$49)*(VG_W13&gt;0)*(CEILING(VG_W13,UNITS_PER_CASE)/UNITS_PER_CASE))</f>
        <v/>
      </c>
    </row>
    <row r="50">
      <c r="A50" t="inlineStr">
        <is>
          <t>IGA Marketplace</t>
        </is>
      </c>
      <c r="B50" s="16">
        <f>SUMPRODUCT((VG_BANNER=$A$50)*VG_W1)+SUMPRODUCT((VG_BANNER=$A$50)*VG_W2)+SUMPRODUCT((VG_BANNER=$A$50)*VG_W3)+SUMPRODUCT((VG_BANNER=$A$50)*VG_W4)+SUMPRODUCT((VG_BANNER=$A$50)*VG_W5)+SUMPRODUCT((VG_BANNER=$A$50)*VG_W6)+SUMPRODUCT((VG_BANNER=$A$50)*VG_W7)+SUMPRODUCT((VG_BANNER=$A$50)*VG_W8)+SUMPRODUCT((VG_BANNER=$A$50)*VG_W9)+SUMPRODUCT((VG_BANNER=$A$50)*VG_W10)+SUMPRODUCT((VG_BANNER=$A$50)*VG_W11)+SUMPRODUCT((VG_BANNER=$A$50)*VG_W12)+SUMPRODUCT((VG_BANNER=$A$50)*VG_W13)</f>
        <v/>
      </c>
      <c r="C50" s="16">
        <f>SUMPRODUCT((VG_BANNER=$A$50)*(VG_W1&gt;0)*(CEILING(VG_W1,UNITS_PER_CASE)/UNITS_PER_CASE))+SUMPRODUCT((VG_BANNER=$A$50)*(VG_W2&gt;0)*(CEILING(VG_W2,UNITS_PER_CASE)/UNITS_PER_CASE))+SUMPRODUCT((VG_BANNER=$A$50)*(VG_W3&gt;0)*(CEILING(VG_W3,UNITS_PER_CASE)/UNITS_PER_CASE))+SUMPRODUCT((VG_BANNER=$A$50)*(VG_W4&gt;0)*(CEILING(VG_W4,UNITS_PER_CASE)/UNITS_PER_CASE))+SUMPRODUCT((VG_BANNER=$A$50)*(VG_W5&gt;0)*(CEILING(VG_W5,UNITS_PER_CASE)/UNITS_PER_CASE))+SUMPRODUCT((VG_BANNER=$A$50)*(VG_W6&gt;0)*(CEILING(VG_W6,UNITS_PER_CASE)/UNITS_PER_CASE))+SUMPRODUCT((VG_BANNER=$A$50)*(VG_W7&gt;0)*(CEILING(VG_W7,UNITS_PER_CASE)/UNITS_PER_CASE))+SUMPRODUCT((VG_BANNER=$A$50)*(VG_W8&gt;0)*(CEILING(VG_W8,UNITS_PER_CASE)/UNITS_PER_CASE))+SUMPRODUCT((VG_BANNER=$A$50)*(VG_W9&gt;0)*(CEILING(VG_W9,UNITS_PER_CASE)/UNITS_PER_CASE))+SUMPRODUCT((VG_BANNER=$A$50)*(VG_W10&gt;0)*(CEILING(VG_W10,UNITS_PER_CASE)/UNITS_PER_CASE))+SUMPRODUCT((VG_BANNER=$A$50)*(VG_W11&gt;0)*(CEILING(VG_W11,UNITS_PER_CASE)/UNITS_PER_CASE))+SUMPRODUCT((VG_BANNER=$A$50)*(VG_W12&gt;0)*(CEILING(VG_W12,UNITS_PER_CASE)/UNITS_PER_CASE))+SUMPRODUCT((VG_BANNER=$A$50)*(VG_W13&gt;0)*(CEILING(VG_W13,UNITS_PER_CASE)/UNITS_PER_CASE))</f>
        <v/>
      </c>
    </row>
    <row r="51">
      <c r="A51" t="inlineStr">
        <is>
          <t>Independent Grocer</t>
        </is>
      </c>
      <c r="B51" s="16">
        <f>SUMPRODUCT((VG_BANNER=$A$51)*VG_W1)+SUMPRODUCT((VG_BANNER=$A$51)*VG_W2)+SUMPRODUCT((VG_BANNER=$A$51)*VG_W3)+SUMPRODUCT((VG_BANNER=$A$51)*VG_W4)+SUMPRODUCT((VG_BANNER=$A$51)*VG_W5)+SUMPRODUCT((VG_BANNER=$A$51)*VG_W6)+SUMPRODUCT((VG_BANNER=$A$51)*VG_W7)+SUMPRODUCT((VG_BANNER=$A$51)*VG_W8)+SUMPRODUCT((VG_BANNER=$A$51)*VG_W9)+SUMPRODUCT((VG_BANNER=$A$51)*VG_W10)+SUMPRODUCT((VG_BANNER=$A$51)*VG_W11)+SUMPRODUCT((VG_BANNER=$A$51)*VG_W12)+SUMPRODUCT((VG_BANNER=$A$51)*VG_W13)</f>
        <v/>
      </c>
      <c r="C51" s="16">
        <f>SUMPRODUCT((VG_BANNER=$A$51)*(VG_W1&gt;0)*(CEILING(VG_W1,UNITS_PER_CASE)/UNITS_PER_CASE))+SUMPRODUCT((VG_BANNER=$A$51)*(VG_W2&gt;0)*(CEILING(VG_W2,UNITS_PER_CASE)/UNITS_PER_CASE))+SUMPRODUCT((VG_BANNER=$A$51)*(VG_W3&gt;0)*(CEILING(VG_W3,UNITS_PER_CASE)/UNITS_PER_CASE))+SUMPRODUCT((VG_BANNER=$A$51)*(VG_W4&gt;0)*(CEILING(VG_W4,UNITS_PER_CASE)/UNITS_PER_CASE))+SUMPRODUCT((VG_BANNER=$A$51)*(VG_W5&gt;0)*(CEILING(VG_W5,UNITS_PER_CASE)/UNITS_PER_CASE))+SUMPRODUCT((VG_BANNER=$A$51)*(VG_W6&gt;0)*(CEILING(VG_W6,UNITS_PER_CASE)/UNITS_PER_CASE))+SUMPRODUCT((VG_BANNER=$A$51)*(VG_W7&gt;0)*(CEILING(VG_W7,UNITS_PER_CASE)/UNITS_PER_CASE))+SUMPRODUCT((VG_BANNER=$A$51)*(VG_W8&gt;0)*(CEILING(VG_W8,UNITS_PER_CASE)/UNITS_PER_CASE))+SUMPRODUCT((VG_BANNER=$A$51)*(VG_W9&gt;0)*(CEILING(VG_W9,UNITS_PER_CASE)/UNITS_PER_CASE))+SUMPRODUCT((VG_BANNER=$A$51)*(VG_W10&gt;0)*(CEILING(VG_W10,UNITS_PER_CASE)/UNITS_PER_CASE))+SUMPRODUCT((VG_BANNER=$A$51)*(VG_W11&gt;0)*(CEILING(VG_W11,UNITS_PER_CASE)/UNITS_PER_CASE))+SUMPRODUCT((VG_BANNER=$A$51)*(VG_W12&gt;0)*(CEILING(VG_W12,UNITS_PER_CASE)/UNITS_PER_CASE))+SUMPRODUCT((VG_BANNER=$A$51)*(VG_W13&gt;0)*(CEILING(VG_W13,UNITS_PER_CASE)/UNITS_PER_CASE))</f>
        <v/>
      </c>
    </row>
    <row r="52">
      <c r="A52" t="inlineStr">
        <is>
          <t>Nature's Fare Markets</t>
        </is>
      </c>
      <c r="B52" s="16">
        <f>SUMPRODUCT((VG_BANNER=$A$52)*VG_W1)+SUMPRODUCT((VG_BANNER=$A$52)*VG_W2)+SUMPRODUCT((VG_BANNER=$A$52)*VG_W3)+SUMPRODUCT((VG_BANNER=$A$52)*VG_W4)+SUMPRODUCT((VG_BANNER=$A$52)*VG_W5)+SUMPRODUCT((VG_BANNER=$A$52)*VG_W6)+SUMPRODUCT((VG_BANNER=$A$52)*VG_W7)+SUMPRODUCT((VG_BANNER=$A$52)*VG_W8)+SUMPRODUCT((VG_BANNER=$A$52)*VG_W9)+SUMPRODUCT((VG_BANNER=$A$52)*VG_W10)+SUMPRODUCT((VG_BANNER=$A$52)*VG_W11)+SUMPRODUCT((VG_BANNER=$A$52)*VG_W12)+SUMPRODUCT((VG_BANNER=$A$52)*VG_W13)</f>
        <v/>
      </c>
      <c r="C52" s="16">
        <f>SUMPRODUCT((VG_BANNER=$A$52)*(VG_W1&gt;0)*(CEILING(VG_W1,UNITS_PER_CASE)/UNITS_PER_CASE))+SUMPRODUCT((VG_BANNER=$A$52)*(VG_W2&gt;0)*(CEILING(VG_W2,UNITS_PER_CASE)/UNITS_PER_CASE))+SUMPRODUCT((VG_BANNER=$A$52)*(VG_W3&gt;0)*(CEILING(VG_W3,UNITS_PER_CASE)/UNITS_PER_CASE))+SUMPRODUCT((VG_BANNER=$A$52)*(VG_W4&gt;0)*(CEILING(VG_W4,UNITS_PER_CASE)/UNITS_PER_CASE))+SUMPRODUCT((VG_BANNER=$A$52)*(VG_W5&gt;0)*(CEILING(VG_W5,UNITS_PER_CASE)/UNITS_PER_CASE))+SUMPRODUCT((VG_BANNER=$A$52)*(VG_W6&gt;0)*(CEILING(VG_W6,UNITS_PER_CASE)/UNITS_PER_CASE))+SUMPRODUCT((VG_BANNER=$A$52)*(VG_W7&gt;0)*(CEILING(VG_W7,UNITS_PER_CASE)/UNITS_PER_CASE))+SUMPRODUCT((VG_BANNER=$A$52)*(VG_W8&gt;0)*(CEILING(VG_W8,UNITS_PER_CASE)/UNITS_PER_CASE))+SUMPRODUCT((VG_BANNER=$A$52)*(VG_W9&gt;0)*(CEILING(VG_W9,UNITS_PER_CASE)/UNITS_PER_CASE))+SUMPRODUCT((VG_BANNER=$A$52)*(VG_W10&gt;0)*(CEILING(VG_W10,UNITS_PER_CASE)/UNITS_PER_CASE))+SUMPRODUCT((VG_BANNER=$A$52)*(VG_W11&gt;0)*(CEILING(VG_W11,UNITS_PER_CASE)/UNITS_PER_CASE))+SUMPRODUCT((VG_BANNER=$A$52)*(VG_W12&gt;0)*(CEILING(VG_W12,UNITS_PER_CASE)/UNITS_PER_CASE))+SUMPRODUCT((VG_BANNER=$A$52)*(VG_W13&gt;0)*(CEILING(VG_W13,UNITS_PER_CASE)/UNITS_PER_CASE))</f>
        <v/>
      </c>
    </row>
    <row r="53">
      <c r="A53" t="inlineStr">
        <is>
          <t>Pomme Natural Market</t>
        </is>
      </c>
      <c r="B53" s="16">
        <f>SUMPRODUCT((VG_BANNER=$A$53)*VG_W1)+SUMPRODUCT((VG_BANNER=$A$53)*VG_W2)+SUMPRODUCT((VG_BANNER=$A$53)*VG_W3)+SUMPRODUCT((VG_BANNER=$A$53)*VG_W4)+SUMPRODUCT((VG_BANNER=$A$53)*VG_W5)+SUMPRODUCT((VG_BANNER=$A$53)*VG_W6)+SUMPRODUCT((VG_BANNER=$A$53)*VG_W7)+SUMPRODUCT((VG_BANNER=$A$53)*VG_W8)+SUMPRODUCT((VG_BANNER=$A$53)*VG_W9)+SUMPRODUCT((VG_BANNER=$A$53)*VG_W10)+SUMPRODUCT((VG_BANNER=$A$53)*VG_W11)+SUMPRODUCT((VG_BANNER=$A$53)*VG_W12)+SUMPRODUCT((VG_BANNER=$A$53)*VG_W13)</f>
        <v/>
      </c>
      <c r="C53" s="16">
        <f>SUMPRODUCT((VG_BANNER=$A$53)*(VG_W1&gt;0)*(CEILING(VG_W1,UNITS_PER_CASE)/UNITS_PER_CASE))+SUMPRODUCT((VG_BANNER=$A$53)*(VG_W2&gt;0)*(CEILING(VG_W2,UNITS_PER_CASE)/UNITS_PER_CASE))+SUMPRODUCT((VG_BANNER=$A$53)*(VG_W3&gt;0)*(CEILING(VG_W3,UNITS_PER_CASE)/UNITS_PER_CASE))+SUMPRODUCT((VG_BANNER=$A$53)*(VG_W4&gt;0)*(CEILING(VG_W4,UNITS_PER_CASE)/UNITS_PER_CASE))+SUMPRODUCT((VG_BANNER=$A$53)*(VG_W5&gt;0)*(CEILING(VG_W5,UNITS_PER_CASE)/UNITS_PER_CASE))+SUMPRODUCT((VG_BANNER=$A$53)*(VG_W6&gt;0)*(CEILING(VG_W6,UNITS_PER_CASE)/UNITS_PER_CASE))+SUMPRODUCT((VG_BANNER=$A$53)*(VG_W7&gt;0)*(CEILING(VG_W7,UNITS_PER_CASE)/UNITS_PER_CASE))+SUMPRODUCT((VG_BANNER=$A$53)*(VG_W8&gt;0)*(CEILING(VG_W8,UNITS_PER_CASE)/UNITS_PER_CASE))+SUMPRODUCT((VG_BANNER=$A$53)*(VG_W9&gt;0)*(CEILING(VG_W9,UNITS_PER_CASE)/UNITS_PER_CASE))+SUMPRODUCT((VG_BANNER=$A$53)*(VG_W10&gt;0)*(CEILING(VG_W10,UNITS_PER_CASE)/UNITS_PER_CASE))+SUMPRODUCT((VG_BANNER=$A$53)*(VG_W11&gt;0)*(CEILING(VG_W11,UNITS_PER_CASE)/UNITS_PER_CASE))+SUMPRODUCT((VG_BANNER=$A$53)*(VG_W12&gt;0)*(CEILING(VG_W12,UNITS_PER_CASE)/UNITS_PER_CASE))+SUMPRODUCT((VG_BANNER=$A$53)*(VG_W13&gt;0)*(CEILING(VG_W13,UNITS_PER_CASE)/UNITS_PER_CASE))</f>
        <v/>
      </c>
    </row>
    <row r="54">
      <c r="A54" t="inlineStr">
        <is>
          <t>Save On Foods</t>
        </is>
      </c>
      <c r="B54" s="16">
        <f>SUMPRODUCT((VG_BANNER=$A$54)*VG_W1)+SUMPRODUCT((VG_BANNER=$A$54)*VG_W2)+SUMPRODUCT((VG_BANNER=$A$54)*VG_W3)+SUMPRODUCT((VG_BANNER=$A$54)*VG_W4)+SUMPRODUCT((VG_BANNER=$A$54)*VG_W5)+SUMPRODUCT((VG_BANNER=$A$54)*VG_W6)+SUMPRODUCT((VG_BANNER=$A$54)*VG_W7)+SUMPRODUCT((VG_BANNER=$A$54)*VG_W8)+SUMPRODUCT((VG_BANNER=$A$54)*VG_W9)+SUMPRODUCT((VG_BANNER=$A$54)*VG_W10)+SUMPRODUCT((VG_BANNER=$A$54)*VG_W11)+SUMPRODUCT((VG_BANNER=$A$54)*VG_W12)+SUMPRODUCT((VG_BANNER=$A$54)*VG_W13)</f>
        <v/>
      </c>
      <c r="C54" s="16">
        <f>SUMPRODUCT((VG_BANNER=$A$54)*(VG_W1&gt;0)*(CEILING(VG_W1,UNITS_PER_CASE)/UNITS_PER_CASE))+SUMPRODUCT((VG_BANNER=$A$54)*(VG_W2&gt;0)*(CEILING(VG_W2,UNITS_PER_CASE)/UNITS_PER_CASE))+SUMPRODUCT((VG_BANNER=$A$54)*(VG_W3&gt;0)*(CEILING(VG_W3,UNITS_PER_CASE)/UNITS_PER_CASE))+SUMPRODUCT((VG_BANNER=$A$54)*(VG_W4&gt;0)*(CEILING(VG_W4,UNITS_PER_CASE)/UNITS_PER_CASE))+SUMPRODUCT((VG_BANNER=$A$54)*(VG_W5&gt;0)*(CEILING(VG_W5,UNITS_PER_CASE)/UNITS_PER_CASE))+SUMPRODUCT((VG_BANNER=$A$54)*(VG_W6&gt;0)*(CEILING(VG_W6,UNITS_PER_CASE)/UNITS_PER_CASE))+SUMPRODUCT((VG_BANNER=$A$54)*(VG_W7&gt;0)*(CEILING(VG_W7,UNITS_PER_CASE)/UNITS_PER_CASE))+SUMPRODUCT((VG_BANNER=$A$54)*(VG_W8&gt;0)*(CEILING(VG_W8,UNITS_PER_CASE)/UNITS_PER_CASE))+SUMPRODUCT((VG_BANNER=$A$54)*(VG_W9&gt;0)*(CEILING(VG_W9,UNITS_PER_CASE)/UNITS_PER_CASE))+SUMPRODUCT((VG_BANNER=$A$54)*(VG_W10&gt;0)*(CEILING(VG_W10,UNITS_PER_CASE)/UNITS_PER_CASE))+SUMPRODUCT((VG_BANNER=$A$54)*(VG_W11&gt;0)*(CEILING(VG_W11,UNITS_PER_CASE)/UNITS_PER_CASE))+SUMPRODUCT((VG_BANNER=$A$54)*(VG_W12&gt;0)*(CEILING(VG_W12,UNITS_PER_CASE)/UNITS_PER_CASE))+SUMPRODUCT((VG_BANNER=$A$54)*(VG_W13&gt;0)*(CEILING(VG_W13,UNITS_PER_CASE)/UNITS_PER_CASE))</f>
        <v/>
      </c>
    </row>
    <row r="55">
      <c r="A55" t="inlineStr">
        <is>
          <t>Stong's Market</t>
        </is>
      </c>
      <c r="B55" s="16">
        <f>SUMPRODUCT((VG_BANNER=$A$55)*VG_W1)+SUMPRODUCT((VG_BANNER=$A$55)*VG_W2)+SUMPRODUCT((VG_BANNER=$A$55)*VG_W3)+SUMPRODUCT((VG_BANNER=$A$55)*VG_W4)+SUMPRODUCT((VG_BANNER=$A$55)*VG_W5)+SUMPRODUCT((VG_BANNER=$A$55)*VG_W6)+SUMPRODUCT((VG_BANNER=$A$55)*VG_W7)+SUMPRODUCT((VG_BANNER=$A$55)*VG_W8)+SUMPRODUCT((VG_BANNER=$A$55)*VG_W9)+SUMPRODUCT((VG_BANNER=$A$55)*VG_W10)+SUMPRODUCT((VG_BANNER=$A$55)*VG_W11)+SUMPRODUCT((VG_BANNER=$A$55)*VG_W12)+SUMPRODUCT((VG_BANNER=$A$55)*VG_W13)</f>
        <v/>
      </c>
      <c r="C55" s="16">
        <f>SUMPRODUCT((VG_BANNER=$A$55)*(VG_W1&gt;0)*(CEILING(VG_W1,UNITS_PER_CASE)/UNITS_PER_CASE))+SUMPRODUCT((VG_BANNER=$A$55)*(VG_W2&gt;0)*(CEILING(VG_W2,UNITS_PER_CASE)/UNITS_PER_CASE))+SUMPRODUCT((VG_BANNER=$A$55)*(VG_W3&gt;0)*(CEILING(VG_W3,UNITS_PER_CASE)/UNITS_PER_CASE))+SUMPRODUCT((VG_BANNER=$A$55)*(VG_W4&gt;0)*(CEILING(VG_W4,UNITS_PER_CASE)/UNITS_PER_CASE))+SUMPRODUCT((VG_BANNER=$A$55)*(VG_W5&gt;0)*(CEILING(VG_W5,UNITS_PER_CASE)/UNITS_PER_CASE))+SUMPRODUCT((VG_BANNER=$A$55)*(VG_W6&gt;0)*(CEILING(VG_W6,UNITS_PER_CASE)/UNITS_PER_CASE))+SUMPRODUCT((VG_BANNER=$A$55)*(VG_W7&gt;0)*(CEILING(VG_W7,UNITS_PER_CASE)/UNITS_PER_CASE))+SUMPRODUCT((VG_BANNER=$A$55)*(VG_W8&gt;0)*(CEILING(VG_W8,UNITS_PER_CASE)/UNITS_PER_CASE))+SUMPRODUCT((VG_BANNER=$A$55)*(VG_W9&gt;0)*(CEILING(VG_W9,UNITS_PER_CASE)/UNITS_PER_CASE))+SUMPRODUCT((VG_BANNER=$A$55)*(VG_W10&gt;0)*(CEILING(VG_W10,UNITS_PER_CASE)/UNITS_PER_CASE))+SUMPRODUCT((VG_BANNER=$A$55)*(VG_W11&gt;0)*(CEILING(VG_W11,UNITS_PER_CASE)/UNITS_PER_CASE))+SUMPRODUCT((VG_BANNER=$A$55)*(VG_W12&gt;0)*(CEILING(VG_W12,UNITS_PER_CASE)/UNITS_PER_CASE))+SUMPRODUCT((VG_BANNER=$A$55)*(VG_W13&gt;0)*(CEILING(VG_W13,UNITS_PER_CASE)/UNITS_PER_CASE))</f>
        <v/>
      </c>
    </row>
    <row r="56">
      <c r="A56" t="inlineStr">
        <is>
          <t>Urban Fare</t>
        </is>
      </c>
      <c r="B56" s="16">
        <f>SUMPRODUCT((VG_BANNER=$A$56)*VG_W1)+SUMPRODUCT((VG_BANNER=$A$56)*VG_W2)+SUMPRODUCT((VG_BANNER=$A$56)*VG_W3)+SUMPRODUCT((VG_BANNER=$A$56)*VG_W4)+SUMPRODUCT((VG_BANNER=$A$56)*VG_W5)+SUMPRODUCT((VG_BANNER=$A$56)*VG_W6)+SUMPRODUCT((VG_BANNER=$A$56)*VG_W7)+SUMPRODUCT((VG_BANNER=$A$56)*VG_W8)+SUMPRODUCT((VG_BANNER=$A$56)*VG_W9)+SUMPRODUCT((VG_BANNER=$A$56)*VG_W10)+SUMPRODUCT((VG_BANNER=$A$56)*VG_W11)+SUMPRODUCT((VG_BANNER=$A$56)*VG_W12)+SUMPRODUCT((VG_BANNER=$A$56)*VG_W13)</f>
        <v/>
      </c>
      <c r="C56" s="16">
        <f>SUMPRODUCT((VG_BANNER=$A$56)*(VG_W1&gt;0)*(CEILING(VG_W1,UNITS_PER_CASE)/UNITS_PER_CASE))+SUMPRODUCT((VG_BANNER=$A$56)*(VG_W2&gt;0)*(CEILING(VG_W2,UNITS_PER_CASE)/UNITS_PER_CASE))+SUMPRODUCT((VG_BANNER=$A$56)*(VG_W3&gt;0)*(CEILING(VG_W3,UNITS_PER_CASE)/UNITS_PER_CASE))+SUMPRODUCT((VG_BANNER=$A$56)*(VG_W4&gt;0)*(CEILING(VG_W4,UNITS_PER_CASE)/UNITS_PER_CASE))+SUMPRODUCT((VG_BANNER=$A$56)*(VG_W5&gt;0)*(CEILING(VG_W5,UNITS_PER_CASE)/UNITS_PER_CASE))+SUMPRODUCT((VG_BANNER=$A$56)*(VG_W6&gt;0)*(CEILING(VG_W6,UNITS_PER_CASE)/UNITS_PER_CASE))+SUMPRODUCT((VG_BANNER=$A$56)*(VG_W7&gt;0)*(CEILING(VG_W7,UNITS_PER_CASE)/UNITS_PER_CASE))+SUMPRODUCT((VG_BANNER=$A$56)*(VG_W8&gt;0)*(CEILING(VG_W8,UNITS_PER_CASE)/UNITS_PER_CASE))+SUMPRODUCT((VG_BANNER=$A$56)*(VG_W9&gt;0)*(CEILING(VG_W9,UNITS_PER_CASE)/UNITS_PER_CASE))+SUMPRODUCT((VG_BANNER=$A$56)*(VG_W10&gt;0)*(CEILING(VG_W10,UNITS_PER_CASE)/UNITS_PER_CASE))+SUMPRODUCT((VG_BANNER=$A$56)*(VG_W11&gt;0)*(CEILING(VG_W11,UNITS_PER_CASE)/UNITS_PER_CASE))+SUMPRODUCT((VG_BANNER=$A$56)*(VG_W12&gt;0)*(CEILING(VG_W12,UNITS_PER_CASE)/UNITS_PER_CASE))+SUMPRODUCT((VG_BANNER=$A$56)*(VG_W13&gt;0)*(CEILING(VG_W13,UNITS_PER_CASE)/UNITS_PER_CASE))</f>
        <v/>
      </c>
    </row>
    <row r="57">
      <c r="A57" t="inlineStr">
        <is>
          <t>Whole Foods Market</t>
        </is>
      </c>
      <c r="B57" s="16">
        <f>SUMPRODUCT((VG_BANNER=$A$57)*VG_W1)+SUMPRODUCT((VG_BANNER=$A$57)*VG_W2)+SUMPRODUCT((VG_BANNER=$A$57)*VG_W3)+SUMPRODUCT((VG_BANNER=$A$57)*VG_W4)+SUMPRODUCT((VG_BANNER=$A$57)*VG_W5)+SUMPRODUCT((VG_BANNER=$A$57)*VG_W6)+SUMPRODUCT((VG_BANNER=$A$57)*VG_W7)+SUMPRODUCT((VG_BANNER=$A$57)*VG_W8)+SUMPRODUCT((VG_BANNER=$A$57)*VG_W9)+SUMPRODUCT((VG_BANNER=$A$57)*VG_W10)+SUMPRODUCT((VG_BANNER=$A$57)*VG_W11)+SUMPRODUCT((VG_BANNER=$A$57)*VG_W12)+SUMPRODUCT((VG_BANNER=$A$57)*VG_W13)</f>
        <v/>
      </c>
      <c r="C57" s="16">
        <f>SUMPRODUCT((VG_BANNER=$A$57)*(VG_W1&gt;0)*(CEILING(VG_W1,UNITS_PER_CASE)/UNITS_PER_CASE))+SUMPRODUCT((VG_BANNER=$A$57)*(VG_W2&gt;0)*(CEILING(VG_W2,UNITS_PER_CASE)/UNITS_PER_CASE))+SUMPRODUCT((VG_BANNER=$A$57)*(VG_W3&gt;0)*(CEILING(VG_W3,UNITS_PER_CASE)/UNITS_PER_CASE))+SUMPRODUCT((VG_BANNER=$A$57)*(VG_W4&gt;0)*(CEILING(VG_W4,UNITS_PER_CASE)/UNITS_PER_CASE))+SUMPRODUCT((VG_BANNER=$A$57)*(VG_W5&gt;0)*(CEILING(VG_W5,UNITS_PER_CASE)/UNITS_PER_CASE))+SUMPRODUCT((VG_BANNER=$A$57)*(VG_W6&gt;0)*(CEILING(VG_W6,UNITS_PER_CASE)/UNITS_PER_CASE))+SUMPRODUCT((VG_BANNER=$A$57)*(VG_W7&gt;0)*(CEILING(VG_W7,UNITS_PER_CASE)/UNITS_PER_CASE))+SUMPRODUCT((VG_BANNER=$A$57)*(VG_W8&gt;0)*(CEILING(VG_W8,UNITS_PER_CASE)/UNITS_PER_CASE))+SUMPRODUCT((VG_BANNER=$A$57)*(VG_W9&gt;0)*(CEILING(VG_W9,UNITS_PER_CASE)/UNITS_PER_CASE))+SUMPRODUCT((VG_BANNER=$A$57)*(VG_W10&gt;0)*(CEILING(VG_W10,UNITS_PER_CASE)/UNITS_PER_CASE))+SUMPRODUCT((VG_BANNER=$A$57)*(VG_W11&gt;0)*(CEILING(VG_W11,UNITS_PER_CASE)/UNITS_PER_CASE))+SUMPRODUCT((VG_BANNER=$A$57)*(VG_W12&gt;0)*(CEILING(VG_W12,UNITS_PER_CASE)/UNITS_PER_CASE))+SUMPRODUCT((VG_BANNER=$A$57)*(VG_W13&gt;0)*(CEILING(VG_W13,UNITS_PER_CASE)/UNITS_PER_CASE))</f>
        <v/>
      </c>
    </row>
  </sheetData>
  <conditionalFormatting sqref="B21:C21">
    <cfRule type="expression" priority="1" dxfId="1">
      <formula>$C$21&lt;&gt;"Match"</formula>
    </cfRule>
    <cfRule type="expression" priority="2" dxfId="2">
      <formula>$C$21="Match"</formula>
    </cfRule>
  </conditionalFormatting>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7"/>
  <sheetViews>
    <sheetView showGridLines="0" workbookViewId="0">
      <selection activeCell="A1" sqref="A1"/>
    </sheetView>
  </sheetViews>
  <sheetFormatPr baseColWidth="8" defaultRowHeight="15"/>
  <cols>
    <col width="16" customWidth="1" min="1" max="1"/>
    <col width="22" customWidth="1" min="2" max="2"/>
    <col width="22" customWidth="1" min="3" max="3"/>
    <col width="22" customWidth="1" min="4" max="4"/>
    <col width="14" customWidth="1" min="5" max="5"/>
    <col width="14" customWidth="1" min="6" max="6"/>
    <col width="18" customWidth="1" min="7" max="7"/>
    <col width="18" customWidth="1" min="8" max="8"/>
  </cols>
  <sheetData>
    <row r="1">
      <c r="A1" s="1" t="inlineStr">
        <is>
          <t>Production Calendar</t>
        </is>
      </c>
    </row>
    <row r="2">
      <c r="A2" s="2" t="inlineStr">
        <is>
          <t>Back schedules co manufacturer PO release weeks from each delivery week using the Bevmax lead time. Required cases per week pull from the Weekly Forecast total cases line. Any week where required cases exceed weekly run capacity highlights in red.</t>
        </is>
      </c>
    </row>
    <row r="4">
      <c r="A4" s="5" t="inlineStr">
        <is>
          <t>Delivery Week</t>
        </is>
      </c>
      <c r="B4" s="5" t="inlineStr">
        <is>
          <t>Required cases doors</t>
        </is>
      </c>
      <c r="C4" s="5" t="inlineStr">
        <is>
          <t>Required cases online</t>
        </is>
      </c>
      <c r="D4" s="5" t="inlineStr">
        <is>
          <t>Required cases total</t>
        </is>
      </c>
      <c r="E4" s="5" t="inlineStr">
        <is>
          <t>Capacity</t>
        </is>
      </c>
      <c r="F4" s="5" t="inlineStr">
        <is>
          <t>Headroom</t>
        </is>
      </c>
      <c r="G4" s="5" t="inlineStr">
        <is>
          <t>PO release week</t>
        </is>
      </c>
      <c r="H4" s="5" t="inlineStr">
        <is>
          <t>Status</t>
        </is>
      </c>
    </row>
    <row r="5">
      <c r="A5" t="inlineStr">
        <is>
          <t>W1</t>
        </is>
      </c>
      <c r="B5" s="16">
        <f>'Weekly Forecast'!I6</f>
        <v/>
      </c>
      <c r="C5" s="16">
        <f>ROUNDUP('Online Forecast'!C5/UNITS_PER_CASE,0)+ROUNDUP('Online Forecast'!C6/UNITS_PER_CASE,0)+ROUNDUP('Online Forecast'!C7/UNITS_PER_CASE,0)+ROUNDUP('Online Forecast'!C8/UNITS_PER_CASE,0)+ROUNDUP('Online Forecast'!C9/UNITS_PER_CASE,0)+ROUNDUP('Online Forecast'!C10/UNITS_PER_CASE,0)</f>
        <v/>
      </c>
      <c r="D5" s="16">
        <f>B5+C5</f>
        <v/>
      </c>
      <c r="E5" s="16">
        <f>BEVMAX_CAP</f>
        <v/>
      </c>
      <c r="F5" s="16">
        <f>E5-D5</f>
        <v/>
      </c>
      <c r="G5">
        <f>1-BEVMAX_LEAD</f>
        <v/>
      </c>
      <c r="H5">
        <f>IF(D5&gt;E5,"Over capacity","OK")</f>
        <v/>
      </c>
    </row>
    <row r="6">
      <c r="A6" t="inlineStr">
        <is>
          <t>W2</t>
        </is>
      </c>
      <c r="B6" s="16">
        <f>'Weekly Forecast'!I7</f>
        <v/>
      </c>
      <c r="C6" s="16">
        <f>ROUNDUP('Online Forecast'!D5/UNITS_PER_CASE,0)+ROUNDUP('Online Forecast'!D6/UNITS_PER_CASE,0)+ROUNDUP('Online Forecast'!D7/UNITS_PER_CASE,0)+ROUNDUP('Online Forecast'!D8/UNITS_PER_CASE,0)+ROUNDUP('Online Forecast'!D9/UNITS_PER_CASE,0)+ROUNDUP('Online Forecast'!D10/UNITS_PER_CASE,0)</f>
        <v/>
      </c>
      <c r="D6" s="16">
        <f>B6+C6</f>
        <v/>
      </c>
      <c r="E6" s="16">
        <f>BEVMAX_CAP</f>
        <v/>
      </c>
      <c r="F6" s="16">
        <f>E6-D6</f>
        <v/>
      </c>
      <c r="G6">
        <f>2-BEVMAX_LEAD</f>
        <v/>
      </c>
      <c r="H6">
        <f>IF(D6&gt;E6,"Over capacity","OK")</f>
        <v/>
      </c>
    </row>
    <row r="7">
      <c r="A7" t="inlineStr">
        <is>
          <t>W3</t>
        </is>
      </c>
      <c r="B7" s="16">
        <f>'Weekly Forecast'!I8</f>
        <v/>
      </c>
      <c r="C7" s="16">
        <f>ROUNDUP('Online Forecast'!E5/UNITS_PER_CASE,0)+ROUNDUP('Online Forecast'!E6/UNITS_PER_CASE,0)+ROUNDUP('Online Forecast'!E7/UNITS_PER_CASE,0)+ROUNDUP('Online Forecast'!E8/UNITS_PER_CASE,0)+ROUNDUP('Online Forecast'!E9/UNITS_PER_CASE,0)+ROUNDUP('Online Forecast'!E10/UNITS_PER_CASE,0)</f>
        <v/>
      </c>
      <c r="D7" s="16">
        <f>B7+C7</f>
        <v/>
      </c>
      <c r="E7" s="16">
        <f>BEVMAX_CAP</f>
        <v/>
      </c>
      <c r="F7" s="16">
        <f>E7-D7</f>
        <v/>
      </c>
      <c r="G7">
        <f>3-BEVMAX_LEAD</f>
        <v/>
      </c>
      <c r="H7">
        <f>IF(D7&gt;E7,"Over capacity","OK")</f>
        <v/>
      </c>
    </row>
    <row r="8">
      <c r="A8" t="inlineStr">
        <is>
          <t>W4</t>
        </is>
      </c>
      <c r="B8" s="16">
        <f>'Weekly Forecast'!I9</f>
        <v/>
      </c>
      <c r="C8" s="16">
        <f>ROUNDUP('Online Forecast'!F5/UNITS_PER_CASE,0)+ROUNDUP('Online Forecast'!F6/UNITS_PER_CASE,0)+ROUNDUP('Online Forecast'!F7/UNITS_PER_CASE,0)+ROUNDUP('Online Forecast'!F8/UNITS_PER_CASE,0)+ROUNDUP('Online Forecast'!F9/UNITS_PER_CASE,0)+ROUNDUP('Online Forecast'!F10/UNITS_PER_CASE,0)</f>
        <v/>
      </c>
      <c r="D8" s="16">
        <f>B8+C8</f>
        <v/>
      </c>
      <c r="E8" s="16">
        <f>BEVMAX_CAP</f>
        <v/>
      </c>
      <c r="F8" s="16">
        <f>E8-D8</f>
        <v/>
      </c>
      <c r="G8">
        <f>4-BEVMAX_LEAD</f>
        <v/>
      </c>
      <c r="H8">
        <f>IF(D8&gt;E8,"Over capacity","OK")</f>
        <v/>
      </c>
    </row>
    <row r="9">
      <c r="A9" t="inlineStr">
        <is>
          <t>W5</t>
        </is>
      </c>
      <c r="B9" s="16">
        <f>'Weekly Forecast'!I10</f>
        <v/>
      </c>
      <c r="C9" s="16">
        <f>ROUNDUP('Online Forecast'!G5/UNITS_PER_CASE,0)+ROUNDUP('Online Forecast'!G6/UNITS_PER_CASE,0)+ROUNDUP('Online Forecast'!G7/UNITS_PER_CASE,0)+ROUNDUP('Online Forecast'!G8/UNITS_PER_CASE,0)+ROUNDUP('Online Forecast'!G9/UNITS_PER_CASE,0)+ROUNDUP('Online Forecast'!G10/UNITS_PER_CASE,0)</f>
        <v/>
      </c>
      <c r="D9" s="16">
        <f>B9+C9</f>
        <v/>
      </c>
      <c r="E9" s="16">
        <f>BEVMAX_CAP</f>
        <v/>
      </c>
      <c r="F9" s="16">
        <f>E9-D9</f>
        <v/>
      </c>
      <c r="G9">
        <f>5-BEVMAX_LEAD</f>
        <v/>
      </c>
      <c r="H9">
        <f>IF(D9&gt;E9,"Over capacity","OK")</f>
        <v/>
      </c>
    </row>
    <row r="10">
      <c r="A10" t="inlineStr">
        <is>
          <t>W6</t>
        </is>
      </c>
      <c r="B10" s="16">
        <f>'Weekly Forecast'!I11</f>
        <v/>
      </c>
      <c r="C10" s="16">
        <f>ROUNDUP('Online Forecast'!H5/UNITS_PER_CASE,0)+ROUNDUP('Online Forecast'!H6/UNITS_PER_CASE,0)+ROUNDUP('Online Forecast'!H7/UNITS_PER_CASE,0)+ROUNDUP('Online Forecast'!H8/UNITS_PER_CASE,0)+ROUNDUP('Online Forecast'!H9/UNITS_PER_CASE,0)+ROUNDUP('Online Forecast'!H10/UNITS_PER_CASE,0)</f>
        <v/>
      </c>
      <c r="D10" s="16">
        <f>B10+C10</f>
        <v/>
      </c>
      <c r="E10" s="16">
        <f>BEVMAX_CAP</f>
        <v/>
      </c>
      <c r="F10" s="16">
        <f>E10-D10</f>
        <v/>
      </c>
      <c r="G10">
        <f>6-BEVMAX_LEAD</f>
        <v/>
      </c>
      <c r="H10">
        <f>IF(D10&gt;E10,"Over capacity","OK")</f>
        <v/>
      </c>
    </row>
    <row r="11">
      <c r="A11" t="inlineStr">
        <is>
          <t>W7</t>
        </is>
      </c>
      <c r="B11" s="16">
        <f>'Weekly Forecast'!I12</f>
        <v/>
      </c>
      <c r="C11" s="16">
        <f>ROUNDUP('Online Forecast'!I5/UNITS_PER_CASE,0)+ROUNDUP('Online Forecast'!I6/UNITS_PER_CASE,0)+ROUNDUP('Online Forecast'!I7/UNITS_PER_CASE,0)+ROUNDUP('Online Forecast'!I8/UNITS_PER_CASE,0)+ROUNDUP('Online Forecast'!I9/UNITS_PER_CASE,0)+ROUNDUP('Online Forecast'!I10/UNITS_PER_CASE,0)</f>
        <v/>
      </c>
      <c r="D11" s="16">
        <f>B11+C11</f>
        <v/>
      </c>
      <c r="E11" s="16">
        <f>BEVMAX_CAP</f>
        <v/>
      </c>
      <c r="F11" s="16">
        <f>E11-D11</f>
        <v/>
      </c>
      <c r="G11">
        <f>7-BEVMAX_LEAD</f>
        <v/>
      </c>
      <c r="H11">
        <f>IF(D11&gt;E11,"Over capacity","OK")</f>
        <v/>
      </c>
    </row>
    <row r="12">
      <c r="A12" t="inlineStr">
        <is>
          <t>W8</t>
        </is>
      </c>
      <c r="B12" s="16">
        <f>'Weekly Forecast'!I13</f>
        <v/>
      </c>
      <c r="C12" s="16">
        <f>ROUNDUP('Online Forecast'!J5/UNITS_PER_CASE,0)+ROUNDUP('Online Forecast'!J6/UNITS_PER_CASE,0)+ROUNDUP('Online Forecast'!J7/UNITS_PER_CASE,0)+ROUNDUP('Online Forecast'!J8/UNITS_PER_CASE,0)+ROUNDUP('Online Forecast'!J9/UNITS_PER_CASE,0)+ROUNDUP('Online Forecast'!J10/UNITS_PER_CASE,0)</f>
        <v/>
      </c>
      <c r="D12" s="16">
        <f>B12+C12</f>
        <v/>
      </c>
      <c r="E12" s="16">
        <f>BEVMAX_CAP</f>
        <v/>
      </c>
      <c r="F12" s="16">
        <f>E12-D12</f>
        <v/>
      </c>
      <c r="G12">
        <f>8-BEVMAX_LEAD</f>
        <v/>
      </c>
      <c r="H12">
        <f>IF(D12&gt;E12,"Over capacity","OK")</f>
        <v/>
      </c>
    </row>
    <row r="13">
      <c r="A13" t="inlineStr">
        <is>
          <t>W9</t>
        </is>
      </c>
      <c r="B13" s="16">
        <f>'Weekly Forecast'!I14</f>
        <v/>
      </c>
      <c r="C13" s="16">
        <f>ROUNDUP('Online Forecast'!K5/UNITS_PER_CASE,0)+ROUNDUP('Online Forecast'!K6/UNITS_PER_CASE,0)+ROUNDUP('Online Forecast'!K7/UNITS_PER_CASE,0)+ROUNDUP('Online Forecast'!K8/UNITS_PER_CASE,0)+ROUNDUP('Online Forecast'!K9/UNITS_PER_CASE,0)+ROUNDUP('Online Forecast'!K10/UNITS_PER_CASE,0)</f>
        <v/>
      </c>
      <c r="D13" s="16">
        <f>B13+C13</f>
        <v/>
      </c>
      <c r="E13" s="16">
        <f>BEVMAX_CAP</f>
        <v/>
      </c>
      <c r="F13" s="16">
        <f>E13-D13</f>
        <v/>
      </c>
      <c r="G13">
        <f>9-BEVMAX_LEAD</f>
        <v/>
      </c>
      <c r="H13">
        <f>IF(D13&gt;E13,"Over capacity","OK")</f>
        <v/>
      </c>
    </row>
    <row r="14">
      <c r="A14" t="inlineStr">
        <is>
          <t>W10</t>
        </is>
      </c>
      <c r="B14" s="16">
        <f>'Weekly Forecast'!I15</f>
        <v/>
      </c>
      <c r="C14" s="16">
        <f>ROUNDUP('Online Forecast'!L5/UNITS_PER_CASE,0)+ROUNDUP('Online Forecast'!L6/UNITS_PER_CASE,0)+ROUNDUP('Online Forecast'!L7/UNITS_PER_CASE,0)+ROUNDUP('Online Forecast'!L8/UNITS_PER_CASE,0)+ROUNDUP('Online Forecast'!L9/UNITS_PER_CASE,0)+ROUNDUP('Online Forecast'!L10/UNITS_PER_CASE,0)</f>
        <v/>
      </c>
      <c r="D14" s="16">
        <f>B14+C14</f>
        <v/>
      </c>
      <c r="E14" s="16">
        <f>BEVMAX_CAP</f>
        <v/>
      </c>
      <c r="F14" s="16">
        <f>E14-D14</f>
        <v/>
      </c>
      <c r="G14">
        <f>10-BEVMAX_LEAD</f>
        <v/>
      </c>
      <c r="H14">
        <f>IF(D14&gt;E14,"Over capacity","OK")</f>
        <v/>
      </c>
    </row>
    <row r="15">
      <c r="A15" t="inlineStr">
        <is>
          <t>W11</t>
        </is>
      </c>
      <c r="B15" s="16">
        <f>'Weekly Forecast'!I16</f>
        <v/>
      </c>
      <c r="C15" s="16">
        <f>ROUNDUP('Online Forecast'!M5/UNITS_PER_CASE,0)+ROUNDUP('Online Forecast'!M6/UNITS_PER_CASE,0)+ROUNDUP('Online Forecast'!M7/UNITS_PER_CASE,0)+ROUNDUP('Online Forecast'!M8/UNITS_PER_CASE,0)+ROUNDUP('Online Forecast'!M9/UNITS_PER_CASE,0)+ROUNDUP('Online Forecast'!M10/UNITS_PER_CASE,0)</f>
        <v/>
      </c>
      <c r="D15" s="16">
        <f>B15+C15</f>
        <v/>
      </c>
      <c r="E15" s="16">
        <f>BEVMAX_CAP</f>
        <v/>
      </c>
      <c r="F15" s="16">
        <f>E15-D15</f>
        <v/>
      </c>
      <c r="G15">
        <f>11-BEVMAX_LEAD</f>
        <v/>
      </c>
      <c r="H15">
        <f>IF(D15&gt;E15,"Over capacity","OK")</f>
        <v/>
      </c>
    </row>
    <row r="16">
      <c r="A16" t="inlineStr">
        <is>
          <t>W12</t>
        </is>
      </c>
      <c r="B16" s="16">
        <f>'Weekly Forecast'!I17</f>
        <v/>
      </c>
      <c r="C16" s="16">
        <f>ROUNDUP('Online Forecast'!N5/UNITS_PER_CASE,0)+ROUNDUP('Online Forecast'!N6/UNITS_PER_CASE,0)+ROUNDUP('Online Forecast'!N7/UNITS_PER_CASE,0)+ROUNDUP('Online Forecast'!N8/UNITS_PER_CASE,0)+ROUNDUP('Online Forecast'!N9/UNITS_PER_CASE,0)+ROUNDUP('Online Forecast'!N10/UNITS_PER_CASE,0)</f>
        <v/>
      </c>
      <c r="D16" s="16">
        <f>B16+C16</f>
        <v/>
      </c>
      <c r="E16" s="16">
        <f>BEVMAX_CAP</f>
        <v/>
      </c>
      <c r="F16" s="16">
        <f>E16-D16</f>
        <v/>
      </c>
      <c r="G16">
        <f>12-BEVMAX_LEAD</f>
        <v/>
      </c>
      <c r="H16">
        <f>IF(D16&gt;E16,"Over capacity","OK")</f>
        <v/>
      </c>
    </row>
    <row r="17">
      <c r="A17" t="inlineStr">
        <is>
          <t>W13</t>
        </is>
      </c>
      <c r="B17" s="16">
        <f>'Weekly Forecast'!I18</f>
        <v/>
      </c>
      <c r="C17" s="16">
        <f>ROUNDUP('Online Forecast'!O5/UNITS_PER_CASE,0)+ROUNDUP('Online Forecast'!O6/UNITS_PER_CASE,0)+ROUNDUP('Online Forecast'!O7/UNITS_PER_CASE,0)+ROUNDUP('Online Forecast'!O8/UNITS_PER_CASE,0)+ROUNDUP('Online Forecast'!O9/UNITS_PER_CASE,0)+ROUNDUP('Online Forecast'!O10/UNITS_PER_CASE,0)</f>
        <v/>
      </c>
      <c r="D17" s="16">
        <f>B17+C17</f>
        <v/>
      </c>
      <c r="E17" s="16">
        <f>BEVMAX_CAP</f>
        <v/>
      </c>
      <c r="F17" s="16">
        <f>E17-D17</f>
        <v/>
      </c>
      <c r="G17">
        <f>13-BEVMAX_LEAD</f>
        <v/>
      </c>
      <c r="H17">
        <f>IF(D17&gt;E17,"Over capacity","OK")</f>
        <v/>
      </c>
    </row>
  </sheetData>
  <conditionalFormatting sqref="D5:F17">
    <cfRule type="expression" priority="1" dxfId="1">
      <formula>$D5&gt;$E5</formula>
    </cfRule>
  </conditionalFormatting>
  <conditionalFormatting sqref="H5:H17">
    <cfRule type="expression" priority="2" dxfId="1">
      <formula>$H5="Over capacity"</formula>
    </cfRule>
    <cfRule type="expression" priority="3" dxfId="2">
      <formula>$H5="OK"</formula>
    </cfRule>
  </conditionalFormatting>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16"/>
  <sheetViews>
    <sheetView showGridLines="0" workbookViewId="0">
      <selection activeCell="A1" sqref="A1"/>
    </sheetView>
  </sheetViews>
  <sheetFormatPr baseColWidth="8" defaultRowHeight="15"/>
  <cols>
    <col width="22" customWidth="1" min="1" max="1"/>
    <col width="18" customWidth="1" min="2" max="2"/>
    <col width="18" customWidth="1" min="3" max="3"/>
    <col width="16" customWidth="1" min="4" max="4"/>
    <col width="18" customWidth="1" min="5" max="5"/>
    <col width="16" customWidth="1" min="6" max="6"/>
    <col width="18" customWidth="1" min="7" max="7"/>
    <col width="16" customWidth="1" min="8" max="8"/>
    <col width="16" customWidth="1" min="9" max="9"/>
    <col width="14" customWidth="1" min="10" max="10"/>
  </cols>
  <sheetData>
    <row r="1">
      <c r="A1" s="1" t="inlineStr">
        <is>
          <t>Revenue and Margin</t>
        </is>
      </c>
    </row>
    <row r="2">
      <c r="A2" s="2" t="inlineStr">
        <is>
          <t>Gross revenue at wholesale per case. Trade spend pulled from the Activations cost column. Net revenue equals gross minus trade spend. Gross margin contribution uses placeholder COGS from Inputs.</t>
        </is>
      </c>
    </row>
    <row r="4">
      <c r="A4" s="5" t="inlineStr">
        <is>
          <t>SKU</t>
        </is>
      </c>
      <c r="B4" s="5" t="inlineStr">
        <is>
          <t>Total cases doors</t>
        </is>
      </c>
      <c r="C4" s="5" t="inlineStr">
        <is>
          <t>Total cases online</t>
        </is>
      </c>
      <c r="D4" s="5" t="inlineStr">
        <is>
          <t>Total cases all</t>
        </is>
      </c>
      <c r="E4" s="5" t="inlineStr">
        <is>
          <t>Wholesale per case</t>
        </is>
      </c>
      <c r="F4" s="5" t="inlineStr">
        <is>
          <t>Gross revenue</t>
        </is>
      </c>
      <c r="G4" s="5" t="inlineStr">
        <is>
          <t>COGS per case</t>
        </is>
      </c>
      <c r="H4" s="5" t="inlineStr">
        <is>
          <t>COGS total</t>
        </is>
      </c>
      <c r="I4" s="5" t="inlineStr">
        <is>
          <t>Gross margin</t>
        </is>
      </c>
      <c r="J4" s="5" t="inlineStr">
        <is>
          <t>Margin percent</t>
        </is>
      </c>
    </row>
    <row r="5">
      <c r="A5" t="inlineStr">
        <is>
          <t>Lime Lemon</t>
        </is>
      </c>
      <c r="B5" s="16">
        <f>SUMPRODUCT((VG_SKU="Lime Lemon")*(VG_W1&gt;0)*(CEILING(VG_W1,UNITS_PER_CASE)/UNITS_PER_CASE))+SUMPRODUCT((VG_SKU="Lime Lemon")*(VG_W2&gt;0)*(CEILING(VG_W2,UNITS_PER_CASE)/UNITS_PER_CASE))+SUMPRODUCT((VG_SKU="Lime Lemon")*(VG_W3&gt;0)*(CEILING(VG_W3,UNITS_PER_CASE)/UNITS_PER_CASE))+SUMPRODUCT((VG_SKU="Lime Lemon")*(VG_W4&gt;0)*(CEILING(VG_W4,UNITS_PER_CASE)/UNITS_PER_CASE))+SUMPRODUCT((VG_SKU="Lime Lemon")*(VG_W5&gt;0)*(CEILING(VG_W5,UNITS_PER_CASE)/UNITS_PER_CASE))+SUMPRODUCT((VG_SKU="Lime Lemon")*(VG_W6&gt;0)*(CEILING(VG_W6,UNITS_PER_CASE)/UNITS_PER_CASE))+SUMPRODUCT((VG_SKU="Lime Lemon")*(VG_W7&gt;0)*(CEILING(VG_W7,UNITS_PER_CASE)/UNITS_PER_CASE))+SUMPRODUCT((VG_SKU="Lime Lemon")*(VG_W8&gt;0)*(CEILING(VG_W8,UNITS_PER_CASE)/UNITS_PER_CASE))+SUMPRODUCT((VG_SKU="Lime Lemon")*(VG_W9&gt;0)*(CEILING(VG_W9,UNITS_PER_CASE)/UNITS_PER_CASE))+SUMPRODUCT((VG_SKU="Lime Lemon")*(VG_W10&gt;0)*(CEILING(VG_W10,UNITS_PER_CASE)/UNITS_PER_CASE))+SUMPRODUCT((VG_SKU="Lime Lemon")*(VG_W11&gt;0)*(CEILING(VG_W11,UNITS_PER_CASE)/UNITS_PER_CASE))+SUMPRODUCT((VG_SKU="Lime Lemon")*(VG_W12&gt;0)*(CEILING(VG_W12,UNITS_PER_CASE)/UNITS_PER_CASE))+SUMPRODUCT((VG_SKU="Lime Lemon")*(VG_W13&gt;0)*(CEILING(VG_W13,UNITS_PER_CASE)/UNITS_PER_CASE))</f>
        <v/>
      </c>
      <c r="C5" s="16">
        <f>ROUNDUP('Online Forecast'!C5/UNITS_PER_CASE,0)+ROUNDUP('Online Forecast'!C6/UNITS_PER_CASE,0)+ROUNDUP('Online Forecast'!D5/UNITS_PER_CASE,0)+ROUNDUP('Online Forecast'!D6/UNITS_PER_CASE,0)+ROUNDUP('Online Forecast'!E5/UNITS_PER_CASE,0)+ROUNDUP('Online Forecast'!E6/UNITS_PER_CASE,0)+ROUNDUP('Online Forecast'!F5/UNITS_PER_CASE,0)+ROUNDUP('Online Forecast'!F6/UNITS_PER_CASE,0)+ROUNDUP('Online Forecast'!G5/UNITS_PER_CASE,0)+ROUNDUP('Online Forecast'!G6/UNITS_PER_CASE,0)+ROUNDUP('Online Forecast'!H5/UNITS_PER_CASE,0)+ROUNDUP('Online Forecast'!H6/UNITS_PER_CASE,0)+ROUNDUP('Online Forecast'!I5/UNITS_PER_CASE,0)+ROUNDUP('Online Forecast'!I6/UNITS_PER_CASE,0)+ROUNDUP('Online Forecast'!J5/UNITS_PER_CASE,0)+ROUNDUP('Online Forecast'!J6/UNITS_PER_CASE,0)+ROUNDUP('Online Forecast'!K5/UNITS_PER_CASE,0)+ROUNDUP('Online Forecast'!K6/UNITS_PER_CASE,0)+ROUNDUP('Online Forecast'!L5/UNITS_PER_CASE,0)+ROUNDUP('Online Forecast'!L6/UNITS_PER_CASE,0)+ROUNDUP('Online Forecast'!M5/UNITS_PER_CASE,0)+ROUNDUP('Online Forecast'!M6/UNITS_PER_CASE,0)+ROUNDUP('Online Forecast'!N5/UNITS_PER_CASE,0)+ROUNDUP('Online Forecast'!N6/UNITS_PER_CASE,0)+ROUNDUP('Online Forecast'!O5/UNITS_PER_CASE,0)+ROUNDUP('Online Forecast'!O6/UNITS_PER_CASE,0)</f>
        <v/>
      </c>
      <c r="D5" s="16">
        <f>B5+C5</f>
        <v/>
      </c>
      <c r="E5" s="19">
        <f>INDEX(WHOLESALE_TABLE,1)</f>
        <v/>
      </c>
      <c r="F5" s="20">
        <f>D5*E5</f>
        <v/>
      </c>
      <c r="G5" s="19">
        <f>INDEX(COGS_TABLE,1)</f>
        <v/>
      </c>
      <c r="H5" s="20">
        <f>D5*G5</f>
        <v/>
      </c>
      <c r="I5" s="20">
        <f>F5-H5</f>
        <v/>
      </c>
      <c r="J5" s="21">
        <f>IF(F5=0,0,I5/F5)</f>
        <v/>
      </c>
    </row>
    <row r="6">
      <c r="A6" t="inlineStr">
        <is>
          <t>Pineapple Passion Fruit</t>
        </is>
      </c>
      <c r="B6" s="16">
        <f>SUMPRODUCT((VG_SKU="Pineapple Passion Fruit")*(VG_W1&gt;0)*(CEILING(VG_W1,UNITS_PER_CASE)/UNITS_PER_CASE))+SUMPRODUCT((VG_SKU="Pineapple Passion Fruit")*(VG_W2&gt;0)*(CEILING(VG_W2,UNITS_PER_CASE)/UNITS_PER_CASE))+SUMPRODUCT((VG_SKU="Pineapple Passion Fruit")*(VG_W3&gt;0)*(CEILING(VG_W3,UNITS_PER_CASE)/UNITS_PER_CASE))+SUMPRODUCT((VG_SKU="Pineapple Passion Fruit")*(VG_W4&gt;0)*(CEILING(VG_W4,UNITS_PER_CASE)/UNITS_PER_CASE))+SUMPRODUCT((VG_SKU="Pineapple Passion Fruit")*(VG_W5&gt;0)*(CEILING(VG_W5,UNITS_PER_CASE)/UNITS_PER_CASE))+SUMPRODUCT((VG_SKU="Pineapple Passion Fruit")*(VG_W6&gt;0)*(CEILING(VG_W6,UNITS_PER_CASE)/UNITS_PER_CASE))+SUMPRODUCT((VG_SKU="Pineapple Passion Fruit")*(VG_W7&gt;0)*(CEILING(VG_W7,UNITS_PER_CASE)/UNITS_PER_CASE))+SUMPRODUCT((VG_SKU="Pineapple Passion Fruit")*(VG_W8&gt;0)*(CEILING(VG_W8,UNITS_PER_CASE)/UNITS_PER_CASE))+SUMPRODUCT((VG_SKU="Pineapple Passion Fruit")*(VG_W9&gt;0)*(CEILING(VG_W9,UNITS_PER_CASE)/UNITS_PER_CASE))+SUMPRODUCT((VG_SKU="Pineapple Passion Fruit")*(VG_W10&gt;0)*(CEILING(VG_W10,UNITS_PER_CASE)/UNITS_PER_CASE))+SUMPRODUCT((VG_SKU="Pineapple Passion Fruit")*(VG_W11&gt;0)*(CEILING(VG_W11,UNITS_PER_CASE)/UNITS_PER_CASE))+SUMPRODUCT((VG_SKU="Pineapple Passion Fruit")*(VG_W12&gt;0)*(CEILING(VG_W12,UNITS_PER_CASE)/UNITS_PER_CASE))+SUMPRODUCT((VG_SKU="Pineapple Passion Fruit")*(VG_W13&gt;0)*(CEILING(VG_W13,UNITS_PER_CASE)/UNITS_PER_CASE))</f>
        <v/>
      </c>
      <c r="C6" s="16">
        <f>ROUNDUP('Online Forecast'!C7/UNITS_PER_CASE,0)+ROUNDUP('Online Forecast'!C8/UNITS_PER_CASE,0)+ROUNDUP('Online Forecast'!D7/UNITS_PER_CASE,0)+ROUNDUP('Online Forecast'!D8/UNITS_PER_CASE,0)+ROUNDUP('Online Forecast'!E7/UNITS_PER_CASE,0)+ROUNDUP('Online Forecast'!E8/UNITS_PER_CASE,0)+ROUNDUP('Online Forecast'!F7/UNITS_PER_CASE,0)+ROUNDUP('Online Forecast'!F8/UNITS_PER_CASE,0)+ROUNDUP('Online Forecast'!G7/UNITS_PER_CASE,0)+ROUNDUP('Online Forecast'!G8/UNITS_PER_CASE,0)+ROUNDUP('Online Forecast'!H7/UNITS_PER_CASE,0)+ROUNDUP('Online Forecast'!H8/UNITS_PER_CASE,0)+ROUNDUP('Online Forecast'!I7/UNITS_PER_CASE,0)+ROUNDUP('Online Forecast'!I8/UNITS_PER_CASE,0)+ROUNDUP('Online Forecast'!J7/UNITS_PER_CASE,0)+ROUNDUP('Online Forecast'!J8/UNITS_PER_CASE,0)+ROUNDUP('Online Forecast'!K7/UNITS_PER_CASE,0)+ROUNDUP('Online Forecast'!K8/UNITS_PER_CASE,0)+ROUNDUP('Online Forecast'!L7/UNITS_PER_CASE,0)+ROUNDUP('Online Forecast'!L8/UNITS_PER_CASE,0)+ROUNDUP('Online Forecast'!M7/UNITS_PER_CASE,0)+ROUNDUP('Online Forecast'!M8/UNITS_PER_CASE,0)+ROUNDUP('Online Forecast'!N7/UNITS_PER_CASE,0)+ROUNDUP('Online Forecast'!N8/UNITS_PER_CASE,0)+ROUNDUP('Online Forecast'!O7/UNITS_PER_CASE,0)+ROUNDUP('Online Forecast'!O8/UNITS_PER_CASE,0)</f>
        <v/>
      </c>
      <c r="D6" s="16">
        <f>B6+C6</f>
        <v/>
      </c>
      <c r="E6" s="19">
        <f>INDEX(WHOLESALE_TABLE,2)</f>
        <v/>
      </c>
      <c r="F6" s="20">
        <f>D6*E6</f>
        <v/>
      </c>
      <c r="G6" s="19">
        <f>INDEX(COGS_TABLE,2)</f>
        <v/>
      </c>
      <c r="H6" s="20">
        <f>D6*G6</f>
        <v/>
      </c>
      <c r="I6" s="20">
        <f>F6-H6</f>
        <v/>
      </c>
      <c r="J6" s="21">
        <f>IF(F6=0,0,I6/F6)</f>
        <v/>
      </c>
    </row>
    <row r="7">
      <c r="A7" t="inlineStr">
        <is>
          <t>Raspberry</t>
        </is>
      </c>
      <c r="B7" s="16">
        <f>SUMPRODUCT((VG_SKU="Raspberry")*(VG_W1&gt;0)*(CEILING(VG_W1,UNITS_PER_CASE)/UNITS_PER_CASE))+SUMPRODUCT((VG_SKU="Raspberry")*(VG_W2&gt;0)*(CEILING(VG_W2,UNITS_PER_CASE)/UNITS_PER_CASE))+SUMPRODUCT((VG_SKU="Raspberry")*(VG_W3&gt;0)*(CEILING(VG_W3,UNITS_PER_CASE)/UNITS_PER_CASE))+SUMPRODUCT((VG_SKU="Raspberry")*(VG_W4&gt;0)*(CEILING(VG_W4,UNITS_PER_CASE)/UNITS_PER_CASE))+SUMPRODUCT((VG_SKU="Raspberry")*(VG_W5&gt;0)*(CEILING(VG_W5,UNITS_PER_CASE)/UNITS_PER_CASE))+SUMPRODUCT((VG_SKU="Raspberry")*(VG_W6&gt;0)*(CEILING(VG_W6,UNITS_PER_CASE)/UNITS_PER_CASE))+SUMPRODUCT((VG_SKU="Raspberry")*(VG_W7&gt;0)*(CEILING(VG_W7,UNITS_PER_CASE)/UNITS_PER_CASE))+SUMPRODUCT((VG_SKU="Raspberry")*(VG_W8&gt;0)*(CEILING(VG_W8,UNITS_PER_CASE)/UNITS_PER_CASE))+SUMPRODUCT((VG_SKU="Raspberry")*(VG_W9&gt;0)*(CEILING(VG_W9,UNITS_PER_CASE)/UNITS_PER_CASE))+SUMPRODUCT((VG_SKU="Raspberry")*(VG_W10&gt;0)*(CEILING(VG_W10,UNITS_PER_CASE)/UNITS_PER_CASE))+SUMPRODUCT((VG_SKU="Raspberry")*(VG_W11&gt;0)*(CEILING(VG_W11,UNITS_PER_CASE)/UNITS_PER_CASE))+SUMPRODUCT((VG_SKU="Raspberry")*(VG_W12&gt;0)*(CEILING(VG_W12,UNITS_PER_CASE)/UNITS_PER_CASE))+SUMPRODUCT((VG_SKU="Raspberry")*(VG_W13&gt;0)*(CEILING(VG_W13,UNITS_PER_CASE)/UNITS_PER_CASE))</f>
        <v/>
      </c>
      <c r="C7" s="16">
        <f>ROUNDUP('Online Forecast'!C9/UNITS_PER_CASE,0)+ROUNDUP('Online Forecast'!C10/UNITS_PER_CASE,0)+ROUNDUP('Online Forecast'!D9/UNITS_PER_CASE,0)+ROUNDUP('Online Forecast'!D10/UNITS_PER_CASE,0)+ROUNDUP('Online Forecast'!E9/UNITS_PER_CASE,0)+ROUNDUP('Online Forecast'!E10/UNITS_PER_CASE,0)+ROUNDUP('Online Forecast'!F9/UNITS_PER_CASE,0)+ROUNDUP('Online Forecast'!F10/UNITS_PER_CASE,0)+ROUNDUP('Online Forecast'!G9/UNITS_PER_CASE,0)+ROUNDUP('Online Forecast'!G10/UNITS_PER_CASE,0)+ROUNDUP('Online Forecast'!H9/UNITS_PER_CASE,0)+ROUNDUP('Online Forecast'!H10/UNITS_PER_CASE,0)+ROUNDUP('Online Forecast'!I9/UNITS_PER_CASE,0)+ROUNDUP('Online Forecast'!I10/UNITS_PER_CASE,0)+ROUNDUP('Online Forecast'!J9/UNITS_PER_CASE,0)+ROUNDUP('Online Forecast'!J10/UNITS_PER_CASE,0)+ROUNDUP('Online Forecast'!K9/UNITS_PER_CASE,0)+ROUNDUP('Online Forecast'!K10/UNITS_PER_CASE,0)+ROUNDUP('Online Forecast'!L9/UNITS_PER_CASE,0)+ROUNDUP('Online Forecast'!L10/UNITS_PER_CASE,0)+ROUNDUP('Online Forecast'!M9/UNITS_PER_CASE,0)+ROUNDUP('Online Forecast'!M10/UNITS_PER_CASE,0)+ROUNDUP('Online Forecast'!N9/UNITS_PER_CASE,0)+ROUNDUP('Online Forecast'!N10/UNITS_PER_CASE,0)+ROUNDUP('Online Forecast'!O9/UNITS_PER_CASE,0)+ROUNDUP('Online Forecast'!O10/UNITS_PER_CASE,0)</f>
        <v/>
      </c>
      <c r="D7" s="16">
        <f>B7+C7</f>
        <v/>
      </c>
      <c r="E7" s="19">
        <f>INDEX(WHOLESALE_TABLE,3)</f>
        <v/>
      </c>
      <c r="F7" s="20">
        <f>D7*E7</f>
        <v/>
      </c>
      <c r="G7" s="19">
        <f>INDEX(COGS_TABLE,3)</f>
        <v/>
      </c>
      <c r="H7" s="20">
        <f>D7*G7</f>
        <v/>
      </c>
      <c r="I7" s="20">
        <f>F7-H7</f>
        <v/>
      </c>
      <c r="J7" s="21">
        <f>IF(F7=0,0,I7/F7)</f>
        <v/>
      </c>
    </row>
    <row r="8">
      <c r="A8" s="17" t="inlineStr">
        <is>
          <t>Total</t>
        </is>
      </c>
      <c r="B8" s="18">
        <f>SUM(B5:B7)</f>
        <v/>
      </c>
      <c r="C8" s="18">
        <f>SUM(C5:C7)</f>
        <v/>
      </c>
      <c r="D8" s="18">
        <f>SUM(D5:D7)</f>
        <v/>
      </c>
      <c r="F8" s="22">
        <f>SUM(F5:F7)</f>
        <v/>
      </c>
      <c r="H8" s="22">
        <f>SUM(H5:H7)</f>
        <v/>
      </c>
      <c r="I8" s="22">
        <f>SUM(I5:I7)</f>
        <v/>
      </c>
      <c r="J8" s="21">
        <f>IF(F8=0,0,I8/F8)</f>
        <v/>
      </c>
    </row>
    <row r="11">
      <c r="A11" s="3" t="inlineStr">
        <is>
          <t>Trade spend and net revenue</t>
        </is>
      </c>
    </row>
    <row r="12">
      <c r="A12" t="inlineStr">
        <is>
          <t>Gross revenue</t>
        </is>
      </c>
      <c r="B12" s="20">
        <f>F8</f>
        <v/>
      </c>
    </row>
    <row r="13">
      <c r="A13" t="inlineStr">
        <is>
          <t>Trade spend total</t>
        </is>
      </c>
      <c r="B13" s="20">
        <f>SUM(ACT_COST)</f>
        <v/>
      </c>
    </row>
    <row r="14">
      <c r="A14" t="inlineStr">
        <is>
          <t>Incremental trial units value at average wholesale</t>
        </is>
      </c>
      <c r="B14" s="20">
        <f>SUM(ACT_TRIAL)/UNITS_PER_CASE*AVERAGE(WHOLESALE_TABLE)</f>
        <v/>
      </c>
    </row>
    <row r="15">
      <c r="A15" t="inlineStr">
        <is>
          <t>Net revenue</t>
        </is>
      </c>
      <c r="B15" s="20">
        <f>B12-B13</f>
        <v/>
      </c>
    </row>
    <row r="16">
      <c r="A16" t="inlineStr">
        <is>
          <t>Gross margin total</t>
        </is>
      </c>
      <c r="B16" s="20">
        <f>I8-B13</f>
        <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648"/>
  <sheetViews>
    <sheetView showGridLines="0" workbookViewId="0">
      <selection activeCell="A1" sqref="A1"/>
    </sheetView>
  </sheetViews>
  <sheetFormatPr baseColWidth="8" defaultRowHeight="15"/>
  <cols>
    <col width="32" customWidth="1" min="1" max="1"/>
    <col width="18" customWidth="1" min="2" max="2"/>
    <col width="18" customWidth="1" min="3" max="3"/>
    <col width="18" customWidth="1" min="4" max="4"/>
    <col width="18" customWidth="1" min="5" max="5"/>
  </cols>
  <sheetData>
    <row r="1">
      <c r="A1" s="1" t="inlineStr">
        <is>
          <t>Scenarios</t>
        </is>
      </c>
    </row>
    <row r="2">
      <c r="A2" s="2" t="inlineStr">
        <is>
          <t>Active scenario applies a multiplier to the entire Velocity Grid baseline. Edit per SKU multipliers below for each scenario. To save the current grid as a literal snapshot, copy the Velocity Grid units block and paste values into the snapshot section below.</t>
        </is>
      </c>
    </row>
    <row r="4">
      <c r="A4" s="3" t="inlineStr">
        <is>
          <t>Active scenario</t>
        </is>
      </c>
    </row>
    <row r="5">
      <c r="A5" t="inlineStr">
        <is>
          <t>Selected scenario</t>
        </is>
      </c>
      <c r="B5" s="4" t="inlineStr">
        <is>
          <t>Base</t>
        </is>
      </c>
    </row>
    <row r="7">
      <c r="A7" s="3" t="inlineStr">
        <is>
          <t>Scenario multipliers by SKU</t>
        </is>
      </c>
    </row>
    <row r="8">
      <c r="A8" s="5" t="inlineStr">
        <is>
          <t>SKU</t>
        </is>
      </c>
      <c r="B8" s="5" t="inlineStr">
        <is>
          <t>Conservative</t>
        </is>
      </c>
      <c r="C8" s="5" t="inlineStr">
        <is>
          <t>Base</t>
        </is>
      </c>
      <c r="D8" s="5" t="inlineStr">
        <is>
          <t>Stretch</t>
        </is>
      </c>
    </row>
    <row r="9">
      <c r="A9" t="inlineStr">
        <is>
          <t>Lime Lemon</t>
        </is>
      </c>
      <c r="B9" s="23" t="n">
        <v>0.85</v>
      </c>
      <c r="C9" s="23" t="n">
        <v>1</v>
      </c>
      <c r="D9" s="23" t="n">
        <v>1.15</v>
      </c>
    </row>
    <row r="10">
      <c r="A10" t="inlineStr">
        <is>
          <t>Pineapple Passion Fruit</t>
        </is>
      </c>
      <c r="B10" s="23" t="n">
        <v>0.85</v>
      </c>
      <c r="C10" s="23" t="n">
        <v>1</v>
      </c>
      <c r="D10" s="23" t="n">
        <v>1.15</v>
      </c>
    </row>
    <row r="11">
      <c r="A11" t="inlineStr">
        <is>
          <t>Raspberry</t>
        </is>
      </c>
      <c r="B11" s="23" t="n">
        <v>0.8</v>
      </c>
      <c r="C11" s="23" t="n">
        <v>1</v>
      </c>
      <c r="D11" s="23" t="n">
        <v>1.2</v>
      </c>
    </row>
    <row r="13">
      <c r="A13" s="24" t="inlineStr">
        <is>
          <t>Active multiplier resolved per SKU</t>
        </is>
      </c>
    </row>
    <row r="14">
      <c r="A14" t="inlineStr">
        <is>
          <t>Lime Lemon</t>
        </is>
      </c>
      <c r="B14" s="25">
        <f>INDEX(SCEN_MULT_TABLE,1,MATCH(ACTIVE_SCENARIO,SCEN_NAMES,0))</f>
        <v/>
      </c>
    </row>
    <row r="15">
      <c r="A15" t="inlineStr">
        <is>
          <t>Pineapple Passion Fruit</t>
        </is>
      </c>
      <c r="B15" s="25">
        <f>INDEX(SCEN_MULT_TABLE,2,MATCH(ACTIVE_SCENARIO,SCEN_NAMES,0))</f>
        <v/>
      </c>
    </row>
    <row r="16">
      <c r="A16" t="inlineStr">
        <is>
          <t>Raspberry</t>
        </is>
      </c>
      <c r="B16" s="25">
        <f>INDEX(SCEN_MULT_TABLE,3,MATCH(ACTIVE_SCENARIO,SCEN_NAMES,0))</f>
        <v/>
      </c>
    </row>
    <row r="19">
      <c r="A19" s="3" t="inlineStr">
        <is>
          <t>Snapshot store. Paste values from Velocity Grid units block here when freezing a scenario.</t>
        </is>
      </c>
    </row>
    <row r="20">
      <c r="A20" t="inlineStr">
        <is>
          <t>Conservative snapshot saved on</t>
        </is>
      </c>
      <c r="B20" s="7" t="inlineStr"/>
    </row>
    <row r="21">
      <c r="A21" t="inlineStr">
        <is>
          <t>Base snapshot saved on</t>
        </is>
      </c>
      <c r="B21" s="7" t="inlineStr"/>
    </row>
    <row r="22">
      <c r="A22" t="inlineStr">
        <is>
          <t>Stretch snapshot saved on</t>
        </is>
      </c>
      <c r="B22" s="7" t="inlineStr"/>
    </row>
    <row r="24">
      <c r="A24" s="2" t="inlineStr">
        <is>
          <t>Process: 1) select all units cells in Velocity Grid. 2) copy. 3) paste values into the matching section below. 4) update the saved on date above. Three snapshot blocks reserved below.</t>
        </is>
      </c>
    </row>
    <row r="27">
      <c r="A27" s="3" t="inlineStr">
        <is>
          <t>Conservative snapshot block</t>
        </is>
      </c>
    </row>
    <row r="28">
      <c r="A28" s="5" t="inlineStr">
        <is>
          <t>Door ID</t>
        </is>
      </c>
      <c r="B28" s="5" t="inlineStr">
        <is>
          <t>SKU</t>
        </is>
      </c>
      <c r="C28" s="5" t="inlineStr">
        <is>
          <t>W1</t>
        </is>
      </c>
      <c r="D28" s="5" t="inlineStr">
        <is>
          <t>W2</t>
        </is>
      </c>
      <c r="E28" s="5" t="inlineStr">
        <is>
          <t>W3</t>
        </is>
      </c>
      <c r="F28" s="5" t="inlineStr">
        <is>
          <t>W4</t>
        </is>
      </c>
      <c r="G28" s="5" t="inlineStr">
        <is>
          <t>W5</t>
        </is>
      </c>
      <c r="H28" s="5" t="inlineStr">
        <is>
          <t>W6</t>
        </is>
      </c>
      <c r="I28" s="5" t="inlineStr">
        <is>
          <t>W7</t>
        </is>
      </c>
      <c r="J28" s="5" t="inlineStr">
        <is>
          <t>W8</t>
        </is>
      </c>
      <c r="K28" s="5" t="inlineStr">
        <is>
          <t>W9</t>
        </is>
      </c>
      <c r="L28" s="5" t="inlineStr">
        <is>
          <t>W10</t>
        </is>
      </c>
      <c r="M28" s="5" t="inlineStr">
        <is>
          <t>W11</t>
        </is>
      </c>
      <c r="N28" s="5" t="inlineStr">
        <is>
          <t>W12</t>
        </is>
      </c>
      <c r="O28" s="5" t="inlineStr">
        <is>
          <t>W13</t>
        </is>
      </c>
    </row>
    <row r="337">
      <c r="A337" s="3" t="inlineStr">
        <is>
          <t>Base snapshot block</t>
        </is>
      </c>
    </row>
    <row r="338">
      <c r="A338" s="5" t="inlineStr">
        <is>
          <t>Door ID</t>
        </is>
      </c>
      <c r="B338" s="5" t="inlineStr">
        <is>
          <t>SKU</t>
        </is>
      </c>
      <c r="C338" s="5" t="inlineStr">
        <is>
          <t>W1</t>
        </is>
      </c>
      <c r="D338" s="5" t="inlineStr">
        <is>
          <t>W2</t>
        </is>
      </c>
      <c r="E338" s="5" t="inlineStr">
        <is>
          <t>W3</t>
        </is>
      </c>
      <c r="F338" s="5" t="inlineStr">
        <is>
          <t>W4</t>
        </is>
      </c>
      <c r="G338" s="5" t="inlineStr">
        <is>
          <t>W5</t>
        </is>
      </c>
      <c r="H338" s="5" t="inlineStr">
        <is>
          <t>W6</t>
        </is>
      </c>
      <c r="I338" s="5" t="inlineStr">
        <is>
          <t>W7</t>
        </is>
      </c>
      <c r="J338" s="5" t="inlineStr">
        <is>
          <t>W8</t>
        </is>
      </c>
      <c r="K338" s="5" t="inlineStr">
        <is>
          <t>W9</t>
        </is>
      </c>
      <c r="L338" s="5" t="inlineStr">
        <is>
          <t>W10</t>
        </is>
      </c>
      <c r="M338" s="5" t="inlineStr">
        <is>
          <t>W11</t>
        </is>
      </c>
      <c r="N338" s="5" t="inlineStr">
        <is>
          <t>W12</t>
        </is>
      </c>
      <c r="O338" s="5" t="inlineStr">
        <is>
          <t>W13</t>
        </is>
      </c>
    </row>
    <row r="647">
      <c r="A647" s="3" t="inlineStr">
        <is>
          <t>Stretch snapshot block</t>
        </is>
      </c>
    </row>
    <row r="648">
      <c r="A648" s="5" t="inlineStr">
        <is>
          <t>Door ID</t>
        </is>
      </c>
      <c r="B648" s="5" t="inlineStr">
        <is>
          <t>SKU</t>
        </is>
      </c>
      <c r="C648" s="5" t="inlineStr">
        <is>
          <t>W1</t>
        </is>
      </c>
      <c r="D648" s="5" t="inlineStr">
        <is>
          <t>W2</t>
        </is>
      </c>
      <c r="E648" s="5" t="inlineStr">
        <is>
          <t>W3</t>
        </is>
      </c>
      <c r="F648" s="5" t="inlineStr">
        <is>
          <t>W4</t>
        </is>
      </c>
      <c r="G648" s="5" t="inlineStr">
        <is>
          <t>W5</t>
        </is>
      </c>
      <c r="H648" s="5" t="inlineStr">
        <is>
          <t>W6</t>
        </is>
      </c>
      <c r="I648" s="5" t="inlineStr">
        <is>
          <t>W7</t>
        </is>
      </c>
      <c r="J648" s="5" t="inlineStr">
        <is>
          <t>W8</t>
        </is>
      </c>
      <c r="K648" s="5" t="inlineStr">
        <is>
          <t>W9</t>
        </is>
      </c>
      <c r="L648" s="5" t="inlineStr">
        <is>
          <t>W10</t>
        </is>
      </c>
      <c r="M648" s="5" t="inlineStr">
        <is>
          <t>W11</t>
        </is>
      </c>
      <c r="N648" s="5" t="inlineStr">
        <is>
          <t>W12</t>
        </is>
      </c>
      <c r="O648" s="5" t="inlineStr">
        <is>
          <t>W13</t>
        </is>
      </c>
    </row>
  </sheetData>
  <dataValidations count="1">
    <dataValidation sqref="B5" showDropDown="0" showInputMessage="0" showErrorMessage="0" allowBlank="0" type="list">
      <formula1>"Conservative,Base,Stretch"</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4"/>
  <sheetViews>
    <sheetView showGridLines="0" workbookViewId="0">
      <selection activeCell="A1" sqref="A1"/>
    </sheetView>
  </sheetViews>
  <sheetFormatPr baseColWidth="8" defaultRowHeight="15"/>
  <cols>
    <col width="52" customWidth="1" min="1" max="1"/>
    <col width="22" customWidth="1" min="2" max="2"/>
    <col width="14" customWidth="1" min="3" max="3"/>
    <col width="80" customWidth="1" min="4" max="4"/>
  </cols>
  <sheetData>
    <row r="1">
      <c r="A1" s="1" t="inlineStr">
        <is>
          <t>Risk Flags</t>
        </is>
      </c>
    </row>
    <row r="2">
      <c r="A2" s="2" t="inlineStr">
        <is>
          <t>Automated checks. Any row showing a count above zero needs review. Red highlights mean a hard issue. Green means clean.</t>
        </is>
      </c>
    </row>
    <row r="4">
      <c r="A4" s="5" t="inlineStr">
        <is>
          <t>Check</t>
        </is>
      </c>
      <c r="B4" s="5" t="inlineStr">
        <is>
          <t>Count or status</t>
        </is>
      </c>
      <c r="C4" s="5" t="inlineStr">
        <is>
          <t>Threshold</t>
        </is>
      </c>
      <c r="D4" s="5" t="inlineStr">
        <is>
          <t>Notes</t>
        </is>
      </c>
    </row>
    <row r="5">
      <c r="A5" t="inlineStr">
        <is>
          <t>Authorized rows with zero total units</t>
        </is>
      </c>
      <c r="B5">
        <f>SUMPRODUCT((VG_AUTH="Y")*((VG_W1+VG_W2+VG_W3+VG_W4+VG_W5+VG_W6+VG_W7+VG_W8+VG_W9+VG_W10+VG_W11+VG_W12+VG_W13)=0))</f>
        <v/>
      </c>
      <c r="C5" t="inlineStr">
        <is>
          <t>&gt;0</t>
        </is>
      </c>
      <c r="D5" t="inlineStr">
        <is>
          <t>Door SKU rows with authorization but zero forecast. Often a launch week issue or velocity default missing.</t>
        </is>
      </c>
    </row>
    <row r="6">
      <c r="A6" t="inlineStr">
        <is>
          <t>Weeks over Bevmax capacity</t>
        </is>
      </c>
      <c r="B6">
        <f>COUNTIF('Production Calendar'!D5:D17,"&gt;"&amp;BEVMAX_CAP)</f>
        <v/>
      </c>
      <c r="C6" t="inlineStr">
        <is>
          <t>&gt;0</t>
        </is>
      </c>
      <c r="D6" t="inlineStr">
        <is>
          <t>Required cases exceed weekly run capacity. Smooth across weeks or expand capacity.</t>
        </is>
      </c>
    </row>
    <row r="7">
      <c r="A7" t="inlineStr">
        <is>
          <t>Lime Lemon week 13 below week 7</t>
        </is>
      </c>
      <c r="B7">
        <f>IF(SUMIF(VG_SKU,"Lime Lemon",VG_W13)&lt;SUMIF(VG_SKU,"Lime Lemon",VG_W7),"Down","OK")</f>
        <v/>
      </c>
      <c r="C7" t="inlineStr">
        <is>
          <t>OK</t>
        </is>
      </c>
      <c r="D7" t="inlineStr">
        <is>
          <t>Lime Lemon forecast declining late in the launch window. Check activation decay assumptions.</t>
        </is>
      </c>
    </row>
    <row r="8">
      <c r="A8" t="inlineStr">
        <is>
          <t>Pineapple Passion Fruit week 13 below week 7</t>
        </is>
      </c>
      <c r="B8">
        <f>IF(SUMIF(VG_SKU,"Pineapple Passion Fruit",VG_W13)&lt;SUMIF(VG_SKU,"Pineapple Passion Fruit",VG_W7),"Down","OK")</f>
        <v/>
      </c>
      <c r="C8" t="inlineStr">
        <is>
          <t>OK</t>
        </is>
      </c>
      <c r="D8" t="inlineStr">
        <is>
          <t>Pineapple Passion Fruit forecast declining late in the launch window. Check activation decay assumptions.</t>
        </is>
      </c>
    </row>
    <row r="9">
      <c r="A9" t="inlineStr">
        <is>
          <t>Raspberry week 13 below week 7</t>
        </is>
      </c>
      <c r="B9">
        <f>IF(SUMIF(VG_SKU,"Raspberry",VG_W13)&lt;SUMIF(VG_SKU,"Raspberry",VG_W7),"Down","OK")</f>
        <v/>
      </c>
      <c r="C9" t="inlineStr">
        <is>
          <t>OK</t>
        </is>
      </c>
      <c r="D9" t="inlineStr">
        <is>
          <t>Raspberry forecast declining late in the launch window. Check activation decay assumptions.</t>
        </is>
      </c>
    </row>
    <row r="10">
      <c r="A10" t="inlineStr">
        <is>
          <t>Activation rows missing uplift</t>
        </is>
      </c>
      <c r="B10">
        <f>COUNTIFS(ACT_ID,"&lt;&gt;",ACT_UPLIFT,"")+COUNTIFS(ACT_ID,"&lt;&gt;",ACT_UPLIFT,0)</f>
        <v/>
      </c>
      <c r="C10" t="inlineStr">
        <is>
          <t>&gt;0</t>
        </is>
      </c>
      <c r="D10" t="inlineStr">
        <is>
          <t>Activation entries with ID set but uplift multiplier blank or zero. Add an assumption before locking the forecast.</t>
        </is>
      </c>
    </row>
    <row r="11">
      <c r="A11" t="inlineStr">
        <is>
          <t>Doors with blank launch week</t>
        </is>
      </c>
      <c r="B11">
        <f>COUNTIFS(DOORS_ID,"&lt;&gt;",DOORS_LAUNCH,"")</f>
        <v/>
      </c>
      <c r="C11" t="inlineStr">
        <is>
          <t>&gt;0</t>
        </is>
      </c>
      <c r="D11" t="inlineStr">
        <is>
          <t>Door rows exist but launch week is blank. Velocity Grid treats blanks as week zero and forecasts zero.</t>
        </is>
      </c>
    </row>
    <row r="12">
      <c r="A12" t="inlineStr">
        <is>
          <t>Doors with no flavor authorized</t>
        </is>
      </c>
      <c r="B12">
        <f>SUMPRODUCT((DOORS_ID&lt;&gt;"")*(DOORS_LIMELEMON&lt;&gt;"Y")*(DOORS_PINEAPPLE&lt;&gt;"Y")*(DOORS_RASPBERRY&lt;&gt;"Y"))</f>
        <v/>
      </c>
      <c r="C12" t="inlineStr">
        <is>
          <t>&gt;0</t>
        </is>
      </c>
      <c r="D12" t="inlineStr">
        <is>
          <t>Door rows where Lime Lemon, Pineapple Passion Fruit, and Raspberry are all set to N.</t>
        </is>
      </c>
    </row>
    <row r="13">
      <c r="A13" t="inlineStr">
        <is>
          <t>Enabled bulk edit rules</t>
        </is>
      </c>
      <c r="B13">
        <f>COUNTIF(BULK_ENABLED,"Y")</f>
        <v/>
      </c>
      <c r="C13" t="inlineStr">
        <is>
          <t>review</t>
        </is>
      </c>
      <c r="D13" t="inlineStr">
        <is>
          <t>Total active bulk overrides. Keep rules non overlapping within the same Tier and SKU band to avoid averaging.</t>
        </is>
      </c>
    </row>
    <row r="14">
      <c r="A14" t="inlineStr">
        <is>
          <t>Weekly Forecast units versus Velocity Grid units</t>
        </is>
      </c>
      <c r="B14">
        <f>IF(SUM(WF_WEEK_UNITS)=SUM(VG_UNITS_BLOCK),"Match","Mismatch")</f>
        <v/>
      </c>
      <c r="C14" t="inlineStr">
        <is>
          <t>Match</t>
        </is>
      </c>
      <c r="D14" t="inlineStr">
        <is>
          <t>Weekly Forecast total must equal Velocity Grid total exactly. Mismatch indicates a broken aggregation.</t>
        </is>
      </c>
    </row>
  </sheetData>
  <conditionalFormatting sqref="B5:B14">
    <cfRule type="expression" priority="1" dxfId="1">
      <formula>AND(ISNUMBER($B5),$B5&gt;0)</formula>
    </cfRule>
    <cfRule type="expression" priority="2" dxfId="2">
      <formula>AND(ISNUMBER($B5),$B5=0)</formula>
    </cfRule>
    <cfRule type="expression" priority="3" dxfId="1">
      <formula>$B5="Mismatch"</formula>
    </cfRule>
    <cfRule type="expression" priority="4" dxfId="2">
      <formula>$B5="Match"</formula>
    </cfRule>
  </conditionalFormatting>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159"/>
  <sheetViews>
    <sheetView showGridLines="0" workbookViewId="0">
      <selection activeCell="A1" sqref="A1"/>
    </sheetView>
  </sheetViews>
  <sheetFormatPr baseColWidth="8" defaultRowHeight="15"/>
  <cols>
    <col width="28" customWidth="1" min="1" max="1"/>
    <col width="18" customWidth="1" min="2" max="2"/>
    <col width="26" customWidth="1" min="3" max="3"/>
    <col width="18" customWidth="1" min="4" max="4"/>
    <col width="14" customWidth="1" min="5" max="5"/>
    <col width="14" customWidth="1" min="6" max="6"/>
    <col width="14" customWidth="1" min="7" max="7"/>
    <col width="4" customWidth="1" min="8" max="8"/>
    <col width="18" customWidth="1" min="9" max="9"/>
    <col width="18" customWidth="1" min="10" max="10"/>
    <col width="18" customWidth="1" min="11" max="11"/>
  </cols>
  <sheetData>
    <row r="1">
      <c r="A1" s="1" t="inlineStr">
        <is>
          <t>CEO Dashboard</t>
        </is>
      </c>
    </row>
    <row r="2">
      <c r="A2" s="2" t="inlineStr">
        <is>
          <t>13 week launch overview. Numbers live off the Velocity Grid via the Weekly Forecast and Revenue tabs.</t>
        </is>
      </c>
    </row>
    <row r="4">
      <c r="A4" s="3" t="inlineStr">
        <is>
          <t>KPI summary</t>
        </is>
      </c>
      <c r="D4" s="3" t="inlineStr">
        <is>
          <t>Scenario multipliers</t>
        </is>
      </c>
    </row>
    <row r="5">
      <c r="A5" s="17" t="inlineStr">
        <is>
          <t>Active scenario</t>
        </is>
      </c>
      <c r="B5" s="26">
        <f>ACTIVE_SCENARIO</f>
        <v/>
      </c>
      <c r="D5" s="5" t="inlineStr">
        <is>
          <t>Scenario</t>
        </is>
      </c>
      <c r="E5" s="5" t="inlineStr">
        <is>
          <t>Lime Lemon</t>
        </is>
      </c>
      <c r="F5" s="5" t="inlineStr">
        <is>
          <t>Pineapple</t>
        </is>
      </c>
      <c r="G5" s="5" t="inlineStr">
        <is>
          <t>Raspberry</t>
        </is>
      </c>
    </row>
    <row r="6">
      <c r="A6" s="17" t="inlineStr">
        <is>
          <t>Total cases all channels</t>
        </is>
      </c>
      <c r="B6" s="27">
        <f>REV_TOTAL_CASES</f>
        <v/>
      </c>
      <c r="D6" t="inlineStr">
        <is>
          <t>Conservative</t>
        </is>
      </c>
      <c r="E6" s="25">
        <f>INDEX(SCEN_MULT_TABLE,1,MATCH("Conservative",SCEN_NAMES,0))</f>
        <v/>
      </c>
      <c r="F6" s="25">
        <f>INDEX(SCEN_MULT_TABLE,2,MATCH("Conservative",SCEN_NAMES,0))</f>
        <v/>
      </c>
      <c r="G6" s="25">
        <f>INDEX(SCEN_MULT_TABLE,3,MATCH("Conservative",SCEN_NAMES,0))</f>
        <v/>
      </c>
    </row>
    <row r="7">
      <c r="A7" s="17" t="inlineStr">
        <is>
          <t>Gross revenue</t>
        </is>
      </c>
      <c r="B7" s="28">
        <f>REV_GROSS_TOTAL</f>
        <v/>
      </c>
      <c r="D7" t="inlineStr">
        <is>
          <t>Base</t>
        </is>
      </c>
      <c r="E7" s="25">
        <f>INDEX(SCEN_MULT_TABLE,1,MATCH("Base",SCEN_NAMES,0))</f>
        <v/>
      </c>
      <c r="F7" s="25">
        <f>INDEX(SCEN_MULT_TABLE,2,MATCH("Base",SCEN_NAMES,0))</f>
        <v/>
      </c>
      <c r="G7" s="25">
        <f>INDEX(SCEN_MULT_TABLE,3,MATCH("Base",SCEN_NAMES,0))</f>
        <v/>
      </c>
    </row>
    <row r="8">
      <c r="A8" s="17" t="inlineStr">
        <is>
          <t>Trade spend</t>
        </is>
      </c>
      <c r="B8" s="28">
        <f>REV_TRADE_TOTAL</f>
        <v/>
      </c>
      <c r="D8" t="inlineStr">
        <is>
          <t>Stretch</t>
        </is>
      </c>
      <c r="E8" s="25">
        <f>INDEX(SCEN_MULT_TABLE,1,MATCH("Stretch",SCEN_NAMES,0))</f>
        <v/>
      </c>
      <c r="F8" s="25">
        <f>INDEX(SCEN_MULT_TABLE,2,MATCH("Stretch",SCEN_NAMES,0))</f>
        <v/>
      </c>
      <c r="G8" s="25">
        <f>INDEX(SCEN_MULT_TABLE,3,MATCH("Stretch",SCEN_NAMES,0))</f>
        <v/>
      </c>
    </row>
    <row r="9">
      <c r="A9" s="17" t="inlineStr">
        <is>
          <t>Net revenue</t>
        </is>
      </c>
      <c r="B9" s="28">
        <f>REV_NET_TOTAL</f>
        <v/>
      </c>
    </row>
    <row r="10">
      <c r="A10" s="17" t="inlineStr">
        <is>
          <t>Gross margin</t>
        </is>
      </c>
      <c r="B10" s="28">
        <f>REV_MARGIN_TOTAL</f>
        <v/>
      </c>
    </row>
    <row r="11">
      <c r="A11" s="17" t="inlineStr">
        <is>
          <t>Margin percent</t>
        </is>
      </c>
      <c r="B11" s="29">
        <f>IF(REV_GROSS_TOTAL=0,0,REV_MARGIN_TOTAL/REV_GROSS_TOTAL)</f>
        <v/>
      </c>
    </row>
    <row r="12">
      <c r="A12" s="17" t="inlineStr">
        <is>
          <t>Online share of cases</t>
        </is>
      </c>
      <c r="B12" s="29">
        <f>IF(REV_TOTAL_CASES=0,0,ONLINE_TOTAL_CASES/REV_TOTAL_CASES)</f>
        <v/>
      </c>
    </row>
    <row r="15">
      <c r="A15" s="3" t="inlineStr">
        <is>
          <t>Top 10 doors by total units</t>
        </is>
      </c>
    </row>
    <row r="16">
      <c r="A16" s="5" t="inlineStr">
        <is>
          <t>Rank</t>
        </is>
      </c>
      <c r="B16" s="5" t="inlineStr">
        <is>
          <t>Door ID</t>
        </is>
      </c>
      <c r="C16" s="5" t="inlineStr">
        <is>
          <t>Door Name</t>
        </is>
      </c>
      <c r="D16" s="5" t="inlineStr">
        <is>
          <t>Total units</t>
        </is>
      </c>
    </row>
    <row r="17">
      <c r="A17" t="n">
        <v>1</v>
      </c>
      <c r="B17">
        <f>INDEX(A60:A159,MATCH(D17,C60:C159,0))</f>
        <v/>
      </c>
      <c r="C17">
        <f>INDEX(B60:B159,MATCH(D17,C60:C159,0))</f>
        <v/>
      </c>
      <c r="D17" s="16">
        <f>LARGE(C60:C159,1)</f>
        <v/>
      </c>
    </row>
    <row r="18">
      <c r="A18" t="n">
        <v>2</v>
      </c>
      <c r="B18">
        <f>INDEX(A60:A159,MATCH(D18,C60:C159,0))</f>
        <v/>
      </c>
      <c r="C18">
        <f>INDEX(B60:B159,MATCH(D18,C60:C159,0))</f>
        <v/>
      </c>
      <c r="D18" s="16">
        <f>LARGE(C60:C159,2)</f>
        <v/>
      </c>
    </row>
    <row r="19">
      <c r="A19" t="n">
        <v>3</v>
      </c>
      <c r="B19">
        <f>INDEX(A60:A159,MATCH(D19,C60:C159,0))</f>
        <v/>
      </c>
      <c r="C19">
        <f>INDEX(B60:B159,MATCH(D19,C60:C159,0))</f>
        <v/>
      </c>
      <c r="D19" s="16">
        <f>LARGE(C60:C159,3)</f>
        <v/>
      </c>
    </row>
    <row r="20">
      <c r="A20" t="n">
        <v>4</v>
      </c>
      <c r="B20">
        <f>INDEX(A60:A159,MATCH(D20,C60:C159,0))</f>
        <v/>
      </c>
      <c r="C20">
        <f>INDEX(B60:B159,MATCH(D20,C60:C159,0))</f>
        <v/>
      </c>
      <c r="D20" s="16">
        <f>LARGE(C60:C159,4)</f>
        <v/>
      </c>
    </row>
    <row r="21">
      <c r="A21" t="n">
        <v>5</v>
      </c>
      <c r="B21">
        <f>INDEX(A60:A159,MATCH(D21,C60:C159,0))</f>
        <v/>
      </c>
      <c r="C21">
        <f>INDEX(B60:B159,MATCH(D21,C60:C159,0))</f>
        <v/>
      </c>
      <c r="D21" s="16">
        <f>LARGE(C60:C159,5)</f>
        <v/>
      </c>
    </row>
    <row r="22">
      <c r="A22" t="n">
        <v>6</v>
      </c>
      <c r="B22">
        <f>INDEX(A60:A159,MATCH(D22,C60:C159,0))</f>
        <v/>
      </c>
      <c r="C22">
        <f>INDEX(B60:B159,MATCH(D22,C60:C159,0))</f>
        <v/>
      </c>
      <c r="D22" s="16">
        <f>LARGE(C60:C159,6)</f>
        <v/>
      </c>
    </row>
    <row r="23">
      <c r="A23" t="n">
        <v>7</v>
      </c>
      <c r="B23">
        <f>INDEX(A60:A159,MATCH(D23,C60:C159,0))</f>
        <v/>
      </c>
      <c r="C23">
        <f>INDEX(B60:B159,MATCH(D23,C60:C159,0))</f>
        <v/>
      </c>
      <c r="D23" s="16">
        <f>LARGE(C60:C159,7)</f>
        <v/>
      </c>
    </row>
    <row r="24">
      <c r="A24" t="n">
        <v>8</v>
      </c>
      <c r="B24">
        <f>INDEX(A60:A159,MATCH(D24,C60:C159,0))</f>
        <v/>
      </c>
      <c r="C24">
        <f>INDEX(B60:B159,MATCH(D24,C60:C159,0))</f>
        <v/>
      </c>
      <c r="D24" s="16">
        <f>LARGE(C60:C159,8)</f>
        <v/>
      </c>
    </row>
    <row r="25">
      <c r="A25" t="n">
        <v>9</v>
      </c>
      <c r="B25">
        <f>INDEX(A60:A159,MATCH(D25,C60:C159,0))</f>
        <v/>
      </c>
      <c r="C25">
        <f>INDEX(B60:B159,MATCH(D25,C60:C159,0))</f>
        <v/>
      </c>
      <c r="D25" s="16">
        <f>LARGE(C60:C159,9)</f>
        <v/>
      </c>
    </row>
    <row r="26">
      <c r="A26" t="n">
        <v>10</v>
      </c>
      <c r="B26">
        <f>INDEX(A60:A159,MATCH(D26,C60:C159,0))</f>
        <v/>
      </c>
      <c r="C26">
        <f>INDEX(B60:B159,MATCH(D26,C60:C159,0))</f>
        <v/>
      </c>
      <c r="D26" s="16">
        <f>LARGE(C60:C159,10)</f>
        <v/>
      </c>
    </row>
    <row r="29">
      <c r="A29" s="3" t="inlineStr">
        <is>
          <t>Activation ROI</t>
        </is>
      </c>
    </row>
    <row r="30">
      <c r="A30" s="5" t="inlineStr">
        <is>
          <t>Activation ID</t>
        </is>
      </c>
      <c r="B30" s="5" t="inlineStr">
        <is>
          <t>Type</t>
        </is>
      </c>
      <c r="C30" s="5" t="inlineStr">
        <is>
          <t>Cost</t>
        </is>
      </c>
      <c r="D30" s="5" t="inlineStr">
        <is>
          <t>Incremental cases (proxy)</t>
        </is>
      </c>
      <c r="E30" s="5" t="inlineStr">
        <is>
          <t>ROI cases per dollar</t>
        </is>
      </c>
    </row>
    <row r="31">
      <c r="A31">
        <f>Activations!A5</f>
        <v/>
      </c>
      <c r="B31">
        <f>Activations!B5</f>
        <v/>
      </c>
      <c r="C31" s="20">
        <f>Activations!J5</f>
        <v/>
      </c>
      <c r="D31" s="16">
        <f>IFERROR(ROUNDUP(Activations!I5/UNITS_PER_CASE,0),0)</f>
        <v/>
      </c>
      <c r="E31" s="25">
        <f>IFERROR(IF(Activations!J5=0,0,D31/Activations!J5),0)</f>
        <v/>
      </c>
    </row>
    <row r="32">
      <c r="A32">
        <f>Activations!A6</f>
        <v/>
      </c>
      <c r="B32">
        <f>Activations!B6</f>
        <v/>
      </c>
      <c r="C32" s="20">
        <f>Activations!J6</f>
        <v/>
      </c>
      <c r="D32" s="16">
        <f>IFERROR(ROUNDUP(Activations!I6/UNITS_PER_CASE,0),0)</f>
        <v/>
      </c>
      <c r="E32" s="25">
        <f>IFERROR(IF(Activations!J6=0,0,D32/Activations!J6),0)</f>
        <v/>
      </c>
    </row>
    <row r="33">
      <c r="A33">
        <f>Activations!A7</f>
        <v/>
      </c>
      <c r="B33">
        <f>Activations!B7</f>
        <v/>
      </c>
      <c r="C33" s="20">
        <f>Activations!J7</f>
        <v/>
      </c>
      <c r="D33" s="16">
        <f>IFERROR(ROUNDUP(Activations!I7/UNITS_PER_CASE,0),0)</f>
        <v/>
      </c>
      <c r="E33" s="25">
        <f>IFERROR(IF(Activations!J7=0,0,D33/Activations!J7),0)</f>
        <v/>
      </c>
    </row>
    <row r="34">
      <c r="A34">
        <f>Activations!A8</f>
        <v/>
      </c>
      <c r="B34">
        <f>Activations!B8</f>
        <v/>
      </c>
      <c r="C34" s="20">
        <f>Activations!J8</f>
        <v/>
      </c>
      <c r="D34" s="16">
        <f>IFERROR(ROUNDUP(Activations!I8/UNITS_PER_CASE,0),0)</f>
        <v/>
      </c>
      <c r="E34" s="25">
        <f>IFERROR(IF(Activations!J8=0,0,D34/Activations!J8),0)</f>
        <v/>
      </c>
    </row>
    <row r="35">
      <c r="A35">
        <f>Activations!A9</f>
        <v/>
      </c>
      <c r="B35">
        <f>Activations!B9</f>
        <v/>
      </c>
      <c r="C35" s="20">
        <f>Activations!J9</f>
        <v/>
      </c>
      <c r="D35" s="16">
        <f>IFERROR(ROUNDUP(Activations!I9/UNITS_PER_CASE,0),0)</f>
        <v/>
      </c>
      <c r="E35" s="25">
        <f>IFERROR(IF(Activations!J9=0,0,D35/Activations!J9),0)</f>
        <v/>
      </c>
    </row>
    <row r="36">
      <c r="A36">
        <f>Activations!A10</f>
        <v/>
      </c>
      <c r="B36">
        <f>Activations!B10</f>
        <v/>
      </c>
      <c r="C36" s="20">
        <f>Activations!J10</f>
        <v/>
      </c>
      <c r="D36" s="16">
        <f>IFERROR(ROUNDUP(Activations!I10/UNITS_PER_CASE,0),0)</f>
        <v/>
      </c>
      <c r="E36" s="25">
        <f>IFERROR(IF(Activations!J10=0,0,D36/Activations!J10),0)</f>
        <v/>
      </c>
    </row>
    <row r="37">
      <c r="A37">
        <f>Activations!A11</f>
        <v/>
      </c>
      <c r="B37">
        <f>Activations!B11</f>
        <v/>
      </c>
      <c r="C37" s="20">
        <f>Activations!J11</f>
        <v/>
      </c>
      <c r="D37" s="16">
        <f>IFERROR(ROUNDUP(Activations!I11/UNITS_PER_CASE,0),0)</f>
        <v/>
      </c>
      <c r="E37" s="25">
        <f>IFERROR(IF(Activations!J11=0,0,D37/Activations!J11),0)</f>
        <v/>
      </c>
    </row>
    <row r="38">
      <c r="A38">
        <f>Activations!A12</f>
        <v/>
      </c>
      <c r="B38">
        <f>Activations!B12</f>
        <v/>
      </c>
      <c r="C38" s="20">
        <f>Activations!J12</f>
        <v/>
      </c>
      <c r="D38" s="16">
        <f>IFERROR(ROUNDUP(Activations!I12/UNITS_PER_CASE,0),0)</f>
        <v/>
      </c>
      <c r="E38" s="25">
        <f>IFERROR(IF(Activations!J12=0,0,D38/Activations!J12),0)</f>
        <v/>
      </c>
    </row>
    <row r="39">
      <c r="A39">
        <f>Activations!A13</f>
        <v/>
      </c>
      <c r="B39">
        <f>Activations!B13</f>
        <v/>
      </c>
      <c r="C39" s="20">
        <f>Activations!J13</f>
        <v/>
      </c>
      <c r="D39" s="16">
        <f>IFERROR(ROUNDUP(Activations!I13/UNITS_PER_CASE,0),0)</f>
        <v/>
      </c>
      <c r="E39" s="25">
        <f>IFERROR(IF(Activations!J13=0,0,D39/Activations!J13),0)</f>
        <v/>
      </c>
    </row>
    <row r="40">
      <c r="A40">
        <f>Activations!A14</f>
        <v/>
      </c>
      <c r="B40">
        <f>Activations!B14</f>
        <v/>
      </c>
      <c r="C40" s="20">
        <f>Activations!J14</f>
        <v/>
      </c>
      <c r="D40" s="16">
        <f>IFERROR(ROUNDUP(Activations!I14/UNITS_PER_CASE,0),0)</f>
        <v/>
      </c>
      <c r="E40" s="25">
        <f>IFERROR(IF(Activations!J14=0,0,D40/Activations!J14),0)</f>
        <v/>
      </c>
    </row>
    <row r="44">
      <c r="A44" s="3" t="inlineStr">
        <is>
          <t>13 week trend, total units and cases by week</t>
        </is>
      </c>
    </row>
    <row r="45">
      <c r="A45" s="5" t="inlineStr">
        <is>
          <t>Week</t>
        </is>
      </c>
      <c r="B45" s="5" t="inlineStr">
        <is>
          <t>Door units</t>
        </is>
      </c>
      <c r="C45" s="5" t="inlineStr">
        <is>
          <t>Online units</t>
        </is>
      </c>
      <c r="D45" s="5" t="inlineStr">
        <is>
          <t>Total units</t>
        </is>
      </c>
      <c r="E45" s="5" t="inlineStr">
        <is>
          <t>Total cases</t>
        </is>
      </c>
    </row>
    <row r="46">
      <c r="A46" t="inlineStr">
        <is>
          <t>W1</t>
        </is>
      </c>
      <c r="B46" s="16">
        <f>'Weekly Forecast'!E6</f>
        <v/>
      </c>
      <c r="C46" s="16">
        <f>SUM('Online Forecast'!C5:C10)</f>
        <v/>
      </c>
      <c r="D46" s="16">
        <f>B46+C46</f>
        <v/>
      </c>
      <c r="E46" s="16">
        <f>'Weekly Forecast'!I6+'Production Calendar'!C5</f>
        <v/>
      </c>
    </row>
    <row r="47">
      <c r="A47" t="inlineStr">
        <is>
          <t>W2</t>
        </is>
      </c>
      <c r="B47" s="16">
        <f>'Weekly Forecast'!E7</f>
        <v/>
      </c>
      <c r="C47" s="16">
        <f>SUM('Online Forecast'!D5:D10)</f>
        <v/>
      </c>
      <c r="D47" s="16">
        <f>B47+C47</f>
        <v/>
      </c>
      <c r="E47" s="16">
        <f>'Weekly Forecast'!I7+'Production Calendar'!C6</f>
        <v/>
      </c>
    </row>
    <row r="48">
      <c r="A48" t="inlineStr">
        <is>
          <t>W3</t>
        </is>
      </c>
      <c r="B48" s="16">
        <f>'Weekly Forecast'!E8</f>
        <v/>
      </c>
      <c r="C48" s="16">
        <f>SUM('Online Forecast'!E5:E10)</f>
        <v/>
      </c>
      <c r="D48" s="16">
        <f>B48+C48</f>
        <v/>
      </c>
      <c r="E48" s="16">
        <f>'Weekly Forecast'!I8+'Production Calendar'!C7</f>
        <v/>
      </c>
    </row>
    <row r="49">
      <c r="A49" t="inlineStr">
        <is>
          <t>W4</t>
        </is>
      </c>
      <c r="B49" s="16">
        <f>'Weekly Forecast'!E9</f>
        <v/>
      </c>
      <c r="C49" s="16">
        <f>SUM('Online Forecast'!F5:F10)</f>
        <v/>
      </c>
      <c r="D49" s="16">
        <f>B49+C49</f>
        <v/>
      </c>
      <c r="E49" s="16">
        <f>'Weekly Forecast'!I9+'Production Calendar'!C8</f>
        <v/>
      </c>
    </row>
    <row r="50">
      <c r="A50" t="inlineStr">
        <is>
          <t>W5</t>
        </is>
      </c>
      <c r="B50" s="16">
        <f>'Weekly Forecast'!E10</f>
        <v/>
      </c>
      <c r="C50" s="16">
        <f>SUM('Online Forecast'!G5:G10)</f>
        <v/>
      </c>
      <c r="D50" s="16">
        <f>B50+C50</f>
        <v/>
      </c>
      <c r="E50" s="16">
        <f>'Weekly Forecast'!I10+'Production Calendar'!C9</f>
        <v/>
      </c>
    </row>
    <row r="51">
      <c r="A51" t="inlineStr">
        <is>
          <t>W6</t>
        </is>
      </c>
      <c r="B51" s="16">
        <f>'Weekly Forecast'!E11</f>
        <v/>
      </c>
      <c r="C51" s="16">
        <f>SUM('Online Forecast'!H5:H10)</f>
        <v/>
      </c>
      <c r="D51" s="16">
        <f>B51+C51</f>
        <v/>
      </c>
      <c r="E51" s="16">
        <f>'Weekly Forecast'!I11+'Production Calendar'!C10</f>
        <v/>
      </c>
    </row>
    <row r="52">
      <c r="A52" t="inlineStr">
        <is>
          <t>W7</t>
        </is>
      </c>
      <c r="B52" s="16">
        <f>'Weekly Forecast'!E12</f>
        <v/>
      </c>
      <c r="C52" s="16">
        <f>SUM('Online Forecast'!I5:I10)</f>
        <v/>
      </c>
      <c r="D52" s="16">
        <f>B52+C52</f>
        <v/>
      </c>
      <c r="E52" s="16">
        <f>'Weekly Forecast'!I12+'Production Calendar'!C11</f>
        <v/>
      </c>
    </row>
    <row r="53">
      <c r="A53" t="inlineStr">
        <is>
          <t>W8</t>
        </is>
      </c>
      <c r="B53" s="16">
        <f>'Weekly Forecast'!E13</f>
        <v/>
      </c>
      <c r="C53" s="16">
        <f>SUM('Online Forecast'!J5:J10)</f>
        <v/>
      </c>
      <c r="D53" s="16">
        <f>B53+C53</f>
        <v/>
      </c>
      <c r="E53" s="16">
        <f>'Weekly Forecast'!I13+'Production Calendar'!C12</f>
        <v/>
      </c>
    </row>
    <row r="54">
      <c r="A54" t="inlineStr">
        <is>
          <t>W9</t>
        </is>
      </c>
      <c r="B54" s="16">
        <f>'Weekly Forecast'!E14</f>
        <v/>
      </c>
      <c r="C54" s="16">
        <f>SUM('Online Forecast'!K5:K10)</f>
        <v/>
      </c>
      <c r="D54" s="16">
        <f>B54+C54</f>
        <v/>
      </c>
      <c r="E54" s="16">
        <f>'Weekly Forecast'!I14+'Production Calendar'!C13</f>
        <v/>
      </c>
    </row>
    <row r="55">
      <c r="A55" t="inlineStr">
        <is>
          <t>W10</t>
        </is>
      </c>
      <c r="B55" s="16">
        <f>'Weekly Forecast'!E15</f>
        <v/>
      </c>
      <c r="C55" s="16">
        <f>SUM('Online Forecast'!L5:L10)</f>
        <v/>
      </c>
      <c r="D55" s="16">
        <f>B55+C55</f>
        <v/>
      </c>
      <c r="E55" s="16">
        <f>'Weekly Forecast'!I15+'Production Calendar'!C14</f>
        <v/>
      </c>
    </row>
    <row r="56">
      <c r="A56" t="inlineStr">
        <is>
          <t>W11</t>
        </is>
      </c>
      <c r="B56" s="16">
        <f>'Weekly Forecast'!E16</f>
        <v/>
      </c>
      <c r="C56" s="16">
        <f>SUM('Online Forecast'!M5:M10)</f>
        <v/>
      </c>
      <c r="D56" s="16">
        <f>B56+C56</f>
        <v/>
      </c>
      <c r="E56" s="16">
        <f>'Weekly Forecast'!I16+'Production Calendar'!C15</f>
        <v/>
      </c>
    </row>
    <row r="57">
      <c r="A57" t="inlineStr">
        <is>
          <t>W12</t>
        </is>
      </c>
      <c r="B57" s="16">
        <f>'Weekly Forecast'!E17</f>
        <v/>
      </c>
      <c r="C57" s="16">
        <f>SUM('Online Forecast'!N5:N10)</f>
        <v/>
      </c>
      <c r="D57" s="16">
        <f>B57+C57</f>
        <v/>
      </c>
      <c r="E57" s="16">
        <f>'Weekly Forecast'!I17+'Production Calendar'!C16</f>
        <v/>
      </c>
    </row>
    <row r="58">
      <c r="A58" t="inlineStr">
        <is>
          <t>W13</t>
        </is>
      </c>
      <c r="B58" s="16">
        <f>'Weekly Forecast'!E18</f>
        <v/>
      </c>
      <c r="C58" s="16">
        <f>SUM('Online Forecast'!O5:O10)</f>
        <v/>
      </c>
      <c r="D58" s="16">
        <f>B58+C58</f>
        <v/>
      </c>
      <c r="E58" s="16">
        <f>'Weekly Forecast'!I18+'Production Calendar'!C17</f>
        <v/>
      </c>
    </row>
    <row r="59">
      <c r="A59" s="2" t="inlineStr">
        <is>
          <t>Helper, per door totals (do not edit)</t>
        </is>
      </c>
    </row>
    <row r="60" hidden="1">
      <c r="A60">
        <f>Doors!A5</f>
        <v/>
      </c>
      <c r="B60">
        <f>Doors!C5</f>
        <v/>
      </c>
      <c r="C60" s="16">
        <f>SUM('Velocity Grid'!J5:J7)+SUM('Velocity Grid'!K5:K7)+SUM('Velocity Grid'!L5:L7)+SUM('Velocity Grid'!M5:M7)+SUM('Velocity Grid'!N5:N7)+SUM('Velocity Grid'!O5:O7)+SUM('Velocity Grid'!P5:P7)+SUM('Velocity Grid'!Q5:Q7)+SUM('Velocity Grid'!R5:R7)+SUM('Velocity Grid'!S5:S7)+SUM('Velocity Grid'!T5:T7)+SUM('Velocity Grid'!U5:U7)+SUM('Velocity Grid'!V5:V7)</f>
        <v/>
      </c>
    </row>
    <row r="61" hidden="1">
      <c r="A61">
        <f>Doors!A6</f>
        <v/>
      </c>
      <c r="B61">
        <f>Doors!C6</f>
        <v/>
      </c>
      <c r="C61" s="16">
        <f>SUM('Velocity Grid'!J8:J10)+SUM('Velocity Grid'!K8:K10)+SUM('Velocity Grid'!L8:L10)+SUM('Velocity Grid'!M8:M10)+SUM('Velocity Grid'!N8:N10)+SUM('Velocity Grid'!O8:O10)+SUM('Velocity Grid'!P8:P10)+SUM('Velocity Grid'!Q8:Q10)+SUM('Velocity Grid'!R8:R10)+SUM('Velocity Grid'!S8:S10)+SUM('Velocity Grid'!T8:T10)+SUM('Velocity Grid'!U8:U10)+SUM('Velocity Grid'!V8:V10)</f>
        <v/>
      </c>
    </row>
    <row r="62" hidden="1">
      <c r="A62">
        <f>Doors!A7</f>
        <v/>
      </c>
      <c r="B62">
        <f>Doors!C7</f>
        <v/>
      </c>
      <c r="C62" s="16">
        <f>SUM('Velocity Grid'!J11:J13)+SUM('Velocity Grid'!K11:K13)+SUM('Velocity Grid'!L11:L13)+SUM('Velocity Grid'!M11:M13)+SUM('Velocity Grid'!N11:N13)+SUM('Velocity Grid'!O11:O13)+SUM('Velocity Grid'!P11:P13)+SUM('Velocity Grid'!Q11:Q13)+SUM('Velocity Grid'!R11:R13)+SUM('Velocity Grid'!S11:S13)+SUM('Velocity Grid'!T11:T13)+SUM('Velocity Grid'!U11:U13)+SUM('Velocity Grid'!V11:V13)</f>
        <v/>
      </c>
    </row>
    <row r="63" hidden="1">
      <c r="A63">
        <f>Doors!A8</f>
        <v/>
      </c>
      <c r="B63">
        <f>Doors!C8</f>
        <v/>
      </c>
      <c r="C63" s="16">
        <f>SUM('Velocity Grid'!J14:J16)+SUM('Velocity Grid'!K14:K16)+SUM('Velocity Grid'!L14:L16)+SUM('Velocity Grid'!M14:M16)+SUM('Velocity Grid'!N14:N16)+SUM('Velocity Grid'!O14:O16)+SUM('Velocity Grid'!P14:P16)+SUM('Velocity Grid'!Q14:Q16)+SUM('Velocity Grid'!R14:R16)+SUM('Velocity Grid'!S14:S16)+SUM('Velocity Grid'!T14:T16)+SUM('Velocity Grid'!U14:U16)+SUM('Velocity Grid'!V14:V16)</f>
        <v/>
      </c>
    </row>
    <row r="64" hidden="1">
      <c r="A64">
        <f>Doors!A9</f>
        <v/>
      </c>
      <c r="B64">
        <f>Doors!C9</f>
        <v/>
      </c>
      <c r="C64" s="16">
        <f>SUM('Velocity Grid'!J17:J19)+SUM('Velocity Grid'!K17:K19)+SUM('Velocity Grid'!L17:L19)+SUM('Velocity Grid'!M17:M19)+SUM('Velocity Grid'!N17:N19)+SUM('Velocity Grid'!O17:O19)+SUM('Velocity Grid'!P17:P19)+SUM('Velocity Grid'!Q17:Q19)+SUM('Velocity Grid'!R17:R19)+SUM('Velocity Grid'!S17:S19)+SUM('Velocity Grid'!T17:T19)+SUM('Velocity Grid'!U17:U19)+SUM('Velocity Grid'!V17:V19)</f>
        <v/>
      </c>
    </row>
    <row r="65" hidden="1">
      <c r="A65">
        <f>Doors!A10</f>
        <v/>
      </c>
      <c r="B65">
        <f>Doors!C10</f>
        <v/>
      </c>
      <c r="C65" s="16">
        <f>SUM('Velocity Grid'!J20:J22)+SUM('Velocity Grid'!K20:K22)+SUM('Velocity Grid'!L20:L22)+SUM('Velocity Grid'!M20:M22)+SUM('Velocity Grid'!N20:N22)+SUM('Velocity Grid'!O20:O22)+SUM('Velocity Grid'!P20:P22)+SUM('Velocity Grid'!Q20:Q22)+SUM('Velocity Grid'!R20:R22)+SUM('Velocity Grid'!S20:S22)+SUM('Velocity Grid'!T20:T22)+SUM('Velocity Grid'!U20:U22)+SUM('Velocity Grid'!V20:V22)</f>
        <v/>
      </c>
    </row>
    <row r="66" hidden="1">
      <c r="A66">
        <f>Doors!A11</f>
        <v/>
      </c>
      <c r="B66">
        <f>Doors!C11</f>
        <v/>
      </c>
      <c r="C66" s="16">
        <f>SUM('Velocity Grid'!J23:J25)+SUM('Velocity Grid'!K23:K25)+SUM('Velocity Grid'!L23:L25)+SUM('Velocity Grid'!M23:M25)+SUM('Velocity Grid'!N23:N25)+SUM('Velocity Grid'!O23:O25)+SUM('Velocity Grid'!P23:P25)+SUM('Velocity Grid'!Q23:Q25)+SUM('Velocity Grid'!R23:R25)+SUM('Velocity Grid'!S23:S25)+SUM('Velocity Grid'!T23:T25)+SUM('Velocity Grid'!U23:U25)+SUM('Velocity Grid'!V23:V25)</f>
        <v/>
      </c>
    </row>
    <row r="67" hidden="1">
      <c r="A67">
        <f>Doors!A12</f>
        <v/>
      </c>
      <c r="B67">
        <f>Doors!C12</f>
        <v/>
      </c>
      <c r="C67" s="16">
        <f>SUM('Velocity Grid'!J26:J28)+SUM('Velocity Grid'!K26:K28)+SUM('Velocity Grid'!L26:L28)+SUM('Velocity Grid'!M26:M28)+SUM('Velocity Grid'!N26:N28)+SUM('Velocity Grid'!O26:O28)+SUM('Velocity Grid'!P26:P28)+SUM('Velocity Grid'!Q26:Q28)+SUM('Velocity Grid'!R26:R28)+SUM('Velocity Grid'!S26:S28)+SUM('Velocity Grid'!T26:T28)+SUM('Velocity Grid'!U26:U28)+SUM('Velocity Grid'!V26:V28)</f>
        <v/>
      </c>
    </row>
    <row r="68" hidden="1">
      <c r="A68">
        <f>Doors!A13</f>
        <v/>
      </c>
      <c r="B68">
        <f>Doors!C13</f>
        <v/>
      </c>
      <c r="C68" s="16">
        <f>SUM('Velocity Grid'!J29:J31)+SUM('Velocity Grid'!K29:K31)+SUM('Velocity Grid'!L29:L31)+SUM('Velocity Grid'!M29:M31)+SUM('Velocity Grid'!N29:N31)+SUM('Velocity Grid'!O29:O31)+SUM('Velocity Grid'!P29:P31)+SUM('Velocity Grid'!Q29:Q31)+SUM('Velocity Grid'!R29:R31)+SUM('Velocity Grid'!S29:S31)+SUM('Velocity Grid'!T29:T31)+SUM('Velocity Grid'!U29:U31)+SUM('Velocity Grid'!V29:V31)</f>
        <v/>
      </c>
    </row>
    <row r="69" hidden="1">
      <c r="A69">
        <f>Doors!A14</f>
        <v/>
      </c>
      <c r="B69">
        <f>Doors!C14</f>
        <v/>
      </c>
      <c r="C69" s="16">
        <f>SUM('Velocity Grid'!J32:J34)+SUM('Velocity Grid'!K32:K34)+SUM('Velocity Grid'!L32:L34)+SUM('Velocity Grid'!M32:M34)+SUM('Velocity Grid'!N32:N34)+SUM('Velocity Grid'!O32:O34)+SUM('Velocity Grid'!P32:P34)+SUM('Velocity Grid'!Q32:Q34)+SUM('Velocity Grid'!R32:R34)+SUM('Velocity Grid'!S32:S34)+SUM('Velocity Grid'!T32:T34)+SUM('Velocity Grid'!U32:U34)+SUM('Velocity Grid'!V32:V34)</f>
        <v/>
      </c>
    </row>
    <row r="70" hidden="1">
      <c r="A70">
        <f>Doors!A15</f>
        <v/>
      </c>
      <c r="B70">
        <f>Doors!C15</f>
        <v/>
      </c>
      <c r="C70" s="16">
        <f>SUM('Velocity Grid'!J35:J37)+SUM('Velocity Grid'!K35:K37)+SUM('Velocity Grid'!L35:L37)+SUM('Velocity Grid'!M35:M37)+SUM('Velocity Grid'!N35:N37)+SUM('Velocity Grid'!O35:O37)+SUM('Velocity Grid'!P35:P37)+SUM('Velocity Grid'!Q35:Q37)+SUM('Velocity Grid'!R35:R37)+SUM('Velocity Grid'!S35:S37)+SUM('Velocity Grid'!T35:T37)+SUM('Velocity Grid'!U35:U37)+SUM('Velocity Grid'!V35:V37)</f>
        <v/>
      </c>
    </row>
    <row r="71" hidden="1">
      <c r="A71">
        <f>Doors!A16</f>
        <v/>
      </c>
      <c r="B71">
        <f>Doors!C16</f>
        <v/>
      </c>
      <c r="C71" s="16">
        <f>SUM('Velocity Grid'!J38:J40)+SUM('Velocity Grid'!K38:K40)+SUM('Velocity Grid'!L38:L40)+SUM('Velocity Grid'!M38:M40)+SUM('Velocity Grid'!N38:N40)+SUM('Velocity Grid'!O38:O40)+SUM('Velocity Grid'!P38:P40)+SUM('Velocity Grid'!Q38:Q40)+SUM('Velocity Grid'!R38:R40)+SUM('Velocity Grid'!S38:S40)+SUM('Velocity Grid'!T38:T40)+SUM('Velocity Grid'!U38:U40)+SUM('Velocity Grid'!V38:V40)</f>
        <v/>
      </c>
    </row>
    <row r="72" hidden="1">
      <c r="A72">
        <f>Doors!A17</f>
        <v/>
      </c>
      <c r="B72">
        <f>Doors!C17</f>
        <v/>
      </c>
      <c r="C72" s="16">
        <f>SUM('Velocity Grid'!J41:J43)+SUM('Velocity Grid'!K41:K43)+SUM('Velocity Grid'!L41:L43)+SUM('Velocity Grid'!M41:M43)+SUM('Velocity Grid'!N41:N43)+SUM('Velocity Grid'!O41:O43)+SUM('Velocity Grid'!P41:P43)+SUM('Velocity Grid'!Q41:Q43)+SUM('Velocity Grid'!R41:R43)+SUM('Velocity Grid'!S41:S43)+SUM('Velocity Grid'!T41:T43)+SUM('Velocity Grid'!U41:U43)+SUM('Velocity Grid'!V41:V43)</f>
        <v/>
      </c>
    </row>
    <row r="73" hidden="1">
      <c r="A73">
        <f>Doors!A18</f>
        <v/>
      </c>
      <c r="B73">
        <f>Doors!C18</f>
        <v/>
      </c>
      <c r="C73" s="16">
        <f>SUM('Velocity Grid'!J44:J46)+SUM('Velocity Grid'!K44:K46)+SUM('Velocity Grid'!L44:L46)+SUM('Velocity Grid'!M44:M46)+SUM('Velocity Grid'!N44:N46)+SUM('Velocity Grid'!O44:O46)+SUM('Velocity Grid'!P44:P46)+SUM('Velocity Grid'!Q44:Q46)+SUM('Velocity Grid'!R44:R46)+SUM('Velocity Grid'!S44:S46)+SUM('Velocity Grid'!T44:T46)+SUM('Velocity Grid'!U44:U46)+SUM('Velocity Grid'!V44:V46)</f>
        <v/>
      </c>
    </row>
    <row r="74" hidden="1">
      <c r="A74">
        <f>Doors!A19</f>
        <v/>
      </c>
      <c r="B74">
        <f>Doors!C19</f>
        <v/>
      </c>
      <c r="C74" s="16">
        <f>SUM('Velocity Grid'!J47:J49)+SUM('Velocity Grid'!K47:K49)+SUM('Velocity Grid'!L47:L49)+SUM('Velocity Grid'!M47:M49)+SUM('Velocity Grid'!N47:N49)+SUM('Velocity Grid'!O47:O49)+SUM('Velocity Grid'!P47:P49)+SUM('Velocity Grid'!Q47:Q49)+SUM('Velocity Grid'!R47:R49)+SUM('Velocity Grid'!S47:S49)+SUM('Velocity Grid'!T47:T49)+SUM('Velocity Grid'!U47:U49)+SUM('Velocity Grid'!V47:V49)</f>
        <v/>
      </c>
    </row>
    <row r="75" hidden="1">
      <c r="A75">
        <f>Doors!A20</f>
        <v/>
      </c>
      <c r="B75">
        <f>Doors!C20</f>
        <v/>
      </c>
      <c r="C75" s="16">
        <f>SUM('Velocity Grid'!J50:J52)+SUM('Velocity Grid'!K50:K52)+SUM('Velocity Grid'!L50:L52)+SUM('Velocity Grid'!M50:M52)+SUM('Velocity Grid'!N50:N52)+SUM('Velocity Grid'!O50:O52)+SUM('Velocity Grid'!P50:P52)+SUM('Velocity Grid'!Q50:Q52)+SUM('Velocity Grid'!R50:R52)+SUM('Velocity Grid'!S50:S52)+SUM('Velocity Grid'!T50:T52)+SUM('Velocity Grid'!U50:U52)+SUM('Velocity Grid'!V50:V52)</f>
        <v/>
      </c>
    </row>
    <row r="76" hidden="1">
      <c r="A76">
        <f>Doors!A21</f>
        <v/>
      </c>
      <c r="B76">
        <f>Doors!C21</f>
        <v/>
      </c>
      <c r="C76" s="16">
        <f>SUM('Velocity Grid'!J53:J55)+SUM('Velocity Grid'!K53:K55)+SUM('Velocity Grid'!L53:L55)+SUM('Velocity Grid'!M53:M55)+SUM('Velocity Grid'!N53:N55)+SUM('Velocity Grid'!O53:O55)+SUM('Velocity Grid'!P53:P55)+SUM('Velocity Grid'!Q53:Q55)+SUM('Velocity Grid'!R53:R55)+SUM('Velocity Grid'!S53:S55)+SUM('Velocity Grid'!T53:T55)+SUM('Velocity Grid'!U53:U55)+SUM('Velocity Grid'!V53:V55)</f>
        <v/>
      </c>
    </row>
    <row r="77" hidden="1">
      <c r="A77">
        <f>Doors!A22</f>
        <v/>
      </c>
      <c r="B77">
        <f>Doors!C22</f>
        <v/>
      </c>
      <c r="C77" s="16">
        <f>SUM('Velocity Grid'!J56:J58)+SUM('Velocity Grid'!K56:K58)+SUM('Velocity Grid'!L56:L58)+SUM('Velocity Grid'!M56:M58)+SUM('Velocity Grid'!N56:N58)+SUM('Velocity Grid'!O56:O58)+SUM('Velocity Grid'!P56:P58)+SUM('Velocity Grid'!Q56:Q58)+SUM('Velocity Grid'!R56:R58)+SUM('Velocity Grid'!S56:S58)+SUM('Velocity Grid'!T56:T58)+SUM('Velocity Grid'!U56:U58)+SUM('Velocity Grid'!V56:V58)</f>
        <v/>
      </c>
    </row>
    <row r="78" hidden="1">
      <c r="A78">
        <f>Doors!A23</f>
        <v/>
      </c>
      <c r="B78">
        <f>Doors!C23</f>
        <v/>
      </c>
      <c r="C78" s="16">
        <f>SUM('Velocity Grid'!J59:J61)+SUM('Velocity Grid'!K59:K61)+SUM('Velocity Grid'!L59:L61)+SUM('Velocity Grid'!M59:M61)+SUM('Velocity Grid'!N59:N61)+SUM('Velocity Grid'!O59:O61)+SUM('Velocity Grid'!P59:P61)+SUM('Velocity Grid'!Q59:Q61)+SUM('Velocity Grid'!R59:R61)+SUM('Velocity Grid'!S59:S61)+SUM('Velocity Grid'!T59:T61)+SUM('Velocity Grid'!U59:U61)+SUM('Velocity Grid'!V59:V61)</f>
        <v/>
      </c>
    </row>
    <row r="79" hidden="1">
      <c r="A79">
        <f>Doors!A24</f>
        <v/>
      </c>
      <c r="B79">
        <f>Doors!C24</f>
        <v/>
      </c>
      <c r="C79" s="16">
        <f>SUM('Velocity Grid'!J62:J64)+SUM('Velocity Grid'!K62:K64)+SUM('Velocity Grid'!L62:L64)+SUM('Velocity Grid'!M62:M64)+SUM('Velocity Grid'!N62:N64)+SUM('Velocity Grid'!O62:O64)+SUM('Velocity Grid'!P62:P64)+SUM('Velocity Grid'!Q62:Q64)+SUM('Velocity Grid'!R62:R64)+SUM('Velocity Grid'!S62:S64)+SUM('Velocity Grid'!T62:T64)+SUM('Velocity Grid'!U62:U64)+SUM('Velocity Grid'!V62:V64)</f>
        <v/>
      </c>
    </row>
    <row r="80" hidden="1">
      <c r="A80">
        <f>Doors!A25</f>
        <v/>
      </c>
      <c r="B80">
        <f>Doors!C25</f>
        <v/>
      </c>
      <c r="C80" s="16">
        <f>SUM('Velocity Grid'!J65:J67)+SUM('Velocity Grid'!K65:K67)+SUM('Velocity Grid'!L65:L67)+SUM('Velocity Grid'!M65:M67)+SUM('Velocity Grid'!N65:N67)+SUM('Velocity Grid'!O65:O67)+SUM('Velocity Grid'!P65:P67)+SUM('Velocity Grid'!Q65:Q67)+SUM('Velocity Grid'!R65:R67)+SUM('Velocity Grid'!S65:S67)+SUM('Velocity Grid'!T65:T67)+SUM('Velocity Grid'!U65:U67)+SUM('Velocity Grid'!V65:V67)</f>
        <v/>
      </c>
    </row>
    <row r="81" hidden="1">
      <c r="A81">
        <f>Doors!A26</f>
        <v/>
      </c>
      <c r="B81">
        <f>Doors!C26</f>
        <v/>
      </c>
      <c r="C81" s="16">
        <f>SUM('Velocity Grid'!J68:J70)+SUM('Velocity Grid'!K68:K70)+SUM('Velocity Grid'!L68:L70)+SUM('Velocity Grid'!M68:M70)+SUM('Velocity Grid'!N68:N70)+SUM('Velocity Grid'!O68:O70)+SUM('Velocity Grid'!P68:P70)+SUM('Velocity Grid'!Q68:Q70)+SUM('Velocity Grid'!R68:R70)+SUM('Velocity Grid'!S68:S70)+SUM('Velocity Grid'!T68:T70)+SUM('Velocity Grid'!U68:U70)+SUM('Velocity Grid'!V68:V70)</f>
        <v/>
      </c>
    </row>
    <row r="82" hidden="1">
      <c r="A82">
        <f>Doors!A27</f>
        <v/>
      </c>
      <c r="B82">
        <f>Doors!C27</f>
        <v/>
      </c>
      <c r="C82" s="16">
        <f>SUM('Velocity Grid'!J71:J73)+SUM('Velocity Grid'!K71:K73)+SUM('Velocity Grid'!L71:L73)+SUM('Velocity Grid'!M71:M73)+SUM('Velocity Grid'!N71:N73)+SUM('Velocity Grid'!O71:O73)+SUM('Velocity Grid'!P71:P73)+SUM('Velocity Grid'!Q71:Q73)+SUM('Velocity Grid'!R71:R73)+SUM('Velocity Grid'!S71:S73)+SUM('Velocity Grid'!T71:T73)+SUM('Velocity Grid'!U71:U73)+SUM('Velocity Grid'!V71:V73)</f>
        <v/>
      </c>
    </row>
    <row r="83" hidden="1">
      <c r="A83">
        <f>Doors!A28</f>
        <v/>
      </c>
      <c r="B83">
        <f>Doors!C28</f>
        <v/>
      </c>
      <c r="C83" s="16">
        <f>SUM('Velocity Grid'!J74:J76)+SUM('Velocity Grid'!K74:K76)+SUM('Velocity Grid'!L74:L76)+SUM('Velocity Grid'!M74:M76)+SUM('Velocity Grid'!N74:N76)+SUM('Velocity Grid'!O74:O76)+SUM('Velocity Grid'!P74:P76)+SUM('Velocity Grid'!Q74:Q76)+SUM('Velocity Grid'!R74:R76)+SUM('Velocity Grid'!S74:S76)+SUM('Velocity Grid'!T74:T76)+SUM('Velocity Grid'!U74:U76)+SUM('Velocity Grid'!V74:V76)</f>
        <v/>
      </c>
    </row>
    <row r="84" hidden="1">
      <c r="A84">
        <f>Doors!A29</f>
        <v/>
      </c>
      <c r="B84">
        <f>Doors!C29</f>
        <v/>
      </c>
      <c r="C84" s="16">
        <f>SUM('Velocity Grid'!J77:J79)+SUM('Velocity Grid'!K77:K79)+SUM('Velocity Grid'!L77:L79)+SUM('Velocity Grid'!M77:M79)+SUM('Velocity Grid'!N77:N79)+SUM('Velocity Grid'!O77:O79)+SUM('Velocity Grid'!P77:P79)+SUM('Velocity Grid'!Q77:Q79)+SUM('Velocity Grid'!R77:R79)+SUM('Velocity Grid'!S77:S79)+SUM('Velocity Grid'!T77:T79)+SUM('Velocity Grid'!U77:U79)+SUM('Velocity Grid'!V77:V79)</f>
        <v/>
      </c>
    </row>
    <row r="85" hidden="1">
      <c r="A85">
        <f>Doors!A30</f>
        <v/>
      </c>
      <c r="B85">
        <f>Doors!C30</f>
        <v/>
      </c>
      <c r="C85" s="16">
        <f>SUM('Velocity Grid'!J80:J82)+SUM('Velocity Grid'!K80:K82)+SUM('Velocity Grid'!L80:L82)+SUM('Velocity Grid'!M80:M82)+SUM('Velocity Grid'!N80:N82)+SUM('Velocity Grid'!O80:O82)+SUM('Velocity Grid'!P80:P82)+SUM('Velocity Grid'!Q80:Q82)+SUM('Velocity Grid'!R80:R82)+SUM('Velocity Grid'!S80:S82)+SUM('Velocity Grid'!T80:T82)+SUM('Velocity Grid'!U80:U82)+SUM('Velocity Grid'!V80:V82)</f>
        <v/>
      </c>
    </row>
    <row r="86" hidden="1">
      <c r="A86">
        <f>Doors!A31</f>
        <v/>
      </c>
      <c r="B86">
        <f>Doors!C31</f>
        <v/>
      </c>
      <c r="C86" s="16">
        <f>SUM('Velocity Grid'!J83:J85)+SUM('Velocity Grid'!K83:K85)+SUM('Velocity Grid'!L83:L85)+SUM('Velocity Grid'!M83:M85)+SUM('Velocity Grid'!N83:N85)+SUM('Velocity Grid'!O83:O85)+SUM('Velocity Grid'!P83:P85)+SUM('Velocity Grid'!Q83:Q85)+SUM('Velocity Grid'!R83:R85)+SUM('Velocity Grid'!S83:S85)+SUM('Velocity Grid'!T83:T85)+SUM('Velocity Grid'!U83:U85)+SUM('Velocity Grid'!V83:V85)</f>
        <v/>
      </c>
    </row>
    <row r="87" hidden="1">
      <c r="A87">
        <f>Doors!A32</f>
        <v/>
      </c>
      <c r="B87">
        <f>Doors!C32</f>
        <v/>
      </c>
      <c r="C87" s="16">
        <f>SUM('Velocity Grid'!J86:J88)+SUM('Velocity Grid'!K86:K88)+SUM('Velocity Grid'!L86:L88)+SUM('Velocity Grid'!M86:M88)+SUM('Velocity Grid'!N86:N88)+SUM('Velocity Grid'!O86:O88)+SUM('Velocity Grid'!P86:P88)+SUM('Velocity Grid'!Q86:Q88)+SUM('Velocity Grid'!R86:R88)+SUM('Velocity Grid'!S86:S88)+SUM('Velocity Grid'!T86:T88)+SUM('Velocity Grid'!U86:U88)+SUM('Velocity Grid'!V86:V88)</f>
        <v/>
      </c>
    </row>
    <row r="88" hidden="1">
      <c r="A88">
        <f>Doors!A33</f>
        <v/>
      </c>
      <c r="B88">
        <f>Doors!C33</f>
        <v/>
      </c>
      <c r="C88" s="16">
        <f>SUM('Velocity Grid'!J89:J91)+SUM('Velocity Grid'!K89:K91)+SUM('Velocity Grid'!L89:L91)+SUM('Velocity Grid'!M89:M91)+SUM('Velocity Grid'!N89:N91)+SUM('Velocity Grid'!O89:O91)+SUM('Velocity Grid'!P89:P91)+SUM('Velocity Grid'!Q89:Q91)+SUM('Velocity Grid'!R89:R91)+SUM('Velocity Grid'!S89:S91)+SUM('Velocity Grid'!T89:T91)+SUM('Velocity Grid'!U89:U91)+SUM('Velocity Grid'!V89:V91)</f>
        <v/>
      </c>
    </row>
    <row r="89" hidden="1">
      <c r="A89">
        <f>Doors!A34</f>
        <v/>
      </c>
      <c r="B89">
        <f>Doors!C34</f>
        <v/>
      </c>
      <c r="C89" s="16">
        <f>SUM('Velocity Grid'!J92:J94)+SUM('Velocity Grid'!K92:K94)+SUM('Velocity Grid'!L92:L94)+SUM('Velocity Grid'!M92:M94)+SUM('Velocity Grid'!N92:N94)+SUM('Velocity Grid'!O92:O94)+SUM('Velocity Grid'!P92:P94)+SUM('Velocity Grid'!Q92:Q94)+SUM('Velocity Grid'!R92:R94)+SUM('Velocity Grid'!S92:S94)+SUM('Velocity Grid'!T92:T94)+SUM('Velocity Grid'!U92:U94)+SUM('Velocity Grid'!V92:V94)</f>
        <v/>
      </c>
    </row>
    <row r="90" hidden="1">
      <c r="A90">
        <f>Doors!A35</f>
        <v/>
      </c>
      <c r="B90">
        <f>Doors!C35</f>
        <v/>
      </c>
      <c r="C90" s="16">
        <f>SUM('Velocity Grid'!J95:J97)+SUM('Velocity Grid'!K95:K97)+SUM('Velocity Grid'!L95:L97)+SUM('Velocity Grid'!M95:M97)+SUM('Velocity Grid'!N95:N97)+SUM('Velocity Grid'!O95:O97)+SUM('Velocity Grid'!P95:P97)+SUM('Velocity Grid'!Q95:Q97)+SUM('Velocity Grid'!R95:R97)+SUM('Velocity Grid'!S95:S97)+SUM('Velocity Grid'!T95:T97)+SUM('Velocity Grid'!U95:U97)+SUM('Velocity Grid'!V95:V97)</f>
        <v/>
      </c>
    </row>
    <row r="91" hidden="1">
      <c r="A91">
        <f>Doors!A36</f>
        <v/>
      </c>
      <c r="B91">
        <f>Doors!C36</f>
        <v/>
      </c>
      <c r="C91" s="16">
        <f>SUM('Velocity Grid'!J98:J100)+SUM('Velocity Grid'!K98:K100)+SUM('Velocity Grid'!L98:L100)+SUM('Velocity Grid'!M98:M100)+SUM('Velocity Grid'!N98:N100)+SUM('Velocity Grid'!O98:O100)+SUM('Velocity Grid'!P98:P100)+SUM('Velocity Grid'!Q98:Q100)+SUM('Velocity Grid'!R98:R100)+SUM('Velocity Grid'!S98:S100)+SUM('Velocity Grid'!T98:T100)+SUM('Velocity Grid'!U98:U100)+SUM('Velocity Grid'!V98:V100)</f>
        <v/>
      </c>
    </row>
    <row r="92" hidden="1">
      <c r="A92">
        <f>Doors!A37</f>
        <v/>
      </c>
      <c r="B92">
        <f>Doors!C37</f>
        <v/>
      </c>
      <c r="C92" s="16">
        <f>SUM('Velocity Grid'!J101:J103)+SUM('Velocity Grid'!K101:K103)+SUM('Velocity Grid'!L101:L103)+SUM('Velocity Grid'!M101:M103)+SUM('Velocity Grid'!N101:N103)+SUM('Velocity Grid'!O101:O103)+SUM('Velocity Grid'!P101:P103)+SUM('Velocity Grid'!Q101:Q103)+SUM('Velocity Grid'!R101:R103)+SUM('Velocity Grid'!S101:S103)+SUM('Velocity Grid'!T101:T103)+SUM('Velocity Grid'!U101:U103)+SUM('Velocity Grid'!V101:V103)</f>
        <v/>
      </c>
    </row>
    <row r="93" hidden="1">
      <c r="A93">
        <f>Doors!A38</f>
        <v/>
      </c>
      <c r="B93">
        <f>Doors!C38</f>
        <v/>
      </c>
      <c r="C93" s="16">
        <f>SUM('Velocity Grid'!J104:J106)+SUM('Velocity Grid'!K104:K106)+SUM('Velocity Grid'!L104:L106)+SUM('Velocity Grid'!M104:M106)+SUM('Velocity Grid'!N104:N106)+SUM('Velocity Grid'!O104:O106)+SUM('Velocity Grid'!P104:P106)+SUM('Velocity Grid'!Q104:Q106)+SUM('Velocity Grid'!R104:R106)+SUM('Velocity Grid'!S104:S106)+SUM('Velocity Grid'!T104:T106)+SUM('Velocity Grid'!U104:U106)+SUM('Velocity Grid'!V104:V106)</f>
        <v/>
      </c>
    </row>
    <row r="94" hidden="1">
      <c r="A94">
        <f>Doors!A39</f>
        <v/>
      </c>
      <c r="B94">
        <f>Doors!C39</f>
        <v/>
      </c>
      <c r="C94" s="16">
        <f>SUM('Velocity Grid'!J107:J109)+SUM('Velocity Grid'!K107:K109)+SUM('Velocity Grid'!L107:L109)+SUM('Velocity Grid'!M107:M109)+SUM('Velocity Grid'!N107:N109)+SUM('Velocity Grid'!O107:O109)+SUM('Velocity Grid'!P107:P109)+SUM('Velocity Grid'!Q107:Q109)+SUM('Velocity Grid'!R107:R109)+SUM('Velocity Grid'!S107:S109)+SUM('Velocity Grid'!T107:T109)+SUM('Velocity Grid'!U107:U109)+SUM('Velocity Grid'!V107:V109)</f>
        <v/>
      </c>
    </row>
    <row r="95" hidden="1">
      <c r="A95">
        <f>Doors!A40</f>
        <v/>
      </c>
      <c r="B95">
        <f>Doors!C40</f>
        <v/>
      </c>
      <c r="C95" s="16">
        <f>SUM('Velocity Grid'!J110:J112)+SUM('Velocity Grid'!K110:K112)+SUM('Velocity Grid'!L110:L112)+SUM('Velocity Grid'!M110:M112)+SUM('Velocity Grid'!N110:N112)+SUM('Velocity Grid'!O110:O112)+SUM('Velocity Grid'!P110:P112)+SUM('Velocity Grid'!Q110:Q112)+SUM('Velocity Grid'!R110:R112)+SUM('Velocity Grid'!S110:S112)+SUM('Velocity Grid'!T110:T112)+SUM('Velocity Grid'!U110:U112)+SUM('Velocity Grid'!V110:V112)</f>
        <v/>
      </c>
    </row>
    <row r="96" hidden="1">
      <c r="A96">
        <f>Doors!A41</f>
        <v/>
      </c>
      <c r="B96">
        <f>Doors!C41</f>
        <v/>
      </c>
      <c r="C96" s="16">
        <f>SUM('Velocity Grid'!J113:J115)+SUM('Velocity Grid'!K113:K115)+SUM('Velocity Grid'!L113:L115)+SUM('Velocity Grid'!M113:M115)+SUM('Velocity Grid'!N113:N115)+SUM('Velocity Grid'!O113:O115)+SUM('Velocity Grid'!P113:P115)+SUM('Velocity Grid'!Q113:Q115)+SUM('Velocity Grid'!R113:R115)+SUM('Velocity Grid'!S113:S115)+SUM('Velocity Grid'!T113:T115)+SUM('Velocity Grid'!U113:U115)+SUM('Velocity Grid'!V113:V115)</f>
        <v/>
      </c>
    </row>
    <row r="97" hidden="1">
      <c r="A97">
        <f>Doors!A42</f>
        <v/>
      </c>
      <c r="B97">
        <f>Doors!C42</f>
        <v/>
      </c>
      <c r="C97" s="16">
        <f>SUM('Velocity Grid'!J116:J118)+SUM('Velocity Grid'!K116:K118)+SUM('Velocity Grid'!L116:L118)+SUM('Velocity Grid'!M116:M118)+SUM('Velocity Grid'!N116:N118)+SUM('Velocity Grid'!O116:O118)+SUM('Velocity Grid'!P116:P118)+SUM('Velocity Grid'!Q116:Q118)+SUM('Velocity Grid'!R116:R118)+SUM('Velocity Grid'!S116:S118)+SUM('Velocity Grid'!T116:T118)+SUM('Velocity Grid'!U116:U118)+SUM('Velocity Grid'!V116:V118)</f>
        <v/>
      </c>
    </row>
    <row r="98" hidden="1">
      <c r="A98">
        <f>Doors!A43</f>
        <v/>
      </c>
      <c r="B98">
        <f>Doors!C43</f>
        <v/>
      </c>
      <c r="C98" s="16">
        <f>SUM('Velocity Grid'!J119:J121)+SUM('Velocity Grid'!K119:K121)+SUM('Velocity Grid'!L119:L121)+SUM('Velocity Grid'!M119:M121)+SUM('Velocity Grid'!N119:N121)+SUM('Velocity Grid'!O119:O121)+SUM('Velocity Grid'!P119:P121)+SUM('Velocity Grid'!Q119:Q121)+SUM('Velocity Grid'!R119:R121)+SUM('Velocity Grid'!S119:S121)+SUM('Velocity Grid'!T119:T121)+SUM('Velocity Grid'!U119:U121)+SUM('Velocity Grid'!V119:V121)</f>
        <v/>
      </c>
    </row>
    <row r="99" hidden="1">
      <c r="A99">
        <f>Doors!A44</f>
        <v/>
      </c>
      <c r="B99">
        <f>Doors!C44</f>
        <v/>
      </c>
      <c r="C99" s="16">
        <f>SUM('Velocity Grid'!J122:J124)+SUM('Velocity Grid'!K122:K124)+SUM('Velocity Grid'!L122:L124)+SUM('Velocity Grid'!M122:M124)+SUM('Velocity Grid'!N122:N124)+SUM('Velocity Grid'!O122:O124)+SUM('Velocity Grid'!P122:P124)+SUM('Velocity Grid'!Q122:Q124)+SUM('Velocity Grid'!R122:R124)+SUM('Velocity Grid'!S122:S124)+SUM('Velocity Grid'!T122:T124)+SUM('Velocity Grid'!U122:U124)+SUM('Velocity Grid'!V122:V124)</f>
        <v/>
      </c>
    </row>
    <row r="100" hidden="1">
      <c r="A100">
        <f>Doors!A45</f>
        <v/>
      </c>
      <c r="B100">
        <f>Doors!C45</f>
        <v/>
      </c>
      <c r="C100" s="16">
        <f>SUM('Velocity Grid'!J125:J127)+SUM('Velocity Grid'!K125:K127)+SUM('Velocity Grid'!L125:L127)+SUM('Velocity Grid'!M125:M127)+SUM('Velocity Grid'!N125:N127)+SUM('Velocity Grid'!O125:O127)+SUM('Velocity Grid'!P125:P127)+SUM('Velocity Grid'!Q125:Q127)+SUM('Velocity Grid'!R125:R127)+SUM('Velocity Grid'!S125:S127)+SUM('Velocity Grid'!T125:T127)+SUM('Velocity Grid'!U125:U127)+SUM('Velocity Grid'!V125:V127)</f>
        <v/>
      </c>
    </row>
    <row r="101" hidden="1">
      <c r="A101">
        <f>Doors!A46</f>
        <v/>
      </c>
      <c r="B101">
        <f>Doors!C46</f>
        <v/>
      </c>
      <c r="C101" s="16">
        <f>SUM('Velocity Grid'!J128:J130)+SUM('Velocity Grid'!K128:K130)+SUM('Velocity Grid'!L128:L130)+SUM('Velocity Grid'!M128:M130)+SUM('Velocity Grid'!N128:N130)+SUM('Velocity Grid'!O128:O130)+SUM('Velocity Grid'!P128:P130)+SUM('Velocity Grid'!Q128:Q130)+SUM('Velocity Grid'!R128:R130)+SUM('Velocity Grid'!S128:S130)+SUM('Velocity Grid'!T128:T130)+SUM('Velocity Grid'!U128:U130)+SUM('Velocity Grid'!V128:V130)</f>
        <v/>
      </c>
    </row>
    <row r="102" hidden="1">
      <c r="A102">
        <f>Doors!A47</f>
        <v/>
      </c>
      <c r="B102">
        <f>Doors!C47</f>
        <v/>
      </c>
      <c r="C102" s="16">
        <f>SUM('Velocity Grid'!J131:J133)+SUM('Velocity Grid'!K131:K133)+SUM('Velocity Grid'!L131:L133)+SUM('Velocity Grid'!M131:M133)+SUM('Velocity Grid'!N131:N133)+SUM('Velocity Grid'!O131:O133)+SUM('Velocity Grid'!P131:P133)+SUM('Velocity Grid'!Q131:Q133)+SUM('Velocity Grid'!R131:R133)+SUM('Velocity Grid'!S131:S133)+SUM('Velocity Grid'!T131:T133)+SUM('Velocity Grid'!U131:U133)+SUM('Velocity Grid'!V131:V133)</f>
        <v/>
      </c>
    </row>
    <row r="103" hidden="1">
      <c r="A103">
        <f>Doors!A48</f>
        <v/>
      </c>
      <c r="B103">
        <f>Doors!C48</f>
        <v/>
      </c>
      <c r="C103" s="16">
        <f>SUM('Velocity Grid'!J134:J136)+SUM('Velocity Grid'!K134:K136)+SUM('Velocity Grid'!L134:L136)+SUM('Velocity Grid'!M134:M136)+SUM('Velocity Grid'!N134:N136)+SUM('Velocity Grid'!O134:O136)+SUM('Velocity Grid'!P134:P136)+SUM('Velocity Grid'!Q134:Q136)+SUM('Velocity Grid'!R134:R136)+SUM('Velocity Grid'!S134:S136)+SUM('Velocity Grid'!T134:T136)+SUM('Velocity Grid'!U134:U136)+SUM('Velocity Grid'!V134:V136)</f>
        <v/>
      </c>
    </row>
    <row r="104" hidden="1">
      <c r="A104">
        <f>Doors!A49</f>
        <v/>
      </c>
      <c r="B104">
        <f>Doors!C49</f>
        <v/>
      </c>
      <c r="C104" s="16">
        <f>SUM('Velocity Grid'!J137:J139)+SUM('Velocity Grid'!K137:K139)+SUM('Velocity Grid'!L137:L139)+SUM('Velocity Grid'!M137:M139)+SUM('Velocity Grid'!N137:N139)+SUM('Velocity Grid'!O137:O139)+SUM('Velocity Grid'!P137:P139)+SUM('Velocity Grid'!Q137:Q139)+SUM('Velocity Grid'!R137:R139)+SUM('Velocity Grid'!S137:S139)+SUM('Velocity Grid'!T137:T139)+SUM('Velocity Grid'!U137:U139)+SUM('Velocity Grid'!V137:V139)</f>
        <v/>
      </c>
    </row>
    <row r="105" hidden="1">
      <c r="A105">
        <f>Doors!A50</f>
        <v/>
      </c>
      <c r="B105">
        <f>Doors!C50</f>
        <v/>
      </c>
      <c r="C105" s="16">
        <f>SUM('Velocity Grid'!J140:J142)+SUM('Velocity Grid'!K140:K142)+SUM('Velocity Grid'!L140:L142)+SUM('Velocity Grid'!M140:M142)+SUM('Velocity Grid'!N140:N142)+SUM('Velocity Grid'!O140:O142)+SUM('Velocity Grid'!P140:P142)+SUM('Velocity Grid'!Q140:Q142)+SUM('Velocity Grid'!R140:R142)+SUM('Velocity Grid'!S140:S142)+SUM('Velocity Grid'!T140:T142)+SUM('Velocity Grid'!U140:U142)+SUM('Velocity Grid'!V140:V142)</f>
        <v/>
      </c>
    </row>
    <row r="106" hidden="1">
      <c r="A106">
        <f>Doors!A51</f>
        <v/>
      </c>
      <c r="B106">
        <f>Doors!C51</f>
        <v/>
      </c>
      <c r="C106" s="16">
        <f>SUM('Velocity Grid'!J143:J145)+SUM('Velocity Grid'!K143:K145)+SUM('Velocity Grid'!L143:L145)+SUM('Velocity Grid'!M143:M145)+SUM('Velocity Grid'!N143:N145)+SUM('Velocity Grid'!O143:O145)+SUM('Velocity Grid'!P143:P145)+SUM('Velocity Grid'!Q143:Q145)+SUM('Velocity Grid'!R143:R145)+SUM('Velocity Grid'!S143:S145)+SUM('Velocity Grid'!T143:T145)+SUM('Velocity Grid'!U143:U145)+SUM('Velocity Grid'!V143:V145)</f>
        <v/>
      </c>
    </row>
    <row r="107" hidden="1">
      <c r="A107">
        <f>Doors!A52</f>
        <v/>
      </c>
      <c r="B107">
        <f>Doors!C52</f>
        <v/>
      </c>
      <c r="C107" s="16">
        <f>SUM('Velocity Grid'!J146:J148)+SUM('Velocity Grid'!K146:K148)+SUM('Velocity Grid'!L146:L148)+SUM('Velocity Grid'!M146:M148)+SUM('Velocity Grid'!N146:N148)+SUM('Velocity Grid'!O146:O148)+SUM('Velocity Grid'!P146:P148)+SUM('Velocity Grid'!Q146:Q148)+SUM('Velocity Grid'!R146:R148)+SUM('Velocity Grid'!S146:S148)+SUM('Velocity Grid'!T146:T148)+SUM('Velocity Grid'!U146:U148)+SUM('Velocity Grid'!V146:V148)</f>
        <v/>
      </c>
    </row>
    <row r="108" hidden="1">
      <c r="A108">
        <f>Doors!A53</f>
        <v/>
      </c>
      <c r="B108">
        <f>Doors!C53</f>
        <v/>
      </c>
      <c r="C108" s="16">
        <f>SUM('Velocity Grid'!J149:J151)+SUM('Velocity Grid'!K149:K151)+SUM('Velocity Grid'!L149:L151)+SUM('Velocity Grid'!M149:M151)+SUM('Velocity Grid'!N149:N151)+SUM('Velocity Grid'!O149:O151)+SUM('Velocity Grid'!P149:P151)+SUM('Velocity Grid'!Q149:Q151)+SUM('Velocity Grid'!R149:R151)+SUM('Velocity Grid'!S149:S151)+SUM('Velocity Grid'!T149:T151)+SUM('Velocity Grid'!U149:U151)+SUM('Velocity Grid'!V149:V151)</f>
        <v/>
      </c>
    </row>
    <row r="109" hidden="1">
      <c r="A109">
        <f>Doors!A54</f>
        <v/>
      </c>
      <c r="B109">
        <f>Doors!C54</f>
        <v/>
      </c>
      <c r="C109" s="16">
        <f>SUM('Velocity Grid'!J152:J154)+SUM('Velocity Grid'!K152:K154)+SUM('Velocity Grid'!L152:L154)+SUM('Velocity Grid'!M152:M154)+SUM('Velocity Grid'!N152:N154)+SUM('Velocity Grid'!O152:O154)+SUM('Velocity Grid'!P152:P154)+SUM('Velocity Grid'!Q152:Q154)+SUM('Velocity Grid'!R152:R154)+SUM('Velocity Grid'!S152:S154)+SUM('Velocity Grid'!T152:T154)+SUM('Velocity Grid'!U152:U154)+SUM('Velocity Grid'!V152:V154)</f>
        <v/>
      </c>
    </row>
    <row r="110" hidden="1">
      <c r="A110">
        <f>Doors!A55</f>
        <v/>
      </c>
      <c r="B110">
        <f>Doors!C55</f>
        <v/>
      </c>
      <c r="C110" s="16">
        <f>SUM('Velocity Grid'!J155:J157)+SUM('Velocity Grid'!K155:K157)+SUM('Velocity Grid'!L155:L157)+SUM('Velocity Grid'!M155:M157)+SUM('Velocity Grid'!N155:N157)+SUM('Velocity Grid'!O155:O157)+SUM('Velocity Grid'!P155:P157)+SUM('Velocity Grid'!Q155:Q157)+SUM('Velocity Grid'!R155:R157)+SUM('Velocity Grid'!S155:S157)+SUM('Velocity Grid'!T155:T157)+SUM('Velocity Grid'!U155:U157)+SUM('Velocity Grid'!V155:V157)</f>
        <v/>
      </c>
    </row>
    <row r="111" hidden="1">
      <c r="A111">
        <f>Doors!A56</f>
        <v/>
      </c>
      <c r="B111">
        <f>Doors!C56</f>
        <v/>
      </c>
      <c r="C111" s="16">
        <f>SUM('Velocity Grid'!J158:J160)+SUM('Velocity Grid'!K158:K160)+SUM('Velocity Grid'!L158:L160)+SUM('Velocity Grid'!M158:M160)+SUM('Velocity Grid'!N158:N160)+SUM('Velocity Grid'!O158:O160)+SUM('Velocity Grid'!P158:P160)+SUM('Velocity Grid'!Q158:Q160)+SUM('Velocity Grid'!R158:R160)+SUM('Velocity Grid'!S158:S160)+SUM('Velocity Grid'!T158:T160)+SUM('Velocity Grid'!U158:U160)+SUM('Velocity Grid'!V158:V160)</f>
        <v/>
      </c>
    </row>
    <row r="112" hidden="1">
      <c r="A112">
        <f>Doors!A57</f>
        <v/>
      </c>
      <c r="B112">
        <f>Doors!C57</f>
        <v/>
      </c>
      <c r="C112" s="16">
        <f>SUM('Velocity Grid'!J161:J163)+SUM('Velocity Grid'!K161:K163)+SUM('Velocity Grid'!L161:L163)+SUM('Velocity Grid'!M161:M163)+SUM('Velocity Grid'!N161:N163)+SUM('Velocity Grid'!O161:O163)+SUM('Velocity Grid'!P161:P163)+SUM('Velocity Grid'!Q161:Q163)+SUM('Velocity Grid'!R161:R163)+SUM('Velocity Grid'!S161:S163)+SUM('Velocity Grid'!T161:T163)+SUM('Velocity Grid'!U161:U163)+SUM('Velocity Grid'!V161:V163)</f>
        <v/>
      </c>
    </row>
    <row r="113" hidden="1">
      <c r="A113">
        <f>Doors!A58</f>
        <v/>
      </c>
      <c r="B113">
        <f>Doors!C58</f>
        <v/>
      </c>
      <c r="C113" s="16">
        <f>SUM('Velocity Grid'!J164:J166)+SUM('Velocity Grid'!K164:K166)+SUM('Velocity Grid'!L164:L166)+SUM('Velocity Grid'!M164:M166)+SUM('Velocity Grid'!N164:N166)+SUM('Velocity Grid'!O164:O166)+SUM('Velocity Grid'!P164:P166)+SUM('Velocity Grid'!Q164:Q166)+SUM('Velocity Grid'!R164:R166)+SUM('Velocity Grid'!S164:S166)+SUM('Velocity Grid'!T164:T166)+SUM('Velocity Grid'!U164:U166)+SUM('Velocity Grid'!V164:V166)</f>
        <v/>
      </c>
    </row>
    <row r="114" hidden="1">
      <c r="A114">
        <f>Doors!A59</f>
        <v/>
      </c>
      <c r="B114">
        <f>Doors!C59</f>
        <v/>
      </c>
      <c r="C114" s="16">
        <f>SUM('Velocity Grid'!J167:J169)+SUM('Velocity Grid'!K167:K169)+SUM('Velocity Grid'!L167:L169)+SUM('Velocity Grid'!M167:M169)+SUM('Velocity Grid'!N167:N169)+SUM('Velocity Grid'!O167:O169)+SUM('Velocity Grid'!P167:P169)+SUM('Velocity Grid'!Q167:Q169)+SUM('Velocity Grid'!R167:R169)+SUM('Velocity Grid'!S167:S169)+SUM('Velocity Grid'!T167:T169)+SUM('Velocity Grid'!U167:U169)+SUM('Velocity Grid'!V167:V169)</f>
        <v/>
      </c>
    </row>
    <row r="115" hidden="1">
      <c r="A115">
        <f>Doors!A60</f>
        <v/>
      </c>
      <c r="B115">
        <f>Doors!C60</f>
        <v/>
      </c>
      <c r="C115" s="16">
        <f>SUM('Velocity Grid'!J170:J172)+SUM('Velocity Grid'!K170:K172)+SUM('Velocity Grid'!L170:L172)+SUM('Velocity Grid'!M170:M172)+SUM('Velocity Grid'!N170:N172)+SUM('Velocity Grid'!O170:O172)+SUM('Velocity Grid'!P170:P172)+SUM('Velocity Grid'!Q170:Q172)+SUM('Velocity Grid'!R170:R172)+SUM('Velocity Grid'!S170:S172)+SUM('Velocity Grid'!T170:T172)+SUM('Velocity Grid'!U170:U172)+SUM('Velocity Grid'!V170:V172)</f>
        <v/>
      </c>
    </row>
    <row r="116" hidden="1">
      <c r="A116">
        <f>Doors!A61</f>
        <v/>
      </c>
      <c r="B116">
        <f>Doors!C61</f>
        <v/>
      </c>
      <c r="C116" s="16">
        <f>SUM('Velocity Grid'!J173:J175)+SUM('Velocity Grid'!K173:K175)+SUM('Velocity Grid'!L173:L175)+SUM('Velocity Grid'!M173:M175)+SUM('Velocity Grid'!N173:N175)+SUM('Velocity Grid'!O173:O175)+SUM('Velocity Grid'!P173:P175)+SUM('Velocity Grid'!Q173:Q175)+SUM('Velocity Grid'!R173:R175)+SUM('Velocity Grid'!S173:S175)+SUM('Velocity Grid'!T173:T175)+SUM('Velocity Grid'!U173:U175)+SUM('Velocity Grid'!V173:V175)</f>
        <v/>
      </c>
    </row>
    <row r="117" hidden="1">
      <c r="A117">
        <f>Doors!A62</f>
        <v/>
      </c>
      <c r="B117">
        <f>Doors!C62</f>
        <v/>
      </c>
      <c r="C117" s="16">
        <f>SUM('Velocity Grid'!J176:J178)+SUM('Velocity Grid'!K176:K178)+SUM('Velocity Grid'!L176:L178)+SUM('Velocity Grid'!M176:M178)+SUM('Velocity Grid'!N176:N178)+SUM('Velocity Grid'!O176:O178)+SUM('Velocity Grid'!P176:P178)+SUM('Velocity Grid'!Q176:Q178)+SUM('Velocity Grid'!R176:R178)+SUM('Velocity Grid'!S176:S178)+SUM('Velocity Grid'!T176:T178)+SUM('Velocity Grid'!U176:U178)+SUM('Velocity Grid'!V176:V178)</f>
        <v/>
      </c>
    </row>
    <row r="118" hidden="1">
      <c r="A118">
        <f>Doors!A63</f>
        <v/>
      </c>
      <c r="B118">
        <f>Doors!C63</f>
        <v/>
      </c>
      <c r="C118" s="16">
        <f>SUM('Velocity Grid'!J179:J181)+SUM('Velocity Grid'!K179:K181)+SUM('Velocity Grid'!L179:L181)+SUM('Velocity Grid'!M179:M181)+SUM('Velocity Grid'!N179:N181)+SUM('Velocity Grid'!O179:O181)+SUM('Velocity Grid'!P179:P181)+SUM('Velocity Grid'!Q179:Q181)+SUM('Velocity Grid'!R179:R181)+SUM('Velocity Grid'!S179:S181)+SUM('Velocity Grid'!T179:T181)+SUM('Velocity Grid'!U179:U181)+SUM('Velocity Grid'!V179:V181)</f>
        <v/>
      </c>
    </row>
    <row r="119" hidden="1">
      <c r="A119">
        <f>Doors!A64</f>
        <v/>
      </c>
      <c r="B119">
        <f>Doors!C64</f>
        <v/>
      </c>
      <c r="C119" s="16">
        <f>SUM('Velocity Grid'!J182:J184)+SUM('Velocity Grid'!K182:K184)+SUM('Velocity Grid'!L182:L184)+SUM('Velocity Grid'!M182:M184)+SUM('Velocity Grid'!N182:N184)+SUM('Velocity Grid'!O182:O184)+SUM('Velocity Grid'!P182:P184)+SUM('Velocity Grid'!Q182:Q184)+SUM('Velocity Grid'!R182:R184)+SUM('Velocity Grid'!S182:S184)+SUM('Velocity Grid'!T182:T184)+SUM('Velocity Grid'!U182:U184)+SUM('Velocity Grid'!V182:V184)</f>
        <v/>
      </c>
    </row>
    <row r="120" hidden="1">
      <c r="A120">
        <f>Doors!A65</f>
        <v/>
      </c>
      <c r="B120">
        <f>Doors!C65</f>
        <v/>
      </c>
      <c r="C120" s="16">
        <f>SUM('Velocity Grid'!J185:J187)+SUM('Velocity Grid'!K185:K187)+SUM('Velocity Grid'!L185:L187)+SUM('Velocity Grid'!M185:M187)+SUM('Velocity Grid'!N185:N187)+SUM('Velocity Grid'!O185:O187)+SUM('Velocity Grid'!P185:P187)+SUM('Velocity Grid'!Q185:Q187)+SUM('Velocity Grid'!R185:R187)+SUM('Velocity Grid'!S185:S187)+SUM('Velocity Grid'!T185:T187)+SUM('Velocity Grid'!U185:U187)+SUM('Velocity Grid'!V185:V187)</f>
        <v/>
      </c>
    </row>
    <row r="121" hidden="1">
      <c r="A121">
        <f>Doors!A66</f>
        <v/>
      </c>
      <c r="B121">
        <f>Doors!C66</f>
        <v/>
      </c>
      <c r="C121" s="16">
        <f>SUM('Velocity Grid'!J188:J190)+SUM('Velocity Grid'!K188:K190)+SUM('Velocity Grid'!L188:L190)+SUM('Velocity Grid'!M188:M190)+SUM('Velocity Grid'!N188:N190)+SUM('Velocity Grid'!O188:O190)+SUM('Velocity Grid'!P188:P190)+SUM('Velocity Grid'!Q188:Q190)+SUM('Velocity Grid'!R188:R190)+SUM('Velocity Grid'!S188:S190)+SUM('Velocity Grid'!T188:T190)+SUM('Velocity Grid'!U188:U190)+SUM('Velocity Grid'!V188:V190)</f>
        <v/>
      </c>
    </row>
    <row r="122" hidden="1">
      <c r="A122">
        <f>Doors!A67</f>
        <v/>
      </c>
      <c r="B122">
        <f>Doors!C67</f>
        <v/>
      </c>
      <c r="C122" s="16">
        <f>SUM('Velocity Grid'!J191:J193)+SUM('Velocity Grid'!K191:K193)+SUM('Velocity Grid'!L191:L193)+SUM('Velocity Grid'!M191:M193)+SUM('Velocity Grid'!N191:N193)+SUM('Velocity Grid'!O191:O193)+SUM('Velocity Grid'!P191:P193)+SUM('Velocity Grid'!Q191:Q193)+SUM('Velocity Grid'!R191:R193)+SUM('Velocity Grid'!S191:S193)+SUM('Velocity Grid'!T191:T193)+SUM('Velocity Grid'!U191:U193)+SUM('Velocity Grid'!V191:V193)</f>
        <v/>
      </c>
    </row>
    <row r="123" hidden="1">
      <c r="A123">
        <f>Doors!A68</f>
        <v/>
      </c>
      <c r="B123">
        <f>Doors!C68</f>
        <v/>
      </c>
      <c r="C123" s="16">
        <f>SUM('Velocity Grid'!J194:J196)+SUM('Velocity Grid'!K194:K196)+SUM('Velocity Grid'!L194:L196)+SUM('Velocity Grid'!M194:M196)+SUM('Velocity Grid'!N194:N196)+SUM('Velocity Grid'!O194:O196)+SUM('Velocity Grid'!P194:P196)+SUM('Velocity Grid'!Q194:Q196)+SUM('Velocity Grid'!R194:R196)+SUM('Velocity Grid'!S194:S196)+SUM('Velocity Grid'!T194:T196)+SUM('Velocity Grid'!U194:U196)+SUM('Velocity Grid'!V194:V196)</f>
        <v/>
      </c>
    </row>
    <row r="124" hidden="1">
      <c r="A124">
        <f>Doors!A69</f>
        <v/>
      </c>
      <c r="B124">
        <f>Doors!C69</f>
        <v/>
      </c>
      <c r="C124" s="16">
        <f>SUM('Velocity Grid'!J197:J199)+SUM('Velocity Grid'!K197:K199)+SUM('Velocity Grid'!L197:L199)+SUM('Velocity Grid'!M197:M199)+SUM('Velocity Grid'!N197:N199)+SUM('Velocity Grid'!O197:O199)+SUM('Velocity Grid'!P197:P199)+SUM('Velocity Grid'!Q197:Q199)+SUM('Velocity Grid'!R197:R199)+SUM('Velocity Grid'!S197:S199)+SUM('Velocity Grid'!T197:T199)+SUM('Velocity Grid'!U197:U199)+SUM('Velocity Grid'!V197:V199)</f>
        <v/>
      </c>
    </row>
    <row r="125" hidden="1">
      <c r="A125">
        <f>Doors!A70</f>
        <v/>
      </c>
      <c r="B125">
        <f>Doors!C70</f>
        <v/>
      </c>
      <c r="C125" s="16">
        <f>SUM('Velocity Grid'!J200:J202)+SUM('Velocity Grid'!K200:K202)+SUM('Velocity Grid'!L200:L202)+SUM('Velocity Grid'!M200:M202)+SUM('Velocity Grid'!N200:N202)+SUM('Velocity Grid'!O200:O202)+SUM('Velocity Grid'!P200:P202)+SUM('Velocity Grid'!Q200:Q202)+SUM('Velocity Grid'!R200:R202)+SUM('Velocity Grid'!S200:S202)+SUM('Velocity Grid'!T200:T202)+SUM('Velocity Grid'!U200:U202)+SUM('Velocity Grid'!V200:V202)</f>
        <v/>
      </c>
    </row>
    <row r="126" hidden="1">
      <c r="A126">
        <f>Doors!A71</f>
        <v/>
      </c>
      <c r="B126">
        <f>Doors!C71</f>
        <v/>
      </c>
      <c r="C126" s="16">
        <f>SUM('Velocity Grid'!J203:J205)+SUM('Velocity Grid'!K203:K205)+SUM('Velocity Grid'!L203:L205)+SUM('Velocity Grid'!M203:M205)+SUM('Velocity Grid'!N203:N205)+SUM('Velocity Grid'!O203:O205)+SUM('Velocity Grid'!P203:P205)+SUM('Velocity Grid'!Q203:Q205)+SUM('Velocity Grid'!R203:R205)+SUM('Velocity Grid'!S203:S205)+SUM('Velocity Grid'!T203:T205)+SUM('Velocity Grid'!U203:U205)+SUM('Velocity Grid'!V203:V205)</f>
        <v/>
      </c>
    </row>
    <row r="127" hidden="1">
      <c r="A127">
        <f>Doors!A72</f>
        <v/>
      </c>
      <c r="B127">
        <f>Doors!C72</f>
        <v/>
      </c>
      <c r="C127" s="16">
        <f>SUM('Velocity Grid'!J206:J208)+SUM('Velocity Grid'!K206:K208)+SUM('Velocity Grid'!L206:L208)+SUM('Velocity Grid'!M206:M208)+SUM('Velocity Grid'!N206:N208)+SUM('Velocity Grid'!O206:O208)+SUM('Velocity Grid'!P206:P208)+SUM('Velocity Grid'!Q206:Q208)+SUM('Velocity Grid'!R206:R208)+SUM('Velocity Grid'!S206:S208)+SUM('Velocity Grid'!T206:T208)+SUM('Velocity Grid'!U206:U208)+SUM('Velocity Grid'!V206:V208)</f>
        <v/>
      </c>
    </row>
    <row r="128" hidden="1">
      <c r="A128">
        <f>Doors!A73</f>
        <v/>
      </c>
      <c r="B128">
        <f>Doors!C73</f>
        <v/>
      </c>
      <c r="C128" s="16">
        <f>SUM('Velocity Grid'!J209:J211)+SUM('Velocity Grid'!K209:K211)+SUM('Velocity Grid'!L209:L211)+SUM('Velocity Grid'!M209:M211)+SUM('Velocity Grid'!N209:N211)+SUM('Velocity Grid'!O209:O211)+SUM('Velocity Grid'!P209:P211)+SUM('Velocity Grid'!Q209:Q211)+SUM('Velocity Grid'!R209:R211)+SUM('Velocity Grid'!S209:S211)+SUM('Velocity Grid'!T209:T211)+SUM('Velocity Grid'!U209:U211)+SUM('Velocity Grid'!V209:V211)</f>
        <v/>
      </c>
    </row>
    <row r="129" hidden="1">
      <c r="A129">
        <f>Doors!A74</f>
        <v/>
      </c>
      <c r="B129">
        <f>Doors!C74</f>
        <v/>
      </c>
      <c r="C129" s="16">
        <f>SUM('Velocity Grid'!J212:J214)+SUM('Velocity Grid'!K212:K214)+SUM('Velocity Grid'!L212:L214)+SUM('Velocity Grid'!M212:M214)+SUM('Velocity Grid'!N212:N214)+SUM('Velocity Grid'!O212:O214)+SUM('Velocity Grid'!P212:P214)+SUM('Velocity Grid'!Q212:Q214)+SUM('Velocity Grid'!R212:R214)+SUM('Velocity Grid'!S212:S214)+SUM('Velocity Grid'!T212:T214)+SUM('Velocity Grid'!U212:U214)+SUM('Velocity Grid'!V212:V214)</f>
        <v/>
      </c>
    </row>
    <row r="130" hidden="1">
      <c r="A130">
        <f>Doors!A75</f>
        <v/>
      </c>
      <c r="B130">
        <f>Doors!C75</f>
        <v/>
      </c>
      <c r="C130" s="16">
        <f>SUM('Velocity Grid'!J215:J217)+SUM('Velocity Grid'!K215:K217)+SUM('Velocity Grid'!L215:L217)+SUM('Velocity Grid'!M215:M217)+SUM('Velocity Grid'!N215:N217)+SUM('Velocity Grid'!O215:O217)+SUM('Velocity Grid'!P215:P217)+SUM('Velocity Grid'!Q215:Q217)+SUM('Velocity Grid'!R215:R217)+SUM('Velocity Grid'!S215:S217)+SUM('Velocity Grid'!T215:T217)+SUM('Velocity Grid'!U215:U217)+SUM('Velocity Grid'!V215:V217)</f>
        <v/>
      </c>
    </row>
    <row r="131" hidden="1">
      <c r="A131">
        <f>Doors!A76</f>
        <v/>
      </c>
      <c r="B131">
        <f>Doors!C76</f>
        <v/>
      </c>
      <c r="C131" s="16">
        <f>SUM('Velocity Grid'!J218:J220)+SUM('Velocity Grid'!K218:K220)+SUM('Velocity Grid'!L218:L220)+SUM('Velocity Grid'!M218:M220)+SUM('Velocity Grid'!N218:N220)+SUM('Velocity Grid'!O218:O220)+SUM('Velocity Grid'!P218:P220)+SUM('Velocity Grid'!Q218:Q220)+SUM('Velocity Grid'!R218:R220)+SUM('Velocity Grid'!S218:S220)+SUM('Velocity Grid'!T218:T220)+SUM('Velocity Grid'!U218:U220)+SUM('Velocity Grid'!V218:V220)</f>
        <v/>
      </c>
    </row>
    <row r="132" hidden="1">
      <c r="A132">
        <f>Doors!A77</f>
        <v/>
      </c>
      <c r="B132">
        <f>Doors!C77</f>
        <v/>
      </c>
      <c r="C132" s="16">
        <f>SUM('Velocity Grid'!J221:J223)+SUM('Velocity Grid'!K221:K223)+SUM('Velocity Grid'!L221:L223)+SUM('Velocity Grid'!M221:M223)+SUM('Velocity Grid'!N221:N223)+SUM('Velocity Grid'!O221:O223)+SUM('Velocity Grid'!P221:P223)+SUM('Velocity Grid'!Q221:Q223)+SUM('Velocity Grid'!R221:R223)+SUM('Velocity Grid'!S221:S223)+SUM('Velocity Grid'!T221:T223)+SUM('Velocity Grid'!U221:U223)+SUM('Velocity Grid'!V221:V223)</f>
        <v/>
      </c>
    </row>
    <row r="133" hidden="1">
      <c r="A133">
        <f>Doors!A78</f>
        <v/>
      </c>
      <c r="B133">
        <f>Doors!C78</f>
        <v/>
      </c>
      <c r="C133" s="16">
        <f>SUM('Velocity Grid'!J224:J226)+SUM('Velocity Grid'!K224:K226)+SUM('Velocity Grid'!L224:L226)+SUM('Velocity Grid'!M224:M226)+SUM('Velocity Grid'!N224:N226)+SUM('Velocity Grid'!O224:O226)+SUM('Velocity Grid'!P224:P226)+SUM('Velocity Grid'!Q224:Q226)+SUM('Velocity Grid'!R224:R226)+SUM('Velocity Grid'!S224:S226)+SUM('Velocity Grid'!T224:T226)+SUM('Velocity Grid'!U224:U226)+SUM('Velocity Grid'!V224:V226)</f>
        <v/>
      </c>
    </row>
    <row r="134" hidden="1">
      <c r="A134">
        <f>Doors!A79</f>
        <v/>
      </c>
      <c r="B134">
        <f>Doors!C79</f>
        <v/>
      </c>
      <c r="C134" s="16">
        <f>SUM('Velocity Grid'!J227:J229)+SUM('Velocity Grid'!K227:K229)+SUM('Velocity Grid'!L227:L229)+SUM('Velocity Grid'!M227:M229)+SUM('Velocity Grid'!N227:N229)+SUM('Velocity Grid'!O227:O229)+SUM('Velocity Grid'!P227:P229)+SUM('Velocity Grid'!Q227:Q229)+SUM('Velocity Grid'!R227:R229)+SUM('Velocity Grid'!S227:S229)+SUM('Velocity Grid'!T227:T229)+SUM('Velocity Grid'!U227:U229)+SUM('Velocity Grid'!V227:V229)</f>
        <v/>
      </c>
    </row>
    <row r="135" hidden="1">
      <c r="A135">
        <f>Doors!A80</f>
        <v/>
      </c>
      <c r="B135">
        <f>Doors!C80</f>
        <v/>
      </c>
      <c r="C135" s="16">
        <f>SUM('Velocity Grid'!J230:J232)+SUM('Velocity Grid'!K230:K232)+SUM('Velocity Grid'!L230:L232)+SUM('Velocity Grid'!M230:M232)+SUM('Velocity Grid'!N230:N232)+SUM('Velocity Grid'!O230:O232)+SUM('Velocity Grid'!P230:P232)+SUM('Velocity Grid'!Q230:Q232)+SUM('Velocity Grid'!R230:R232)+SUM('Velocity Grid'!S230:S232)+SUM('Velocity Grid'!T230:T232)+SUM('Velocity Grid'!U230:U232)+SUM('Velocity Grid'!V230:V232)</f>
        <v/>
      </c>
    </row>
    <row r="136" hidden="1">
      <c r="A136">
        <f>Doors!A81</f>
        <v/>
      </c>
      <c r="B136">
        <f>Doors!C81</f>
        <v/>
      </c>
      <c r="C136" s="16">
        <f>SUM('Velocity Grid'!J233:J235)+SUM('Velocity Grid'!K233:K235)+SUM('Velocity Grid'!L233:L235)+SUM('Velocity Grid'!M233:M235)+SUM('Velocity Grid'!N233:N235)+SUM('Velocity Grid'!O233:O235)+SUM('Velocity Grid'!P233:P235)+SUM('Velocity Grid'!Q233:Q235)+SUM('Velocity Grid'!R233:R235)+SUM('Velocity Grid'!S233:S235)+SUM('Velocity Grid'!T233:T235)+SUM('Velocity Grid'!U233:U235)+SUM('Velocity Grid'!V233:V235)</f>
        <v/>
      </c>
    </row>
    <row r="137" hidden="1">
      <c r="A137">
        <f>Doors!A82</f>
        <v/>
      </c>
      <c r="B137">
        <f>Doors!C82</f>
        <v/>
      </c>
      <c r="C137" s="16">
        <f>SUM('Velocity Grid'!J236:J238)+SUM('Velocity Grid'!K236:K238)+SUM('Velocity Grid'!L236:L238)+SUM('Velocity Grid'!M236:M238)+SUM('Velocity Grid'!N236:N238)+SUM('Velocity Grid'!O236:O238)+SUM('Velocity Grid'!P236:P238)+SUM('Velocity Grid'!Q236:Q238)+SUM('Velocity Grid'!R236:R238)+SUM('Velocity Grid'!S236:S238)+SUM('Velocity Grid'!T236:T238)+SUM('Velocity Grid'!U236:U238)+SUM('Velocity Grid'!V236:V238)</f>
        <v/>
      </c>
    </row>
    <row r="138" hidden="1">
      <c r="A138">
        <f>Doors!A83</f>
        <v/>
      </c>
      <c r="B138">
        <f>Doors!C83</f>
        <v/>
      </c>
      <c r="C138" s="16">
        <f>SUM('Velocity Grid'!J239:J241)+SUM('Velocity Grid'!K239:K241)+SUM('Velocity Grid'!L239:L241)+SUM('Velocity Grid'!M239:M241)+SUM('Velocity Grid'!N239:N241)+SUM('Velocity Grid'!O239:O241)+SUM('Velocity Grid'!P239:P241)+SUM('Velocity Grid'!Q239:Q241)+SUM('Velocity Grid'!R239:R241)+SUM('Velocity Grid'!S239:S241)+SUM('Velocity Grid'!T239:T241)+SUM('Velocity Grid'!U239:U241)+SUM('Velocity Grid'!V239:V241)</f>
        <v/>
      </c>
    </row>
    <row r="139" hidden="1">
      <c r="A139">
        <f>Doors!A84</f>
        <v/>
      </c>
      <c r="B139">
        <f>Doors!C84</f>
        <v/>
      </c>
      <c r="C139" s="16">
        <f>SUM('Velocity Grid'!J242:J244)+SUM('Velocity Grid'!K242:K244)+SUM('Velocity Grid'!L242:L244)+SUM('Velocity Grid'!M242:M244)+SUM('Velocity Grid'!N242:N244)+SUM('Velocity Grid'!O242:O244)+SUM('Velocity Grid'!P242:P244)+SUM('Velocity Grid'!Q242:Q244)+SUM('Velocity Grid'!R242:R244)+SUM('Velocity Grid'!S242:S244)+SUM('Velocity Grid'!T242:T244)+SUM('Velocity Grid'!U242:U244)+SUM('Velocity Grid'!V242:V244)</f>
        <v/>
      </c>
    </row>
    <row r="140" hidden="1">
      <c r="A140">
        <f>Doors!A85</f>
        <v/>
      </c>
      <c r="B140">
        <f>Doors!C85</f>
        <v/>
      </c>
      <c r="C140" s="16">
        <f>SUM('Velocity Grid'!J245:J247)+SUM('Velocity Grid'!K245:K247)+SUM('Velocity Grid'!L245:L247)+SUM('Velocity Grid'!M245:M247)+SUM('Velocity Grid'!N245:N247)+SUM('Velocity Grid'!O245:O247)+SUM('Velocity Grid'!P245:P247)+SUM('Velocity Grid'!Q245:Q247)+SUM('Velocity Grid'!R245:R247)+SUM('Velocity Grid'!S245:S247)+SUM('Velocity Grid'!T245:T247)+SUM('Velocity Grid'!U245:U247)+SUM('Velocity Grid'!V245:V247)</f>
        <v/>
      </c>
    </row>
    <row r="141" hidden="1">
      <c r="A141">
        <f>Doors!A86</f>
        <v/>
      </c>
      <c r="B141">
        <f>Doors!C86</f>
        <v/>
      </c>
      <c r="C141" s="16">
        <f>SUM('Velocity Grid'!J248:J250)+SUM('Velocity Grid'!K248:K250)+SUM('Velocity Grid'!L248:L250)+SUM('Velocity Grid'!M248:M250)+SUM('Velocity Grid'!N248:N250)+SUM('Velocity Grid'!O248:O250)+SUM('Velocity Grid'!P248:P250)+SUM('Velocity Grid'!Q248:Q250)+SUM('Velocity Grid'!R248:R250)+SUM('Velocity Grid'!S248:S250)+SUM('Velocity Grid'!T248:T250)+SUM('Velocity Grid'!U248:U250)+SUM('Velocity Grid'!V248:V250)</f>
        <v/>
      </c>
    </row>
    <row r="142" hidden="1">
      <c r="A142">
        <f>Doors!A87</f>
        <v/>
      </c>
      <c r="B142">
        <f>Doors!C87</f>
        <v/>
      </c>
      <c r="C142" s="16">
        <f>SUM('Velocity Grid'!J251:J253)+SUM('Velocity Grid'!K251:K253)+SUM('Velocity Grid'!L251:L253)+SUM('Velocity Grid'!M251:M253)+SUM('Velocity Grid'!N251:N253)+SUM('Velocity Grid'!O251:O253)+SUM('Velocity Grid'!P251:P253)+SUM('Velocity Grid'!Q251:Q253)+SUM('Velocity Grid'!R251:R253)+SUM('Velocity Grid'!S251:S253)+SUM('Velocity Grid'!T251:T253)+SUM('Velocity Grid'!U251:U253)+SUM('Velocity Grid'!V251:V253)</f>
        <v/>
      </c>
    </row>
    <row r="143" hidden="1">
      <c r="A143">
        <f>Doors!A88</f>
        <v/>
      </c>
      <c r="B143">
        <f>Doors!C88</f>
        <v/>
      </c>
      <c r="C143" s="16">
        <f>SUM('Velocity Grid'!J254:J256)+SUM('Velocity Grid'!K254:K256)+SUM('Velocity Grid'!L254:L256)+SUM('Velocity Grid'!M254:M256)+SUM('Velocity Grid'!N254:N256)+SUM('Velocity Grid'!O254:O256)+SUM('Velocity Grid'!P254:P256)+SUM('Velocity Grid'!Q254:Q256)+SUM('Velocity Grid'!R254:R256)+SUM('Velocity Grid'!S254:S256)+SUM('Velocity Grid'!T254:T256)+SUM('Velocity Grid'!U254:U256)+SUM('Velocity Grid'!V254:V256)</f>
        <v/>
      </c>
    </row>
    <row r="144" hidden="1">
      <c r="A144">
        <f>Doors!A89</f>
        <v/>
      </c>
      <c r="B144">
        <f>Doors!C89</f>
        <v/>
      </c>
      <c r="C144" s="16">
        <f>SUM('Velocity Grid'!J257:J259)+SUM('Velocity Grid'!K257:K259)+SUM('Velocity Grid'!L257:L259)+SUM('Velocity Grid'!M257:M259)+SUM('Velocity Grid'!N257:N259)+SUM('Velocity Grid'!O257:O259)+SUM('Velocity Grid'!P257:P259)+SUM('Velocity Grid'!Q257:Q259)+SUM('Velocity Grid'!R257:R259)+SUM('Velocity Grid'!S257:S259)+SUM('Velocity Grid'!T257:T259)+SUM('Velocity Grid'!U257:U259)+SUM('Velocity Grid'!V257:V259)</f>
        <v/>
      </c>
    </row>
    <row r="145" hidden="1">
      <c r="A145">
        <f>Doors!A90</f>
        <v/>
      </c>
      <c r="B145">
        <f>Doors!C90</f>
        <v/>
      </c>
      <c r="C145" s="16">
        <f>SUM('Velocity Grid'!J260:J262)+SUM('Velocity Grid'!K260:K262)+SUM('Velocity Grid'!L260:L262)+SUM('Velocity Grid'!M260:M262)+SUM('Velocity Grid'!N260:N262)+SUM('Velocity Grid'!O260:O262)+SUM('Velocity Grid'!P260:P262)+SUM('Velocity Grid'!Q260:Q262)+SUM('Velocity Grid'!R260:R262)+SUM('Velocity Grid'!S260:S262)+SUM('Velocity Grid'!T260:T262)+SUM('Velocity Grid'!U260:U262)+SUM('Velocity Grid'!V260:V262)</f>
        <v/>
      </c>
    </row>
    <row r="146" hidden="1">
      <c r="A146">
        <f>Doors!A91</f>
        <v/>
      </c>
      <c r="B146">
        <f>Doors!C91</f>
        <v/>
      </c>
      <c r="C146" s="16">
        <f>SUM('Velocity Grid'!J263:J265)+SUM('Velocity Grid'!K263:K265)+SUM('Velocity Grid'!L263:L265)+SUM('Velocity Grid'!M263:M265)+SUM('Velocity Grid'!N263:N265)+SUM('Velocity Grid'!O263:O265)+SUM('Velocity Grid'!P263:P265)+SUM('Velocity Grid'!Q263:Q265)+SUM('Velocity Grid'!R263:R265)+SUM('Velocity Grid'!S263:S265)+SUM('Velocity Grid'!T263:T265)+SUM('Velocity Grid'!U263:U265)+SUM('Velocity Grid'!V263:V265)</f>
        <v/>
      </c>
    </row>
    <row r="147" hidden="1">
      <c r="A147">
        <f>Doors!A92</f>
        <v/>
      </c>
      <c r="B147">
        <f>Doors!C92</f>
        <v/>
      </c>
      <c r="C147" s="16">
        <f>SUM('Velocity Grid'!J266:J268)+SUM('Velocity Grid'!K266:K268)+SUM('Velocity Grid'!L266:L268)+SUM('Velocity Grid'!M266:M268)+SUM('Velocity Grid'!N266:N268)+SUM('Velocity Grid'!O266:O268)+SUM('Velocity Grid'!P266:P268)+SUM('Velocity Grid'!Q266:Q268)+SUM('Velocity Grid'!R266:R268)+SUM('Velocity Grid'!S266:S268)+SUM('Velocity Grid'!T266:T268)+SUM('Velocity Grid'!U266:U268)+SUM('Velocity Grid'!V266:V268)</f>
        <v/>
      </c>
    </row>
    <row r="148" hidden="1">
      <c r="A148">
        <f>Doors!A93</f>
        <v/>
      </c>
      <c r="B148">
        <f>Doors!C93</f>
        <v/>
      </c>
      <c r="C148" s="16">
        <f>SUM('Velocity Grid'!J269:J271)+SUM('Velocity Grid'!K269:K271)+SUM('Velocity Grid'!L269:L271)+SUM('Velocity Grid'!M269:M271)+SUM('Velocity Grid'!N269:N271)+SUM('Velocity Grid'!O269:O271)+SUM('Velocity Grid'!P269:P271)+SUM('Velocity Grid'!Q269:Q271)+SUM('Velocity Grid'!R269:R271)+SUM('Velocity Grid'!S269:S271)+SUM('Velocity Grid'!T269:T271)+SUM('Velocity Grid'!U269:U271)+SUM('Velocity Grid'!V269:V271)</f>
        <v/>
      </c>
    </row>
    <row r="149" hidden="1">
      <c r="A149">
        <f>Doors!A94</f>
        <v/>
      </c>
      <c r="B149">
        <f>Doors!C94</f>
        <v/>
      </c>
      <c r="C149" s="16">
        <f>SUM('Velocity Grid'!J272:J274)+SUM('Velocity Grid'!K272:K274)+SUM('Velocity Grid'!L272:L274)+SUM('Velocity Grid'!M272:M274)+SUM('Velocity Grid'!N272:N274)+SUM('Velocity Grid'!O272:O274)+SUM('Velocity Grid'!P272:P274)+SUM('Velocity Grid'!Q272:Q274)+SUM('Velocity Grid'!R272:R274)+SUM('Velocity Grid'!S272:S274)+SUM('Velocity Grid'!T272:T274)+SUM('Velocity Grid'!U272:U274)+SUM('Velocity Grid'!V272:V274)</f>
        <v/>
      </c>
    </row>
    <row r="150" hidden="1">
      <c r="A150">
        <f>Doors!A95</f>
        <v/>
      </c>
      <c r="B150">
        <f>Doors!C95</f>
        <v/>
      </c>
      <c r="C150" s="16">
        <f>SUM('Velocity Grid'!J275:J277)+SUM('Velocity Grid'!K275:K277)+SUM('Velocity Grid'!L275:L277)+SUM('Velocity Grid'!M275:M277)+SUM('Velocity Grid'!N275:N277)+SUM('Velocity Grid'!O275:O277)+SUM('Velocity Grid'!P275:P277)+SUM('Velocity Grid'!Q275:Q277)+SUM('Velocity Grid'!R275:R277)+SUM('Velocity Grid'!S275:S277)+SUM('Velocity Grid'!T275:T277)+SUM('Velocity Grid'!U275:U277)+SUM('Velocity Grid'!V275:V277)</f>
        <v/>
      </c>
    </row>
    <row r="151" hidden="1">
      <c r="A151">
        <f>Doors!A96</f>
        <v/>
      </c>
      <c r="B151">
        <f>Doors!C96</f>
        <v/>
      </c>
      <c r="C151" s="16">
        <f>SUM('Velocity Grid'!J278:J280)+SUM('Velocity Grid'!K278:K280)+SUM('Velocity Grid'!L278:L280)+SUM('Velocity Grid'!M278:M280)+SUM('Velocity Grid'!N278:N280)+SUM('Velocity Grid'!O278:O280)+SUM('Velocity Grid'!P278:P280)+SUM('Velocity Grid'!Q278:Q280)+SUM('Velocity Grid'!R278:R280)+SUM('Velocity Grid'!S278:S280)+SUM('Velocity Grid'!T278:T280)+SUM('Velocity Grid'!U278:U280)+SUM('Velocity Grid'!V278:V280)</f>
        <v/>
      </c>
    </row>
    <row r="152" hidden="1">
      <c r="A152">
        <f>Doors!A97</f>
        <v/>
      </c>
      <c r="B152">
        <f>Doors!C97</f>
        <v/>
      </c>
      <c r="C152" s="16">
        <f>SUM('Velocity Grid'!J281:J283)+SUM('Velocity Grid'!K281:K283)+SUM('Velocity Grid'!L281:L283)+SUM('Velocity Grid'!M281:M283)+SUM('Velocity Grid'!N281:N283)+SUM('Velocity Grid'!O281:O283)+SUM('Velocity Grid'!P281:P283)+SUM('Velocity Grid'!Q281:Q283)+SUM('Velocity Grid'!R281:R283)+SUM('Velocity Grid'!S281:S283)+SUM('Velocity Grid'!T281:T283)+SUM('Velocity Grid'!U281:U283)+SUM('Velocity Grid'!V281:V283)</f>
        <v/>
      </c>
    </row>
    <row r="153" hidden="1">
      <c r="A153">
        <f>Doors!A98</f>
        <v/>
      </c>
      <c r="B153">
        <f>Doors!C98</f>
        <v/>
      </c>
      <c r="C153" s="16">
        <f>SUM('Velocity Grid'!J284:J286)+SUM('Velocity Grid'!K284:K286)+SUM('Velocity Grid'!L284:L286)+SUM('Velocity Grid'!M284:M286)+SUM('Velocity Grid'!N284:N286)+SUM('Velocity Grid'!O284:O286)+SUM('Velocity Grid'!P284:P286)+SUM('Velocity Grid'!Q284:Q286)+SUM('Velocity Grid'!R284:R286)+SUM('Velocity Grid'!S284:S286)+SUM('Velocity Grid'!T284:T286)+SUM('Velocity Grid'!U284:U286)+SUM('Velocity Grid'!V284:V286)</f>
        <v/>
      </c>
    </row>
    <row r="154" hidden="1">
      <c r="A154">
        <f>Doors!A99</f>
        <v/>
      </c>
      <c r="B154">
        <f>Doors!C99</f>
        <v/>
      </c>
      <c r="C154" s="16">
        <f>SUM('Velocity Grid'!J287:J289)+SUM('Velocity Grid'!K287:K289)+SUM('Velocity Grid'!L287:L289)+SUM('Velocity Grid'!M287:M289)+SUM('Velocity Grid'!N287:N289)+SUM('Velocity Grid'!O287:O289)+SUM('Velocity Grid'!P287:P289)+SUM('Velocity Grid'!Q287:Q289)+SUM('Velocity Grid'!R287:R289)+SUM('Velocity Grid'!S287:S289)+SUM('Velocity Grid'!T287:T289)+SUM('Velocity Grid'!U287:U289)+SUM('Velocity Grid'!V287:V289)</f>
        <v/>
      </c>
    </row>
    <row r="155" hidden="1">
      <c r="A155">
        <f>Doors!A100</f>
        <v/>
      </c>
      <c r="B155">
        <f>Doors!C100</f>
        <v/>
      </c>
      <c r="C155" s="16">
        <f>SUM('Velocity Grid'!J290:J292)+SUM('Velocity Grid'!K290:K292)+SUM('Velocity Grid'!L290:L292)+SUM('Velocity Grid'!M290:M292)+SUM('Velocity Grid'!N290:N292)+SUM('Velocity Grid'!O290:O292)+SUM('Velocity Grid'!P290:P292)+SUM('Velocity Grid'!Q290:Q292)+SUM('Velocity Grid'!R290:R292)+SUM('Velocity Grid'!S290:S292)+SUM('Velocity Grid'!T290:T292)+SUM('Velocity Grid'!U290:U292)+SUM('Velocity Grid'!V290:V292)</f>
        <v/>
      </c>
    </row>
    <row r="156" hidden="1">
      <c r="A156">
        <f>Doors!A101</f>
        <v/>
      </c>
      <c r="B156">
        <f>Doors!C101</f>
        <v/>
      </c>
      <c r="C156" s="16">
        <f>SUM('Velocity Grid'!J293:J295)+SUM('Velocity Grid'!K293:K295)+SUM('Velocity Grid'!L293:L295)+SUM('Velocity Grid'!M293:M295)+SUM('Velocity Grid'!N293:N295)+SUM('Velocity Grid'!O293:O295)+SUM('Velocity Grid'!P293:P295)+SUM('Velocity Grid'!Q293:Q295)+SUM('Velocity Grid'!R293:R295)+SUM('Velocity Grid'!S293:S295)+SUM('Velocity Grid'!T293:T295)+SUM('Velocity Grid'!U293:U295)+SUM('Velocity Grid'!V293:V295)</f>
        <v/>
      </c>
    </row>
    <row r="157" hidden="1">
      <c r="A157">
        <f>Doors!A102</f>
        <v/>
      </c>
      <c r="B157">
        <f>Doors!C102</f>
        <v/>
      </c>
      <c r="C157" s="16">
        <f>SUM('Velocity Grid'!J296:J298)+SUM('Velocity Grid'!K296:K298)+SUM('Velocity Grid'!L296:L298)+SUM('Velocity Grid'!M296:M298)+SUM('Velocity Grid'!N296:N298)+SUM('Velocity Grid'!O296:O298)+SUM('Velocity Grid'!P296:P298)+SUM('Velocity Grid'!Q296:Q298)+SUM('Velocity Grid'!R296:R298)+SUM('Velocity Grid'!S296:S298)+SUM('Velocity Grid'!T296:T298)+SUM('Velocity Grid'!U296:U298)+SUM('Velocity Grid'!V296:V298)</f>
        <v/>
      </c>
    </row>
    <row r="158" hidden="1">
      <c r="A158">
        <f>Doors!A103</f>
        <v/>
      </c>
      <c r="B158">
        <f>Doors!C103</f>
        <v/>
      </c>
      <c r="C158" s="16">
        <f>SUM('Velocity Grid'!J299:J301)+SUM('Velocity Grid'!K299:K301)+SUM('Velocity Grid'!L299:L301)+SUM('Velocity Grid'!M299:M301)+SUM('Velocity Grid'!N299:N301)+SUM('Velocity Grid'!O299:O301)+SUM('Velocity Grid'!P299:P301)+SUM('Velocity Grid'!Q299:Q301)+SUM('Velocity Grid'!R299:R301)+SUM('Velocity Grid'!S299:S301)+SUM('Velocity Grid'!T299:T301)+SUM('Velocity Grid'!U299:U301)+SUM('Velocity Grid'!V299:V301)</f>
        <v/>
      </c>
    </row>
    <row r="159" hidden="1">
      <c r="A159">
        <f>Doors!A104</f>
        <v/>
      </c>
      <c r="B159">
        <f>Doors!C104</f>
        <v/>
      </c>
      <c r="C159" s="16">
        <f>SUM('Velocity Grid'!J302:J304)+SUM('Velocity Grid'!K302:K304)+SUM('Velocity Grid'!L302:L304)+SUM('Velocity Grid'!M302:M304)+SUM('Velocity Grid'!N302:N304)+SUM('Velocity Grid'!O302:O304)+SUM('Velocity Grid'!P302:P304)+SUM('Velocity Grid'!Q302:Q304)+SUM('Velocity Grid'!R302:R304)+SUM('Velocity Grid'!S302:S304)+SUM('Velocity Grid'!T302:T304)+SUM('Velocity Grid'!U302:U304)+SUM('Velocity Grid'!V302:V304)</f>
        <v/>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2026-05-26T17:42:19Z</dcterms:created>
  <dcterms:modified xsi:type="dcterms:W3CDTF">2026-05-26T17:42:20Z</dcterms:modified>
</cp:coreProperties>
</file>