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Cover" sheetId="1" state="visible" r:id="rId1"/>
    <sheet name="01 Contents" sheetId="2" state="visible" r:id="rId2"/>
    <sheet name="02 Executive Summary" sheetId="3" state="visible" r:id="rId3"/>
    <sheet name="Dashboard" sheetId="4" state="visible" r:id="rId4"/>
    <sheet name="Financial Model" sheetId="5" state="visible" r:id="rId5"/>
    <sheet name="03 Methodology" sheetId="6" state="visible" r:id="rId6"/>
    <sheet name="04 Market Sizing" sheetId="7" state="visible" r:id="rId7"/>
    <sheet name="05 Trends &amp; Macro" sheetId="8" state="visible" r:id="rId8"/>
    <sheet name="06 Consumer" sheetId="9" state="visible" r:id="rId9"/>
    <sheet name="07 Comparison Matrix" sheetId="10" state="visible" r:id="rId10"/>
    <sheet name="08 Extended Landscape" sheetId="11" state="visible" r:id="rId11"/>
    <sheet name="09 Channel &amp; Retail" sheetId="12" state="visible" r:id="rId12"/>
    <sheet name="10 Channel Economics" sheetId="13" state="visible" r:id="rId13"/>
    <sheet name="11 Formulation" sheetId="14" state="visible" r:id="rId14"/>
    <sheet name="12 Marketing" sheetId="15" state="visible" r:id="rId15"/>
    <sheet name="13 Launch Playbooks" sheetId="16" state="visible" r:id="rId16"/>
    <sheet name="14 Patterns &amp; Failures" sheetId="17" state="visible" r:id="rId17"/>
    <sheet name="15 Outcomes &amp; M&amp;A" sheetId="18" state="visible" r:id="rId18"/>
    <sheet name="16 SWOT" sheetId="19" state="visible" r:id="rId19"/>
    <sheet name="17 Scoring Model" sheetId="20" state="visible" r:id="rId20"/>
    <sheet name="18 Canada Market" sheetId="21" state="visible" r:id="rId21"/>
    <sheet name="19 Canada Regulatory" sheetId="22" state="visible" r:id="rId22"/>
    <sheet name="Canada Regulatory v2" sheetId="23" state="visible" r:id="rId23"/>
    <sheet name="Electrolyte BFY Deep-Dive" sheetId="24" state="visible" r:id="rId24"/>
    <sheet name="20 GTM Recommendation" sheetId="25" state="visible" r:id="rId25"/>
    <sheet name="Go-NoGo Decision" sheetId="26" state="visible" r:id="rId26"/>
    <sheet name="Battlecards" sheetId="27" state="visible" r:id="rId27"/>
    <sheet name="21 Launch Plan" sheetId="28" state="visible" r:id="rId28"/>
    <sheet name="22 Risk Register" sheetId="29" state="visible" r:id="rId29"/>
    <sheet name="23 KPI Dashboard" sheetId="30" state="visible" r:id="rId30"/>
    <sheet name="24 Sources" sheetId="31" state="visible" r:id="rId31"/>
    <sheet name="Verification Log" sheetId="32" state="visible" r:id="rId32"/>
    <sheet name="25 Glossary" sheetId="33" state="visible" r:id="rId33"/>
  </sheets>
  <definedNames>
    <definedName name="_xlnm._FilterDatabase" localSheetId="9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</fonts>
  <fills count="14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Financial Model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Battlecards'!A1" TargetMode="External" Id="rId4" /><Relationship Type="http://schemas.openxmlformats.org/officeDocument/2006/relationships/hyperlink" Target="#'01 Contents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00 Cover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#'02 Executive Summary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03 Methodology'!A1" TargetMode="External" Id="rId6" /><Relationship Type="http://schemas.openxmlformats.org/officeDocument/2006/relationships/hyperlink" Target="#'04 Market Sizing'!A1" TargetMode="External" Id="rId7" /><Relationship Type="http://schemas.openxmlformats.org/officeDocument/2006/relationships/hyperlink" Target="#'05 Trends &amp; Macro'!A1" TargetMode="External" Id="rId8" /><Relationship Type="http://schemas.openxmlformats.org/officeDocument/2006/relationships/hyperlink" Target="#'06 Consumer'!A1" TargetMode="External" Id="rId9" /><Relationship Type="http://schemas.openxmlformats.org/officeDocument/2006/relationships/hyperlink" Target="#'07 Comparison Matrix'!A1" TargetMode="External" Id="rId10" /><Relationship Type="http://schemas.openxmlformats.org/officeDocument/2006/relationships/hyperlink" Target="#'08 Extended Landscape'!A1" TargetMode="External" Id="rId11" /><Relationship Type="http://schemas.openxmlformats.org/officeDocument/2006/relationships/hyperlink" Target="#'09 Channel &amp; Retail'!A1" TargetMode="External" Id="rId12" /><Relationship Type="http://schemas.openxmlformats.org/officeDocument/2006/relationships/hyperlink" Target="#'10 Channel Economics'!A1" TargetMode="External" Id="rId13" /><Relationship Type="http://schemas.openxmlformats.org/officeDocument/2006/relationships/hyperlink" Target="#'11 Formulation'!A1" TargetMode="External" Id="rId14" /><Relationship Type="http://schemas.openxmlformats.org/officeDocument/2006/relationships/hyperlink" Target="#'12 Marketing'!A1" TargetMode="External" Id="rId15" /><Relationship Type="http://schemas.openxmlformats.org/officeDocument/2006/relationships/hyperlink" Target="#'13 Launch Playbooks'!A1" TargetMode="External" Id="rId16" /><Relationship Type="http://schemas.openxmlformats.org/officeDocument/2006/relationships/hyperlink" Target="#'14 Patterns &amp; Failures'!A1" TargetMode="External" Id="rId17" /><Relationship Type="http://schemas.openxmlformats.org/officeDocument/2006/relationships/hyperlink" Target="#'15 Outcomes &amp; M&amp;A'!A1" TargetMode="External" Id="rId18" /><Relationship Type="http://schemas.openxmlformats.org/officeDocument/2006/relationships/hyperlink" Target="#'16 SWOT'!A1" TargetMode="External" Id="rId19" /><Relationship Type="http://schemas.openxmlformats.org/officeDocument/2006/relationships/hyperlink" Target="#'17 Scoring Model'!A1" TargetMode="External" Id="rId20" /><Relationship Type="http://schemas.openxmlformats.org/officeDocument/2006/relationships/hyperlink" Target="#'18 Canada Market'!A1" TargetMode="External" Id="rId21" /><Relationship Type="http://schemas.openxmlformats.org/officeDocument/2006/relationships/hyperlink" Target="#'19 Canada Regulatory'!A1" TargetMode="External" Id="rId22" /><Relationship Type="http://schemas.openxmlformats.org/officeDocument/2006/relationships/hyperlink" Target="#'20 GTM Recommendation'!A1" TargetMode="External" Id="rId23" /><Relationship Type="http://schemas.openxmlformats.org/officeDocument/2006/relationships/hyperlink" Target="#'Go-NoGo Decision'!A1" TargetMode="External" Id="rId24" /><Relationship Type="http://schemas.openxmlformats.org/officeDocument/2006/relationships/hyperlink" Target="#'Battlecards'!A1" TargetMode="External" Id="rId25" /><Relationship Type="http://schemas.openxmlformats.org/officeDocument/2006/relationships/hyperlink" Target="#'21 Launch Plan'!A1" TargetMode="External" Id="rId26" /><Relationship Type="http://schemas.openxmlformats.org/officeDocument/2006/relationships/hyperlink" Target="#'22 Risk Register'!A1" TargetMode="External" Id="rId27" /><Relationship Type="http://schemas.openxmlformats.org/officeDocument/2006/relationships/hyperlink" Target="#'23 KPI Dashboard'!A1" TargetMode="External" Id="rId28" /><Relationship Type="http://schemas.openxmlformats.org/officeDocument/2006/relationships/hyperlink" Target="#'24 Sources'!A1" TargetMode="External" Id="rId29" /><Relationship Type="http://schemas.openxmlformats.org/officeDocument/2006/relationships/hyperlink" Target="#'25 Glossary'!A1" TargetMode="External" Id="rId30" /><Relationship Type="http://schemas.openxmlformats.org/officeDocument/2006/relationships/hyperlink" Target="#'Verification Log'!A1" TargetMode="External" Id="rId31" /><Relationship Type="http://schemas.openxmlformats.org/officeDocument/2006/relationships/hyperlink" Target="#'Electrolyte BFY Deep-Dive'!A1" TargetMode="External" Id="rId32" /><Relationship Type="http://schemas.openxmlformats.org/officeDocument/2006/relationships/hyperlink" Target="#'Canada Regulatory v2'!A1" TargetMode="External" Id="rId33" /></Relationships>
</file>

<file path=xl/worksheets/_rels/sheet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1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sheet1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5" r:id="rId3"/>
    <hyperlink xmlns:r="http://schemas.openxmlformats.org/officeDocument/2006/relationships" ref="B26" r:id="rId4"/>
    <hyperlink xmlns:r="http://schemas.openxmlformats.org/officeDocument/2006/relationships" ref="B27" r:id="rId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</sheetData>
  <mergeCells count="1">
    <mergeCell ref="A1:B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63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1" t="inlineStr">
        <is>
          <t>ACTIVE</t>
        </is>
      </c>
    </row>
    <row r="8" ht="16" customHeight="1">
      <c r="B8" s="65" t="inlineStr">
        <is>
          <t>List price / can (CAD)</t>
        </is>
      </c>
      <c r="C8" s="44" t="n">
        <v>3.29</v>
      </c>
      <c r="D8" s="44" t="n">
        <v>3.49</v>
      </c>
      <c r="E8" s="44" t="n">
        <v>3.79</v>
      </c>
      <c r="F8" s="67">
        <f>CHOOSE($C$5,C8,D8,E8)</f>
        <v/>
      </c>
    </row>
    <row r="9" ht="16" customHeight="1">
      <c r="B9" s="65" t="inlineStr">
        <is>
          <t>COGS / can (CAD)</t>
        </is>
      </c>
      <c r="C9" s="44" t="n">
        <v>1.2</v>
      </c>
      <c r="D9" s="44" t="n">
        <v>1.05</v>
      </c>
      <c r="E9" s="44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45" t="n">
        <v>0.38</v>
      </c>
      <c r="D10" s="45" t="n">
        <v>0.35</v>
      </c>
      <c r="E10" s="45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45" t="n">
        <v>0.18</v>
      </c>
      <c r="D11" s="45" t="n">
        <v>0.15</v>
      </c>
      <c r="E11" s="45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45" t="n">
        <v>0.25</v>
      </c>
      <c r="D12" s="45" t="n">
        <v>0.2</v>
      </c>
      <c r="E12" s="45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46" t="n">
        <v>12</v>
      </c>
      <c r="D13" s="46" t="n">
        <v>12</v>
      </c>
      <c r="E13" s="46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51" t="n">
        <v>300</v>
      </c>
      <c r="D14" s="51" t="n">
        <v>500</v>
      </c>
      <c r="E14" s="51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51" t="n">
        <v>1200</v>
      </c>
      <c r="D15" s="51" t="n">
        <v>2000</v>
      </c>
      <c r="E15" s="51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51" t="n">
        <v>3500</v>
      </c>
      <c r="D16" s="51" t="n">
        <v>6000</v>
      </c>
      <c r="E16" s="51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52" t="n">
        <v>2</v>
      </c>
      <c r="D17" s="52" t="n">
        <v>3</v>
      </c>
      <c r="E17" s="52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52" t="n">
        <v>3</v>
      </c>
      <c r="D18" s="52" t="n">
        <v>4</v>
      </c>
      <c r="E18" s="52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52" t="n">
        <v>3.5</v>
      </c>
      <c r="D19" s="52" t="n">
        <v>5</v>
      </c>
      <c r="E19" s="52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72" t="n">
        <v>150000</v>
      </c>
      <c r="D20" s="72" t="n">
        <v>300000</v>
      </c>
      <c r="E20" s="7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72" t="n">
        <v>250000</v>
      </c>
      <c r="D21" s="72" t="n">
        <v>350000</v>
      </c>
      <c r="E21" s="7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72" t="n">
        <v>50000</v>
      </c>
      <c r="D22" s="72" t="n">
        <v>100000</v>
      </c>
      <c r="E22" s="7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/>
</worksheet>
</file>

<file path=xl/worksheets/sheet33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32-tab dossier: interactive scenario P&amp;L, dashboard, Go/No-Go, battlecards, verification log, and a Canada-first electrolyte/BFY deep-dive. MÜV verified as an RTD sparkling can; Canada electrolyte→Supplemented-Food reclassification reflected.</dc:description>
  <dc:subject>Competitive intelligence &amp; Canada market-entry dossier</dc:subject>
  <dcterms:created xsi:type="dcterms:W3CDTF">2026-06-26T07:21:02Z</dcterms:created>
  <dcterms:modified xsi:type="dcterms:W3CDTF">2026-06-26T07:21:04Z</dcterms:modified>
  <cp:keywords>functional beverage, prebiotic soda, collagen, hydration, Canada, MUV, Organika</cp:keywords>
</cp:coreProperties>
</file>