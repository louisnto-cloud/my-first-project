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4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5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FAQ &amp; Objections" sheetId="32" state="visible" r:id="rId32"/>
    <sheet name="Next Steps &amp; Gates" sheetId="33" state="visible" r:id="rId33"/>
    <sheet name="Go-NoGo Decision" sheetId="34" state="visible" r:id="rId34"/>
    <sheet name="Battlecards" sheetId="35" state="visible" r:id="rId35"/>
    <sheet name="21 Launch Plan" sheetId="36" state="visible" r:id="rId36"/>
    <sheet name="22 Risk Register" sheetId="37" state="visible" r:id="rId37"/>
    <sheet name="23 KPI Dashboard" sheetId="38" state="visible" r:id="rId38"/>
    <sheet name="24 Sources" sheetId="39" state="visible" r:id="rId39"/>
    <sheet name="Data Confidence" sheetId="40" state="visible" r:id="rId40"/>
    <sheet name="Verification Log" sheetId="41" state="visible" r:id="rId41"/>
    <sheet name="25 Glossary" sheetId="42" state="visible" r:id="rId42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3">'Go-NoGo Decision'!$A$1:$N$16</definedName>
    <definedName name="_xlnm.Print_Area" localSheetId="34">'Battlecards'!$A$1:$N$9</definedName>
    <definedName name="_xlnm.Print_Area" localSheetId="35">'21 Launch Plan'!$A$1:$N$7</definedName>
    <definedName name="_xlnm.Print_Area" localSheetId="36">'22 Risk Register'!$A$1:$N$16</definedName>
    <definedName name="_xlnm.Print_Area" localSheetId="37">'23 KPI Dashboard'!$A$1:$N$12</definedName>
    <definedName name="_xlnm.Print_Area" localSheetId="38">'24 Sources'!$A$1:$N$32</definedName>
    <definedName name="_xlnm.Print_Area" localSheetId="40">'Verification Log'!$A$1:$N$16</definedName>
    <definedName name="_xlnm.Print_Area" localSheetId="41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  <font>
      <name val="Calibri"/>
      <color rgb="00000000"/>
      <sz val="9"/>
    </font>
    <font>
      <name val="Calibri"/>
      <b val="1"/>
      <i val="1"/>
      <color rgb="001E7D32"/>
      <sz val="9"/>
    </font>
    <font>
      <name val="Calibri"/>
      <b val="1"/>
      <color rgb="003E5C76"/>
      <sz val="9"/>
    </font>
    <font>
      <name val="Calibri"/>
      <i val="1"/>
      <color rgb="00B45309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8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  <xf numFmtId="0" fontId="28" fillId="14" borderId="1" applyAlignment="1" pivotButton="0" quotePrefix="0" xfId="0">
      <alignment vertical="top" wrapText="1"/>
    </xf>
    <xf numFmtId="0" fontId="40" fillId="5" borderId="1" applyAlignment="1" pivotButton="0" quotePrefix="0" xfId="0">
      <alignment vertical="top" wrapText="1"/>
    </xf>
    <xf numFmtId="0" fontId="41" fillId="5" borderId="1" applyAlignment="1" pivotButton="0" quotePrefix="0" xfId="0">
      <alignment vertical="center" wrapText="1"/>
    </xf>
    <xf numFmtId="0" fontId="42" fillId="6" borderId="1" applyAlignment="1" pivotButton="0" quotePrefix="0" xfId="0">
      <alignment vertical="center" wrapText="1"/>
    </xf>
    <xf numFmtId="0" fontId="43" fillId="0" borderId="0" pivotButton="0" quotePrefix="0" xfId="0"/>
    <xf numFmtId="0" fontId="22" fillId="1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35" fillId="2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39" fillId="0" borderId="1" applyAlignment="1" pivotButton="0" quotePrefix="0" xfId="0">
      <alignment vertical="top" wrapText="1"/>
    </xf>
    <xf numFmtId="0" fontId="3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Peer price per serving ($) — where to anchor MÜV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'23 KPI Dashboard'!B16</f>
            </strRef>
          </tx>
          <spPr>
            <a:ln>
              <a:prstDash val="solid"/>
            </a:ln>
          </spPr>
          <cat>
            <numRef>
              <f>'23 KPI Dashboard'!$A$17:$A$20</f>
            </numRef>
          </cat>
          <val>
            <numRef>
              <f>'23 KPI Dashboard'!$B$17:$B$20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Relationship Type="http://schemas.openxmlformats.org/officeDocument/2006/relationships/hyperlink" Target="#'FAQ &amp; Objections'!A1" TargetMode="External" Id="rId43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4.xml" Id="rId3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5.xm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4" ht="16" customHeight="1">
      <c r="B4" s="98" t="inlineStr">
        <is>
          <t>US hydration powders $1.5B (+20%)  ·  sparkling electrolyte = white space  ·  MÜV = food-regulated RTD can  ·  Verdict: GO — conditional</t>
        </is>
      </c>
      <c r="C4" s="34" t="n"/>
      <c r="D4" s="34" t="n"/>
      <c r="E4" s="35" t="n"/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4">
    <mergeCell ref="B9:E9"/>
    <mergeCell ref="B18:B19"/>
    <mergeCell ref="B5:E5"/>
    <mergeCell ref="C10:C11"/>
    <mergeCell ref="B14:B15"/>
    <mergeCell ref="C22:C23"/>
    <mergeCell ref="B4:E4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3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  <row r="53">
      <c r="A53" s="177" t="inlineStr">
        <is>
          <t>FAQ &amp; Objections</t>
        </is>
      </c>
      <c r="B53" s="178" t="inlineStr">
        <is>
          <t>Anticipated leadership pushback + crisp answers, with proof tabs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  <c r="C44" s="34" t="n"/>
      <c r="D44" s="35" t="n"/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  <c r="C45" s="34" t="n"/>
      <c r="D45" s="35" t="n"/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  <c r="C46" s="34" t="n"/>
      <c r="D46" s="35" t="n"/>
    </row>
  </sheetData>
  <mergeCells count="7">
    <mergeCell ref="A34:E34"/>
    <mergeCell ref="A2:E2"/>
    <mergeCell ref="B46:D46"/>
    <mergeCell ref="B45:D45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5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  <row r="10" ht="18" customHeight="1">
      <c r="A10" s="42" t="inlineStr">
        <is>
          <t>WHAT WOULD STRENGTHEN THIS FURTHER (priority order)</t>
        </is>
      </c>
    </row>
    <row r="11" ht="30" customHeight="1">
      <c r="A11" s="87" t="inlineStr">
        <is>
          <t>1. Confirm MÜV on-can specs</t>
        </is>
      </c>
      <c r="B11" s="58" t="inlineStr">
        <is>
          <t>Sodium mg, pack size, and whether a collagen variant exists — the last open input on the model and claims.</t>
        </is>
      </c>
    </row>
    <row r="12" ht="30" customHeight="1">
      <c r="A12" s="89" t="inlineStr">
        <is>
          <t>2. Licensed Canadian scanner data</t>
        </is>
      </c>
      <c r="B12" s="60" t="inlineStr">
        <is>
          <t>NielsenIQ/Circana Canada pull for the sparkling-electrolyte sub-segment to replace US-proxy sizing.</t>
        </is>
      </c>
    </row>
    <row r="13" ht="30" customHeight="1">
      <c r="A13" s="87" t="inlineStr">
        <is>
          <t>3. Regulatory-counsel opinion</t>
        </is>
      </c>
      <c r="B13" s="58" t="inlineStr">
        <is>
          <t>Written classification + permissible claim set under the Supplemented Foods framework.</t>
        </is>
      </c>
    </row>
    <row r="14" ht="30" customHeight="1">
      <c r="A14" s="89" t="inlineStr">
        <is>
          <t>4. Real cost inputs</t>
        </is>
      </c>
      <c r="B14" s="60" t="inlineStr">
        <is>
          <t>Co-packer COGS quote + distributor terms to replace the illustrative model assumptions.</t>
        </is>
      </c>
    </row>
    <row r="15" ht="30" customHeight="1">
      <c r="A15" s="87" t="inlineStr">
        <is>
          <t>5. Distributor interviews</t>
        </is>
      </c>
      <c r="B15" s="58" t="inlineStr">
        <is>
          <t>UNFI Canada / Tree of Life / Purity Life on listing terms and velocity expectations.</t>
        </is>
      </c>
    </row>
  </sheetData>
  <mergeCells count="2">
    <mergeCell ref="A10:B10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  <row r="13" ht="54" customHeight="1">
      <c r="A13" s="172" t="inlineStr">
        <is>
          <t>MÜV (Organika) — SUBJECT</t>
        </is>
      </c>
      <c r="B13" s="173" t="inlineStr">
        <is>
          <t>Sparkling electrolyte (RTD)</t>
        </is>
      </c>
      <c r="C13" s="173" t="inlineStr">
        <is>
          <t>Organika est. 1990</t>
        </is>
      </c>
      <c r="D13" s="173" t="inlineStr">
        <is>
          <t>Organika (BC, Canada)</t>
        </is>
      </c>
      <c r="E13" s="173" t="inlineStr">
        <is>
          <t>Costco CA / Amazon.ca / Well.ca (planned)</t>
        </is>
      </c>
      <c r="F13" s="173" t="inlineStr">
        <is>
          <t>Daily-wellness sparkling hydration + prebiotic fibre</t>
        </is>
      </c>
      <c r="G13" s="173" t="inlineStr">
        <is>
          <t>RTD sparkling CAN (SKU 4338)</t>
        </is>
      </c>
      <c r="H13" s="173" t="inlineStr">
        <is>
          <t>0 sugar, caffeine-free, magnesium glycinate, Fibersol; sodium TBD</t>
        </is>
      </c>
      <c r="I13" s="173" t="inlineStr">
        <is>
          <t>$14.99 / pack</t>
        </is>
      </c>
      <c r="J13" s="173" t="inlineStr">
        <is>
          <t>Canadian beachhead (planned)</t>
        </is>
      </c>
      <c r="K13" s="173" t="inlineStr">
        <is>
          <t>n/a (pre-launch)</t>
        </is>
      </c>
      <c r="L13" s="173" t="inlineStr">
        <is>
          <t>Food-regulated (Supplemented Food)</t>
        </is>
      </c>
    </row>
    <row r="14">
      <c r="A14" s="133" t="inlineStr">
        <is>
          <t>↑ MÜV shown for benchmarking; its direct rivals (LMNT/Liquid I.V./Nuun) are on the ‘MÜV Peer Set’ tab.</t>
        </is>
      </c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6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6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6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6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6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6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6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6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6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  <row r="52">
      <c r="A52" s="176" t="inlineStr">
        <is>
          <t>Amber cells = FLAG / unverified / could-not-confirm (10 tagged). Re-verify before external use.</t>
        </is>
      </c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4" customWidth="1" min="2" max="2"/>
    <col width="24" customWidth="1" min="3" max="3"/>
  </cols>
  <sheetData>
    <row r="1" ht="26" customHeight="1">
      <c r="A1" s="179" t="inlineStr">
        <is>
          <t>FAQ &amp; Objections — answers for the leadership room</t>
        </is>
      </c>
      <c r="M1" s="95" t="inlineStr">
        <is>
          <t>🏠 Home</t>
        </is>
      </c>
    </row>
    <row r="2">
      <c r="A2" s="180" t="inlineStr">
        <is>
          <t>Anticipated pushback and the one-line answer. Back each with the named tab.</t>
        </is>
      </c>
    </row>
    <row r="4">
      <c r="A4" s="181" t="inlineStr">
        <is>
          <t>Objection</t>
        </is>
      </c>
      <c r="B4" s="181" t="inlineStr">
        <is>
          <t>Answer</t>
        </is>
      </c>
      <c r="C4" s="181" t="inlineStr">
        <is>
          <t>Proof tab</t>
        </is>
      </c>
    </row>
    <row r="5" ht="42" customHeight="1">
      <c r="A5" s="87" t="inlineStr">
        <is>
          <t>“Isn't this just another me-too electrolyte?”</t>
        </is>
      </c>
      <c r="B5" s="58" t="inlineStr">
        <is>
          <t>A flavored SPARKLING electrolyte is genuine white space; we own the daily-wellness sparkling occasion, made in Canada.</t>
        </is>
      </c>
      <c r="C5" s="182" t="inlineStr">
        <is>
          <t>MÜV Peer Set / Deep-Dive</t>
        </is>
      </c>
    </row>
    <row r="6" ht="42" customHeight="1">
      <c r="A6" s="89" t="inlineStr">
        <is>
          <t>“Nestlé owns Vital Proteins, PepsiCo owns Poppi — can we even compete?”</t>
        </is>
      </c>
      <c r="B6" s="60" t="inlineStr">
        <is>
          <t>We don't fight them on their shelf. We win the sparkling daily-wellness occasion in Canada where we already hold distribution + a collagen-brand halo.</t>
        </is>
      </c>
      <c r="C6" s="183" t="inlineStr">
        <is>
          <t>15 Outcomes &amp; M&amp;A / GTM</t>
        </is>
      </c>
    </row>
    <row r="7" ht="42" customHeight="1">
      <c r="A7" s="87" t="inlineStr">
        <is>
          <t>“Collagen efficacy is contested — what's the legal exposure?”</t>
        </is>
      </c>
      <c r="B7" s="58" t="inlineStr">
        <is>
          <t>Exactly why the CAN sells hydration/electrolyte (food claims). Collagen beauty claims stay on the NHP powder line, not the can.</t>
        </is>
      </c>
      <c r="C7" s="182" t="inlineStr">
        <is>
          <t>Canada Regulatory v2</t>
        </is>
      </c>
    </row>
    <row r="8" ht="42" customHeight="1">
      <c r="A8" s="89" t="inlineStr">
        <is>
          <t>“Why a can, not a powder — powders ship cheaper?”</t>
        </is>
      </c>
      <c r="B8" s="60" t="inlineStr">
        <is>
          <t>Sparkling is the wedge and the sensory differentiator; BC manufacturing protects margin. Regulatorily both are food now, so it's a commercial choice.</t>
        </is>
      </c>
      <c r="C8" s="183" t="inlineStr">
        <is>
          <t>Electrolyte BFY Deep-Dive</t>
        </is>
      </c>
    </row>
    <row r="9" ht="42" customHeight="1">
      <c r="A9" s="87" t="inlineStr">
        <is>
          <t>“What's the regulatory risk in Canada?”</t>
        </is>
      </c>
      <c r="B9" s="58" t="inlineStr">
        <is>
          <t>It's a Supplemented Food — design to that framework from day one (SFFt, cautions). ORS carve-out doesn't apply. Confirm the claim set with counsel.</t>
        </is>
      </c>
      <c r="C9" s="182" t="inlineStr">
        <is>
          <t>Canada Regulatory v2</t>
        </is>
      </c>
    </row>
    <row r="10" ht="42" customHeight="1">
      <c r="A10" s="89" t="inlineStr">
        <is>
          <t>“Is the financial model real?”</t>
        </is>
      </c>
      <c r="B10" s="60" t="inlineStr">
        <is>
          <t>It's illustrative scaffolding — every input is flagged. Replace with co-packer/distributor quotes. Even the Conservative case has a defined break-even.</t>
        </is>
      </c>
      <c r="C10" s="183" t="inlineStr">
        <is>
          <t>Financial Model / Assumptions Audit</t>
        </is>
      </c>
    </row>
    <row r="11" ht="42" customHeight="1">
      <c r="A11" s="87" t="inlineStr">
        <is>
          <t>“Why not just extend the existing powder line?”</t>
        </is>
      </c>
      <c r="B11" s="58" t="inlineStr">
        <is>
          <t>The powder line stays (and keeps its collagen claims). MÜV captures the sparkling RTD occasion the powder can't.</t>
        </is>
      </c>
      <c r="C11" s="182" t="inlineStr">
        <is>
          <t>MÜV Peer Set</t>
        </is>
      </c>
    </row>
    <row r="12" ht="42" customHeight="1">
      <c r="A12" s="89" t="inlineStr">
        <is>
          <t>“What exactly do you need from us?”</t>
        </is>
      </c>
      <c r="B12" s="60" t="inlineStr">
        <is>
          <t>Approve Phase 0: confirm MÜV specs, regulatory sign-off, co-packer quote, and the Costco Canada beachhead.</t>
        </is>
      </c>
      <c r="C12" s="183" t="inlineStr">
        <is>
          <t>Next Steps &amp; Gates</t>
        </is>
      </c>
    </row>
  </sheetData>
  <mergeCells count="2">
    <mergeCell ref="A1:C1"/>
    <mergeCell ref="A2:C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  <row r="18" ht="26" customHeight="1">
      <c r="A18" s="174" t="inlineStr">
        <is>
          <t>HOW TO USE: edit the yellow Weight and Score (1–5) cells; the weighted total and the GO / GO-conditional / NO-GO verdict recompute automatically.</t>
        </is>
      </c>
      <c r="B18" s="34" t="n"/>
      <c r="C18" s="34" t="n"/>
      <c r="D18" s="34" t="n"/>
      <c r="E18" s="34" t="n"/>
      <c r="F18" s="35" t="n"/>
    </row>
  </sheetData>
  <mergeCells count="6">
    <mergeCell ref="A2:F2"/>
    <mergeCell ref="A16:F16"/>
    <mergeCell ref="C14:E14"/>
    <mergeCell ref="A1:F1"/>
    <mergeCell ref="A14:B14"/>
    <mergeCell ref="A18:F18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0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  <row r="15" hidden="1">
      <c r="A15" s="41" t="inlineStr">
        <is>
          <t>(peer price/serving benchmark data)</t>
        </is>
      </c>
    </row>
    <row r="16" hidden="1">
      <c r="A16" t="inlineStr">
        <is>
          <t>Brand</t>
        </is>
      </c>
      <c r="B16" t="inlineStr">
        <is>
          <t>Price/serving</t>
        </is>
      </c>
    </row>
    <row r="17" hidden="1">
      <c r="A17" t="inlineStr">
        <is>
          <t>LMNT</t>
        </is>
      </c>
      <c r="B17" t="n">
        <v>1.5</v>
      </c>
    </row>
    <row r="18" hidden="1">
      <c r="A18" t="inlineStr">
        <is>
          <t>Liquid I.V.</t>
        </is>
      </c>
      <c r="B18" t="n">
        <v>1.56</v>
      </c>
    </row>
    <row r="19" hidden="1">
      <c r="A19" t="inlineStr">
        <is>
          <t>Nuun</t>
        </is>
      </c>
      <c r="B19" t="n">
        <v>0.75</v>
      </c>
    </row>
    <row r="20" hidden="1">
      <c r="A20" t="inlineStr">
        <is>
          <t>Organika sachet</t>
        </is>
      </c>
      <c r="B20" t="n">
        <v>1</v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3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  <row r="34" ht="24" customHeight="1">
      <c r="A34" s="175" t="inlineStr">
        <is>
          <t>SOURCE MIX: Primary 15 · Trade 6 · Other 3 · Scanner 2  (total 26 rows; load-bearing claims lean primary/regulatory).</t>
        </is>
      </c>
      <c r="B34" s="34" t="n"/>
      <c r="C34" s="35" t="n"/>
    </row>
  </sheetData>
  <mergeCells count="4">
    <mergeCell ref="A1:C1"/>
    <mergeCell ref="A32:C32"/>
    <mergeCell ref="A2:C2"/>
    <mergeCell ref="A34:C34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1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  <c r="B40" s="35" t="n"/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2026-07-18T09:36:59Z</dcterms:created>
  <dcterms:modified xsi:type="dcterms:W3CDTF">2026-07-18T09:37:07Z</dcterms:modified>
  <cp:keywords>functional beverage, prebiotic soda, collagen, hydration, Canada, MUV, Organika</cp:keywords>
</cp:coreProperties>
</file>