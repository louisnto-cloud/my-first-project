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4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Executive Brief 1-page" sheetId="2" state="visible" r:id="rId2"/>
    <sheet name="00 Cover" sheetId="3" state="visible" r:id="rId3"/>
    <sheet name="01 Contents" sheetId="4" state="visible" r:id="rId4"/>
    <sheet name="02 Executive Summary" sheetId="5" state="visible" r:id="rId5"/>
    <sheet name="Dashboard" sheetId="6" state="visible" r:id="rId6"/>
    <sheet name="Financial Model" sheetId="7" state="visible" r:id="rId7"/>
    <sheet name="Assumptions Audit" sheetId="8" state="visible" r:id="rId8"/>
    <sheet name="Scenario Comparison" sheetId="9" state="visible" r:id="rId9"/>
    <sheet name="03 Methodology" sheetId="10" state="visible" r:id="rId10"/>
    <sheet name="04 Market Sizing" sheetId="11" state="visible" r:id="rId11"/>
    <sheet name="05 Trends &amp; Macro" sheetId="12" state="visible" r:id="rId12"/>
    <sheet name="06 Consumer" sheetId="13" state="visible" r:id="rId13"/>
    <sheet name="07 Comparison Matrix" sheetId="14" state="visible" r:id="rId14"/>
    <sheet name="MÜV Peer Set" sheetId="15" state="visible" r:id="rId15"/>
    <sheet name="08 Extended Landscape" sheetId="16" state="visible" r:id="rId16"/>
    <sheet name="09 Channel &amp; Retail" sheetId="17" state="visible" r:id="rId17"/>
    <sheet name="10 Channel Economics" sheetId="18" state="visible" r:id="rId18"/>
    <sheet name="11 Formulation" sheetId="19" state="visible" r:id="rId19"/>
    <sheet name="12 Marketing" sheetId="20" state="visible" r:id="rId20"/>
    <sheet name="13 Launch Playbooks" sheetId="21" state="visible" r:id="rId21"/>
    <sheet name="14 Patterns &amp; Failures" sheetId="22" state="visible" r:id="rId22"/>
    <sheet name="15 Outcomes &amp; M&amp;A" sheetId="23" state="visible" r:id="rId23"/>
    <sheet name="16 SWOT" sheetId="24" state="visible" r:id="rId24"/>
    <sheet name="17 Scoring Model" sheetId="25" state="visible" r:id="rId25"/>
    <sheet name="18 Canada Market" sheetId="26" state="visible" r:id="rId26"/>
    <sheet name="19 Canada Regulatory" sheetId="27" state="visible" r:id="rId27"/>
    <sheet name="Canada Regulatory v2" sheetId="28" state="visible" r:id="rId28"/>
    <sheet name="Electrolyte BFY Deep-Dive" sheetId="29" state="visible" r:id="rId29"/>
    <sheet name="20 GTM Recommendation" sheetId="30" state="visible" r:id="rId30"/>
    <sheet name="How to Present" sheetId="31" state="visible" r:id="rId31"/>
    <sheet name="Next Steps &amp; Gates" sheetId="32" state="visible" r:id="rId32"/>
    <sheet name="Go-NoGo Decision" sheetId="33" state="visible" r:id="rId33"/>
    <sheet name="Battlecards" sheetId="34" state="visible" r:id="rId34"/>
    <sheet name="21 Launch Plan" sheetId="35" state="visible" r:id="rId35"/>
    <sheet name="22 Risk Register" sheetId="36" state="visible" r:id="rId36"/>
    <sheet name="23 KPI Dashboard" sheetId="37" state="visible" r:id="rId37"/>
    <sheet name="24 Sources" sheetId="38" state="visible" r:id="rId38"/>
    <sheet name="Data Confidence" sheetId="39" state="visible" r:id="rId39"/>
    <sheet name="Verification Log" sheetId="40" state="visible" r:id="rId40"/>
    <sheet name="25 Glossary" sheetId="41" state="visible" r:id="rId41"/>
  </sheets>
  <definedNames>
    <definedName name="_xlnm.Print_Area" localSheetId="0">'🏠 Start Here'!$A$1:$E$25</definedName>
    <definedName name="_xlnm.Print_Area" localSheetId="1">'Executive Brief 1-page'!$A$1:$E$24</definedName>
    <definedName name="_xlnm.Print_Area" localSheetId="2">'00 Cover'!$A$1:$M$27</definedName>
    <definedName name="_xlnm.Print_Area" localSheetId="3">'01 Contents'!$A$1:$M$39</definedName>
    <definedName name="_xlnm.Print_Area" localSheetId="4">'02 Executive Summary'!$A$1:$N$17</definedName>
    <definedName name="_xlnm.Print_Area" localSheetId="5">'Dashboard'!$A$1:$N$78</definedName>
    <definedName name="_xlnm.Print_Area" localSheetId="6">'Financial Model'!$A$1:$N$61</definedName>
    <definedName name="_xlnm.Print_Area" localSheetId="8">'Scenario Comparison'!$A$1:$N$34</definedName>
    <definedName name="_xlnm.Print_Area" localSheetId="9">'03 Methodology'!$A$1:$N$8</definedName>
    <definedName name="_xlnm.Print_Area" localSheetId="10">'04 Market Sizing'!$A$1:$N$27</definedName>
    <definedName name="_xlnm.Print_Area" localSheetId="11">'05 Trends &amp; Macro'!$A$1:$N$12</definedName>
    <definedName name="_xlnm.Print_Area" localSheetId="12">'06 Consumer'!$A$1:$N$16</definedName>
    <definedName name="_xlnm._FilterDatabase" localSheetId="13" hidden="1">'07 Comparison Matrix'!$A$3:$L$11</definedName>
    <definedName name="_xlnm.Print_Area" localSheetId="13">'07 Comparison Matrix'!$A$1:$N$12</definedName>
    <definedName name="_xlnm.Print_Area" localSheetId="14">'MÜV Peer Set'!$A$1:$N$32</definedName>
    <definedName name="_xlnm.Print_Area" localSheetId="15">'08 Extended Landscape'!$A$1:$N$50</definedName>
    <definedName name="_xlnm.Print_Area" localSheetId="16">'09 Channel &amp; Retail'!$A$1:$N$13</definedName>
    <definedName name="_xlnm.Print_Area" localSheetId="17">'10 Channel Economics'!$A$1:$N$38</definedName>
    <definedName name="_xlnm.Print_Area" localSheetId="18">'11 Formulation'!$A$1:$N$12</definedName>
    <definedName name="_xlnm.Print_Area" localSheetId="19">'12 Marketing'!$A$1:$N$12</definedName>
    <definedName name="_xlnm.Print_Area" localSheetId="20">'13 Launch Playbooks'!$A$1:$N$9</definedName>
    <definedName name="_xlnm.Print_Area" localSheetId="21">'14 Patterns &amp; Failures'!$A$1:$N$18</definedName>
    <definedName name="_xlnm.Print_Area" localSheetId="22">'15 Outcomes &amp; M&amp;A'!$A$1:$N$14</definedName>
    <definedName name="_xlnm.Print_Area" localSheetId="23">'16 SWOT'!$A$1:$N$9</definedName>
    <definedName name="_xlnm.Print_Area" localSheetId="24">'17 Scoring Model'!$A$1:$N$14</definedName>
    <definedName name="_xlnm.Print_Area" localSheetId="25">'18 Canada Market'!$A$1:$N$35</definedName>
    <definedName name="_xlnm.Print_Area" localSheetId="26">'19 Canada Regulatory'!$A$1:$N$38</definedName>
    <definedName name="_xlnm.Print_Area" localSheetId="27">'Canada Regulatory v2'!$A$1:$N$31</definedName>
    <definedName name="_xlnm.Print_Area" localSheetId="28">'Electrolyte BFY Deep-Dive'!$A$1:$N$43</definedName>
    <definedName name="_xlnm.Print_Area" localSheetId="29">'20 GTM Recommendation'!$A$1:$N$11</definedName>
    <definedName name="_xlnm.Print_Area" localSheetId="32">'Go-NoGo Decision'!$A$1:$N$16</definedName>
    <definedName name="_xlnm.Print_Area" localSheetId="33">'Battlecards'!$A$1:$N$9</definedName>
    <definedName name="_xlnm.Print_Area" localSheetId="34">'21 Launch Plan'!$A$1:$N$7</definedName>
    <definedName name="_xlnm.Print_Area" localSheetId="35">'22 Risk Register'!$A$1:$N$16</definedName>
    <definedName name="_xlnm.Print_Area" localSheetId="36">'23 KPI Dashboard'!$A$1:$N$12</definedName>
    <definedName name="_xlnm.Print_Area" localSheetId="37">'24 Sources'!$A$1:$N$32</definedName>
    <definedName name="_xlnm.Print_Area" localSheetId="39">'Verification Log'!$A$1:$N$16</definedName>
    <definedName name="_xlnm.Print_Area" localSheetId="40">'25 Glossary'!$A$1:$N$26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4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  <font>
      <name val="Calibri"/>
      <b val="1"/>
      <color rgb="0014304F"/>
      <sz val="9"/>
    </font>
    <font>
      <name val="Calibri"/>
      <b val="1"/>
      <sz val="9"/>
    </font>
    <font>
      <name val="Calibri"/>
      <color rgb="00595959"/>
      <sz val="9"/>
    </font>
    <font>
      <name val="Calibri"/>
      <sz val="9"/>
    </font>
    <font>
      <name val="Calibri"/>
      <color rgb="001155CC"/>
      <sz val="10"/>
      <u val="single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5"/>
    </font>
    <font>
      <name val="Calibri"/>
      <i val="1"/>
      <color rgb="00595959"/>
      <sz val="10"/>
    </font>
    <font>
      <name val="Calibri"/>
      <b val="1"/>
      <sz val="11"/>
    </font>
    <font>
      <name val="Calibri"/>
      <b val="1"/>
    </font>
    <font>
      <name val="Calibri"/>
      <i val="1"/>
      <color rgb="001E7D32"/>
      <sz val="9"/>
    </font>
  </fonts>
  <fills count="17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  <fill>
      <patternFill patternType="solid">
        <fgColor rgb="00B45309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/>
      <top/>
      <bottom/>
      <diagonal/>
    </border>
    <border>
      <left style="medium">
        <color rgb="00FFFFFF"/>
      </left>
      <right style="medium">
        <color rgb="00FFFFFF"/>
      </right>
      <top/>
      <bottom/>
      <diagonal/>
    </border>
    <border>
      <left style="medium">
        <color rgb="00FFFFFF"/>
      </left>
      <right style="medium">
        <color rgb="00FFFFFF"/>
      </right>
      <top/>
      <bottom style="medium">
        <color rgb="00FFFFFF"/>
      </bottom>
      <diagonal/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0" fontId="29" fillId="13" borderId="1" applyAlignment="1" applyProtection="1" pivotButton="0" quotePrefix="0" xfId="0">
      <alignment horizontal="center"/>
      <protection locked="0" hidden="0"/>
    </xf>
    <xf numFmtId="0" fontId="30" fillId="0" borderId="0" pivotButton="0" quotePrefix="0" xfId="0"/>
    <xf numFmtId="164" fontId="14" fillId="13" borderId="1" applyAlignment="1" applyProtection="1" pivotButton="0" quotePrefix="0" xfId="0">
      <alignment horizontal="center" vertical="center" wrapText="1"/>
      <protection locked="0" hidden="0"/>
    </xf>
    <xf numFmtId="164" fontId="31" fillId="6" borderId="1" applyAlignment="1" pivotButton="0" quotePrefix="0" xfId="0">
      <alignment horizontal="center"/>
    </xf>
    <xf numFmtId="9" fontId="14" fillId="13" borderId="1" applyAlignment="1" applyProtection="1" pivotButton="0" quotePrefix="0" xfId="0">
      <alignment horizontal="center" vertical="center" wrapText="1"/>
      <protection locked="0" hidden="0"/>
    </xf>
    <xf numFmtId="1" fontId="14" fillId="13" borderId="1" applyAlignment="1" applyProtection="1" pivotButton="0" quotePrefix="0" xfId="0">
      <alignment horizontal="center" vertical="center" wrapText="1"/>
      <protection locked="0" hidden="0"/>
    </xf>
    <xf numFmtId="3" fontId="14" fillId="13" borderId="1" applyAlignment="1" applyProtection="1" pivotButton="0" quotePrefix="0" xfId="0">
      <alignment horizontal="center" vertical="center" wrapText="1"/>
      <protection locked="0" hidden="0"/>
    </xf>
    <xf numFmtId="166" fontId="14" fillId="13" borderId="1" applyAlignment="1" applyProtection="1" pivotButton="0" quotePrefix="0" xfId="0">
      <alignment horizontal="center" vertical="center" wrapText="1"/>
      <protection locked="0" hidden="0"/>
    </xf>
    <xf numFmtId="167" fontId="14" fillId="13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32" fillId="0" borderId="1" applyAlignment="1" pivotButton="0" quotePrefix="0" xfId="0">
      <alignment vertical="top" wrapText="1"/>
    </xf>
    <xf numFmtId="0" fontId="32" fillId="6" borderId="1" applyAlignment="1" pivotButton="0" quotePrefix="0" xfId="0">
      <alignment vertical="top" wrapText="1"/>
    </xf>
    <xf numFmtId="0" fontId="33" fillId="2" borderId="0" applyAlignment="1" pivotButton="0" quotePrefix="0" xfId="0">
      <alignment horizontal="center" vertical="center" wrapText="1"/>
    </xf>
    <xf numFmtId="0" fontId="27" fillId="9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 wrapText="1"/>
    </xf>
    <xf numFmtId="0" fontId="29" fillId="0" borderId="0" pivotButton="0" quotePrefix="0" xfId="0"/>
    <xf numFmtId="0" fontId="20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5" fillId="2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9" fontId="13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38" fillId="0" borderId="0" pivotButton="0" quotePrefix="0" xfId="0"/>
    <xf numFmtId="0" fontId="38" fillId="0" borderId="0" applyAlignment="1" pivotButton="0" quotePrefix="0" xfId="0">
      <alignment horizontal="center" vertical="center" wrapText="1"/>
    </xf>
    <xf numFmtId="0" fontId="27" fillId="7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13" fillId="6" borderId="1" applyAlignment="1" pivotButton="0" quotePrefix="0" xfId="0">
      <alignment vertical="center" wrapText="1"/>
    </xf>
    <xf numFmtId="3" fontId="0" fillId="0" borderId="0" pivotButton="0" quotePrefix="0" xfId="0"/>
    <xf numFmtId="0" fontId="10" fillId="4" borderId="1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14" fillId="4" borderId="1" applyAlignment="1" pivotButton="0" quotePrefix="0" xfId="0">
      <alignment vertical="top"/>
    </xf>
    <xf numFmtId="0" fontId="14" fillId="5" borderId="1" applyAlignment="1" pivotButton="0" quotePrefix="0" xfId="0">
      <alignment vertical="top"/>
    </xf>
    <xf numFmtId="0" fontId="14" fillId="6" borderId="1" applyAlignment="1" pivotButton="0" quotePrefix="0" xfId="0">
      <alignment vertical="top"/>
    </xf>
    <xf numFmtId="0" fontId="39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units by scenario (Yr-1 cost load ÷ contribution/can)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Comparison'!B38</f>
            </strRef>
          </tx>
          <spPr>
            <a:ln>
              <a:prstDash val="solid"/>
            </a:ln>
          </spPr>
          <cat>
            <numRef>
              <f>'Scenario Comparison'!$A$39:$A$41</f>
            </numRef>
          </cat>
          <val>
            <numRef>
              <f>'Scenario Comparison'!$B$39:$B$41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Electrolyte positioning — Sodium (mg) vs Price/serving</a:t>
            </a:r>
          </a:p>
        </rich>
      </tx>
    </title>
    <plotArea>
      <scatterChart>
        <ser>
          <idx val="0"/>
          <order val="0"/>
          <tx>
            <v>LMNT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Set'!$B$27</f>
            </numRef>
          </xVal>
          <yVal>
            <numRef>
              <f>'MÜV Peer Set'!$C$27</f>
            </numRef>
          </yVal>
        </ser>
        <ser>
          <idx val="1"/>
          <order val="1"/>
          <tx>
            <v>Liquid I.V.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Set'!$B$28</f>
            </numRef>
          </xVal>
          <yVal>
            <numRef>
              <f>'MÜV Peer Set'!$C$28</f>
            </numRef>
          </yVal>
        </ser>
        <ser>
          <idx val="2"/>
          <order val="2"/>
          <tx>
            <v>Nuun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Set'!$B$29</f>
            </numRef>
          </xVal>
          <yVal>
            <numRef>
              <f>'MÜV Peer Set'!$C$29</f>
            </numRef>
          </yVal>
        </ser>
        <ser>
          <idx val="3"/>
          <order val="3"/>
          <tx>
            <v>Organika sachets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Set'!$B$30</f>
            </numRef>
          </xVal>
          <yVal>
            <numRef>
              <f>'MÜV Peer Set'!$C$30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mg/serving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Price/serving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Confidence tag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Confidence'!C4</f>
            </strRef>
          </tx>
          <spPr>
            <a:ln>
              <a:prstDash val="solid"/>
            </a:ln>
          </spPr>
          <cat>
            <numRef>
              <f>'Data Confidence'!$B$5:$B$7</f>
            </numRef>
          </cat>
          <val>
            <numRef>
              <f>'Data Confidence'!$C$5:$C$7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MÜV model</author>
  </authors>
  <commentList>
    <comment ref="C4" authorId="0" shapeId="0">
      <text>
        <t>Pick Conservative / Base / Aggressive. The whole P&amp;L, break-even and sensitivity recompute from this one cell.</t>
      </text>
    </comment>
    <comment ref="C8" authorId="0" shapeId="0">
      <text>
        <t>Shelf price per can. Edit per scenario in cols C/D/E.</t>
      </text>
    </comment>
    <comment ref="C9" authorId="0" shapeId="0">
      <text>
        <t>All-in cost/can (liquid+can+co-pack). Remember freight/duty are extra.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Relationship Type="http://schemas.openxmlformats.org/officeDocument/2006/relationships/hyperlink" Target="#'Executive Brief 1-page'!A1" TargetMode="External" Id="rId38" /><Relationship Type="http://schemas.openxmlformats.org/officeDocument/2006/relationships/hyperlink" Target="#'Assumptions Audit'!A1" TargetMode="External" Id="rId39" /><Relationship Type="http://schemas.openxmlformats.org/officeDocument/2006/relationships/hyperlink" Target="#'Data Confidence'!A1" TargetMode="External" Id="rId40" /><Relationship Type="http://schemas.openxmlformats.org/officeDocument/2006/relationships/hyperlink" Target="#'How to Present'!A1" TargetMode="External" Id="rId41" /><Relationship Type="http://schemas.openxmlformats.org/officeDocument/2006/relationships/hyperlink" Target="#'Next Steps &amp; Gates'!A1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3.xm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https://pepsico.com/newsroom" TargetMode="External" Id="rId3" /><Relationship Type="http://schemas.openxmlformats.org/officeDocument/2006/relationships/hyperlink" Target="https://classaction.org" TargetMode="External" Id="rId4" /><Relationship Type="http://schemas.openxmlformats.org/officeDocument/2006/relationships/hyperlink" Target="https://cnbc.com" TargetMode="External" Id="rId5" /><Relationship Type="http://schemas.openxmlformats.org/officeDocument/2006/relationships/hyperlink" Target="https://liquid-iv.com" TargetMode="External" Id="rId6" /><Relationship Type="http://schemas.openxmlformats.org/officeDocument/2006/relationships/hyperlink" Target="https://nestle.com" TargetMode="External" Id="rId7" /><Relationship Type="http://schemas.openxmlformats.org/officeDocument/2006/relationships/hyperlink" Target="https://fooddive.com" TargetMode="External" Id="rId8" /><Relationship Type="http://schemas.openxmlformats.org/officeDocument/2006/relationships/hyperlink" Target="https://bevnet.com" TargetMode="External" Id="rId9" /><Relationship Type="http://schemas.openxmlformats.org/officeDocument/2006/relationships/hyperlink" Target="https://fooddive.com" TargetMode="External" Id="rId10" /><Relationship Type="http://schemas.openxmlformats.org/officeDocument/2006/relationships/hyperlink" Target="https://Am. Journal of Medicine" TargetMode="External" Id="rId11" /><Relationship Type="http://schemas.openxmlformats.org/officeDocument/2006/relationships/hyperlink" Target="https://sellingpartners.aboutamazon.com" TargetMode="External" Id="rId12" /><Relationship Type="http://schemas.openxmlformats.org/officeDocument/2006/relationships/hyperlink" Target="https://canada.ca Health Canada guidance" TargetMode="External" Id="rId13" /><Relationship Type="http://schemas.openxmlformats.org/officeDocument/2006/relationships/hyperlink" Target="https://canada.ca" TargetMode="External" Id="rId14" /><Relationship Type="http://schemas.openxmlformats.org/officeDocument/2006/relationships/hyperlink" Target="https://laws.justice.gc.ca" TargetMode="External" Id="rId15" /><Relationship Type="http://schemas.openxmlformats.org/officeDocument/2006/relationships/hyperlink" Target="https://canada.ca" TargetMode="External" Id="rId16" /><Relationship Type="http://schemas.openxmlformats.org/officeDocument/2006/relationships/hyperlink" Target="https://mltaikins.com" TargetMode="External" Id="rId17" /><Relationship Type="http://schemas.openxmlformats.org/officeDocument/2006/relationships/hyperlink" Target="https://foodincanada.com" TargetMode="External" Id="rId18" /><Relationship Type="http://schemas.openxmlformats.org/officeDocument/2006/relationships/hyperlink" Target="https://fortune.com" TargetMode="External" Id="rId19" /><Relationship Type="http://schemas.openxmlformats.org/officeDocument/2006/relationships/hyperlink" Target="https://bevnet.com" TargetMode="External" Id="rId20" /><Relationship Type="http://schemas.openxmlformats.org/officeDocument/2006/relationships/hyperlink" Target="https://grocerydive.com" TargetMode="External" Id="rId21" /><Relationship Type="http://schemas.openxmlformats.org/officeDocument/2006/relationships/hyperlink" Target="https://foodnavigator-usa.com" TargetMode="External" Id="rId22" /></Relationships>
</file>

<file path=xl/worksheets/_rels/sheet3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drawing" Target="/xl/drawings/drawing4.xml" Id="rId2" /></Relationships>
</file>

<file path=xl/worksheets/_rels/sheet4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4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2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>
      <c r="B7" s="121" t="n"/>
      <c r="C7" s="121" t="n"/>
      <c r="D7" s="121" t="n"/>
    </row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>
      <c r="B11" s="121" t="n"/>
      <c r="C11" s="121" t="n"/>
      <c r="D11" s="121" t="n"/>
    </row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>
      <c r="B15" s="121" t="n"/>
      <c r="C15" s="121" t="n"/>
      <c r="D15" s="121" t="n"/>
    </row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>
      <c r="B19" s="121" t="n"/>
      <c r="C19" s="121" t="n"/>
      <c r="D19" s="121" t="n"/>
    </row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>
      <c r="B23" s="121" t="n"/>
      <c r="C23" s="121" t="n"/>
      <c r="D23" s="121" t="n"/>
    </row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  <c r="C25" s="34" t="n"/>
      <c r="D25" s="34" t="n"/>
      <c r="E25" s="35" t="n"/>
    </row>
  </sheetData>
  <mergeCells count="23">
    <mergeCell ref="B9:E9"/>
    <mergeCell ref="B18:B19"/>
    <mergeCell ref="B5:E5"/>
    <mergeCell ref="C10:C11"/>
    <mergeCell ref="B14:B15"/>
    <mergeCell ref="C22:C23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M1" s="95" t="inlineStr">
        <is>
          <t>🏠 Home</t>
        </is>
      </c>
    </row>
    <row r="2" ht="30" customHeight="1">
      <c r="B2" s="136" t="inlineStr">
        <is>
          <t>EXECUTIVE BRIEF — MÜV Canada Launch</t>
        </is>
      </c>
    </row>
    <row r="3" ht="22" customHeight="1">
      <c r="B3" s="137" t="inlineStr">
        <is>
          <t>VERDICT: GO — conditional.  Launch as daily-wellness sparkling hydration, made in Canada.</t>
        </is>
      </c>
    </row>
    <row r="5" ht="18" customHeight="1">
      <c r="B5" s="138" t="inlineStr">
        <is>
          <t>WHAT MÜV IS</t>
        </is>
      </c>
    </row>
    <row r="6" ht="14" customHeight="1">
      <c r="B6" s="139" t="inlineStr">
        <is>
          <t>Ready-to-drink sparkling electrolyte CAN (SKU 4338, ~$14.99): carbonated water + Fibersol prebiotic fibre, magnesium glycinate, stevia; 0 sugar, caffeine-free. Food-regulated in Canada.</t>
        </is>
      </c>
    </row>
    <row r="7" ht="18" customHeight="1">
      <c r="B7" s="138" t="inlineStr">
        <is>
          <t>WHY NOW (category)</t>
        </is>
      </c>
    </row>
    <row r="8" ht="14" customHeight="1">
      <c r="B8" s="139" t="inlineStr">
        <is>
          <t>US powdered hydration $1.5B in 2024, +20% YoY, 4 straight yrs double-digit (Circana). Liquid I.V. #1, entered Canada 2023. Flavored SPARKLING electrolyte is genuine white space.</t>
        </is>
      </c>
    </row>
    <row r="9" ht="18" customHeight="1">
      <c r="B9" s="138" t="inlineStr">
        <is>
          <t>THE PRICE / SODIUM LADDER</t>
        </is>
      </c>
    </row>
    <row r="10" ht="14" customHeight="1">
      <c r="B10" s="139" t="inlineStr">
        <is>
          <t>LMNT 1,000mg / ~$1.50 (performance)  ·  Liquid I.V. 500mg / ~$1.56 (daily)  ·  Nuun 300mg / ~$0.75 (value)  ·  MÜV sparkling can $14.99/pack (daily-wellness sparkling).</t>
        </is>
      </c>
    </row>
    <row r="11" ht="18" customHeight="1">
      <c r="B11" s="96" t="inlineStr">
        <is>
          <t>RECOMMENDATION — 5 MOVES</t>
        </is>
      </c>
    </row>
    <row r="12" ht="14" customHeight="1">
      <c r="B12" s="139" t="inlineStr">
        <is>
          <t>1. Beachhead: Costco Canada (roadshow sampling) + Amazon.ca / Well.ca / DTC — channels Organika already holds.</t>
        </is>
      </c>
    </row>
    <row r="13" ht="14" customHeight="1">
      <c r="B13" s="139" t="inlineStr">
        <is>
          <t>2. Position: daily-wellness sparkling, made in Canada — between Liquid I.V. and LMNT.</t>
        </is>
      </c>
    </row>
    <row r="14" ht="14" customHeight="1">
      <c r="B14" s="139" t="inlineStr">
        <is>
          <t>3. Label to the Supplemented-Food framework from day one (SFFt; cautions if triggered).</t>
        </is>
      </c>
    </row>
    <row r="15" ht="14" customHeight="1">
      <c r="B15" s="139" t="inlineStr">
        <is>
          <t>4. Keep collagen-beauty claims on the NHP powder line, NOT the can.</t>
        </is>
      </c>
    </row>
    <row r="16" ht="14" customHeight="1">
      <c r="B16" s="139" t="inlineStr">
        <is>
          <t>5. Borrow LMNT's sample funnel + #WaterTok creators; lean on BC manufacturing for margin.</t>
        </is>
      </c>
    </row>
    <row r="17" ht="18" customHeight="1">
      <c r="B17" s="140" t="inlineStr">
        <is>
          <t>TOP RISKS</t>
        </is>
      </c>
    </row>
    <row r="18" ht="14" customHeight="1">
      <c r="B18" s="139" t="inlineStr">
        <is>
          <t>Collagen efficacy/claims liability → dose to efficacy, food-safe language.</t>
        </is>
      </c>
    </row>
    <row r="19" ht="14" customHeight="1">
      <c r="B19" s="139" t="inlineStr">
        <is>
          <t>Strategic-owned rivals (Nestlé/Unilever/PepsiCo) → compete on Canadian-made + niche beachhead.</t>
        </is>
      </c>
    </row>
    <row r="20" ht="14" customHeight="1">
      <c r="B20" s="139" t="inlineStr">
        <is>
          <t>Over-distribution before PMF → prove repeat/velocity before national grocery.</t>
        </is>
      </c>
    </row>
    <row r="21" ht="18" customHeight="1">
      <c r="B21" s="141" t="inlineStr">
        <is>
          <t>REGULATORY (Canada)</t>
        </is>
      </c>
    </row>
    <row r="22" ht="14" customHeight="1">
      <c r="B22" s="139" t="inlineStr">
        <is>
          <t>Sport-electrolytes reclassifying NHP → Supplemented Foods by 2027-12-31; new products comply now. Format is not the decider — claims are. Collagen beauty = NHP-only.</t>
        </is>
      </c>
    </row>
    <row r="24">
      <c r="B24" s="142" t="inlineStr">
        <is>
          <t>Confidence-tagged throughout; MÜV on-can sodium TBD (confirm with brand). Full detail via 🏠 Start Here.</t>
        </is>
      </c>
    </row>
  </sheetData>
  <mergeCells count="21">
    <mergeCell ref="B9:E9"/>
    <mergeCell ref="B6:E6"/>
    <mergeCell ref="B15:E15"/>
    <mergeCell ref="B24:E24"/>
    <mergeCell ref="B5:E5"/>
    <mergeCell ref="B20:E20"/>
    <mergeCell ref="B16:E16"/>
    <mergeCell ref="B7:E7"/>
    <mergeCell ref="B3:E3"/>
    <mergeCell ref="B22:E22"/>
    <mergeCell ref="B18:E18"/>
    <mergeCell ref="B12:E12"/>
    <mergeCell ref="B21:E21"/>
    <mergeCell ref="B11:E11"/>
    <mergeCell ref="B2:E2"/>
    <mergeCell ref="B14:E14"/>
    <mergeCell ref="B17:E17"/>
    <mergeCell ref="B8:E8"/>
    <mergeCell ref="B13:E13"/>
    <mergeCell ref="B19:E19"/>
    <mergeCell ref="B10:E10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MÜV — a Canadian sparkling electrolyte RTD (can) — in Canada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2026-07-18</t>
        </is>
      </c>
    </row>
    <row r="13" ht="28" customHeight="1">
      <c r="B13" s="4" t="inlineStr">
        <is>
          <t>Status</t>
        </is>
      </c>
      <c r="C13" s="5" t="inlineStr">
        <is>
          <t>Working draft — 38+ tabs. Start on 🏠 Start Here; one-page summary on Executive Brief 1-page. Interactive: Financial Model · Scenario Comparison · Go-NoGo. Verify amber-flagged items before external use.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52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  <row r="40">
      <c r="A40" s="120" t="inlineStr">
        <is>
          <t>Executive Brief 1-page</t>
        </is>
      </c>
      <c r="B40" s="103" t="inlineStr">
        <is>
          <t>One printable page: verdict, numbers, 5 moves, risks</t>
        </is>
      </c>
    </row>
    <row r="41">
      <c r="A41" s="120" t="inlineStr">
        <is>
          <t>Assumptions Audit</t>
        </is>
      </c>
      <c r="B41" s="103" t="inlineStr">
        <is>
          <t>Every model input with its source &amp; confidence tag</t>
        </is>
      </c>
    </row>
    <row r="42">
      <c r="A42" s="120" t="inlineStr">
        <is>
          <t>Data Confidence</t>
        </is>
      </c>
      <c r="B42" s="103" t="inlineStr">
        <is>
          <t>Scoreboard: ✅/◐/⚠ tag counts across the dossier</t>
        </is>
      </c>
    </row>
    <row r="44" ht="20" customHeight="1">
      <c r="A44" s="160" t="inlineStr">
        <is>
          <t>HOW TO NAVIGATE</t>
        </is>
      </c>
    </row>
    <row r="45" ht="22" customHeight="1">
      <c r="A45" s="161" t="inlineStr">
        <is>
          <t>Click any tab name above</t>
        </is>
      </c>
      <c r="B45" s="162" t="inlineStr">
        <is>
          <t>jumps straight to that tab</t>
        </is>
      </c>
    </row>
    <row r="46" ht="22" customHeight="1">
      <c r="A46" s="163" t="inlineStr">
        <is>
          <t>🏠 Start Here</t>
        </is>
      </c>
      <c r="B46" s="164" t="inlineStr">
        <is>
          <t>the front door — grouped cards to every section (workbook opens here)</t>
        </is>
      </c>
    </row>
    <row r="47" ht="22" customHeight="1">
      <c r="A47" s="161" t="inlineStr">
        <is>
          <t>🏠 Home (top-right of every tab)</t>
        </is>
      </c>
      <c r="B47" s="162" t="inlineStr">
        <is>
          <t>returns to Start Here</t>
        </is>
      </c>
    </row>
    <row r="48" ht="22" customHeight="1">
      <c r="A48" s="163" t="inlineStr">
        <is>
          <t>Gold tab</t>
        </is>
      </c>
      <c r="B48" s="164" t="inlineStr">
        <is>
          <t>interactive: Financial Model, Scenario Comparison, Go-NoGo, Peer Set, Data Confidence, etc.</t>
        </is>
      </c>
    </row>
    <row r="49" ht="22" customHeight="1">
      <c r="A49" s="161" t="inlineStr">
        <is>
          <t>Executive Brief 1-page</t>
        </is>
      </c>
      <c r="B49" s="162" t="inlineStr">
        <is>
          <t>the whole recommendation on one printable page</t>
        </is>
      </c>
    </row>
    <row r="50" ht="22" customHeight="1">
      <c r="A50" s="163" t="inlineStr">
        <is>
          <t>Confidence tags ✅ / ◐ / ⚠</t>
        </is>
      </c>
      <c r="B50" s="164" t="inlineStr">
        <is>
          <t>hard evidence / directional / estimate-or-flag (see Data Confidence scoreboard)</t>
        </is>
      </c>
    </row>
    <row r="51">
      <c r="A51" s="120" t="inlineStr">
        <is>
          <t>How to Present</t>
        </is>
      </c>
      <c r="B51" s="103" t="inlineStr">
        <is>
          <t>Leadership readout — one talking point per key tab</t>
        </is>
      </c>
    </row>
    <row r="52">
      <c r="A52" s="120" t="inlineStr">
        <is>
          <t>Next Steps &amp; Gates</t>
        </is>
      </c>
      <c r="B52" s="103" t="inlineStr">
        <is>
          <t>Immediate actions &amp; decision gates with status</t>
        </is>
      </c>
    </row>
  </sheetData>
  <mergeCells count="2">
    <mergeCell ref="A44:B44"/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51" r:id="rId41"/>
    <hyperlink xmlns:r="http://schemas.openxmlformats.org/officeDocument/2006/relationships" ref="A52" r:id="rId4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3" ht="18" customHeight="1">
      <c r="A3" s="167" t="inlineStr">
        <is>
          <t>THESIS: MÜV wins the daily-wellness SPARKLING electrolyte lane, made in Canada — food-regulated, priced with the electrolyte peers, GTM borrowed from the soda winners.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9">
    <mergeCell ref="C6:D6"/>
    <mergeCell ref="I6:J6"/>
    <mergeCell ref="C5:D5"/>
    <mergeCell ref="E5:F5"/>
    <mergeCell ref="A3:L3"/>
    <mergeCell ref="A6:B6"/>
    <mergeCell ref="C4:D4"/>
    <mergeCell ref="A2:L2"/>
    <mergeCell ref="E4:F4"/>
    <mergeCell ref="G6:H6"/>
    <mergeCell ref="E6:F6"/>
    <mergeCell ref="A5:B5"/>
    <mergeCell ref="G5:H5"/>
    <mergeCell ref="I5:J5"/>
    <mergeCell ref="A39:L39"/>
    <mergeCell ref="A4:B4"/>
    <mergeCell ref="G4:H4"/>
    <mergeCell ref="I4:J4"/>
    <mergeCell ref="A1:L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122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6">
      <c r="F6" s="123" t="inlineStr">
        <is>
          <t>LEGEND</t>
        </is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24" t="inlineStr">
        <is>
          <t xml:space="preserve">  edit me  </t>
        </is>
      </c>
      <c r="G7" s="125">
        <f> yellow input cell</f>
        <v/>
      </c>
    </row>
    <row r="8" ht="16" customHeight="1">
      <c r="B8" s="65" t="inlineStr">
        <is>
          <t>List price / can (CAD)</t>
        </is>
      </c>
      <c r="C8" s="126" t="n">
        <v>3.29</v>
      </c>
      <c r="D8" s="126" t="n">
        <v>3.49</v>
      </c>
      <c r="E8" s="126" t="n">
        <v>3.79</v>
      </c>
      <c r="F8" s="127" t="inlineStr">
        <is>
          <t xml:space="preserve">  formula  </t>
        </is>
      </c>
      <c r="G8" s="125">
        <f> calculated (locked)</f>
        <v/>
      </c>
    </row>
    <row r="9" ht="16" customHeight="1">
      <c r="B9" s="65" t="inlineStr">
        <is>
          <t>COGS / can (CAD)</t>
        </is>
      </c>
      <c r="C9" s="126" t="n">
        <v>1.2</v>
      </c>
      <c r="D9" s="126" t="n">
        <v>1.05</v>
      </c>
      <c r="E9" s="126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128" t="n">
        <v>0.38</v>
      </c>
      <c r="D10" s="128" t="n">
        <v>0.35</v>
      </c>
      <c r="E10" s="128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128" t="n">
        <v>0.18</v>
      </c>
      <c r="D11" s="128" t="n">
        <v>0.15</v>
      </c>
      <c r="E11" s="128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128" t="n">
        <v>0.25</v>
      </c>
      <c r="D12" s="128" t="n">
        <v>0.2</v>
      </c>
      <c r="E12" s="128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129" t="n">
        <v>12</v>
      </c>
      <c r="D13" s="129" t="n">
        <v>12</v>
      </c>
      <c r="E13" s="129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130" t="n">
        <v>300</v>
      </c>
      <c r="D14" s="130" t="n">
        <v>500</v>
      </c>
      <c r="E14" s="130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130" t="n">
        <v>1200</v>
      </c>
      <c r="D15" s="130" t="n">
        <v>2000</v>
      </c>
      <c r="E15" s="130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130" t="n">
        <v>3500</v>
      </c>
      <c r="D16" s="130" t="n">
        <v>6000</v>
      </c>
      <c r="E16" s="130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131" t="n">
        <v>2</v>
      </c>
      <c r="D17" s="131" t="n">
        <v>3</v>
      </c>
      <c r="E17" s="131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131" t="n">
        <v>3</v>
      </c>
      <c r="D18" s="131" t="n">
        <v>4</v>
      </c>
      <c r="E18" s="131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131" t="n">
        <v>3.5</v>
      </c>
      <c r="D19" s="131" t="n">
        <v>5</v>
      </c>
      <c r="E19" s="131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132" t="n">
        <v>150000</v>
      </c>
      <c r="D20" s="132" t="n">
        <v>300000</v>
      </c>
      <c r="E20" s="13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132" t="n">
        <v>250000</v>
      </c>
      <c r="D21" s="132" t="n">
        <v>350000</v>
      </c>
      <c r="E21" s="13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132" t="n">
        <v>50000</v>
      </c>
      <c r="D22" s="132" t="n">
        <v>100000</v>
      </c>
      <c r="E22" s="13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 ht="26" customHeight="1">
      <c r="A1" s="143" t="inlineStr">
        <is>
          <t>Assumptions Audit — every model input, with source &amp; confidence</t>
        </is>
      </c>
      <c r="M1" s="95" t="inlineStr">
        <is>
          <t>🏠 Home</t>
        </is>
      </c>
    </row>
    <row r="3">
      <c r="A3" s="74" t="inlineStr">
        <is>
          <t>Input</t>
        </is>
      </c>
      <c r="B3" s="74" t="inlineStr">
        <is>
          <t>Conservative</t>
        </is>
      </c>
      <c r="C3" s="74" t="inlineStr">
        <is>
          <t>Base</t>
        </is>
      </c>
      <c r="D3" s="74" t="inlineStr">
        <is>
          <t>Aggressive</t>
        </is>
      </c>
      <c r="E3" s="74" t="inlineStr">
        <is>
          <t>Source / confidence</t>
        </is>
      </c>
    </row>
    <row r="4" ht="26" customHeight="1">
      <c r="A4" s="57" t="inlineStr">
        <is>
          <t>List price / can (CAD)</t>
        </is>
      </c>
      <c r="B4" s="144" t="inlineStr">
        <is>
          <t>$3.29</t>
        </is>
      </c>
      <c r="C4" s="144" t="inlineStr">
        <is>
          <t>$3.49</t>
        </is>
      </c>
      <c r="D4" s="144" t="inlineStr">
        <is>
          <t>$3.79</t>
        </is>
      </c>
      <c r="E4" s="103" t="inlineStr">
        <is>
          <t>MÜV SRP ~$14.99/pack; per-can set vs ~$3.49 CAD premium shelf norm ◐</t>
        </is>
      </c>
    </row>
    <row r="5" ht="26" customHeight="1">
      <c r="A5" s="59" t="inlineStr">
        <is>
          <t>COGS / can (CAD)</t>
        </is>
      </c>
      <c r="B5" s="145" t="inlineStr">
        <is>
          <t>$1.20</t>
        </is>
      </c>
      <c r="C5" s="145" t="inlineStr">
        <is>
          <t>$1.05</t>
        </is>
      </c>
      <c r="D5" s="145" t="inlineStr">
        <is>
          <t>$0.95</t>
        </is>
      </c>
      <c r="E5" s="146" t="inlineStr">
        <is>
          <t>Industry rule-of-thumb &lt;$1 target at scale; excludes freight/duty ⚠</t>
        </is>
      </c>
    </row>
    <row r="6" ht="26" customHeight="1">
      <c r="A6" s="57" t="inlineStr">
        <is>
          <t>Retailer margin %</t>
        </is>
      </c>
      <c r="B6" s="144" t="inlineStr">
        <is>
          <t>38%</t>
        </is>
      </c>
      <c r="C6" s="144" t="inlineStr">
        <is>
          <t>35%</t>
        </is>
      </c>
      <c r="D6" s="144" t="inlineStr">
        <is>
          <t>33%</t>
        </is>
      </c>
      <c r="E6" s="103" t="inlineStr">
        <is>
          <t>Grocery bev 30–40% rule-of-thumb ◐</t>
        </is>
      </c>
    </row>
    <row r="7" ht="26" customHeight="1">
      <c r="A7" s="59" t="inlineStr">
        <is>
          <t>Distributor margin %</t>
        </is>
      </c>
      <c r="B7" s="145" t="inlineStr">
        <is>
          <t>18%</t>
        </is>
      </c>
      <c r="C7" s="145" t="inlineStr">
        <is>
          <t>15%</t>
        </is>
      </c>
      <c r="D7" s="145" t="inlineStr">
        <is>
          <t>12%</t>
        </is>
      </c>
      <c r="E7" s="146" t="inlineStr">
        <is>
          <t>UNFI/KeHE ~13–25% range ◐</t>
        </is>
      </c>
    </row>
    <row r="8" ht="26" customHeight="1">
      <c r="A8" s="57" t="inlineStr">
        <is>
          <t>Trade spend % of net</t>
        </is>
      </c>
      <c r="B8" s="144" t="inlineStr">
        <is>
          <t>25%</t>
        </is>
      </c>
      <c r="C8" s="144" t="inlineStr">
        <is>
          <t>20%</t>
        </is>
      </c>
      <c r="D8" s="144" t="inlineStr">
        <is>
          <t>15%</t>
        </is>
      </c>
      <c r="E8" s="103" t="inlineStr">
        <is>
          <t>Emerging-brand 10–20%+ ◐</t>
        </is>
      </c>
    </row>
    <row r="9" ht="26" customHeight="1">
      <c r="A9" s="59" t="inlineStr">
        <is>
          <t>Doors Y1 / Y2 / Y3</t>
        </is>
      </c>
      <c r="B9" s="145" t="inlineStr">
        <is>
          <t>300/1.2k/3.5k</t>
        </is>
      </c>
      <c r="C9" s="145" t="inlineStr">
        <is>
          <t>500/2k/6k</t>
        </is>
      </c>
      <c r="D9" s="145" t="inlineStr">
        <is>
          <t>900/3.5k/11k</t>
        </is>
      </c>
      <c r="E9" s="146" t="inlineStr">
        <is>
          <t>Illustrative beachhead→scale ramp ⚠</t>
        </is>
      </c>
    </row>
    <row r="10" ht="26" customHeight="1">
      <c r="A10" s="57" t="inlineStr">
        <is>
          <t>Velocity (u/store/wk)</t>
        </is>
      </c>
      <c r="B10" s="144" t="inlineStr">
        <is>
          <t>2 / 3 / 3.5</t>
        </is>
      </c>
      <c r="C10" s="144" t="inlineStr">
        <is>
          <t>3 / 4 / 5</t>
        </is>
      </c>
      <c r="D10" s="144" t="inlineStr">
        <is>
          <t>4.5 / 6 / 7.5</t>
        </is>
      </c>
      <c r="E10" s="103" t="inlineStr">
        <is>
          <t>Illustrative; buyers reward velocity ⚠</t>
        </is>
      </c>
    </row>
    <row r="11" ht="26" customHeight="1">
      <c r="A11" s="59" t="inlineStr">
        <is>
          <t>Marketing / yr</t>
        </is>
      </c>
      <c r="B11" s="145" t="inlineStr">
        <is>
          <t>$150k</t>
        </is>
      </c>
      <c r="C11" s="145" t="inlineStr">
        <is>
          <t>$300k</t>
        </is>
      </c>
      <c r="D11" s="145" t="inlineStr">
        <is>
          <t>$600k</t>
        </is>
      </c>
      <c r="E11" s="146" t="inlineStr">
        <is>
          <t>Illustrative challenger budget ⚠</t>
        </is>
      </c>
    </row>
    <row r="12" ht="26" customHeight="1">
      <c r="A12" s="57" t="inlineStr">
        <is>
          <t>Fixed overhead / yr</t>
        </is>
      </c>
      <c r="B12" s="144" t="inlineStr">
        <is>
          <t>$250k</t>
        </is>
      </c>
      <c r="C12" s="144" t="inlineStr">
        <is>
          <t>$350k</t>
        </is>
      </c>
      <c r="D12" s="144" t="inlineStr">
        <is>
          <t>$500k</t>
        </is>
      </c>
      <c r="E12" s="103" t="inlineStr">
        <is>
          <t>Illustrative ⚠</t>
        </is>
      </c>
    </row>
    <row r="13" ht="26" customHeight="1">
      <c r="A13" s="59" t="inlineStr">
        <is>
          <t>Slotting (Y1 one-time)</t>
        </is>
      </c>
      <c r="B13" s="145" t="inlineStr">
        <is>
          <t>$50k</t>
        </is>
      </c>
      <c r="C13" s="145" t="inlineStr">
        <is>
          <t>$100k</t>
        </is>
      </c>
      <c r="D13" s="145" t="inlineStr">
        <is>
          <t>$200k</t>
        </is>
      </c>
      <c r="E13" s="146" t="inlineStr">
        <is>
          <t>Slotting $250–$250k/SKU range ◐</t>
        </is>
      </c>
    </row>
    <row r="15" ht="30" customHeight="1">
      <c r="A15" s="147" t="inlineStr">
        <is>
          <t>All financial inputs are ILLUSTRATIVE planning scaffolding, not a forecast. Replace each with real co-packer, distributor and buyer numbers. ◐ rule-of-thumb · ⚠ estimate/illustrative.</t>
        </is>
      </c>
      <c r="B15" s="34" t="n"/>
      <c r="C15" s="34" t="n"/>
      <c r="D15" s="34" t="n"/>
      <c r="E15" s="35" t="n"/>
    </row>
  </sheetData>
  <mergeCells count="2">
    <mergeCell ref="A15:E15"/>
    <mergeCell ref="A1:E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46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s="165" t="n">
        <v>1065469</v>
      </c>
      <c r="C19" s="165" t="n">
        <v>-365298</v>
      </c>
    </row>
    <row r="20" hidden="1">
      <c r="A20" t="inlineStr">
        <is>
          <t>Base</t>
        </is>
      </c>
      <c r="B20" s="165" t="n">
        <v>3008031</v>
      </c>
      <c r="C20" s="165" t="n">
        <v>118425</v>
      </c>
    </row>
    <row r="21" hidden="1">
      <c r="A21" t="inlineStr">
        <is>
          <t>Aggressive</t>
        </is>
      </c>
      <c r="B21" s="165" t="n">
        <v>9586365</v>
      </c>
      <c r="C21" s="165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  <row r="37" hidden="1">
      <c r="A37" s="41" t="inlineStr">
        <is>
          <t>(break-even chart data)</t>
        </is>
      </c>
    </row>
    <row r="38" hidden="1">
      <c r="A38" t="inlineStr">
        <is>
          <t>Scenario</t>
        </is>
      </c>
      <c r="B38" t="inlineStr">
        <is>
          <t>Break-even units</t>
        </is>
      </c>
    </row>
    <row r="39" hidden="1">
      <c r="A39" t="inlineStr">
        <is>
          <t>Conservative</t>
        </is>
      </c>
      <c r="B39" s="165" t="n">
        <v>8260367</v>
      </c>
    </row>
    <row r="40" hidden="1">
      <c r="A40" t="inlineStr">
        <is>
          <t>Base</t>
        </is>
      </c>
      <c r="B40" s="165" t="n">
        <v>1522595</v>
      </c>
    </row>
    <row r="41" hidden="1">
      <c r="A41" t="inlineStr">
        <is>
          <t>Aggressive</t>
        </is>
      </c>
      <c r="B41" s="165" t="n">
        <v>1369291</v>
      </c>
    </row>
    <row r="43">
      <c r="A43" s="42" t="inlineStr">
        <is>
          <t>TAKEAWAY BY SCENARIO</t>
        </is>
      </c>
    </row>
    <row r="44" ht="30" customHeight="1">
      <c r="A44" s="168" t="inlineStr">
        <is>
          <t>Conservative</t>
        </is>
      </c>
      <c r="B44" s="58" t="inlineStr">
        <is>
          <t>Downside case — thin margins, later break-even. Validates the floor: even here MÜV has a defined path, not a hole.</t>
        </is>
      </c>
    </row>
    <row r="45" ht="30" customHeight="1">
      <c r="A45" s="169" t="inlineStr">
        <is>
          <t>Base</t>
        </is>
      </c>
      <c r="B45" s="58" t="inlineStr">
        <is>
          <t>Planning anchor — healthy contribution and break-even within the Year-1 door plan. The realistic case to underwrite.</t>
        </is>
      </c>
    </row>
    <row r="46" ht="30" customHeight="1">
      <c r="A46" s="170" t="inlineStr">
        <is>
          <t>Aggressive</t>
        </is>
      </c>
      <c r="B46" s="58" t="inlineStr">
        <is>
          <t>Upside — if the sparkling wedge + Costco beachhead over-deliver on velocity. Treat as ceiling, not plan.</t>
        </is>
      </c>
    </row>
  </sheetData>
  <mergeCells count="7">
    <mergeCell ref="A34:E34"/>
    <mergeCell ref="A2:E2"/>
    <mergeCell ref="B45:D45"/>
    <mergeCell ref="B46:D46"/>
    <mergeCell ref="A1:E1"/>
    <mergeCell ref="A43:D43"/>
    <mergeCell ref="B44:D4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0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  <row r="25" hidden="1">
      <c r="A25" s="41" t="inlineStr">
        <is>
          <t>Positioning: sodium (mg) vs price/serving — data</t>
        </is>
      </c>
    </row>
    <row r="26" hidden="1">
      <c r="A26" t="inlineStr">
        <is>
          <t>Brand</t>
        </is>
      </c>
      <c r="B26" t="inlineStr">
        <is>
          <t>Sodium</t>
        </is>
      </c>
      <c r="C26" t="inlineStr">
        <is>
          <t>Price</t>
        </is>
      </c>
    </row>
    <row r="27" hidden="1">
      <c r="A27" t="inlineStr">
        <is>
          <t>LMNT</t>
        </is>
      </c>
      <c r="B27" t="n">
        <v>1000</v>
      </c>
      <c r="C27" t="n">
        <v>1.5</v>
      </c>
    </row>
    <row r="28" hidden="1">
      <c r="A28" t="inlineStr">
        <is>
          <t>Liquid I.V.</t>
        </is>
      </c>
      <c r="B28" t="n">
        <v>500</v>
      </c>
      <c r="C28" t="n">
        <v>1.56</v>
      </c>
    </row>
    <row r="29" hidden="1">
      <c r="A29" t="inlineStr">
        <is>
          <t>Nuun</t>
        </is>
      </c>
      <c r="B29" t="n">
        <v>300</v>
      </c>
      <c r="C29" t="n">
        <v>0.75</v>
      </c>
    </row>
    <row r="30" hidden="1">
      <c r="A30" t="inlineStr">
        <is>
          <t>Organika sachets</t>
        </is>
      </c>
      <c r="B30" t="n">
        <v>440</v>
      </c>
      <c r="C30" t="n">
        <v>1</v>
      </c>
    </row>
    <row r="31" hidden="1"/>
    <row r="32" hidden="1">
      <c r="A32" s="133" t="inlineStr">
        <is>
          <t>MÜV sodium/serving TBD (confirm on-can) — plot when known. Aim: daily-wellness zone (moderate sodium, mid price).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8" customWidth="1" min="2" max="2"/>
    <col width="24" customWidth="1" min="3" max="3"/>
  </cols>
  <sheetData>
    <row r="1" ht="26" customHeight="1">
      <c r="A1" s="153" t="inlineStr">
        <is>
          <t>How to Present — leadership readout</t>
        </is>
      </c>
      <c r="M1" s="95" t="inlineStr">
        <is>
          <t>🏠 Home</t>
        </is>
      </c>
    </row>
    <row r="2">
      <c r="A2" s="154" t="inlineStr">
        <is>
          <t>One line to say on each key tab. Lead with the decision; let the tabs back it up.</t>
        </is>
      </c>
    </row>
    <row r="4">
      <c r="A4" s="74" t="inlineStr">
        <is>
          <t>Tab</t>
        </is>
      </c>
      <c r="B4" s="74" t="inlineStr">
        <is>
          <t>Say this</t>
        </is>
      </c>
      <c r="C4" s="74" t="inlineStr">
        <is>
          <t>Then show</t>
        </is>
      </c>
    </row>
    <row r="5" ht="32" customHeight="1">
      <c r="A5" s="57" t="inlineStr">
        <is>
          <t>Open</t>
        </is>
      </c>
      <c r="B5" s="103" t="inlineStr">
        <is>
          <t>“One decision: GO — conditional. Launch MÜV as daily-wellness sparkling hydration, made in Canada.”</t>
        </is>
      </c>
      <c r="C5" s="103" t="inlineStr">
        <is>
          <t>Executive Brief 1-page</t>
        </is>
      </c>
    </row>
    <row r="6" ht="32" customHeight="1">
      <c r="A6" s="59" t="inlineStr">
        <is>
          <t>Executive Brief</t>
        </is>
      </c>
      <c r="B6" s="146" t="inlineStr">
        <is>
          <t>“Here's the whole case on one page — verdict, numbers, five moves, risks.”</t>
        </is>
      </c>
      <c r="C6" s="146" t="inlineStr">
        <is>
          <t>Executive Brief 1-page</t>
        </is>
      </c>
    </row>
    <row r="7" ht="32" customHeight="1">
      <c r="A7" s="57" t="inlineStr">
        <is>
          <t>Dashboard</t>
        </is>
      </c>
      <c r="B7" s="103" t="inlineStr">
        <is>
          <t>“The category is real: modern soda $1.8B (+83%), hydration powders $1.5B (+20%).”</t>
        </is>
      </c>
      <c r="C7" s="103" t="inlineStr">
        <is>
          <t>Dashboard charts</t>
        </is>
      </c>
    </row>
    <row r="8" ht="32" customHeight="1">
      <c r="A8" s="59" t="inlineStr">
        <is>
          <t>MÜV Peer Set</t>
        </is>
      </c>
      <c r="B8" s="146" t="inlineStr">
        <is>
          <t>“We compete with LMNT, Liquid I.V., Nuun — not Poppi. Sparkling is our wedge.”</t>
        </is>
      </c>
      <c r="C8" s="146" t="inlineStr">
        <is>
          <t>peer ladder + scatter</t>
        </is>
      </c>
    </row>
    <row r="9" ht="32" customHeight="1">
      <c r="A9" s="57" t="inlineStr">
        <is>
          <t>Financial Model</t>
        </is>
      </c>
      <c r="B9" s="103" t="inlineStr">
        <is>
          <t>“Flip the scenario. Even Conservative has a defined break-even; Base is healthy.”</t>
        </is>
      </c>
      <c r="C9" s="103" t="inlineStr">
        <is>
          <t>scenario dropdown</t>
        </is>
      </c>
    </row>
    <row r="10" ht="32" customHeight="1">
      <c r="A10" s="59" t="inlineStr">
        <is>
          <t>Canada Regulatory v2</t>
        </is>
      </c>
      <c r="B10" s="146" t="inlineStr">
        <is>
          <t>“It's a food, not an NHP. We label to Supplemented Foods now; collagen claims stay on the powder.”</t>
        </is>
      </c>
      <c r="C10" s="146" t="inlineStr">
        <is>
          <t>claims fork table</t>
        </is>
      </c>
    </row>
    <row r="11" ht="32" customHeight="1">
      <c r="A11" s="57" t="inlineStr">
        <is>
          <t>Go-No-Go</t>
        </is>
      </c>
      <c r="B11" s="103" t="inlineStr">
        <is>
          <t>“The weighted gates say GO — conditional. The conditions are dose/claims and regulatory sign-off.”</t>
        </is>
      </c>
      <c r="C11" s="103" t="inlineStr">
        <is>
          <t>auto-verdict</t>
        </is>
      </c>
    </row>
    <row r="12" ht="32" customHeight="1">
      <c r="A12" s="59" t="inlineStr">
        <is>
          <t>Data Confidence / Verification Log</t>
        </is>
      </c>
      <c r="B12" s="146" t="inlineStr">
        <is>
          <t>“Every load-bearing number is primary-sourced; estimates are flagged, not hidden.”</t>
        </is>
      </c>
      <c r="C12" s="146" t="inlineStr">
        <is>
          <t>scoreboard</t>
        </is>
      </c>
    </row>
    <row r="13" ht="32" customHeight="1">
      <c r="A13" s="57" t="inlineStr">
        <is>
          <t>Risk Register</t>
        </is>
      </c>
      <c r="B13" s="103" t="inlineStr">
        <is>
          <t>“Top three risks — claims liability, big-CPG rivals, over-distribution — all mitigable.”</t>
        </is>
      </c>
      <c r="C13" s="103" t="inlineStr">
        <is>
          <t>heatmap</t>
        </is>
      </c>
    </row>
    <row r="14" ht="32" customHeight="1">
      <c r="A14" s="59" t="inlineStr">
        <is>
          <t>The ask</t>
        </is>
      </c>
      <c r="B14" s="146" t="inlineStr">
        <is>
          <t>“Approve Phase 0: confirm MÜV specs, regulatory sign-off, co-packer quote, Costco beachhead.”</t>
        </is>
      </c>
      <c r="C14" s="146" t="inlineStr">
        <is>
          <t>Next Steps &amp; Gates</t>
        </is>
      </c>
    </row>
  </sheetData>
  <mergeCells count="2">
    <mergeCell ref="A1:D1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6" customWidth="1" min="3" max="3"/>
    <col width="12" customWidth="1" min="4" max="4"/>
    <col width="34" customWidth="1" min="5" max="5"/>
    <col width="10" customWidth="1" min="6" max="6"/>
  </cols>
  <sheetData>
    <row r="1" ht="26" customHeight="1">
      <c r="A1" s="153" t="inlineStr">
        <is>
          <t>Next Steps &amp; Decision Gates</t>
        </is>
      </c>
      <c r="M1" s="95" t="inlineStr">
        <is>
          <t>🏠 Home</t>
        </is>
      </c>
    </row>
    <row r="2">
      <c r="A2" s="154" t="inlineStr">
        <is>
          <t>Immediate actions to move MÜV forward. Status is illustrative — set owners/dates with the team.</t>
        </is>
      </c>
    </row>
    <row r="4">
      <c r="A4" s="74" t="inlineStr">
        <is>
          <t>#</t>
        </is>
      </c>
      <c r="B4" s="74" t="inlineStr">
        <is>
          <t>Action</t>
        </is>
      </c>
      <c r="C4" s="74" t="inlineStr">
        <is>
          <t>Owner</t>
        </is>
      </c>
      <c r="D4" s="74" t="inlineStr">
        <is>
          <t>Timing</t>
        </is>
      </c>
      <c r="E4" s="74" t="inlineStr">
        <is>
          <t>Why it's a gate</t>
        </is>
      </c>
      <c r="F4" s="74" t="inlineStr">
        <is>
          <t>Status</t>
        </is>
      </c>
    </row>
    <row r="5" ht="32" customHeight="1">
      <c r="A5" s="57" t="inlineStr">
        <is>
          <t>1</t>
        </is>
      </c>
      <c r="B5" s="103" t="inlineStr">
        <is>
          <t>Confirm MÜV on-can specs (sodium mg, pack size, any collagen variant)</t>
        </is>
      </c>
      <c r="C5" s="103" t="inlineStr">
        <is>
          <t>Brand / R&amp;D</t>
        </is>
      </c>
      <c r="D5" s="103" t="inlineStr">
        <is>
          <t>Now</t>
        </is>
      </c>
      <c r="E5" s="103" t="inlineStr">
        <is>
          <t>Unblocks claims + fills the last model input</t>
        </is>
      </c>
      <c r="F5" s="166" t="inlineStr">
        <is>
          <t>Open</t>
        </is>
      </c>
    </row>
    <row r="6" ht="32" customHeight="1">
      <c r="A6" s="59" t="inlineStr">
        <is>
          <t>2</t>
        </is>
      </c>
      <c r="B6" s="146" t="inlineStr">
        <is>
          <t>Regulatory counsel sign-off on the claim set (Supplemented Food)</t>
        </is>
      </c>
      <c r="C6" s="146" t="inlineStr">
        <is>
          <t>Regulatory</t>
        </is>
      </c>
      <c r="D6" s="146" t="inlineStr">
        <is>
          <t>Wk 1–3</t>
        </is>
      </c>
      <c r="E6" s="146" t="inlineStr">
        <is>
          <t>De-risks the label; must precede artwork</t>
        </is>
      </c>
      <c r="F6" s="166" t="inlineStr">
        <is>
          <t>Open</t>
        </is>
      </c>
    </row>
    <row r="7" ht="32" customHeight="1">
      <c r="A7" s="57" t="inlineStr">
        <is>
          <t>3</t>
        </is>
      </c>
      <c r="B7" s="103" t="inlineStr">
        <is>
          <t>Canadian co-packer quote + capacity</t>
        </is>
      </c>
      <c r="C7" s="103" t="inlineStr">
        <is>
          <t>Ops</t>
        </is>
      </c>
      <c r="D7" s="103" t="inlineStr">
        <is>
          <t>Wk 1–4</t>
        </is>
      </c>
      <c r="E7" s="103" t="inlineStr">
        <is>
          <t>Real COGS replaces the illustrative model input</t>
        </is>
      </c>
      <c r="F7" s="166" t="inlineStr">
        <is>
          <t>Open</t>
        </is>
      </c>
    </row>
    <row r="8" ht="32" customHeight="1">
      <c r="A8" s="59" t="inlineStr">
        <is>
          <t>4</t>
        </is>
      </c>
      <c r="B8" s="146" t="inlineStr">
        <is>
          <t>Bilingual + Quebec Bill 96 artwork</t>
        </is>
      </c>
      <c r="C8" s="146" t="inlineStr">
        <is>
          <t>Brand</t>
        </is>
      </c>
      <c r="D8" s="146" t="inlineStr">
        <is>
          <t>Wk 3–6</t>
        </is>
      </c>
      <c r="E8" s="146" t="inlineStr">
        <is>
          <t>Compliance; long-lead for print</t>
        </is>
      </c>
      <c r="F8" s="166" t="inlineStr">
        <is>
          <t>Open</t>
        </is>
      </c>
    </row>
    <row r="9" ht="32" customHeight="1">
      <c r="A9" s="57" t="inlineStr">
        <is>
          <t>5</t>
        </is>
      </c>
      <c r="B9" s="103" t="inlineStr">
        <is>
          <t>Costco Canada roadshow slot + Amazon.ca / Well.ca listings</t>
        </is>
      </c>
      <c r="C9" s="103" t="inlineStr">
        <is>
          <t>Sales</t>
        </is>
      </c>
      <c r="D9" s="103" t="inlineStr">
        <is>
          <t>Wk 4–9</t>
        </is>
      </c>
      <c r="E9" s="103" t="inlineStr">
        <is>
          <t>The beachhead trial engine</t>
        </is>
      </c>
      <c r="F9" s="166" t="inlineStr">
        <is>
          <t>Open</t>
        </is>
      </c>
    </row>
    <row r="10" ht="32" customHeight="1">
      <c r="A10" s="59" t="inlineStr">
        <is>
          <t>6</t>
        </is>
      </c>
      <c r="B10" s="146" t="inlineStr">
        <is>
          <t>Define velocity + repeat-rate targets (KPIs)</t>
        </is>
      </c>
      <c r="C10" s="146" t="inlineStr">
        <is>
          <t>Sales / Finance</t>
        </is>
      </c>
      <c r="D10" s="146" t="inlineStr">
        <is>
          <t>Wk 2</t>
        </is>
      </c>
      <c r="E10" s="146" t="inlineStr">
        <is>
          <t>Gates Phase 2 national sell-in</t>
        </is>
      </c>
      <c r="F10" s="166" t="inlineStr">
        <is>
          <t>Open</t>
        </is>
      </c>
    </row>
    <row r="11" ht="32" customHeight="1">
      <c r="A11" s="57" t="inlineStr">
        <is>
          <t>7</t>
        </is>
      </c>
      <c r="B11" s="103" t="inlineStr">
        <is>
          <t>Board approval of Phase 0 budget</t>
        </is>
      </c>
      <c r="C11" s="103" t="inlineStr">
        <is>
          <t>Leadership</t>
        </is>
      </c>
      <c r="D11" s="103" t="inlineStr">
        <is>
          <t>Wk 1</t>
        </is>
      </c>
      <c r="E11" s="103" t="inlineStr">
        <is>
          <t>Greenlights the above</t>
        </is>
      </c>
      <c r="F11" s="166" t="inlineStr">
        <is>
          <t>Open</t>
        </is>
      </c>
    </row>
    <row r="13">
      <c r="B13" s="41" t="inlineStr">
        <is>
          <t>Sequenced to the Launch Plan (Tab 21): #1–4 = Phase 0 foundation, #5–6 = Phase 1 beachhead.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  <row r="19">
      <c r="A19" s="138" t="inlineStr">
        <is>
          <t>LIKELIHOOD × IMPACT HEATMAP (risk #s placed by rating)</t>
        </is>
      </c>
    </row>
    <row r="20">
      <c r="A20" s="148" t="inlineStr">
        <is>
          <t>Impact ↓ / Likelihood →</t>
        </is>
      </c>
      <c r="B20" s="149" t="inlineStr">
        <is>
          <t>Low</t>
        </is>
      </c>
      <c r="C20" s="149" t="inlineStr">
        <is>
          <t>Med</t>
        </is>
      </c>
      <c r="D20" s="149" t="inlineStr">
        <is>
          <t>High</t>
        </is>
      </c>
    </row>
    <row r="21" ht="24" customHeight="1">
      <c r="A21" s="149" t="inlineStr">
        <is>
          <t>High</t>
        </is>
      </c>
      <c r="B21" s="150" t="inlineStr">
        <is>
          <t>—</t>
        </is>
      </c>
      <c r="C21" s="151" t="inlineStr">
        <is>
          <t>3, 4, 5</t>
        </is>
      </c>
      <c r="D21" s="151" t="inlineStr">
        <is>
          <t>1, 2</t>
        </is>
      </c>
    </row>
    <row r="22" ht="24" customHeight="1">
      <c r="A22" s="149" t="inlineStr">
        <is>
          <t>Med</t>
        </is>
      </c>
      <c r="B22" s="152" t="inlineStr">
        <is>
          <t>12</t>
        </is>
      </c>
      <c r="C22" s="150" t="inlineStr">
        <is>
          <t>6,7,8,9,10</t>
        </is>
      </c>
      <c r="D22" s="151" t="inlineStr">
        <is>
          <t>—</t>
        </is>
      </c>
    </row>
    <row r="23" ht="24" customHeight="1">
      <c r="A23" s="149" t="inlineStr">
        <is>
          <t>Low</t>
        </is>
      </c>
      <c r="B23" s="152" t="inlineStr">
        <is>
          <t>—</t>
        </is>
      </c>
      <c r="C23" s="152" t="inlineStr">
        <is>
          <t>11</t>
        </is>
      </c>
      <c r="D23" s="150" t="inlineStr">
        <is>
          <t>—</t>
        </is>
      </c>
    </row>
    <row r="24">
      <c r="A24" s="133" t="inlineStr">
        <is>
          <t>Red = act now · Amber = manage · Green = monitor. Numbers refer to the risk # in the table above.</t>
        </is>
      </c>
    </row>
  </sheetData>
  <mergeCells count="4">
    <mergeCell ref="A19:F19"/>
    <mergeCell ref="A2:F2"/>
    <mergeCell ref="A1:F1"/>
    <mergeCell ref="A24:F2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34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5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34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34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5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34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5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34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5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34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5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34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5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34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5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5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34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5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34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5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4" r:id="rId17"/>
    <hyperlink xmlns:r="http://schemas.openxmlformats.org/officeDocument/2006/relationships" ref="B26" r:id="rId18"/>
    <hyperlink xmlns:r="http://schemas.openxmlformats.org/officeDocument/2006/relationships" ref="B27" r:id="rId19"/>
    <hyperlink xmlns:r="http://schemas.openxmlformats.org/officeDocument/2006/relationships" ref="B28" r:id="rId20"/>
    <hyperlink xmlns:r="http://schemas.openxmlformats.org/officeDocument/2006/relationships" ref="B29" r:id="rId21"/>
    <hyperlink xmlns:r="http://schemas.openxmlformats.org/officeDocument/2006/relationships" ref="B30" r:id="rId2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0" customWidth="1" min="3" max="3"/>
    <col width="10" customWidth="1" min="4" max="4"/>
  </cols>
  <sheetData>
    <row r="1" ht="26" customHeight="1">
      <c r="A1" s="153" t="inlineStr">
        <is>
          <t>Data Confidence Scoreboard</t>
        </is>
      </c>
      <c r="M1" s="95" t="inlineStr">
        <is>
          <t>🏠 Home</t>
        </is>
      </c>
    </row>
    <row r="2">
      <c r="A2" s="154" t="inlineStr">
        <is>
          <t>Tally of confidence tags across the whole dossier — how much rests on hard evidence vs estimates.</t>
        </is>
      </c>
    </row>
    <row r="4">
      <c r="A4" s="74" t="inlineStr">
        <is>
          <t>Confidence tier</t>
        </is>
      </c>
      <c r="B4" s="74" t="inlineStr">
        <is>
          <t>Marker</t>
        </is>
      </c>
      <c r="C4" s="74" t="inlineStr">
        <is>
          <t>Count</t>
        </is>
      </c>
      <c r="D4" s="74" t="inlineStr">
        <is>
          <t>Share</t>
        </is>
      </c>
    </row>
    <row r="5">
      <c r="A5" s="109" t="inlineStr">
        <is>
          <t>Hard (primary/scanner/regulatory)</t>
        </is>
      </c>
      <c r="B5" s="144" t="inlineStr">
        <is>
          <t>✅ HARD</t>
        </is>
      </c>
      <c r="C5" s="155" t="n">
        <v>48</v>
      </c>
      <c r="D5" s="156" t="n">
        <v>0.4403669724770642</v>
      </c>
    </row>
    <row r="6">
      <c r="A6" s="59" t="inlineStr">
        <is>
          <t>Directional (research-firm/single-source)</t>
        </is>
      </c>
      <c r="B6" s="144" t="inlineStr">
        <is>
          <t>◐ DIRECTIONAL</t>
        </is>
      </c>
      <c r="C6" s="155" t="n">
        <v>28</v>
      </c>
      <c r="D6" s="156" t="n">
        <v>0.2568807339449541</v>
      </c>
    </row>
    <row r="7">
      <c r="A7" s="157" t="inlineStr">
        <is>
          <t>Flag (estimate/verify/contested)</t>
        </is>
      </c>
      <c r="B7" s="144" t="inlineStr">
        <is>
          <t>⚠ FLAG</t>
        </is>
      </c>
      <c r="C7" s="155" t="n">
        <v>33</v>
      </c>
      <c r="D7" s="156" t="n">
        <v>0.3027522935779817</v>
      </c>
    </row>
    <row r="8">
      <c r="A8" s="158" t="inlineStr">
        <is>
          <t>TOTAL tags</t>
        </is>
      </c>
      <c r="C8" s="159" t="n">
        <v>109</v>
      </c>
    </row>
    <row r="24" ht="44" customHeight="1">
      <c r="A24" s="119" t="inlineStr">
        <is>
          <t>Read: a healthy dossier leans on hard/primary evidence for its load-bearing claims (verified on the Verification Log) while transparently flagging estimates. Market-size projections and all financial inputs are ◐/⚠ by nature — never quote them as fact.</t>
        </is>
      </c>
      <c r="B24" s="34" t="n"/>
      <c r="C24" s="34" t="n"/>
      <c r="D24" s="35" t="n"/>
    </row>
  </sheetData>
  <mergeCells count="3">
    <mergeCell ref="A1:D1"/>
    <mergeCell ref="A24:D24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40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41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40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  <row r="28">
      <c r="A28" s="42" t="inlineStr">
        <is>
          <t>REGULATORY &amp; FORMAT TERMS (Canada)</t>
        </is>
      </c>
    </row>
    <row r="29" ht="26" customHeight="1">
      <c r="A29" s="87" t="inlineStr">
        <is>
          <t>RTD</t>
        </is>
      </c>
      <c r="B29" s="58" t="inlineStr">
        <is>
          <t>Ready-to-drink — a finished beverage (e.g., a can), vs a powder/tablet to reconstitute.</t>
        </is>
      </c>
    </row>
    <row r="30" ht="26" customHeight="1">
      <c r="A30" s="89" t="inlineStr">
        <is>
          <t>NHP</t>
        </is>
      </c>
      <c r="B30" s="60" t="inlineStr">
        <is>
          <t>Natural Health Product — Canadian licensed supplement category; bears an NPN.</t>
        </is>
      </c>
    </row>
    <row r="31" ht="26" customHeight="1">
      <c r="A31" s="87" t="inlineStr">
        <is>
          <t>NPN</t>
        </is>
      </c>
      <c r="B31" s="58" t="inlineStr">
        <is>
          <t>Natural Product Number — 8-digit licence number on an NHP.</t>
        </is>
      </c>
    </row>
    <row r="32" ht="26" customHeight="1">
      <c r="A32" s="89" t="inlineStr">
        <is>
          <t>Supplemented Food</t>
        </is>
      </c>
      <c r="B32" s="60" t="inlineStr">
        <is>
          <t>A food with added vitamins/minerals/amino acids beyond normal fortification, under the Supplemented Foods Regulations (in force 2022-07-21).</t>
        </is>
      </c>
    </row>
    <row r="33" ht="26" customHeight="1">
      <c r="A33" s="87" t="inlineStr">
        <is>
          <t>SFFt</t>
        </is>
      </c>
      <c r="B33" s="58" t="inlineStr">
        <is>
          <t>Supplemented Food Facts table — modified Nutrition Facts table with a 'Supplemented with' line.</t>
        </is>
      </c>
    </row>
    <row r="34" ht="26" customHeight="1">
      <c r="A34" s="89" t="inlineStr">
        <is>
          <t>SFCI</t>
        </is>
      </c>
      <c r="B34" s="60" t="inlineStr">
        <is>
          <t>Supplemented Food Caution Identifier — the black-&amp;-white '!' identifier required when cautionary statements apply.</t>
        </is>
      </c>
    </row>
    <row r="35" ht="26" customHeight="1">
      <c r="A35" s="87" t="inlineStr">
        <is>
          <t>ORS</t>
        </is>
      </c>
      <c r="B35" s="58" t="inlineStr">
        <is>
          <t>Oral Rehydration Solution — clinical rehydration product; stays regulated as an NHP (carve-out from the electrolyte→food shift).</t>
        </is>
      </c>
    </row>
    <row r="36" ht="26" customHeight="1">
      <c r="A36" s="89" t="inlineStr">
        <is>
          <t>Food–NHP interface</t>
        </is>
      </c>
      <c r="B36" s="60" t="inlineStr">
        <is>
          <t>Health Canada guidance that classifies food-format products; format is not decisive — representation + claims are.</t>
        </is>
      </c>
    </row>
    <row r="37" ht="26" customHeight="1">
      <c r="A37" s="87" t="inlineStr">
        <is>
          <t>Fibersol</t>
        </is>
      </c>
      <c r="B37" s="58" t="inlineStr">
        <is>
          <t>A soluble prebiotic dietary fibre used in MÜV.</t>
        </is>
      </c>
    </row>
    <row r="38" ht="26" customHeight="1">
      <c r="A38" s="89" t="inlineStr">
        <is>
          <t>Bill 96 / OQLF</t>
        </is>
      </c>
      <c r="B38" s="60" t="inlineStr">
        <is>
          <t>Quebec French-language packaging rules; generic/descriptive trademark terms need French.</t>
        </is>
      </c>
    </row>
    <row r="40" ht="28" customHeight="1">
      <c r="A40" s="171" t="inlineStr">
        <is>
          <t>→ For full detail on the Supplemented-Foods pathway, SFFt, SFCI and the electrolyte→food reclassification, see the ‘Canada Regulatory v2’ tab.</t>
        </is>
      </c>
    </row>
  </sheetData>
  <mergeCells count="3">
    <mergeCell ref="A40:B40"/>
    <mergeCell ref="A1:B1"/>
    <mergeCell ref="A28:B28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2026-07-18T09:18:47Z</dcterms:created>
  <dcterms:modified xsi:type="dcterms:W3CDTF">2026-07-18T09:18:53Z</dcterms:modified>
  <cp:keywords>functional beverage, prebiotic soda, collagen, hydration, Canada, MUV, Organika</cp:keywords>
</cp:coreProperties>
</file>