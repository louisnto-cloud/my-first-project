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Cover" sheetId="1" state="visible" r:id="rId1"/>
    <sheet name="01 Contents" sheetId="2" state="visible" r:id="rId2"/>
    <sheet name="02 Executive Summary" sheetId="3" state="visible" r:id="rId3"/>
    <sheet name="Dashboard" sheetId="4" state="visible" r:id="rId4"/>
    <sheet name="Financial Model" sheetId="5" state="visible" r:id="rId5"/>
    <sheet name="03 Methodology" sheetId="6" state="visible" r:id="rId6"/>
    <sheet name="04 Market Sizing" sheetId="7" state="visible" r:id="rId7"/>
    <sheet name="05 Trends &amp; Macro" sheetId="8" state="visible" r:id="rId8"/>
    <sheet name="06 Consumer" sheetId="9" state="visible" r:id="rId9"/>
    <sheet name="07 Comparison Matrix" sheetId="10" state="visible" r:id="rId10"/>
    <sheet name="08 Extended Landscape" sheetId="11" state="visible" r:id="rId11"/>
    <sheet name="09 Channel &amp; Retail" sheetId="12" state="visible" r:id="rId12"/>
    <sheet name="10 Channel Economics" sheetId="13" state="visible" r:id="rId13"/>
    <sheet name="11 Formulation" sheetId="14" state="visible" r:id="rId14"/>
    <sheet name="12 Marketing" sheetId="15" state="visible" r:id="rId15"/>
    <sheet name="13 Launch Playbooks" sheetId="16" state="visible" r:id="rId16"/>
    <sheet name="14 Patterns &amp; Failures" sheetId="17" state="visible" r:id="rId17"/>
    <sheet name="15 Outcomes &amp; M&amp;A" sheetId="18" state="visible" r:id="rId18"/>
    <sheet name="16 SWOT" sheetId="19" state="visible" r:id="rId19"/>
    <sheet name="17 Scoring Model" sheetId="20" state="visible" r:id="rId20"/>
    <sheet name="18 Canada Market" sheetId="21" state="visible" r:id="rId21"/>
    <sheet name="19 Canada Regulatory" sheetId="22" state="visible" r:id="rId22"/>
    <sheet name="20 GTM Recommendation" sheetId="23" state="visible" r:id="rId23"/>
    <sheet name="21 Launch Plan" sheetId="24" state="visible" r:id="rId24"/>
    <sheet name="22 Risk Register" sheetId="25" state="visible" r:id="rId25"/>
    <sheet name="23 KPI Dashboard" sheetId="26" state="visible" r:id="rId26"/>
    <sheet name="24 Sources" sheetId="27" state="visible" r:id="rId27"/>
    <sheet name="25 Glossary" sheetId="28" state="visible" r:id="rId28"/>
  </sheets>
  <definedNames>
    <definedName name="_xlnm._FilterDatabase" localSheetId="9" hidden="1">'07 Comparison Matrix'!$A$3:$L$11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</fonts>
  <fills count="14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Selected 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ln>
              <a:prstDash val="solid"/>
            </a:ln>
          </spPr>
          <cat>
            <numRef>
              <f>'Dashboard'!$A$62:$A$67</f>
            </numRef>
          </cat>
          <val>
            <numRef>
              <f>'Dashboard'!$B$62:$B$67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$B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 — Poppi vs OLIPOP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'Dashboard'!F61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'Dashboard'!$E$62:$E$66</f>
            </numRef>
          </cat>
          <val>
            <numRef>
              <f>'Dashboard'!$F$62:$F$66</f>
            </numRef>
          </val>
          <smooth val="0"/>
        </ser>
        <ser>
          <idx val="1"/>
          <order val="1"/>
          <tx>
            <strRef>
              <f>'Dashboard'!G61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'Dashboard'!$E$62:$E$66</f>
            </numRef>
          </cat>
          <val>
            <numRef>
              <f>'Dashboard'!$G$62:$G$66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2024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'Dashboard'!J61</f>
            </strRef>
          </tx>
          <spPr>
            <a:ln>
              <a:prstDash val="solid"/>
            </a:ln>
          </spPr>
          <cat>
            <numRef>
              <f>'Dashboard'!$I$62:$I$67</f>
            </numRef>
          </cat>
          <val>
            <numRef>
              <f>'Dashboard'!$J$62:$J$67</f>
            </numRef>
          </val>
        </ser>
        <dLbls>
          <showVal val="1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 (1–5)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'Dashboard'!N61</f>
            </strRef>
          </tx>
          <spPr>
            <a:ln>
              <a:prstDash val="solid"/>
            </a:ln>
          </spPr>
          <cat>
            <numRef>
              <f>'Dashboard'!$M$62:$M$68</f>
            </numRef>
          </cat>
          <val>
            <numRef>
              <f>'Dashboard'!$N$62:$N$68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Model — Net Revenue vs Contribution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Model'!B24</f>
            </strRef>
          </tx>
          <spPr>
            <a:ln>
              <a:prstDash val="solid"/>
            </a:ln>
          </spPr>
          <cat>
            <numRef>
              <f>'Financial Model'!$C$20:$E$20</f>
            </numRef>
          </cat>
          <val>
            <numRef>
              <f>'Financial Model'!$C$24:$E$24</f>
            </numRef>
          </val>
        </ser>
        <ser>
          <idx val="1"/>
          <order val="1"/>
          <tx>
            <strRef>
              <f>'Financial Model'!B27</f>
            </strRef>
          </tx>
          <spPr>
            <a:ln>
              <a:prstDash val="solid"/>
            </a:ln>
          </spPr>
          <cat>
            <numRef>
              <f>'Financial Model'!$C$20:$E$20</f>
            </numRef>
          </cat>
          <val>
            <numRef>
              <f>'Financial Model'!$C$27:$E$27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39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2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72" customHeight="1">
      <c r="A15" s="6" t="inlineStr">
        <is>
          <t>CRITICAL CAVEAT — A discrete “Organika Sparkling” ready-to-drink CAN could not be verified in public sources. Organika's documented fizzy/collagen products are POWDER (Electrolytes + Enhanced Collagen) and LIQUID collagen water. If “MUV” is a new RTD can, confirm format, flavours, dose and price with the brand. The entire Canada regulatory analysis assumes an RTD food-format beverage.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</sheetData>
  <mergeCells count="15">
    <mergeCell ref="C11:H11"/>
    <mergeCell ref="C6:H6"/>
    <mergeCell ref="C10:H10"/>
    <mergeCell ref="B18:H18"/>
    <mergeCell ref="B4:H4"/>
    <mergeCell ref="C13:H13"/>
    <mergeCell ref="C9:H9"/>
    <mergeCell ref="B2:H2"/>
    <mergeCell ref="C8:H8"/>
    <mergeCell ref="A15:G15"/>
    <mergeCell ref="C12:H12"/>
    <mergeCell ref="B3:H3"/>
    <mergeCell ref="B19:H19"/>
    <mergeCell ref="B20:H20"/>
    <mergeCell ref="C7:H7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C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20" customHeight="1">
      <c r="A4" s="12" t="inlineStr">
        <is>
          <t>00 Cover</t>
        </is>
      </c>
      <c r="B4" s="12" t="inlineStr">
        <is>
          <t>Title, scope, caveats, confidence legend</t>
        </is>
      </c>
    </row>
    <row r="5" ht="20" customHeight="1">
      <c r="A5" s="13" t="inlineStr">
        <is>
          <t>01 Contents</t>
        </is>
      </c>
      <c r="B5" s="13" t="inlineStr">
        <is>
          <t>This page</t>
        </is>
      </c>
    </row>
    <row r="6" ht="20" customHeight="1">
      <c r="A6" s="12" t="inlineStr">
        <is>
          <t>02 Executive Summary</t>
        </is>
      </c>
      <c r="B6" s="12" t="inlineStr">
        <is>
          <t>The thesis, the 7 findings that matter, the recommendation</t>
        </is>
      </c>
    </row>
    <row r="7" ht="20" customHeight="1">
      <c r="A7" s="13" t="inlineStr">
        <is>
          <t>03 Methodology</t>
        </is>
      </c>
      <c r="B7" s="13" t="inlineStr">
        <is>
          <t>Research design, source hierarchy, confidence framework, limitations</t>
        </is>
      </c>
    </row>
    <row r="8" ht="20" customHeight="1">
      <c r="A8" s="12" t="inlineStr">
        <is>
          <t>04 Market Sizing</t>
        </is>
      </c>
      <c r="B8" s="12" t="inlineStr">
        <is>
          <t>TAM/SAM/SOM, category sizes &amp; growth, US + Canada</t>
        </is>
      </c>
    </row>
    <row r="9" ht="20" customHeight="1">
      <c r="A9" s="13" t="inlineStr">
        <is>
          <t>05 Trends &amp; Macro</t>
        </is>
      </c>
      <c r="B9" s="13" t="inlineStr">
        <is>
          <t>Sugar reduction, GLP-1, gut health, beauty-from-within, white space</t>
        </is>
      </c>
    </row>
    <row r="10" ht="20" customHeight="1">
      <c r="A10" s="12" t="inlineStr">
        <is>
          <t>06 Consumer</t>
        </is>
      </c>
      <c r="B10" s="12" t="inlineStr">
        <is>
          <t>Segmentation, collagen buyer, efficacy-evidence risk, buyer criteria</t>
        </is>
      </c>
    </row>
    <row r="11" ht="20" customHeight="1">
      <c r="A11" s="13" t="inlineStr">
        <is>
          <t>07 Comparison Matrix</t>
        </is>
      </c>
      <c r="B11" s="13" t="inlineStr">
        <is>
          <t>8 core brands, key metrics side by side</t>
        </is>
      </c>
    </row>
    <row r="12" ht="20" customHeight="1">
      <c r="A12" s="12" t="inlineStr">
        <is>
          <t>08 Extended Landscape</t>
        </is>
      </c>
      <c r="B12" s="12" t="inlineStr">
        <is>
          <t>~30 brands across 6 sub-categories</t>
        </is>
      </c>
    </row>
    <row r="13" ht="20" customHeight="1">
      <c r="A13" s="13" t="inlineStr">
        <is>
          <t>09 Channel &amp; Retail</t>
        </is>
      </c>
      <c r="B13" s="13" t="inlineStr">
        <is>
          <t>Launch channel &amp; expansion sequence per brand</t>
        </is>
      </c>
    </row>
    <row r="14" ht="20" customHeight="1">
      <c r="A14" s="12" t="inlineStr">
        <is>
          <t>10 Channel Economics</t>
        </is>
      </c>
      <c r="B14" s="12" t="inlineStr">
        <is>
          <t>Margin waterfall, retailer/distributor/trade-spend, DTC/Amazon</t>
        </is>
      </c>
    </row>
    <row r="15" ht="20" customHeight="1">
      <c r="A15" s="13" t="inlineStr">
        <is>
          <t>11 Formulation</t>
        </is>
      </c>
      <c r="B15" s="13" t="inlineStr">
        <is>
          <t>The winning claim, hero ingredient, claim risk</t>
        </is>
      </c>
    </row>
    <row r="16" ht="20" customHeight="1">
      <c r="A16" s="12" t="inlineStr">
        <is>
          <t>12 Marketing</t>
        </is>
      </c>
      <c r="B16" s="12" t="inlineStr">
        <is>
          <t>Founder story, virality engine, what moved the needle</t>
        </is>
      </c>
    </row>
    <row r="17" ht="20" customHeight="1">
      <c r="A17" s="13" t="inlineStr">
        <is>
          <t>13 Launch Playbooks</t>
        </is>
      </c>
      <c r="B17" s="13" t="inlineStr">
        <is>
          <t>Phased GTM timelines (Poppi/OLIPOP/LMNT/Liquid I.V./Celsius)</t>
        </is>
      </c>
    </row>
    <row r="18" ht="20" customHeight="1">
      <c r="A18" s="12" t="inlineStr">
        <is>
          <t>14 Patterns &amp; Failures</t>
        </is>
      </c>
      <c r="B18" s="12" t="inlineStr">
        <is>
          <t>7 success patterns + 6 failure modes</t>
        </is>
      </c>
    </row>
    <row r="19" ht="20" customHeight="1">
      <c r="A19" s="13" t="inlineStr">
        <is>
          <t>15 Outcomes &amp; M&amp;A</t>
        </is>
      </c>
      <c r="B19" s="13" t="inlineStr">
        <is>
          <t>Revenue, funding, valuations, acquisition comps</t>
        </is>
      </c>
    </row>
    <row r="20" ht="20" customHeight="1">
      <c r="A20" s="12" t="inlineStr">
        <is>
          <t>16 SWOT</t>
        </is>
      </c>
      <c r="B20" s="12" t="inlineStr">
        <is>
          <t>Per-brand strengths/weaknesses/opportunities/threats</t>
        </is>
      </c>
    </row>
    <row r="21" ht="20" customHeight="1">
      <c r="A21" s="13" t="inlineStr">
        <is>
          <t>17 Scoring Model</t>
        </is>
      </c>
      <c r="B21" s="13" t="inlineStr">
        <is>
          <t>Weighted competitive scoring (editable weights)</t>
        </is>
      </c>
    </row>
    <row r="22" ht="20" customHeight="1">
      <c r="A22" s="12" t="inlineStr">
        <is>
          <t>18 Canada Market</t>
        </is>
      </c>
      <c r="B22" s="12" t="inlineStr">
        <is>
          <t>Retail banners &amp; share, entry playbooks, pricing</t>
        </is>
      </c>
    </row>
    <row r="23" ht="20" customHeight="1">
      <c r="A23" s="13" t="inlineStr">
        <is>
          <t>19 Canada Regulatory</t>
        </is>
      </c>
      <c r="B23" s="13" t="inlineStr">
        <is>
          <t>NHP vs Food vs Supplemented Foods; SFCI; collagen/caffeine; Bill 96</t>
        </is>
      </c>
    </row>
    <row r="24" ht="20" customHeight="1">
      <c r="A24" s="12" t="inlineStr">
        <is>
          <t>20 GTM Recommendation</t>
        </is>
      </c>
      <c r="B24" s="12" t="inlineStr">
        <is>
          <t>The MUV go-to-market thesis &amp; decisions</t>
        </is>
      </c>
    </row>
    <row r="25" ht="20" customHeight="1">
      <c r="A25" s="13" t="inlineStr">
        <is>
          <t>21 Launch Plan</t>
        </is>
      </c>
      <c r="B25" s="13" t="inlineStr">
        <is>
          <t>Phased 0–18 month plan with workstreams</t>
        </is>
      </c>
    </row>
    <row r="26" ht="20" customHeight="1">
      <c r="A26" s="12" t="inlineStr">
        <is>
          <t>22 Risk Register</t>
        </is>
      </c>
      <c r="B26" s="12" t="inlineStr">
        <is>
          <t>Ranked risks, likelihood/impact, mitigations</t>
        </is>
      </c>
    </row>
    <row r="27" ht="20" customHeight="1">
      <c r="A27" s="13" t="inlineStr">
        <is>
          <t>23 KPI Dashboard</t>
        </is>
      </c>
      <c r="B27" s="13" t="inlineStr">
        <is>
          <t>Targets &amp; benchmarks by phase</t>
        </is>
      </c>
    </row>
    <row r="28" ht="20" customHeight="1">
      <c r="A28" s="12" t="inlineStr">
        <is>
          <t>24 Sources</t>
        </is>
      </c>
      <c r="B28" s="12" t="inlineStr">
        <is>
          <t>Master bibliography, tagged by type</t>
        </is>
      </c>
    </row>
    <row r="29" ht="20" customHeight="1">
      <c r="A29" s="13" t="inlineStr">
        <is>
          <t>25 Glossary</t>
        </is>
      </c>
      <c r="B29" s="13" t="inlineStr">
        <is>
          <t>Terms &amp; abbreviations</t>
        </is>
      </c>
    </row>
  </sheetData>
  <mergeCells count="1">
    <mergeCell ref="A1:C1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</row>
    <row r="2" ht="20" customHeight="1">
      <c r="A2" s="14" t="inlineStr">
        <is>
          <t>Visual snapshot — category sizing, leader trajectories, share, competitive scores &amp; MUV model</t>
        </is>
      </c>
    </row>
    <row r="4" ht="22" customHeight="1">
      <c r="A4" s="36" t="inlineStr">
        <is>
          <t>Modern soda (US, 2024)</t>
        </is>
      </c>
      <c r="B4" s="24" t="n"/>
      <c r="C4" s="36" t="inlineStr">
        <is>
          <t>Poppi exit (PepsiCo)</t>
        </is>
      </c>
      <c r="D4" s="24" t="n"/>
      <c r="E4" s="36" t="inlineStr">
        <is>
          <t>OLIPOP valuation</t>
        </is>
      </c>
      <c r="F4" s="24" t="n"/>
      <c r="G4" s="36" t="inlineStr">
        <is>
          <t>Collagen-sparkling indie survival</t>
        </is>
      </c>
      <c r="H4" s="24" t="n"/>
      <c r="I4" s="36" t="inlineStr">
        <is>
          <t>Canada beachhead</t>
        </is>
      </c>
      <c r="J4" s="24" t="n"/>
    </row>
    <row r="5" ht="22" customHeight="1">
      <c r="A5" s="37" t="inlineStr">
        <is>
          <t>$1.8B</t>
        </is>
      </c>
      <c r="B5" s="24" t="n"/>
      <c r="C5" s="37" t="inlineStr">
        <is>
          <t>$1.95B</t>
        </is>
      </c>
      <c r="D5" s="24" t="n"/>
      <c r="E5" s="37" t="inlineStr">
        <is>
          <t>$1.85B</t>
        </is>
      </c>
      <c r="F5" s="24" t="n"/>
      <c r="G5" s="37" t="inlineStr">
        <is>
          <t>Low</t>
        </is>
      </c>
      <c r="H5" s="24" t="n"/>
      <c r="I5" s="37" t="inlineStr">
        <is>
          <t>Costco+Amazon</t>
        </is>
      </c>
      <c r="J5" s="24" t="n"/>
    </row>
    <row r="6" ht="16" customHeight="1">
      <c r="A6" s="38" t="inlineStr">
        <is>
          <t>+83% YoY</t>
        </is>
      </c>
      <c r="B6" s="24" t="n"/>
      <c r="C6" s="38" t="inlineStr">
        <is>
          <t>May 2025</t>
        </is>
      </c>
      <c r="D6" s="24" t="n"/>
      <c r="E6" s="38" t="inlineStr">
        <is>
          <t>Feb 2025</t>
        </is>
      </c>
      <c r="F6" s="24" t="n"/>
      <c r="G6" s="38" t="inlineStr">
        <is>
          <t>graveyard</t>
        </is>
      </c>
      <c r="H6" s="24" t="n"/>
      <c r="I6" s="38" t="inlineStr">
        <is>
          <t>proven path</t>
        </is>
      </c>
      <c r="J6" s="24" t="n"/>
    </row>
    <row r="40" ht="28" customHeight="1">
      <c r="A40" s="39" t="inlineStr">
        <is>
          <t>Charts are illustrative and built from the cited research (see ‘24 Sources’). Revenue/share figures rounded; OLIPOP 2020–22 interpolated. Financial-model bars are driven live by the ‘Financial Model’ tab inputs.</t>
        </is>
      </c>
    </row>
    <row r="60" hidden="1" outlineLevel="1">
      <c r="A60" s="40" t="inlineStr">
        <is>
          <t>Category sizes ($B)</t>
        </is>
      </c>
      <c r="E60" s="40" t="inlineStr">
        <is>
          <t>Revenue ($M)</t>
        </is>
      </c>
      <c r="I60" s="40" t="inlineStr">
        <is>
          <t>Modern soda share %</t>
        </is>
      </c>
      <c r="M60" s="40" t="inlineStr">
        <is>
          <t>Weighted score</t>
        </is>
      </c>
    </row>
    <row r="61" hidden="1" outlineLevel="1">
      <c r="A61" s="41" t="inlineStr">
        <is>
          <t>Category</t>
        </is>
      </c>
      <c r="B61" s="41" t="inlineStr">
        <is>
          <t>$B</t>
        </is>
      </c>
      <c r="E61" s="41" t="inlineStr">
        <is>
          <t>Year</t>
        </is>
      </c>
      <c r="F61" s="41" t="inlineStr">
        <is>
          <t>Poppi</t>
        </is>
      </c>
      <c r="G61" s="41" t="inlineStr">
        <is>
          <t>OLIPOP</t>
        </is>
      </c>
      <c r="I61" s="41" t="inlineStr">
        <is>
          <t>Brand</t>
        </is>
      </c>
      <c r="J61" s="41" t="inlineStr">
        <is>
          <t>%</t>
        </is>
      </c>
      <c r="M61" s="41" t="inlineStr">
        <is>
          <t>Brand</t>
        </is>
      </c>
      <c r="N61" s="41" t="inlineStr">
        <is>
          <t>Score</t>
        </is>
      </c>
    </row>
    <row r="62" hidden="1" outlineLevel="1">
      <c r="A62" t="inlineStr">
        <is>
          <t>Modern soda</t>
        </is>
      </c>
      <c r="B62" t="n">
        <v>1.8</v>
      </c>
      <c r="E62" t="n">
        <v>2020</v>
      </c>
      <c r="F62" t="n">
        <v>13</v>
      </c>
      <c r="G62" t="n">
        <v>20</v>
      </c>
      <c r="I62" t="inlineStr">
        <is>
          <t>Poppi</t>
        </is>
      </c>
      <c r="J62" t="n">
        <v>38</v>
      </c>
      <c r="M62" t="inlineStr">
        <is>
          <t>Poppi</t>
        </is>
      </c>
      <c r="N62" t="n">
        <v>3.85</v>
      </c>
    </row>
    <row r="63" hidden="1" outlineLevel="1">
      <c r="A63" t="inlineStr">
        <is>
          <t>Hydration powder</t>
        </is>
      </c>
      <c r="B63" t="n">
        <v>1.5</v>
      </c>
      <c r="E63" t="n">
        <v>2021</v>
      </c>
      <c r="F63" t="n">
        <v>26</v>
      </c>
      <c r="G63" t="n">
        <v>40</v>
      </c>
      <c r="I63" t="inlineStr">
        <is>
          <t>OLIPOP</t>
        </is>
      </c>
      <c r="J63" t="n">
        <v>32.7</v>
      </c>
      <c r="M63" t="inlineStr">
        <is>
          <t>OLIPOP</t>
        </is>
      </c>
      <c r="N63" t="n">
        <v>4</v>
      </c>
    </row>
    <row r="64" hidden="1" outlineLevel="1">
      <c r="A64" t="inlineStr">
        <is>
          <t>Electrolyte powder</t>
        </is>
      </c>
      <c r="B64" t="n">
        <v>2.8</v>
      </c>
      <c r="E64" t="n">
        <v>2022</v>
      </c>
      <c r="F64" t="n">
        <v>65</v>
      </c>
      <c r="G64" t="n">
        <v>73</v>
      </c>
      <c r="I64" t="inlineStr">
        <is>
          <t>Zevia</t>
        </is>
      </c>
      <c r="J64" t="n">
        <v>12.1</v>
      </c>
      <c r="M64" t="inlineStr">
        <is>
          <t>LMNT</t>
        </is>
      </c>
      <c r="N64" t="n">
        <v>3.5</v>
      </c>
    </row>
    <row r="65" hidden="1" outlineLevel="1">
      <c r="A65" t="inlineStr">
        <is>
          <t>Sparkling water</t>
        </is>
      </c>
      <c r="B65" t="n">
        <v>6.9</v>
      </c>
      <c r="E65" t="n">
        <v>2023</v>
      </c>
      <c r="F65" t="n">
        <v>100</v>
      </c>
      <c r="G65" t="n">
        <v>200</v>
      </c>
      <c r="I65" t="inlineStr">
        <is>
          <t>Jarritos</t>
        </is>
      </c>
      <c r="J65" t="n">
        <v>10.3</v>
      </c>
      <c r="M65" t="inlineStr">
        <is>
          <t>Liquid I.V.</t>
        </is>
      </c>
      <c r="N65" t="n">
        <v>3.85</v>
      </c>
    </row>
    <row r="66" hidden="1" outlineLevel="1">
      <c r="A66" t="inlineStr">
        <is>
          <t>Collagen bev (US)</t>
        </is>
      </c>
      <c r="B66" t="n">
        <v>0.05</v>
      </c>
      <c r="E66" t="n">
        <v>2024</v>
      </c>
      <c r="F66" t="n">
        <v>500</v>
      </c>
      <c r="G66" t="n">
        <v>400</v>
      </c>
      <c r="I66" t="inlineStr">
        <is>
          <t>Fever-Tree</t>
        </is>
      </c>
      <c r="J66" t="n">
        <v>4</v>
      </c>
      <c r="M66" t="inlineStr">
        <is>
          <t>Vital Proteins</t>
        </is>
      </c>
      <c r="N66" t="n">
        <v>3.8</v>
      </c>
    </row>
    <row r="67" hidden="1" outlineLevel="1">
      <c r="A67" t="inlineStr">
        <is>
          <t>Beauty-from-within (global)</t>
        </is>
      </c>
      <c r="B67" t="n">
        <v>3.24</v>
      </c>
      <c r="I67" t="inlineStr">
        <is>
          <t>Other</t>
        </is>
      </c>
      <c r="J67" t="n">
        <v>2.9</v>
      </c>
      <c r="M67" t="inlineStr">
        <is>
          <t>Recess</t>
        </is>
      </c>
      <c r="N67" t="n">
        <v>3</v>
      </c>
    </row>
    <row r="68" hidden="1" outlineLevel="1">
      <c r="M68" t="inlineStr">
        <is>
          <t>MUV (Organika)</t>
        </is>
      </c>
      <c r="N68" t="n">
        <v>3.05</v>
      </c>
    </row>
    <row r="69" hidden="1" outlineLevel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A40:L40"/>
    <mergeCell ref="G6:H6"/>
    <mergeCell ref="A6:B6"/>
    <mergeCell ref="C4:D4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MUV Financial Model — Unit Economics &amp; 3-Year Build</t>
        </is>
      </c>
    </row>
    <row r="2" ht="20" customHeight="1">
      <c r="A2" s="14" t="inlineStr">
        <is>
          <t>Edit the yellow input cells; all white cells are live formulas. Illustrative defaults — replace with your numbers</t>
        </is>
      </c>
    </row>
    <row r="4">
      <c r="A4" s="42" t="inlineStr">
        <is>
          <t>PER-UNIT ASSUMPTIONS  (edit yellow)</t>
        </is>
      </c>
    </row>
    <row r="5">
      <c r="B5" s="43" t="inlineStr">
        <is>
          <t>List / shelf price per can (CAD)</t>
        </is>
      </c>
      <c r="C5" s="44" t="n">
        <v>3.49</v>
      </c>
    </row>
    <row r="6">
      <c r="B6" s="43" t="inlineStr">
        <is>
          <t>COGS per can (liquid+can+co-pack, CAD)</t>
        </is>
      </c>
      <c r="C6" s="44" t="n">
        <v>1.05</v>
      </c>
    </row>
    <row r="7">
      <c r="B7" s="43" t="inlineStr">
        <is>
          <t>Retailer margin %</t>
        </is>
      </c>
      <c r="C7" s="45" t="n">
        <v>0.35</v>
      </c>
    </row>
    <row r="8">
      <c r="B8" s="43" t="inlineStr">
        <is>
          <t>Distributor margin %</t>
        </is>
      </c>
      <c r="C8" s="45" t="n">
        <v>0.15</v>
      </c>
    </row>
    <row r="9">
      <c r="B9" s="43" t="inlineStr">
        <is>
          <t>Trade spend % of net revenue</t>
        </is>
      </c>
      <c r="C9" s="45" t="n">
        <v>0.2</v>
      </c>
    </row>
    <row r="10">
      <c r="B10" s="43" t="inlineStr">
        <is>
          <t>Cans per case</t>
        </is>
      </c>
      <c r="C10" s="46" t="n">
        <v>12</v>
      </c>
    </row>
    <row r="12">
      <c r="A12" s="42" t="inlineStr">
        <is>
          <t>DERIVED PER-CAN ECONOMICS</t>
        </is>
      </c>
    </row>
    <row r="13">
      <c r="B13" s="47" t="inlineStr">
        <is>
          <t>Brand net revenue per can</t>
        </is>
      </c>
      <c r="C13" s="48">
        <f>$C$5*(1-$C$7)*(1-$C$8)</f>
        <v/>
      </c>
    </row>
    <row r="14">
      <c r="B14" s="47" t="inlineStr">
        <is>
          <t>Gross profit per can</t>
        </is>
      </c>
      <c r="C14" s="48">
        <f>C13-$C$6</f>
        <v/>
      </c>
    </row>
    <row r="15">
      <c r="B15" s="47" t="inlineStr">
        <is>
          <t>Gross margin %</t>
        </is>
      </c>
      <c r="C15" s="49">
        <f>C14/C13</f>
        <v/>
      </c>
    </row>
    <row r="16">
      <c r="B16" s="43" t="inlineStr">
        <is>
          <t>Trade spend per can</t>
        </is>
      </c>
      <c r="C16" s="50">
        <f>C13*$C$9</f>
        <v/>
      </c>
    </row>
    <row r="17">
      <c r="B17" s="47" t="inlineStr">
        <is>
          <t>Contribution per can (after trade)</t>
        </is>
      </c>
      <c r="C17" s="48">
        <f>C14-C16</f>
        <v/>
      </c>
    </row>
    <row r="19">
      <c r="A19" s="42" t="inlineStr">
        <is>
          <t>3-YEAR VOLUME BUILD  (edit yellow rows)</t>
        </is>
      </c>
    </row>
    <row r="20">
      <c r="B20" s="11" t="inlineStr">
        <is>
          <t>Metric</t>
        </is>
      </c>
      <c r="C20" s="11" t="inlineStr">
        <is>
          <t>Year 1</t>
        </is>
      </c>
      <c r="D20" s="11" t="inlineStr">
        <is>
          <t>Year 2</t>
        </is>
      </c>
      <c r="E20" s="11" t="inlineStr">
        <is>
          <t>Year 3</t>
        </is>
      </c>
    </row>
    <row r="21" ht="18" customHeight="1">
      <c r="B21" s="43" t="inlineStr">
        <is>
          <t>Distribution (doors)</t>
        </is>
      </c>
      <c r="C21" s="51" t="n">
        <v>500</v>
      </c>
      <c r="D21" s="51" t="n">
        <v>2000</v>
      </c>
      <c r="E21" s="51" t="n">
        <v>6000</v>
      </c>
    </row>
    <row r="22" ht="18" customHeight="1">
      <c r="B22" s="43" t="inlineStr">
        <is>
          <t>Velocity (units/store/week)</t>
        </is>
      </c>
      <c r="C22" s="52" t="n">
        <v>3</v>
      </c>
      <c r="D22" s="52" t="n">
        <v>4</v>
      </c>
      <c r="E22" s="52" t="n">
        <v>5</v>
      </c>
    </row>
    <row r="23" ht="18" customHeight="1">
      <c r="B23" s="43" t="inlineStr">
        <is>
          <t>Annual units (= doors×velocity×52)</t>
        </is>
      </c>
      <c r="C23" s="53">
        <f>C21*C22*52</f>
        <v/>
      </c>
      <c r="D23" s="53">
        <f>D21*D22*52</f>
        <v/>
      </c>
      <c r="E23" s="53">
        <f>E21*E22*52</f>
        <v/>
      </c>
    </row>
    <row r="24" ht="18" customHeight="1">
      <c r="B24" s="47" t="inlineStr">
        <is>
          <t>Net revenue (CAD)</t>
        </is>
      </c>
      <c r="C24" s="54">
        <f>C23*$C$13</f>
        <v/>
      </c>
      <c r="D24" s="54">
        <f>D23*$C$13</f>
        <v/>
      </c>
      <c r="E24" s="54">
        <f>E23*$C$13</f>
        <v/>
      </c>
    </row>
    <row r="25" ht="18" customHeight="1">
      <c r="B25" s="43" t="inlineStr">
        <is>
          <t>Gross profit (CAD)</t>
        </is>
      </c>
      <c r="C25" s="55">
        <f>C23*$C$14</f>
        <v/>
      </c>
      <c r="D25" s="55">
        <f>D23*$C$14</f>
        <v/>
      </c>
      <c r="E25" s="55">
        <f>E23*$C$14</f>
        <v/>
      </c>
    </row>
    <row r="26" ht="18" customHeight="1">
      <c r="B26" s="43" t="inlineStr">
        <is>
          <t>Trade spend (CAD)</t>
        </is>
      </c>
      <c r="C26" s="55">
        <f>C23*$C$16</f>
        <v/>
      </c>
      <c r="D26" s="55">
        <f>D23*$C$16</f>
        <v/>
      </c>
      <c r="E26" s="55">
        <f>E23*$C$16</f>
        <v/>
      </c>
    </row>
    <row r="27" ht="18" customHeight="1">
      <c r="B27" s="47" t="inlineStr">
        <is>
          <t>Contribution (CAD)</t>
        </is>
      </c>
      <c r="C27" s="54">
        <f>C23*$C$17</f>
        <v/>
      </c>
      <c r="D27" s="54">
        <f>D23*$C$17</f>
        <v/>
      </c>
      <c r="E27" s="54">
        <f>E23*$C$17</f>
        <v/>
      </c>
    </row>
    <row r="29" ht="46" customHeight="1">
      <c r="B29" s="56" t="inlineStr">
        <is>
          <t>Model logic: net/can = list × (1−retailer %) × (1−distributor %). Contribution excludes fixed overhead, slotting, marketing and freight/FX — add those below for a full P&amp;L. Defaults illustrate a disciplined Canadian beachhead → scale path; they are NOT a forecast. Calibrate every yellow cell with real quotes (co-packer COGS, distributor terms, buyer velocity).</t>
        </is>
      </c>
    </row>
  </sheetData>
  <mergeCells count="6">
    <mergeCell ref="A2:F2"/>
    <mergeCell ref="B29:F29"/>
    <mergeCell ref="A19:F19"/>
    <mergeCell ref="A1:F1"/>
    <mergeCell ref="A12:F12"/>
    <mergeCell ref="A4:F4"/>
  </mergeCells>
  <conditionalFormatting sqref="C24:E24">
    <cfRule type="dataBar" priority="1">
      <dataBar>
        <cfvo type="min"/>
        <cfvo type="max"/>
        <color rgb="003E5C76"/>
      </dataBar>
    </cfRule>
  </conditionalFormatting>
  <conditionalFormatting sqref="C27:E27">
    <cfRule type="dataBar" priority="2">
      <dataBar>
        <cfvo type="min"/>
        <cfvo type="max"/>
        <color rgb="001E7D32"/>
      </dataBar>
    </cfRule>
  </conditionalFormatting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B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G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C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L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F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E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E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F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E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J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3"/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E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C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</sheetData>
  <mergeCells count="7">
    <mergeCell ref="A25:C25"/>
    <mergeCell ref="A19:C19"/>
    <mergeCell ref="A13:C13"/>
    <mergeCell ref="A1:C1"/>
    <mergeCell ref="A32:C32"/>
    <mergeCell ref="A4:C4"/>
    <mergeCell ref="A2:C2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E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F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E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C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2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2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2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2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2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2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2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2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2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2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B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</sheetData>
  <mergeCells count="1">
    <mergeCell ref="A1:B1"/>
  </mergeCell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(MUV)</dc:title>
  <dc:subject>Competitive intelligence &amp; Canada market-entry dossier</dc:subject>
  <dcterms:created xsi:type="dcterms:W3CDTF">2026-06-06T04:26:11Z</dcterms:created>
  <dcterms:modified xsi:type="dcterms:W3CDTF">2026-06-06T04:26:11Z</dcterms:modified>
  <cp:keywords>functional beverage, prebiotic soda, collagen, hydration, Canada, MUV, Organika</cp:keywords>
</cp:coreProperties>
</file>