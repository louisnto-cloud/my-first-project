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4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Assumptions Audit" sheetId="8" state="visible" r:id="rId8"/>
    <sheet name="Scenario Comparison" sheetId="9" state="visible" r:id="rId9"/>
    <sheet name="03 Methodology" sheetId="10" state="visible" r:id="rId10"/>
    <sheet name="04 Market Sizing" sheetId="11" state="visible" r:id="rId11"/>
    <sheet name="05 Trends &amp; Macro" sheetId="12" state="visible" r:id="rId12"/>
    <sheet name="06 Consumer" sheetId="13" state="visible" r:id="rId13"/>
    <sheet name="07 Comparison Matrix" sheetId="14" state="visible" r:id="rId14"/>
    <sheet name="MÜV Peer Set" sheetId="15" state="visible" r:id="rId15"/>
    <sheet name="08 Extended Landscape" sheetId="16" state="visible" r:id="rId16"/>
    <sheet name="09 Channel &amp; Retail" sheetId="17" state="visible" r:id="rId17"/>
    <sheet name="10 Channel Economics" sheetId="18" state="visible" r:id="rId18"/>
    <sheet name="11 Formulation" sheetId="19" state="visible" r:id="rId19"/>
    <sheet name="12 Marketing" sheetId="20" state="visible" r:id="rId20"/>
    <sheet name="13 Launch Playbooks" sheetId="21" state="visible" r:id="rId21"/>
    <sheet name="14 Patterns &amp; Failures" sheetId="22" state="visible" r:id="rId22"/>
    <sheet name="15 Outcomes &amp; M&amp;A" sheetId="23" state="visible" r:id="rId23"/>
    <sheet name="16 SWOT" sheetId="24" state="visible" r:id="rId24"/>
    <sheet name="17 Scoring Model" sheetId="25" state="visible" r:id="rId25"/>
    <sheet name="18 Canada Market" sheetId="26" state="visible" r:id="rId26"/>
    <sheet name="19 Canada Regulatory" sheetId="27" state="visible" r:id="rId27"/>
    <sheet name="Canada Regulatory v2" sheetId="28" state="visible" r:id="rId28"/>
    <sheet name="Electrolyte BFY Deep-Dive" sheetId="29" state="visible" r:id="rId29"/>
    <sheet name="20 GTM Recommendation" sheetId="30" state="visible" r:id="rId30"/>
    <sheet name="How to Present" sheetId="31" state="visible" r:id="rId31"/>
    <sheet name="Next Steps &amp; Gates" sheetId="32" state="visible" r:id="rId32"/>
    <sheet name="Go-NoGo Decision" sheetId="33" state="visible" r:id="rId33"/>
    <sheet name="Battlecards" sheetId="34" state="visible" r:id="rId34"/>
    <sheet name="21 Launch Plan" sheetId="35" state="visible" r:id="rId35"/>
    <sheet name="22 Risk Register" sheetId="36" state="visible" r:id="rId36"/>
    <sheet name="23 KPI Dashboard" sheetId="37" state="visible" r:id="rId37"/>
    <sheet name="24 Sources" sheetId="38" state="visible" r:id="rId38"/>
    <sheet name="Data Confidence" sheetId="39" state="visible" r:id="rId39"/>
    <sheet name="Verification Log" sheetId="40" state="visible" r:id="rId40"/>
    <sheet name="25 Glossary" sheetId="41" state="visible" r:id="rId41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8">'Scenario Comparison'!$A$1:$N$34</definedName>
    <definedName name="_xlnm.Print_Area" localSheetId="9">'03 Methodology'!$A$1:$N$8</definedName>
    <definedName name="_xlnm.Print_Area" localSheetId="10">'04 Market Sizing'!$A$1:$N$27</definedName>
    <definedName name="_xlnm.Print_Area" localSheetId="11">'05 Trends &amp; Macro'!$A$1:$N$12</definedName>
    <definedName name="_xlnm.Print_Area" localSheetId="12">'06 Consumer'!$A$1:$N$16</definedName>
    <definedName name="_xlnm._FilterDatabase" localSheetId="13" hidden="1">'07 Comparison Matrix'!$A$3:$L$11</definedName>
    <definedName name="_xlnm.Print_Area" localSheetId="13">'07 Comparison Matrix'!$A$1:$N$12</definedName>
    <definedName name="_xlnm.Print_Area" localSheetId="14">'MÜV Peer Set'!$A$1:$N$32</definedName>
    <definedName name="_xlnm.Print_Area" localSheetId="15">'08 Extended Landscape'!$A$1:$N$50</definedName>
    <definedName name="_xlnm.Print_Area" localSheetId="16">'09 Channel &amp; Retail'!$A$1:$N$13</definedName>
    <definedName name="_xlnm.Print_Area" localSheetId="17">'10 Channel Economics'!$A$1:$N$38</definedName>
    <definedName name="_xlnm.Print_Area" localSheetId="18">'11 Formulation'!$A$1:$N$12</definedName>
    <definedName name="_xlnm.Print_Area" localSheetId="19">'12 Marketing'!$A$1:$N$12</definedName>
    <definedName name="_xlnm.Print_Area" localSheetId="20">'13 Launch Playbooks'!$A$1:$N$9</definedName>
    <definedName name="_xlnm.Print_Area" localSheetId="21">'14 Patterns &amp; Failures'!$A$1:$N$18</definedName>
    <definedName name="_xlnm.Print_Area" localSheetId="22">'15 Outcomes &amp; M&amp;A'!$A$1:$N$14</definedName>
    <definedName name="_xlnm.Print_Area" localSheetId="23">'16 SWOT'!$A$1:$N$9</definedName>
    <definedName name="_xlnm.Print_Area" localSheetId="24">'17 Scoring Model'!$A$1:$N$14</definedName>
    <definedName name="_xlnm.Print_Area" localSheetId="25">'18 Canada Market'!$A$1:$N$35</definedName>
    <definedName name="_xlnm.Print_Area" localSheetId="26">'19 Canada Regulatory'!$A$1:$N$38</definedName>
    <definedName name="_xlnm.Print_Area" localSheetId="27">'Canada Regulatory v2'!$A$1:$N$31</definedName>
    <definedName name="_xlnm.Print_Area" localSheetId="28">'Electrolyte BFY Deep-Dive'!$A$1:$N$43</definedName>
    <definedName name="_xlnm.Print_Area" localSheetId="29">'20 GTM Recommendation'!$A$1:$N$11</definedName>
    <definedName name="_xlnm.Print_Area" localSheetId="32">'Go-NoGo Decision'!$A$1:$N$16</definedName>
    <definedName name="_xlnm.Print_Area" localSheetId="33">'Battlecards'!$A$1:$N$9</definedName>
    <definedName name="_xlnm.Print_Area" localSheetId="34">'21 Launch Plan'!$A$1:$N$7</definedName>
    <definedName name="_xlnm.Print_Area" localSheetId="35">'22 Risk Register'!$A$1:$N$16</definedName>
    <definedName name="_xlnm.Print_Area" localSheetId="36">'23 KPI Dashboard'!$A$1:$N$12</definedName>
    <definedName name="_xlnm.Print_Area" localSheetId="37">'24 Sources'!$A$1:$N$32</definedName>
    <definedName name="_xlnm.Print_Area" localSheetId="39">'Verification Log'!$A$1:$N$16</definedName>
    <definedName name="_xlnm.Print_Area" localSheetId="40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3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sz val="11"/>
    </font>
    <font>
      <name val="Calibri"/>
      <b val="1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29" fillId="0" borderId="0" pivotButton="0" quotePrefix="0" xfId="0"/>
    <xf numFmtId="0" fontId="20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8" fillId="0" borderId="0" pivotButton="0" quotePrefix="0" xfId="0"/>
    <xf numFmtId="0" fontId="38" fillId="0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13" fillId="6" borderId="1" applyAlignment="1" pivotButton="0" quotePrefix="0" xfId="0">
      <alignment vertical="center" wrapText="1"/>
    </xf>
    <xf numFmtId="3" fontId="0" fillId="0" borderId="0" pivotButton="0" quotePrefix="0" xfId="0"/>
    <xf numFmtId="0" fontId="1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Confidence tag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Confidence'!C4</f>
            </strRef>
          </tx>
          <spPr>
            <a:ln>
              <a:prstDash val="solid"/>
            </a:ln>
          </spPr>
          <cat>
            <numRef>
              <f>'Data Confidence'!$B$5:$B$7</f>
            </numRef>
          </cat>
          <val>
            <numRef>
              <f>'Data Confidence'!$C$5:$C$7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Relationship Type="http://schemas.openxmlformats.org/officeDocument/2006/relationships/hyperlink" Target="#'Assumptions Audit'!A1" TargetMode="External" Id="rId39" /><Relationship Type="http://schemas.openxmlformats.org/officeDocument/2006/relationships/hyperlink" Target="#'Data Confidence'!A1" TargetMode="External" Id="rId40" /><Relationship Type="http://schemas.openxmlformats.org/officeDocument/2006/relationships/hyperlink" Target="#'How to Present'!A1" TargetMode="External" Id="rId41" /><Relationship Type="http://schemas.openxmlformats.org/officeDocument/2006/relationships/hyperlink" Target="#'Next Steps &amp; Gates'!A1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drawing" Target="/xl/drawings/drawing4.xml" Id="rId2" /></Relationships>
</file>

<file path=xl/worksheets/_rels/sheet4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4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3">
    <mergeCell ref="B9:E9"/>
    <mergeCell ref="B18:B19"/>
    <mergeCell ref="B5:E5"/>
    <mergeCell ref="C10:C11"/>
    <mergeCell ref="B14:B15"/>
    <mergeCell ref="C22:C23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MÜV — a Canadian sparkling electrolyte RTD (can) — in Canada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2026-07-18</t>
        </is>
      </c>
    </row>
    <row r="13" ht="28" customHeight="1">
      <c r="B13" s="4" t="inlineStr">
        <is>
          <t>Status</t>
        </is>
      </c>
      <c r="C13" s="5" t="inlineStr">
        <is>
          <t>Working draft — 38+ tabs. Start on 🏠 Start Here; one-page summary on Executive Brief 1-page. Interactive: Financial Model · Scenario Comparison · Go-NoGo. Verify amber-flagged items before external use.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52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  <row r="41">
      <c r="A41" s="120" t="inlineStr">
        <is>
          <t>Assumptions Audit</t>
        </is>
      </c>
      <c r="B41" s="103" t="inlineStr">
        <is>
          <t>Every model input with its source &amp; confidence tag</t>
        </is>
      </c>
    </row>
    <row r="42">
      <c r="A42" s="120" t="inlineStr">
        <is>
          <t>Data Confidence</t>
        </is>
      </c>
      <c r="B42" s="103" t="inlineStr">
        <is>
          <t>Scoreboard: ✅/◐/⚠ tag counts across the dossier</t>
        </is>
      </c>
    </row>
    <row r="44" ht="20" customHeight="1">
      <c r="A44" s="160" t="inlineStr">
        <is>
          <t>HOW TO NAVIGATE</t>
        </is>
      </c>
    </row>
    <row r="45" ht="22" customHeight="1">
      <c r="A45" s="161" t="inlineStr">
        <is>
          <t>Click any tab name above</t>
        </is>
      </c>
      <c r="B45" s="162" t="inlineStr">
        <is>
          <t>jumps straight to that tab</t>
        </is>
      </c>
    </row>
    <row r="46" ht="22" customHeight="1">
      <c r="A46" s="163" t="inlineStr">
        <is>
          <t>🏠 Start Here</t>
        </is>
      </c>
      <c r="B46" s="164" t="inlineStr">
        <is>
          <t>the front door — grouped cards to every section (workbook opens here)</t>
        </is>
      </c>
    </row>
    <row r="47" ht="22" customHeight="1">
      <c r="A47" s="161" t="inlineStr">
        <is>
          <t>🏠 Home (top-right of every tab)</t>
        </is>
      </c>
      <c r="B47" s="162" t="inlineStr">
        <is>
          <t>returns to Start Here</t>
        </is>
      </c>
    </row>
    <row r="48" ht="22" customHeight="1">
      <c r="A48" s="163" t="inlineStr">
        <is>
          <t>Gold tab</t>
        </is>
      </c>
      <c r="B48" s="164" t="inlineStr">
        <is>
          <t>interactive: Financial Model, Scenario Comparison, Go-NoGo, Peer Set, Data Confidence, etc.</t>
        </is>
      </c>
    </row>
    <row r="49" ht="22" customHeight="1">
      <c r="A49" s="161" t="inlineStr">
        <is>
          <t>Executive Brief 1-page</t>
        </is>
      </c>
      <c r="B49" s="162" t="inlineStr">
        <is>
          <t>the whole recommendation on one printable page</t>
        </is>
      </c>
    </row>
    <row r="50" ht="22" customHeight="1">
      <c r="A50" s="163" t="inlineStr">
        <is>
          <t>Confidence tags ✅ / ◐ / ⚠</t>
        </is>
      </c>
      <c r="B50" s="164" t="inlineStr">
        <is>
          <t>hard evidence / directional / estimate-or-flag (see Data Confidence scoreboard)</t>
        </is>
      </c>
    </row>
    <row r="51">
      <c r="A51" s="120" t="inlineStr">
        <is>
          <t>How to Present</t>
        </is>
      </c>
      <c r="B51" s="103" t="inlineStr">
        <is>
          <t>Leadership readout — one talking point per key tab</t>
        </is>
      </c>
    </row>
    <row r="52">
      <c r="A52" s="120" t="inlineStr">
        <is>
          <t>Next Steps &amp; Gates</t>
        </is>
      </c>
      <c r="B52" s="103" t="inlineStr">
        <is>
          <t>Immediate actions &amp; decision gates with status</t>
        </is>
      </c>
    </row>
  </sheetData>
  <mergeCells count="2">
    <mergeCell ref="A44:B44"/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51" r:id="rId41"/>
    <hyperlink xmlns:r="http://schemas.openxmlformats.org/officeDocument/2006/relationships" ref="A52" r:id="rId4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43" t="inlineStr">
        <is>
          <t>Assumptions Audit — every model input, with source &amp; confidence</t>
        </is>
      </c>
      <c r="M1" s="95" t="inlineStr">
        <is>
          <t>🏠 Home</t>
        </is>
      </c>
    </row>
    <row r="3">
      <c r="A3" s="74" t="inlineStr">
        <is>
          <t>Input</t>
        </is>
      </c>
      <c r="B3" s="74" t="inlineStr">
        <is>
          <t>Conservative</t>
        </is>
      </c>
      <c r="C3" s="74" t="inlineStr">
        <is>
          <t>Base</t>
        </is>
      </c>
      <c r="D3" s="74" t="inlineStr">
        <is>
          <t>Aggressive</t>
        </is>
      </c>
      <c r="E3" s="74" t="inlineStr">
        <is>
          <t>Source / confidence</t>
        </is>
      </c>
    </row>
    <row r="4" ht="26" customHeight="1">
      <c r="A4" s="57" t="inlineStr">
        <is>
          <t>List price / can (CAD)</t>
        </is>
      </c>
      <c r="B4" s="144" t="inlineStr">
        <is>
          <t>$3.29</t>
        </is>
      </c>
      <c r="C4" s="144" t="inlineStr">
        <is>
          <t>$3.49</t>
        </is>
      </c>
      <c r="D4" s="144" t="inlineStr">
        <is>
          <t>$3.79</t>
        </is>
      </c>
      <c r="E4" s="103" t="inlineStr">
        <is>
          <t>MÜV SRP ~$14.99/pack; per-can set vs ~$3.49 CAD premium shelf norm ◐</t>
        </is>
      </c>
    </row>
    <row r="5" ht="26" customHeight="1">
      <c r="A5" s="59" t="inlineStr">
        <is>
          <t>COGS / can (CAD)</t>
        </is>
      </c>
      <c r="B5" s="145" t="inlineStr">
        <is>
          <t>$1.20</t>
        </is>
      </c>
      <c r="C5" s="145" t="inlineStr">
        <is>
          <t>$1.05</t>
        </is>
      </c>
      <c r="D5" s="145" t="inlineStr">
        <is>
          <t>$0.95</t>
        </is>
      </c>
      <c r="E5" s="146" t="inlineStr">
        <is>
          <t>Industry rule-of-thumb &lt;$1 target at scale; excludes freight/duty ⚠</t>
        </is>
      </c>
    </row>
    <row r="6" ht="26" customHeight="1">
      <c r="A6" s="57" t="inlineStr">
        <is>
          <t>Retailer margin %</t>
        </is>
      </c>
      <c r="B6" s="144" t="inlineStr">
        <is>
          <t>38%</t>
        </is>
      </c>
      <c r="C6" s="144" t="inlineStr">
        <is>
          <t>35%</t>
        </is>
      </c>
      <c r="D6" s="144" t="inlineStr">
        <is>
          <t>33%</t>
        </is>
      </c>
      <c r="E6" s="103" t="inlineStr">
        <is>
          <t>Grocery bev 30–40% rule-of-thumb ◐</t>
        </is>
      </c>
    </row>
    <row r="7" ht="26" customHeight="1">
      <c r="A7" s="59" t="inlineStr">
        <is>
          <t>Distributor margin %</t>
        </is>
      </c>
      <c r="B7" s="145" t="inlineStr">
        <is>
          <t>18%</t>
        </is>
      </c>
      <c r="C7" s="145" t="inlineStr">
        <is>
          <t>15%</t>
        </is>
      </c>
      <c r="D7" s="145" t="inlineStr">
        <is>
          <t>12%</t>
        </is>
      </c>
      <c r="E7" s="146" t="inlineStr">
        <is>
          <t>UNFI/KeHE ~13–25% range ◐</t>
        </is>
      </c>
    </row>
    <row r="8" ht="26" customHeight="1">
      <c r="A8" s="57" t="inlineStr">
        <is>
          <t>Trade spend % of net</t>
        </is>
      </c>
      <c r="B8" s="144" t="inlineStr">
        <is>
          <t>25%</t>
        </is>
      </c>
      <c r="C8" s="144" t="inlineStr">
        <is>
          <t>20%</t>
        </is>
      </c>
      <c r="D8" s="144" t="inlineStr">
        <is>
          <t>15%</t>
        </is>
      </c>
      <c r="E8" s="103" t="inlineStr">
        <is>
          <t>Emerging-brand 10–20%+ ◐</t>
        </is>
      </c>
    </row>
    <row r="9" ht="26" customHeight="1">
      <c r="A9" s="59" t="inlineStr">
        <is>
          <t>Doors Y1 / Y2 / Y3</t>
        </is>
      </c>
      <c r="B9" s="145" t="inlineStr">
        <is>
          <t>300/1.2k/3.5k</t>
        </is>
      </c>
      <c r="C9" s="145" t="inlineStr">
        <is>
          <t>500/2k/6k</t>
        </is>
      </c>
      <c r="D9" s="145" t="inlineStr">
        <is>
          <t>900/3.5k/11k</t>
        </is>
      </c>
      <c r="E9" s="146" t="inlineStr">
        <is>
          <t>Illustrative beachhead→scale ramp ⚠</t>
        </is>
      </c>
    </row>
    <row r="10" ht="26" customHeight="1">
      <c r="A10" s="57" t="inlineStr">
        <is>
          <t>Velocity (u/store/wk)</t>
        </is>
      </c>
      <c r="B10" s="144" t="inlineStr">
        <is>
          <t>2 / 3 / 3.5</t>
        </is>
      </c>
      <c r="C10" s="144" t="inlineStr">
        <is>
          <t>3 / 4 / 5</t>
        </is>
      </c>
      <c r="D10" s="144" t="inlineStr">
        <is>
          <t>4.5 / 6 / 7.5</t>
        </is>
      </c>
      <c r="E10" s="103" t="inlineStr">
        <is>
          <t>Illustrative; buyers reward velocity ⚠</t>
        </is>
      </c>
    </row>
    <row r="11" ht="26" customHeight="1">
      <c r="A11" s="59" t="inlineStr">
        <is>
          <t>Marketing / yr</t>
        </is>
      </c>
      <c r="B11" s="145" t="inlineStr">
        <is>
          <t>$150k</t>
        </is>
      </c>
      <c r="C11" s="145" t="inlineStr">
        <is>
          <t>$300k</t>
        </is>
      </c>
      <c r="D11" s="145" t="inlineStr">
        <is>
          <t>$600k</t>
        </is>
      </c>
      <c r="E11" s="146" t="inlineStr">
        <is>
          <t>Illustrative challenger budget ⚠</t>
        </is>
      </c>
    </row>
    <row r="12" ht="26" customHeight="1">
      <c r="A12" s="57" t="inlineStr">
        <is>
          <t>Fixed overhead / yr</t>
        </is>
      </c>
      <c r="B12" s="144" t="inlineStr">
        <is>
          <t>$250k</t>
        </is>
      </c>
      <c r="C12" s="144" t="inlineStr">
        <is>
          <t>$350k</t>
        </is>
      </c>
      <c r="D12" s="144" t="inlineStr">
        <is>
          <t>$500k</t>
        </is>
      </c>
      <c r="E12" s="103" t="inlineStr">
        <is>
          <t>Illustrative ⚠</t>
        </is>
      </c>
    </row>
    <row r="13" ht="26" customHeight="1">
      <c r="A13" s="59" t="inlineStr">
        <is>
          <t>Slotting (Y1 one-time)</t>
        </is>
      </c>
      <c r="B13" s="145" t="inlineStr">
        <is>
          <t>$50k</t>
        </is>
      </c>
      <c r="C13" s="145" t="inlineStr">
        <is>
          <t>$100k</t>
        </is>
      </c>
      <c r="D13" s="145" t="inlineStr">
        <is>
          <t>$200k</t>
        </is>
      </c>
      <c r="E13" s="146" t="inlineStr">
        <is>
          <t>Slotting $250–$250k/SKU range ◐</t>
        </is>
      </c>
    </row>
    <row r="15" ht="30" customHeight="1">
      <c r="A15" s="147" t="inlineStr">
        <is>
          <t>All financial inputs are ILLUSTRATIVE planning scaffolding, not a forecast. Replace each with real co-packer, distributor and buyer numbers. ◐ rule-of-thumb · ⚠ estimate/illustrative.</t>
        </is>
      </c>
      <c r="B15" s="34" t="n"/>
      <c r="C15" s="34" t="n"/>
      <c r="D15" s="34" t="n"/>
      <c r="E15" s="35" t="n"/>
    </row>
  </sheetData>
  <mergeCells count="2">
    <mergeCell ref="A15:E15"/>
    <mergeCell ref="A1:E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1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3"/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5"/>
    <row r="16"/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s="165" t="n">
        <v>1065469</v>
      </c>
      <c r="C19" s="165" t="n">
        <v>-365298</v>
      </c>
    </row>
    <row r="20" hidden="1">
      <c r="A20" t="inlineStr">
        <is>
          <t>Base</t>
        </is>
      </c>
      <c r="B20" s="165" t="n">
        <v>3008031</v>
      </c>
      <c r="C20" s="165" t="n">
        <v>118425</v>
      </c>
    </row>
    <row r="21" hidden="1">
      <c r="A21" t="inlineStr">
        <is>
          <t>Aggressive</t>
        </is>
      </c>
      <c r="B21" s="165" t="n">
        <v>9586365</v>
      </c>
      <c r="C21" s="165" t="n">
        <v>2972911</v>
      </c>
    </row>
    <row r="22"/>
    <row r="23"/>
    <row r="24"/>
    <row r="25"/>
    <row r="26"/>
    <row r="27"/>
    <row r="28"/>
    <row r="29"/>
    <row r="30"/>
    <row r="31"/>
    <row r="32"/>
    <row r="33"/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5"/>
    <row r="36"/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s="165" t="n">
        <v>8260367</v>
      </c>
    </row>
    <row r="40" hidden="1">
      <c r="A40" t="inlineStr">
        <is>
          <t>Base</t>
        </is>
      </c>
      <c r="B40" s="165" t="n">
        <v>1522595</v>
      </c>
    </row>
    <row r="41" hidden="1">
      <c r="A41" t="inlineStr">
        <is>
          <t>Aggressive</t>
        </is>
      </c>
      <c r="B41" s="165" t="n">
        <v>1369291</v>
      </c>
    </row>
  </sheetData>
  <mergeCells count="3">
    <mergeCell ref="A2:E2"/>
    <mergeCell ref="A34:E34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</cols>
  <sheetData>
    <row r="1" ht="26" customHeight="1">
      <c r="A1" s="153" t="inlineStr">
        <is>
          <t>How to Present — leadership readout</t>
        </is>
      </c>
      <c r="M1" s="95" t="inlineStr">
        <is>
          <t>🏠 Home</t>
        </is>
      </c>
    </row>
    <row r="2">
      <c r="A2" s="154" t="inlineStr">
        <is>
          <t>One line to say on each key tab. Lead with the decision; let the tabs back it up.</t>
        </is>
      </c>
    </row>
    <row r="4">
      <c r="A4" s="74" t="inlineStr">
        <is>
          <t>Tab</t>
        </is>
      </c>
      <c r="B4" s="74" t="inlineStr">
        <is>
          <t>Say this</t>
        </is>
      </c>
      <c r="C4" s="74" t="inlineStr">
        <is>
          <t>Then show</t>
        </is>
      </c>
    </row>
    <row r="5" ht="32" customHeight="1">
      <c r="A5" s="57" t="inlineStr">
        <is>
          <t>Open</t>
        </is>
      </c>
      <c r="B5" s="103" t="inlineStr">
        <is>
          <t>“One decision: GO — conditional. Launch MÜV as daily-wellness sparkling hydration, made in Canada.”</t>
        </is>
      </c>
      <c r="C5" s="103" t="inlineStr">
        <is>
          <t>Executive Brief 1-page</t>
        </is>
      </c>
    </row>
    <row r="6" ht="32" customHeight="1">
      <c r="A6" s="59" t="inlineStr">
        <is>
          <t>Executive Brief</t>
        </is>
      </c>
      <c r="B6" s="146" t="inlineStr">
        <is>
          <t>“Here's the whole case on one page — verdict, numbers, five moves, risks.”</t>
        </is>
      </c>
      <c r="C6" s="146" t="inlineStr">
        <is>
          <t>Executive Brief 1-page</t>
        </is>
      </c>
    </row>
    <row r="7" ht="32" customHeight="1">
      <c r="A7" s="57" t="inlineStr">
        <is>
          <t>Dashboard</t>
        </is>
      </c>
      <c r="B7" s="103" t="inlineStr">
        <is>
          <t>“The category is real: modern soda $1.8B (+83%), hydration powders $1.5B (+20%).”</t>
        </is>
      </c>
      <c r="C7" s="103" t="inlineStr">
        <is>
          <t>Dashboard charts</t>
        </is>
      </c>
    </row>
    <row r="8" ht="32" customHeight="1">
      <c r="A8" s="59" t="inlineStr">
        <is>
          <t>MÜV Peer Set</t>
        </is>
      </c>
      <c r="B8" s="146" t="inlineStr">
        <is>
          <t>“We compete with LMNT, Liquid I.V., Nuun — not Poppi. Sparkling is our wedge.”</t>
        </is>
      </c>
      <c r="C8" s="146" t="inlineStr">
        <is>
          <t>peer ladder + scatter</t>
        </is>
      </c>
    </row>
    <row r="9" ht="32" customHeight="1">
      <c r="A9" s="57" t="inlineStr">
        <is>
          <t>Financial Model</t>
        </is>
      </c>
      <c r="B9" s="103" t="inlineStr">
        <is>
          <t>“Flip the scenario. Even Conservative has a defined break-even; Base is healthy.”</t>
        </is>
      </c>
      <c r="C9" s="103" t="inlineStr">
        <is>
          <t>scenario dropdown</t>
        </is>
      </c>
    </row>
    <row r="10" ht="32" customHeight="1">
      <c r="A10" s="59" t="inlineStr">
        <is>
          <t>Canada Regulatory v2</t>
        </is>
      </c>
      <c r="B10" s="146" t="inlineStr">
        <is>
          <t>“It's a food, not an NHP. We label to Supplemented Foods now; collagen claims stay on the powder.”</t>
        </is>
      </c>
      <c r="C10" s="146" t="inlineStr">
        <is>
          <t>claims fork table</t>
        </is>
      </c>
    </row>
    <row r="11" ht="32" customHeight="1">
      <c r="A11" s="57" t="inlineStr">
        <is>
          <t>Go-No-Go</t>
        </is>
      </c>
      <c r="B11" s="103" t="inlineStr">
        <is>
          <t>“The weighted gates say GO — conditional. The conditions are dose/claims and regulatory sign-off.”</t>
        </is>
      </c>
      <c r="C11" s="103" t="inlineStr">
        <is>
          <t>auto-verdict</t>
        </is>
      </c>
    </row>
    <row r="12" ht="32" customHeight="1">
      <c r="A12" s="59" t="inlineStr">
        <is>
          <t>Data Confidence / Verification Log</t>
        </is>
      </c>
      <c r="B12" s="146" t="inlineStr">
        <is>
          <t>“Every load-bearing number is primary-sourced; estimates are flagged, not hidden.”</t>
        </is>
      </c>
      <c r="C12" s="146" t="inlineStr">
        <is>
          <t>scoreboard</t>
        </is>
      </c>
    </row>
    <row r="13" ht="32" customHeight="1">
      <c r="A13" s="57" t="inlineStr">
        <is>
          <t>Risk Register</t>
        </is>
      </c>
      <c r="B13" s="103" t="inlineStr">
        <is>
          <t>“Top three risks — claims liability, big-CPG rivals, over-distribution — all mitigable.”</t>
        </is>
      </c>
      <c r="C13" s="103" t="inlineStr">
        <is>
          <t>heatmap</t>
        </is>
      </c>
    </row>
    <row r="14" ht="32" customHeight="1">
      <c r="A14" s="59" t="inlineStr">
        <is>
          <t>The ask</t>
        </is>
      </c>
      <c r="B14" s="146" t="inlineStr">
        <is>
          <t>“Approve Phase 0: confirm MÜV specs, regulatory sign-off, co-packer quote, Costco beachhead.”</t>
        </is>
      </c>
      <c r="C14" s="146" t="inlineStr">
        <is>
          <t>Next Steps &amp; Gates</t>
        </is>
      </c>
    </row>
  </sheetData>
  <mergeCells count="2">
    <mergeCell ref="A1:D1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6" customWidth="1" min="3" max="3"/>
    <col width="12" customWidth="1" min="4" max="4"/>
    <col width="34" customWidth="1" min="5" max="5"/>
    <col width="10" customWidth="1" min="6" max="6"/>
  </cols>
  <sheetData>
    <row r="1" ht="26" customHeight="1">
      <c r="A1" s="153" t="inlineStr">
        <is>
          <t>Next Steps &amp; Decision Gates</t>
        </is>
      </c>
      <c r="M1" s="95" t="inlineStr">
        <is>
          <t>🏠 Home</t>
        </is>
      </c>
    </row>
    <row r="2">
      <c r="A2" s="154" t="inlineStr">
        <is>
          <t>Immediate actions to move MÜV forward. Status is illustrative — set owners/dates with the team.</t>
        </is>
      </c>
    </row>
    <row r="4">
      <c r="A4" s="74" t="inlineStr">
        <is>
          <t>#</t>
        </is>
      </c>
      <c r="B4" s="74" t="inlineStr">
        <is>
          <t>Action</t>
        </is>
      </c>
      <c r="C4" s="74" t="inlineStr">
        <is>
          <t>Owner</t>
        </is>
      </c>
      <c r="D4" s="74" t="inlineStr">
        <is>
          <t>Timing</t>
        </is>
      </c>
      <c r="E4" s="74" t="inlineStr">
        <is>
          <t>Why it's a gate</t>
        </is>
      </c>
      <c r="F4" s="74" t="inlineStr">
        <is>
          <t>Status</t>
        </is>
      </c>
    </row>
    <row r="5" ht="32" customHeight="1">
      <c r="A5" s="57" t="inlineStr">
        <is>
          <t>1</t>
        </is>
      </c>
      <c r="B5" s="103" t="inlineStr">
        <is>
          <t>Confirm MÜV on-can specs (sodium mg, pack size, any collagen variant)</t>
        </is>
      </c>
      <c r="C5" s="103" t="inlineStr">
        <is>
          <t>Brand / R&amp;D</t>
        </is>
      </c>
      <c r="D5" s="103" t="inlineStr">
        <is>
          <t>Now</t>
        </is>
      </c>
      <c r="E5" s="103" t="inlineStr">
        <is>
          <t>Unblocks claims + fills the last model input</t>
        </is>
      </c>
      <c r="F5" s="166" t="inlineStr">
        <is>
          <t>Open</t>
        </is>
      </c>
    </row>
    <row r="6" ht="32" customHeight="1">
      <c r="A6" s="59" t="inlineStr">
        <is>
          <t>2</t>
        </is>
      </c>
      <c r="B6" s="146" t="inlineStr">
        <is>
          <t>Regulatory counsel sign-off on the claim set (Supplemented Food)</t>
        </is>
      </c>
      <c r="C6" s="146" t="inlineStr">
        <is>
          <t>Regulatory</t>
        </is>
      </c>
      <c r="D6" s="146" t="inlineStr">
        <is>
          <t>Wk 1–3</t>
        </is>
      </c>
      <c r="E6" s="146" t="inlineStr">
        <is>
          <t>De-risks the label; must precede artwork</t>
        </is>
      </c>
      <c r="F6" s="166" t="inlineStr">
        <is>
          <t>Open</t>
        </is>
      </c>
    </row>
    <row r="7" ht="32" customHeight="1">
      <c r="A7" s="57" t="inlineStr">
        <is>
          <t>3</t>
        </is>
      </c>
      <c r="B7" s="103" t="inlineStr">
        <is>
          <t>Canadian co-packer quote + capacity</t>
        </is>
      </c>
      <c r="C7" s="103" t="inlineStr">
        <is>
          <t>Ops</t>
        </is>
      </c>
      <c r="D7" s="103" t="inlineStr">
        <is>
          <t>Wk 1–4</t>
        </is>
      </c>
      <c r="E7" s="103" t="inlineStr">
        <is>
          <t>Real COGS replaces the illustrative model input</t>
        </is>
      </c>
      <c r="F7" s="166" t="inlineStr">
        <is>
          <t>Open</t>
        </is>
      </c>
    </row>
    <row r="8" ht="32" customHeight="1">
      <c r="A8" s="59" t="inlineStr">
        <is>
          <t>4</t>
        </is>
      </c>
      <c r="B8" s="146" t="inlineStr">
        <is>
          <t>Bilingual + Quebec Bill 96 artwork</t>
        </is>
      </c>
      <c r="C8" s="146" t="inlineStr">
        <is>
          <t>Brand</t>
        </is>
      </c>
      <c r="D8" s="146" t="inlineStr">
        <is>
          <t>Wk 3–6</t>
        </is>
      </c>
      <c r="E8" s="146" t="inlineStr">
        <is>
          <t>Compliance; long-lead for print</t>
        </is>
      </c>
      <c r="F8" s="166" t="inlineStr">
        <is>
          <t>Open</t>
        </is>
      </c>
    </row>
    <row r="9" ht="32" customHeight="1">
      <c r="A9" s="57" t="inlineStr">
        <is>
          <t>5</t>
        </is>
      </c>
      <c r="B9" s="103" t="inlineStr">
        <is>
          <t>Costco Canada roadshow slot + Amazon.ca / Well.ca listings</t>
        </is>
      </c>
      <c r="C9" s="103" t="inlineStr">
        <is>
          <t>Sales</t>
        </is>
      </c>
      <c r="D9" s="103" t="inlineStr">
        <is>
          <t>Wk 4–9</t>
        </is>
      </c>
      <c r="E9" s="103" t="inlineStr">
        <is>
          <t>The beachhead trial engine</t>
        </is>
      </c>
      <c r="F9" s="166" t="inlineStr">
        <is>
          <t>Open</t>
        </is>
      </c>
    </row>
    <row r="10" ht="32" customHeight="1">
      <c r="A10" s="59" t="inlineStr">
        <is>
          <t>6</t>
        </is>
      </c>
      <c r="B10" s="146" t="inlineStr">
        <is>
          <t>Define velocity + repeat-rate targets (KPIs)</t>
        </is>
      </c>
      <c r="C10" s="146" t="inlineStr">
        <is>
          <t>Sales / Finance</t>
        </is>
      </c>
      <c r="D10" s="146" t="inlineStr">
        <is>
          <t>Wk 2</t>
        </is>
      </c>
      <c r="E10" s="146" t="inlineStr">
        <is>
          <t>Gates Phase 2 national sell-in</t>
        </is>
      </c>
      <c r="F10" s="166" t="inlineStr">
        <is>
          <t>Open</t>
        </is>
      </c>
    </row>
    <row r="11" ht="32" customHeight="1">
      <c r="A11" s="57" t="inlineStr">
        <is>
          <t>7</t>
        </is>
      </c>
      <c r="B11" s="103" t="inlineStr">
        <is>
          <t>Board approval of Phase 0 budget</t>
        </is>
      </c>
      <c r="C11" s="103" t="inlineStr">
        <is>
          <t>Leadership</t>
        </is>
      </c>
      <c r="D11" s="103" t="inlineStr">
        <is>
          <t>Wk 1</t>
        </is>
      </c>
      <c r="E11" s="103" t="inlineStr">
        <is>
          <t>Greenlights the above</t>
        </is>
      </c>
      <c r="F11" s="166" t="inlineStr">
        <is>
          <t>Open</t>
        </is>
      </c>
    </row>
    <row r="13">
      <c r="B13" s="41" t="inlineStr">
        <is>
          <t>Sequenced to the Launch Plan (Tab 21): #1–4 = Phase 0 foundation, #5–6 = Phase 1 beachhead.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  <row r="19">
      <c r="A19" s="138" t="inlineStr">
        <is>
          <t>LIKELIHOOD × IMPACT HEATMAP (risk #s placed by rating)</t>
        </is>
      </c>
    </row>
    <row r="20">
      <c r="A20" s="148" t="inlineStr">
        <is>
          <t>Impact ↓ / Likelihood →</t>
        </is>
      </c>
      <c r="B20" s="149" t="inlineStr">
        <is>
          <t>Low</t>
        </is>
      </c>
      <c r="C20" s="149" t="inlineStr">
        <is>
          <t>Med</t>
        </is>
      </c>
      <c r="D20" s="149" t="inlineStr">
        <is>
          <t>High</t>
        </is>
      </c>
    </row>
    <row r="21" ht="24" customHeight="1">
      <c r="A21" s="149" t="inlineStr">
        <is>
          <t>High</t>
        </is>
      </c>
      <c r="B21" s="150" t="inlineStr">
        <is>
          <t>—</t>
        </is>
      </c>
      <c r="C21" s="151" t="inlineStr">
        <is>
          <t>3, 4, 5</t>
        </is>
      </c>
      <c r="D21" s="151" t="inlineStr">
        <is>
          <t>1, 2</t>
        </is>
      </c>
    </row>
    <row r="22" ht="24" customHeight="1">
      <c r="A22" s="149" t="inlineStr">
        <is>
          <t>Med</t>
        </is>
      </c>
      <c r="B22" s="152" t="inlineStr">
        <is>
          <t>12</t>
        </is>
      </c>
      <c r="C22" s="150" t="inlineStr">
        <is>
          <t>6,7,8,9,10</t>
        </is>
      </c>
      <c r="D22" s="151" t="inlineStr">
        <is>
          <t>—</t>
        </is>
      </c>
    </row>
    <row r="23" ht="24" customHeight="1">
      <c r="A23" s="149" t="inlineStr">
        <is>
          <t>Low</t>
        </is>
      </c>
      <c r="B23" s="152" t="inlineStr">
        <is>
          <t>—</t>
        </is>
      </c>
      <c r="C23" s="152" t="inlineStr">
        <is>
          <t>11</t>
        </is>
      </c>
      <c r="D23" s="150" t="inlineStr">
        <is>
          <t>—</t>
        </is>
      </c>
    </row>
    <row r="24">
      <c r="A24" s="133" t="inlineStr">
        <is>
          <t>Red = act now · Amber = manage · Green = monitor. Numbers refer to the risk # in the table above.</t>
        </is>
      </c>
    </row>
  </sheetData>
  <mergeCells count="4">
    <mergeCell ref="A19:F19"/>
    <mergeCell ref="A2:F2"/>
    <mergeCell ref="A1:F1"/>
    <mergeCell ref="A24:F2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0" customWidth="1" min="3" max="3"/>
    <col width="10" customWidth="1" min="4" max="4"/>
  </cols>
  <sheetData>
    <row r="1" ht="26" customHeight="1">
      <c r="A1" s="153" t="inlineStr">
        <is>
          <t>Data Confidence Scoreboard</t>
        </is>
      </c>
      <c r="M1" s="95" t="inlineStr">
        <is>
          <t>🏠 Home</t>
        </is>
      </c>
    </row>
    <row r="2">
      <c r="A2" s="154" t="inlineStr">
        <is>
          <t>Tally of confidence tags across the whole dossier — how much rests on hard evidence vs estimates.</t>
        </is>
      </c>
    </row>
    <row r="4">
      <c r="A4" s="74" t="inlineStr">
        <is>
          <t>Confidence tier</t>
        </is>
      </c>
      <c r="B4" s="74" t="inlineStr">
        <is>
          <t>Marker</t>
        </is>
      </c>
      <c r="C4" s="74" t="inlineStr">
        <is>
          <t>Count</t>
        </is>
      </c>
      <c r="D4" s="74" t="inlineStr">
        <is>
          <t>Share</t>
        </is>
      </c>
    </row>
    <row r="5">
      <c r="A5" s="109" t="inlineStr">
        <is>
          <t>Hard (primary/scanner/regulatory)</t>
        </is>
      </c>
      <c r="B5" s="144" t="inlineStr">
        <is>
          <t>✅ HARD</t>
        </is>
      </c>
      <c r="C5" s="155" t="n">
        <v>48</v>
      </c>
      <c r="D5" s="156" t="n">
        <v>0.4403669724770642</v>
      </c>
    </row>
    <row r="6">
      <c r="A6" s="59" t="inlineStr">
        <is>
          <t>Directional (research-firm/single-source)</t>
        </is>
      </c>
      <c r="B6" s="144" t="inlineStr">
        <is>
          <t>◐ DIRECTIONAL</t>
        </is>
      </c>
      <c r="C6" s="155" t="n">
        <v>28</v>
      </c>
      <c r="D6" s="156" t="n">
        <v>0.2568807339449541</v>
      </c>
    </row>
    <row r="7">
      <c r="A7" s="157" t="inlineStr">
        <is>
          <t>Flag (estimate/verify/contested)</t>
        </is>
      </c>
      <c r="B7" s="144" t="inlineStr">
        <is>
          <t>⚠ FLAG</t>
        </is>
      </c>
      <c r="C7" s="155" t="n">
        <v>33</v>
      </c>
      <c r="D7" s="156" t="n">
        <v>0.3027522935779817</v>
      </c>
    </row>
    <row r="8">
      <c r="A8" s="158" t="inlineStr">
        <is>
          <t>TOTAL tags</t>
        </is>
      </c>
      <c r="C8" s="159" t="n">
        <v>109</v>
      </c>
    </row>
    <row r="24" ht="44" customHeight="1">
      <c r="A24" s="119" t="inlineStr">
        <is>
          <t>Read: a healthy dossier leans on hard/primary evidence for its load-bearing claims (verified on the Verification Log) while transparently flagging estimates. Market-size projections and all financial inputs are ◐/⚠ by nature — never quote them as fact.</t>
        </is>
      </c>
      <c r="B24" s="34" t="n"/>
      <c r="C24" s="34" t="n"/>
      <c r="D24" s="35" t="n"/>
    </row>
  </sheetData>
  <mergeCells count="3">
    <mergeCell ref="A1:D1"/>
    <mergeCell ref="A24:D24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40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41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</sheetData>
  <mergeCells count="2"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2026-07-18T09:14:40Z</dcterms:created>
  <dcterms:modified xsi:type="dcterms:W3CDTF">2026-07-18T09:14:45Z</dcterms:modified>
  <cp:keywords>functional beverage, prebiotic soda, collagen, hydration, Canada, MUV, Organika</cp:keywords>
</cp:coreProperties>
</file>