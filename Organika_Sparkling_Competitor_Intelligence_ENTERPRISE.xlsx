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Start Here" sheetId="1" state="visible" r:id="rId1"/>
    <sheet name="Executive Brief 1-page" sheetId="2" state="visible" r:id="rId2"/>
    <sheet name="00 Cover" sheetId="3" state="visible" r:id="rId3"/>
    <sheet name="01 Contents" sheetId="4" state="visible" r:id="rId4"/>
    <sheet name="02 Executive Summary" sheetId="5" state="visible" r:id="rId5"/>
    <sheet name="Dashboard" sheetId="6" state="visible" r:id="rId6"/>
    <sheet name="Financial Model" sheetId="7" state="visible" r:id="rId7"/>
    <sheet name="Scenario Comparison" sheetId="8" state="visible" r:id="rId8"/>
    <sheet name="03 Methodology" sheetId="9" state="visible" r:id="rId9"/>
    <sheet name="04 Market Sizing" sheetId="10" state="visible" r:id="rId10"/>
    <sheet name="05 Trends &amp; Macro" sheetId="11" state="visible" r:id="rId11"/>
    <sheet name="06 Consumer" sheetId="12" state="visible" r:id="rId12"/>
    <sheet name="07 Comparison Matrix" sheetId="13" state="visible" r:id="rId13"/>
    <sheet name="MÜV Peer Set" sheetId="14" state="visible" r:id="rId14"/>
    <sheet name="08 Extended Landscape" sheetId="15" state="visible" r:id="rId15"/>
    <sheet name="09 Channel &amp; Retail" sheetId="16" state="visible" r:id="rId16"/>
    <sheet name="10 Channel Economics" sheetId="17" state="visible" r:id="rId17"/>
    <sheet name="11 Formulation" sheetId="18" state="visible" r:id="rId18"/>
    <sheet name="12 Marketing" sheetId="19" state="visible" r:id="rId19"/>
    <sheet name="13 Launch Playbooks" sheetId="20" state="visible" r:id="rId20"/>
    <sheet name="14 Patterns &amp; Failures" sheetId="21" state="visible" r:id="rId21"/>
    <sheet name="15 Outcomes &amp; M&amp;A" sheetId="22" state="visible" r:id="rId22"/>
    <sheet name="16 SWOT" sheetId="23" state="visible" r:id="rId23"/>
    <sheet name="17 Scoring Model" sheetId="24" state="visible" r:id="rId24"/>
    <sheet name="18 Canada Market" sheetId="25" state="visible" r:id="rId25"/>
    <sheet name="19 Canada Regulatory" sheetId="26" state="visible" r:id="rId26"/>
    <sheet name="Canada Regulatory v2" sheetId="27" state="visible" r:id="rId27"/>
    <sheet name="Electrolyte BFY Deep-Dive" sheetId="28" state="visible" r:id="rId28"/>
    <sheet name="20 GTM Recommendation" sheetId="29" state="visible" r:id="rId29"/>
    <sheet name="Go-NoGo Decision" sheetId="30" state="visible" r:id="rId30"/>
    <sheet name="Battlecards" sheetId="31" state="visible" r:id="rId31"/>
    <sheet name="21 Launch Plan" sheetId="32" state="visible" r:id="rId32"/>
    <sheet name="22 Risk Register" sheetId="33" state="visible" r:id="rId33"/>
    <sheet name="23 KPI Dashboard" sheetId="34" state="visible" r:id="rId34"/>
    <sheet name="24 Sources" sheetId="35" state="visible" r:id="rId35"/>
    <sheet name="Verification Log" sheetId="36" state="visible" r:id="rId36"/>
    <sheet name="25 Glossary" sheetId="37" state="visible" r:id="rId37"/>
  </sheets>
  <definedNames>
    <definedName name="_xlnm.Print_Area" localSheetId="0">'🏠 Start Here'!$A$1:$E$25</definedName>
    <definedName name="_xlnm.Print_Area" localSheetId="1">'Executive Brief 1-page'!$A$1:$E$24</definedName>
    <definedName name="_xlnm.Print_Area" localSheetId="2">'00 Cover'!$A$1:$M$27</definedName>
    <definedName name="_xlnm.Print_Area" localSheetId="3">'01 Contents'!$A$1:$M$39</definedName>
    <definedName name="_xlnm.Print_Area" localSheetId="4">'02 Executive Summary'!$A$1:$N$17</definedName>
    <definedName name="_xlnm.Print_Area" localSheetId="5">'Dashboard'!$A$1:$N$78</definedName>
    <definedName name="_xlnm.Print_Area" localSheetId="6">'Financial Model'!$A$1:$N$61</definedName>
    <definedName name="_xlnm.Print_Area" localSheetId="7">'Scenario Comparison'!$A$1:$N$34</definedName>
    <definedName name="_xlnm.Print_Area" localSheetId="8">'03 Methodology'!$A$1:$N$8</definedName>
    <definedName name="_xlnm.Print_Area" localSheetId="9">'04 Market Sizing'!$A$1:$N$27</definedName>
    <definedName name="_xlnm.Print_Area" localSheetId="10">'05 Trends &amp; Macro'!$A$1:$N$12</definedName>
    <definedName name="_xlnm.Print_Area" localSheetId="11">'06 Consumer'!$A$1:$N$16</definedName>
    <definedName name="_xlnm._FilterDatabase" localSheetId="12" hidden="1">'07 Comparison Matrix'!$A$3:$L$11</definedName>
    <definedName name="_xlnm.Print_Area" localSheetId="12">'07 Comparison Matrix'!$A$1:$N$12</definedName>
    <definedName name="_xlnm.Print_Area" localSheetId="13">'MÜV Peer Set'!$A$1:$N$32</definedName>
    <definedName name="_xlnm.Print_Area" localSheetId="14">'08 Extended Landscape'!$A$1:$N$50</definedName>
    <definedName name="_xlnm.Print_Area" localSheetId="15">'09 Channel &amp; Retail'!$A$1:$N$13</definedName>
    <definedName name="_xlnm.Print_Area" localSheetId="16">'10 Channel Economics'!$A$1:$N$38</definedName>
    <definedName name="_xlnm.Print_Area" localSheetId="17">'11 Formulation'!$A$1:$N$12</definedName>
    <definedName name="_xlnm.Print_Area" localSheetId="18">'12 Marketing'!$A$1:$N$12</definedName>
    <definedName name="_xlnm.Print_Area" localSheetId="19">'13 Launch Playbooks'!$A$1:$N$9</definedName>
    <definedName name="_xlnm.Print_Area" localSheetId="20">'14 Patterns &amp; Failures'!$A$1:$N$18</definedName>
    <definedName name="_xlnm.Print_Area" localSheetId="21">'15 Outcomes &amp; M&amp;A'!$A$1:$N$14</definedName>
    <definedName name="_xlnm.Print_Area" localSheetId="22">'16 SWOT'!$A$1:$N$9</definedName>
    <definedName name="_xlnm.Print_Area" localSheetId="23">'17 Scoring Model'!$A$1:$N$14</definedName>
    <definedName name="_xlnm.Print_Area" localSheetId="24">'18 Canada Market'!$A$1:$N$35</definedName>
    <definedName name="_xlnm.Print_Area" localSheetId="25">'19 Canada Regulatory'!$A$1:$N$38</definedName>
    <definedName name="_xlnm.Print_Area" localSheetId="26">'Canada Regulatory v2'!$A$1:$N$31</definedName>
    <definedName name="_xlnm.Print_Area" localSheetId="27">'Electrolyte BFY Deep-Dive'!$A$1:$N$43</definedName>
    <definedName name="_xlnm.Print_Area" localSheetId="28">'20 GTM Recommendation'!$A$1:$N$11</definedName>
    <definedName name="_xlnm.Print_Area" localSheetId="29">'Go-NoGo Decision'!$A$1:$N$16</definedName>
    <definedName name="_xlnm.Print_Area" localSheetId="30">'Battlecards'!$A$1:$N$9</definedName>
    <definedName name="_xlnm.Print_Area" localSheetId="31">'21 Launch Plan'!$A$1:$N$7</definedName>
    <definedName name="_xlnm.Print_Area" localSheetId="32">'22 Risk Register'!$A$1:$N$16</definedName>
    <definedName name="_xlnm.Print_Area" localSheetId="33">'23 KPI Dashboard'!$A$1:$N$12</definedName>
    <definedName name="_xlnm.Print_Area" localSheetId="34">'24 Sources'!$A$1:$N$32</definedName>
    <definedName name="_xlnm.Print_Area" localSheetId="35">'Verification Log'!$A$1:$N$16</definedName>
    <definedName name="_xlnm.Print_Area" localSheetId="36">'25 Glossary'!$A$1:$N$26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3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  <font>
      <name val="Calibri"/>
      <b val="1"/>
      <color rgb="00595959"/>
      <sz val="10"/>
    </font>
    <font>
      <name val="Calibri"/>
      <b val="1"/>
      <color rgb="00FFFFFF"/>
      <sz val="22"/>
    </font>
    <font>
      <name val="Calibri"/>
      <i val="1"/>
      <color rgb="00FFFFFF"/>
      <sz val="11"/>
    </font>
    <font>
      <name val="Calibri"/>
      <b val="1"/>
      <color rgb="00FFFFFF"/>
      <sz val="11"/>
    </font>
    <font>
      <name val="Calibri"/>
      <b val="1"/>
      <color rgb="0014304F"/>
      <sz val="9"/>
    </font>
    <font>
      <name val="Calibri"/>
      <b val="1"/>
      <sz val="9"/>
    </font>
    <font>
      <name val="Calibri"/>
      <color rgb="00595959"/>
      <sz val="9"/>
    </font>
    <font>
      <name val="Calibri"/>
      <sz val="9"/>
    </font>
    <font>
      <name val="Calibri"/>
      <color rgb="001155CC"/>
      <sz val="10"/>
      <u val="single"/>
    </font>
    <font>
      <name val="Calibri"/>
      <b val="1"/>
      <color rgb="00FFFFFF"/>
      <sz val="16"/>
    </font>
  </fonts>
  <fills count="17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  <fill>
      <patternFill patternType="solid">
        <fgColor rgb="00C9A227"/>
      </patternFill>
    </fill>
    <fill>
      <patternFill patternType="solid">
        <fgColor rgb="00595959"/>
      </patternFill>
    </fill>
    <fill>
      <patternFill patternType="solid">
        <fgColor rgb="00B45309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/>
      <top/>
      <bottom/>
      <diagonal/>
    </border>
    <border>
      <left style="medium">
        <color rgb="00FFFFFF"/>
      </left>
      <right style="medium">
        <color rgb="00FFFFFF"/>
      </right>
      <top/>
      <bottom/>
      <diagonal/>
    </border>
    <border>
      <left style="medium">
        <color rgb="00FFFFFF"/>
      </left>
      <right style="medium">
        <color rgb="00FFFFFF"/>
      </right>
      <top/>
      <bottom style="medium">
        <color rgb="00FFFFFF"/>
      </bottom>
      <diagonal/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vertical="top" wrapText="1"/>
    </xf>
    <xf numFmtId="0" fontId="10" fillId="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wrapText="1"/>
    </xf>
    <xf numFmtId="164" fontId="14" fillId="6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25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7" fillId="7" borderId="6" applyAlignment="1" pivotButton="0" quotePrefix="0" xfId="0">
      <alignment horizontal="center" vertical="center" wrapText="1"/>
    </xf>
    <xf numFmtId="0" fontId="27" fillId="9" borderId="6" applyAlignment="1" pivotButton="0" quotePrefix="0" xfId="0">
      <alignment horizontal="center" vertical="center" wrapText="1"/>
    </xf>
    <xf numFmtId="0" fontId="27" fillId="3" borderId="6" applyAlignment="1" pivotButton="0" quotePrefix="0" xfId="0">
      <alignment horizontal="center" vertical="center" wrapText="1"/>
    </xf>
    <xf numFmtId="0" fontId="27" fillId="14" borderId="6" applyAlignment="1" pivotButton="0" quotePrefix="0" xfId="0">
      <alignment horizontal="center" vertical="center" wrapText="1"/>
    </xf>
    <xf numFmtId="0" fontId="27" fillId="15" borderId="6" applyAlignment="1" pivotButton="0" quotePrefix="0" xfId="0">
      <alignment horizontal="center" vertical="center" wrapText="1"/>
    </xf>
    <xf numFmtId="0" fontId="27" fillId="2" borderId="6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 wrapText="1"/>
    </xf>
    <xf numFmtId="0" fontId="22" fillId="14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8" fillId="0" borderId="0" pivotButton="0" quotePrefix="0" xfId="0"/>
    <xf numFmtId="0" fontId="29" fillId="13" borderId="1" applyAlignment="1" applyProtection="1" pivotButton="0" quotePrefix="0" xfId="0">
      <alignment horizontal="center"/>
      <protection locked="0" hidden="0"/>
    </xf>
    <xf numFmtId="0" fontId="30" fillId="0" borderId="0" pivotButton="0" quotePrefix="0" xfId="0"/>
    <xf numFmtId="164" fontId="14" fillId="13" borderId="1" applyAlignment="1" applyProtection="1" pivotButton="0" quotePrefix="0" xfId="0">
      <alignment horizontal="center" vertical="center" wrapText="1"/>
      <protection locked="0" hidden="0"/>
    </xf>
    <xf numFmtId="164" fontId="31" fillId="6" borderId="1" applyAlignment="1" pivotButton="0" quotePrefix="0" xfId="0">
      <alignment horizontal="center"/>
    </xf>
    <xf numFmtId="9" fontId="14" fillId="13" borderId="1" applyAlignment="1" applyProtection="1" pivotButton="0" quotePrefix="0" xfId="0">
      <alignment horizontal="center" vertical="center" wrapText="1"/>
      <protection locked="0" hidden="0"/>
    </xf>
    <xf numFmtId="1" fontId="14" fillId="13" borderId="1" applyAlignment="1" applyProtection="1" pivotButton="0" quotePrefix="0" xfId="0">
      <alignment horizontal="center" vertical="center" wrapText="1"/>
      <protection locked="0" hidden="0"/>
    </xf>
    <xf numFmtId="3" fontId="14" fillId="13" borderId="1" applyAlignment="1" applyProtection="1" pivotButton="0" quotePrefix="0" xfId="0">
      <alignment horizontal="center" vertical="center" wrapText="1"/>
      <protection locked="0" hidden="0"/>
    </xf>
    <xf numFmtId="166" fontId="14" fillId="13" borderId="1" applyAlignment="1" applyProtection="1" pivotButton="0" quotePrefix="0" xfId="0">
      <alignment horizontal="center" vertical="center" wrapText="1"/>
      <protection locked="0" hidden="0"/>
    </xf>
    <xf numFmtId="167" fontId="14" fillId="13" borderId="1" applyAlignment="1" applyProtection="1" pivotButton="0" quotePrefix="0" xfId="0">
      <alignment horizontal="center" vertical="center" wrapText="1"/>
      <protection locked="0" hidden="0"/>
    </xf>
    <xf numFmtId="0" fontId="18" fillId="0" borderId="0" pivotButton="0" quotePrefix="0" xfId="0"/>
    <xf numFmtId="0" fontId="32" fillId="0" borderId="1" applyAlignment="1" pivotButton="0" quotePrefix="0" xfId="0">
      <alignment vertical="top" wrapText="1"/>
    </xf>
    <xf numFmtId="0" fontId="32" fillId="6" borderId="1" applyAlignment="1" pivotButton="0" quotePrefix="0" xfId="0">
      <alignment vertical="top" wrapText="1"/>
    </xf>
    <xf numFmtId="0" fontId="33" fillId="2" borderId="0" applyAlignment="1" pivotButton="0" quotePrefix="0" xfId="0">
      <alignment horizontal="center" vertical="center" wrapText="1"/>
    </xf>
    <xf numFmtId="0" fontId="27" fillId="9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styles" Target="styles.xml" Id="rId38" /><Relationship Type="http://schemas.openxmlformats.org/officeDocument/2006/relationships/theme" Target="theme/theme1.xml" Id="rId3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Year-3 Net Revenue vs EBITDA by Scenario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Comparison'!$B$19:$B$21</f>
            </numRef>
          </val>
        </ser>
        <ser>
          <idx val="1"/>
          <order val="1"/>
          <tx>
            <strRef>
              <f>'Scenario Comparison'!C18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Comparison'!$C$19:$C$21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Electrolyte positioning — Sodium (mg) vs Price/serving</a:t>
            </a:r>
          </a:p>
        </rich>
      </tx>
    </title>
    <plotArea>
      <scatterChart>
        <ser>
          <idx val="0"/>
          <order val="0"/>
          <tx>
            <v>LMNT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Set'!$B$27</f>
            </numRef>
          </xVal>
          <yVal>
            <numRef>
              <f>'MÜV Peer Set'!$C$27</f>
            </numRef>
          </yVal>
        </ser>
        <ser>
          <idx val="1"/>
          <order val="1"/>
          <tx>
            <v>Liquid I.V.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Set'!$B$28</f>
            </numRef>
          </xVal>
          <yVal>
            <numRef>
              <f>'MÜV Peer Set'!$C$28</f>
            </numRef>
          </yVal>
        </ser>
        <ser>
          <idx val="2"/>
          <order val="2"/>
          <tx>
            <v>Nuun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Set'!$B$29</f>
            </numRef>
          </xVal>
          <yVal>
            <numRef>
              <f>'MÜV Peer Set'!$C$29</f>
            </numRef>
          </yVal>
        </ser>
        <ser>
          <idx val="3"/>
          <order val="3"/>
          <tx>
            <v>Organika sachets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Set'!$B$30</f>
            </numRef>
          </xVal>
          <yVal>
            <numRef>
              <f>'MÜV Peer Set'!$C$30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Sodium mg/serving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Price/serving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MÜV model</author>
  </authors>
  <commentList>
    <comment ref="C4" authorId="0" shapeId="0">
      <text>
        <t>Pick Conservative / Base / Aggressive. The whole P&amp;L, break-even and sensitivity recompute from this one cell.</t>
      </text>
    </comment>
    <comment ref="C8" authorId="0" shapeId="0">
      <text>
        <t>Shelf price per can. Edit per scenario in cols C/D/E.</t>
      </text>
    </comment>
    <comment ref="C9" authorId="0" shapeId="0">
      <text>
        <t>All-in cost/can (liquid+can+co-pack). Remember freight/duty are extra.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24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Executive Summary'!A1" TargetMode="External" Id="rId1" /><Relationship Type="http://schemas.openxmlformats.org/officeDocument/2006/relationships/hyperlink" Target="#'20 GTM Recommendation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Scenario Comparison'!A1" TargetMode="External" Id="rId6" /><Relationship Type="http://schemas.openxmlformats.org/officeDocument/2006/relationships/hyperlink" Target="#'M&#220;V Peer Set'!A1" TargetMode="External" Id="rId7" /><Relationship Type="http://schemas.openxmlformats.org/officeDocument/2006/relationships/hyperlink" Target="#'07 Comparison Matrix'!A1" TargetMode="External" Id="rId8" /><Relationship Type="http://schemas.openxmlformats.org/officeDocument/2006/relationships/hyperlink" Target="#'08 Extended Landscape'!A1" TargetMode="External" Id="rId9" /><Relationship Type="http://schemas.openxmlformats.org/officeDocument/2006/relationships/hyperlink" Target="#'Canada Regulatory v2'!A1" TargetMode="External" Id="rId10" /><Relationship Type="http://schemas.openxmlformats.org/officeDocument/2006/relationships/hyperlink" Target="#'Electrolyte BFY Deep-Dive'!A1" TargetMode="External" Id="rId11" /><Relationship Type="http://schemas.openxmlformats.org/officeDocument/2006/relationships/hyperlink" Target="#'18 Canada Market'!A1" TargetMode="External" Id="rId12" /><Relationship Type="http://schemas.openxmlformats.org/officeDocument/2006/relationships/hyperlink" Target="#'Verification Log'!A1" TargetMode="External" Id="rId13" /><Relationship Type="http://schemas.openxmlformats.org/officeDocument/2006/relationships/hyperlink" Target="#'24 Sources'!A1" TargetMode="External" Id="rId14" /><Relationship Type="http://schemas.openxmlformats.org/officeDocument/2006/relationships/hyperlink" Target="#'01 Contents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Financial Model'!A1" TargetMode="External" Id="rId3" /><Relationship Type="http://schemas.openxmlformats.org/officeDocument/2006/relationships/hyperlink" Target="#'Go-NoGo Decision'!A1" TargetMode="External" Id="rId4" /><Relationship Type="http://schemas.openxmlformats.org/officeDocument/2006/relationships/hyperlink" Target="#'Battlecards'!A1" TargetMode="External" Id="rId5" /><Relationship Type="http://schemas.openxmlformats.org/officeDocument/2006/relationships/hyperlink" Target="#'01 Contents'!A1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0 Cover'!A1" TargetMode="External" Id="rId2" /><Relationship Type="http://schemas.openxmlformats.org/officeDocument/2006/relationships/hyperlink" Target="#'01 Contents'!A1" TargetMode="External" Id="rId3" /><Relationship Type="http://schemas.openxmlformats.org/officeDocument/2006/relationships/hyperlink" Target="#'02 Executive Summary'!A1" TargetMode="External" Id="rId4" /><Relationship Type="http://schemas.openxmlformats.org/officeDocument/2006/relationships/hyperlink" Target="#'Dashboard'!A1" TargetMode="External" Id="rId5" /><Relationship Type="http://schemas.openxmlformats.org/officeDocument/2006/relationships/hyperlink" Target="#'Financial Model'!A1" TargetMode="External" Id="rId6" /><Relationship Type="http://schemas.openxmlformats.org/officeDocument/2006/relationships/hyperlink" Target="#'03 Methodology'!A1" TargetMode="External" Id="rId7" /><Relationship Type="http://schemas.openxmlformats.org/officeDocument/2006/relationships/hyperlink" Target="#'04 Market Sizing'!A1" TargetMode="External" Id="rId8" /><Relationship Type="http://schemas.openxmlformats.org/officeDocument/2006/relationships/hyperlink" Target="#'05 Trends &amp; Macro'!A1" TargetMode="External" Id="rId9" /><Relationship Type="http://schemas.openxmlformats.org/officeDocument/2006/relationships/hyperlink" Target="#'06 Consumer'!A1" TargetMode="External" Id="rId10" /><Relationship Type="http://schemas.openxmlformats.org/officeDocument/2006/relationships/hyperlink" Target="#'07 Comparison Matrix'!A1" TargetMode="External" Id="rId11" /><Relationship Type="http://schemas.openxmlformats.org/officeDocument/2006/relationships/hyperlink" Target="#'08 Extended Landscape'!A1" TargetMode="External" Id="rId12" /><Relationship Type="http://schemas.openxmlformats.org/officeDocument/2006/relationships/hyperlink" Target="#'09 Channel &amp; Retail'!A1" TargetMode="External" Id="rId13" /><Relationship Type="http://schemas.openxmlformats.org/officeDocument/2006/relationships/hyperlink" Target="#'10 Channel Economics'!A1" TargetMode="External" Id="rId14" /><Relationship Type="http://schemas.openxmlformats.org/officeDocument/2006/relationships/hyperlink" Target="#'11 Formulation'!A1" TargetMode="External" Id="rId15" /><Relationship Type="http://schemas.openxmlformats.org/officeDocument/2006/relationships/hyperlink" Target="#'12 Marketing'!A1" TargetMode="External" Id="rId16" /><Relationship Type="http://schemas.openxmlformats.org/officeDocument/2006/relationships/hyperlink" Target="#'13 Launch Playbooks'!A1" TargetMode="External" Id="rId17" /><Relationship Type="http://schemas.openxmlformats.org/officeDocument/2006/relationships/hyperlink" Target="#'14 Patterns &amp; Failures'!A1" TargetMode="External" Id="rId18" /><Relationship Type="http://schemas.openxmlformats.org/officeDocument/2006/relationships/hyperlink" Target="#'15 Outcomes &amp; M&amp;A'!A1" TargetMode="External" Id="rId19" /><Relationship Type="http://schemas.openxmlformats.org/officeDocument/2006/relationships/hyperlink" Target="#'16 SWOT'!A1" TargetMode="External" Id="rId20" /><Relationship Type="http://schemas.openxmlformats.org/officeDocument/2006/relationships/hyperlink" Target="#'17 Scoring Model'!A1" TargetMode="External" Id="rId21" /><Relationship Type="http://schemas.openxmlformats.org/officeDocument/2006/relationships/hyperlink" Target="#'18 Canada Market'!A1" TargetMode="External" Id="rId22" /><Relationship Type="http://schemas.openxmlformats.org/officeDocument/2006/relationships/hyperlink" Target="#'19 Canada Regulatory'!A1" TargetMode="External" Id="rId23" /><Relationship Type="http://schemas.openxmlformats.org/officeDocument/2006/relationships/hyperlink" Target="#'20 GTM Recommendation'!A1" TargetMode="External" Id="rId24" /><Relationship Type="http://schemas.openxmlformats.org/officeDocument/2006/relationships/hyperlink" Target="#'Go-NoGo Decision'!A1" TargetMode="External" Id="rId25" /><Relationship Type="http://schemas.openxmlformats.org/officeDocument/2006/relationships/hyperlink" Target="#'Battlecards'!A1" TargetMode="External" Id="rId26" /><Relationship Type="http://schemas.openxmlformats.org/officeDocument/2006/relationships/hyperlink" Target="#'21 Launch Plan'!A1" TargetMode="External" Id="rId27" /><Relationship Type="http://schemas.openxmlformats.org/officeDocument/2006/relationships/hyperlink" Target="#'22 Risk Register'!A1" TargetMode="External" Id="rId28" /><Relationship Type="http://schemas.openxmlformats.org/officeDocument/2006/relationships/hyperlink" Target="#'23 KPI Dashboard'!A1" TargetMode="External" Id="rId29" /><Relationship Type="http://schemas.openxmlformats.org/officeDocument/2006/relationships/hyperlink" Target="#'24 Sources'!A1" TargetMode="External" Id="rId30" /><Relationship Type="http://schemas.openxmlformats.org/officeDocument/2006/relationships/hyperlink" Target="#'25 Glossary'!A1" TargetMode="External" Id="rId31" /><Relationship Type="http://schemas.openxmlformats.org/officeDocument/2006/relationships/hyperlink" Target="#'Verification Log'!A1" TargetMode="External" Id="rId32" /><Relationship Type="http://schemas.openxmlformats.org/officeDocument/2006/relationships/hyperlink" Target="#'Electrolyte BFY Deep-Dive'!A1" TargetMode="External" Id="rId33" /><Relationship Type="http://schemas.openxmlformats.org/officeDocument/2006/relationships/hyperlink" Target="#'Canada Regulatory v2'!A1" TargetMode="External" Id="rId34" /><Relationship Type="http://schemas.openxmlformats.org/officeDocument/2006/relationships/hyperlink" Target="#'M&#220;V Peer Set'!A1" TargetMode="External" Id="rId35" /><Relationship Type="http://schemas.openxmlformats.org/officeDocument/2006/relationships/hyperlink" Target="#'Scenario Comparison'!A1" TargetMode="External" Id="rId36" /><Relationship Type="http://schemas.openxmlformats.org/officeDocument/2006/relationships/hyperlink" Target="#'&#127968; Start Here'!A1" TargetMode="External" Id="rId37" /><Relationship Type="http://schemas.openxmlformats.org/officeDocument/2006/relationships/hyperlink" Target="#'Executive Brief 1-page'!A1" TargetMode="External" Id="rId38" /></Relationships>
</file>

<file path=xl/worksheets/_rels/sheet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1.xml" Id="rId3" /></Relationships>
</file>

<file path=xl/worksheets/_rels/sheet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2.xml" Id="rId3" /></Relationships>
</file>

<file path=xl/worksheets/_rels/sheet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3.xml" Id="rId3" /></Relationships>
</file>

<file path=xl/worksheets/_rels/sheet1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https://pepsico.com/newsroom" TargetMode="External" Id="rId3" /><Relationship Type="http://schemas.openxmlformats.org/officeDocument/2006/relationships/hyperlink" Target="https://classaction.org" TargetMode="External" Id="rId4" /><Relationship Type="http://schemas.openxmlformats.org/officeDocument/2006/relationships/hyperlink" Target="https://cnbc.com" TargetMode="External" Id="rId5" /><Relationship Type="http://schemas.openxmlformats.org/officeDocument/2006/relationships/hyperlink" Target="https://liquid-iv.com" TargetMode="External" Id="rId6" /><Relationship Type="http://schemas.openxmlformats.org/officeDocument/2006/relationships/hyperlink" Target="https://nestle.com" TargetMode="External" Id="rId7" /><Relationship Type="http://schemas.openxmlformats.org/officeDocument/2006/relationships/hyperlink" Target="https://fooddive.com" TargetMode="External" Id="rId8" /><Relationship Type="http://schemas.openxmlformats.org/officeDocument/2006/relationships/hyperlink" Target="https://bevnet.com" TargetMode="External" Id="rId9" /><Relationship Type="http://schemas.openxmlformats.org/officeDocument/2006/relationships/hyperlink" Target="https://fooddive.com" TargetMode="External" Id="rId10" /><Relationship Type="http://schemas.openxmlformats.org/officeDocument/2006/relationships/hyperlink" Target="https://Am. Journal of Medicine" TargetMode="External" Id="rId11" /><Relationship Type="http://schemas.openxmlformats.org/officeDocument/2006/relationships/hyperlink" Target="https://sellingpartners.aboutamazon.com" TargetMode="External" Id="rId12" /><Relationship Type="http://schemas.openxmlformats.org/officeDocument/2006/relationships/hyperlink" Target="https://canada.ca Health Canada guidance" TargetMode="External" Id="rId13" /><Relationship Type="http://schemas.openxmlformats.org/officeDocument/2006/relationships/hyperlink" Target="https://canada.ca" TargetMode="External" Id="rId14" /><Relationship Type="http://schemas.openxmlformats.org/officeDocument/2006/relationships/hyperlink" Target="https://laws.justice.gc.ca" TargetMode="External" Id="rId15" /><Relationship Type="http://schemas.openxmlformats.org/officeDocument/2006/relationships/hyperlink" Target="https://canada.ca" TargetMode="External" Id="rId16" /><Relationship Type="http://schemas.openxmlformats.org/officeDocument/2006/relationships/hyperlink" Target="https://mltaikins.com" TargetMode="External" Id="rId17" /><Relationship Type="http://schemas.openxmlformats.org/officeDocument/2006/relationships/hyperlink" Target="https://foodincanada.com" TargetMode="External" Id="rId18" /><Relationship Type="http://schemas.openxmlformats.org/officeDocument/2006/relationships/hyperlink" Target="https://fortune.com" TargetMode="External" Id="rId19" /><Relationship Type="http://schemas.openxmlformats.org/officeDocument/2006/relationships/hyperlink" Target="https://bevnet.com" TargetMode="External" Id="rId20" /><Relationship Type="http://schemas.openxmlformats.org/officeDocument/2006/relationships/hyperlink" Target="https://grocerydive.com" TargetMode="External" Id="rId21" /><Relationship Type="http://schemas.openxmlformats.org/officeDocument/2006/relationships/hyperlink" Target="https://foodnavigator-usa.com" TargetMode="External" Id="rId22" /></Relationships>
</file>

<file path=xl/worksheets/_rels/sheet3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1:E25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3" customWidth="1" min="6" max="6"/>
    <col width="3" customWidth="1" min="7" max="7"/>
    <col width="3" customWidth="1" min="8" max="8"/>
  </cols>
  <sheetData>
    <row r="1"/>
    <row r="2" ht="44" customHeight="1">
      <c r="B2" s="110" t="inlineStr">
        <is>
          <t>MÜV — Canada Launch Dossier</t>
        </is>
      </c>
    </row>
    <row r="3" ht="24" customHeight="1">
      <c r="B3" s="111" t="inlineStr">
        <is>
          <t>Competitive intelligence &amp; go-to-market for Organika's sparkling electrolyte RTD.  Click a card to jump in.</t>
        </is>
      </c>
    </row>
    <row r="5" ht="22" customHeight="1">
      <c r="B5" s="112" t="inlineStr">
        <is>
          <t>▸ See the answer</t>
        </is>
      </c>
    </row>
    <row r="6" ht="22" customHeight="1">
      <c r="B6" s="113" t="inlineStr">
        <is>
          <t>Executive Summary</t>
        </is>
      </c>
      <c r="C6" s="114" t="inlineStr">
        <is>
          <t>GTM Recommendation</t>
        </is>
      </c>
      <c r="D6" s="114" t="inlineStr">
        <is>
          <t>Go / No-Go Decision</t>
        </is>
      </c>
    </row>
    <row r="7" ht="22" customHeight="1">
      <c r="B7" s="121" t="n"/>
      <c r="C7" s="121" t="n"/>
      <c r="D7" s="121" t="n"/>
    </row>
    <row r="9" ht="22" customHeight="1">
      <c r="B9" s="112" t="inlineStr">
        <is>
          <t>▸ Explore the numbers</t>
        </is>
      </c>
    </row>
    <row r="10" ht="22" customHeight="1">
      <c r="B10" s="115" t="inlineStr">
        <is>
          <t>Dashboard</t>
        </is>
      </c>
      <c r="C10" s="115" t="inlineStr">
        <is>
          <t>Financial Model</t>
        </is>
      </c>
      <c r="D10" s="115" t="inlineStr">
        <is>
          <t>Scenario Comparison</t>
        </is>
      </c>
    </row>
    <row r="11" ht="22" customHeight="1">
      <c r="B11" s="121" t="n"/>
      <c r="C11" s="121" t="n"/>
      <c r="D11" s="121" t="n"/>
    </row>
    <row r="13" ht="22" customHeight="1">
      <c r="B13" s="112" t="inlineStr">
        <is>
          <t>▸ Know the competition</t>
        </is>
      </c>
    </row>
    <row r="14" ht="22" customHeight="1">
      <c r="B14" s="116" t="inlineStr">
        <is>
          <t>MÜV Peer Set</t>
        </is>
      </c>
      <c r="C14" s="113" t="inlineStr">
        <is>
          <t>Comparison Matrix</t>
        </is>
      </c>
      <c r="D14" s="113" t="inlineStr">
        <is>
          <t>Extended Landscape</t>
        </is>
      </c>
    </row>
    <row r="15" ht="22" customHeight="1">
      <c r="B15" s="121" t="n"/>
      <c r="C15" s="121" t="n"/>
      <c r="D15" s="121" t="n"/>
    </row>
    <row r="17" ht="22" customHeight="1">
      <c r="B17" s="112" t="inlineStr">
        <is>
          <t>▸ Canada launch</t>
        </is>
      </c>
    </row>
    <row r="18" ht="22" customHeight="1">
      <c r="B18" s="114" t="inlineStr">
        <is>
          <t>Canada Regulatory v2</t>
        </is>
      </c>
      <c r="C18" s="115" t="inlineStr">
        <is>
          <t>Electrolyte BFY Deep-Dive</t>
        </is>
      </c>
      <c r="D18" s="113" t="inlineStr">
        <is>
          <t>Canada Market</t>
        </is>
      </c>
    </row>
    <row r="19" ht="22" customHeight="1">
      <c r="B19" s="121" t="n"/>
      <c r="C19" s="121" t="n"/>
      <c r="D19" s="121" t="n"/>
    </row>
    <row r="21" ht="22" customHeight="1">
      <c r="B21" s="112" t="inlineStr">
        <is>
          <t>▸ Trust the data</t>
        </is>
      </c>
    </row>
    <row r="22" ht="22" customHeight="1">
      <c r="B22" s="116" t="inlineStr">
        <is>
          <t>Verification Log</t>
        </is>
      </c>
      <c r="C22" s="117" t="inlineStr">
        <is>
          <t>Sources</t>
        </is>
      </c>
      <c r="D22" s="118" t="inlineStr">
        <is>
          <t>Full Contents Index</t>
        </is>
      </c>
    </row>
    <row r="23" ht="22" customHeight="1">
      <c r="B23" s="121" t="n"/>
      <c r="C23" s="121" t="n"/>
      <c r="D23" s="121" t="n"/>
    </row>
    <row r="25" ht="34" customHeight="1">
      <c r="B25" s="119" t="inlineStr">
        <is>
          <t>Verified anchor: MÜV Sparkling Electrolytes is a ready-to-drink sparkling CAN (SKU 4338), food-regulated in Canada. Gold tabs are interactive. Every tab has a “↩ Home” link (top-right) back to this page.</t>
        </is>
      </c>
      <c r="C25" s="34" t="n"/>
      <c r="D25" s="34" t="n"/>
      <c r="E25" s="35" t="n"/>
    </row>
  </sheetData>
  <mergeCells count="23">
    <mergeCell ref="B9:E9"/>
    <mergeCell ref="B18:B19"/>
    <mergeCell ref="B5:E5"/>
    <mergeCell ref="C10:C11"/>
    <mergeCell ref="B14:B15"/>
    <mergeCell ref="C22:C23"/>
    <mergeCell ref="B25:E25"/>
    <mergeCell ref="B3:E3"/>
    <mergeCell ref="B10:B11"/>
    <mergeCell ref="B6:B7"/>
    <mergeCell ref="D18:D19"/>
    <mergeCell ref="B21:E21"/>
    <mergeCell ref="C18:C19"/>
    <mergeCell ref="B2:E2"/>
    <mergeCell ref="D14:D15"/>
    <mergeCell ref="B17:E17"/>
    <mergeCell ref="D10:D11"/>
    <mergeCell ref="B22:B23"/>
    <mergeCell ref="B13:E13"/>
    <mergeCell ref="C6:C7"/>
    <mergeCell ref="D6:D7"/>
    <mergeCell ref="C14:C15"/>
    <mergeCell ref="D22:D23"/>
  </mergeCells>
  <hyperlinks>
    <hyperlink xmlns:r="http://schemas.openxmlformats.org/officeDocument/2006/relationships" ref="B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B10" r:id="rId4"/>
    <hyperlink xmlns:r="http://schemas.openxmlformats.org/officeDocument/2006/relationships" ref="C10" r:id="rId5"/>
    <hyperlink xmlns:r="http://schemas.openxmlformats.org/officeDocument/2006/relationships" ref="D10" r:id="rId6"/>
    <hyperlink xmlns:r="http://schemas.openxmlformats.org/officeDocument/2006/relationships" ref="B14" r:id="rId7"/>
    <hyperlink xmlns:r="http://schemas.openxmlformats.org/officeDocument/2006/relationships" ref="C14" r:id="rId8"/>
    <hyperlink xmlns:r="http://schemas.openxmlformats.org/officeDocument/2006/relationships" ref="D14" r:id="rId9"/>
    <hyperlink xmlns:r="http://schemas.openxmlformats.org/officeDocument/2006/relationships" ref="B18" r:id="rId10"/>
    <hyperlink xmlns:r="http://schemas.openxmlformats.org/officeDocument/2006/relationships" ref="C18" r:id="rId11"/>
    <hyperlink xmlns:r="http://schemas.openxmlformats.org/officeDocument/2006/relationships" ref="D18" r:id="rId12"/>
    <hyperlink xmlns:r="http://schemas.openxmlformats.org/officeDocument/2006/relationships" ref="B22" r:id="rId13"/>
    <hyperlink xmlns:r="http://schemas.openxmlformats.org/officeDocument/2006/relationships" ref="C22" r:id="rId14"/>
    <hyperlink xmlns:r="http://schemas.openxmlformats.org/officeDocument/2006/relationships" ref="D22" r:id="rId1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1:M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M1" s="95" t="inlineStr">
        <is>
          <t>🏠 Home</t>
        </is>
      </c>
    </row>
    <row r="2" ht="30" customHeight="1">
      <c r="B2" s="136" t="inlineStr">
        <is>
          <t>EXECUTIVE BRIEF — MÜV Canada Launch</t>
        </is>
      </c>
    </row>
    <row r="3" ht="22" customHeight="1">
      <c r="B3" s="137" t="inlineStr">
        <is>
          <t>VERDICT: GO — conditional.  Launch as daily-wellness sparkling hydration, made in Canada.</t>
        </is>
      </c>
    </row>
    <row r="5" ht="18" customHeight="1">
      <c r="B5" s="138" t="inlineStr">
        <is>
          <t>WHAT MÜV IS</t>
        </is>
      </c>
    </row>
    <row r="6" ht="14" customHeight="1">
      <c r="B6" s="139" t="inlineStr">
        <is>
          <t>Ready-to-drink sparkling electrolyte CAN (SKU 4338, ~$14.99): carbonated water + Fibersol prebiotic fibre, magnesium glycinate, stevia; 0 sugar, caffeine-free. Food-regulated in Canada.</t>
        </is>
      </c>
    </row>
    <row r="7" ht="18" customHeight="1">
      <c r="B7" s="138" t="inlineStr">
        <is>
          <t>WHY NOW (category)</t>
        </is>
      </c>
    </row>
    <row r="8" ht="14" customHeight="1">
      <c r="B8" s="139" t="inlineStr">
        <is>
          <t>US powdered hydration $1.5B in 2024, +20% YoY, 4 straight yrs double-digit (Circana). Liquid I.V. #1, entered Canada 2023. Flavored SPARKLING electrolyte is genuine white space.</t>
        </is>
      </c>
    </row>
    <row r="9" ht="18" customHeight="1">
      <c r="B9" s="138" t="inlineStr">
        <is>
          <t>THE PRICE / SODIUM LADDER</t>
        </is>
      </c>
    </row>
    <row r="10" ht="14" customHeight="1">
      <c r="B10" s="139" t="inlineStr">
        <is>
          <t>LMNT 1,000mg / ~$1.50 (performance)  ·  Liquid I.V. 500mg / ~$1.56 (daily)  ·  Nuun 300mg / ~$0.75 (value)  ·  MÜV sparkling can $14.99/pack (daily-wellness sparkling).</t>
        </is>
      </c>
    </row>
    <row r="11" ht="18" customHeight="1">
      <c r="B11" s="96" t="inlineStr">
        <is>
          <t>RECOMMENDATION — 5 MOVES</t>
        </is>
      </c>
    </row>
    <row r="12" ht="14" customHeight="1">
      <c r="B12" s="139" t="inlineStr">
        <is>
          <t>1. Beachhead: Costco Canada (roadshow sampling) + Amazon.ca / Well.ca / DTC — channels Organika already holds.</t>
        </is>
      </c>
    </row>
    <row r="13" ht="14" customHeight="1">
      <c r="B13" s="139" t="inlineStr">
        <is>
          <t>2. Position: daily-wellness sparkling, made in Canada — between Liquid I.V. and LMNT.</t>
        </is>
      </c>
    </row>
    <row r="14" ht="14" customHeight="1">
      <c r="B14" s="139" t="inlineStr">
        <is>
          <t>3. Label to the Supplemented-Food framework from day one (SFFt; cautions if triggered).</t>
        </is>
      </c>
    </row>
    <row r="15" ht="14" customHeight="1">
      <c r="B15" s="139" t="inlineStr">
        <is>
          <t>4. Keep collagen-beauty claims on the NHP powder line, NOT the can.</t>
        </is>
      </c>
    </row>
    <row r="16" ht="14" customHeight="1">
      <c r="B16" s="139" t="inlineStr">
        <is>
          <t>5. Borrow LMNT's sample funnel + #WaterTok creators; lean on BC manufacturing for margin.</t>
        </is>
      </c>
    </row>
    <row r="17" ht="18" customHeight="1">
      <c r="B17" s="140" t="inlineStr">
        <is>
          <t>TOP RISKS</t>
        </is>
      </c>
    </row>
    <row r="18" ht="14" customHeight="1">
      <c r="B18" s="139" t="inlineStr">
        <is>
          <t>Collagen efficacy/claims liability → dose to efficacy, food-safe language.</t>
        </is>
      </c>
    </row>
    <row r="19" ht="14" customHeight="1">
      <c r="B19" s="139" t="inlineStr">
        <is>
          <t>Strategic-owned rivals (Nestlé/Unilever/PepsiCo) → compete on Canadian-made + niche beachhead.</t>
        </is>
      </c>
    </row>
    <row r="20" ht="14" customHeight="1">
      <c r="B20" s="139" t="inlineStr">
        <is>
          <t>Over-distribution before PMF → prove repeat/velocity before national grocery.</t>
        </is>
      </c>
    </row>
    <row r="21" ht="18" customHeight="1">
      <c r="B21" s="141" t="inlineStr">
        <is>
          <t>REGULATORY (Canada)</t>
        </is>
      </c>
    </row>
    <row r="22" ht="14" customHeight="1">
      <c r="B22" s="139" t="inlineStr">
        <is>
          <t>Sport-electrolytes reclassifying NHP → Supplemented Foods by 2027-12-31; new products comply now. Format is not the decider — claims are. Collagen beauty = NHP-only.</t>
        </is>
      </c>
    </row>
    <row r="24">
      <c r="B24" s="142" t="inlineStr">
        <is>
          <t>Confidence-tagged throughout; MÜV on-can sodium TBD (confirm with brand). Full detail via 🏠 Start Here.</t>
        </is>
      </c>
    </row>
  </sheetData>
  <mergeCells count="21">
    <mergeCell ref="B9:E9"/>
    <mergeCell ref="B6:E6"/>
    <mergeCell ref="B15:E15"/>
    <mergeCell ref="B24:E24"/>
    <mergeCell ref="B5:E5"/>
    <mergeCell ref="B20:E20"/>
    <mergeCell ref="B16:E16"/>
    <mergeCell ref="B7:E7"/>
    <mergeCell ref="B3:E3"/>
    <mergeCell ref="B22:E22"/>
    <mergeCell ref="B18:E18"/>
    <mergeCell ref="B12:E12"/>
    <mergeCell ref="B21:E21"/>
    <mergeCell ref="B11:E11"/>
    <mergeCell ref="B2:E2"/>
    <mergeCell ref="B14:E14"/>
    <mergeCell ref="B17:E17"/>
    <mergeCell ref="B8:E8"/>
    <mergeCell ref="B13:E13"/>
    <mergeCell ref="B19:E19"/>
    <mergeCell ref="B10:E10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27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1">
      <c r="M1" s="95" t="inlineStr">
        <is>
          <t>🏠 Home</t>
        </is>
      </c>
    </row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a Canadian functional collagen sparkling beverage (“MUV”)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2026-06-05</t>
        </is>
      </c>
    </row>
    <row r="13" ht="28" customHeight="1">
      <c r="B13" s="4" t="inlineStr">
        <is>
          <t>Status</t>
        </is>
      </c>
      <c r="C13" s="5" t="inlineStr">
        <is>
          <t>Draft for internal review — verify amber-flagged items before external circulation</t>
        </is>
      </c>
    </row>
    <row r="15" ht="96" customHeight="1">
      <c r="A15" s="17" t="inlineStr">
        <is>
          <t>VERIFIED (Jun 2026): “MÜV Sparkling Electrolytes” is a real Organika product — most likely a ready-to-drink SPARKLING CAN (SKU 4338, ~$14.99; ingredient list begins “Carbonated water” + Fibersol prebiotic fibre, magnesium glycinate, stevia, 0 sugar, caffeine-free). Organika's electrolyte POWDERS and “Electrolytes + Enhanced Collagen” are SEPARATE SKUs. KEY: Canada is reclassifying sport-electrolyte products (all formats) from NHP to SUPPLEMENTED FOODS by Dec 31, 2027 — so MÜV is food-regulated; collagen beauty claims stay NHP-only (see ‘Canada Regulatory v2’). Confirm pack size, electrolyte mg and any collagen variant with the brand.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M1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40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  <c r="M1" s="95" t="inlineStr">
        <is>
          <t>🏠 Home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  <row r="35" ht="18" customHeight="1">
      <c r="A35" s="94" t="inlineStr">
        <is>
          <t>Electrolyte BFY Deep-Dive</t>
        </is>
      </c>
      <c r="B35" s="58" t="inlineStr">
        <is>
          <t>Canada-first electrolyte/sparkling/BFY research; MÜV's real lane (deep-research)</t>
        </is>
      </c>
    </row>
    <row r="36" ht="18" customHeight="1">
      <c r="A36" s="94" t="inlineStr">
        <is>
          <t>Canada Regulatory v2</t>
        </is>
      </c>
      <c r="B36" s="58" t="inlineStr">
        <is>
          <t>Sport-electrolyte → Supplemented Foods reclassification; claims fork (supersedes Tab 19)</t>
        </is>
      </c>
    </row>
    <row r="37" ht="18" customHeight="1">
      <c r="A37" s="94" t="inlineStr">
        <is>
          <t>MÜV Peer Set</t>
        </is>
      </c>
      <c r="B37" s="58" t="inlineStr">
        <is>
          <t>MÜV's direct electrolyte/sparkling rivals vs category-adjacent context (reconciliation)</t>
        </is>
      </c>
    </row>
    <row r="38" ht="18" customHeight="1">
      <c r="A38" s="94" t="inlineStr">
        <is>
          <t>Scenario Comparison</t>
        </is>
      </c>
      <c r="B38" s="58" t="inlineStr">
        <is>
          <t>All 3 scenarios side-by-side (per-can, EBITDA, break-even) + chart</t>
        </is>
      </c>
    </row>
    <row r="39">
      <c r="A39" s="120" t="inlineStr">
        <is>
          <t>🏠 Start Here</t>
        </is>
      </c>
      <c r="B39" s="103" t="inlineStr">
        <is>
          <t>Navigator front-door — click a card to jump to any section</t>
        </is>
      </c>
    </row>
    <row r="40">
      <c r="A40" s="120" t="inlineStr">
        <is>
          <t>Executive Brief 1-page</t>
        </is>
      </c>
      <c r="B40" s="103" t="inlineStr">
        <is>
          <t>One printable page: verdict, numbers, 5 moves, risks</t>
        </is>
      </c>
    </row>
  </sheetData>
  <mergeCells count="1">
    <mergeCell ref="A1:B1"/>
  </mergeCells>
  <hyperlinks>
    <hyperlink xmlns:r="http://schemas.openxmlformats.org/officeDocument/2006/relationships" ref="M1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tabSelected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8">
    <mergeCell ref="A4:B4"/>
    <mergeCell ref="G4:H4"/>
    <mergeCell ref="A2:L2"/>
    <mergeCell ref="E4:F4"/>
    <mergeCell ref="E6:F6"/>
    <mergeCell ref="C6:D6"/>
    <mergeCell ref="I4:J4"/>
    <mergeCell ref="I6:J6"/>
    <mergeCell ref="A1:L1"/>
    <mergeCell ref="C5:D5"/>
    <mergeCell ref="A5:B5"/>
    <mergeCell ref="G5:H5"/>
    <mergeCell ref="E5:F5"/>
    <mergeCell ref="I5:J5"/>
    <mergeCell ref="G6:H6"/>
    <mergeCell ref="A39:L39"/>
    <mergeCell ref="A6:B6"/>
    <mergeCell ref="C4:D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3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4">
      <c r="B4" s="62" t="inlineStr">
        <is>
          <t>Scenario (pick):</t>
        </is>
      </c>
      <c r="C4" s="122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6">
      <c r="F6" s="123" t="inlineStr">
        <is>
          <t>LEGEND</t>
        </is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24" t="inlineStr">
        <is>
          <t xml:space="preserve">  edit me  </t>
        </is>
      </c>
      <c r="G7" s="125">
        <f> yellow input cell</f>
        <v/>
      </c>
    </row>
    <row r="8" ht="16" customHeight="1">
      <c r="B8" s="65" t="inlineStr">
        <is>
          <t>List price / can (CAD)</t>
        </is>
      </c>
      <c r="C8" s="126" t="n">
        <v>3.29</v>
      </c>
      <c r="D8" s="126" t="n">
        <v>3.49</v>
      </c>
      <c r="E8" s="126" t="n">
        <v>3.79</v>
      </c>
      <c r="F8" s="127" t="inlineStr">
        <is>
          <t xml:space="preserve">  formula  </t>
        </is>
      </c>
      <c r="G8" s="125">
        <f> calculated (locked)</f>
        <v/>
      </c>
    </row>
    <row r="9" ht="16" customHeight="1">
      <c r="B9" s="65" t="inlineStr">
        <is>
          <t>COGS / can (CAD)</t>
        </is>
      </c>
      <c r="C9" s="126" t="n">
        <v>1.2</v>
      </c>
      <c r="D9" s="126" t="n">
        <v>1.05</v>
      </c>
      <c r="E9" s="126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128" t="n">
        <v>0.38</v>
      </c>
      <c r="D10" s="128" t="n">
        <v>0.35</v>
      </c>
      <c r="E10" s="128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128" t="n">
        <v>0.18</v>
      </c>
      <c r="D11" s="128" t="n">
        <v>0.15</v>
      </c>
      <c r="E11" s="128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128" t="n">
        <v>0.25</v>
      </c>
      <c r="D12" s="128" t="n">
        <v>0.2</v>
      </c>
      <c r="E12" s="128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129" t="n">
        <v>12</v>
      </c>
      <c r="D13" s="129" t="n">
        <v>12</v>
      </c>
      <c r="E13" s="129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130" t="n">
        <v>300</v>
      </c>
      <c r="D14" s="130" t="n">
        <v>500</v>
      </c>
      <c r="E14" s="130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130" t="n">
        <v>1200</v>
      </c>
      <c r="D15" s="130" t="n">
        <v>2000</v>
      </c>
      <c r="E15" s="130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130" t="n">
        <v>3500</v>
      </c>
      <c r="D16" s="130" t="n">
        <v>6000</v>
      </c>
      <c r="E16" s="130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131" t="n">
        <v>2</v>
      </c>
      <c r="D17" s="131" t="n">
        <v>3</v>
      </c>
      <c r="E17" s="131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131" t="n">
        <v>3</v>
      </c>
      <c r="D18" s="131" t="n">
        <v>4</v>
      </c>
      <c r="E18" s="131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131" t="n">
        <v>3.5</v>
      </c>
      <c r="D19" s="131" t="n">
        <v>5</v>
      </c>
      <c r="E19" s="131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132" t="n">
        <v>150000</v>
      </c>
      <c r="D20" s="132" t="n">
        <v>300000</v>
      </c>
      <c r="E20" s="13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132" t="n">
        <v>250000</v>
      </c>
      <c r="D21" s="132" t="n">
        <v>350000</v>
      </c>
      <c r="E21" s="13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132" t="n">
        <v>50000</v>
      </c>
      <c r="D22" s="132" t="n">
        <v>100000</v>
      </c>
      <c r="E22" s="132" t="n">
        <v>200000</v>
      </c>
      <c r="F22" s="73">
        <f>CHOOSE($C$5,C22,D22,E22)</f>
        <v/>
      </c>
    </row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34"/>
  <sheetViews>
    <sheetView showGridLines="0" tabSelected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Scenario Comparison — Conservative · Base · Aggressive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Full envelope of the Financial Model, computed for all three scenarios (edit source assumptions on ‘Financial Model’)</t>
        </is>
      </c>
    </row>
    <row r="4">
      <c r="A4" s="74" t="inlineStr">
        <is>
          <t>Metric</t>
        </is>
      </c>
      <c r="B4" s="74" t="inlineStr">
        <is>
          <t>Conservative</t>
        </is>
      </c>
      <c r="C4" s="74" t="inlineStr">
        <is>
          <t>Base</t>
        </is>
      </c>
      <c r="D4" s="74" t="inlineStr">
        <is>
          <t>Aggressive</t>
        </is>
      </c>
    </row>
    <row r="5">
      <c r="A5" s="103" t="inlineStr">
        <is>
          <t>List price / can</t>
        </is>
      </c>
      <c r="B5" s="80" t="n">
        <v>3.29</v>
      </c>
      <c r="C5" s="80" t="n">
        <v>3.49</v>
      </c>
      <c r="D5" s="80" t="n">
        <v>3.79</v>
      </c>
    </row>
    <row r="6">
      <c r="A6" s="103" t="inlineStr">
        <is>
          <t>COGS / can</t>
        </is>
      </c>
      <c r="B6" s="80" t="n">
        <v>1.2</v>
      </c>
      <c r="C6" s="80" t="n">
        <v>1.05</v>
      </c>
      <c r="D6" s="80" t="n">
        <v>0.95</v>
      </c>
    </row>
    <row r="7">
      <c r="A7" s="103" t="inlineStr">
        <is>
          <t>Net revenue / can</t>
        </is>
      </c>
      <c r="B7" s="80" t="n">
        <v>1.672636</v>
      </c>
      <c r="C7" s="80" t="n">
        <v>1.928225</v>
      </c>
      <c r="D7" s="80" t="n">
        <v>2.234584</v>
      </c>
    </row>
    <row r="8">
      <c r="A8" s="103" t="inlineStr">
        <is>
          <t>Gross margin %</t>
        </is>
      </c>
      <c r="B8" s="104" t="n">
        <v>0.2825695489036468</v>
      </c>
      <c r="C8" s="104" t="n">
        <v>0.4554577396310078</v>
      </c>
      <c r="D8" s="104" t="n">
        <v>0.5748649413045113</v>
      </c>
    </row>
    <row r="9">
      <c r="A9" s="59" t="inlineStr">
        <is>
          <t>Contribution / can</t>
        </is>
      </c>
      <c r="B9" s="105" t="n">
        <v>0.05447700000000022</v>
      </c>
      <c r="C9" s="105" t="n">
        <v>0.4925800000000002</v>
      </c>
      <c r="D9" s="105" t="n">
        <v>0.9493963999999999</v>
      </c>
    </row>
    <row r="10">
      <c r="A10" s="103" t="inlineStr">
        <is>
          <t>Break-even units (Yr-1 load)</t>
        </is>
      </c>
      <c r="B10" s="106" t="n">
        <v>8260366.760284123</v>
      </c>
      <c r="C10" s="106" t="n">
        <v>1522595.314466685</v>
      </c>
      <c r="D10" s="106" t="n">
        <v>1369291.056928381</v>
      </c>
    </row>
    <row r="11">
      <c r="A11" s="103" t="inlineStr">
        <is>
          <t>Year-1 units</t>
        </is>
      </c>
      <c r="B11" s="106" t="n">
        <v>31200</v>
      </c>
      <c r="C11" s="106" t="n">
        <v>78000</v>
      </c>
      <c r="D11" s="106" t="n">
        <v>210600</v>
      </c>
    </row>
    <row r="12">
      <c r="A12" s="57" t="inlineStr">
        <is>
          <t>Year-1 EBITDA</t>
        </is>
      </c>
      <c r="B12" s="107" t="n">
        <v>-448300.3176</v>
      </c>
      <c r="C12" s="107" t="n">
        <v>-711578.76</v>
      </c>
      <c r="D12" s="107" t="n">
        <v>-1100057.11816</v>
      </c>
    </row>
    <row r="13">
      <c r="A13" s="103" t="inlineStr">
        <is>
          <t>Year-3 net revenue</t>
        </is>
      </c>
      <c r="B13" s="108" t="n">
        <v>1065469.132</v>
      </c>
      <c r="C13" s="108" t="n">
        <v>3008031</v>
      </c>
      <c r="D13" s="108" t="n">
        <v>9586365.359999999</v>
      </c>
    </row>
    <row r="14">
      <c r="A14" s="109" t="inlineStr">
        <is>
          <t>Year-3 EBITDA</t>
        </is>
      </c>
      <c r="B14" s="73" t="n">
        <v>-365298.1509999998</v>
      </c>
      <c r="C14" s="73" t="n">
        <v>118424.8000000004</v>
      </c>
      <c r="D14" s="73" t="n">
        <v>2972910.555999999</v>
      </c>
    </row>
    <row r="17" hidden="1">
      <c r="A17" s="41" t="inlineStr">
        <is>
          <t>(chart data)</t>
        </is>
      </c>
    </row>
    <row r="18" hidden="1">
      <c r="A18" t="inlineStr">
        <is>
          <t>Scenario</t>
        </is>
      </c>
      <c r="B18" t="inlineStr">
        <is>
          <t>Y3 Net Rev</t>
        </is>
      </c>
      <c r="C18" t="inlineStr">
        <is>
          <t>Y3 EBITDA</t>
        </is>
      </c>
    </row>
    <row r="19" hidden="1">
      <c r="A19" t="inlineStr">
        <is>
          <t>Conservative</t>
        </is>
      </c>
      <c r="B19" t="n">
        <v>1065469</v>
      </c>
      <c r="C19" t="n">
        <v>-365298</v>
      </c>
    </row>
    <row r="20" hidden="1">
      <c r="A20" t="inlineStr">
        <is>
          <t>Base</t>
        </is>
      </c>
      <c r="B20" t="n">
        <v>3008031</v>
      </c>
      <c r="C20" t="n">
        <v>118425</v>
      </c>
    </row>
    <row r="21" hidden="1">
      <c r="A21" t="inlineStr">
        <is>
          <t>Aggressive</t>
        </is>
      </c>
      <c r="B21" t="n">
        <v>9586365</v>
      </c>
      <c r="C21" t="n">
        <v>2972911</v>
      </c>
    </row>
    <row r="34" ht="52" customHeight="1">
      <c r="A34" s="17" t="inlineStr">
        <is>
          <t>Read: the Base case is the planning anchor; Conservative shows the downside if velocity/doors lag and costs run high; Aggressive shows the ceiling if the sparkling wedge + Costco beachhead over-deliver. All figures are illustrative — edit the yellow inputs on ‘Financial Model’ (the active scenario there drives the interactive P&amp;L; this tab always shows all three).</t>
        </is>
      </c>
      <c r="B34" s="34" t="n"/>
      <c r="C34" s="34" t="n"/>
      <c r="D34" s="34" t="n"/>
      <c r="E34" s="35" t="n"/>
    </row>
  </sheetData>
  <mergeCells count="3">
    <mergeCell ref="A2:E2"/>
    <mergeCell ref="A34:E34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9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8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</sheetData>
  <mergeCells count="1"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tabSelected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M1" s="95" t="inlineStr">
        <is>
          <t>🏠 Home</t>
        </is>
      </c>
      <c r="N1" s="95" t="inlineStr">
        <is>
          <t>↩ Contents</t>
        </is>
      </c>
    </row>
    <row r="2">
      <c r="A2" s="101" t="inlineStr">
        <is>
          <t>LENS: broad functional-beverage set (context + playbook). MÜV's DIRECT electrolyte/sparkling rivals → ‘MÜV Peer Set’ tab.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</sheetData>
  <autoFilter ref="A3:L11"/>
  <mergeCells count="2">
    <mergeCell ref="A1:L1"/>
    <mergeCell ref="A12:L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3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40" customWidth="1" min="3" max="3"/>
    <col width="34" customWidth="1" min="4" max="4"/>
    <col width="20" customWidth="1" min="5" max="5"/>
    <col width="22" customWidth="1" min="6" max="6"/>
    <col width="30" customWidth="1" min="7" max="7"/>
  </cols>
  <sheetData>
    <row r="1" ht="30" customHeight="1">
      <c r="A1" s="1" t="inlineStr">
        <is>
          <t>MÜV Peer Set — Direct Competitors vs Category-Adjacent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Reconciles the workbook to MÜV's actual lane: a daily-wellness SPARKLING ELECTROLYTE (food-regulated)</t>
        </is>
      </c>
    </row>
    <row r="4" ht="64" customHeight="1">
      <c r="A4" s="6" t="inlineStr">
        <is>
          <t>HOW TO READ THIS WORKBOOK: Tabs 07–17 profile the BROAD functional-beverage market (Poppi/OLIPOP/Vital Proteins). Those are CATEGORY-ADJACENT — they prove the better-for-you thesis and supply the LAUNCH PLAYBOOK, but they are NOT MÜV's direct shelf rivals. MÜV's DIRECT peer set is electrolyte/hydration + sparkling (this tab + ‘Electrolyte BFY Deep-Dive’). Read the two together: borrow the soda brands' go-to-market, but benchmark price/format/claims against the electrolyte brands.</t>
        </is>
      </c>
      <c r="B4" s="34" t="n"/>
      <c r="C4" s="34" t="n"/>
      <c r="D4" s="34" t="n"/>
      <c r="E4" s="34" t="n"/>
      <c r="F4" s="34" t="n"/>
      <c r="G4" s="35" t="n"/>
    </row>
    <row r="5">
      <c r="A5" s="102" t="inlineStr">
        <is>
          <t>DIRECT PEERS — same occasion / same shelf (benchmark MÜV here)</t>
        </is>
      </c>
    </row>
    <row r="6">
      <c r="A6" s="11" t="inlineStr">
        <is>
          <t>Brand</t>
        </is>
      </c>
      <c r="B6" s="11" t="inlineStr">
        <is>
          <t>Format</t>
        </is>
      </c>
      <c r="C6" s="11" t="inlineStr">
        <is>
          <t>Sodium/serv</t>
        </is>
      </c>
      <c r="D6" s="11" t="inlineStr">
        <is>
          <t>Price/serv</t>
        </is>
      </c>
      <c r="E6" s="11" t="inlineStr">
        <is>
          <t>Lane</t>
        </is>
      </c>
      <c r="F6" s="11" t="inlineStr">
        <is>
          <t>Canada channel</t>
        </is>
      </c>
      <c r="G6" s="11" t="inlineStr">
        <is>
          <t>Why a direct peer</t>
        </is>
      </c>
    </row>
    <row r="7" ht="40" customHeight="1">
      <c r="A7" s="58" t="inlineStr">
        <is>
          <t>LMNT</t>
        </is>
      </c>
      <c r="B7" s="58" t="inlineStr">
        <is>
          <t>Powder stick (+Sparkling can)</t>
        </is>
      </c>
      <c r="C7" s="58" t="inlineStr">
        <is>
          <t>1,000 mg</t>
        </is>
      </c>
      <c r="D7" s="58" t="inlineStr">
        <is>
          <t>~$1.50</t>
        </is>
      </c>
      <c r="E7" s="58" t="inlineStr">
        <is>
          <t>High-sodium performance</t>
        </is>
      </c>
      <c r="F7" s="58" t="inlineStr">
        <is>
          <t>Amazon.ca + DTC</t>
        </is>
      </c>
      <c r="G7" s="58" t="inlineStr">
        <is>
          <t>Defines the premium electrolyte ceiling; sparkling-can overlap</t>
        </is>
      </c>
    </row>
    <row r="8" ht="40" customHeight="1">
      <c r="A8" s="60" t="inlineStr">
        <is>
          <t>Liquid I.V.</t>
        </is>
      </c>
      <c r="B8" s="60" t="inlineStr">
        <is>
          <t>Powder stick</t>
        </is>
      </c>
      <c r="C8" s="60" t="inlineStr">
        <is>
          <t>500 mg</t>
        </is>
      </c>
      <c r="D8" s="60" t="inlineStr">
        <is>
          <t>~$1.56 (~$1.00 Costco)</t>
        </is>
      </c>
      <c r="E8" s="60" t="inlineStr">
        <is>
          <t>Daily wellness</t>
        </is>
      </c>
      <c r="F8" s="60" t="inlineStr">
        <is>
          <t>Costco Canada (2023) → mass</t>
        </is>
      </c>
      <c r="G8" s="60" t="inlineStr">
        <is>
          <t>Closest positioning twin (daily wellness); Costco beachhead model</t>
        </is>
      </c>
    </row>
    <row r="9" ht="40" customHeight="1">
      <c r="A9" s="58" t="inlineStr">
        <is>
          <t>Nuun</t>
        </is>
      </c>
      <c r="B9" s="58" t="inlineStr">
        <is>
          <t>Effervescent tablet</t>
        </is>
      </c>
      <c r="C9" s="58" t="inlineStr">
        <is>
          <t>300 mg</t>
        </is>
      </c>
      <c r="D9" s="58" t="inlineStr">
        <is>
          <t>~$0.75</t>
        </is>
      </c>
      <c r="E9" s="58" t="inlineStr">
        <is>
          <t>Everyday/endurance</t>
        </is>
      </c>
      <c r="F9" s="58" t="inlineStr">
        <is>
          <t>Natural + Amazon.ca</t>
        </is>
      </c>
      <c r="G9" s="58" t="inlineStr">
        <is>
          <t>Fizz/effervescence overlap; value anchor</t>
        </is>
      </c>
    </row>
    <row r="10" ht="40" customHeight="1">
      <c r="A10" s="60" t="inlineStr">
        <is>
          <t>BioSteel</t>
        </is>
      </c>
      <c r="B10" s="60" t="inlineStr">
        <is>
          <t>Powder / RTD</t>
        </is>
      </c>
      <c r="C10" s="60" t="inlineStr">
        <is>
          <t>moderate</t>
        </is>
      </c>
      <c r="D10" s="60" t="inlineStr">
        <is>
          <t>mid</t>
        </is>
      </c>
      <c r="E10" s="60" t="inlineStr">
        <is>
          <t>Athletic/clean sport</t>
        </is>
      </c>
      <c r="F10" s="60" t="inlineStr">
        <is>
          <t>Broad omnichannel (CA)</t>
        </is>
      </c>
      <c r="G10" s="60" t="inlineStr">
        <is>
          <t>Canadian rival; the cautionary tale (see Deep-Dive)</t>
        </is>
      </c>
    </row>
    <row r="11" ht="40" customHeight="1">
      <c r="A11" s="58" t="inlineStr">
        <is>
          <t>Prime</t>
        </is>
      </c>
      <c r="B11" s="58" t="inlineStr">
        <is>
          <t>RTD + powder</t>
        </is>
      </c>
      <c r="C11" s="58" t="inlineStr">
        <is>
          <t>low</t>
        </is>
      </c>
      <c r="D11" s="58" t="inlineStr">
        <is>
          <t>hype</t>
        </is>
      </c>
      <c r="E11" s="58" t="inlineStr">
        <is>
          <t>Youth/viral</t>
        </is>
      </c>
      <c r="F11" s="58" t="inlineStr">
        <is>
          <t>Walmart/convenience</t>
        </is>
      </c>
      <c r="G11" s="58" t="inlineStr">
        <is>
          <t>Sparkling-adjacent RTD; hype-cycle warning</t>
        </is>
      </c>
    </row>
    <row r="12" ht="40" customHeight="1">
      <c r="A12" s="60" t="inlineStr">
        <is>
          <t>Gatorlyte / Powerade</t>
        </is>
      </c>
      <c r="B12" s="60" t="inlineStr">
        <is>
          <t>RTD</t>
        </is>
      </c>
      <c r="C12" s="60" t="inlineStr">
        <is>
          <t>high</t>
        </is>
      </c>
      <c r="D12" s="60" t="inlineStr">
        <is>
          <t>mass</t>
        </is>
      </c>
      <c r="E12" s="60" t="inlineStr">
        <is>
          <t>Sport/mass</t>
        </is>
      </c>
      <c r="F12" s="60" t="inlineStr">
        <is>
          <t>Full distribution</t>
        </is>
      </c>
      <c r="G12" s="60" t="inlineStr">
        <is>
          <t>Incumbent sport hydration on the same cooler shelf</t>
        </is>
      </c>
    </row>
    <row r="13" ht="40" customHeight="1">
      <c r="A13" s="58" t="inlineStr">
        <is>
          <t>Organika electrolyte sachets</t>
        </is>
      </c>
      <c r="B13" s="58" t="inlineStr">
        <is>
          <t>3.5g powder sachet</t>
        </is>
      </c>
      <c r="C13" s="58" t="inlineStr">
        <is>
          <t>~440mg (sibling)</t>
        </is>
      </c>
      <c r="D13" s="58" t="inlineStr">
        <is>
          <t>~$29.99/30 (Costco)</t>
        </is>
      </c>
      <c r="E13" s="58" t="inlineStr">
        <is>
          <t>Daily, Canadian-made</t>
        </is>
      </c>
      <c r="F13" s="58" t="inlineStr">
        <is>
          <t>Costco/Well.ca/Amazon.ca</t>
        </is>
      </c>
      <c r="G13" s="58" t="inlineStr">
        <is>
          <t>Organika's own line — internal reference &amp; cannibalization watch</t>
        </is>
      </c>
    </row>
    <row r="14" ht="40" customHeight="1">
      <c r="A14" s="60" t="inlineStr">
        <is>
          <t>MÜV (this product)</t>
        </is>
      </c>
      <c r="B14" s="60" t="inlineStr">
        <is>
          <t>Sparkling RTD CAN</t>
        </is>
      </c>
      <c r="C14" s="60" t="inlineStr">
        <is>
          <t>TBD ⚠</t>
        </is>
      </c>
      <c r="D14" s="60" t="inlineStr">
        <is>
          <t>$14.99/pack</t>
        </is>
      </c>
      <c r="E14" s="60" t="inlineStr">
        <is>
          <t>Daily-wellness sparkling</t>
        </is>
      </c>
      <c r="F14" s="60" t="inlineStr">
        <is>
          <t>Costco/Amazon/Well.ca</t>
        </is>
      </c>
      <c r="G14" s="60" t="inlineStr">
        <is>
          <t>— the subject —</t>
        </is>
      </c>
    </row>
    <row r="15">
      <c r="A15" s="42" t="inlineStr">
        <is>
          <t>CATEGORY-ADJACENT — different occasion; context &amp; playbook only</t>
        </is>
      </c>
    </row>
    <row r="16">
      <c r="A16" s="11" t="inlineStr">
        <is>
          <t>Brand</t>
        </is>
      </c>
      <c r="B16" s="11" t="inlineStr">
        <is>
          <t>Category</t>
        </is>
      </c>
      <c r="C16" s="11" t="inlineStr">
        <is>
          <t>What MÜV borrows</t>
        </is>
      </c>
      <c r="D16" s="11" t="inlineStr">
        <is>
          <t>What does NOT transfer</t>
        </is>
      </c>
    </row>
    <row r="17" ht="42" customHeight="1">
      <c r="A17" s="58" t="inlineStr">
        <is>
          <t>Poppi</t>
        </is>
      </c>
      <c r="B17" s="58" t="inlineStr">
        <is>
          <t>Prebiotic soda (can)</t>
        </is>
      </c>
      <c r="C17" s="58" t="inlineStr">
        <is>
          <t>TikTok creator seeding; mass-priced premium; PepsiCo exit proof</t>
        </is>
      </c>
      <c r="D17" s="58" t="inlineStr">
        <is>
          <t>Soda occasion; 2g-fiber claim model (and its $8.9M lawsuit)</t>
        </is>
      </c>
    </row>
    <row r="18" ht="42" customHeight="1">
      <c r="A18" s="60" t="inlineStr">
        <is>
          <t>OLIPOP</t>
        </is>
      </c>
      <c r="B18" s="60" t="inlineStr">
        <is>
          <t>Prebiotic soda (can)</t>
        </is>
      </c>
      <c r="C18" s="60" t="inlineStr">
        <is>
          <t>Natural-channel seeding; sell-in on repurchase data</t>
        </is>
      </c>
      <c r="D18" s="60" t="inlineStr">
        <is>
          <t>Dessert-soda positioning; 9g fiber formulation</t>
        </is>
      </c>
    </row>
    <row r="19" ht="42" customHeight="1">
      <c r="A19" s="58" t="inlineStr">
        <is>
          <t>Vital Proteins Sparkling</t>
        </is>
      </c>
      <c r="B19" s="58" t="inlineStr">
        <is>
          <t>Collagen sparkling (can)</t>
        </is>
      </c>
      <c r="C19" s="58" t="inlineStr">
        <is>
          <t>Beauty-from-within demand proof; clinical-claim model</t>
        </is>
      </c>
      <c r="D19" s="58" t="inlineStr">
        <is>
          <t>Collagen-beauty claims (NHP-only in Canada — keep off MÜV can)</t>
        </is>
      </c>
    </row>
    <row r="20" ht="42" customHeight="1">
      <c r="A20" s="60" t="inlineStr">
        <is>
          <t>Recess</t>
        </is>
      </c>
      <c r="B20" s="60" t="inlineStr">
        <is>
          <t>Relaxation sparkling</t>
        </is>
      </c>
      <c r="C20" s="60" t="inlineStr">
        <is>
          <t>“Sell the felt benefit, not the molecule” lesson</t>
        </is>
      </c>
      <c r="D20" s="60" t="inlineStr">
        <is>
          <t>Adaptogen/CBD relaxation occasion</t>
        </is>
      </c>
    </row>
    <row r="21" ht="42" customHeight="1">
      <c r="A21" s="58" t="inlineStr">
        <is>
          <t>Aura Bora</t>
        </is>
      </c>
      <c r="B21" s="58" t="inlineStr">
        <is>
          <t>Sparkling water</t>
        </is>
      </c>
      <c r="C21" s="58" t="inlineStr">
        <is>
          <t>Personality-led cheap marketing; flavour novelty</t>
        </is>
      </c>
      <c r="D21" s="58" t="inlineStr">
        <is>
          <t>No functional/electrolyte claim</t>
        </is>
      </c>
    </row>
    <row r="22" ht="58" customHeight="1">
      <c r="A22" s="17" t="inlineStr">
        <is>
          <t>RECONCILED THESIS: MÜV should be PRICED &amp; FORMULATED against the DIRECT peers (≤ LMNT/Liquid I.V. per-serving economics, sparkling as the wedge, Supplemented-Food claims) while BORROWING the GTM from the adjacent soda winners (one obsessive trial tactic, sell-in on velocity/repeat, sequenced channel ladder). Win the daily-wellness sparkling occasion, made in Canada — don't fight Poppi for the soda shelf or Vital Proteins for beauty claims.</t>
        </is>
      </c>
      <c r="B22" s="34" t="n"/>
      <c r="C22" s="34" t="n"/>
      <c r="D22" s="34" t="n"/>
      <c r="E22" s="34" t="n"/>
      <c r="F22" s="34" t="n"/>
      <c r="G22" s="35" t="n"/>
    </row>
    <row r="25" hidden="1">
      <c r="A25" s="41" t="inlineStr">
        <is>
          <t>Positioning: sodium (mg) vs price/serving — data</t>
        </is>
      </c>
    </row>
    <row r="26" hidden="1">
      <c r="A26" t="inlineStr">
        <is>
          <t>Brand</t>
        </is>
      </c>
      <c r="B26" t="inlineStr">
        <is>
          <t>Sodium</t>
        </is>
      </c>
      <c r="C26" t="inlineStr">
        <is>
          <t>Price</t>
        </is>
      </c>
    </row>
    <row r="27" hidden="1">
      <c r="A27" t="inlineStr">
        <is>
          <t>LMNT</t>
        </is>
      </c>
      <c r="B27" t="n">
        <v>1000</v>
      </c>
      <c r="C27" t="n">
        <v>1.5</v>
      </c>
    </row>
    <row r="28" hidden="1">
      <c r="A28" t="inlineStr">
        <is>
          <t>Liquid I.V.</t>
        </is>
      </c>
      <c r="B28" t="n">
        <v>500</v>
      </c>
      <c r="C28" t="n">
        <v>1.56</v>
      </c>
    </row>
    <row r="29" hidden="1">
      <c r="A29" t="inlineStr">
        <is>
          <t>Nuun</t>
        </is>
      </c>
      <c r="B29" t="n">
        <v>300</v>
      </c>
      <c r="C29" t="n">
        <v>0.75</v>
      </c>
    </row>
    <row r="30" hidden="1">
      <c r="A30" t="inlineStr">
        <is>
          <t>Organika sachets</t>
        </is>
      </c>
      <c r="B30" t="n">
        <v>440</v>
      </c>
      <c r="C30" t="n">
        <v>1</v>
      </c>
    </row>
    <row r="31" hidden="1"/>
    <row r="32" hidden="1">
      <c r="A32" s="133" t="inlineStr">
        <is>
          <t>MÜV sodium/serving TBD (confirm on-can) — plot when known. Aim: daily-wellness zone (moderate sodium, mid price).</t>
        </is>
      </c>
    </row>
  </sheetData>
  <mergeCells count="6">
    <mergeCell ref="A1:G1"/>
    <mergeCell ref="A22:G22"/>
    <mergeCell ref="A4:G4"/>
    <mergeCell ref="A2:G2"/>
    <mergeCell ref="A15:G15"/>
    <mergeCell ref="A5:G5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0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13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12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13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13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13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12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12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13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12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4" ht="18" customHeight="1">
      <c r="A34" s="96" t="inlineStr">
        <is>
          <t>MÜV = RTD CAN · SPORT ELECTROLYTES → SUPPLEMENTED FOODS (corrected Jun 2026 — see Canada Regulatory v2)</t>
        </is>
      </c>
    </row>
    <row r="35" ht="44" customHeight="1">
      <c r="A35" s="57" t="inlineStr">
        <is>
          <t>SUPERSEDED — see ‘Canada Regulatory v2’</t>
        </is>
      </c>
      <c r="B35" s="58" t="inlineStr">
        <is>
          <t>This section's earlier “powder = NHP advantage” framing is OUT OF DATE. Health Canada is reclassifying ALL sport-electrolyte products (RTD, powder, effervescent) from NHP to SUPPLEMENTED FOODS. Format is not the regulatory decider — representation + claims are.</t>
        </is>
      </c>
      <c r="C35" s="58" t="inlineStr">
        <is>
          <t>CORRECTED Jun 2026</t>
        </is>
      </c>
    </row>
    <row r="36" ht="44" customHeight="1">
      <c r="A36" s="57" t="inlineStr">
        <is>
          <t>MÜV is an RTD sparkling CAN</t>
        </is>
      </c>
      <c r="B36" s="58" t="inlineStr">
        <is>
          <t>Verified via ingredient list (begins “Carbonated water”) + SKU 4338 / ~$14.99. It is food-coded; treat as a Supplemented Food.</t>
        </is>
      </c>
      <c r="C36" s="58" t="inlineStr">
        <is>
          <t>HARD</t>
        </is>
      </c>
    </row>
    <row r="37" ht="44" customHeight="1">
      <c r="A37" s="57" t="inlineStr">
        <is>
          <t>Sport electrolytes → Supplemented Foods</t>
        </is>
      </c>
      <c r="B37" s="58" t="inlineStr">
        <is>
          <t>Health Canada Public Notice (Apr 2026): transition from NHP to food framework; NPN holders by Dec 31, 2027; NEW products comply with FDR now. ORS (clinical) stays NHP.</t>
        </is>
      </c>
      <c r="C37" s="58" t="inlineStr">
        <is>
          <t>HARD (primary)</t>
        </is>
      </c>
    </row>
    <row r="38" ht="44" customHeight="1">
      <c r="A38" s="57" t="inlineStr">
        <is>
          <t>Collagen is the real NHP trigger</t>
        </is>
      </c>
      <c r="B38" s="58" t="inlineStr">
        <is>
          <t>Electrolyte/hydration claims = food-friendly. Collagen skin/joint/hair/beauty claims = NHP-only. Keep those on Organika's NHP collagen powder, not the MÜV can.</t>
        </is>
      </c>
      <c r="C38" s="58" t="inlineStr">
        <is>
          <t>HARD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1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12" customWidth="1" min="3" max="3"/>
  </cols>
  <sheetData>
    <row r="1" ht="30" customHeight="1">
      <c r="A1" s="1" t="inlineStr">
        <is>
          <t>Canada Regulatory v2 — Sport-Electrolyte Reclassification (2026)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Supersedes the powder/NHP framing on Tab 19. ✅HARD ◐DIRECTIONAL ⚠FLAG</t>
        </is>
      </c>
    </row>
    <row r="4" ht="58" customHeight="1">
      <c r="A4" s="6" t="inlineStr">
        <is>
          <t>HEADLINE: Health Canada Public Notice (Apr 2026) reclassifies ALL sport-electrolyte products — RTD beverages, powders/concentrates AND effervescent tablets — from Natural Health Products (NHP/NPN) to FOODS / Supplemented Foods. Existing NPN holders transition by Dec 31, 2027; NEW products must comply with the Food &amp; Drug Regulations immediately. Oral Rehydration Solutions (clinical) stay NHP.</t>
        </is>
      </c>
      <c r="B4" s="34" t="n"/>
      <c r="C4" s="35" t="n"/>
    </row>
    <row r="5">
      <c r="A5" s="42" t="inlineStr">
        <is>
          <t>FORMAT IS NOT THE DECIDER (the key nuance)</t>
        </is>
      </c>
    </row>
    <row r="6">
      <c r="A6" s="11" t="inlineStr">
        <is>
          <t>Point</t>
        </is>
      </c>
      <c r="B6" s="11" t="inlineStr">
        <is>
          <t>Detail</t>
        </is>
      </c>
      <c r="C6" s="11" t="inlineStr">
        <is>
          <t>Conf.</t>
        </is>
      </c>
    </row>
    <row r="7" ht="44" customHeight="1">
      <c r="A7" s="58" t="inlineStr">
        <is>
          <t>Format ≠ classification</t>
        </is>
      </c>
      <c r="B7" s="58" t="inlineStr">
        <is>
          <t>Per Health Canada's food–NHP interface guidance, even powders &amp; effervescent tablets for reconstitution CAN be foods. Classification weighs representation, composition, format, perception &amp; history — together.</t>
        </is>
      </c>
      <c r="C7" s="58" t="inlineStr">
        <is>
          <t>✅ (primary)</t>
        </is>
      </c>
    </row>
    <row r="8" ht="44" customHeight="1">
      <c r="A8" s="60" t="inlineStr">
        <is>
          <t>What pushes toward FOOD</t>
        </is>
      </c>
      <c r="B8" s="60" t="inlineStr">
        <is>
          <t>Beverage representation; scoop/serving + a Nutrition/Supplemented-Food Facts table; consumed freely like ordinary food/drink.</t>
        </is>
      </c>
      <c r="C8" s="60" t="inlineStr">
        <is>
          <t>✅</t>
        </is>
      </c>
    </row>
    <row r="9" ht="44" customHeight="1">
      <c r="A9" s="58" t="inlineStr">
        <is>
          <t>What pushes toward NHP</t>
        </is>
      </c>
      <c r="B9" s="58" t="inlineStr">
        <is>
          <t>Dosage forms (capsules, single-dose sticks, measured drops) + regimented dosing + defined daily limits + conditions of use + therapeutic/structure-function claims.</t>
        </is>
      </c>
      <c r="C9" s="58" t="inlineStr">
        <is>
          <t>✅</t>
        </is>
      </c>
    </row>
    <row r="10" ht="44" customHeight="1">
      <c r="A10" s="60" t="inlineStr">
        <is>
          <t>So the real driver is CLAIMS</t>
        </is>
      </c>
      <c r="B10" s="60" t="inlineStr">
        <is>
          <t>Electrolyte/hydration framing = food. Collagen skin/joint/hair/beauty claims = NHP-only. The claim, not the powder-vs-RTD format, decides the lane.</t>
        </is>
      </c>
      <c r="C10" s="60" t="inlineStr">
        <is>
          <t>✅</t>
        </is>
      </c>
    </row>
    <row r="11">
      <c r="A11" s="42" t="inlineStr">
        <is>
          <t>CLAIMS FORK</t>
        </is>
      </c>
    </row>
    <row r="12">
      <c r="A12" s="11" t="inlineStr">
        <is>
          <t>If the product is…</t>
        </is>
      </c>
      <c r="B12" s="11" t="inlineStr">
        <is>
          <t>Framework</t>
        </is>
      </c>
      <c r="C12" s="11" t="inlineStr">
        <is>
          <t>Allowed claims</t>
        </is>
      </c>
    </row>
    <row r="13" ht="40" customHeight="1">
      <c r="A13" s="58" t="inlineStr">
        <is>
          <t>Plain electrolyte (can OR powder)</t>
        </is>
      </c>
      <c r="B13" s="58" t="inlineStr">
        <is>
          <t>Supplemented Food</t>
        </is>
      </c>
      <c r="C13" s="58" t="inlineStr">
        <is>
          <t>hydration, “replenish electrolytes”, source-of-magnesium/potassium, sugar-free, nutrient-content &amp; acceptable function claims</t>
        </is>
      </c>
    </row>
    <row r="14" ht="40" customHeight="1">
      <c r="A14" s="60" t="inlineStr">
        <is>
          <t>Electrolyte + collagen w/ beauty/joint claims</t>
        </is>
      </c>
      <c r="B14" s="60" t="inlineStr">
        <is>
          <t>NHP (NPN)</t>
        </is>
      </c>
      <c r="C14" s="60" t="inlineStr">
        <is>
          <t>“supports skin/hair/nails/joints”, collagen structure-function (dose-format powder is the defensible vehicle)</t>
        </is>
      </c>
    </row>
    <row r="15" ht="40" customHeight="1">
      <c r="A15" s="58" t="inlineStr">
        <is>
          <t>Oral rehydration (clinical)</t>
        </is>
      </c>
      <c r="B15" s="58" t="inlineStr">
        <is>
          <t>NHP (NPN)</t>
        </is>
      </c>
      <c r="C15" s="58" t="inlineStr">
        <is>
          <t>therapeutic rehydration</t>
        </is>
      </c>
    </row>
    <row r="16">
      <c r="A16" s="42" t="inlineStr">
        <is>
          <t>SUPPLEMENTED FOODS FRAMEWORK &amp; LABELLING</t>
        </is>
      </c>
    </row>
    <row r="17">
      <c r="A17" s="11" t="inlineStr">
        <is>
          <t>Item</t>
        </is>
      </c>
      <c r="B17" s="11" t="inlineStr">
        <is>
          <t>Requirement</t>
        </is>
      </c>
      <c r="C17" s="11" t="inlineStr">
        <is>
          <t>Conf.</t>
        </is>
      </c>
    </row>
    <row r="18" ht="38" customHeight="1">
      <c r="A18" s="58" t="inlineStr">
        <is>
          <t>Framework</t>
        </is>
      </c>
      <c r="B18" s="58" t="inlineStr">
        <is>
          <t>In force July 21, 2022. Added vitamins/minerals/amino acids per List of Permitted Supplemental Ingredients &amp; Categories.</t>
        </is>
      </c>
      <c r="C18" s="58" t="inlineStr">
        <is>
          <t>✅</t>
        </is>
      </c>
    </row>
    <row r="19" ht="38" customHeight="1">
      <c r="A19" s="60" t="inlineStr">
        <is>
          <t>Supplemented Food Facts table (SFFt)</t>
        </is>
      </c>
      <c r="B19" s="60" t="inlineStr">
        <is>
          <t>Modified Nutrition Facts table with a “Supplemented with” line (name + amount of each supplemental ingredient).</t>
        </is>
      </c>
      <c r="C19" s="60" t="inlineStr">
        <is>
          <t>✅</t>
        </is>
      </c>
    </row>
    <row r="20" ht="38" customHeight="1">
      <c r="A20" s="58" t="inlineStr">
        <is>
          <t>Caution Identifier (SFCI)</t>
        </is>
      </c>
      <c r="B20" s="58" t="inlineStr">
        <is>
          <t>Black-&amp;-white identifier on the principal display panel WHEN cautionary statements are required (children, pregnancy, etc.).</t>
        </is>
      </c>
      <c r="C20" s="58" t="inlineStr">
        <is>
          <t>✅</t>
        </is>
      </c>
    </row>
    <row r="21" ht="38" customHeight="1">
      <c r="A21" s="60" t="inlineStr">
        <is>
          <t>Caffeine</t>
        </is>
      </c>
      <c r="B21" s="60" t="inlineStr">
        <is>
          <t>180 mg cap is PER-SERVING for the caffeinated-beverage category (400 mg/day is the reference). Moot for caffeine-free MÜV.</t>
        </is>
      </c>
      <c r="C21" s="60" t="inlineStr">
        <is>
          <t>✅ (precision)</t>
        </is>
      </c>
    </row>
    <row r="22" ht="38" customHeight="1">
      <c r="A22" s="58" t="inlineStr">
        <is>
          <t>Collagen caution</t>
        </is>
      </c>
      <c r="B22" s="58" t="inlineStr">
        <is>
          <t>If hydrolyzed collagen is present: “CAUTION, DO NOT USE AS SOLE SOURCE OF NUTRITION” on the PDP, same type size as common name (FDR).</t>
        </is>
      </c>
      <c r="C22" s="58" t="inlineStr">
        <is>
          <t>✅</t>
        </is>
      </c>
    </row>
    <row r="23" ht="38" customHeight="1">
      <c r="A23" s="60" t="inlineStr">
        <is>
          <t>Bilingual EN/FR</t>
        </is>
      </c>
      <c r="B23" s="60" t="inlineStr">
        <is>
          <t>Mandatory on all required info incl. the facts table.</t>
        </is>
      </c>
      <c r="C23" s="60" t="inlineStr">
        <is>
          <t>✅</t>
        </is>
      </c>
    </row>
    <row r="24" ht="38" customHeight="1">
      <c r="A24" s="58" t="inlineStr">
        <is>
          <t>Quebec Bill 96 / OQLF</t>
        </is>
      </c>
      <c r="B24" s="58" t="inlineStr">
        <is>
          <t>From Jun 1, 2025 generic/descriptive terms in a trademark need French; “Sparkling Electrolytes” likely needs a French descriptor. Sell-through grace to Jun 1, 2027.</t>
        </is>
      </c>
      <c r="C24" s="58" t="inlineStr">
        <is>
          <t>◐ (trademark call)</t>
        </is>
      </c>
    </row>
    <row r="25">
      <c r="A25" s="42" t="inlineStr">
        <is>
          <t>PRACTICAL TAKEAWAY FOR MÜV</t>
        </is>
      </c>
    </row>
    <row r="26">
      <c r="A26" s="11" t="inlineStr">
        <is>
          <t>Decision</t>
        </is>
      </c>
      <c r="B26" s="11" t="inlineStr">
        <is>
          <t>Guidance</t>
        </is>
      </c>
    </row>
    <row r="27" ht="44" customHeight="1">
      <c r="A27" s="58" t="inlineStr">
        <is>
          <t>Classification</t>
        </is>
      </c>
      <c r="B27" s="58" t="inlineStr">
        <is>
          <t>MÜV (RTD electrolyte can, caffeine-free) = a Supplemented Food. No NPN; SFFt + cautions/SFCI as applicable.</t>
        </is>
      </c>
    </row>
    <row r="28" ht="44" customHeight="1">
      <c r="A28" s="60" t="inlineStr">
        <is>
          <t>Claims</t>
        </is>
      </c>
      <c r="B28" s="60" t="inlineStr">
        <is>
          <t>Hydration/electrolyte/“replenish” + prebiotic-fibre function are safe. Do NOT put collagen beauty/joint claims on the can — keep them on the NHP collagen powder.</t>
        </is>
      </c>
    </row>
    <row r="29" ht="44" customHeight="1">
      <c r="A29" s="58" t="inlineStr">
        <is>
          <t>Format choice</t>
        </is>
      </c>
      <c r="B29" s="58" t="inlineStr">
        <is>
          <t>For a plain electrolyte line, powder vs RTD now sit in the SAME (food) lane — choose on cost/shelf-life/experience, not regulation. Only a collagen-claims strategy argues for a dose-format NHP powder.</t>
        </is>
      </c>
    </row>
    <row r="30" ht="44" customHeight="1">
      <c r="A30" s="60" t="inlineStr">
        <is>
          <t>Timeline</t>
        </is>
      </c>
      <c r="B30" s="60" t="inlineStr">
        <is>
          <t>Design to the food/Supplemented-Food framework from day one to avoid a 2027 relabel; new products must comply with FDR now.</t>
        </is>
      </c>
    </row>
    <row r="31" ht="46" customHeight="1">
      <c r="A31" s="100" t="inlineStr">
        <is>
          <t>OPEN ITEMS ⚠: confirm exact transition date (Dec 31 2027 vs Jan 1 2028) on the canada.ca notice; MÜV's current licensing status (food vs any legacy NPN); verbatim collagen monograph wording; Bill 96 trademark analysis for “MÜV Sparkling Electrolytes”. canada.ca/LNHPD pages block automated fetch (403) — verify on the live primary page before a compliance filing.</t>
        </is>
      </c>
      <c r="B31" s="34" t="n"/>
      <c r="C31" s="35" t="n"/>
    </row>
  </sheetData>
  <mergeCells count="8">
    <mergeCell ref="A25:C25"/>
    <mergeCell ref="A11:C11"/>
    <mergeCell ref="A1:C1"/>
    <mergeCell ref="A5:C5"/>
    <mergeCell ref="A16:C16"/>
    <mergeCell ref="A31:C31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43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0" customWidth="1" min="2" max="2"/>
    <col width="54" customWidth="1" min="3" max="3"/>
    <col width="18" customWidth="1" min="4" max="4"/>
    <col width="28" customWidth="1" min="5" max="5"/>
  </cols>
  <sheetData>
    <row r="1" ht="30" customHeight="1">
      <c r="A1" s="1" t="inlineStr">
        <is>
          <t>Electrolyte / Sparkling / Better-For-You — Canada-First Deep-Dive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Deep-research pass (2026-06-26): MÜV's real competitive lane · ✅HARD ◐DIRECTIONAL ⚠FLAG</t>
        </is>
      </c>
    </row>
    <row r="4" ht="60" customHeight="1">
      <c r="A4" s="6" t="inlineStr">
        <is>
          <t>TWO FINDINGS THAT RESHAPE THE READ: (1) MÜV is a ready-to-drink SPARKLING CAN (verified: ingredient list begins “Carbonated water”, SKU 4338, ~$14.99), not a powder. (2) Canada is moving ALL sport-electrolyte products (RTD, powder, effervescent) from NHP to SUPPLEMENTED FOODS by Dec 31, 2027. So MÜV competes in the daily-wellness sparkling lane and is food-regulated; win on format + Canadian-made, not on collagen-beauty claims.</t>
        </is>
      </c>
      <c r="B4" s="34" t="n"/>
      <c r="C4" s="34" t="n"/>
      <c r="D4" s="34" t="n"/>
      <c r="E4" s="34" t="n"/>
      <c r="F4" s="35" t="n"/>
    </row>
    <row r="5">
      <c r="A5" s="42" t="inlineStr">
        <is>
          <t>1 · MARKET SIZING (Canada-first)</t>
        </is>
      </c>
    </row>
    <row r="6">
      <c r="A6" s="11" t="inlineStr">
        <is>
          <t>Metric</t>
        </is>
      </c>
      <c r="B6" s="11" t="inlineStr">
        <is>
          <t>Value</t>
        </is>
      </c>
      <c r="C6" s="11" t="inlineStr">
        <is>
          <t>Geo</t>
        </is>
      </c>
      <c r="D6" s="11" t="inlineStr">
        <is>
          <t>Conf.</t>
        </is>
      </c>
      <c r="E6" s="11" t="inlineStr">
        <is>
          <t>Source</t>
        </is>
      </c>
    </row>
    <row r="7" ht="30" customHeight="1">
      <c r="A7" s="58" t="inlineStr">
        <is>
          <t>Powdered hydration mixes</t>
        </is>
      </c>
      <c r="B7" s="58" t="inlineStr">
        <is>
          <t>$1.5B (2024), +20% YoY; 4 straight yrs double-digit; units +21.4%</t>
        </is>
      </c>
      <c r="C7" s="58" t="inlineStr">
        <is>
          <t>US</t>
        </is>
      </c>
      <c r="D7" s="58" t="inlineStr">
        <is>
          <t>✅</t>
        </is>
      </c>
      <c r="E7" s="58" t="inlineStr">
        <is>
          <t>Circana via CNN</t>
        </is>
      </c>
    </row>
    <row r="8" ht="30" customHeight="1">
      <c r="A8" s="60" t="inlineStr">
        <is>
          <t>Gatorade powder enhancers</t>
        </is>
      </c>
      <c r="B8" s="60" t="inlineStr">
        <is>
          <t>+200% over 4 years</t>
        </is>
      </c>
      <c r="C8" s="60" t="inlineStr">
        <is>
          <t>US</t>
        </is>
      </c>
      <c r="D8" s="60" t="inlineStr">
        <is>
          <t>✅</t>
        </is>
      </c>
      <c r="E8" s="60" t="inlineStr">
        <is>
          <t>Circana via CNN</t>
        </is>
      </c>
    </row>
    <row r="9" ht="30" customHeight="1">
      <c r="A9" s="58" t="inlineStr">
        <is>
          <t>Electrolyte powder market</t>
        </is>
      </c>
      <c r="B9" s="58" t="inlineStr">
        <is>
          <t>~$8.7B (2024), ~8.8% CAGR to 2030; powder fastest-growing format</t>
        </is>
      </c>
      <c r="C9" s="58" t="inlineStr">
        <is>
          <t>Global</t>
        </is>
      </c>
      <c r="D9" s="58" t="inlineStr">
        <is>
          <t>◐</t>
        </is>
      </c>
      <c r="E9" s="58" t="inlineStr">
        <is>
          <t>Grand View; Mordor</t>
        </is>
      </c>
    </row>
    <row r="10" ht="30" customHeight="1">
      <c r="A10" s="60" t="inlineStr">
        <is>
          <t>NA electrolyte share</t>
        </is>
      </c>
      <c r="B10" s="60" t="inlineStr">
        <is>
          <t>38.2% of global hydration drinks (2024)</t>
        </is>
      </c>
      <c r="C10" s="60" t="inlineStr">
        <is>
          <t>N. America</t>
        </is>
      </c>
      <c r="D10" s="60" t="inlineStr">
        <is>
          <t>◐</t>
        </is>
      </c>
      <c r="E10" s="60" t="inlineStr">
        <is>
          <t>Grand View</t>
        </is>
      </c>
    </row>
    <row r="11" ht="30" customHeight="1">
      <c r="A11" s="58" t="inlineStr">
        <is>
          <t>Canada powdered hydration</t>
        </is>
      </c>
      <c r="B11" s="58" t="inlineStr">
        <is>
          <t>~US$404M → $738.5M (10.7% CAGR)</t>
        </is>
      </c>
      <c r="C11" s="58" t="inlineStr">
        <is>
          <t>Canada</t>
        </is>
      </c>
      <c r="D11" s="58" t="inlineStr">
        <is>
          <t>⚠◐</t>
        </is>
      </c>
      <c r="E11" s="58" t="inlineStr">
        <is>
          <t>Grand View (3rd-party est.)</t>
        </is>
      </c>
    </row>
    <row r="12" ht="30" customHeight="1">
      <c r="A12" s="60" t="inlineStr">
        <is>
          <t>Canada US-proxy cross-check</t>
        </is>
      </c>
      <c r="B12" s="60" t="inlineStr">
        <is>
          <t>~$150M (10% of US $1.5B) — lower than Grand View</t>
        </is>
      </c>
      <c r="C12" s="60" t="inlineStr">
        <is>
          <t>Canada</t>
        </is>
      </c>
      <c r="D12" s="60" t="inlineStr">
        <is>
          <t>⚠</t>
        </is>
      </c>
      <c r="E12" s="60" t="inlineStr">
        <is>
          <t>Derived</t>
        </is>
      </c>
    </row>
    <row r="13" ht="30" customHeight="1">
      <c r="A13" s="58" t="inlineStr">
        <is>
          <t>Liquid I.V.</t>
        </is>
      </c>
      <c r="B13" s="58" t="inlineStr">
        <is>
          <t>#1 US powdered hydration; 2024 intl expansion incl. Canada</t>
        </is>
      </c>
      <c r="C13" s="58" t="inlineStr">
        <is>
          <t>US/Canada</t>
        </is>
      </c>
      <c r="D13" s="58" t="inlineStr">
        <is>
          <t>✅</t>
        </is>
      </c>
      <c r="E13" s="58" t="inlineStr">
        <is>
          <t>CNN; Unilever</t>
        </is>
      </c>
    </row>
    <row r="14">
      <c r="A14" s="42" t="inlineStr">
        <is>
          <t>2 · TRENDS</t>
        </is>
      </c>
    </row>
    <row r="15">
      <c r="A15" s="11" t="inlineStr">
        <is>
          <t>Trend</t>
        </is>
      </c>
      <c r="B15" s="11" t="inlineStr">
        <is>
          <t>Read</t>
        </is>
      </c>
      <c r="C15" s="11" t="inlineStr">
        <is>
          <t>Conf.</t>
        </is>
      </c>
    </row>
    <row r="16" ht="34" customHeight="1">
      <c r="A16" s="58" t="inlineStr">
        <is>
          <t>Electrolyte/hydration boom</t>
        </is>
      </c>
      <c r="B16" s="58" t="inlineStr">
        <is>
          <t>#WaterTok “flavor your water” is the engine behind +20% powder growth; sparkling is a demo-able hero for short-form video</t>
        </is>
      </c>
      <c r="C16" s="58" t="inlineStr">
        <is>
          <t>✅/◐</t>
        </is>
      </c>
    </row>
    <row r="17" ht="34" customHeight="1">
      <c r="A17" s="60" t="inlineStr">
        <is>
          <t>Sugar-free + clean label</t>
        </is>
      </c>
      <c r="B17" s="60" t="inlineStr">
        <is>
          <t>Now table stakes, not a differentiator (stevia, magnesium bisglycinate)</t>
        </is>
      </c>
      <c r="C17" s="60" t="inlineStr">
        <is>
          <t>✅</t>
        </is>
      </c>
    </row>
    <row r="18" ht="34" customHeight="1">
      <c r="A18" s="58" t="inlineStr">
        <is>
          <t>Sodium split</t>
        </is>
      </c>
      <c r="B18" s="58" t="inlineStr">
        <is>
          <t>High-sodium “serious” (LMNT 1,000mg) vs moderate daily-wellness (Liquid I.V. 500mg, Nuun 300mg)</t>
        </is>
      </c>
      <c r="C18" s="58" t="inlineStr">
        <is>
          <t>✅</t>
        </is>
      </c>
    </row>
    <row r="19" ht="34" customHeight="1">
      <c r="A19" s="60" t="inlineStr">
        <is>
          <t>Functional stacking</t>
        </is>
      </c>
      <c r="B19" s="60" t="inlineStr">
        <is>
          <t>Differentiation lives in electrolytes + magnesium + prebiotic fibre (+ collagen on NHP line)</t>
        </is>
      </c>
      <c r="C19" s="60" t="inlineStr">
        <is>
          <t>◐</t>
        </is>
      </c>
    </row>
    <row r="20">
      <c r="A20" s="42" t="inlineStr">
        <is>
          <t>3 · COMPETITOR FORMULATION &amp; PRICE LADDER</t>
        </is>
      </c>
    </row>
    <row r="21">
      <c r="A21" s="11" t="inlineStr">
        <is>
          <t>Brand</t>
        </is>
      </c>
      <c r="B21" s="11" t="inlineStr">
        <is>
          <t>Sodium/serv</t>
        </is>
      </c>
      <c r="C21" s="11" t="inlineStr">
        <is>
          <t>Format</t>
        </is>
      </c>
      <c r="D21" s="11" t="inlineStr">
        <is>
          <t>Price/serv</t>
        </is>
      </c>
      <c r="E21" s="11" t="inlineStr">
        <is>
          <t>Lane</t>
        </is>
      </c>
    </row>
    <row r="22" ht="26" customHeight="1">
      <c r="A22" s="58" t="inlineStr">
        <is>
          <t>LMNT</t>
        </is>
      </c>
      <c r="B22" s="58" t="inlineStr">
        <is>
          <t>1,000 mg</t>
        </is>
      </c>
      <c r="C22" s="58" t="inlineStr">
        <is>
          <t>Powder stick (+Sparkling can)</t>
        </is>
      </c>
      <c r="D22" s="58" t="inlineStr">
        <is>
          <t>~$1.50 ($1.30 sub)</t>
        </is>
      </c>
      <c r="E22" s="58" t="inlineStr">
        <is>
          <t>High-sodium performance/keto</t>
        </is>
      </c>
    </row>
    <row r="23" ht="26" customHeight="1">
      <c r="A23" s="60" t="inlineStr">
        <is>
          <t>Liquid I.V.</t>
        </is>
      </c>
      <c r="B23" s="60" t="inlineStr">
        <is>
          <t>500 mg</t>
        </is>
      </c>
      <c r="C23" s="60" t="inlineStr">
        <is>
          <t>Powder stick</t>
        </is>
      </c>
      <c r="D23" s="60" t="inlineStr">
        <is>
          <t>~$1.56 (~$1.00 Costco)</t>
        </is>
      </c>
      <c r="E23" s="60" t="inlineStr">
        <is>
          <t>Daily wellness</t>
        </is>
      </c>
    </row>
    <row r="24" ht="26" customHeight="1">
      <c r="A24" s="58" t="inlineStr">
        <is>
          <t>Nuun</t>
        </is>
      </c>
      <c r="B24" s="58" t="inlineStr">
        <is>
          <t>300 mg</t>
        </is>
      </c>
      <c r="C24" s="58" t="inlineStr">
        <is>
          <t>Effervescent tablet</t>
        </is>
      </c>
      <c r="D24" s="58" t="inlineStr">
        <is>
          <t>~$0.75</t>
        </is>
      </c>
      <c r="E24" s="58" t="inlineStr">
        <is>
          <t>Everyday / endurance</t>
        </is>
      </c>
    </row>
    <row r="25" ht="26" customHeight="1">
      <c r="A25" s="60" t="inlineStr">
        <is>
          <t>Prime</t>
        </is>
      </c>
      <c r="B25" s="60" t="inlineStr">
        <is>
          <t>low</t>
        </is>
      </c>
      <c r="C25" s="60" t="inlineStr">
        <is>
          <t>RTD + powder</t>
        </is>
      </c>
      <c r="D25" s="60" t="inlineStr">
        <is>
          <t>hype-priced</t>
        </is>
      </c>
      <c r="E25" s="60" t="inlineStr">
        <is>
          <t>Youth / viral</t>
        </is>
      </c>
    </row>
    <row r="26" ht="26" customHeight="1">
      <c r="A26" s="58" t="inlineStr">
        <is>
          <t>BioSteel</t>
        </is>
      </c>
      <c r="B26" s="58" t="inlineStr">
        <is>
          <t>moderate</t>
        </is>
      </c>
      <c r="C26" s="58" t="inlineStr">
        <is>
          <t>Powder / RTD</t>
        </is>
      </c>
      <c r="D26" s="58" t="inlineStr">
        <is>
          <t>mid</t>
        </is>
      </c>
      <c r="E26" s="58" t="inlineStr">
        <is>
          <t>Athletic / “clean sport”</t>
        </is>
      </c>
    </row>
    <row r="27" ht="26" customHeight="1">
      <c r="A27" s="60" t="inlineStr">
        <is>
          <t>Organika electrolyte sachets</t>
        </is>
      </c>
      <c r="B27" s="60" t="inlineStr">
        <is>
          <t>—</t>
        </is>
      </c>
      <c r="C27" s="60" t="inlineStr">
        <is>
          <t>3.5g powder sachets</t>
        </is>
      </c>
      <c r="D27" s="60" t="inlineStr">
        <is>
          <t>~$29.99/30 (Costco)</t>
        </is>
      </c>
      <c r="E27" s="60" t="inlineStr">
        <is>
          <t>Daily, Canadian-made</t>
        </is>
      </c>
    </row>
    <row r="28" ht="26" customHeight="1">
      <c r="A28" s="58" t="inlineStr">
        <is>
          <t>Organika MÜV (this product)</t>
        </is>
      </c>
      <c r="B28" s="58" t="inlineStr">
        <is>
          <t>TBD ⚠</t>
        </is>
      </c>
      <c r="C28" s="58" t="inlineStr">
        <is>
          <t>Sparkling RTD CAN (SKU 4338)</t>
        </is>
      </c>
      <c r="D28" s="58" t="inlineStr">
        <is>
          <t>$14.99 / pack</t>
        </is>
      </c>
      <c r="E28" s="58" t="inlineStr">
        <is>
          <t>Daily-wellness sparkling</t>
        </is>
      </c>
    </row>
    <row r="29" ht="40" customHeight="1">
      <c r="A29" s="17" t="inlineStr">
        <is>
          <t>WHITE SPACE ◐: a flavored SPARKLING electrolyte is genuinely rare (LMNT Sparkling can; Nuun tablets fizz). MÜV's carbonation is a real sensory differentiator that aids flavour release → more consumption, no hydration penalty (Beverage Hydration Index).</t>
        </is>
      </c>
      <c r="B29" s="34" t="n"/>
      <c r="C29" s="34" t="n"/>
      <c r="D29" s="34" t="n"/>
      <c r="E29" s="34" t="n"/>
      <c r="F29" s="35" t="n"/>
    </row>
    <row r="30">
      <c r="A30" s="42" t="inlineStr">
        <is>
          <t>4 · GO-TO-MARKET &amp; THE BIOSTEEL CAUTIONARY TALE</t>
        </is>
      </c>
    </row>
    <row r="31">
      <c r="A31" s="11" t="inlineStr">
        <is>
          <t>Brand / case</t>
        </is>
      </c>
      <c r="B31" s="11" t="inlineStr">
        <is>
          <t>Canada entry</t>
        </is>
      </c>
      <c r="C31" s="11" t="inlineStr">
        <is>
          <t>Lesson</t>
        </is>
      </c>
    </row>
    <row r="32" ht="52" customHeight="1">
      <c r="A32" s="58" t="inlineStr">
        <is>
          <t>Liquid I.V.</t>
        </is>
      </c>
      <c r="B32" s="58" t="inlineStr">
        <is>
          <t>Costco Canada national launch (Jul 2023), tight 2-SKU; festival + Costco roadshow sampling</t>
        </is>
      </c>
      <c r="C32" s="58" t="inlineStr">
        <is>
          <t>Costco = the proven “one big door” beachhead; sampling drives trial</t>
        </is>
      </c>
    </row>
    <row r="33" ht="52" customHeight="1">
      <c r="A33" s="60" t="inlineStr">
        <is>
          <t>LMNT</t>
        </is>
      </c>
      <c r="B33" s="60" t="inlineStr">
        <is>
          <t>Amazon.ca + DTC; podcast sponsorships + “free sample, just pay shipping”</t>
        </is>
      </c>
      <c r="C33" s="60" t="inlineStr">
        <is>
          <t>Cheap, high-ROI trial funnel; borrow it (not the 1,000mg sodium)</t>
        </is>
      </c>
    </row>
    <row r="34" ht="52" customHeight="1">
      <c r="A34" s="58" t="inlineStr">
        <is>
          <t>BioSteel (Canadian)</t>
        </is>
      </c>
      <c r="B34" s="58" t="inlineStr">
        <is>
          <t>Broad omnichannel on NHL/McDavid/Mahomes halo</t>
        </is>
      </c>
      <c r="C34" s="58" t="inlineStr">
        <is>
          <t>⚠ Canopy bought 72% for $50.7M (2019); burned &gt;$3 COGS per $1 rev ($24M rev vs $90M COGS); CCAA bankruptcy Sept 2023; sold ~$30.4M to Crosby/Coachwood; mfg in-housed Windsor 2025; lost NHL to Coke's BodyArmor. MORAL: athlete halo + broad distribution on a heavy cost base = bankruptcy. Velocity &amp; unit economics FIRST.</t>
        </is>
      </c>
    </row>
    <row r="35" ht="52" customHeight="1">
      <c r="A35" s="60" t="inlineStr">
        <is>
          <t>Powder vs RTD economics</t>
        </is>
      </c>
      <c r="B35" s="60" t="inlineStr">
        <is>
          <t>Powder ships ~60–70% cheaper, shelf-stable</t>
        </is>
      </c>
      <c r="C35" s="60" t="inlineStr">
        <is>
          <t>MÜV-the-CAN forgoes that edge → margin case leans on Organika's BC manufacturing</t>
        </is>
      </c>
    </row>
    <row r="36">
      <c r="A36" s="42" t="inlineStr">
        <is>
          <t>5 · RECOMMENDATIONS FOR MÜV (Canada)</t>
        </is>
      </c>
    </row>
    <row r="37">
      <c r="A37" s="11" t="inlineStr">
        <is>
          <t>#</t>
        </is>
      </c>
      <c r="B37" s="11" t="inlineStr">
        <is>
          <t>Recommendation</t>
        </is>
      </c>
    </row>
    <row r="38" ht="40" customHeight="1">
      <c r="A38" s="58" t="inlineStr">
        <is>
          <t>1</t>
        </is>
      </c>
      <c r="B38" s="58" t="inlineStr">
        <is>
          <t>Beachhead = Costco Canada (hero, roadshow sampling) + Amazon.ca / Well.ca / DTC — channels Organika already holds. Prove velocity before national grocery.</t>
        </is>
      </c>
    </row>
    <row r="39" ht="40" customHeight="1">
      <c r="A39" s="60" t="inlineStr">
        <is>
          <t>2</t>
        </is>
      </c>
      <c r="B39" s="60" t="inlineStr">
        <is>
          <t>Position “daily-wellness sparkling hydration, made in Canada” — between Liquid I.V. (flat, foreign-owned) and LMNT (high-sodium performance). Avoid athletic combat with the reviving BioSteel.</t>
        </is>
      </c>
    </row>
    <row r="40" ht="40" customHeight="1">
      <c r="A40" s="58" t="inlineStr">
        <is>
          <t>3</t>
        </is>
      </c>
      <c r="B40" s="58" t="inlineStr">
        <is>
          <t>Design the label to the Supplemented-Food framework NOW (SFFt, front-of-pack symbol, cautions if triggered). Lead with hydration/electrolyte + prebiotic-fibre function.</t>
        </is>
      </c>
    </row>
    <row r="41" ht="40" customHeight="1">
      <c r="A41" s="60" t="inlineStr">
        <is>
          <t>4</t>
        </is>
      </c>
      <c r="B41" s="60" t="inlineStr">
        <is>
          <t>Keep collagen / beauty messaging on the NHP collagen-powder line — NOT on the MÜV can (food-coded, claims restricted).</t>
        </is>
      </c>
    </row>
    <row r="42" ht="40" customHeight="1">
      <c r="A42" s="58" t="inlineStr">
        <is>
          <t>5</t>
        </is>
      </c>
      <c r="B42" s="58" t="inlineStr">
        <is>
          <t>Marketing: borrow LMNT's sample-pack funnel + #WaterTok creators (cheaper than US podcasts); fizz as the demo hero. Lean on BC manufacturing for margin.</t>
        </is>
      </c>
    </row>
    <row r="43" ht="46" customHeight="1">
      <c r="A43" s="100" t="inlineStr">
        <is>
          <t>SOURCES &amp; CONFIDENCE: Circana via CNN (category); Grand View/Mordor (powder market, ◐); organika.com (MÜV SKU 4338, ingredient list); Globe &amp; Mail/CBC/PRNewswire/Coachwood (BioSteel); strategyonline.ca/Unilever (Liquid I.V. Canada); drinklmnt.com/hubermanlab.com (LMNT). Revenue &amp; market-size figures are estimates/projections (⚠). Several canada.ca/retailer pages block automated fetch (403) — confirm load-bearing items on the live page.</t>
        </is>
      </c>
      <c r="B43" s="34" t="n"/>
      <c r="C43" s="34" t="n"/>
      <c r="D43" s="34" t="n"/>
      <c r="E43" s="34" t="n"/>
      <c r="F43" s="35" t="n"/>
    </row>
  </sheetData>
  <mergeCells count="10">
    <mergeCell ref="A2:F2"/>
    <mergeCell ref="A36:F36"/>
    <mergeCell ref="A14:F14"/>
    <mergeCell ref="A1:F1"/>
    <mergeCell ref="A5:F5"/>
    <mergeCell ref="A4:F4"/>
    <mergeCell ref="A20:F20"/>
    <mergeCell ref="A30:F30"/>
    <mergeCell ref="A29:F29"/>
    <mergeCell ref="A43:F4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M1" s="95" t="inlineStr">
        <is>
          <t>🏠 Home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</sheetData>
  <mergeCells count="5">
    <mergeCell ref="A2:F2"/>
    <mergeCell ref="A16:F16"/>
    <mergeCell ref="C14:E14"/>
    <mergeCell ref="A1:F1"/>
    <mergeCell ref="A14:B14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6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</sheetData>
  <mergeCells count="2">
    <mergeCell ref="A2:E2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34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5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34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34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5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34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5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34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5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34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5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34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5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34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5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5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34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5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34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5" t="inlineStr">
        <is>
          <t>foodnavigator-usa.com; eightx.co</t>
        </is>
      </c>
      <c r="C30" s="13" t="inlineStr">
        <is>
          <t>Trade (directional)</t>
        </is>
      </c>
    </row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</sheetData>
  <mergeCells count="3">
    <mergeCell ref="A1:C1"/>
    <mergeCell ref="A32:C32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9" r:id="rId12"/>
    <hyperlink xmlns:r="http://schemas.openxmlformats.org/officeDocument/2006/relationships" ref="B20" r:id="rId13"/>
    <hyperlink xmlns:r="http://schemas.openxmlformats.org/officeDocument/2006/relationships" ref="B21" r:id="rId14"/>
    <hyperlink xmlns:r="http://schemas.openxmlformats.org/officeDocument/2006/relationships" ref="B22" r:id="rId15"/>
    <hyperlink xmlns:r="http://schemas.openxmlformats.org/officeDocument/2006/relationships" ref="B23" r:id="rId16"/>
    <hyperlink xmlns:r="http://schemas.openxmlformats.org/officeDocument/2006/relationships" ref="B24" r:id="rId17"/>
    <hyperlink xmlns:r="http://schemas.openxmlformats.org/officeDocument/2006/relationships" ref="B26" r:id="rId18"/>
    <hyperlink xmlns:r="http://schemas.openxmlformats.org/officeDocument/2006/relationships" ref="B27" r:id="rId19"/>
    <hyperlink xmlns:r="http://schemas.openxmlformats.org/officeDocument/2006/relationships" ref="B28" r:id="rId20"/>
    <hyperlink xmlns:r="http://schemas.openxmlformats.org/officeDocument/2006/relationships" ref="B29" r:id="rId21"/>
    <hyperlink xmlns:r="http://schemas.openxmlformats.org/officeDocument/2006/relationships" ref="B30" r:id="rId2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What is MÜV — and is it a can or a powder?</t>
        </is>
      </c>
      <c r="C5" s="98" t="inlineStr">
        <is>
          <t>CONFIRMED + CORRECTED (2x)</t>
        </is>
      </c>
      <c r="D5" s="58" t="inlineStr">
        <is>
          <t>“MÜV Sparkling Electrolytes” is a real Organika SKU and is a ready-to-drink SPARKLING CAN (SKU 4338, ~$14.99; ingredient list begins “Carbonated water” + Fibersol, magnesium glycinate, stevia; 0 sugar, caffeine-free). NOTE: an interim round-5 finding called it a powder — that was WRONG (it described Organika's separate electrolyte sachets / Electrolytes+Collagen powder) and is retracted.</t>
        </is>
      </c>
      <c r="E5" s="58" t="inlineStr">
        <is>
          <t>organika.com (SKU 4338, ingredient list); retailer listings</t>
        </is>
      </c>
    </row>
    <row r="6" ht="58" customHeight="1">
      <c r="A6" s="99" t="n">
        <v>2</v>
      </c>
      <c r="B6" s="60" t="inlineStr">
        <is>
          <t>Canada regulatory pathway for MÜV</t>
        </is>
      </c>
      <c r="C6" s="98" t="inlineStr">
        <is>
          <t>CORRECTED (primary)</t>
        </is>
      </c>
      <c r="D6" s="60" t="inlineStr">
        <is>
          <t>Format is NOT the decider. Health Canada is reclassifying ALL sport-electrolyte products (RTD/powder/effervescent) from NHP to SUPPLEMENTED FOODS — NPN holders by Dec 31, 2027; new products comply with FDR now. So MÜV (a can) is a Supplemented Food; collagen beauty claims remain NHP-only. ORS stays NHP. See ‘Canada Regulatory v2’.</t>
        </is>
      </c>
      <c r="E6" s="60" t="inlineStr">
        <is>
          <t>canada.ca Public Notice (Apr 2026); Gowling; dicentra; CHFA</t>
        </is>
      </c>
    </row>
    <row r="7" ht="58" customHeight="1">
      <c r="A7" s="97" t="n">
        <v>3</v>
      </c>
      <c r="B7" s="58" t="inlineStr">
        <is>
          <t>Poppi → PepsiCo $1.95B</t>
        </is>
      </c>
      <c r="C7" s="98" t="inlineStr">
        <is>
          <t>CONFIRMED (primary)</t>
        </is>
      </c>
      <c r="D7" s="58" t="inlineStr">
        <is>
          <t>$1.95B incl. $300M anticipated cash tax benefits → net $1.65B, plus a performance earnout. Closed/announced May 19, 2025.</t>
        </is>
      </c>
      <c r="E7" s="58" t="inlineStr">
        <is>
          <t>PepsiCo newsroom PR (2025-05-19)</t>
        </is>
      </c>
    </row>
    <row r="8" ht="58" customHeight="1">
      <c r="A8" s="99" t="n">
        <v>4</v>
      </c>
      <c r="B8" s="60" t="inlineStr">
        <is>
          <t>OLIPOP $50M Series C @ $1.85B</t>
        </is>
      </c>
      <c r="C8" s="98" t="inlineStr">
        <is>
          <t>CONFIRMED (primary)</t>
        </is>
      </c>
      <c r="D8" s="60" t="inlineStr">
        <is>
          <t>$50M led by JP Morgan Private Capital at $1.85B valuation (Feb 12, 2025); company states fully profitable, &gt;$400M 2024 sales; described as final anticipated equity round.</t>
        </is>
      </c>
      <c r="E8" s="60" t="inlineStr">
        <is>
          <t>Bloomberg; CNBC (2025-02-12)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98" t="inlineStr">
        <is>
          <t>CONFIRMED (primary)</t>
        </is>
      </c>
      <c r="D9" s="58" t="inlineStr">
        <is>
          <t>$206M sales, ~20% net income margin, $54.6M marketing (~26.5% of revenue) — LMNT's own SEC Form C-AR, CIK 1871551, FY ended 12/31/2023.</t>
        </is>
      </c>
      <c r="E9" s="58" t="inlineStr">
        <is>
          <t>sec.gov EDGAR (lmnt.pdf, CIK 1871551)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98" t="inlineStr">
        <is>
          <t>CONFIRMED (scanner)</t>
        </is>
      </c>
      <c r="D10" s="60" t="inlineStr">
        <is>
          <t>$1.8B in 2024, up 83% from $983M (2023). Shares: Poppi 38%, OLIPOP 32.7%, Zevia 12.1%, Jarritos 10.3%, Fever-Tree 4%, other 2.9%.</t>
        </is>
      </c>
      <c r="E10" s="60" t="inlineStr">
        <is>
          <t>Circana via Beverage Industry / CNN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98" t="inlineStr">
        <is>
          <t>CONFIRMED (primary)</t>
        </is>
      </c>
      <c r="D11" s="58" t="inlineStr">
        <is>
          <t>$8.9M settlement; suit (June 2024) alleged 2g fiber too low (need &gt;4 cans/day). Class period from Jan 23, 2020. Preliminary approval May 23, 2025; FINAL approval April 14, 2026.</t>
        </is>
      </c>
      <c r="E11" s="58" t="inlineStr">
        <is>
          <t>classaction.org; BevNET; Today</t>
        </is>
      </c>
    </row>
    <row r="12" ht="58" customHeight="1">
      <c r="A12" s="99" t="n">
        <v>8</v>
      </c>
      <c r="B12" s="60" t="inlineStr">
        <is>
          <t>Liquid I.V. Costco 2019; Unilever 2020</t>
        </is>
      </c>
      <c r="C12" s="98" t="inlineStr">
        <is>
          <t>CONFIRMED (primary)</t>
        </is>
      </c>
      <c r="D12" s="60" t="inlineStr">
        <is>
          <t>National Costco launch Jan 8, 2019 → 516 warehouses. Unilever agreed to acquire Sept 1, 2020 (~$500M / ~5x reported; terms officially undisclosed).</t>
        </is>
      </c>
      <c r="E12" s="60" t="inlineStr">
        <is>
          <t>liquid-iv.com; Unilever PR; BevNET</t>
        </is>
      </c>
    </row>
    <row r="13" ht="58" customHeight="1">
      <c r="A13" s="97" t="n">
        <v>9</v>
      </c>
      <c r="B13" s="58" t="inlineStr">
        <is>
          <t>Canada Supplemented Foods Reg; 180mg caffeine cap</t>
        </is>
      </c>
      <c r="C13" s="98" t="inlineStr">
        <is>
          <t>CONFIRMED (primary)</t>
        </is>
      </c>
      <c r="D13" s="58" t="inlineStr">
        <is>
          <t>Amendments in force July 21, 2022. 180mg caffeine cap per single-serve container; Prime Energy (200mg) violated it and was recalled in Canada (July 2023), alongside others.</t>
        </is>
      </c>
      <c r="E13" s="58" t="inlineStr">
        <is>
          <t>Health Canada (canada.ca); CNN; Fasken</t>
        </is>
      </c>
    </row>
    <row r="14" ht="58" customHeight="1">
      <c r="A14" s="99" t="n">
        <v>10</v>
      </c>
      <c r="B14" s="60" t="inlineStr">
        <is>
          <t>Celsius–PepsiCo $550M; Celsius buys Alani Nu $1.8B</t>
        </is>
      </c>
      <c r="C14" s="98" t="inlineStr">
        <is>
          <t>CONFIRMED (primary)</t>
        </is>
      </c>
      <c r="D14" s="60" t="inlineStr">
        <is>
          <t>PepsiCo $550M convertible pref @ $75/sh (~8.5%), Aug 2022, global distribution. Celsius acquired Alani Nu for $1.8B (incl. $150M tax assets → net $1.65B); announced Feb 2025, CLOSED April 1, 2025.</t>
        </is>
      </c>
      <c r="E14" s="60" t="inlineStr">
        <is>
          <t>SEC 8-K; BevNET; Food Dive</t>
        </is>
      </c>
    </row>
    <row r="16" ht="52" customHeight="1">
      <c r="A16" s="56" t="inlineStr">
        <is>
          <t>Method note: All 10 items were re-verified on 2026-06-13. Items 1–2 confirmed against Organika's site + Canadian retailer listings (storefront blocks automated fetch, so confirmed via search-indexed product/retailer pages). Items 3–10 were re-pulled and CONFIRMED against primary sources (PepsiCo, SEC EDGAR, Circana via trade press, Health Canada, classaction.org, Unilever, Celsius SEC 8-Ks), several with added precision (net purchase prices, exact close dates). No competitor figure required downward correction. The material corrections were on MÜV (items 1–2): verified as an RTD sparkling CAN (not a powder), and the Canada sport-electrolyte → Supplemented-Food reclassification (deep-research pass). Direct primary-PDF re-read still advised for any figure quoted verbatim in board materials.</t>
        </is>
      </c>
      <c r="B16" s="34" t="n"/>
      <c r="C16" s="34" t="n"/>
      <c r="D16" s="34" t="n"/>
      <c r="E16" s="35" t="n"/>
    </row>
  </sheetData>
  <mergeCells count="3">
    <mergeCell ref="A2:E2"/>
    <mergeCell ref="A16:E16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/>
</worksheet>
</file>

<file path=xl/worksheets/sheet37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26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</sheetData>
  <mergeCells count="1"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34-tab dossier: interactive scenario P&amp;L, dashboard, Go/No-Go, battlecards, verification log, Canada-first electrolyte/BFY deep-dive, and a reconciled MÜV peer set. MÜV verified as an RTD sparkling can in a food-regulated lane.</dc:description>
  <dc:subject>Competitive intelligence &amp; Canada market-entry dossier</dc:subject>
  <dcterms:created xsi:type="dcterms:W3CDTF">2026-07-18T08:51:24Z</dcterms:created>
  <dcterms:modified xsi:type="dcterms:W3CDTF">2026-07-18T08:51:28Z</dcterms:modified>
  <cp:keywords>functional beverage, prebiotic soda, collagen, hydration, Canada, MUV, Organika</cp:keywords>
</cp:coreProperties>
</file>