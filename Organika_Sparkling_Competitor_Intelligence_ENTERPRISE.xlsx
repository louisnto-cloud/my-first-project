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2.xml" ContentType="application/vnd.openxmlformats-officedocument.drawing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3.xml" ContentType="application/vnd.openxmlformats-officedocument.drawing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🏠 Start Here" sheetId="1" state="visible" r:id="rId1"/>
    <sheet name="Executive Brief 1-page" sheetId="2" state="visible" r:id="rId2"/>
    <sheet name="00 Cover" sheetId="3" state="visible" r:id="rId3"/>
    <sheet name="01 Contents" sheetId="4" state="visible" r:id="rId4"/>
    <sheet name="02 Executive Summary" sheetId="5" state="visible" r:id="rId5"/>
    <sheet name="Dashboard" sheetId="6" state="visible" r:id="rId6"/>
    <sheet name="Financial Model" sheetId="7" state="visible" r:id="rId7"/>
    <sheet name="Assumptions Audit" sheetId="8" state="visible" r:id="rId8"/>
    <sheet name="Scenario Comparison" sheetId="9" state="visible" r:id="rId9"/>
    <sheet name="03 Methodology" sheetId="10" state="visible" r:id="rId10"/>
    <sheet name="04 Market Sizing" sheetId="11" state="visible" r:id="rId11"/>
    <sheet name="05 Trends &amp; Macro" sheetId="12" state="visible" r:id="rId12"/>
    <sheet name="06 Consumer" sheetId="13" state="visible" r:id="rId13"/>
    <sheet name="07 Comparison Matrix" sheetId="14" state="visible" r:id="rId14"/>
    <sheet name="MÜV Peer Set" sheetId="15" state="visible" r:id="rId15"/>
    <sheet name="08 Extended Landscape" sheetId="16" state="visible" r:id="rId16"/>
    <sheet name="09 Channel &amp; Retail" sheetId="17" state="visible" r:id="rId17"/>
    <sheet name="10 Channel Economics" sheetId="18" state="visible" r:id="rId18"/>
    <sheet name="11 Formulation" sheetId="19" state="visible" r:id="rId19"/>
    <sheet name="12 Marketing" sheetId="20" state="visible" r:id="rId20"/>
    <sheet name="13 Launch Playbooks" sheetId="21" state="visible" r:id="rId21"/>
    <sheet name="14 Patterns &amp; Failures" sheetId="22" state="visible" r:id="rId22"/>
    <sheet name="15 Outcomes &amp; M&amp;A" sheetId="23" state="visible" r:id="rId23"/>
    <sheet name="16 SWOT" sheetId="24" state="visible" r:id="rId24"/>
    <sheet name="17 Scoring Model" sheetId="25" state="visible" r:id="rId25"/>
    <sheet name="18 Canada Market" sheetId="26" state="visible" r:id="rId26"/>
    <sheet name="19 Canada Regulatory" sheetId="27" state="visible" r:id="rId27"/>
    <sheet name="Canada Regulatory v2" sheetId="28" state="visible" r:id="rId28"/>
    <sheet name="Electrolyte BFY Deep-Dive" sheetId="29" state="visible" r:id="rId29"/>
    <sheet name="20 GTM Recommendation" sheetId="30" state="visible" r:id="rId30"/>
    <sheet name="Go-NoGo Decision" sheetId="31" state="visible" r:id="rId31"/>
    <sheet name="Battlecards" sheetId="32" state="visible" r:id="rId32"/>
    <sheet name="21 Launch Plan" sheetId="33" state="visible" r:id="rId33"/>
    <sheet name="22 Risk Register" sheetId="34" state="visible" r:id="rId34"/>
    <sheet name="23 KPI Dashboard" sheetId="35" state="visible" r:id="rId35"/>
    <sheet name="24 Sources" sheetId="36" state="visible" r:id="rId36"/>
    <sheet name="Verification Log" sheetId="37" state="visible" r:id="rId37"/>
    <sheet name="25 Glossary" sheetId="38" state="visible" r:id="rId38"/>
  </sheets>
  <definedNames>
    <definedName name="_xlnm.Print_Area" localSheetId="0">'🏠 Start Here'!$A$1:$E$25</definedName>
    <definedName name="_xlnm.Print_Area" localSheetId="1">'Executive Brief 1-page'!$A$1:$E$24</definedName>
    <definedName name="_xlnm.Print_Area" localSheetId="2">'00 Cover'!$A$1:$M$27</definedName>
    <definedName name="_xlnm.Print_Area" localSheetId="3">'01 Contents'!$A$1:$M$39</definedName>
    <definedName name="_xlnm.Print_Area" localSheetId="4">'02 Executive Summary'!$A$1:$N$17</definedName>
    <definedName name="_xlnm.Print_Area" localSheetId="5">'Dashboard'!$A$1:$N$78</definedName>
    <definedName name="_xlnm.Print_Area" localSheetId="6">'Financial Model'!$A$1:$N$61</definedName>
    <definedName name="_xlnm.Print_Area" localSheetId="8">'Scenario Comparison'!$A$1:$N$34</definedName>
    <definedName name="_xlnm.Print_Area" localSheetId="9">'03 Methodology'!$A$1:$N$8</definedName>
    <definedName name="_xlnm.Print_Area" localSheetId="10">'04 Market Sizing'!$A$1:$N$27</definedName>
    <definedName name="_xlnm.Print_Area" localSheetId="11">'05 Trends &amp; Macro'!$A$1:$N$12</definedName>
    <definedName name="_xlnm.Print_Area" localSheetId="12">'06 Consumer'!$A$1:$N$16</definedName>
    <definedName name="_xlnm._FilterDatabase" localSheetId="13" hidden="1">'07 Comparison Matrix'!$A$3:$L$11</definedName>
    <definedName name="_xlnm.Print_Area" localSheetId="13">'07 Comparison Matrix'!$A$1:$N$12</definedName>
    <definedName name="_xlnm.Print_Area" localSheetId="14">'MÜV Peer Set'!$A$1:$N$32</definedName>
    <definedName name="_xlnm.Print_Area" localSheetId="15">'08 Extended Landscape'!$A$1:$N$50</definedName>
    <definedName name="_xlnm.Print_Area" localSheetId="16">'09 Channel &amp; Retail'!$A$1:$N$13</definedName>
    <definedName name="_xlnm.Print_Area" localSheetId="17">'10 Channel Economics'!$A$1:$N$38</definedName>
    <definedName name="_xlnm.Print_Area" localSheetId="18">'11 Formulation'!$A$1:$N$12</definedName>
    <definedName name="_xlnm.Print_Area" localSheetId="19">'12 Marketing'!$A$1:$N$12</definedName>
    <definedName name="_xlnm.Print_Area" localSheetId="20">'13 Launch Playbooks'!$A$1:$N$9</definedName>
    <definedName name="_xlnm.Print_Area" localSheetId="21">'14 Patterns &amp; Failures'!$A$1:$N$18</definedName>
    <definedName name="_xlnm.Print_Area" localSheetId="22">'15 Outcomes &amp; M&amp;A'!$A$1:$N$14</definedName>
    <definedName name="_xlnm.Print_Area" localSheetId="23">'16 SWOT'!$A$1:$N$9</definedName>
    <definedName name="_xlnm.Print_Area" localSheetId="24">'17 Scoring Model'!$A$1:$N$14</definedName>
    <definedName name="_xlnm.Print_Area" localSheetId="25">'18 Canada Market'!$A$1:$N$35</definedName>
    <definedName name="_xlnm.Print_Area" localSheetId="26">'19 Canada Regulatory'!$A$1:$N$38</definedName>
    <definedName name="_xlnm.Print_Area" localSheetId="27">'Canada Regulatory v2'!$A$1:$N$31</definedName>
    <definedName name="_xlnm.Print_Area" localSheetId="28">'Electrolyte BFY Deep-Dive'!$A$1:$N$43</definedName>
    <definedName name="_xlnm.Print_Area" localSheetId="29">'20 GTM Recommendation'!$A$1:$N$11</definedName>
    <definedName name="_xlnm.Print_Area" localSheetId="30">'Go-NoGo Decision'!$A$1:$N$16</definedName>
    <definedName name="_xlnm.Print_Area" localSheetId="31">'Battlecards'!$A$1:$N$9</definedName>
    <definedName name="_xlnm.Print_Area" localSheetId="32">'21 Launch Plan'!$A$1:$N$7</definedName>
    <definedName name="_xlnm.Print_Area" localSheetId="33">'22 Risk Register'!$A$1:$N$16</definedName>
    <definedName name="_xlnm.Print_Area" localSheetId="34">'23 KPI Dashboard'!$A$1:$N$12</definedName>
    <definedName name="_xlnm.Print_Area" localSheetId="35">'24 Sources'!$A$1:$N$32</definedName>
    <definedName name="_xlnm.Print_Area" localSheetId="36">'Verification Log'!$A$1:$N$16</definedName>
    <definedName name="_xlnm.Print_Area" localSheetId="37">'25 Glossary'!$A$1:$N$26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.00"/>
    <numFmt numFmtId="165" formatCode="0.0%"/>
    <numFmt numFmtId="166" formatCode="0.0"/>
    <numFmt numFmtId="167" formatCode="&quot;$&quot;#,##0"/>
  </numFmts>
  <fonts count="35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FFFFFF"/>
      <sz val="13"/>
    </font>
    <font>
      <name val="Calibri"/>
      <i val="1"/>
      <color rgb="0014304F"/>
      <sz val="11"/>
    </font>
    <font>
      <name val="Calibri"/>
      <b val="1"/>
      <color rgb="0014304F"/>
      <sz val="12"/>
    </font>
    <font>
      <name val="Calibri"/>
      <color rgb="00000000"/>
      <sz val="10"/>
    </font>
    <font>
      <name val="Calibri"/>
      <b val="1"/>
      <color rgb="00B45309"/>
      <sz val="10"/>
    </font>
    <font>
      <name val="Calibri"/>
      <b val="1"/>
      <color rgb="00000000"/>
      <sz val="10"/>
    </font>
    <font>
      <name val="Calibri"/>
      <b val="1"/>
      <color rgb="001E7D32"/>
      <sz val="9"/>
    </font>
    <font>
      <name val="Calibri"/>
      <b val="1"/>
      <color rgb="00595959"/>
      <sz val="9"/>
    </font>
    <font>
      <name val="Calibri"/>
      <b val="1"/>
      <color rgb="00B45309"/>
      <sz val="9"/>
    </font>
    <font>
      <name val="Calibri"/>
      <b val="1"/>
      <color rgb="00FFFFFF"/>
      <sz val="10"/>
    </font>
    <font>
      <name val="Calibri"/>
      <b val="1"/>
      <color rgb="001E7D32"/>
      <sz val="10"/>
    </font>
    <font>
      <name val="Calibri"/>
      <sz val="10"/>
    </font>
    <font>
      <name val="Calibri"/>
      <b val="1"/>
      <sz val="10"/>
    </font>
    <font>
      <name val="Calibri"/>
      <i val="1"/>
      <color rgb="00595959"/>
      <sz val="9"/>
    </font>
    <font>
      <name val="Calibri"/>
      <b val="1"/>
      <color rgb="00FFFFFF"/>
      <sz val="8"/>
    </font>
    <font>
      <name val="Calibri"/>
      <b val="1"/>
      <color rgb="0014304F"/>
      <sz val="14"/>
    </font>
    <font>
      <name val="Calibri"/>
      <i val="1"/>
      <color rgb="00595959"/>
      <sz val="8"/>
    </font>
    <font>
      <name val="Calibri"/>
      <b val="1"/>
      <color rgb="0014304F"/>
      <sz val="11"/>
    </font>
    <font>
      <name val="Calibri"/>
      <b val="1"/>
      <color rgb="00FFFFFF"/>
      <sz val="9"/>
    </font>
    <font>
      <name val="Calibri"/>
      <b val="1"/>
      <color rgb="00FFFFFF"/>
      <sz val="12"/>
    </font>
    <font>
      <name val="Calibri"/>
      <b val="1"/>
      <color rgb="001155CC"/>
      <sz val="10"/>
      <u val="single"/>
    </font>
    <font>
      <name val="Calibri"/>
      <b val="1"/>
      <color rgb="001155CC"/>
      <sz val="8"/>
      <u val="single"/>
    </font>
    <font>
      <name val="Calibri"/>
      <b val="1"/>
      <color rgb="00595959"/>
      <sz val="10"/>
    </font>
    <font>
      <name val="Calibri"/>
      <b val="1"/>
      <color rgb="00FFFFFF"/>
      <sz val="22"/>
    </font>
    <font>
      <name val="Calibri"/>
      <i val="1"/>
      <color rgb="00FFFFFF"/>
      <sz val="11"/>
    </font>
    <font>
      <name val="Calibri"/>
      <b val="1"/>
      <color rgb="00FFFFFF"/>
      <sz val="11"/>
    </font>
    <font>
      <name val="Calibri"/>
      <b val="1"/>
      <color rgb="0014304F"/>
      <sz val="9"/>
    </font>
    <font>
      <name val="Calibri"/>
      <b val="1"/>
      <sz val="9"/>
    </font>
    <font>
      <name val="Calibri"/>
      <color rgb="00595959"/>
      <sz val="9"/>
    </font>
    <font>
      <name val="Calibri"/>
      <sz val="9"/>
    </font>
    <font>
      <name val="Calibri"/>
      <color rgb="001155CC"/>
      <sz val="10"/>
      <u val="single"/>
    </font>
    <font>
      <name val="Calibri"/>
      <b val="1"/>
      <color rgb="00FFFFFF"/>
      <sz val="16"/>
    </font>
    <font>
      <name val="Calibri"/>
      <b val="1"/>
      <color rgb="00FFFFFF"/>
      <sz val="14"/>
    </font>
  </fonts>
  <fills count="17">
    <fill>
      <patternFill/>
    </fill>
    <fill>
      <patternFill patternType="gray125"/>
    </fill>
    <fill>
      <patternFill patternType="solid">
        <fgColor rgb="0014304F"/>
      </patternFill>
    </fill>
    <fill>
      <patternFill patternType="solid">
        <fgColor rgb="002E7D8A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EAF1F4"/>
      </patternFill>
    </fill>
    <fill>
      <patternFill patternType="solid">
        <fgColor rgb="003E5C76"/>
      </patternFill>
    </fill>
    <fill>
      <patternFill patternType="solid">
        <fgColor rgb="00F4F8FA"/>
      </patternFill>
    </fill>
    <fill>
      <patternFill patternType="solid">
        <fgColor rgb="001E7D32"/>
      </patternFill>
    </fill>
    <fill>
      <patternFill patternType="solid">
        <fgColor rgb="00FFFFFF"/>
      </patternFill>
    </fill>
    <fill>
      <patternFill patternType="solid">
        <fgColor rgb="009C2A2A"/>
      </patternFill>
    </fill>
    <fill>
      <patternFill patternType="solid">
        <fgColor rgb="00F8D7DA"/>
      </patternFill>
    </fill>
    <fill>
      <patternFill patternType="solid">
        <fgColor rgb="00FFF7CC"/>
      </patternFill>
    </fill>
    <fill>
      <patternFill patternType="solid">
        <fgColor rgb="00C9A227"/>
      </patternFill>
    </fill>
    <fill>
      <patternFill patternType="solid">
        <fgColor rgb="00595959"/>
      </patternFill>
    </fill>
    <fill>
      <patternFill patternType="solid">
        <fgColor rgb="00B45309"/>
      </patternFill>
    </fill>
  </fills>
  <borders count="10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medium">
        <color rgb="00FFFFFF"/>
      </left>
      <right style="medium">
        <color rgb="00FFFFFF"/>
      </right>
      <top style="medium">
        <color rgb="00FFFFFF"/>
      </top>
      <bottom style="medium">
        <color rgb="00FFFFFF"/>
      </bottom>
    </border>
    <border>
      <left style="medium">
        <color rgb="00FFFFFF"/>
      </left>
      <right/>
      <top/>
      <bottom/>
      <diagonal/>
    </border>
    <border>
      <left style="medium">
        <color rgb="00FFFFFF"/>
      </left>
      <right style="medium">
        <color rgb="00FFFFFF"/>
      </right>
      <top/>
      <bottom/>
      <diagonal/>
    </border>
    <border>
      <left style="medium">
        <color rgb="00FFFFFF"/>
      </left>
      <right style="medium">
        <color rgb="00FFFFFF"/>
      </right>
      <top/>
      <bottom style="medium">
        <color rgb="00FFFFFF"/>
      </bottom>
      <diagonal/>
    </border>
  </borders>
  <cellStyleXfs count="1">
    <xf numFmtId="0" fontId="0" fillId="0" borderId="0"/>
  </cellStyleXfs>
  <cellXfs count="15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7" fillId="0" borderId="0" pivotButton="0" quotePrefix="0" xfId="0"/>
    <xf numFmtId="0" fontId="8" fillId="5" borderId="1" applyAlignment="1" pivotButton="0" quotePrefix="0" xfId="0">
      <alignment vertical="top" wrapText="1"/>
    </xf>
    <xf numFmtId="0" fontId="9" fillId="6" borderId="1" applyAlignment="1" pivotButton="0" quotePrefix="0" xfId="0">
      <alignment vertical="top" wrapText="1"/>
    </xf>
    <xf numFmtId="0" fontId="10" fillId="4" borderId="1" applyAlignment="1" pivotButton="0" quotePrefix="0" xfId="0">
      <alignment vertical="top" wrapText="1"/>
    </xf>
    <xf numFmtId="0" fontId="11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11" fillId="3" borderId="0" applyAlignment="1" pivotButton="0" quotePrefix="0" xfId="0">
      <alignment horizontal="center" vertical="center" wrapText="1"/>
    </xf>
    <xf numFmtId="0" fontId="11" fillId="7" borderId="0" applyAlignment="1" pivotButton="0" quotePrefix="0" xfId="0">
      <alignment horizontal="left" vertical="center" wrapText="1" indent="1"/>
    </xf>
    <xf numFmtId="0" fontId="5" fillId="8" borderId="1" applyAlignment="1" pivotButton="0" quotePrefix="0" xfId="0">
      <alignment vertical="top" wrapText="1"/>
    </xf>
    <xf numFmtId="0" fontId="12" fillId="5" borderId="1" applyAlignment="1" pivotButton="0" quotePrefix="0" xfId="0">
      <alignment vertical="top" wrapText="1"/>
    </xf>
    <xf numFmtId="0" fontId="11" fillId="3" borderId="0" applyAlignment="1" pivotButton="0" quotePrefix="0" xfId="0">
      <alignment horizontal="left" vertical="center" wrapText="1" indent="1"/>
    </xf>
    <xf numFmtId="0" fontId="11" fillId="9" borderId="0" applyAlignment="1" pivotButton="0" quotePrefix="0" xfId="0">
      <alignment horizontal="left" vertical="center" wrapText="1" indent="1"/>
    </xf>
    <xf numFmtId="0" fontId="5" fillId="10" borderId="1" applyAlignment="1" pivotButton="0" quotePrefix="0" xfId="0">
      <alignment vertical="top" wrapText="1"/>
    </xf>
    <xf numFmtId="0" fontId="11" fillId="11" borderId="0" applyAlignment="1" pivotButton="0" quotePrefix="0" xfId="0">
      <alignment horizontal="left" vertical="center" wrapText="1" indent="1"/>
    </xf>
    <xf numFmtId="0" fontId="5" fillId="12" borderId="1" applyAlignment="1" pivotButton="0" quotePrefix="0" xfId="0">
      <alignment vertical="top" wrapText="1"/>
    </xf>
    <xf numFmtId="9" fontId="7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2" fontId="7" fillId="0" borderId="1" applyAlignment="1" pivotButton="0" quotePrefix="0" xfId="0">
      <alignment horizontal="center" vertical="center" wrapText="1"/>
    </xf>
    <xf numFmtId="0" fontId="5" fillId="6" borderId="1" pivotButton="0" quotePrefix="0" xfId="0"/>
    <xf numFmtId="0" fontId="5" fillId="6" borderId="1" applyAlignment="1" pivotButton="0" quotePrefix="0" xfId="0">
      <alignment horizontal="center" vertical="center" wrapText="1"/>
    </xf>
    <xf numFmtId="2" fontId="7" fillId="6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6" fillId="7" borderId="1" applyAlignment="1" pivotButton="0" quotePrefix="0" xfId="0">
      <alignment horizontal="center" vertical="center" wrapText="1"/>
    </xf>
    <xf numFmtId="0" fontId="17" fillId="6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  <xf numFmtId="0" fontId="15" fillId="0" borderId="0" applyAlignment="1" pivotButton="0" quotePrefix="0" xfId="0">
      <alignment vertical="top" wrapText="1"/>
    </xf>
    <xf numFmtId="0" fontId="14" fillId="0" borderId="0" pivotButton="0" quotePrefix="0" xfId="0"/>
    <xf numFmtId="0" fontId="15" fillId="0" borderId="0" pivotButton="0" quotePrefix="0" xfId="0"/>
    <xf numFmtId="0" fontId="11" fillId="7" borderId="0" applyAlignment="1" pivotButton="0" quotePrefix="0" xfId="0">
      <alignment horizontal="left" vertical="center" indent="1"/>
    </xf>
    <xf numFmtId="0" fontId="13" fillId="0" borderId="0" applyAlignment="1" pivotButton="0" quotePrefix="0" xfId="0">
      <alignment vertical="center"/>
    </xf>
    <xf numFmtId="164" fontId="14" fillId="13" borderId="1" applyAlignment="1" pivotButton="0" quotePrefix="0" xfId="0">
      <alignment horizontal="center" vertical="center" wrapText="1"/>
    </xf>
    <xf numFmtId="9" fontId="14" fillId="13" borderId="1" applyAlignment="1" pivotButton="0" quotePrefix="0" xfId="0">
      <alignment horizontal="center" vertical="center" wrapText="1"/>
    </xf>
    <xf numFmtId="1" fontId="14" fillId="13" borderId="1" applyAlignment="1" pivotButton="0" quotePrefix="0" xfId="0">
      <alignment horizontal="center" vertical="center" wrapText="1"/>
    </xf>
    <xf numFmtId="0" fontId="14" fillId="0" borderId="0" applyAlignment="1" pivotButton="0" quotePrefix="0" xfId="0">
      <alignment vertical="center"/>
    </xf>
    <xf numFmtId="164" fontId="14" fillId="8" borderId="1" applyAlignment="1" pivotButton="0" quotePrefix="0" xfId="0">
      <alignment horizontal="center" vertical="center" wrapText="1"/>
    </xf>
    <xf numFmtId="165" fontId="14" fillId="8" borderId="1" applyAlignment="1" pivotButton="0" quotePrefix="0" xfId="0">
      <alignment horizontal="center" vertical="center" wrapText="1"/>
    </xf>
    <xf numFmtId="164" fontId="13" fillId="8" borderId="1" applyAlignment="1" pivotButton="0" quotePrefix="0" xfId="0">
      <alignment horizontal="center" vertical="center" wrapText="1"/>
    </xf>
    <xf numFmtId="3" fontId="14" fillId="13" borderId="1" applyAlignment="1" pivotButton="0" quotePrefix="0" xfId="0">
      <alignment horizontal="center" vertical="center" wrapText="1"/>
    </xf>
    <xf numFmtId="166" fontId="14" fillId="13" borderId="1" applyAlignment="1" pivotButton="0" quotePrefix="0" xfId="0">
      <alignment horizontal="center" vertical="center" wrapText="1"/>
    </xf>
    <xf numFmtId="3" fontId="13" fillId="8" borderId="1" applyAlignment="1" pivotButton="0" quotePrefix="0" xfId="0">
      <alignment horizontal="center" vertical="center" wrapText="1"/>
    </xf>
    <xf numFmtId="167" fontId="14" fillId="8" borderId="1" applyAlignment="1" pivotButton="0" quotePrefix="0" xfId="0">
      <alignment horizontal="center" vertical="center" wrapText="1"/>
    </xf>
    <xf numFmtId="167" fontId="13" fillId="8" borderId="1" applyAlignment="1" pivotButton="0" quotePrefix="0" xfId="0">
      <alignment horizontal="center" vertical="center" wrapText="1"/>
    </xf>
    <xf numFmtId="0" fontId="15" fillId="4" borderId="1" applyAlignment="1" pivotButton="0" quotePrefix="0" xfId="0">
      <alignment vertical="top" wrapText="1"/>
    </xf>
    <xf numFmtId="0" fontId="14" fillId="0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vertical="top" wrapText="1"/>
    </xf>
    <xf numFmtId="0" fontId="14" fillId="6" borderId="1" applyAlignment="1" pivotButton="0" quotePrefix="0" xfId="0">
      <alignment horizontal="left" vertical="center" wrapText="1"/>
    </xf>
    <xf numFmtId="0" fontId="13" fillId="6" borderId="1" applyAlignment="1" pivotButton="0" quotePrefix="0" xfId="0">
      <alignment vertical="top" wrapText="1"/>
    </xf>
    <xf numFmtId="0" fontId="6" fillId="4" borderId="1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center" wrapText="1"/>
    </xf>
    <xf numFmtId="0" fontId="19" fillId="13" borderId="1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left" vertical="center" wrapText="1"/>
    </xf>
    <xf numFmtId="1" fontId="13" fillId="8" borderId="1" applyAlignment="1" pivotButton="0" quotePrefix="0" xfId="0">
      <alignment horizontal="center" vertical="center" wrapText="1"/>
    </xf>
    <xf numFmtId="164" fontId="14" fillId="5" borderId="1" applyAlignment="1" pivotButton="0" quotePrefix="0" xfId="0">
      <alignment horizontal="center" vertical="center" wrapText="1"/>
    </xf>
    <xf numFmtId="9" fontId="14" fillId="5" borderId="1" applyAlignment="1" pivotButton="0" quotePrefix="0" xfId="0">
      <alignment horizontal="center" vertical="center" wrapText="1"/>
    </xf>
    <xf numFmtId="1" fontId="14" fillId="5" borderId="1" applyAlignment="1" pivotButton="0" quotePrefix="0" xfId="0">
      <alignment horizontal="center" vertical="center" wrapText="1"/>
    </xf>
    <xf numFmtId="3" fontId="14" fillId="5" borderId="1" applyAlignment="1" pivotButton="0" quotePrefix="0" xfId="0">
      <alignment horizontal="center" vertical="center" wrapText="1"/>
    </xf>
    <xf numFmtId="166" fontId="14" fillId="5" borderId="1" applyAlignment="1" pivotButton="0" quotePrefix="0" xfId="0">
      <alignment horizontal="center" vertical="center" wrapText="1"/>
    </xf>
    <xf numFmtId="167" fontId="14" fillId="13" borderId="1" applyAlignment="1" pivotButton="0" quotePrefix="0" xfId="0">
      <alignment horizontal="center" vertical="center" wrapText="1"/>
    </xf>
    <xf numFmtId="167" fontId="14" fillId="5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166" fontId="13" fillId="8" borderId="1" applyAlignment="1" pivotButton="0" quotePrefix="0" xfId="0">
      <alignment horizontal="center" vertical="center" wrapText="1"/>
    </xf>
    <xf numFmtId="165" fontId="13" fillId="8" borderId="1" applyAlignment="1" pivotButton="0" quotePrefix="0" xfId="0">
      <alignment horizontal="center" vertical="center" wrapText="1"/>
    </xf>
    <xf numFmtId="3" fontId="14" fillId="8" borderId="1" applyAlignment="1" pivotButton="0" quotePrefix="0" xfId="0">
      <alignment horizontal="center" vertical="center" wrapText="1"/>
    </xf>
    <xf numFmtId="3" fontId="14" fillId="4" borderId="1" applyAlignment="1" pivotButton="0" quotePrefix="0" xfId="0">
      <alignment horizontal="center" vertical="center" wrapText="1"/>
    </xf>
    <xf numFmtId="164" fontId="20" fillId="7" borderId="1" applyAlignment="1" pivotButton="0" quotePrefix="0" xfId="0">
      <alignment horizontal="center" vertical="center" wrapText="1"/>
    </xf>
    <xf numFmtId="164" fontId="13" fillId="0" borderId="1" applyAlignment="1" pivotButton="0" quotePrefix="0" xfId="0">
      <alignment horizontal="center" vertical="center" wrapText="1"/>
    </xf>
    <xf numFmtId="0" fontId="14" fillId="13" borderId="1" applyAlignment="1" pivotButton="0" quotePrefix="0" xfId="0">
      <alignment horizontal="center" vertical="center" wrapText="1"/>
    </xf>
    <xf numFmtId="2" fontId="0" fillId="8" borderId="1" applyAlignment="1" pivotButton="0" quotePrefix="0" xfId="0">
      <alignment horizontal="center" vertical="center" wrapText="1"/>
    </xf>
    <xf numFmtId="9" fontId="14" fillId="0" borderId="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right"/>
    </xf>
    <xf numFmtId="2" fontId="4" fillId="5" borderId="1" applyAlignment="1" pivotButton="0" quotePrefix="0" xfId="0">
      <alignment horizontal="center" vertical="center" wrapText="1"/>
    </xf>
    <xf numFmtId="0" fontId="21" fillId="9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vertical="top" wrapText="1"/>
    </xf>
    <xf numFmtId="0" fontId="13" fillId="5" borderId="1" applyAlignment="1" pivotButton="0" quotePrefix="0" xfId="0">
      <alignment vertical="top" wrapText="1"/>
    </xf>
    <xf numFmtId="0" fontId="14" fillId="6" borderId="1" applyAlignment="1" pivotButton="0" quotePrefix="0" xfId="0">
      <alignment vertical="top" wrapText="1"/>
    </xf>
    <xf numFmtId="0" fontId="22" fillId="0" borderId="0" pivotButton="0" quotePrefix="0" xfId="0"/>
    <xf numFmtId="0" fontId="13" fillId="0" borderId="0" applyAlignment="1" pivotButton="0" quotePrefix="0" xfId="0">
      <alignment vertical="top" wrapText="1"/>
    </xf>
    <xf numFmtId="0" fontId="22" fillId="0" borderId="1" applyAlignment="1" pivotButton="0" quotePrefix="0" xfId="0">
      <alignment horizontal="left" vertical="center" wrapText="1"/>
    </xf>
    <xf numFmtId="0" fontId="22" fillId="6" borderId="1" applyAlignment="1" pivotButton="0" quotePrefix="0" xfId="0">
      <alignment horizontal="left" vertical="center" wrapText="1"/>
    </xf>
    <xf numFmtId="0" fontId="22" fillId="4" borderId="1" applyAlignment="1" pivotButton="0" quotePrefix="0" xfId="0">
      <alignment horizontal="left" vertical="center" wrapText="1"/>
    </xf>
    <xf numFmtId="0" fontId="23" fillId="0" borderId="0" applyAlignment="1" pivotButton="0" quotePrefix="0" xfId="0">
      <alignment horizontal="right"/>
    </xf>
    <xf numFmtId="0" fontId="11" fillId="9" borderId="0" applyAlignment="1" pivotButton="0" quotePrefix="0" xfId="0">
      <alignment horizontal="left" vertical="center" wrapText="1"/>
    </xf>
    <xf numFmtId="0" fontId="14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14" fillId="6" borderId="1" applyAlignment="1" pivotButton="0" quotePrefix="0" xfId="0">
      <alignment horizontal="center" vertical="center" wrapText="1"/>
    </xf>
    <xf numFmtId="0" fontId="24" fillId="6" borderId="1" applyAlignment="1" pivotButton="0" quotePrefix="0" xfId="0">
      <alignment vertical="top" wrapText="1"/>
    </xf>
    <xf numFmtId="0" fontId="10" fillId="0" borderId="0" applyAlignment="1" pivotButton="0" quotePrefix="0" xfId="0">
      <alignment horizontal="left" vertical="center"/>
    </xf>
    <xf numFmtId="0" fontId="11" fillId="9" borderId="0" applyAlignment="1" pivotButton="0" quotePrefix="0" xfId="0">
      <alignment horizontal="left" vertical="center" indent="1"/>
    </xf>
    <xf numFmtId="0" fontId="13" fillId="0" borderId="1" applyAlignment="1" pivotButton="0" quotePrefix="0" xfId="0">
      <alignment horizontal="left" vertical="center" wrapText="1"/>
    </xf>
    <xf numFmtId="165" fontId="13" fillId="0" borderId="1" applyAlignment="1" pivotButton="0" quotePrefix="0" xfId="0">
      <alignment horizontal="center" vertical="center" wrapText="1"/>
    </xf>
    <xf numFmtId="164" fontId="14" fillId="6" borderId="1" applyAlignment="1" pivotButton="0" quotePrefix="0" xfId="0">
      <alignment horizontal="center" vertical="center" wrapText="1"/>
    </xf>
    <xf numFmtId="3" fontId="13" fillId="0" borderId="1" applyAlignment="1" pivotButton="0" quotePrefix="0" xfId="0">
      <alignment horizontal="center" vertical="center" wrapText="1"/>
    </xf>
    <xf numFmtId="167" fontId="14" fillId="0" borderId="1" applyAlignment="1" pivotButton="0" quotePrefix="0" xfId="0">
      <alignment horizontal="center" vertical="center" wrapText="1"/>
    </xf>
    <xf numFmtId="167" fontId="13" fillId="0" borderId="1" applyAlignment="1" pivotButton="0" quotePrefix="0" xfId="0">
      <alignment horizontal="center" vertical="center" wrapText="1"/>
    </xf>
    <xf numFmtId="0" fontId="14" fillId="5" borderId="1" applyAlignment="1" pivotButton="0" quotePrefix="0" xfId="0">
      <alignment horizontal="left" vertical="center" wrapText="1"/>
    </xf>
    <xf numFmtId="0" fontId="25" fillId="2" borderId="0" applyAlignment="1" pivotButton="0" quotePrefix="0" xfId="0">
      <alignment horizontal="center" vertical="center" wrapText="1"/>
    </xf>
    <xf numFmtId="0" fontId="26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27" fillId="7" borderId="6" applyAlignment="1" pivotButton="0" quotePrefix="0" xfId="0">
      <alignment horizontal="center" vertical="center" wrapText="1"/>
    </xf>
    <xf numFmtId="0" fontId="27" fillId="9" borderId="6" applyAlignment="1" pivotButton="0" quotePrefix="0" xfId="0">
      <alignment horizontal="center" vertical="center" wrapText="1"/>
    </xf>
    <xf numFmtId="0" fontId="27" fillId="3" borderId="6" applyAlignment="1" pivotButton="0" quotePrefix="0" xfId="0">
      <alignment horizontal="center" vertical="center" wrapText="1"/>
    </xf>
    <xf numFmtId="0" fontId="27" fillId="14" borderId="6" applyAlignment="1" pivotButton="0" quotePrefix="0" xfId="0">
      <alignment horizontal="center" vertical="center" wrapText="1"/>
    </xf>
    <xf numFmtId="0" fontId="27" fillId="15" borderId="6" applyAlignment="1" pivotButton="0" quotePrefix="0" xfId="0">
      <alignment horizontal="center" vertical="center" wrapText="1"/>
    </xf>
    <xf numFmtId="0" fontId="27" fillId="2" borderId="6" applyAlignment="1" pivotButton="0" quotePrefix="0" xfId="0">
      <alignment horizontal="center" vertical="center" wrapText="1"/>
    </xf>
    <xf numFmtId="0" fontId="15" fillId="6" borderId="1" applyAlignment="1" pivotButton="0" quotePrefix="0" xfId="0">
      <alignment horizontal="left" vertical="center" wrapText="1"/>
    </xf>
    <xf numFmtId="0" fontId="22" fillId="14" borderId="1" applyAlignment="1" pivotButton="0" quotePrefix="0" xfId="0">
      <alignment horizontal="left" vertical="center" wrapText="1"/>
    </xf>
    <xf numFmtId="0" fontId="0" fillId="0" borderId="9" pivotButton="0" quotePrefix="0" xfId="0"/>
    <xf numFmtId="0" fontId="19" fillId="13" borderId="1" applyAlignment="1" applyProtection="1" pivotButton="0" quotePrefix="0" xfId="0">
      <alignment horizontal="center" vertical="center" wrapText="1"/>
      <protection locked="0" hidden="0"/>
    </xf>
    <xf numFmtId="0" fontId="28" fillId="0" borderId="0" pivotButton="0" quotePrefix="0" xfId="0"/>
    <xf numFmtId="0" fontId="29" fillId="13" borderId="1" applyAlignment="1" applyProtection="1" pivotButton="0" quotePrefix="0" xfId="0">
      <alignment horizontal="center"/>
      <protection locked="0" hidden="0"/>
    </xf>
    <xf numFmtId="0" fontId="30" fillId="0" borderId="0" pivotButton="0" quotePrefix="0" xfId="0"/>
    <xf numFmtId="164" fontId="14" fillId="13" borderId="1" applyAlignment="1" applyProtection="1" pivotButton="0" quotePrefix="0" xfId="0">
      <alignment horizontal="center" vertical="center" wrapText="1"/>
      <protection locked="0" hidden="0"/>
    </xf>
    <xf numFmtId="164" fontId="31" fillId="6" borderId="1" applyAlignment="1" pivotButton="0" quotePrefix="0" xfId="0">
      <alignment horizontal="center"/>
    </xf>
    <xf numFmtId="9" fontId="14" fillId="13" borderId="1" applyAlignment="1" applyProtection="1" pivotButton="0" quotePrefix="0" xfId="0">
      <alignment horizontal="center" vertical="center" wrapText="1"/>
      <protection locked="0" hidden="0"/>
    </xf>
    <xf numFmtId="1" fontId="14" fillId="13" borderId="1" applyAlignment="1" applyProtection="1" pivotButton="0" quotePrefix="0" xfId="0">
      <alignment horizontal="center" vertical="center" wrapText="1"/>
      <protection locked="0" hidden="0"/>
    </xf>
    <xf numFmtId="3" fontId="14" fillId="13" borderId="1" applyAlignment="1" applyProtection="1" pivotButton="0" quotePrefix="0" xfId="0">
      <alignment horizontal="center" vertical="center" wrapText="1"/>
      <protection locked="0" hidden="0"/>
    </xf>
    <xf numFmtId="166" fontId="14" fillId="13" borderId="1" applyAlignment="1" applyProtection="1" pivotButton="0" quotePrefix="0" xfId="0">
      <alignment horizontal="center" vertical="center" wrapText="1"/>
      <protection locked="0" hidden="0"/>
    </xf>
    <xf numFmtId="167" fontId="14" fillId="13" borderId="1" applyAlignment="1" applyProtection="1" pivotButton="0" quotePrefix="0" xfId="0">
      <alignment horizontal="center" vertical="center" wrapText="1"/>
      <protection locked="0" hidden="0"/>
    </xf>
    <xf numFmtId="0" fontId="18" fillId="0" borderId="0" pivotButton="0" quotePrefix="0" xfId="0"/>
    <xf numFmtId="0" fontId="32" fillId="0" borderId="1" applyAlignment="1" pivotButton="0" quotePrefix="0" xfId="0">
      <alignment vertical="top" wrapText="1"/>
    </xf>
    <xf numFmtId="0" fontId="32" fillId="6" borderId="1" applyAlignment="1" pivotButton="0" quotePrefix="0" xfId="0">
      <alignment vertical="top" wrapText="1"/>
    </xf>
    <xf numFmtId="0" fontId="33" fillId="2" borderId="0" applyAlignment="1" pivotButton="0" quotePrefix="0" xfId="0">
      <alignment horizontal="center" vertical="center" wrapText="1"/>
    </xf>
    <xf numFmtId="0" fontId="27" fillId="9" borderId="0" applyAlignment="1" pivotButton="0" quotePrefix="0" xfId="0">
      <alignment horizontal="center" vertical="center" wrapText="1"/>
    </xf>
    <xf numFmtId="0" fontId="11" fillId="7" borderId="0" applyAlignment="1" pivotButton="0" quotePrefix="0" xfId="0">
      <alignment horizontal="left" vertical="center" wrapText="1"/>
    </xf>
    <xf numFmtId="0" fontId="31" fillId="0" borderId="0" applyAlignment="1" pivotButton="0" quotePrefix="0" xfId="0">
      <alignment vertical="top" wrapText="1"/>
    </xf>
    <xf numFmtId="0" fontId="11" fillId="11" borderId="0" applyAlignment="1" pivotButton="0" quotePrefix="0" xfId="0">
      <alignment horizontal="left" vertical="center" wrapText="1"/>
    </xf>
    <xf numFmtId="0" fontId="11" fillId="16" borderId="0" applyAlignment="1" pivotButton="0" quotePrefix="0" xfId="0">
      <alignment horizontal="left" vertical="center" wrapText="1"/>
    </xf>
    <xf numFmtId="0" fontId="18" fillId="0" borderId="0" applyAlignment="1" pivotButton="0" quotePrefix="0" xfId="0">
      <alignment horizontal="left" vertical="center" wrapText="1"/>
    </xf>
    <xf numFmtId="0" fontId="34" fillId="2" borderId="0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left" vertical="center" wrapText="1"/>
    </xf>
    <xf numFmtId="0" fontId="15" fillId="4" borderId="1" applyAlignment="1" pivotButton="0" quotePrefix="0" xfId="0">
      <alignment horizontal="left" vertical="center" wrapText="1"/>
    </xf>
    <xf numFmtId="0" fontId="29" fillId="0" borderId="0" pivotButton="0" quotePrefix="0" xfId="0"/>
    <xf numFmtId="0" fontId="20" fillId="2" borderId="1" applyAlignment="1" pivotButton="0" quotePrefix="0" xfId="0">
      <alignment horizontal="center" vertical="center" wrapText="1"/>
    </xf>
    <xf numFmtId="0" fontId="14" fillId="4" borderId="1" applyAlignment="1" pivotButton="0" quotePrefix="0" xfId="0">
      <alignment horizontal="center" vertical="center" wrapText="1"/>
    </xf>
    <xf numFmtId="0" fontId="14" fillId="12" borderId="1" applyAlignment="1" pivotButton="0" quotePrefix="0" xfId="0">
      <alignment horizontal="center" vertical="center" wrapText="1"/>
    </xf>
    <xf numFmtId="0" fontId="14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styles" Target="styles.xml" Id="rId39" /><Relationship Type="http://schemas.openxmlformats.org/officeDocument/2006/relationships/theme" Target="theme/theme1.xml" Id="rId4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Category Sizes (US, $B)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'Dashboard'!B71</f>
            </strRef>
          </tx>
          <spPr>
            <a:ln>
              <a:prstDash val="solid"/>
            </a:ln>
          </spPr>
          <cat>
            <numRef>
              <f>'Dashboard'!$A$72:$A$77</f>
            </numRef>
          </cat>
          <val>
            <numRef>
              <f>'Dashboard'!$B$72:$B$77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Trajectory ($M)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'Dashboard'!F71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'Dashboard'!$E$72:$E$76</f>
            </numRef>
          </cat>
          <val>
            <numRef>
              <f>'Dashboard'!$F$72:$F$76</f>
            </numRef>
          </val>
        </ser>
        <ser>
          <idx val="1"/>
          <order val="1"/>
          <tx>
            <strRef>
              <f>'Dashboard'!G71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'Dashboard'!$E$72:$E$76</f>
            </numRef>
          </cat>
          <val>
            <numRef>
              <f>'Dashboard'!$G$72:$G$76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Modern Soda Share '24 (%)</a:t>
            </a:r>
          </a:p>
        </rich>
      </tx>
    </title>
    <plotArea>
      <pieChart>
        <varyColors val="1"/>
        <ser>
          <idx val="0"/>
          <order val="0"/>
          <tx>
            <strRef>
              <f>'Dashboard'!J71</f>
            </strRef>
          </tx>
          <spPr>
            <a:ln>
              <a:prstDash val="solid"/>
            </a:ln>
          </spPr>
          <cat>
            <numRef>
              <f>'Dashboard'!$I$72:$I$77</f>
            </numRef>
          </cat>
          <val>
            <numRef>
              <f>'Dashboard'!$J$72:$J$77</f>
            </numRef>
          </val>
        </ser>
        <dLbls>
          <showVal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Weighted Competitive Score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'Dashboard'!N71</f>
            </strRef>
          </tx>
          <spPr>
            <a:ln>
              <a:prstDash val="solid"/>
            </a:ln>
          </spPr>
          <cat>
            <numRef>
              <f>'Dashboard'!$M$72:$M$78</f>
            </numRef>
          </cat>
          <val>
            <numRef>
              <f>'Dashboard'!$N$72:$N$78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MUV Scenario P&amp;L — Net Rev &amp; EBITDA (CAD)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'Financial Model'!B36</f>
            </strRef>
          </tx>
          <spPr>
            <a:ln>
              <a:prstDash val="solid"/>
            </a:ln>
          </spPr>
          <cat>
            <numRef>
              <f>'Financial Model'!$C$32:$E$32</f>
            </numRef>
          </cat>
          <val>
            <numRef>
              <f>'Financial Model'!$C$36:$E$36</f>
            </numRef>
          </val>
        </ser>
        <ser>
          <idx val="1"/>
          <order val="1"/>
          <tx>
            <strRef>
              <f>'Financial Model'!B43</f>
            </strRef>
          </tx>
          <spPr>
            <a:ln>
              <a:prstDash val="solid"/>
            </a:ln>
          </spPr>
          <cat>
            <numRef>
              <f>'Financial Model'!$C$32:$E$32</f>
            </numRef>
          </cat>
          <val>
            <numRef>
              <f>'Financial Model'!$C$43:$E$43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Year-3 Net Revenue vs EBITDA by Scenario (CAD)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'Scenario Comparison'!B18</f>
            </strRef>
          </tx>
          <spPr>
            <a:ln>
              <a:prstDash val="solid"/>
            </a:ln>
          </spPr>
          <cat>
            <numRef>
              <f>'Scenario Comparison'!$A$19:$A$21</f>
            </numRef>
          </cat>
          <val>
            <numRef>
              <f>'Scenario Comparison'!$B$19:$B$21</f>
            </numRef>
          </val>
        </ser>
        <ser>
          <idx val="1"/>
          <order val="1"/>
          <tx>
            <strRef>
              <f>'Scenario Comparison'!C18</f>
            </strRef>
          </tx>
          <spPr>
            <a:ln>
              <a:prstDash val="solid"/>
            </a:ln>
          </spPr>
          <cat>
            <numRef>
              <f>'Scenario Comparison'!$A$19:$A$21</f>
            </numRef>
          </cat>
          <val>
            <numRef>
              <f>'Scenario Comparison'!$C$19:$C$21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Break-even units by scenario (Yr-1 cost load ÷ contribution/can)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'Scenario Comparison'!B38</f>
            </strRef>
          </tx>
          <spPr>
            <a:ln>
              <a:prstDash val="solid"/>
            </a:ln>
          </spPr>
          <cat>
            <numRef>
              <f>'Scenario Comparison'!$A$39:$A$41</f>
            </numRef>
          </cat>
          <val>
            <numRef>
              <f>'Scenario Comparison'!$B$39:$B$41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Electrolyte positioning — Sodium (mg) vs Price/serving</a:t>
            </a:r>
          </a:p>
        </rich>
      </tx>
    </title>
    <plotArea>
      <scatterChart>
        <ser>
          <idx val="0"/>
          <order val="0"/>
          <tx>
            <v>LMNT</v>
          </tx>
          <spPr>
            <a:ln>
              <a:noFill/>
              <a:prstDash val="solid"/>
            </a:ln>
          </spPr>
          <marker>
            <symbol val="circle"/>
            <size val="9"/>
            <spPr>
              <a:ln>
                <a:prstDash val="solid"/>
              </a:ln>
            </spPr>
          </marker>
          <xVal>
            <numRef>
              <f>'MÜV Peer Set'!$B$27</f>
            </numRef>
          </xVal>
          <yVal>
            <numRef>
              <f>'MÜV Peer Set'!$C$27</f>
            </numRef>
          </yVal>
        </ser>
        <ser>
          <idx val="1"/>
          <order val="1"/>
          <tx>
            <v>Liquid I.V.</v>
          </tx>
          <spPr>
            <a:ln>
              <a:noFill/>
              <a:prstDash val="solid"/>
            </a:ln>
          </spPr>
          <marker>
            <symbol val="circle"/>
            <size val="9"/>
            <spPr>
              <a:ln>
                <a:prstDash val="solid"/>
              </a:ln>
            </spPr>
          </marker>
          <xVal>
            <numRef>
              <f>'MÜV Peer Set'!$B$28</f>
            </numRef>
          </xVal>
          <yVal>
            <numRef>
              <f>'MÜV Peer Set'!$C$28</f>
            </numRef>
          </yVal>
        </ser>
        <ser>
          <idx val="2"/>
          <order val="2"/>
          <tx>
            <v>Nuun</v>
          </tx>
          <spPr>
            <a:ln>
              <a:noFill/>
              <a:prstDash val="solid"/>
            </a:ln>
          </spPr>
          <marker>
            <symbol val="circle"/>
            <size val="9"/>
            <spPr>
              <a:ln>
                <a:prstDash val="solid"/>
              </a:ln>
            </spPr>
          </marker>
          <xVal>
            <numRef>
              <f>'MÜV Peer Set'!$B$29</f>
            </numRef>
          </xVal>
          <yVal>
            <numRef>
              <f>'MÜV Peer Set'!$C$29</f>
            </numRef>
          </yVal>
        </ser>
        <ser>
          <idx val="3"/>
          <order val="3"/>
          <tx>
            <v>Organika sachets</v>
          </tx>
          <spPr>
            <a:ln>
              <a:noFill/>
              <a:prstDash val="solid"/>
            </a:ln>
          </spPr>
          <marker>
            <symbol val="circle"/>
            <size val="9"/>
            <spPr>
              <a:ln>
                <a:prstDash val="solid"/>
              </a:ln>
            </spPr>
          </marker>
          <xVal>
            <numRef>
              <f>'MÜV Peer Set'!$B$30</f>
            </numRef>
          </xVal>
          <yVal>
            <numRef>
              <f>'MÜV Peer Set'!$C$30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Sodium mg/serving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Price/serving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MÜV model</author>
  </authors>
  <commentList>
    <comment ref="C4" authorId="0" shapeId="0">
      <text>
        <t>Pick Conservative / Base / Aggressive. The whole P&amp;L, break-even and sensitivity recompute from this one cell.</t>
      </text>
    </comment>
    <comment ref="C8" authorId="0" shapeId="0">
      <text>
        <t>Shelf price per can. Edit per scenario in cols C/D/E.</t>
      </text>
    </comment>
    <comment ref="C9" authorId="0" shapeId="0">
      <text>
        <t>All-in cost/can (liquid+can+co-pack). Remember freight/duty are extra.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6.xml" Id="rId1" /><Relationship Type="http://schemas.openxmlformats.org/officeDocument/2006/relationships/chart" Target="/xl/charts/chart7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8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7</row>
      <rowOff>0</rowOff>
    </from>
    <ext cx="504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7</row>
      <rowOff>0</rowOff>
    </from>
    <ext cx="504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22</row>
      <rowOff>0</rowOff>
    </from>
    <ext cx="3600000" cy="25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4</col>
      <colOff>0</colOff>
      <row>22</row>
      <rowOff>0</rowOff>
    </from>
    <ext cx="5040000" cy="252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22</row>
      <rowOff>0</rowOff>
    </from>
    <ext cx="5040000" cy="252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3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24</row>
      <rowOff>0</rowOff>
    </from>
    <ext cx="576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02 Executive Summary'!A1" TargetMode="External" Id="rId1" /><Relationship Type="http://schemas.openxmlformats.org/officeDocument/2006/relationships/hyperlink" Target="#'20 GTM Recommendation'!A1" TargetMode="External" Id="rId2" /><Relationship Type="http://schemas.openxmlformats.org/officeDocument/2006/relationships/hyperlink" Target="#'Go-NoGo Decision'!A1" TargetMode="External" Id="rId3" /><Relationship Type="http://schemas.openxmlformats.org/officeDocument/2006/relationships/hyperlink" Target="#'Dashboard'!A1" TargetMode="External" Id="rId4" /><Relationship Type="http://schemas.openxmlformats.org/officeDocument/2006/relationships/hyperlink" Target="#'Financial Model'!A1" TargetMode="External" Id="rId5" /><Relationship Type="http://schemas.openxmlformats.org/officeDocument/2006/relationships/hyperlink" Target="#'Scenario Comparison'!A1" TargetMode="External" Id="rId6" /><Relationship Type="http://schemas.openxmlformats.org/officeDocument/2006/relationships/hyperlink" Target="#'M&#220;V Peer Set'!A1" TargetMode="External" Id="rId7" /><Relationship Type="http://schemas.openxmlformats.org/officeDocument/2006/relationships/hyperlink" Target="#'07 Comparison Matrix'!A1" TargetMode="External" Id="rId8" /><Relationship Type="http://schemas.openxmlformats.org/officeDocument/2006/relationships/hyperlink" Target="#'08 Extended Landscape'!A1" TargetMode="External" Id="rId9" /><Relationship Type="http://schemas.openxmlformats.org/officeDocument/2006/relationships/hyperlink" Target="#'Canada Regulatory v2'!A1" TargetMode="External" Id="rId10" /><Relationship Type="http://schemas.openxmlformats.org/officeDocument/2006/relationships/hyperlink" Target="#'Electrolyte BFY Deep-Dive'!A1" TargetMode="External" Id="rId11" /><Relationship Type="http://schemas.openxmlformats.org/officeDocument/2006/relationships/hyperlink" Target="#'18 Canada Market'!A1" TargetMode="External" Id="rId12" /><Relationship Type="http://schemas.openxmlformats.org/officeDocument/2006/relationships/hyperlink" Target="#'Verification Log'!A1" TargetMode="External" Id="rId13" /><Relationship Type="http://schemas.openxmlformats.org/officeDocument/2006/relationships/hyperlink" Target="#'24 Sources'!A1" TargetMode="External" Id="rId14" /><Relationship Type="http://schemas.openxmlformats.org/officeDocument/2006/relationships/hyperlink" Target="#'01 Contents'!A1" TargetMode="External" Id="rId15" /></Relationships>
</file>

<file path=xl/worksheets/_rels/sheet2.xml.rels><Relationships xmlns="http://schemas.openxmlformats.org/package/2006/relationships"><Relationship Type="http://schemas.openxmlformats.org/officeDocument/2006/relationships/hyperlink" Target="#'&#127968; Start Here'!A1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#'&#127968; Start Here'!A1" TargetMode="External" Id="rId1" /><Relationship Type="http://schemas.openxmlformats.org/officeDocument/2006/relationships/hyperlink" Target="#'Dashboard'!A1" TargetMode="External" Id="rId2" /><Relationship Type="http://schemas.openxmlformats.org/officeDocument/2006/relationships/hyperlink" Target="#'Financial Model'!A1" TargetMode="External" Id="rId3" /><Relationship Type="http://schemas.openxmlformats.org/officeDocument/2006/relationships/hyperlink" Target="#'Go-NoGo Decision'!A1" TargetMode="External" Id="rId4" /><Relationship Type="http://schemas.openxmlformats.org/officeDocument/2006/relationships/hyperlink" Target="#'Battlecards'!A1" TargetMode="External" Id="rId5" /><Relationship Type="http://schemas.openxmlformats.org/officeDocument/2006/relationships/hyperlink" Target="#'01 Contents'!A1" TargetMode="External" Id="rId6" /></Relationships>
</file>

<file path=xl/worksheets/_rels/sheet4.xml.rels><Relationships xmlns="http://schemas.openxmlformats.org/package/2006/relationships"><Relationship Type="http://schemas.openxmlformats.org/officeDocument/2006/relationships/hyperlink" Target="#'&#127968; Start Here'!A1" TargetMode="External" Id="rId1" /><Relationship Type="http://schemas.openxmlformats.org/officeDocument/2006/relationships/hyperlink" Target="#'00 Cover'!A1" TargetMode="External" Id="rId2" /><Relationship Type="http://schemas.openxmlformats.org/officeDocument/2006/relationships/hyperlink" Target="#'01 Contents'!A1" TargetMode="External" Id="rId3" /><Relationship Type="http://schemas.openxmlformats.org/officeDocument/2006/relationships/hyperlink" Target="#'02 Executive Summary'!A1" TargetMode="External" Id="rId4" /><Relationship Type="http://schemas.openxmlformats.org/officeDocument/2006/relationships/hyperlink" Target="#'Dashboard'!A1" TargetMode="External" Id="rId5" /><Relationship Type="http://schemas.openxmlformats.org/officeDocument/2006/relationships/hyperlink" Target="#'Financial Model'!A1" TargetMode="External" Id="rId6" /><Relationship Type="http://schemas.openxmlformats.org/officeDocument/2006/relationships/hyperlink" Target="#'03 Methodology'!A1" TargetMode="External" Id="rId7" /><Relationship Type="http://schemas.openxmlformats.org/officeDocument/2006/relationships/hyperlink" Target="#'04 Market Sizing'!A1" TargetMode="External" Id="rId8" /><Relationship Type="http://schemas.openxmlformats.org/officeDocument/2006/relationships/hyperlink" Target="#'05 Trends &amp; Macro'!A1" TargetMode="External" Id="rId9" /><Relationship Type="http://schemas.openxmlformats.org/officeDocument/2006/relationships/hyperlink" Target="#'06 Consumer'!A1" TargetMode="External" Id="rId10" /><Relationship Type="http://schemas.openxmlformats.org/officeDocument/2006/relationships/hyperlink" Target="#'07 Comparison Matrix'!A1" TargetMode="External" Id="rId11" /><Relationship Type="http://schemas.openxmlformats.org/officeDocument/2006/relationships/hyperlink" Target="#'08 Extended Landscape'!A1" TargetMode="External" Id="rId12" /><Relationship Type="http://schemas.openxmlformats.org/officeDocument/2006/relationships/hyperlink" Target="#'09 Channel &amp; Retail'!A1" TargetMode="External" Id="rId13" /><Relationship Type="http://schemas.openxmlformats.org/officeDocument/2006/relationships/hyperlink" Target="#'10 Channel Economics'!A1" TargetMode="External" Id="rId14" /><Relationship Type="http://schemas.openxmlformats.org/officeDocument/2006/relationships/hyperlink" Target="#'11 Formulation'!A1" TargetMode="External" Id="rId15" /><Relationship Type="http://schemas.openxmlformats.org/officeDocument/2006/relationships/hyperlink" Target="#'12 Marketing'!A1" TargetMode="External" Id="rId16" /><Relationship Type="http://schemas.openxmlformats.org/officeDocument/2006/relationships/hyperlink" Target="#'13 Launch Playbooks'!A1" TargetMode="External" Id="rId17" /><Relationship Type="http://schemas.openxmlformats.org/officeDocument/2006/relationships/hyperlink" Target="#'14 Patterns &amp; Failures'!A1" TargetMode="External" Id="rId18" /><Relationship Type="http://schemas.openxmlformats.org/officeDocument/2006/relationships/hyperlink" Target="#'15 Outcomes &amp; M&amp;A'!A1" TargetMode="External" Id="rId19" /><Relationship Type="http://schemas.openxmlformats.org/officeDocument/2006/relationships/hyperlink" Target="#'16 SWOT'!A1" TargetMode="External" Id="rId20" /><Relationship Type="http://schemas.openxmlformats.org/officeDocument/2006/relationships/hyperlink" Target="#'17 Scoring Model'!A1" TargetMode="External" Id="rId21" /><Relationship Type="http://schemas.openxmlformats.org/officeDocument/2006/relationships/hyperlink" Target="#'18 Canada Market'!A1" TargetMode="External" Id="rId22" /><Relationship Type="http://schemas.openxmlformats.org/officeDocument/2006/relationships/hyperlink" Target="#'19 Canada Regulatory'!A1" TargetMode="External" Id="rId23" /><Relationship Type="http://schemas.openxmlformats.org/officeDocument/2006/relationships/hyperlink" Target="#'20 GTM Recommendation'!A1" TargetMode="External" Id="rId24" /><Relationship Type="http://schemas.openxmlformats.org/officeDocument/2006/relationships/hyperlink" Target="#'Go-NoGo Decision'!A1" TargetMode="External" Id="rId25" /><Relationship Type="http://schemas.openxmlformats.org/officeDocument/2006/relationships/hyperlink" Target="#'Battlecards'!A1" TargetMode="External" Id="rId26" /><Relationship Type="http://schemas.openxmlformats.org/officeDocument/2006/relationships/hyperlink" Target="#'21 Launch Plan'!A1" TargetMode="External" Id="rId27" /><Relationship Type="http://schemas.openxmlformats.org/officeDocument/2006/relationships/hyperlink" Target="#'22 Risk Register'!A1" TargetMode="External" Id="rId28" /><Relationship Type="http://schemas.openxmlformats.org/officeDocument/2006/relationships/hyperlink" Target="#'23 KPI Dashboard'!A1" TargetMode="External" Id="rId29" /><Relationship Type="http://schemas.openxmlformats.org/officeDocument/2006/relationships/hyperlink" Target="#'24 Sources'!A1" TargetMode="External" Id="rId30" /><Relationship Type="http://schemas.openxmlformats.org/officeDocument/2006/relationships/hyperlink" Target="#'25 Glossary'!A1" TargetMode="External" Id="rId31" /><Relationship Type="http://schemas.openxmlformats.org/officeDocument/2006/relationships/hyperlink" Target="#'Verification Log'!A1" TargetMode="External" Id="rId32" /><Relationship Type="http://schemas.openxmlformats.org/officeDocument/2006/relationships/hyperlink" Target="#'Electrolyte BFY Deep-Dive'!A1" TargetMode="External" Id="rId33" /><Relationship Type="http://schemas.openxmlformats.org/officeDocument/2006/relationships/hyperlink" Target="#'Canada Regulatory v2'!A1" TargetMode="External" Id="rId34" /><Relationship Type="http://schemas.openxmlformats.org/officeDocument/2006/relationships/hyperlink" Target="#'M&#220;V Peer Set'!A1" TargetMode="External" Id="rId35" /><Relationship Type="http://schemas.openxmlformats.org/officeDocument/2006/relationships/hyperlink" Target="#'Scenario Comparison'!A1" TargetMode="External" Id="rId36" /><Relationship Type="http://schemas.openxmlformats.org/officeDocument/2006/relationships/hyperlink" Target="#'&#127968; Start Here'!A1" TargetMode="External" Id="rId37" /><Relationship Type="http://schemas.openxmlformats.org/officeDocument/2006/relationships/hyperlink" Target="#'Executive Brief 1-page'!A1" TargetMode="External" Id="rId38" /><Relationship Type="http://schemas.openxmlformats.org/officeDocument/2006/relationships/hyperlink" Target="#'Assumptions Audit'!A1" TargetMode="External" Id="rId39" /></Relationships>
</file>

<file path=xl/worksheets/_rels/sheet5.xml.rels><Relationships xmlns="http://schemas.openxmlformats.org/package/2006/relationships"><Relationship Type="http://schemas.openxmlformats.org/officeDocument/2006/relationships/hyperlink" Target="#'&#127968; Start Here'!A1" TargetMode="External" Id="rId1" /><Relationship Type="http://schemas.openxmlformats.org/officeDocument/2006/relationships/hyperlink" Target="#'01 Contents'!A1" TargetMode="External" Id="rId2" /></Relationships>
</file>

<file path=xl/worksheets/_rels/sheet6.xml.rels><Relationships xmlns="http://schemas.openxmlformats.org/package/2006/relationships"><Relationship Type="http://schemas.openxmlformats.org/officeDocument/2006/relationships/hyperlink" Target="#'&#127968; Start Here'!A1" TargetMode="External" Id="rId1" /><Relationship Type="http://schemas.openxmlformats.org/officeDocument/2006/relationships/hyperlink" Target="#'01 Contents'!A1" TargetMode="External" Id="rId2" /><Relationship Type="http://schemas.openxmlformats.org/officeDocument/2006/relationships/drawing" Target="/xl/drawings/drawing1.xml" Id="rId3" /></Relationships>
</file>

<file path=xl/worksheets/_rels/sheet7.xml.rels><Relationships xmlns="http://schemas.openxmlformats.org/package/2006/relationships"><Relationship Type="http://schemas.openxmlformats.org/officeDocument/2006/relationships/hyperlink" Target="#'&#127968; Start Here'!A1" TargetMode="External" Id="rId1" /><Relationship Type="http://schemas.openxmlformats.org/officeDocument/2006/relationships/hyperlink" Target="#'01 Contents'!A1" TargetMode="External" Id="rId2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8.xml.rels><Relationships xmlns="http://schemas.openxmlformats.org/package/2006/relationships"><Relationship Type="http://schemas.openxmlformats.org/officeDocument/2006/relationships/hyperlink" Target="#'&#127968; Start Here'!A1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#'&#127968; Start Here'!A1" TargetMode="External" Id="rId1" /><Relationship Type="http://schemas.openxmlformats.org/officeDocument/2006/relationships/hyperlink" Target="#'01 Contents'!A1" TargetMode="External" Id="rId2" /><Relationship Type="http://schemas.openxmlformats.org/officeDocument/2006/relationships/drawing" Target="/xl/drawings/drawing2.xml" Id="rId3" /></Relationships>
</file>

<file path=xl/worksheets/_rels/sheet10.xml.rels><Relationships xmlns="http://schemas.openxmlformats.org/package/2006/relationships"><Relationship Type="http://schemas.openxmlformats.org/officeDocument/2006/relationships/hyperlink" Target="#'&#127968; Start Here'!A1" TargetMode="External" Id="rId1" /><Relationship Type="http://schemas.openxmlformats.org/officeDocument/2006/relationships/hyperlink" Target="#'01 Contents'!A1" TargetMode="External" Id="rId2" /></Relationships>
</file>

<file path=xl/worksheets/_rels/sheet11.xml.rels><Relationships xmlns="http://schemas.openxmlformats.org/package/2006/relationships"><Relationship Type="http://schemas.openxmlformats.org/officeDocument/2006/relationships/hyperlink" Target="#'&#127968; Start Here'!A1" TargetMode="External" Id="rId1" /><Relationship Type="http://schemas.openxmlformats.org/officeDocument/2006/relationships/hyperlink" Target="#'01 Contents'!A1" TargetMode="External" Id="rId2" /></Relationships>
</file>

<file path=xl/worksheets/_rels/sheet12.xml.rels><Relationships xmlns="http://schemas.openxmlformats.org/package/2006/relationships"><Relationship Type="http://schemas.openxmlformats.org/officeDocument/2006/relationships/hyperlink" Target="#'&#127968; Start Here'!A1" TargetMode="External" Id="rId1" /><Relationship Type="http://schemas.openxmlformats.org/officeDocument/2006/relationships/hyperlink" Target="#'01 Contents'!A1" TargetMode="External" Id="rId2" /></Relationships>
</file>

<file path=xl/worksheets/_rels/sheet13.xml.rels><Relationships xmlns="http://schemas.openxmlformats.org/package/2006/relationships"><Relationship Type="http://schemas.openxmlformats.org/officeDocument/2006/relationships/hyperlink" Target="#'&#127968; Start Here'!A1" TargetMode="External" Id="rId1" /><Relationship Type="http://schemas.openxmlformats.org/officeDocument/2006/relationships/hyperlink" Target="#'01 Contents'!A1" TargetMode="External" Id="rId2" /></Relationships>
</file>

<file path=xl/worksheets/_rels/sheet14.xml.rels><Relationships xmlns="http://schemas.openxmlformats.org/package/2006/relationships"><Relationship Type="http://schemas.openxmlformats.org/officeDocument/2006/relationships/hyperlink" Target="#'&#127968; Start Here'!A1" TargetMode="External" Id="rId1" /><Relationship Type="http://schemas.openxmlformats.org/officeDocument/2006/relationships/hyperlink" Target="#'01 Contents'!A1" TargetMode="External" Id="rId2" /></Relationships>
</file>

<file path=xl/worksheets/_rels/sheet15.xml.rels><Relationships xmlns="http://schemas.openxmlformats.org/package/2006/relationships"><Relationship Type="http://schemas.openxmlformats.org/officeDocument/2006/relationships/hyperlink" Target="#'&#127968; Start Here'!A1" TargetMode="External" Id="rId1" /><Relationship Type="http://schemas.openxmlformats.org/officeDocument/2006/relationships/hyperlink" Target="#'01 Contents'!A1" TargetMode="External" Id="rId2" /><Relationship Type="http://schemas.openxmlformats.org/officeDocument/2006/relationships/drawing" Target="/xl/drawings/drawing3.xml" Id="rId3" /></Relationships>
</file>

<file path=xl/worksheets/_rels/sheet16.xml.rels><Relationships xmlns="http://schemas.openxmlformats.org/package/2006/relationships"><Relationship Type="http://schemas.openxmlformats.org/officeDocument/2006/relationships/hyperlink" Target="#'&#127968; Start Here'!A1" TargetMode="External" Id="rId1" /><Relationship Type="http://schemas.openxmlformats.org/officeDocument/2006/relationships/hyperlink" Target="#'01 Contents'!A1" TargetMode="External" Id="rId2" /></Relationships>
</file>

<file path=xl/worksheets/_rels/sheet17.xml.rels><Relationships xmlns="http://schemas.openxmlformats.org/package/2006/relationships"><Relationship Type="http://schemas.openxmlformats.org/officeDocument/2006/relationships/hyperlink" Target="#'&#127968; Start Here'!A1" TargetMode="External" Id="rId1" /><Relationship Type="http://schemas.openxmlformats.org/officeDocument/2006/relationships/hyperlink" Target="#'01 Contents'!A1" TargetMode="External" Id="rId2" /></Relationships>
</file>

<file path=xl/worksheets/_rels/sheet18.xml.rels><Relationships xmlns="http://schemas.openxmlformats.org/package/2006/relationships"><Relationship Type="http://schemas.openxmlformats.org/officeDocument/2006/relationships/hyperlink" Target="#'&#127968; Start Here'!A1" TargetMode="External" Id="rId1" /><Relationship Type="http://schemas.openxmlformats.org/officeDocument/2006/relationships/hyperlink" Target="#'01 Contents'!A1" TargetMode="External" Id="rId2" /></Relationships>
</file>

<file path=xl/worksheets/_rels/sheet19.xml.rels><Relationships xmlns="http://schemas.openxmlformats.org/package/2006/relationships"><Relationship Type="http://schemas.openxmlformats.org/officeDocument/2006/relationships/hyperlink" Target="#'&#127968; Start Here'!A1" TargetMode="External" Id="rId1" /><Relationship Type="http://schemas.openxmlformats.org/officeDocument/2006/relationships/hyperlink" Target="#'01 Contents'!A1" TargetMode="External" Id="rId2" /></Relationships>
</file>

<file path=xl/worksheets/_rels/sheet20.xml.rels><Relationships xmlns="http://schemas.openxmlformats.org/package/2006/relationships"><Relationship Type="http://schemas.openxmlformats.org/officeDocument/2006/relationships/hyperlink" Target="#'&#127968; Start Here'!A1" TargetMode="External" Id="rId1" /><Relationship Type="http://schemas.openxmlformats.org/officeDocument/2006/relationships/hyperlink" Target="#'01 Contents'!A1" TargetMode="External" Id="rId2" /></Relationships>
</file>

<file path=xl/worksheets/_rels/sheet21.xml.rels><Relationships xmlns="http://schemas.openxmlformats.org/package/2006/relationships"><Relationship Type="http://schemas.openxmlformats.org/officeDocument/2006/relationships/hyperlink" Target="#'&#127968; Start Here'!A1" TargetMode="External" Id="rId1" /><Relationship Type="http://schemas.openxmlformats.org/officeDocument/2006/relationships/hyperlink" Target="#'01 Contents'!A1" TargetMode="External" Id="rId2" /></Relationships>
</file>

<file path=xl/worksheets/_rels/sheet22.xml.rels><Relationships xmlns="http://schemas.openxmlformats.org/package/2006/relationships"><Relationship Type="http://schemas.openxmlformats.org/officeDocument/2006/relationships/hyperlink" Target="#'&#127968; Start Here'!A1" TargetMode="External" Id="rId1" /><Relationship Type="http://schemas.openxmlformats.org/officeDocument/2006/relationships/hyperlink" Target="#'01 Contents'!A1" TargetMode="External" Id="rId2" /></Relationships>
</file>

<file path=xl/worksheets/_rels/sheet23.xml.rels><Relationships xmlns="http://schemas.openxmlformats.org/package/2006/relationships"><Relationship Type="http://schemas.openxmlformats.org/officeDocument/2006/relationships/hyperlink" Target="#'&#127968; Start Here'!A1" TargetMode="External" Id="rId1" /><Relationship Type="http://schemas.openxmlformats.org/officeDocument/2006/relationships/hyperlink" Target="#'01 Contents'!A1" TargetMode="External" Id="rId2" /></Relationships>
</file>

<file path=xl/worksheets/_rels/sheet24.xml.rels><Relationships xmlns="http://schemas.openxmlformats.org/package/2006/relationships"><Relationship Type="http://schemas.openxmlformats.org/officeDocument/2006/relationships/hyperlink" Target="#'&#127968; Start Here'!A1" TargetMode="External" Id="rId1" /><Relationship Type="http://schemas.openxmlformats.org/officeDocument/2006/relationships/hyperlink" Target="#'01 Contents'!A1" TargetMode="External" Id="rId2" /></Relationships>
</file>

<file path=xl/worksheets/_rels/sheet25.xml.rels><Relationships xmlns="http://schemas.openxmlformats.org/package/2006/relationships"><Relationship Type="http://schemas.openxmlformats.org/officeDocument/2006/relationships/hyperlink" Target="#'&#127968; Start Here'!A1" TargetMode="External" Id="rId1" /><Relationship Type="http://schemas.openxmlformats.org/officeDocument/2006/relationships/hyperlink" Target="#'01 Contents'!A1" TargetMode="External" Id="rId2" /></Relationships>
</file>

<file path=xl/worksheets/_rels/sheet26.xml.rels><Relationships xmlns="http://schemas.openxmlformats.org/package/2006/relationships"><Relationship Type="http://schemas.openxmlformats.org/officeDocument/2006/relationships/hyperlink" Target="#'&#127968; Start Here'!A1" TargetMode="External" Id="rId1" /><Relationship Type="http://schemas.openxmlformats.org/officeDocument/2006/relationships/hyperlink" Target="#'01 Contents'!A1" TargetMode="External" Id="rId2" /></Relationships>
</file>

<file path=xl/worksheets/_rels/sheet27.xml.rels><Relationships xmlns="http://schemas.openxmlformats.org/package/2006/relationships"><Relationship Type="http://schemas.openxmlformats.org/officeDocument/2006/relationships/hyperlink" Target="#'&#127968; Start Here'!A1" TargetMode="External" Id="rId1" /><Relationship Type="http://schemas.openxmlformats.org/officeDocument/2006/relationships/hyperlink" Target="#'01 Contents'!A1" TargetMode="External" Id="rId2" /></Relationships>
</file>

<file path=xl/worksheets/_rels/sheet28.xml.rels><Relationships xmlns="http://schemas.openxmlformats.org/package/2006/relationships"><Relationship Type="http://schemas.openxmlformats.org/officeDocument/2006/relationships/hyperlink" Target="#'&#127968; Start Here'!A1" TargetMode="External" Id="rId1" /><Relationship Type="http://schemas.openxmlformats.org/officeDocument/2006/relationships/hyperlink" Target="#'01 Contents'!A1" TargetMode="External" Id="rId2" /></Relationships>
</file>

<file path=xl/worksheets/_rels/sheet29.xml.rels><Relationships xmlns="http://schemas.openxmlformats.org/package/2006/relationships"><Relationship Type="http://schemas.openxmlformats.org/officeDocument/2006/relationships/hyperlink" Target="#'&#127968; Start Here'!A1" TargetMode="External" Id="rId1" /><Relationship Type="http://schemas.openxmlformats.org/officeDocument/2006/relationships/hyperlink" Target="#'01 Contents'!A1" TargetMode="External" Id="rId2" /></Relationships>
</file>

<file path=xl/worksheets/_rels/sheet30.xml.rels><Relationships xmlns="http://schemas.openxmlformats.org/package/2006/relationships"><Relationship Type="http://schemas.openxmlformats.org/officeDocument/2006/relationships/hyperlink" Target="#'&#127968; Start Here'!A1" TargetMode="External" Id="rId1" /><Relationship Type="http://schemas.openxmlformats.org/officeDocument/2006/relationships/hyperlink" Target="#'01 Contents'!A1" TargetMode="External" Id="rId2" /></Relationships>
</file>

<file path=xl/worksheets/_rels/sheet31.xml.rels><Relationships xmlns="http://schemas.openxmlformats.org/package/2006/relationships"><Relationship Type="http://schemas.openxmlformats.org/officeDocument/2006/relationships/hyperlink" Target="#'&#127968; Start Here'!A1" TargetMode="External" Id="rId1" /><Relationship Type="http://schemas.openxmlformats.org/officeDocument/2006/relationships/hyperlink" Target="#'01 Contents'!A1" TargetMode="External" Id="rId2" /></Relationships>
</file>

<file path=xl/worksheets/_rels/sheet32.xml.rels><Relationships xmlns="http://schemas.openxmlformats.org/package/2006/relationships"><Relationship Type="http://schemas.openxmlformats.org/officeDocument/2006/relationships/hyperlink" Target="#'&#127968; Start Here'!A1" TargetMode="External" Id="rId1" /><Relationship Type="http://schemas.openxmlformats.org/officeDocument/2006/relationships/hyperlink" Target="#'01 Contents'!A1" TargetMode="External" Id="rId2" /></Relationships>
</file>

<file path=xl/worksheets/_rels/sheet33.xml.rels><Relationships xmlns="http://schemas.openxmlformats.org/package/2006/relationships"><Relationship Type="http://schemas.openxmlformats.org/officeDocument/2006/relationships/hyperlink" Target="#'&#127968; Start Here'!A1" TargetMode="External" Id="rId1" /><Relationship Type="http://schemas.openxmlformats.org/officeDocument/2006/relationships/hyperlink" Target="#'01 Contents'!A1" TargetMode="External" Id="rId2" /></Relationships>
</file>

<file path=xl/worksheets/_rels/sheet34.xml.rels><Relationships xmlns="http://schemas.openxmlformats.org/package/2006/relationships"><Relationship Type="http://schemas.openxmlformats.org/officeDocument/2006/relationships/hyperlink" Target="#'&#127968; Start Here'!A1" TargetMode="External" Id="rId1" /><Relationship Type="http://schemas.openxmlformats.org/officeDocument/2006/relationships/hyperlink" Target="#'01 Contents'!A1" TargetMode="External" Id="rId2" /></Relationships>
</file>

<file path=xl/worksheets/_rels/sheet35.xml.rels><Relationships xmlns="http://schemas.openxmlformats.org/package/2006/relationships"><Relationship Type="http://schemas.openxmlformats.org/officeDocument/2006/relationships/hyperlink" Target="#'&#127968; Start Here'!A1" TargetMode="External" Id="rId1" /><Relationship Type="http://schemas.openxmlformats.org/officeDocument/2006/relationships/hyperlink" Target="#'01 Contents'!A1" TargetMode="External" Id="rId2" /></Relationships>
</file>

<file path=xl/worksheets/_rels/sheet36.xml.rels><Relationships xmlns="http://schemas.openxmlformats.org/package/2006/relationships"><Relationship Type="http://schemas.openxmlformats.org/officeDocument/2006/relationships/hyperlink" Target="#'&#127968; Start Here'!A1" TargetMode="External" Id="rId1" /><Relationship Type="http://schemas.openxmlformats.org/officeDocument/2006/relationships/hyperlink" Target="#'01 Contents'!A1" TargetMode="External" Id="rId2" /><Relationship Type="http://schemas.openxmlformats.org/officeDocument/2006/relationships/hyperlink" Target="https://pepsico.com/newsroom" TargetMode="External" Id="rId3" /><Relationship Type="http://schemas.openxmlformats.org/officeDocument/2006/relationships/hyperlink" Target="https://classaction.org" TargetMode="External" Id="rId4" /><Relationship Type="http://schemas.openxmlformats.org/officeDocument/2006/relationships/hyperlink" Target="https://cnbc.com" TargetMode="External" Id="rId5" /><Relationship Type="http://schemas.openxmlformats.org/officeDocument/2006/relationships/hyperlink" Target="https://liquid-iv.com" TargetMode="External" Id="rId6" /><Relationship Type="http://schemas.openxmlformats.org/officeDocument/2006/relationships/hyperlink" Target="https://nestle.com" TargetMode="External" Id="rId7" /><Relationship Type="http://schemas.openxmlformats.org/officeDocument/2006/relationships/hyperlink" Target="https://fooddive.com" TargetMode="External" Id="rId8" /><Relationship Type="http://schemas.openxmlformats.org/officeDocument/2006/relationships/hyperlink" Target="https://bevnet.com" TargetMode="External" Id="rId9" /><Relationship Type="http://schemas.openxmlformats.org/officeDocument/2006/relationships/hyperlink" Target="https://fooddive.com" TargetMode="External" Id="rId10" /><Relationship Type="http://schemas.openxmlformats.org/officeDocument/2006/relationships/hyperlink" Target="https://Am. Journal of Medicine" TargetMode="External" Id="rId11" /><Relationship Type="http://schemas.openxmlformats.org/officeDocument/2006/relationships/hyperlink" Target="https://sellingpartners.aboutamazon.com" TargetMode="External" Id="rId12" /><Relationship Type="http://schemas.openxmlformats.org/officeDocument/2006/relationships/hyperlink" Target="https://canada.ca Health Canada guidance" TargetMode="External" Id="rId13" /><Relationship Type="http://schemas.openxmlformats.org/officeDocument/2006/relationships/hyperlink" Target="https://canada.ca" TargetMode="External" Id="rId14" /><Relationship Type="http://schemas.openxmlformats.org/officeDocument/2006/relationships/hyperlink" Target="https://laws.justice.gc.ca" TargetMode="External" Id="rId15" /><Relationship Type="http://schemas.openxmlformats.org/officeDocument/2006/relationships/hyperlink" Target="https://canada.ca" TargetMode="External" Id="rId16" /><Relationship Type="http://schemas.openxmlformats.org/officeDocument/2006/relationships/hyperlink" Target="https://mltaikins.com" TargetMode="External" Id="rId17" /><Relationship Type="http://schemas.openxmlformats.org/officeDocument/2006/relationships/hyperlink" Target="https://foodincanada.com" TargetMode="External" Id="rId18" /><Relationship Type="http://schemas.openxmlformats.org/officeDocument/2006/relationships/hyperlink" Target="https://fortune.com" TargetMode="External" Id="rId19" /><Relationship Type="http://schemas.openxmlformats.org/officeDocument/2006/relationships/hyperlink" Target="https://bevnet.com" TargetMode="External" Id="rId20" /><Relationship Type="http://schemas.openxmlformats.org/officeDocument/2006/relationships/hyperlink" Target="https://grocerydive.com" TargetMode="External" Id="rId21" /><Relationship Type="http://schemas.openxmlformats.org/officeDocument/2006/relationships/hyperlink" Target="https://foodnavigator-usa.com" TargetMode="External" Id="rId22" /></Relationships>
</file>

<file path=xl/worksheets/_rels/sheet37.xml.rels><Relationships xmlns="http://schemas.openxmlformats.org/package/2006/relationships"><Relationship Type="http://schemas.openxmlformats.org/officeDocument/2006/relationships/hyperlink" Target="#'&#127968; Start Here'!A1" TargetMode="External" Id="rId1" /><Relationship Type="http://schemas.openxmlformats.org/officeDocument/2006/relationships/hyperlink" Target="#'01 Contents'!A1" TargetMode="External" Id="rId2" /></Relationships>
</file>

<file path=xl/worksheets/_rels/sheet38.xml.rels><Relationships xmlns="http://schemas.openxmlformats.org/package/2006/relationships"><Relationship Type="http://schemas.openxmlformats.org/officeDocument/2006/relationships/hyperlink" Target="#'&#127968; Start Here'!A1" TargetMode="External" Id="rId1" /><Relationship Type="http://schemas.openxmlformats.org/officeDocument/2006/relationships/hyperlink" Target="#'01 Contents'!A1" TargetMode="External" Id="rId2" /></Relationships>
</file>

<file path=xl/worksheets/sheet1.xml><?xml version="1.0" encoding="utf-8"?>
<worksheet xmlns="http://schemas.openxmlformats.org/spreadsheetml/2006/main">
  <sheetPr>
    <tabColor rgb="00C9A227"/>
    <outlinePr summaryBelow="1" summaryRight="1"/>
    <pageSetUpPr fitToPage="1"/>
  </sheetPr>
  <dimension ref="B2:E25"/>
  <sheetViews>
    <sheetView showGridLines="0" tabSelected="1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26" customWidth="1" min="3" max="3"/>
    <col width="26" customWidth="1" min="4" max="4"/>
    <col width="26" customWidth="1" min="5" max="5"/>
    <col width="3" customWidth="1" min="6" max="6"/>
    <col width="3" customWidth="1" min="7" max="7"/>
    <col width="3" customWidth="1" min="8" max="8"/>
  </cols>
  <sheetData>
    <row r="2" ht="44" customHeight="1">
      <c r="B2" s="110" t="inlineStr">
        <is>
          <t>MÜV — Canada Launch Dossier</t>
        </is>
      </c>
    </row>
    <row r="3" ht="24" customHeight="1">
      <c r="B3" s="111" t="inlineStr">
        <is>
          <t>Competitive intelligence &amp; go-to-market for Organika's sparkling electrolyte RTD.  Click a card to jump in.</t>
        </is>
      </c>
    </row>
    <row r="5" ht="22" customHeight="1">
      <c r="B5" s="112" t="inlineStr">
        <is>
          <t>▸ See the answer</t>
        </is>
      </c>
    </row>
    <row r="6" ht="22" customHeight="1">
      <c r="B6" s="113" t="inlineStr">
        <is>
          <t>Executive Summary</t>
        </is>
      </c>
      <c r="C6" s="114" t="inlineStr">
        <is>
          <t>GTM Recommendation</t>
        </is>
      </c>
      <c r="D6" s="114" t="inlineStr">
        <is>
          <t>Go / No-Go Decision</t>
        </is>
      </c>
    </row>
    <row r="7" ht="22" customHeight="1">
      <c r="B7" s="121" t="n"/>
      <c r="C7" s="121" t="n"/>
      <c r="D7" s="121" t="n"/>
    </row>
    <row r="9" ht="22" customHeight="1">
      <c r="B9" s="112" t="inlineStr">
        <is>
          <t>▸ Explore the numbers</t>
        </is>
      </c>
    </row>
    <row r="10" ht="22" customHeight="1">
      <c r="B10" s="115" t="inlineStr">
        <is>
          <t>Dashboard</t>
        </is>
      </c>
      <c r="C10" s="115" t="inlineStr">
        <is>
          <t>Financial Model</t>
        </is>
      </c>
      <c r="D10" s="115" t="inlineStr">
        <is>
          <t>Scenario Comparison</t>
        </is>
      </c>
    </row>
    <row r="11" ht="22" customHeight="1">
      <c r="B11" s="121" t="n"/>
      <c r="C11" s="121" t="n"/>
      <c r="D11" s="121" t="n"/>
    </row>
    <row r="13" ht="22" customHeight="1">
      <c r="B13" s="112" t="inlineStr">
        <is>
          <t>▸ Know the competition</t>
        </is>
      </c>
    </row>
    <row r="14" ht="22" customHeight="1">
      <c r="B14" s="116" t="inlineStr">
        <is>
          <t>MÜV Peer Set</t>
        </is>
      </c>
      <c r="C14" s="113" t="inlineStr">
        <is>
          <t>Comparison Matrix</t>
        </is>
      </c>
      <c r="D14" s="113" t="inlineStr">
        <is>
          <t>Extended Landscape</t>
        </is>
      </c>
    </row>
    <row r="15" ht="22" customHeight="1">
      <c r="B15" s="121" t="n"/>
      <c r="C15" s="121" t="n"/>
      <c r="D15" s="121" t="n"/>
    </row>
    <row r="17" ht="22" customHeight="1">
      <c r="B17" s="112" t="inlineStr">
        <is>
          <t>▸ Canada launch</t>
        </is>
      </c>
    </row>
    <row r="18" ht="22" customHeight="1">
      <c r="B18" s="114" t="inlineStr">
        <is>
          <t>Canada Regulatory v2</t>
        </is>
      </c>
      <c r="C18" s="115" t="inlineStr">
        <is>
          <t>Electrolyte BFY Deep-Dive</t>
        </is>
      </c>
      <c r="D18" s="113" t="inlineStr">
        <is>
          <t>Canada Market</t>
        </is>
      </c>
    </row>
    <row r="19" ht="22" customHeight="1">
      <c r="B19" s="121" t="n"/>
      <c r="C19" s="121" t="n"/>
      <c r="D19" s="121" t="n"/>
    </row>
    <row r="21" ht="22" customHeight="1">
      <c r="B21" s="112" t="inlineStr">
        <is>
          <t>▸ Trust the data</t>
        </is>
      </c>
    </row>
    <row r="22" ht="22" customHeight="1">
      <c r="B22" s="116" t="inlineStr">
        <is>
          <t>Verification Log</t>
        </is>
      </c>
      <c r="C22" s="117" t="inlineStr">
        <is>
          <t>Sources</t>
        </is>
      </c>
      <c r="D22" s="118" t="inlineStr">
        <is>
          <t>Full Contents Index</t>
        </is>
      </c>
    </row>
    <row r="23" ht="22" customHeight="1">
      <c r="B23" s="121" t="n"/>
      <c r="C23" s="121" t="n"/>
      <c r="D23" s="121" t="n"/>
    </row>
    <row r="25" ht="34" customHeight="1">
      <c r="B25" s="119" t="inlineStr">
        <is>
          <t>Verified anchor: MÜV Sparkling Electrolytes is a ready-to-drink sparkling CAN (SKU 4338), food-regulated in Canada. Gold tabs are interactive. Every tab has a “↩ Home” link (top-right) back to this page.</t>
        </is>
      </c>
      <c r="C25" s="34" t="n"/>
      <c r="D25" s="34" t="n"/>
      <c r="E25" s="35" t="n"/>
    </row>
  </sheetData>
  <mergeCells count="23">
    <mergeCell ref="B9:E9"/>
    <mergeCell ref="B18:B19"/>
    <mergeCell ref="B5:E5"/>
    <mergeCell ref="C10:C11"/>
    <mergeCell ref="B14:B15"/>
    <mergeCell ref="C22:C23"/>
    <mergeCell ref="B25:E25"/>
    <mergeCell ref="B3:E3"/>
    <mergeCell ref="B10:B11"/>
    <mergeCell ref="B6:B7"/>
    <mergeCell ref="D18:D19"/>
    <mergeCell ref="B21:E21"/>
    <mergeCell ref="C18:C19"/>
    <mergeCell ref="B2:E2"/>
    <mergeCell ref="D14:D15"/>
    <mergeCell ref="B17:E17"/>
    <mergeCell ref="D10:D11"/>
    <mergeCell ref="B22:B23"/>
    <mergeCell ref="B13:E13"/>
    <mergeCell ref="C6:C7"/>
    <mergeCell ref="D6:D7"/>
    <mergeCell ref="C14:C15"/>
    <mergeCell ref="D22:D23"/>
  </mergeCells>
  <hyperlinks>
    <hyperlink xmlns:r="http://schemas.openxmlformats.org/officeDocument/2006/relationships" ref="B6" r:id="rId1"/>
    <hyperlink xmlns:r="http://schemas.openxmlformats.org/officeDocument/2006/relationships" ref="C6" r:id="rId2"/>
    <hyperlink xmlns:r="http://schemas.openxmlformats.org/officeDocument/2006/relationships" ref="D6" r:id="rId3"/>
    <hyperlink xmlns:r="http://schemas.openxmlformats.org/officeDocument/2006/relationships" ref="B10" r:id="rId4"/>
    <hyperlink xmlns:r="http://schemas.openxmlformats.org/officeDocument/2006/relationships" ref="C10" r:id="rId5"/>
    <hyperlink xmlns:r="http://schemas.openxmlformats.org/officeDocument/2006/relationships" ref="D10" r:id="rId6"/>
    <hyperlink xmlns:r="http://schemas.openxmlformats.org/officeDocument/2006/relationships" ref="B14" r:id="rId7"/>
    <hyperlink xmlns:r="http://schemas.openxmlformats.org/officeDocument/2006/relationships" ref="C14" r:id="rId8"/>
    <hyperlink xmlns:r="http://schemas.openxmlformats.org/officeDocument/2006/relationships" ref="D14" r:id="rId9"/>
    <hyperlink xmlns:r="http://schemas.openxmlformats.org/officeDocument/2006/relationships" ref="B18" r:id="rId10"/>
    <hyperlink xmlns:r="http://schemas.openxmlformats.org/officeDocument/2006/relationships" ref="C18" r:id="rId11"/>
    <hyperlink xmlns:r="http://schemas.openxmlformats.org/officeDocument/2006/relationships" ref="D18" r:id="rId12"/>
    <hyperlink xmlns:r="http://schemas.openxmlformats.org/officeDocument/2006/relationships" ref="B22" r:id="rId13"/>
    <hyperlink xmlns:r="http://schemas.openxmlformats.org/officeDocument/2006/relationships" ref="C22" r:id="rId14"/>
    <hyperlink xmlns:r="http://schemas.openxmlformats.org/officeDocument/2006/relationships" ref="D22" r:id="rId15"/>
  </hyperlink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C9A227"/>
    <outlinePr summaryBelow="1" summaryRight="1"/>
    <pageSetUpPr fitToPage="1"/>
  </sheetPr>
  <dimension ref="B1:M2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M1" s="95" t="inlineStr">
        <is>
          <t>🏠 Home</t>
        </is>
      </c>
    </row>
    <row r="2" ht="30" customHeight="1">
      <c r="B2" s="136" t="inlineStr">
        <is>
          <t>EXECUTIVE BRIEF — MÜV Canada Launch</t>
        </is>
      </c>
    </row>
    <row r="3" ht="22" customHeight="1">
      <c r="B3" s="137" t="inlineStr">
        <is>
          <t>VERDICT: GO — conditional.  Launch as daily-wellness sparkling hydration, made in Canada.</t>
        </is>
      </c>
    </row>
    <row r="5" ht="18" customHeight="1">
      <c r="B5" s="138" t="inlineStr">
        <is>
          <t>WHAT MÜV IS</t>
        </is>
      </c>
    </row>
    <row r="6" ht="14" customHeight="1">
      <c r="B6" s="139" t="inlineStr">
        <is>
          <t>Ready-to-drink sparkling electrolyte CAN (SKU 4338, ~$14.99): carbonated water + Fibersol prebiotic fibre, magnesium glycinate, stevia; 0 sugar, caffeine-free. Food-regulated in Canada.</t>
        </is>
      </c>
    </row>
    <row r="7" ht="18" customHeight="1">
      <c r="B7" s="138" t="inlineStr">
        <is>
          <t>WHY NOW (category)</t>
        </is>
      </c>
    </row>
    <row r="8" ht="14" customHeight="1">
      <c r="B8" s="139" t="inlineStr">
        <is>
          <t>US powdered hydration $1.5B in 2024, +20% YoY, 4 straight yrs double-digit (Circana). Liquid I.V. #1, entered Canada 2023. Flavored SPARKLING electrolyte is genuine white space.</t>
        </is>
      </c>
    </row>
    <row r="9" ht="18" customHeight="1">
      <c r="B9" s="138" t="inlineStr">
        <is>
          <t>THE PRICE / SODIUM LADDER</t>
        </is>
      </c>
    </row>
    <row r="10" ht="14" customHeight="1">
      <c r="B10" s="139" t="inlineStr">
        <is>
          <t>LMNT 1,000mg / ~$1.50 (performance)  ·  Liquid I.V. 500mg / ~$1.56 (daily)  ·  Nuun 300mg / ~$0.75 (value)  ·  MÜV sparkling can $14.99/pack (daily-wellness sparkling).</t>
        </is>
      </c>
    </row>
    <row r="11" ht="18" customHeight="1">
      <c r="B11" s="96" t="inlineStr">
        <is>
          <t>RECOMMENDATION — 5 MOVES</t>
        </is>
      </c>
    </row>
    <row r="12" ht="14" customHeight="1">
      <c r="B12" s="139" t="inlineStr">
        <is>
          <t>1. Beachhead: Costco Canada (roadshow sampling) + Amazon.ca / Well.ca / DTC — channels Organika already holds.</t>
        </is>
      </c>
    </row>
    <row r="13" ht="14" customHeight="1">
      <c r="B13" s="139" t="inlineStr">
        <is>
          <t>2. Position: daily-wellness sparkling, made in Canada — between Liquid I.V. and LMNT.</t>
        </is>
      </c>
    </row>
    <row r="14" ht="14" customHeight="1">
      <c r="B14" s="139" t="inlineStr">
        <is>
          <t>3. Label to the Supplemented-Food framework from day one (SFFt; cautions if triggered).</t>
        </is>
      </c>
    </row>
    <row r="15" ht="14" customHeight="1">
      <c r="B15" s="139" t="inlineStr">
        <is>
          <t>4. Keep collagen-beauty claims on the NHP powder line, NOT the can.</t>
        </is>
      </c>
    </row>
    <row r="16" ht="14" customHeight="1">
      <c r="B16" s="139" t="inlineStr">
        <is>
          <t>5. Borrow LMNT's sample funnel + #WaterTok creators; lean on BC manufacturing for margin.</t>
        </is>
      </c>
    </row>
    <row r="17" ht="18" customHeight="1">
      <c r="B17" s="140" t="inlineStr">
        <is>
          <t>TOP RISKS</t>
        </is>
      </c>
    </row>
    <row r="18" ht="14" customHeight="1">
      <c r="B18" s="139" t="inlineStr">
        <is>
          <t>Collagen efficacy/claims liability → dose to efficacy, food-safe language.</t>
        </is>
      </c>
    </row>
    <row r="19" ht="14" customHeight="1">
      <c r="B19" s="139" t="inlineStr">
        <is>
          <t>Strategic-owned rivals (Nestlé/Unilever/PepsiCo) → compete on Canadian-made + niche beachhead.</t>
        </is>
      </c>
    </row>
    <row r="20" ht="14" customHeight="1">
      <c r="B20" s="139" t="inlineStr">
        <is>
          <t>Over-distribution before PMF → prove repeat/velocity before national grocery.</t>
        </is>
      </c>
    </row>
    <row r="21" ht="18" customHeight="1">
      <c r="B21" s="141" t="inlineStr">
        <is>
          <t>REGULATORY (Canada)</t>
        </is>
      </c>
    </row>
    <row r="22" ht="14" customHeight="1">
      <c r="B22" s="139" t="inlineStr">
        <is>
          <t>Sport-electrolytes reclassifying NHP → Supplemented Foods by 2027-12-31; new products comply now. Format is not the decider — claims are. Collagen beauty = NHP-only.</t>
        </is>
      </c>
    </row>
    <row r="24">
      <c r="B24" s="142" t="inlineStr">
        <is>
          <t>Confidence-tagged throughout; MÜV on-can sodium TBD (confirm with brand). Full detail via 🏠 Start Here.</t>
        </is>
      </c>
    </row>
  </sheetData>
  <mergeCells count="21">
    <mergeCell ref="B9:E9"/>
    <mergeCell ref="B6:E6"/>
    <mergeCell ref="B15:E15"/>
    <mergeCell ref="B24:E24"/>
    <mergeCell ref="B5:E5"/>
    <mergeCell ref="B20:E20"/>
    <mergeCell ref="B16:E16"/>
    <mergeCell ref="B7:E7"/>
    <mergeCell ref="B3:E3"/>
    <mergeCell ref="B22:E22"/>
    <mergeCell ref="B18:E18"/>
    <mergeCell ref="B12:E12"/>
    <mergeCell ref="B21:E21"/>
    <mergeCell ref="B11:E11"/>
    <mergeCell ref="B2:E2"/>
    <mergeCell ref="B14:E14"/>
    <mergeCell ref="B17:E17"/>
    <mergeCell ref="B8:E8"/>
    <mergeCell ref="B13:E13"/>
    <mergeCell ref="B19:E19"/>
    <mergeCell ref="B10:E10"/>
  </mergeCells>
  <hyperlinks>
    <hyperlink xmlns:r="http://schemas.openxmlformats.org/officeDocument/2006/relationships" ref="M1" r:id="rId1"/>
  </hyperlinks>
  <pageMargins left="0.75" right="0.75" top="1" bottom="1" header="0.5" footer="0.5"/>
  <pageSetup orientation="portrait" fitToHeight="1" fitToWidth="1"/>
</worksheet>
</file>

<file path=xl/worksheets/sheet3.xml><?xml version="1.0" encoding="utf-8"?>
<worksheet xmlns="http://schemas.openxmlformats.org/spreadsheetml/2006/main">
  <sheetPr>
    <tabColor rgb="0014304F"/>
    <outlinePr summaryBelow="1" summaryRight="1"/>
    <pageSetUpPr fitToPage="1"/>
  </sheetPr>
  <dimension ref="A1:M27"/>
  <sheetViews>
    <sheetView showGridLines="0" tabSelected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3" customWidth="1" min="9" max="9"/>
  </cols>
  <sheetData>
    <row r="1">
      <c r="M1" s="95" t="inlineStr">
        <is>
          <t>🏠 Home</t>
        </is>
      </c>
    </row>
    <row r="2" ht="40" customHeight="1">
      <c r="B2" s="1" t="inlineStr">
        <is>
          <t>FUNCTIONAL &amp; WELLNESS SPARKLING BEVERAGES</t>
        </is>
      </c>
    </row>
    <row r="3" ht="26" customHeight="1">
      <c r="B3" s="2" t="inlineStr">
        <is>
          <t>Enterprise Competitive Intelligence &amp; Market-Entry Dossier</t>
        </is>
      </c>
    </row>
    <row r="4" ht="20" customHeight="1">
      <c r="B4" s="3" t="inlineStr">
        <is>
          <t>Prepared for the Organika Sparkling / “MUV” launch decision  ·  United States + Canada</t>
        </is>
      </c>
    </row>
    <row r="6" ht="28" customHeight="1">
      <c r="B6" s="4" t="inlineStr">
        <is>
          <t>Document type</t>
        </is>
      </c>
      <c r="C6" s="5" t="inlineStr">
        <is>
          <t>Competitive intelligence + go-to-market dossier (analyst-grade)</t>
        </is>
      </c>
    </row>
    <row r="7" ht="28" customHeight="1">
      <c r="B7" s="4" t="inlineStr">
        <is>
          <t>Subject</t>
        </is>
      </c>
      <c r="C7" s="5" t="inlineStr">
        <is>
          <t>Functional soda, hydration/electrolyte, and wellness/collagen sparkling categories</t>
        </is>
      </c>
    </row>
    <row r="8" ht="28" customHeight="1">
      <c r="B8" s="4" t="inlineStr">
        <is>
          <t>Decision supported</t>
        </is>
      </c>
      <c r="C8" s="5" t="inlineStr">
        <is>
          <t>Whether/how to launch a Canadian functional collagen sparkling beverage (“MUV”)</t>
        </is>
      </c>
    </row>
    <row r="9" ht="28" customHeight="1">
      <c r="B9" s="4" t="inlineStr">
        <is>
          <t>Geography</t>
        </is>
      </c>
      <c r="C9" s="5" t="inlineStr">
        <is>
          <t>US (primary evidence base) with Canada market + regulatory read-across</t>
        </is>
      </c>
    </row>
    <row r="10" ht="28" customHeight="1">
      <c r="B10" s="4" t="inlineStr">
        <is>
          <t>Brands analyzed</t>
        </is>
      </c>
      <c r="C10" s="5" t="inlineStr">
        <is>
          <t>8 core profiles + ~30 extended landscape entries across 6 sub-categories</t>
        </is>
      </c>
    </row>
    <row r="11" ht="28" customHeight="1">
      <c r="B11" s="4" t="inlineStr">
        <is>
          <t>Research method</t>
        </is>
      </c>
      <c r="C11" s="5" t="inlineStr">
        <is>
          <t>6 parallel research streams, multi-source web research, per-claim citations, confidence-tagged</t>
        </is>
      </c>
    </row>
    <row r="12" ht="28" customHeight="1">
      <c r="B12" s="4" t="inlineStr">
        <is>
          <t>Date prepared</t>
        </is>
      </c>
      <c r="C12" s="5" t="inlineStr">
        <is>
          <t>2026-06-05</t>
        </is>
      </c>
    </row>
    <row r="13" ht="28" customHeight="1">
      <c r="B13" s="4" t="inlineStr">
        <is>
          <t>Status</t>
        </is>
      </c>
      <c r="C13" s="5" t="inlineStr">
        <is>
          <t>Draft for internal review — verify amber-flagged items before external circulation</t>
        </is>
      </c>
    </row>
    <row r="15" ht="96" customHeight="1">
      <c r="A15" s="17" t="inlineStr">
        <is>
          <t>VERIFIED (Jun 2026): “MÜV Sparkling Electrolytes” is a real Organika product — most likely a ready-to-drink SPARKLING CAN (SKU 4338, ~$14.99; ingredient list begins “Carbonated water” + Fibersol prebiotic fibre, magnesium glycinate, stevia, 0 sugar, caffeine-free). Organika's electrolyte POWDERS and “Electrolytes + Enhanced Collagen” are SEPARATE SKUs. KEY: Canada is reclassifying sport-electrolyte products (all formats) from NHP to SUPPLEMENTED FOODS by Dec 31, 2027 — so MÜV is food-regulated; collagen beauty claims stay NHP-only (see ‘Canada Regulatory v2’). Confirm pack size, electrolyte mg and any collagen variant with the brand.</t>
        </is>
      </c>
      <c r="B15" s="34" t="n"/>
      <c r="C15" s="34" t="n"/>
      <c r="D15" s="34" t="n"/>
      <c r="E15" s="34" t="n"/>
      <c r="F15" s="34" t="n"/>
      <c r="G15" s="35" t="n"/>
    </row>
    <row r="17">
      <c r="B17" s="7" t="inlineStr">
        <is>
          <t>Confidence legend used throughout:</t>
        </is>
      </c>
    </row>
    <row r="18" ht="18" customHeight="1">
      <c r="B18" s="8" t="inlineStr">
        <is>
          <t>HARD DATA — published / company-reported / scanner (Circana/SPINS) / regulatory primary</t>
        </is>
      </c>
      <c r="C18" s="34" t="n"/>
      <c r="D18" s="34" t="n"/>
      <c r="E18" s="34" t="n"/>
      <c r="F18" s="34" t="n"/>
      <c r="G18" s="34" t="n"/>
      <c r="H18" s="35" t="n"/>
    </row>
    <row r="19" ht="18" customHeight="1">
      <c r="B19" s="9" t="inlineStr">
        <is>
          <t>DIRECTIONAL — research-firm projection or single-source; definitions vary</t>
        </is>
      </c>
      <c r="C19" s="34" t="n"/>
      <c r="D19" s="34" t="n"/>
      <c r="E19" s="34" t="n"/>
      <c r="F19" s="34" t="n"/>
      <c r="G19" s="34" t="n"/>
      <c r="H19" s="35" t="n"/>
    </row>
    <row r="20" ht="18" customHeight="1">
      <c r="B20" s="10" t="inlineStr">
        <is>
          <t>FLAG / VERIFY — estimate, secondary-only, or decision-critical assumption to confirm</t>
        </is>
      </c>
      <c r="C20" s="34" t="n"/>
      <c r="D20" s="34" t="n"/>
      <c r="E20" s="34" t="n"/>
      <c r="F20" s="34" t="n"/>
      <c r="G20" s="34" t="n"/>
      <c r="H20" s="35" t="n"/>
    </row>
    <row r="22" ht="18" customHeight="1">
      <c r="B22" s="6" t="inlineStr">
        <is>
          <t>INTERACTIVE TABS (gold) — built to be used, not just read:</t>
        </is>
      </c>
      <c r="C22" s="34" t="n"/>
      <c r="D22" s="34" t="n"/>
      <c r="E22" s="34" t="n"/>
      <c r="F22" s="34" t="n"/>
      <c r="G22" s="34" t="n"/>
      <c r="H22" s="35" t="n"/>
    </row>
    <row r="23" ht="16" customHeight="1">
      <c r="B23" s="90" t="inlineStr">
        <is>
          <t>▸ Dashboard</t>
        </is>
      </c>
      <c r="C23" s="91" t="inlineStr">
        <is>
          <t>5 live charts + KPI strip — the one-screen snapshot</t>
        </is>
      </c>
    </row>
    <row r="24" ht="16" customHeight="1">
      <c r="B24" s="90" t="inlineStr">
        <is>
          <t>▸ Financial Model</t>
        </is>
      </c>
      <c r="C24" s="91" t="inlineStr">
        <is>
          <t>Pick a scenario (Conservative/Base/Aggressive) and the whole P&amp;L, break-even &amp; sensitivity heatmap recompute</t>
        </is>
      </c>
    </row>
    <row r="25" ht="16" customHeight="1">
      <c r="B25" s="90" t="inlineStr">
        <is>
          <t>▸ Go-NoGo Decision</t>
        </is>
      </c>
      <c r="C25" s="91" t="inlineStr">
        <is>
          <t>Edit weights/scores; the verdict (GO / GO-conditional / NO-GO) auto-computes</t>
        </is>
      </c>
    </row>
    <row r="26" ht="16" customHeight="1">
      <c r="B26" s="90" t="inlineStr">
        <is>
          <t>▸ Battlecards</t>
        </is>
      </c>
      <c r="C26" s="91" t="inlineStr">
        <is>
          <t>One quick-reference block per key competitor</t>
        </is>
      </c>
    </row>
    <row r="27" ht="16" customHeight="1">
      <c r="B27" s="90" t="inlineStr">
        <is>
          <t>▸ 01 Contents</t>
        </is>
      </c>
      <c r="C27" s="91" t="inlineStr">
        <is>
          <t>Click any tab name to jump straight to it</t>
        </is>
      </c>
    </row>
  </sheetData>
  <mergeCells count="21">
    <mergeCell ref="C25:H25"/>
    <mergeCell ref="C10:H10"/>
    <mergeCell ref="C9:H9"/>
    <mergeCell ref="C12:H12"/>
    <mergeCell ref="B20:H20"/>
    <mergeCell ref="C11:H11"/>
    <mergeCell ref="C27:H27"/>
    <mergeCell ref="B4:H4"/>
    <mergeCell ref="C23:H23"/>
    <mergeCell ref="C8:H8"/>
    <mergeCell ref="A15:G15"/>
    <mergeCell ref="B3:H3"/>
    <mergeCell ref="C7:H7"/>
    <mergeCell ref="B22:H22"/>
    <mergeCell ref="B18:H18"/>
    <mergeCell ref="C13:H13"/>
    <mergeCell ref="B2:H2"/>
    <mergeCell ref="C6:H6"/>
    <mergeCell ref="C24:H24"/>
    <mergeCell ref="C26:H26"/>
    <mergeCell ref="B19:H19"/>
  </mergeCells>
  <hyperlinks>
    <hyperlink xmlns:r="http://schemas.openxmlformats.org/officeDocument/2006/relationships" ref="M1" r:id="rId1"/>
    <hyperlink xmlns:r="http://schemas.openxmlformats.org/officeDocument/2006/relationships" ref="B23" r:id="rId2"/>
    <hyperlink xmlns:r="http://schemas.openxmlformats.org/officeDocument/2006/relationships" ref="B24" r:id="rId3"/>
    <hyperlink xmlns:r="http://schemas.openxmlformats.org/officeDocument/2006/relationships" ref="B25" r:id="rId4"/>
    <hyperlink xmlns:r="http://schemas.openxmlformats.org/officeDocument/2006/relationships" ref="B26" r:id="rId5"/>
    <hyperlink xmlns:r="http://schemas.openxmlformats.org/officeDocument/2006/relationships" ref="B27" r:id="rId6"/>
  </hyperlinks>
  <pageMargins left="0.75" right="0.75" top="1" bottom="1" header="0.5" footer="0.5"/>
  <pageSetup orientation="landscape" fitToHeight="0" fitToWidth="1"/>
  <headerFooter>
    <oddHeader/>
    <oddFooter>&amp;LOrganika MUV — Competitor Intelligence (confidential draft)&amp;R&amp;P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14304F"/>
    <outlinePr summaryBelow="1" summaryRight="1"/>
    <pageSetUpPr fitToPage="1"/>
  </sheetPr>
  <dimension ref="A1:M41"/>
  <sheetViews>
    <sheetView showGridLines="0" tabSelected="0" workbookViewId="0">
      <selection activeCell="A1" sqref="A1"/>
    </sheetView>
  </sheetViews>
  <sheetFormatPr baseColWidth="8" defaultRowHeight="15"/>
  <cols>
    <col width="26" customWidth="1" min="1" max="1"/>
    <col width="84" customWidth="1" min="2" max="2"/>
  </cols>
  <sheetData>
    <row r="1" ht="30" customHeight="1">
      <c r="A1" s="1" t="inlineStr">
        <is>
          <t>Table of Contents</t>
        </is>
      </c>
      <c r="M1" s="95" t="inlineStr">
        <is>
          <t>🏠 Home</t>
        </is>
      </c>
    </row>
    <row r="3">
      <c r="A3" s="11" t="inlineStr">
        <is>
          <t>Tab</t>
        </is>
      </c>
      <c r="B3" s="11" t="inlineStr">
        <is>
          <t>Contents</t>
        </is>
      </c>
    </row>
    <row r="4" ht="18" customHeight="1">
      <c r="A4" s="92" t="inlineStr">
        <is>
          <t>00 Cover</t>
        </is>
      </c>
      <c r="B4" s="58" t="inlineStr">
        <is>
          <t>Title, scope, caveats, confidence legend</t>
        </is>
      </c>
    </row>
    <row r="5" ht="18" customHeight="1">
      <c r="A5" s="93" t="inlineStr">
        <is>
          <t>01 Contents</t>
        </is>
      </c>
      <c r="B5" s="60" t="inlineStr">
        <is>
          <t>This page</t>
        </is>
      </c>
    </row>
    <row r="6" ht="18" customHeight="1">
      <c r="A6" s="92" t="inlineStr">
        <is>
          <t>02 Executive Summary</t>
        </is>
      </c>
      <c r="B6" s="58" t="inlineStr">
        <is>
          <t>Thesis, 7 findings, recommendation</t>
        </is>
      </c>
    </row>
    <row r="7" ht="18" customHeight="1">
      <c r="A7" s="94" t="inlineStr">
        <is>
          <t>Dashboard</t>
        </is>
      </c>
      <c r="B7" s="60" t="inlineStr">
        <is>
          <t>Visual snapshot — 5 charts + KPI strip</t>
        </is>
      </c>
    </row>
    <row r="8" ht="18" customHeight="1">
      <c r="A8" s="94" t="inlineStr">
        <is>
          <t>Financial Model</t>
        </is>
      </c>
      <c r="B8" s="58" t="inlineStr">
        <is>
          <t>Scenario-driven P&amp;L, break-even, sensitivity heatmap (interactive)</t>
        </is>
      </c>
    </row>
    <row r="9" ht="18" customHeight="1">
      <c r="A9" s="93" t="inlineStr">
        <is>
          <t>03 Methodology</t>
        </is>
      </c>
      <c r="B9" s="60" t="inlineStr">
        <is>
          <t>Research design, source hierarchy, confidence, limitations</t>
        </is>
      </c>
    </row>
    <row r="10" ht="18" customHeight="1">
      <c r="A10" s="92" t="inlineStr">
        <is>
          <t>04 Market Sizing</t>
        </is>
      </c>
      <c r="B10" s="58" t="inlineStr">
        <is>
          <t>TAM/SAM/SOM, category sizes &amp; growth (US + Canada)</t>
        </is>
      </c>
    </row>
    <row r="11" ht="18" customHeight="1">
      <c r="A11" s="93" t="inlineStr">
        <is>
          <t>05 Trends &amp; Macro</t>
        </is>
      </c>
      <c r="B11" s="60" t="inlineStr">
        <is>
          <t>Sugar, GLP-1, gut health, beauty-from-within, white space</t>
        </is>
      </c>
    </row>
    <row r="12" ht="18" customHeight="1">
      <c r="A12" s="92" t="inlineStr">
        <is>
          <t>06 Consumer</t>
        </is>
      </c>
      <c r="B12" s="58" t="inlineStr">
        <is>
          <t>Segmentation, collagen buyer, efficacy risk, buyer criteria</t>
        </is>
      </c>
    </row>
    <row r="13" ht="18" customHeight="1">
      <c r="A13" s="93" t="inlineStr">
        <is>
          <t>07 Comparison Matrix</t>
        </is>
      </c>
      <c r="B13" s="60" t="inlineStr">
        <is>
          <t>8 core brands side by side (auto-filter)</t>
        </is>
      </c>
    </row>
    <row r="14" ht="18" customHeight="1">
      <c r="A14" s="92" t="inlineStr">
        <is>
          <t>08 Extended Landscape</t>
        </is>
      </c>
      <c r="B14" s="58" t="inlineStr">
        <is>
          <t>~30 brands across 6 sub-categories</t>
        </is>
      </c>
    </row>
    <row r="15" ht="18" customHeight="1">
      <c r="A15" s="93" t="inlineStr">
        <is>
          <t>09 Channel &amp; Retail</t>
        </is>
      </c>
      <c r="B15" s="60" t="inlineStr">
        <is>
          <t>Launch channel &amp; expansion sequence</t>
        </is>
      </c>
    </row>
    <row r="16" ht="18" customHeight="1">
      <c r="A16" s="92" t="inlineStr">
        <is>
          <t>10 Channel Economics</t>
        </is>
      </c>
      <c r="B16" s="58" t="inlineStr">
        <is>
          <t>Margin waterfall, distributor/trade-spend, DTC/Amazon</t>
        </is>
      </c>
    </row>
    <row r="17" ht="18" customHeight="1">
      <c r="A17" s="93" t="inlineStr">
        <is>
          <t>11 Formulation</t>
        </is>
      </c>
      <c r="B17" s="60" t="inlineStr">
        <is>
          <t>The winning claim, hero ingredient, claim risk</t>
        </is>
      </c>
    </row>
    <row r="18" ht="18" customHeight="1">
      <c r="A18" s="92" t="inlineStr">
        <is>
          <t>12 Marketing</t>
        </is>
      </c>
      <c r="B18" s="58" t="inlineStr">
        <is>
          <t>Founder story, virality engine</t>
        </is>
      </c>
    </row>
    <row r="19" ht="18" customHeight="1">
      <c r="A19" s="93" t="inlineStr">
        <is>
          <t>13 Launch Playbooks</t>
        </is>
      </c>
      <c r="B19" s="60" t="inlineStr">
        <is>
          <t>Phased GTM timelines</t>
        </is>
      </c>
    </row>
    <row r="20" ht="18" customHeight="1">
      <c r="A20" s="92" t="inlineStr">
        <is>
          <t>14 Patterns &amp; Failures</t>
        </is>
      </c>
      <c r="B20" s="58" t="inlineStr">
        <is>
          <t>7 success patterns + 6 failure modes</t>
        </is>
      </c>
    </row>
    <row r="21" ht="18" customHeight="1">
      <c r="A21" s="93" t="inlineStr">
        <is>
          <t>15 Outcomes &amp; M&amp;A</t>
        </is>
      </c>
      <c r="B21" s="60" t="inlineStr">
        <is>
          <t>Revenue, funding, valuations, acquisition comps</t>
        </is>
      </c>
    </row>
    <row r="22" ht="18" customHeight="1">
      <c r="A22" s="92" t="inlineStr">
        <is>
          <t>16 SWOT</t>
        </is>
      </c>
      <c r="B22" s="58" t="inlineStr">
        <is>
          <t>Per-brand SWOT incl. MUV</t>
        </is>
      </c>
    </row>
    <row r="23" ht="18" customHeight="1">
      <c r="A23" s="93" t="inlineStr">
        <is>
          <t>17 Scoring Model</t>
        </is>
      </c>
      <c r="B23" s="60" t="inlineStr">
        <is>
          <t>Weighted competitive scoring (heatmap)</t>
        </is>
      </c>
    </row>
    <row r="24" ht="18" customHeight="1">
      <c r="A24" s="92" t="inlineStr">
        <is>
          <t>18 Canada Market</t>
        </is>
      </c>
      <c r="B24" s="58" t="inlineStr">
        <is>
          <t>Retail banners &amp; share, entry playbooks, pricing</t>
        </is>
      </c>
    </row>
    <row r="25" ht="18" customHeight="1">
      <c r="A25" s="93" t="inlineStr">
        <is>
          <t>19 Canada Regulatory</t>
        </is>
      </c>
      <c r="B25" s="60" t="inlineStr">
        <is>
          <t>NHP vs Food vs Supplemented Foods; SFCI; caffeine; Bill 96</t>
        </is>
      </c>
    </row>
    <row r="26" ht="18" customHeight="1">
      <c r="A26" s="92" t="inlineStr">
        <is>
          <t>20 GTM Recommendation</t>
        </is>
      </c>
      <c r="B26" s="58" t="inlineStr">
        <is>
          <t>The MUV go-to-market thesis &amp; decisions</t>
        </is>
      </c>
    </row>
    <row r="27" ht="18" customHeight="1">
      <c r="A27" s="94" t="inlineStr">
        <is>
          <t>Go-NoGo Decision</t>
        </is>
      </c>
      <c r="B27" s="60" t="inlineStr">
        <is>
          <t>Weighted gate scorecard with auto verdict (interactive)</t>
        </is>
      </c>
    </row>
    <row r="28" ht="18" customHeight="1">
      <c r="A28" s="94" t="inlineStr">
        <is>
          <t>Battlecards</t>
        </is>
      </c>
      <c r="B28" s="58" t="inlineStr">
        <is>
          <t>One-page-per-competitor quick reference</t>
        </is>
      </c>
    </row>
    <row r="29" ht="18" customHeight="1">
      <c r="A29" s="93" t="inlineStr">
        <is>
          <t>21 Launch Plan</t>
        </is>
      </c>
      <c r="B29" s="60" t="inlineStr">
        <is>
          <t>Phased 0–18 month plan</t>
        </is>
      </c>
    </row>
    <row r="30" ht="18" customHeight="1">
      <c r="A30" s="92" t="inlineStr">
        <is>
          <t>22 Risk Register</t>
        </is>
      </c>
      <c r="B30" s="58" t="inlineStr">
        <is>
          <t>Ranked risks, likelihood/impact, mitigations</t>
        </is>
      </c>
    </row>
    <row r="31" ht="18" customHeight="1">
      <c r="A31" s="93" t="inlineStr">
        <is>
          <t>23 KPI Dashboard</t>
        </is>
      </c>
      <c r="B31" s="60" t="inlineStr">
        <is>
          <t>Targets &amp; benchmarks by phase</t>
        </is>
      </c>
    </row>
    <row r="32" ht="18" customHeight="1">
      <c r="A32" s="92" t="inlineStr">
        <is>
          <t>24 Sources</t>
        </is>
      </c>
      <c r="B32" s="58" t="inlineStr">
        <is>
          <t>Master bibliography, tagged by type</t>
        </is>
      </c>
    </row>
    <row r="33" ht="18" customHeight="1">
      <c r="A33" s="93" t="inlineStr">
        <is>
          <t>25 Glossary</t>
        </is>
      </c>
      <c r="B33" s="60" t="inlineStr">
        <is>
          <t>Terms &amp; abbreviations</t>
        </is>
      </c>
    </row>
    <row r="34" ht="18" customHeight="1">
      <c r="A34" s="94" t="inlineStr">
        <is>
          <t>Verification Log</t>
        </is>
      </c>
      <c r="B34" s="58" t="inlineStr">
        <is>
          <t>What was checked against sources, what changed (incl. the MÜV finding)</t>
        </is>
      </c>
    </row>
    <row r="35" ht="18" customHeight="1">
      <c r="A35" s="94" t="inlineStr">
        <is>
          <t>Electrolyte BFY Deep-Dive</t>
        </is>
      </c>
      <c r="B35" s="58" t="inlineStr">
        <is>
          <t>Canada-first electrolyte/sparkling/BFY research; MÜV's real lane (deep-research)</t>
        </is>
      </c>
    </row>
    <row r="36" ht="18" customHeight="1">
      <c r="A36" s="94" t="inlineStr">
        <is>
          <t>Canada Regulatory v2</t>
        </is>
      </c>
      <c r="B36" s="58" t="inlineStr">
        <is>
          <t>Sport-electrolyte → Supplemented Foods reclassification; claims fork (supersedes Tab 19)</t>
        </is>
      </c>
    </row>
    <row r="37" ht="18" customHeight="1">
      <c r="A37" s="94" t="inlineStr">
        <is>
          <t>MÜV Peer Set</t>
        </is>
      </c>
      <c r="B37" s="58" t="inlineStr">
        <is>
          <t>MÜV's direct electrolyte/sparkling rivals vs category-adjacent context (reconciliation)</t>
        </is>
      </c>
    </row>
    <row r="38" ht="18" customHeight="1">
      <c r="A38" s="94" t="inlineStr">
        <is>
          <t>Scenario Comparison</t>
        </is>
      </c>
      <c r="B38" s="58" t="inlineStr">
        <is>
          <t>All 3 scenarios side-by-side (per-can, EBITDA, break-even) + chart</t>
        </is>
      </c>
    </row>
    <row r="39">
      <c r="A39" s="120" t="inlineStr">
        <is>
          <t>🏠 Start Here</t>
        </is>
      </c>
      <c r="B39" s="103" t="inlineStr">
        <is>
          <t>Navigator front-door — click a card to jump to any section</t>
        </is>
      </c>
    </row>
    <row r="40">
      <c r="A40" s="120" t="inlineStr">
        <is>
          <t>Executive Brief 1-page</t>
        </is>
      </c>
      <c r="B40" s="103" t="inlineStr">
        <is>
          <t>One printable page: verdict, numbers, 5 moves, risks</t>
        </is>
      </c>
    </row>
    <row r="41">
      <c r="A41" s="120" t="inlineStr">
        <is>
          <t>Assumptions Audit</t>
        </is>
      </c>
      <c r="B41" s="103" t="inlineStr">
        <is>
          <t>Every model input with its source &amp; confidence tag</t>
        </is>
      </c>
    </row>
  </sheetData>
  <mergeCells count="1">
    <mergeCell ref="A1:B1"/>
  </mergeCells>
  <hyperlinks>
    <hyperlink xmlns:r="http://schemas.openxmlformats.org/officeDocument/2006/relationships" ref="M1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  <hyperlink xmlns:r="http://schemas.openxmlformats.org/officeDocument/2006/relationships" ref="A10" r:id="rId8"/>
    <hyperlink xmlns:r="http://schemas.openxmlformats.org/officeDocument/2006/relationships" ref="A11" r:id="rId9"/>
    <hyperlink xmlns:r="http://schemas.openxmlformats.org/officeDocument/2006/relationships" ref="A12" r:id="rId10"/>
    <hyperlink xmlns:r="http://schemas.openxmlformats.org/officeDocument/2006/relationships" ref="A13" r:id="rId11"/>
    <hyperlink xmlns:r="http://schemas.openxmlformats.org/officeDocument/2006/relationships" ref="A14" r:id="rId12"/>
    <hyperlink xmlns:r="http://schemas.openxmlformats.org/officeDocument/2006/relationships" ref="A15" r:id="rId13"/>
    <hyperlink xmlns:r="http://schemas.openxmlformats.org/officeDocument/2006/relationships" ref="A16" r:id="rId14"/>
    <hyperlink xmlns:r="http://schemas.openxmlformats.org/officeDocument/2006/relationships" ref="A17" r:id="rId15"/>
    <hyperlink xmlns:r="http://schemas.openxmlformats.org/officeDocument/2006/relationships" ref="A18" r:id="rId16"/>
    <hyperlink xmlns:r="http://schemas.openxmlformats.org/officeDocument/2006/relationships" ref="A19" r:id="rId17"/>
    <hyperlink xmlns:r="http://schemas.openxmlformats.org/officeDocument/2006/relationships" ref="A20" r:id="rId18"/>
    <hyperlink xmlns:r="http://schemas.openxmlformats.org/officeDocument/2006/relationships" ref="A21" r:id="rId19"/>
    <hyperlink xmlns:r="http://schemas.openxmlformats.org/officeDocument/2006/relationships" ref="A22" r:id="rId20"/>
    <hyperlink xmlns:r="http://schemas.openxmlformats.org/officeDocument/2006/relationships" ref="A23" r:id="rId21"/>
    <hyperlink xmlns:r="http://schemas.openxmlformats.org/officeDocument/2006/relationships" ref="A24" r:id="rId22"/>
    <hyperlink xmlns:r="http://schemas.openxmlformats.org/officeDocument/2006/relationships" ref="A25" r:id="rId23"/>
    <hyperlink xmlns:r="http://schemas.openxmlformats.org/officeDocument/2006/relationships" ref="A26" r:id="rId24"/>
    <hyperlink xmlns:r="http://schemas.openxmlformats.org/officeDocument/2006/relationships" ref="A27" r:id="rId25"/>
    <hyperlink xmlns:r="http://schemas.openxmlformats.org/officeDocument/2006/relationships" ref="A28" r:id="rId26"/>
    <hyperlink xmlns:r="http://schemas.openxmlformats.org/officeDocument/2006/relationships" ref="A29" r:id="rId27"/>
    <hyperlink xmlns:r="http://schemas.openxmlformats.org/officeDocument/2006/relationships" ref="A30" r:id="rId28"/>
    <hyperlink xmlns:r="http://schemas.openxmlformats.org/officeDocument/2006/relationships" ref="A31" r:id="rId29"/>
    <hyperlink xmlns:r="http://schemas.openxmlformats.org/officeDocument/2006/relationships" ref="A32" r:id="rId30"/>
    <hyperlink xmlns:r="http://schemas.openxmlformats.org/officeDocument/2006/relationships" ref="A33" r:id="rId31"/>
    <hyperlink xmlns:r="http://schemas.openxmlformats.org/officeDocument/2006/relationships" ref="A34" r:id="rId32"/>
    <hyperlink xmlns:r="http://schemas.openxmlformats.org/officeDocument/2006/relationships" ref="A35" r:id="rId33"/>
    <hyperlink xmlns:r="http://schemas.openxmlformats.org/officeDocument/2006/relationships" ref="A36" r:id="rId34"/>
    <hyperlink xmlns:r="http://schemas.openxmlformats.org/officeDocument/2006/relationships" ref="A37" r:id="rId35"/>
    <hyperlink xmlns:r="http://schemas.openxmlformats.org/officeDocument/2006/relationships" ref="A38" r:id="rId36"/>
    <hyperlink xmlns:r="http://schemas.openxmlformats.org/officeDocument/2006/relationships" ref="A39" r:id="rId37"/>
    <hyperlink xmlns:r="http://schemas.openxmlformats.org/officeDocument/2006/relationships" ref="A40" r:id="rId38"/>
    <hyperlink xmlns:r="http://schemas.openxmlformats.org/officeDocument/2006/relationships" ref="A41" r:id="rId39"/>
  </hyperlinks>
  <pageMargins left="0.75" right="0.75" top="1" bottom="1" header="0.5" footer="0.5"/>
  <pageSetup orientation="landscape" fitToHeight="0" fitToWidth="1"/>
  <headerFooter>
    <oddHeader/>
    <oddFooter>&amp;LOrganika MUV — Competitor Intelligence (confidential draft)&amp;R&amp;P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14304F"/>
    <outlinePr summaryBelow="1" summaryRight="1"/>
    <pageSetUpPr fitToPage="1"/>
  </sheetPr>
  <dimension ref="A1:N17"/>
  <sheetViews>
    <sheetView showGridLines="0" tabSelected="0" workbookViewId="0">
      <selection activeCell="A1" sqref="A1"/>
    </sheetView>
  </sheetViews>
  <sheetFormatPr baseColWidth="8" defaultRowHeight="15"/>
  <cols>
    <col width="26" customWidth="1" min="1" max="1"/>
    <col width="92" customWidth="1" min="2" max="2"/>
  </cols>
  <sheetData>
    <row r="1" ht="30" customHeight="1">
      <c r="A1" s="1" t="inlineStr">
        <is>
          <t>Executive Summary</t>
        </is>
      </c>
      <c r="M1" s="95" t="inlineStr">
        <is>
          <t>🏠 Home</t>
        </is>
      </c>
      <c r="N1" s="95" t="inlineStr">
        <is>
          <t>↩ Contents</t>
        </is>
      </c>
    </row>
    <row r="2" ht="20" customHeight="1">
      <c r="A2" s="14" t="inlineStr">
        <is>
          <t>How competitors launched, what made them win, and what it means for MUV</t>
        </is>
      </c>
    </row>
    <row r="4">
      <c r="A4" s="15" t="inlineStr">
        <is>
          <t>THE THESIS</t>
        </is>
      </c>
    </row>
    <row r="5" ht="118" customHeight="1">
      <c r="A5" s="16" t="inlineStr">
        <is>
          <t>The functional-beverage winners of 2018–2025 did NOT win on formula. They won on a repeatable launch mechanic: a founder-authority insight, ONE obsessively-executed trial tactic, and a data-driven (velocity/repeat-rate) retail sell-in — sequenced up a channel ladder from natural/DTC to mass. For MUV, the opportunity is real (gut-health + beauty-from-within + sugar-cutting tailwinds and a domestic-producer cost edge), but it sits squarely at the intersection of the category's two biggest risks: collagen-efficacy/claims liability and strategic-owned competition (Nestlé already owns Vital Proteins). Win condition: efficacious dose + claim discipline + proven repeat before chasing doors + a Costco-Canada/Amazon.ca beachhead Organika is uniquely positioned to seize.</t>
        </is>
      </c>
      <c r="B5" s="35" t="n"/>
    </row>
    <row r="7">
      <c r="A7" s="15" t="inlineStr">
        <is>
          <t>THE SEVEN FINDINGS THAT MATTER</t>
        </is>
      </c>
    </row>
    <row r="8">
      <c r="A8" s="11" t="inlineStr">
        <is>
          <t>Finding</t>
        </is>
      </c>
      <c r="B8" s="11" t="inlineStr">
        <is>
          <t>So what</t>
        </is>
      </c>
    </row>
    <row r="9" ht="78" customHeight="1">
      <c r="A9" s="12" t="inlineStr">
        <is>
          <t>1. Channel ladder, never skipped</t>
        </is>
      </c>
      <c r="B9" s="12" t="inlineStr">
        <is>
          <t>Winners sequenced natural/independent or DTC → specialty (Whole Foods/Sprouts) → conventional grocery → mass (Target/Walmart) → club/convenience — earning each rung with proven velocity. OLIPOP launched in 40 NorCal indie grocers; Poppi seeded farmers markets → Whole Foods.</t>
        </is>
      </c>
    </row>
    <row r="10" ht="78" customHeight="1">
      <c r="A10" s="13" t="inlineStr">
        <is>
          <t>2. One trial tactic, executed obsessively</t>
        </is>
      </c>
      <c r="B10" s="13" t="inlineStr">
        <is>
          <t>Poppi = TikTok creator seeding; LMNT = free-sample-pay-shipping + podcast host-reads; Liquid I.V. = weekend/Costco roadshow sampling; OLIPOP = natural-channel velocity; Celsius = Amazon + gym influencers. Pick one, go deep.</t>
        </is>
      </c>
    </row>
    <row r="11" ht="78" customHeight="1">
      <c r="A11" s="12" t="inlineStr">
        <is>
          <t>3. Sell-in on DATA, not flavour</t>
        </is>
      </c>
      <c r="B11" s="12" t="inlineStr">
        <is>
          <t>Retail buyers buy velocity and repeat rate, not taste. OLIPOP's “astronomical repurchase rate” and Liquid I.V.'s POS data were the sell-in. This is the single most repeated lever.</t>
        </is>
      </c>
    </row>
    <row r="12" ht="78" customHeight="1">
      <c r="A12" s="13" t="inlineStr">
        <is>
          <t>4. Category-creation language commands price</t>
        </is>
      </c>
      <c r="B12" s="13" t="inlineStr">
        <is>
          <t>“Prebiotic soda”, “hydration multiplier” — escaping commodity comparison supports a ~$2–$3/can premium. Modern soda hit $1.8B in 2024 (+83% YoY, Circana).</t>
        </is>
      </c>
    </row>
    <row r="13" ht="78" customHeight="1">
      <c r="A13" s="12" t="inlineStr">
        <is>
          <t>5. The collagen graveyard is real</t>
        </is>
      </c>
      <c r="B13" s="12" t="inlineStr">
        <is>
          <t>Standalone “beauty collagen sparkling water” indie brands repeatedly flopped (Goldn Hour, BOONS, Luster &amp; Lum). A 2025 AJM meta-analysis found NO proven skin-aging benefit and an industry-funding bias — a live claims liability. Collagen-as-feature inside a broader brand survives; collagen-as-hero does not.</t>
        </is>
      </c>
    </row>
    <row r="14" ht="78" customHeight="1">
      <c r="A14" s="13" t="inlineStr">
        <is>
          <t>6. Claims discipline is existential</t>
        </is>
      </c>
      <c r="B14" s="13" t="inlineStr">
        <is>
          <t>Poppi paid $8.9M settling a gut-health claim its 2g fiber couldn't support. Dose to efficacy and use structure/function-safe language, or budget for litigation.</t>
        </is>
      </c>
    </row>
    <row r="15" ht="78" customHeight="1">
      <c r="A15" s="12" t="inlineStr">
        <is>
          <t>7. Canada is a FOOD, not an NHP, problem</t>
        </is>
      </c>
      <c r="B15" s="12" t="inlineStr">
        <is>
          <t>An RTD collagen can is regulated as a food/Supplemented Food (CFIA), not an NHP — so Organika's NPN-backed beauty claims do NOT transfer to the can, and a mandatory collagen caution statement applies. This reshapes the entire claim strategy.</t>
        </is>
      </c>
    </row>
    <row r="17" ht="92" customHeight="1">
      <c r="A17" s="17" t="inlineStr">
        <is>
          <t>RECOMMENDATION (detail on Tab 20): GO — conditional. Lead with a functional/benefit-forward proposition (gut + hydration + a credible collagen dose) under a “by Canada's #1 collagen brand” halo, NOT narrow beauty-from-within. Beachhead = Costco Canada + Amazon.ca + natural channel + Organika's existing pharmacy/health-food base. Price at/below the ~$3.49 CAD premium-functional shelf norm, protected by domestic production. Resolve the Supplemented-Foods claim/label pathway with regulatory counsel BEFORE artwork. Prove repeat rate before chasing doors.</t>
        </is>
      </c>
      <c r="B17" s="35" t="n"/>
    </row>
  </sheetData>
  <mergeCells count="6">
    <mergeCell ref="A4:B4"/>
    <mergeCell ref="A2:B2"/>
    <mergeCell ref="A7:B7"/>
    <mergeCell ref="A5:B5"/>
    <mergeCell ref="A1:B1"/>
    <mergeCell ref="A17:B17"/>
  </mergeCells>
  <hyperlinks>
    <hyperlink xmlns:r="http://schemas.openxmlformats.org/officeDocument/2006/relationships" ref="M1" r:id="rId1"/>
    <hyperlink xmlns:r="http://schemas.openxmlformats.org/officeDocument/2006/relationships" ref="N1" r:id="rId2"/>
  </hyperlinks>
  <pageMargins left="0.75" right="0.75" top="1" bottom="1" header="0.5" footer="0.5"/>
  <pageSetup orientation="landscape" fitToHeight="0" fitToWidth="1"/>
  <headerFooter>
    <oddHeader/>
    <oddFooter>&amp;LOrganika MUV — Competitor Intelligence (confidential draft)&amp;R&amp;P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C9A227"/>
    <outlinePr summaryBelow="1" summaryRight="1"/>
    <pageSetUpPr fitToPage="1"/>
  </sheetPr>
  <dimension ref="A1:N78"/>
  <sheetViews>
    <sheetView showGridLines="0" tabSelected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A1" s="1" t="inlineStr">
        <is>
          <t>Executive Dashboard</t>
        </is>
      </c>
      <c r="M1" s="95" t="inlineStr">
        <is>
          <t>🏠 Home</t>
        </is>
      </c>
      <c r="N1" s="95" t="inlineStr">
        <is>
          <t>↩ Contents</t>
        </is>
      </c>
    </row>
    <row r="2" ht="20" customHeight="1">
      <c r="A2" s="14" t="inlineStr">
        <is>
          <t>Category sizing · leader trajectories · share · competitive scores · MUV scenario P&amp;L</t>
        </is>
      </c>
    </row>
    <row r="4" ht="18" customHeight="1">
      <c r="A4" s="36" t="inlineStr">
        <is>
          <t>Modern soda US '24</t>
        </is>
      </c>
      <c r="B4" s="35" t="n"/>
      <c r="C4" s="36" t="inlineStr">
        <is>
          <t>Poppi → PepsiCo</t>
        </is>
      </c>
      <c r="D4" s="35" t="n"/>
      <c r="E4" s="36" t="inlineStr">
        <is>
          <t>OLIPOP valuation</t>
        </is>
      </c>
      <c r="F4" s="35" t="n"/>
      <c r="G4" s="36" t="inlineStr">
        <is>
          <t>Collagen-indie survival</t>
        </is>
      </c>
      <c r="H4" s="35" t="n"/>
      <c r="I4" s="36" t="inlineStr">
        <is>
          <t>Canada beachhead</t>
        </is>
      </c>
      <c r="J4" s="35" t="n"/>
    </row>
    <row r="5" ht="18" customHeight="1">
      <c r="A5" s="37" t="inlineStr">
        <is>
          <t>$1.8B</t>
        </is>
      </c>
      <c r="B5" s="35" t="n"/>
      <c r="C5" s="37" t="inlineStr">
        <is>
          <t>$1.95B</t>
        </is>
      </c>
      <c r="D5" s="35" t="n"/>
      <c r="E5" s="37" t="inlineStr">
        <is>
          <t>$1.85B</t>
        </is>
      </c>
      <c r="F5" s="35" t="n"/>
      <c r="G5" s="37" t="inlineStr">
        <is>
          <t>Low</t>
        </is>
      </c>
      <c r="H5" s="35" t="n"/>
      <c r="I5" s="37" t="inlineStr">
        <is>
          <t>Costco+Amazon</t>
        </is>
      </c>
      <c r="J5" s="35" t="n"/>
    </row>
    <row r="6" ht="18" customHeight="1">
      <c r="A6" s="38" t="inlineStr">
        <is>
          <t>+83% YoY</t>
        </is>
      </c>
      <c r="B6" s="35" t="n"/>
      <c r="C6" s="38" t="inlineStr">
        <is>
          <t>2025</t>
        </is>
      </c>
      <c r="D6" s="35" t="n"/>
      <c r="E6" s="38" t="inlineStr">
        <is>
          <t>2025</t>
        </is>
      </c>
      <c r="F6" s="35" t="n"/>
      <c r="G6" s="38" t="inlineStr">
        <is>
          <t>graveyard</t>
        </is>
      </c>
      <c r="H6" s="35" t="n"/>
      <c r="I6" s="38" t="inlineStr">
        <is>
          <t>proven</t>
        </is>
      </c>
      <c r="J6" s="35" t="n"/>
    </row>
    <row r="39">
      <c r="A39" s="41" t="inlineStr">
        <is>
          <t>Illustrative; built from cited research (see ‘24 Sources’). The P&amp;L chart is driven live by the Financial Model scenario dropdown.</t>
        </is>
      </c>
    </row>
    <row r="70" hidden="1">
      <c r="A70" s="40" t="inlineStr">
        <is>
          <t>Category $B</t>
        </is>
      </c>
      <c r="E70" s="40" t="inlineStr">
        <is>
          <t>Revenue $M</t>
        </is>
      </c>
      <c r="I70" s="40" t="inlineStr">
        <is>
          <t>Share %</t>
        </is>
      </c>
      <c r="M70" s="40" t="inlineStr">
        <is>
          <t>Score</t>
        </is>
      </c>
    </row>
    <row r="71" hidden="1">
      <c r="A71" s="41" t="inlineStr">
        <is>
          <t>Cat</t>
        </is>
      </c>
      <c r="B71" s="41" t="inlineStr">
        <is>
          <t>$B</t>
        </is>
      </c>
      <c r="E71" s="41" t="inlineStr">
        <is>
          <t>Yr</t>
        </is>
      </c>
      <c r="F71" s="41" t="inlineStr">
        <is>
          <t>Poppi</t>
        </is>
      </c>
      <c r="G71" s="41" t="inlineStr">
        <is>
          <t>OLIPOP</t>
        </is>
      </c>
      <c r="I71" s="41" t="inlineStr">
        <is>
          <t>Brand</t>
        </is>
      </c>
      <c r="J71" s="41" t="inlineStr">
        <is>
          <t>%</t>
        </is>
      </c>
      <c r="M71" s="41" t="inlineStr">
        <is>
          <t>Brand</t>
        </is>
      </c>
      <c r="N71" s="41" t="inlineStr">
        <is>
          <t>Score</t>
        </is>
      </c>
    </row>
    <row r="72" hidden="1">
      <c r="A72" t="inlineStr">
        <is>
          <t>Modern soda</t>
        </is>
      </c>
      <c r="B72" t="n">
        <v>1.8</v>
      </c>
      <c r="E72" t="n">
        <v>2020</v>
      </c>
      <c r="F72" t="n">
        <v>13</v>
      </c>
      <c r="G72" t="n">
        <v>20</v>
      </c>
      <c r="I72" t="inlineStr">
        <is>
          <t>Poppi</t>
        </is>
      </c>
      <c r="J72" t="n">
        <v>38</v>
      </c>
      <c r="M72" t="inlineStr">
        <is>
          <t>Poppi</t>
        </is>
      </c>
      <c r="N72" t="n">
        <v>3.85</v>
      </c>
    </row>
    <row r="73" hidden="1">
      <c r="A73" t="inlineStr">
        <is>
          <t>Hydration powder</t>
        </is>
      </c>
      <c r="B73" t="n">
        <v>1.5</v>
      </c>
      <c r="E73" t="n">
        <v>2021</v>
      </c>
      <c r="F73" t="n">
        <v>26</v>
      </c>
      <c r="G73" t="n">
        <v>40</v>
      </c>
      <c r="I73" t="inlineStr">
        <is>
          <t>OLIPOP</t>
        </is>
      </c>
      <c r="J73" t="n">
        <v>32.7</v>
      </c>
      <c r="M73" t="inlineStr">
        <is>
          <t>OLIPOP</t>
        </is>
      </c>
      <c r="N73" t="n">
        <v>4</v>
      </c>
    </row>
    <row r="74" hidden="1">
      <c r="A74" t="inlineStr">
        <is>
          <t>Electrolyte powder</t>
        </is>
      </c>
      <c r="B74" t="n">
        <v>2.8</v>
      </c>
      <c r="E74" t="n">
        <v>2022</v>
      </c>
      <c r="F74" t="n">
        <v>65</v>
      </c>
      <c r="G74" t="n">
        <v>73</v>
      </c>
      <c r="I74" t="inlineStr">
        <is>
          <t>Zevia</t>
        </is>
      </c>
      <c r="J74" t="n">
        <v>12.1</v>
      </c>
      <c r="M74" t="inlineStr">
        <is>
          <t>LMNT</t>
        </is>
      </c>
      <c r="N74" t="n">
        <v>3.5</v>
      </c>
    </row>
    <row r="75" hidden="1">
      <c r="A75" t="inlineStr">
        <is>
          <t>Sparkling water</t>
        </is>
      </c>
      <c r="B75" t="n">
        <v>6.9</v>
      </c>
      <c r="E75" t="n">
        <v>2023</v>
      </c>
      <c r="F75" t="n">
        <v>100</v>
      </c>
      <c r="G75" t="n">
        <v>200</v>
      </c>
      <c r="I75" t="inlineStr">
        <is>
          <t>Jarritos</t>
        </is>
      </c>
      <c r="J75" t="n">
        <v>10.3</v>
      </c>
      <c r="M75" t="inlineStr">
        <is>
          <t>Liquid I.V.</t>
        </is>
      </c>
      <c r="N75" t="n">
        <v>3.85</v>
      </c>
    </row>
    <row r="76" hidden="1">
      <c r="A76" t="inlineStr">
        <is>
          <t>Collagen bev US</t>
        </is>
      </c>
      <c r="B76" t="n">
        <v>0.05</v>
      </c>
      <c r="E76" t="n">
        <v>2024</v>
      </c>
      <c r="F76" t="n">
        <v>500</v>
      </c>
      <c r="G76" t="n">
        <v>400</v>
      </c>
      <c r="I76" t="inlineStr">
        <is>
          <t>Fever-Tree</t>
        </is>
      </c>
      <c r="J76" t="n">
        <v>4</v>
      </c>
      <c r="M76" t="inlineStr">
        <is>
          <t>Vital Proteins</t>
        </is>
      </c>
      <c r="N76" t="n">
        <v>3.8</v>
      </c>
    </row>
    <row r="77" hidden="1">
      <c r="A77" t="inlineStr">
        <is>
          <t>BFW global</t>
        </is>
      </c>
      <c r="B77" t="n">
        <v>3.24</v>
      </c>
      <c r="I77" t="inlineStr">
        <is>
          <t>Other</t>
        </is>
      </c>
      <c r="J77" t="n">
        <v>2.9</v>
      </c>
      <c r="M77" t="inlineStr">
        <is>
          <t>Recess</t>
        </is>
      </c>
      <c r="N77" t="n">
        <v>3</v>
      </c>
    </row>
    <row r="78" hidden="1">
      <c r="M78" t="inlineStr">
        <is>
          <t>MUV (Organika)</t>
        </is>
      </c>
      <c r="N78" t="n">
        <v>3.05</v>
      </c>
    </row>
    <row r="79" hidden="1"/>
    <row r="80" hidden="1"/>
    <row r="81" hidden="1"/>
  </sheetData>
  <mergeCells count="18">
    <mergeCell ref="A4:B4"/>
    <mergeCell ref="G4:H4"/>
    <mergeCell ref="A2:L2"/>
    <mergeCell ref="E4:F4"/>
    <mergeCell ref="E6:F6"/>
    <mergeCell ref="C6:D6"/>
    <mergeCell ref="I4:J4"/>
    <mergeCell ref="I6:J6"/>
    <mergeCell ref="A1:L1"/>
    <mergeCell ref="C5:D5"/>
    <mergeCell ref="A5:B5"/>
    <mergeCell ref="G5:H5"/>
    <mergeCell ref="E5:F5"/>
    <mergeCell ref="I5:J5"/>
    <mergeCell ref="G6:H6"/>
    <mergeCell ref="A39:L39"/>
    <mergeCell ref="A6:B6"/>
    <mergeCell ref="C4:D4"/>
  </mergeCells>
  <hyperlinks>
    <hyperlink xmlns:r="http://schemas.openxmlformats.org/officeDocument/2006/relationships" ref="M1" r:id="rId1"/>
    <hyperlink xmlns:r="http://schemas.openxmlformats.org/officeDocument/2006/relationships" ref="N1" r:id="rId2"/>
  </hyperlinks>
  <pageMargins left="0.75" right="0.75" top="1" bottom="1" header="0.5" footer="0.5"/>
  <pageSetup orientation="landscape" fitToHeight="0" fitToWidth="1"/>
  <headerFooter>
    <oddHeader/>
    <oddFooter>&amp;LOrganika MUV — Competitor Intelligence (confidential draft)&amp;R&amp;P of &amp;N</oddFooter>
    <evenHeader/>
    <evenFooter/>
    <firstHeader/>
    <firstFooter/>
  </headerFooter>
  <drawing xmlns:r="http://schemas.openxmlformats.org/officeDocument/2006/relationships" r:id="rId3"/>
</worksheet>
</file>

<file path=xl/worksheets/sheet7.xml><?xml version="1.0" encoding="utf-8"?>
<worksheet xmlns="http://schemas.openxmlformats.org/spreadsheetml/2006/main">
  <sheetPr>
    <tabColor rgb="00C9A227"/>
    <outlinePr summaryBelow="1" summaryRight="1"/>
    <pageSetUpPr fitToPage="1"/>
  </sheetPr>
  <dimension ref="A1:N61"/>
  <sheetViews>
    <sheetView showGridLines="0" tabSelected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4" customWidth="1" min="7" max="7"/>
    <col width="30" customWidth="1" min="8" max="8"/>
  </cols>
  <sheetData>
    <row r="1" ht="30" customHeight="1">
      <c r="A1" s="1" t="inlineStr">
        <is>
          <t>MUV Financial Model — Scenario P&amp;L, Break-even &amp; Sensitivity</t>
        </is>
      </c>
      <c r="M1" s="95" t="inlineStr">
        <is>
          <t>🏠 Home</t>
        </is>
      </c>
      <c r="N1" s="95" t="inlineStr">
        <is>
          <t>↩ Contents</t>
        </is>
      </c>
    </row>
    <row r="2" ht="20" customHeight="1">
      <c r="A2" s="14" t="inlineStr">
        <is>
          <t>Pick a scenario in the dropdown (C4). Yellow = editable inputs; white = live formulas. Illustrative, not a forecast.</t>
        </is>
      </c>
    </row>
    <row r="4">
      <c r="B4" s="62" t="inlineStr">
        <is>
          <t>Scenario (pick):</t>
        </is>
      </c>
      <c r="C4" s="122" t="inlineStr">
        <is>
          <t>Base</t>
        </is>
      </c>
      <c r="F4" s="64" t="inlineStr">
        <is>
          <t>← change this dropdown to flip the whole model</t>
        </is>
      </c>
    </row>
    <row r="5">
      <c r="B5" s="65" t="inlineStr">
        <is>
          <t>Scenario index:</t>
        </is>
      </c>
      <c r="C5" s="66">
        <f>MATCH(C4,{"Conservative","Base","Aggressive"},0)</f>
        <v/>
      </c>
    </row>
    <row r="6">
      <c r="F6" s="123" t="inlineStr">
        <is>
          <t>LEGEND</t>
        </is>
      </c>
    </row>
    <row r="7">
      <c r="B7" s="11" t="inlineStr">
        <is>
          <t>Assumption</t>
        </is>
      </c>
      <c r="C7" s="11" t="inlineStr">
        <is>
          <t>Conservative</t>
        </is>
      </c>
      <c r="D7" s="11" t="inlineStr">
        <is>
          <t>Base</t>
        </is>
      </c>
      <c r="E7" s="11" t="inlineStr">
        <is>
          <t>Aggressive</t>
        </is>
      </c>
      <c r="F7" s="124" t="inlineStr">
        <is>
          <t xml:space="preserve">  edit me  </t>
        </is>
      </c>
      <c r="G7" s="125">
        <f> yellow input cell</f>
        <v/>
      </c>
    </row>
    <row r="8" ht="16" customHeight="1">
      <c r="B8" s="65" t="inlineStr">
        <is>
          <t>List price / can (CAD)</t>
        </is>
      </c>
      <c r="C8" s="126" t="n">
        <v>3.29</v>
      </c>
      <c r="D8" s="126" t="n">
        <v>3.49</v>
      </c>
      <c r="E8" s="126" t="n">
        <v>3.79</v>
      </c>
      <c r="F8" s="127" t="inlineStr">
        <is>
          <t xml:space="preserve">  formula  </t>
        </is>
      </c>
      <c r="G8" s="125">
        <f> calculated (locked)</f>
        <v/>
      </c>
    </row>
    <row r="9" ht="16" customHeight="1">
      <c r="B9" s="65" t="inlineStr">
        <is>
          <t>COGS / can (CAD)</t>
        </is>
      </c>
      <c r="C9" s="126" t="n">
        <v>1.2</v>
      </c>
      <c r="D9" s="126" t="n">
        <v>1.05</v>
      </c>
      <c r="E9" s="126" t="n">
        <v>0.95</v>
      </c>
      <c r="F9" s="67">
        <f>CHOOSE($C$5,C9,D9,E9)</f>
        <v/>
      </c>
    </row>
    <row r="10" ht="16" customHeight="1">
      <c r="B10" s="65" t="inlineStr">
        <is>
          <t>Retailer margin %</t>
        </is>
      </c>
      <c r="C10" s="128" t="n">
        <v>0.38</v>
      </c>
      <c r="D10" s="128" t="n">
        <v>0.35</v>
      </c>
      <c r="E10" s="128" t="n">
        <v>0.33</v>
      </c>
      <c r="F10" s="68">
        <f>CHOOSE($C$5,C10,D10,E10)</f>
        <v/>
      </c>
    </row>
    <row r="11" ht="16" customHeight="1">
      <c r="B11" s="65" t="inlineStr">
        <is>
          <t>Distributor margin %</t>
        </is>
      </c>
      <c r="C11" s="128" t="n">
        <v>0.18</v>
      </c>
      <c r="D11" s="128" t="n">
        <v>0.15</v>
      </c>
      <c r="E11" s="128" t="n">
        <v>0.12</v>
      </c>
      <c r="F11" s="68">
        <f>CHOOSE($C$5,C11,D11,E11)</f>
        <v/>
      </c>
    </row>
    <row r="12" ht="16" customHeight="1">
      <c r="B12" s="65" t="inlineStr">
        <is>
          <t>Trade spend % of net</t>
        </is>
      </c>
      <c r="C12" s="128" t="n">
        <v>0.25</v>
      </c>
      <c r="D12" s="128" t="n">
        <v>0.2</v>
      </c>
      <c r="E12" s="128" t="n">
        <v>0.15</v>
      </c>
      <c r="F12" s="68">
        <f>CHOOSE($C$5,C12,D12,E12)</f>
        <v/>
      </c>
    </row>
    <row r="13" ht="16" customHeight="1">
      <c r="B13" s="65" t="inlineStr">
        <is>
          <t>Cans per case</t>
        </is>
      </c>
      <c r="C13" s="129" t="n">
        <v>12</v>
      </c>
      <c r="D13" s="129" t="n">
        <v>12</v>
      </c>
      <c r="E13" s="129" t="n">
        <v>12</v>
      </c>
      <c r="F13" s="69">
        <f>CHOOSE($C$5,C13,D13,E13)</f>
        <v/>
      </c>
    </row>
    <row r="14" ht="16" customHeight="1">
      <c r="B14" s="65" t="inlineStr">
        <is>
          <t>Doors — Year 1</t>
        </is>
      </c>
      <c r="C14" s="130" t="n">
        <v>300</v>
      </c>
      <c r="D14" s="130" t="n">
        <v>500</v>
      </c>
      <c r="E14" s="130" t="n">
        <v>900</v>
      </c>
      <c r="F14" s="70">
        <f>CHOOSE($C$5,C14,D14,E14)</f>
        <v/>
      </c>
    </row>
    <row r="15" ht="16" customHeight="1">
      <c r="B15" s="65" t="inlineStr">
        <is>
          <t>Doors — Year 2</t>
        </is>
      </c>
      <c r="C15" s="130" t="n">
        <v>1200</v>
      </c>
      <c r="D15" s="130" t="n">
        <v>2000</v>
      </c>
      <c r="E15" s="130" t="n">
        <v>3500</v>
      </c>
      <c r="F15" s="70">
        <f>CHOOSE($C$5,C15,D15,E15)</f>
        <v/>
      </c>
    </row>
    <row r="16" ht="16" customHeight="1">
      <c r="B16" s="65" t="inlineStr">
        <is>
          <t>Doors — Year 3</t>
        </is>
      </c>
      <c r="C16" s="130" t="n">
        <v>3500</v>
      </c>
      <c r="D16" s="130" t="n">
        <v>6000</v>
      </c>
      <c r="E16" s="130" t="n">
        <v>11000</v>
      </c>
      <c r="F16" s="70">
        <f>CHOOSE($C$5,C16,D16,E16)</f>
        <v/>
      </c>
    </row>
    <row r="17" ht="16" customHeight="1">
      <c r="B17" s="65" t="inlineStr">
        <is>
          <t>Velocity Y1 (u/store/wk)</t>
        </is>
      </c>
      <c r="C17" s="131" t="n">
        <v>2</v>
      </c>
      <c r="D17" s="131" t="n">
        <v>3</v>
      </c>
      <c r="E17" s="131" t="n">
        <v>4.5</v>
      </c>
      <c r="F17" s="71">
        <f>CHOOSE($C$5,C17,D17,E17)</f>
        <v/>
      </c>
    </row>
    <row r="18" ht="16" customHeight="1">
      <c r="B18" s="65" t="inlineStr">
        <is>
          <t>Velocity Y2 (u/store/wk)</t>
        </is>
      </c>
      <c r="C18" s="131" t="n">
        <v>3</v>
      </c>
      <c r="D18" s="131" t="n">
        <v>4</v>
      </c>
      <c r="E18" s="131" t="n">
        <v>6</v>
      </c>
      <c r="F18" s="71">
        <f>CHOOSE($C$5,C18,D18,E18)</f>
        <v/>
      </c>
    </row>
    <row r="19" ht="16" customHeight="1">
      <c r="B19" s="65" t="inlineStr">
        <is>
          <t>Velocity Y3 (u/store/wk)</t>
        </is>
      </c>
      <c r="C19" s="131" t="n">
        <v>3.5</v>
      </c>
      <c r="D19" s="131" t="n">
        <v>5</v>
      </c>
      <c r="E19" s="131" t="n">
        <v>7.5</v>
      </c>
      <c r="F19" s="71">
        <f>CHOOSE($C$5,C19,D19,E19)</f>
        <v/>
      </c>
    </row>
    <row r="20" ht="16" customHeight="1">
      <c r="B20" s="65" t="inlineStr">
        <is>
          <t>Marketing / year (CAD)</t>
        </is>
      </c>
      <c r="C20" s="132" t="n">
        <v>150000</v>
      </c>
      <c r="D20" s="132" t="n">
        <v>300000</v>
      </c>
      <c r="E20" s="132" t="n">
        <v>600000</v>
      </c>
      <c r="F20" s="73">
        <f>CHOOSE($C$5,C20,D20,E20)</f>
        <v/>
      </c>
    </row>
    <row r="21" ht="16" customHeight="1">
      <c r="B21" s="65" t="inlineStr">
        <is>
          <t>Fixed overhead / year (CAD)</t>
        </is>
      </c>
      <c r="C21" s="132" t="n">
        <v>250000</v>
      </c>
      <c r="D21" s="132" t="n">
        <v>350000</v>
      </c>
      <c r="E21" s="132" t="n">
        <v>500000</v>
      </c>
      <c r="F21" s="73">
        <f>CHOOSE($C$5,C21,D21,E21)</f>
        <v/>
      </c>
    </row>
    <row r="22" ht="16" customHeight="1">
      <c r="B22" s="65" t="inlineStr">
        <is>
          <t>Slotting (Year 1 one-time)</t>
        </is>
      </c>
      <c r="C22" s="132" t="n">
        <v>50000</v>
      </c>
      <c r="D22" s="132" t="n">
        <v>100000</v>
      </c>
      <c r="E22" s="132" t="n">
        <v>200000</v>
      </c>
      <c r="F22" s="73">
        <f>CHOOSE($C$5,C22,D22,E22)</f>
        <v/>
      </c>
    </row>
    <row r="24">
      <c r="A24" s="42" t="inlineStr">
        <is>
          <t>PER-CAN ECONOMICS (active scenario)</t>
        </is>
      </c>
    </row>
    <row r="25">
      <c r="B25" s="62" t="inlineStr">
        <is>
          <t>Net revenue / can</t>
        </is>
      </c>
      <c r="C25" s="48">
        <f>$F$8*(1-$F$10)*(1-$F$11)</f>
        <v/>
      </c>
    </row>
    <row r="26">
      <c r="B26" s="62" t="inlineStr">
        <is>
          <t>Gross profit / can</t>
        </is>
      </c>
      <c r="C26" s="48">
        <f>C25-$F$9</f>
        <v/>
      </c>
    </row>
    <row r="27">
      <c r="B27" s="62" t="inlineStr">
        <is>
          <t>Gross margin %</t>
        </is>
      </c>
      <c r="C27" s="49">
        <f>C26/C25</f>
        <v/>
      </c>
    </row>
    <row r="28">
      <c r="B28" s="65" t="inlineStr">
        <is>
          <t>Trade spend / can</t>
        </is>
      </c>
      <c r="C28" s="50">
        <f>C25*$F$12</f>
        <v/>
      </c>
    </row>
    <row r="29">
      <c r="B29" s="62" t="inlineStr">
        <is>
          <t>Contribution / can</t>
        </is>
      </c>
      <c r="C29" s="48">
        <f>C26-C28</f>
        <v/>
      </c>
    </row>
    <row r="31">
      <c r="A31" s="42" t="inlineStr">
        <is>
          <t>3-YEAR P&amp;L  (CAD)</t>
        </is>
      </c>
    </row>
    <row r="32">
      <c r="B32" s="74" t="inlineStr">
        <is>
          <t>Line</t>
        </is>
      </c>
      <c r="C32" s="74" t="inlineStr">
        <is>
          <t>Year 1</t>
        </is>
      </c>
      <c r="D32" s="74" t="inlineStr">
        <is>
          <t>Year 2</t>
        </is>
      </c>
      <c r="E32" s="74" t="inlineStr">
        <is>
          <t>Year 3</t>
        </is>
      </c>
    </row>
    <row r="33">
      <c r="B33" s="65" t="inlineStr">
        <is>
          <t>Distribution (doors)</t>
        </is>
      </c>
      <c r="C33" s="53">
        <f>$F$14</f>
        <v/>
      </c>
      <c r="D33" s="53">
        <f>$F$15</f>
        <v/>
      </c>
      <c r="E33" s="53">
        <f>$F$16</f>
        <v/>
      </c>
    </row>
    <row r="34">
      <c r="B34" s="65" t="inlineStr">
        <is>
          <t>Velocity (u/store/wk)</t>
        </is>
      </c>
      <c r="C34" s="75">
        <f>$F$17</f>
        <v/>
      </c>
      <c r="D34" s="75">
        <f>$F$18</f>
        <v/>
      </c>
      <c r="E34" s="75">
        <f>$F$19</f>
        <v/>
      </c>
    </row>
    <row r="35">
      <c r="B35" s="65" t="inlineStr">
        <is>
          <t>Annual units</t>
        </is>
      </c>
      <c r="C35" s="53">
        <f>C33*C34*52</f>
        <v/>
      </c>
      <c r="D35" s="53">
        <f>D33*D34*52</f>
        <v/>
      </c>
      <c r="E35" s="53">
        <f>E33*E34*52</f>
        <v/>
      </c>
    </row>
    <row r="36">
      <c r="B36" s="62" t="inlineStr">
        <is>
          <t>Net revenue</t>
        </is>
      </c>
      <c r="C36" s="54">
        <f>C35*$C$25</f>
        <v/>
      </c>
      <c r="D36" s="54">
        <f>D35*$C$25</f>
        <v/>
      </c>
      <c r="E36" s="54">
        <f>E35*$C$25</f>
        <v/>
      </c>
    </row>
    <row r="37">
      <c r="B37" s="65" t="inlineStr">
        <is>
          <t>COGS</t>
        </is>
      </c>
      <c r="C37" s="55">
        <f>-C35*$F$9</f>
        <v/>
      </c>
      <c r="D37" s="55">
        <f>-D35*$F$9</f>
        <v/>
      </c>
      <c r="E37" s="55">
        <f>-E35*$F$9</f>
        <v/>
      </c>
    </row>
    <row r="38">
      <c r="B38" s="62" t="inlineStr">
        <is>
          <t>Gross profit</t>
        </is>
      </c>
      <c r="C38" s="54">
        <f>C36+C37</f>
        <v/>
      </c>
      <c r="D38" s="54">
        <f>D36+D37</f>
        <v/>
      </c>
      <c r="E38" s="54">
        <f>E36+E37</f>
        <v/>
      </c>
    </row>
    <row r="39">
      <c r="B39" s="65" t="inlineStr">
        <is>
          <t>Trade spend</t>
        </is>
      </c>
      <c r="C39" s="55">
        <f>-C35*$C$28</f>
        <v/>
      </c>
      <c r="D39" s="55">
        <f>-D35*$C$28</f>
        <v/>
      </c>
      <c r="E39" s="55">
        <f>-E35*$C$28</f>
        <v/>
      </c>
    </row>
    <row r="40">
      <c r="B40" s="65" t="inlineStr">
        <is>
          <t>Marketing</t>
        </is>
      </c>
      <c r="C40" s="55">
        <f>-$F$20</f>
        <v/>
      </c>
      <c r="D40" s="55">
        <f>-$F$20</f>
        <v/>
      </c>
      <c r="E40" s="55">
        <f>-$F$20</f>
        <v/>
      </c>
    </row>
    <row r="41">
      <c r="B41" s="65" t="inlineStr">
        <is>
          <t>Fixed overhead</t>
        </is>
      </c>
      <c r="C41" s="55">
        <f>-$F$21</f>
        <v/>
      </c>
      <c r="D41" s="55">
        <f>-$F$21</f>
        <v/>
      </c>
      <c r="E41" s="55">
        <f>-$F$21</f>
        <v/>
      </c>
    </row>
    <row r="42">
      <c r="B42" s="65" t="inlineStr">
        <is>
          <t>Slotting (one-time)</t>
        </is>
      </c>
      <c r="C42" s="55">
        <f>-$F$22</f>
        <v/>
      </c>
      <c r="D42" s="55">
        <f>0</f>
        <v/>
      </c>
      <c r="E42" s="55">
        <f>0</f>
        <v/>
      </c>
    </row>
    <row r="43">
      <c r="B43" s="62" t="inlineStr">
        <is>
          <t>EBITDA</t>
        </is>
      </c>
      <c r="C43" s="73">
        <f>C38+C40+C41+C42+C39</f>
        <v/>
      </c>
      <c r="D43" s="73">
        <f>D38+D40+D41+D42+D39</f>
        <v/>
      </c>
      <c r="E43" s="73">
        <f>E38+E40+E41+E42+E39</f>
        <v/>
      </c>
    </row>
    <row r="44">
      <c r="B44" s="65" t="inlineStr">
        <is>
          <t>EBITDA margin %</t>
        </is>
      </c>
      <c r="C44" s="76">
        <f>C43/C36</f>
        <v/>
      </c>
      <c r="D44" s="76">
        <f>D43/D36</f>
        <v/>
      </c>
      <c r="E44" s="76">
        <f>E43/E36</f>
        <v/>
      </c>
    </row>
    <row r="46">
      <c r="A46" s="42" t="inlineStr">
        <is>
          <t>BREAK-EVEN (Year-1 cost load ÷ contribution per can)</t>
        </is>
      </c>
    </row>
    <row r="47">
      <c r="B47" s="65" t="inlineStr">
        <is>
          <t>Year-1 fixed + marketing + slotting</t>
        </is>
      </c>
      <c r="C47" s="54">
        <f>$F$20+$F$21+$F$22</f>
        <v/>
      </c>
    </row>
    <row r="48">
      <c r="B48" s="65" t="inlineStr">
        <is>
          <t>Break-even units (cans)</t>
        </is>
      </c>
      <c r="C48" s="77">
        <f>C47/$C$29</f>
        <v/>
      </c>
    </row>
    <row r="49">
      <c r="B49" s="65" t="inlineStr">
        <is>
          <t>Break-even cases</t>
        </is>
      </c>
      <c r="C49" s="53">
        <f>C48/$F$13</f>
        <v/>
      </c>
    </row>
    <row r="50">
      <c r="B50" s="65" t="inlineStr">
        <is>
          <t>Year-1 actual units</t>
        </is>
      </c>
      <c r="C50" s="53">
        <f>C35</f>
        <v/>
      </c>
    </row>
    <row r="51">
      <c r="B51" s="62" t="inlineStr">
        <is>
          <t>Year-1 surplus / (gap) to break-even</t>
        </is>
      </c>
      <c r="C51" s="78">
        <f>C50-C48</f>
        <v/>
      </c>
    </row>
    <row r="53">
      <c r="A53" s="42" t="inlineStr">
        <is>
          <t>SENSITIVITY — Contribution per can (CAD):  price (down) × COGS (across), active margins</t>
        </is>
      </c>
    </row>
    <row r="54">
      <c r="C54" s="41" t="inlineStr">
        <is>
          <t>P＼COGS</t>
        </is>
      </c>
      <c r="D54" s="79" t="n">
        <v>0.85</v>
      </c>
      <c r="E54" s="79" t="n">
        <v>0.95</v>
      </c>
      <c r="F54" s="79" t="n">
        <v>1.05</v>
      </c>
      <c r="G54" s="79" t="n">
        <v>1.2</v>
      </c>
      <c r="H54" s="79" t="n">
        <v>1.35</v>
      </c>
    </row>
    <row r="55">
      <c r="C55" s="79" t="n">
        <v>3.09</v>
      </c>
      <c r="D55" s="80">
        <f>($C55*(1-$F$10)*(1-$F$11))*(1-$F$12)-D$54</f>
        <v/>
      </c>
      <c r="E55" s="80">
        <f>($C55*(1-$F$10)*(1-$F$11))*(1-$F$12)-E$54</f>
        <v/>
      </c>
      <c r="F55" s="80">
        <f>($C55*(1-$F$10)*(1-$F$11))*(1-$F$12)-F$54</f>
        <v/>
      </c>
      <c r="G55" s="80">
        <f>($C55*(1-$F$10)*(1-$F$11))*(1-$F$12)-G$54</f>
        <v/>
      </c>
      <c r="H55" s="80">
        <f>($C55*(1-$F$10)*(1-$F$11))*(1-$F$12)-H$54</f>
        <v/>
      </c>
    </row>
    <row r="56">
      <c r="C56" s="79" t="n">
        <v>3.29</v>
      </c>
      <c r="D56" s="80">
        <f>($C56*(1-$F$10)*(1-$F$11))*(1-$F$12)-D$54</f>
        <v/>
      </c>
      <c r="E56" s="80">
        <f>($C56*(1-$F$10)*(1-$F$11))*(1-$F$12)-E$54</f>
        <v/>
      </c>
      <c r="F56" s="80">
        <f>($C56*(1-$F$10)*(1-$F$11))*(1-$F$12)-F$54</f>
        <v/>
      </c>
      <c r="G56" s="80">
        <f>($C56*(1-$F$10)*(1-$F$11))*(1-$F$12)-G$54</f>
        <v/>
      </c>
      <c r="H56" s="80">
        <f>($C56*(1-$F$10)*(1-$F$11))*(1-$F$12)-H$54</f>
        <v/>
      </c>
    </row>
    <row r="57">
      <c r="C57" s="79" t="n">
        <v>3.49</v>
      </c>
      <c r="D57" s="80">
        <f>($C57*(1-$F$10)*(1-$F$11))*(1-$F$12)-D$54</f>
        <v/>
      </c>
      <c r="E57" s="80">
        <f>($C57*(1-$F$10)*(1-$F$11))*(1-$F$12)-E$54</f>
        <v/>
      </c>
      <c r="F57" s="80">
        <f>($C57*(1-$F$10)*(1-$F$11))*(1-$F$12)-F$54</f>
        <v/>
      </c>
      <c r="G57" s="80">
        <f>($C57*(1-$F$10)*(1-$F$11))*(1-$F$12)-G$54</f>
        <v/>
      </c>
      <c r="H57" s="80">
        <f>($C57*(1-$F$10)*(1-$F$11))*(1-$F$12)-H$54</f>
        <v/>
      </c>
    </row>
    <row r="58">
      <c r="C58" s="79" t="n">
        <v>3.69</v>
      </c>
      <c r="D58" s="80">
        <f>($C58*(1-$F$10)*(1-$F$11))*(1-$F$12)-D$54</f>
        <v/>
      </c>
      <c r="E58" s="80">
        <f>($C58*(1-$F$10)*(1-$F$11))*(1-$F$12)-E$54</f>
        <v/>
      </c>
      <c r="F58" s="80">
        <f>($C58*(1-$F$10)*(1-$F$11))*(1-$F$12)-F$54</f>
        <v/>
      </c>
      <c r="G58" s="80">
        <f>($C58*(1-$F$10)*(1-$F$11))*(1-$F$12)-G$54</f>
        <v/>
      </c>
      <c r="H58" s="80">
        <f>($C58*(1-$F$10)*(1-$F$11))*(1-$F$12)-H$54</f>
        <v/>
      </c>
    </row>
    <row r="59">
      <c r="C59" s="79" t="n">
        <v>3.99</v>
      </c>
      <c r="D59" s="80">
        <f>($C59*(1-$F$10)*(1-$F$11))*(1-$F$12)-D$54</f>
        <v/>
      </c>
      <c r="E59" s="80">
        <f>($C59*(1-$F$10)*(1-$F$11))*(1-$F$12)-E$54</f>
        <v/>
      </c>
      <c r="F59" s="80">
        <f>($C59*(1-$F$10)*(1-$F$11))*(1-$F$12)-F$54</f>
        <v/>
      </c>
      <c r="G59" s="80">
        <f>($C59*(1-$F$10)*(1-$F$11))*(1-$F$12)-G$54</f>
        <v/>
      </c>
      <c r="H59" s="80">
        <f>($C59*(1-$F$10)*(1-$F$11))*(1-$F$12)-H$54</f>
        <v/>
      </c>
    </row>
    <row r="61" ht="58" customHeight="1">
      <c r="A61" s="6" t="inlineStr">
        <is>
          <t>Scenario logic: the ACTIVE column = CHOOSE(scenario, Conservative, Base, Aggressive); every downstream cell reads ACTIVE, so the dropdown re-drives the entire P&amp;L, break-even and (margins) sensitivity. EBITDA excludes freight/FX and financing — add as further lines for a full forecast. Replace all yellow cells with real co-packer, distributor and buyer numbers before relying on outputs.</t>
        </is>
      </c>
      <c r="B61" s="34" t="n"/>
      <c r="C61" s="34" t="n"/>
      <c r="D61" s="34" t="n"/>
      <c r="E61" s="34" t="n"/>
      <c r="F61" s="34" t="n"/>
      <c r="G61" s="34" t="n"/>
      <c r="H61" s="35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/>
  <mergeCells count="7">
    <mergeCell ref="A53:H53"/>
    <mergeCell ref="A24:H24"/>
    <mergeCell ref="A2:H2"/>
    <mergeCell ref="A1:H1"/>
    <mergeCell ref="A46:H46"/>
    <mergeCell ref="A31:H31"/>
    <mergeCell ref="A61:H61"/>
  </mergeCells>
  <conditionalFormatting sqref="D55:H5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6:E36">
    <cfRule type="dataBar" priority="2">
      <dataBar>
        <cfvo type="min"/>
        <cfvo type="max"/>
        <color rgb="003E5C76"/>
      </dataBar>
    </cfRule>
  </conditionalFormatting>
  <conditionalFormatting sqref="C43:E43">
    <cfRule type="dataBar" priority="3">
      <dataBar>
        <cfvo type="min"/>
        <cfvo type="max"/>
        <color rgb="001E7D32"/>
      </dataBar>
    </cfRule>
  </conditionalFormatting>
  <dataValidations count="1">
    <dataValidation sqref="C4" showDropDown="0" showInputMessage="0" showErrorMessage="0" allowBlank="0" type="list">
      <formula1>"Conservative,Base,Aggressive"</formula1>
    </dataValidation>
  </dataValidations>
  <hyperlinks>
    <hyperlink xmlns:r="http://schemas.openxmlformats.org/officeDocument/2006/relationships" ref="M1" r:id="rId1"/>
    <hyperlink xmlns:r="http://schemas.openxmlformats.org/officeDocument/2006/relationships" ref="N1" r:id="rId2"/>
  </hyperlinks>
  <pageMargins left="0.75" right="0.75" top="1" bottom="1" header="0.5" footer="0.5"/>
  <pageSetup orientation="landscape" fitToHeight="0" fitToWidth="1"/>
  <headerFooter>
    <oddHeader/>
    <oddFooter>&amp;LOrganika MUV — Competitor Intelligence (confidential draft)&amp;R&amp;P of &amp;N</oddFooter>
    <evenHeader/>
    <evenFooter/>
    <firstHeader/>
    <firstFooter/>
  </headerFooter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00C9A227"/>
    <outlinePr summaryBelow="1" summaryRight="1"/>
    <pageSetUpPr fitToPage="1"/>
  </sheetPr>
  <dimension ref="A1:M1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52" customWidth="1" min="5" max="5"/>
  </cols>
  <sheetData>
    <row r="1" ht="26" customHeight="1">
      <c r="A1" s="143" t="inlineStr">
        <is>
          <t>Assumptions Audit — every model input, with source &amp; confidence</t>
        </is>
      </c>
      <c r="M1" s="95" t="inlineStr">
        <is>
          <t>🏠 Home</t>
        </is>
      </c>
    </row>
    <row r="3">
      <c r="A3" s="74" t="inlineStr">
        <is>
          <t>Input</t>
        </is>
      </c>
      <c r="B3" s="74" t="inlineStr">
        <is>
          <t>Conservative</t>
        </is>
      </c>
      <c r="C3" s="74" t="inlineStr">
        <is>
          <t>Base</t>
        </is>
      </c>
      <c r="D3" s="74" t="inlineStr">
        <is>
          <t>Aggressive</t>
        </is>
      </c>
      <c r="E3" s="74" t="inlineStr">
        <is>
          <t>Source / confidence</t>
        </is>
      </c>
    </row>
    <row r="4" ht="26" customHeight="1">
      <c r="A4" s="57" t="inlineStr">
        <is>
          <t>List price / can (CAD)</t>
        </is>
      </c>
      <c r="B4" s="144" t="inlineStr">
        <is>
          <t>$3.29</t>
        </is>
      </c>
      <c r="C4" s="144" t="inlineStr">
        <is>
          <t>$3.49</t>
        </is>
      </c>
      <c r="D4" s="144" t="inlineStr">
        <is>
          <t>$3.79</t>
        </is>
      </c>
      <c r="E4" s="103" t="inlineStr">
        <is>
          <t>MÜV SRP ~$14.99/pack; per-can set vs ~$3.49 CAD premium shelf norm ◐</t>
        </is>
      </c>
    </row>
    <row r="5" ht="26" customHeight="1">
      <c r="A5" s="59" t="inlineStr">
        <is>
          <t>COGS / can (CAD)</t>
        </is>
      </c>
      <c r="B5" s="145" t="inlineStr">
        <is>
          <t>$1.20</t>
        </is>
      </c>
      <c r="C5" s="145" t="inlineStr">
        <is>
          <t>$1.05</t>
        </is>
      </c>
      <c r="D5" s="145" t="inlineStr">
        <is>
          <t>$0.95</t>
        </is>
      </c>
      <c r="E5" s="146" t="inlineStr">
        <is>
          <t>Industry rule-of-thumb &lt;$1 target at scale; excludes freight/duty ⚠</t>
        </is>
      </c>
    </row>
    <row r="6" ht="26" customHeight="1">
      <c r="A6" s="57" t="inlineStr">
        <is>
          <t>Retailer margin %</t>
        </is>
      </c>
      <c r="B6" s="144" t="inlineStr">
        <is>
          <t>38%</t>
        </is>
      </c>
      <c r="C6" s="144" t="inlineStr">
        <is>
          <t>35%</t>
        </is>
      </c>
      <c r="D6" s="144" t="inlineStr">
        <is>
          <t>33%</t>
        </is>
      </c>
      <c r="E6" s="103" t="inlineStr">
        <is>
          <t>Grocery bev 30–40% rule-of-thumb ◐</t>
        </is>
      </c>
    </row>
    <row r="7" ht="26" customHeight="1">
      <c r="A7" s="59" t="inlineStr">
        <is>
          <t>Distributor margin %</t>
        </is>
      </c>
      <c r="B7" s="145" t="inlineStr">
        <is>
          <t>18%</t>
        </is>
      </c>
      <c r="C7" s="145" t="inlineStr">
        <is>
          <t>15%</t>
        </is>
      </c>
      <c r="D7" s="145" t="inlineStr">
        <is>
          <t>12%</t>
        </is>
      </c>
      <c r="E7" s="146" t="inlineStr">
        <is>
          <t>UNFI/KeHE ~13–25% range ◐</t>
        </is>
      </c>
    </row>
    <row r="8" ht="26" customHeight="1">
      <c r="A8" s="57" t="inlineStr">
        <is>
          <t>Trade spend % of net</t>
        </is>
      </c>
      <c r="B8" s="144" t="inlineStr">
        <is>
          <t>25%</t>
        </is>
      </c>
      <c r="C8" s="144" t="inlineStr">
        <is>
          <t>20%</t>
        </is>
      </c>
      <c r="D8" s="144" t="inlineStr">
        <is>
          <t>15%</t>
        </is>
      </c>
      <c r="E8" s="103" t="inlineStr">
        <is>
          <t>Emerging-brand 10–20%+ ◐</t>
        </is>
      </c>
    </row>
    <row r="9" ht="26" customHeight="1">
      <c r="A9" s="59" t="inlineStr">
        <is>
          <t>Doors Y1 / Y2 / Y3</t>
        </is>
      </c>
      <c r="B9" s="145" t="inlineStr">
        <is>
          <t>300/1.2k/3.5k</t>
        </is>
      </c>
      <c r="C9" s="145" t="inlineStr">
        <is>
          <t>500/2k/6k</t>
        </is>
      </c>
      <c r="D9" s="145" t="inlineStr">
        <is>
          <t>900/3.5k/11k</t>
        </is>
      </c>
      <c r="E9" s="146" t="inlineStr">
        <is>
          <t>Illustrative beachhead→scale ramp ⚠</t>
        </is>
      </c>
    </row>
    <row r="10" ht="26" customHeight="1">
      <c r="A10" s="57" t="inlineStr">
        <is>
          <t>Velocity (u/store/wk)</t>
        </is>
      </c>
      <c r="B10" s="144" t="inlineStr">
        <is>
          <t>2 / 3 / 3.5</t>
        </is>
      </c>
      <c r="C10" s="144" t="inlineStr">
        <is>
          <t>3 / 4 / 5</t>
        </is>
      </c>
      <c r="D10" s="144" t="inlineStr">
        <is>
          <t>4.5 / 6 / 7.5</t>
        </is>
      </c>
      <c r="E10" s="103" t="inlineStr">
        <is>
          <t>Illustrative; buyers reward velocity ⚠</t>
        </is>
      </c>
    </row>
    <row r="11" ht="26" customHeight="1">
      <c r="A11" s="59" t="inlineStr">
        <is>
          <t>Marketing / yr</t>
        </is>
      </c>
      <c r="B11" s="145" t="inlineStr">
        <is>
          <t>$150k</t>
        </is>
      </c>
      <c r="C11" s="145" t="inlineStr">
        <is>
          <t>$300k</t>
        </is>
      </c>
      <c r="D11" s="145" t="inlineStr">
        <is>
          <t>$600k</t>
        </is>
      </c>
      <c r="E11" s="146" t="inlineStr">
        <is>
          <t>Illustrative challenger budget ⚠</t>
        </is>
      </c>
    </row>
    <row r="12" ht="26" customHeight="1">
      <c r="A12" s="57" t="inlineStr">
        <is>
          <t>Fixed overhead / yr</t>
        </is>
      </c>
      <c r="B12" s="144" t="inlineStr">
        <is>
          <t>$250k</t>
        </is>
      </c>
      <c r="C12" s="144" t="inlineStr">
        <is>
          <t>$350k</t>
        </is>
      </c>
      <c r="D12" s="144" t="inlineStr">
        <is>
          <t>$500k</t>
        </is>
      </c>
      <c r="E12" s="103" t="inlineStr">
        <is>
          <t>Illustrative ⚠</t>
        </is>
      </c>
    </row>
    <row r="13" ht="26" customHeight="1">
      <c r="A13" s="59" t="inlineStr">
        <is>
          <t>Slotting (Y1 one-time)</t>
        </is>
      </c>
      <c r="B13" s="145" t="inlineStr">
        <is>
          <t>$50k</t>
        </is>
      </c>
      <c r="C13" s="145" t="inlineStr">
        <is>
          <t>$100k</t>
        </is>
      </c>
      <c r="D13" s="145" t="inlineStr">
        <is>
          <t>$200k</t>
        </is>
      </c>
      <c r="E13" s="146" t="inlineStr">
        <is>
          <t>Slotting $250–$250k/SKU range ◐</t>
        </is>
      </c>
    </row>
    <row r="15" ht="30" customHeight="1">
      <c r="A15" s="147" t="inlineStr">
        <is>
          <t>All financial inputs are ILLUSTRATIVE planning scaffolding, not a forecast. Replace each with real co-packer, distributor and buyer numbers. ◐ rule-of-thumb · ⚠ estimate/illustrative.</t>
        </is>
      </c>
    </row>
  </sheetData>
  <mergeCells count="2">
    <mergeCell ref="A15:E15"/>
    <mergeCell ref="A1:E1"/>
  </mergeCells>
  <hyperlinks>
    <hyperlink xmlns:r="http://schemas.openxmlformats.org/officeDocument/2006/relationships" ref="M1" r:id="rId1"/>
  </hyperlink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C9A227"/>
    <outlinePr summaryBelow="1" summaryRight="1"/>
    <pageSetUpPr fitToPage="1"/>
  </sheetPr>
  <dimension ref="A1:N41"/>
  <sheetViews>
    <sheetView showGridLines="0" tabSelected="0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30" customHeight="1">
      <c r="A1" s="1" t="inlineStr">
        <is>
          <t>Scenario Comparison — Conservative · Base · Aggressive</t>
        </is>
      </c>
      <c r="M1" s="95" t="inlineStr">
        <is>
          <t>🏠 Home</t>
        </is>
      </c>
      <c r="N1" s="95" t="inlineStr">
        <is>
          <t>↩ Contents</t>
        </is>
      </c>
    </row>
    <row r="2" ht="18" customHeight="1">
      <c r="A2" s="14" t="inlineStr">
        <is>
          <t>Full envelope of the Financial Model, computed for all three scenarios (edit source assumptions on ‘Financial Model’)</t>
        </is>
      </c>
    </row>
    <row r="4">
      <c r="A4" s="74" t="inlineStr">
        <is>
          <t>Metric</t>
        </is>
      </c>
      <c r="B4" s="74" t="inlineStr">
        <is>
          <t>Conservative</t>
        </is>
      </c>
      <c r="C4" s="74" t="inlineStr">
        <is>
          <t>Base</t>
        </is>
      </c>
      <c r="D4" s="74" t="inlineStr">
        <is>
          <t>Aggressive</t>
        </is>
      </c>
    </row>
    <row r="5">
      <c r="A5" s="103" t="inlineStr">
        <is>
          <t>List price / can</t>
        </is>
      </c>
      <c r="B5" s="80" t="n">
        <v>3.29</v>
      </c>
      <c r="C5" s="80" t="n">
        <v>3.49</v>
      </c>
      <c r="D5" s="80" t="n">
        <v>3.79</v>
      </c>
    </row>
    <row r="6">
      <c r="A6" s="103" t="inlineStr">
        <is>
          <t>COGS / can</t>
        </is>
      </c>
      <c r="B6" s="80" t="n">
        <v>1.2</v>
      </c>
      <c r="C6" s="80" t="n">
        <v>1.05</v>
      </c>
      <c r="D6" s="80" t="n">
        <v>0.95</v>
      </c>
    </row>
    <row r="7">
      <c r="A7" s="103" t="inlineStr">
        <is>
          <t>Net revenue / can</t>
        </is>
      </c>
      <c r="B7" s="80" t="n">
        <v>1.672636</v>
      </c>
      <c r="C7" s="80" t="n">
        <v>1.928225</v>
      </c>
      <c r="D7" s="80" t="n">
        <v>2.234584</v>
      </c>
    </row>
    <row r="8">
      <c r="A8" s="103" t="inlineStr">
        <is>
          <t>Gross margin %</t>
        </is>
      </c>
      <c r="B8" s="104" t="n">
        <v>0.2825695489036468</v>
      </c>
      <c r="C8" s="104" t="n">
        <v>0.4554577396310078</v>
      </c>
      <c r="D8" s="104" t="n">
        <v>0.5748649413045113</v>
      </c>
    </row>
    <row r="9">
      <c r="A9" s="59" t="inlineStr">
        <is>
          <t>Contribution / can</t>
        </is>
      </c>
      <c r="B9" s="105" t="n">
        <v>0.05447700000000022</v>
      </c>
      <c r="C9" s="105" t="n">
        <v>0.4925800000000002</v>
      </c>
      <c r="D9" s="105" t="n">
        <v>0.9493963999999999</v>
      </c>
    </row>
    <row r="10">
      <c r="A10" s="103" t="inlineStr">
        <is>
          <t>Break-even units (Yr-1 load)</t>
        </is>
      </c>
      <c r="B10" s="106" t="n">
        <v>8260366.760284123</v>
      </c>
      <c r="C10" s="106" t="n">
        <v>1522595.314466685</v>
      </c>
      <c r="D10" s="106" t="n">
        <v>1369291.056928381</v>
      </c>
    </row>
    <row r="11">
      <c r="A11" s="103" t="inlineStr">
        <is>
          <t>Year-1 units</t>
        </is>
      </c>
      <c r="B11" s="106" t="n">
        <v>31200</v>
      </c>
      <c r="C11" s="106" t="n">
        <v>78000</v>
      </c>
      <c r="D11" s="106" t="n">
        <v>210600</v>
      </c>
    </row>
    <row r="12">
      <c r="A12" s="57" t="inlineStr">
        <is>
          <t>Year-1 EBITDA</t>
        </is>
      </c>
      <c r="B12" s="107" t="n">
        <v>-448300.3176</v>
      </c>
      <c r="C12" s="107" t="n">
        <v>-711578.76</v>
      </c>
      <c r="D12" s="107" t="n">
        <v>-1100057.11816</v>
      </c>
    </row>
    <row r="13">
      <c r="A13" s="103" t="inlineStr">
        <is>
          <t>Year-3 net revenue</t>
        </is>
      </c>
      <c r="B13" s="108" t="n">
        <v>1065469.132</v>
      </c>
      <c r="C13" s="108" t="n">
        <v>3008031</v>
      </c>
      <c r="D13" s="108" t="n">
        <v>9586365.359999999</v>
      </c>
    </row>
    <row r="14">
      <c r="A14" s="109" t="inlineStr">
        <is>
          <t>Year-3 EBITDA</t>
        </is>
      </c>
      <c r="B14" s="73" t="n">
        <v>-365298.1509999998</v>
      </c>
      <c r="C14" s="73" t="n">
        <v>118424.8000000004</v>
      </c>
      <c r="D14" s="73" t="n">
        <v>2972910.555999999</v>
      </c>
    </row>
    <row r="17" hidden="1">
      <c r="A17" s="41" t="inlineStr">
        <is>
          <t>(chart data)</t>
        </is>
      </c>
    </row>
    <row r="18" hidden="1">
      <c r="A18" t="inlineStr">
        <is>
          <t>Scenario</t>
        </is>
      </c>
      <c r="B18" t="inlineStr">
        <is>
          <t>Y3 Net Rev</t>
        </is>
      </c>
      <c r="C18" t="inlineStr">
        <is>
          <t>Y3 EBITDA</t>
        </is>
      </c>
    </row>
    <row r="19" hidden="1">
      <c r="A19" t="inlineStr">
        <is>
          <t>Conservative</t>
        </is>
      </c>
      <c r="B19" t="n">
        <v>1065469</v>
      </c>
      <c r="C19" t="n">
        <v>-365298</v>
      </c>
    </row>
    <row r="20" hidden="1">
      <c r="A20" t="inlineStr">
        <is>
          <t>Base</t>
        </is>
      </c>
      <c r="B20" t="n">
        <v>3008031</v>
      </c>
      <c r="C20" t="n">
        <v>118425</v>
      </c>
    </row>
    <row r="21" hidden="1">
      <c r="A21" t="inlineStr">
        <is>
          <t>Aggressive</t>
        </is>
      </c>
      <c r="B21" t="n">
        <v>9586365</v>
      </c>
      <c r="C21" t="n">
        <v>2972911</v>
      </c>
    </row>
    <row r="34" ht="52" customHeight="1">
      <c r="A34" s="17" t="inlineStr">
        <is>
          <t>Read: the Base case is the planning anchor; Conservative shows the downside if velocity/doors lag and costs run high; Aggressive shows the ceiling if the sparkling wedge + Costco beachhead over-deliver. All figures are illustrative — edit the yellow inputs on ‘Financial Model’ (the active scenario there drives the interactive P&amp;L; this tab always shows all three).</t>
        </is>
      </c>
      <c r="B34" s="34" t="n"/>
      <c r="C34" s="34" t="n"/>
      <c r="D34" s="34" t="n"/>
      <c r="E34" s="35" t="n"/>
    </row>
    <row r="37" hidden="1">
      <c r="A37" s="41" t="inlineStr">
        <is>
          <t>(break-even chart data)</t>
        </is>
      </c>
    </row>
    <row r="38" hidden="1">
      <c r="A38" t="inlineStr">
        <is>
          <t>Scenario</t>
        </is>
      </c>
      <c r="B38" t="inlineStr">
        <is>
          <t>Break-even units</t>
        </is>
      </c>
    </row>
    <row r="39" hidden="1">
      <c r="A39" t="inlineStr">
        <is>
          <t>Conservative</t>
        </is>
      </c>
      <c r="B39" t="n">
        <v>8260367</v>
      </c>
    </row>
    <row r="40" hidden="1">
      <c r="A40" t="inlineStr">
        <is>
          <t>Base</t>
        </is>
      </c>
      <c r="B40" t="n">
        <v>1522595</v>
      </c>
    </row>
    <row r="41" hidden="1">
      <c r="A41" t="inlineStr">
        <is>
          <t>Aggressive</t>
        </is>
      </c>
      <c r="B41" t="n">
        <v>1369291</v>
      </c>
    </row>
  </sheetData>
  <mergeCells count="3">
    <mergeCell ref="A2:E2"/>
    <mergeCell ref="A34:E34"/>
    <mergeCell ref="A1:E1"/>
  </mergeCells>
  <hyperlinks>
    <hyperlink xmlns:r="http://schemas.openxmlformats.org/officeDocument/2006/relationships" ref="M1" r:id="rId1"/>
    <hyperlink xmlns:r="http://schemas.openxmlformats.org/officeDocument/2006/relationships" ref="N1" r:id="rId2"/>
  </hyperlinks>
  <pageMargins left="0.75" right="0.75" top="1" bottom="1" header="0.5" footer="0.5"/>
  <pageSetup orientation="landscape" fitToHeight="0" fitToWidth="1"/>
  <drawing xmlns:r="http://schemas.openxmlformats.org/officeDocument/2006/relationships" r:id="rId3"/>
</worksheet>
</file>

<file path=xl/worksheets/sheet10.xml><?xml version="1.0" encoding="utf-8"?>
<worksheet xmlns="http://schemas.openxmlformats.org/spreadsheetml/2006/main">
  <sheetPr>
    <tabColor rgb="0014304F"/>
    <outlinePr summaryBelow="1" summaryRight="1"/>
    <pageSetUpPr fitToPage="1"/>
  </sheetPr>
  <dimension ref="A1:N8"/>
  <sheetViews>
    <sheetView showGridLines="0" tabSelected="0" workbookViewId="0">
      <selection activeCell="A1" sqref="A1"/>
    </sheetView>
  </sheetViews>
  <sheetFormatPr baseColWidth="8" defaultRowHeight="15"/>
  <cols>
    <col width="30" customWidth="1" min="1" max="1"/>
    <col width="88" customWidth="1" min="2" max="2"/>
  </cols>
  <sheetData>
    <row r="1" ht="30" customHeight="1">
      <c r="A1" s="1" t="inlineStr">
        <is>
          <t>Methodology &amp; Confidence Framework</t>
        </is>
      </c>
      <c r="M1" s="95" t="inlineStr">
        <is>
          <t>🏠 Home</t>
        </is>
      </c>
      <c r="N1" s="95" t="inlineStr">
        <is>
          <t>↩ Contents</t>
        </is>
      </c>
    </row>
    <row r="3">
      <c r="A3" s="11" t="inlineStr">
        <is>
          <t>Element</t>
        </is>
      </c>
      <c r="B3" s="11" t="inlineStr">
        <is>
          <t>Detail</t>
        </is>
      </c>
    </row>
    <row r="4" ht="92" customHeight="1">
      <c r="A4" s="12" t="inlineStr">
        <is>
          <t>Research design</t>
        </is>
      </c>
      <c r="B4" s="12" t="inlineStr">
        <is>
          <t>Six parallel research streams: (1) market sizing, (2) channel economics, (3) extended competitor sweep, (4) Canada market + regulatory, (5) launch-playbook teardowns, (6) consumer trends + risk. Each ran independent multi-source web research with per-claim citation.</t>
        </is>
      </c>
    </row>
    <row r="5" ht="92" customHeight="1">
      <c r="A5" s="13" t="inlineStr">
        <is>
          <t>Source hierarchy</t>
        </is>
      </c>
      <c r="B5" s="13" t="inlineStr">
        <is>
          <t>Decision-grade → scanner data (Circana/SPINS), company/SEC filings (LMNT Reg CF), regulatory primary (Health Canada, CFIA, FDR), transaction/press releases. Directional → syndicated research-firm market sizes (Grand View, FMI, Mordor) which vary widely by category definition. Lowest → single secondary sources / social estimates.</t>
        </is>
      </c>
    </row>
    <row r="6" ht="92" customHeight="1">
      <c r="A6" s="12" t="inlineStr">
        <is>
          <t>Confidence tagging</t>
        </is>
      </c>
      <c r="B6" s="12" t="inlineStr">
        <is>
          <t>Every load-bearing figure is tagged HARD / DIRECTIONAL / FLAG. Where sources conflict (collagen market size; prebiotic soda; adaptogen market) both figures are shown and the conflict flagged.</t>
        </is>
      </c>
    </row>
    <row r="7" ht="92" customHeight="1">
      <c r="A7" s="13" t="inlineStr">
        <is>
          <t>Known limitations</t>
        </is>
      </c>
      <c r="B7" s="13" t="inlineStr">
        <is>
          <t>(a) Many primary publisher pages (CNBC, Entrepreneur, Circana, canada.ca) block automated fetch (HTTP 403); figures were captured via search extracts of those same pages plus corroborating sources — re-verify load-bearing numbers from the cited URLs before external use. (b) Private-company margins and Canadian per-SKU listing fees are confidential; ranges are industry rules-of-thumb. (c) Female-skew % and licensed Circana/Mintel splits sit behind paywalls.</t>
        </is>
      </c>
    </row>
    <row r="8" ht="92" customHeight="1">
      <c r="A8" s="12" t="inlineStr">
        <is>
          <t>What would strengthen this</t>
        </is>
      </c>
      <c r="B8" s="12" t="inlineStr">
        <is>
          <t>Licensed Circana/SPINS pull for Canada; a regulatory-counsel opinion on the Supplemented-Foods claim set; primary interviews with 2–3 Canadian distributors (UNFI Canada, Tree of Life, Purity Life); a co-packer capacity/quote for a Canadian RTD line.</t>
        </is>
      </c>
    </row>
  </sheetData>
  <mergeCells count="1">
    <mergeCell ref="A1:B1"/>
  </mergeCells>
  <hyperlinks>
    <hyperlink xmlns:r="http://schemas.openxmlformats.org/officeDocument/2006/relationships" ref="M1" r:id="rId1"/>
    <hyperlink xmlns:r="http://schemas.openxmlformats.org/officeDocument/2006/relationships" ref="N1" r:id="rId2"/>
  </hyperlinks>
  <pageMargins left="0.75" right="0.75" top="1" bottom="1" header="0.5" footer="0.5"/>
  <pageSetup orientation="landscape" fitToHeight="0" fitToWidth="1"/>
  <headerFooter>
    <oddHeader/>
    <oddFooter>&amp;LOrganika MUV — Competitor Intelligence (confidential draft)&amp;R&amp;P of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tabColor rgb="002E7D8A"/>
    <outlinePr summaryBelow="1" summaryRight="1"/>
    <pageSetUpPr fitToPage="1"/>
  </sheetPr>
  <dimension ref="A1:N27"/>
  <sheetViews>
    <sheetView showGridLines="0" tabSelected="0"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34" customWidth="1" min="3" max="3"/>
    <col width="18" customWidth="1" min="4" max="4"/>
    <col width="18" customWidth="1" min="5" max="5"/>
    <col width="24" customWidth="1" min="6" max="6"/>
    <col width="24" customWidth="1" min="7" max="7"/>
  </cols>
  <sheetData>
    <row r="1" ht="30" customHeight="1">
      <c r="A1" s="1" t="inlineStr">
        <is>
          <t>Market Sizing — Category Sizes &amp; Growth</t>
        </is>
      </c>
      <c r="M1" s="95" t="inlineStr">
        <is>
          <t>🏠 Home</t>
        </is>
      </c>
      <c r="N1" s="95" t="inlineStr">
        <is>
          <t>↩ Contents</t>
        </is>
      </c>
    </row>
    <row r="2" ht="20" customHeight="1">
      <c r="A2" s="14" t="inlineStr">
        <is>
          <t>Anchor TAM on Circana scanner data; treat research-firm category sizes as directional floors</t>
        </is>
      </c>
    </row>
    <row r="4">
      <c r="A4" s="11" t="inlineStr">
        <is>
          <t>Category</t>
        </is>
      </c>
      <c r="B4" s="11" t="inlineStr">
        <is>
          <t>Geo</t>
        </is>
      </c>
      <c r="C4" s="11" t="inlineStr">
        <is>
          <t>Size</t>
        </is>
      </c>
      <c r="D4" s="11" t="inlineStr">
        <is>
          <t>Year</t>
        </is>
      </c>
      <c r="E4" s="11" t="inlineStr">
        <is>
          <t>Growth</t>
        </is>
      </c>
      <c r="F4" s="11" t="inlineStr">
        <is>
          <t>Source</t>
        </is>
      </c>
      <c r="G4" s="11" t="inlineStr">
        <is>
          <t>Confidence</t>
        </is>
      </c>
    </row>
    <row r="5" ht="30" customHeight="1">
      <c r="A5" s="12" t="inlineStr">
        <is>
          <t>Modern / better-for-you soda (scanner)</t>
        </is>
      </c>
      <c r="B5" s="12" t="inlineStr">
        <is>
          <t>US</t>
        </is>
      </c>
      <c r="C5" s="12" t="inlineStr">
        <is>
          <t>$1.8B</t>
        </is>
      </c>
      <c r="D5" s="12" t="inlineStr">
        <is>
          <t>2024</t>
        </is>
      </c>
      <c r="E5" s="12" t="inlineStr">
        <is>
          <t>+83% YoY (from $983M 2023)</t>
        </is>
      </c>
      <c r="F5" s="12" t="inlineStr">
        <is>
          <t>Circana / Beverage Industry</t>
        </is>
      </c>
      <c r="G5" s="12" t="inlineStr">
        <is>
          <t>HARD</t>
        </is>
      </c>
    </row>
    <row r="6" ht="30" customHeight="1">
      <c r="A6" s="13" t="inlineStr">
        <is>
          <t>Prebiotic/probiotic soda (research-firm)</t>
        </is>
      </c>
      <c r="B6" s="13" t="inlineStr">
        <is>
          <t>US</t>
        </is>
      </c>
      <c r="C6" s="13" t="inlineStr">
        <is>
          <t>$171.6M</t>
        </is>
      </c>
      <c r="D6" s="13" t="inlineStr">
        <is>
          <t>2024</t>
        </is>
      </c>
      <c r="E6" s="13" t="inlineStr">
        <is>
          <t>7.8% (25–30) → $268.8M</t>
        </is>
      </c>
      <c r="F6" s="13" t="inlineStr">
        <is>
          <t>Grand View</t>
        </is>
      </c>
      <c r="G6" s="13" t="inlineStr">
        <is>
          <t>DIRECTIONAL – conflicts w/ scanner</t>
        </is>
      </c>
    </row>
    <row r="7" ht="30" customHeight="1">
      <c r="A7" s="12" t="inlineStr">
        <is>
          <t>Prebiotic soda (sales ramp)</t>
        </is>
      </c>
      <c r="B7" s="12" t="inlineStr">
        <is>
          <t>US</t>
        </is>
      </c>
      <c r="C7" s="12" t="inlineStr">
        <is>
          <t>~$777M</t>
        </is>
      </c>
      <c r="D7" s="12" t="inlineStr">
        <is>
          <t>2025</t>
        </is>
      </c>
      <c r="E7" s="12" t="inlineStr">
        <is>
          <t>from ~$33M in 2022</t>
        </is>
      </c>
      <c r="F7" s="12" t="inlineStr">
        <is>
          <t>just-drinks / SPINS</t>
        </is>
      </c>
      <c r="G7" s="12" t="inlineStr">
        <is>
          <t>DIRECTIONAL</t>
        </is>
      </c>
    </row>
    <row r="8" ht="30" customHeight="1">
      <c r="A8" s="13" t="inlineStr">
        <is>
          <t>Electrolyte powder</t>
        </is>
      </c>
      <c r="B8" s="13" t="inlineStr">
        <is>
          <t>US</t>
        </is>
      </c>
      <c r="C8" s="13" t="inlineStr">
        <is>
          <t>$2.8B</t>
        </is>
      </c>
      <c r="D8" s="13" t="inlineStr">
        <is>
          <t>2024</t>
        </is>
      </c>
      <c r="E8" s="13" t="inlineStr">
        <is>
          <t>8.9% (25–30) → $4.6B</t>
        </is>
      </c>
      <c r="F8" s="13" t="inlineStr">
        <is>
          <t>Grand View / Spherical</t>
        </is>
      </c>
      <c r="G8" s="13" t="inlineStr">
        <is>
          <t>HARD-ish (2 sources)</t>
        </is>
      </c>
    </row>
    <row r="9" ht="30" customHeight="1">
      <c r="A9" s="12" t="inlineStr">
        <is>
          <t>Powdered hydration mixes (scanner)</t>
        </is>
      </c>
      <c r="B9" s="12" t="inlineStr">
        <is>
          <t>US</t>
        </is>
      </c>
      <c r="C9" s="12" t="inlineStr">
        <is>
          <t>$1.5B</t>
        </is>
      </c>
      <c r="D9" s="12" t="inlineStr">
        <is>
          <t>2024</t>
        </is>
      </c>
      <c r="E9" s="12" t="inlineStr">
        <is>
          <t>+20% YoY</t>
        </is>
      </c>
      <c r="F9" s="12" t="inlineStr">
        <is>
          <t>Circana / CNN</t>
        </is>
      </c>
      <c r="G9" s="12" t="inlineStr">
        <is>
          <t>HARD</t>
        </is>
      </c>
    </row>
    <row r="10" ht="30" customHeight="1">
      <c r="A10" s="13" t="inlineStr">
        <is>
          <t>Collagen beverage</t>
        </is>
      </c>
      <c r="B10" s="13" t="inlineStr">
        <is>
          <t>US</t>
        </is>
      </c>
      <c r="C10" s="13" t="inlineStr">
        <is>
          <t>$47.9M</t>
        </is>
      </c>
      <c r="D10" s="13" t="inlineStr">
        <is>
          <t>2024</t>
        </is>
      </c>
      <c r="E10" s="13" t="inlineStr">
        <is>
          <t>10.9% to 2034</t>
        </is>
      </c>
      <c r="F10" s="13" t="inlineStr">
        <is>
          <t>Fact.MR</t>
        </is>
      </c>
      <c r="G10" s="13" t="inlineStr">
        <is>
          <t>FLAG – see conflict</t>
        </is>
      </c>
    </row>
    <row r="11" ht="30" customHeight="1">
      <c r="A11" s="12" t="inlineStr">
        <is>
          <t>Collagen beverage (global)</t>
        </is>
      </c>
      <c r="B11" s="12" t="inlineStr">
        <is>
          <t>Global</t>
        </is>
      </c>
      <c r="C11" s="12" t="inlineStr">
        <is>
          <t>$275–470M</t>
        </is>
      </c>
      <c r="D11" s="12" t="inlineStr">
        <is>
          <t>2024</t>
        </is>
      </c>
      <c r="E11" s="12" t="inlineStr">
        <is>
          <t>9–10%</t>
        </is>
      </c>
      <c r="F11" s="12" t="inlineStr">
        <is>
          <t>Fact.MR / market.us</t>
        </is>
      </c>
      <c r="G11" s="12" t="inlineStr">
        <is>
          <t>FLAG – definitions vary</t>
        </is>
      </c>
    </row>
    <row r="12" ht="30" customHeight="1">
      <c r="A12" s="13" t="inlineStr">
        <is>
          <t>Beauty-from-within drinks</t>
        </is>
      </c>
      <c r="B12" s="13" t="inlineStr">
        <is>
          <t>Global</t>
        </is>
      </c>
      <c r="C12" s="13" t="inlineStr">
        <is>
          <t>$3.24B</t>
        </is>
      </c>
      <c r="D12" s="13" t="inlineStr">
        <is>
          <t>2024</t>
        </is>
      </c>
      <c r="E12" s="13" t="inlineStr">
        <is>
          <t>8.5% to 2035 → $4.77B</t>
        </is>
      </c>
      <c r="F12" s="13" t="inlineStr">
        <is>
          <t>Future Market Insights</t>
        </is>
      </c>
      <c r="G12" s="13" t="inlineStr">
        <is>
          <t>DIRECTIONAL</t>
        </is>
      </c>
    </row>
    <row r="13" ht="30" customHeight="1">
      <c r="A13" s="12" t="inlineStr">
        <is>
          <t>Adaptogenic beverages</t>
        </is>
      </c>
      <c r="B13" s="12" t="inlineStr">
        <is>
          <t>Global</t>
        </is>
      </c>
      <c r="C13" s="12" t="inlineStr">
        <is>
          <t>$1.39B</t>
        </is>
      </c>
      <c r="D13" s="12" t="inlineStr">
        <is>
          <t>2024</t>
        </is>
      </c>
      <c r="E13" s="12" t="inlineStr">
        <is>
          <t>7.1% to 2034 → $2.73B</t>
        </is>
      </c>
      <c r="F13" s="12" t="inlineStr">
        <is>
          <t>GMInsights (FMI conflicts)</t>
        </is>
      </c>
      <c r="G13" s="12" t="inlineStr">
        <is>
          <t>FLAG – dueling</t>
        </is>
      </c>
    </row>
    <row r="14" ht="30" customHeight="1">
      <c r="A14" s="13" t="inlineStr">
        <is>
          <t>Sparkling water (total)</t>
        </is>
      </c>
      <c r="B14" s="13" t="inlineStr">
        <is>
          <t>US</t>
        </is>
      </c>
      <c r="C14" s="13" t="inlineStr">
        <is>
          <t>$6.9B</t>
        </is>
      </c>
      <c r="D14" s="13" t="inlineStr">
        <is>
          <t>2024</t>
        </is>
      </c>
      <c r="E14" s="13" t="inlineStr">
        <is>
          <t>—</t>
        </is>
      </c>
      <c r="F14" s="13" t="inlineStr">
        <is>
          <t>Market Research Future</t>
        </is>
      </c>
      <c r="G14" s="13" t="inlineStr">
        <is>
          <t>DIRECTIONAL</t>
        </is>
      </c>
    </row>
    <row r="16">
      <c r="A16" s="18" t="inlineStr">
        <is>
          <t>CANADA (category-specific scanner data scarce — US-as-proxy convention: Canada ≈ 10% of US)</t>
        </is>
      </c>
    </row>
    <row r="17">
      <c r="A17" s="11" t="inlineStr">
        <is>
          <t>Category</t>
        </is>
      </c>
      <c r="B17" s="11" t="inlineStr">
        <is>
          <t>Geo</t>
        </is>
      </c>
      <c r="C17" s="11" t="inlineStr">
        <is>
          <t>Size</t>
        </is>
      </c>
      <c r="D17" s="11" t="inlineStr">
        <is>
          <t>Year</t>
        </is>
      </c>
      <c r="E17" s="11" t="inlineStr">
        <is>
          <t>Growth</t>
        </is>
      </c>
      <c r="F17" s="11" t="inlineStr">
        <is>
          <t>Source</t>
        </is>
      </c>
      <c r="G17" s="11" t="inlineStr">
        <is>
          <t>Confidence</t>
        </is>
      </c>
    </row>
    <row r="18" ht="26" customHeight="1">
      <c r="A18" s="12" t="inlineStr">
        <is>
          <t>Functional beverages (broad)</t>
        </is>
      </c>
      <c r="B18" s="12" t="inlineStr">
        <is>
          <t>Canada</t>
        </is>
      </c>
      <c r="C18" s="12" t="inlineStr">
        <is>
          <t>US$17.35B</t>
        </is>
      </c>
      <c r="D18" s="12" t="inlineStr">
        <is>
          <t>2025</t>
        </is>
      </c>
      <c r="E18" s="12" t="inlineStr">
        <is>
          <t>4.5% → $27.0B (2035)</t>
        </is>
      </c>
      <c r="F18" s="12" t="inlineStr">
        <is>
          <t>Market Research Future</t>
        </is>
      </c>
      <c r="G18" s="12" t="inlineStr">
        <is>
          <t>FLAG – very broad def, 1 source</t>
        </is>
      </c>
    </row>
    <row r="19" ht="26" customHeight="1">
      <c r="A19" s="13" t="inlineStr">
        <is>
          <t>Modern soda (US-proxy)</t>
        </is>
      </c>
      <c r="B19" s="13" t="inlineStr">
        <is>
          <t>Canada</t>
        </is>
      </c>
      <c r="C19" s="13" t="inlineStr">
        <is>
          <t>~$180M</t>
        </is>
      </c>
      <c r="D19" s="13" t="inlineStr">
        <is>
          <t>2024</t>
        </is>
      </c>
      <c r="E19" s="13" t="inlineStr">
        <is>
          <t>—</t>
        </is>
      </c>
      <c r="F19" s="13" t="inlineStr">
        <is>
          <t>Derived (10% of US $1.8B)</t>
        </is>
      </c>
      <c r="G19" s="13" t="inlineStr">
        <is>
          <t>ESTIMATE</t>
        </is>
      </c>
    </row>
    <row r="20" ht="26" customHeight="1">
      <c r="A20" s="12" t="inlineStr">
        <is>
          <t>Electrolyte powder (US-proxy)</t>
        </is>
      </c>
      <c r="B20" s="12" t="inlineStr">
        <is>
          <t>Canada</t>
        </is>
      </c>
      <c r="C20" s="12" t="inlineStr">
        <is>
          <t>~$280M</t>
        </is>
      </c>
      <c r="D20" s="12" t="inlineStr">
        <is>
          <t>2024</t>
        </is>
      </c>
      <c r="E20" s="12" t="inlineStr">
        <is>
          <t>—</t>
        </is>
      </c>
      <c r="F20" s="12" t="inlineStr">
        <is>
          <t>Derived (10% of US $2.8B)</t>
        </is>
      </c>
      <c r="G20" s="12" t="inlineStr">
        <is>
          <t>ESTIMATE</t>
        </is>
      </c>
    </row>
    <row r="22">
      <c r="A22" s="15" t="inlineStr">
        <is>
          <t>ILLUSTRATIVE TAM / SAM / SOM FOR MUV (Canada) — framework, plug real numbers</t>
        </is>
      </c>
    </row>
    <row r="23">
      <c r="A23" s="11" t="inlineStr">
        <is>
          <t>Layer</t>
        </is>
      </c>
      <c r="B23" s="11" t="inlineStr">
        <is>
          <t>Definition for MUV</t>
        </is>
      </c>
      <c r="C23" s="11" t="inlineStr">
        <is>
          <t>Sizing approach</t>
        </is>
      </c>
      <c r="D23" s="11" t="inlineStr">
        <is>
          <t>Meaning</t>
        </is>
      </c>
      <c r="E23" s="11" t="inlineStr">
        <is>
          <t>Confidence</t>
        </is>
      </c>
    </row>
    <row r="24" ht="44" customHeight="1">
      <c r="A24" s="12" t="inlineStr">
        <is>
          <t>TAM</t>
        </is>
      </c>
      <c r="B24" s="12" t="inlineStr">
        <is>
          <t>Canadian functional beverage category</t>
        </is>
      </c>
      <c r="C24" s="12" t="inlineStr">
        <is>
          <t>~US$17B (broad) / ~$180M modern-soda-equiv</t>
        </is>
      </c>
      <c r="D24" s="12" t="inlineStr">
        <is>
          <t>Total demand pool</t>
        </is>
      </c>
      <c r="E24" s="12" t="inlineStr">
        <is>
          <t>DIRECTIONAL</t>
        </is>
      </c>
    </row>
    <row r="25" ht="44" customHeight="1">
      <c r="A25" s="13" t="inlineStr">
        <is>
          <t>SAM</t>
        </is>
      </c>
      <c r="B25" s="13" t="inlineStr">
        <is>
          <t>Functional/collagen/prebiotic sparkling sub-segment served by MUV in target channels</t>
        </is>
      </c>
      <c r="C25" s="13" t="inlineStr">
        <is>
          <t>Est. low-hundreds of $M CAD (build bottom-up from banner ACV)</t>
        </is>
      </c>
      <c r="D25" s="13" t="inlineStr">
        <is>
          <t>Reachable with planned distribution</t>
        </is>
      </c>
      <c r="E25" s="13" t="inlineStr">
        <is>
          <t>ESTIMATE – build bottom-up</t>
        </is>
      </c>
    </row>
    <row r="26" ht="44" customHeight="1">
      <c r="A26" s="12" t="inlineStr">
        <is>
          <t>SOM (Yr 1–3)</t>
        </is>
      </c>
      <c r="B26" s="12" t="inlineStr">
        <is>
          <t>Realistic share given doors, velocity, trade spend</t>
        </is>
      </c>
      <c r="C26" s="12" t="inlineStr">
        <is>
          <t>Model from doors × velocity × price; benchmark new-brand share &lt;1–3%</t>
        </is>
      </c>
      <c r="D26" s="12" t="inlineStr">
        <is>
          <t>Capturable near-term</t>
        </is>
      </c>
      <c r="E26" s="12" t="inlineStr">
        <is>
          <t>BUILD</t>
        </is>
      </c>
    </row>
    <row r="27" ht="46" customHeight="1">
      <c r="A27" s="6" t="inlineStr">
        <is>
          <t>FLAG: Three figures carry material source conflicts — (a) collagen beverage ($47.9M US vs $275–470M global), (b) prebiotic soda ($171.6M research-firm vs $1.8B Circana “modern soda”, different boundaries), (c) adaptogenic beverages (GMInsights vs FMI). Anchor on Circana scanner reads; treat the rest as directional floors.</t>
        </is>
      </c>
      <c r="B27" s="34" t="n"/>
      <c r="C27" s="34" t="n"/>
      <c r="D27" s="34" t="n"/>
      <c r="E27" s="34" t="n"/>
      <c r="F27" s="34" t="n"/>
      <c r="G27" s="35" t="n"/>
    </row>
  </sheetData>
  <mergeCells count="5">
    <mergeCell ref="A1:G1"/>
    <mergeCell ref="A27:G27"/>
    <mergeCell ref="A22:G22"/>
    <mergeCell ref="A16:G16"/>
    <mergeCell ref="A2:G2"/>
  </mergeCells>
  <hyperlinks>
    <hyperlink xmlns:r="http://schemas.openxmlformats.org/officeDocument/2006/relationships" ref="M1" r:id="rId1"/>
    <hyperlink xmlns:r="http://schemas.openxmlformats.org/officeDocument/2006/relationships" ref="N1" r:id="rId2"/>
  </hyperlinks>
  <pageMargins left="0.75" right="0.75" top="1" bottom="1" header="0.5" footer="0.5"/>
  <pageSetup orientation="landscape" fitToHeight="0" fitToWidth="1"/>
  <headerFooter>
    <oddHeader/>
    <oddFooter>&amp;LOrganika MUV — Competitor Intelligence (confidential draft)&amp;R&amp;P of &amp;N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tabColor rgb="002E7D8A"/>
    <outlinePr summaryBelow="1" summaryRight="1"/>
    <pageSetUpPr fitToPage="1"/>
  </sheetPr>
  <dimension ref="A1:N12"/>
  <sheetViews>
    <sheetView showGridLines="0" tabSelected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52" customWidth="1" min="3" max="3"/>
    <col width="30" customWidth="1" min="4" max="4"/>
  </cols>
  <sheetData>
    <row r="1" ht="30" customHeight="1">
      <c r="A1" s="1" t="inlineStr">
        <is>
          <t>Trends &amp; Macro Drivers (2025–2026)</t>
        </is>
      </c>
      <c r="M1" s="95" t="inlineStr">
        <is>
          <t>🏠 Home</t>
        </is>
      </c>
      <c r="N1" s="95" t="inlineStr">
        <is>
          <t>↩ Contents</t>
        </is>
      </c>
    </row>
    <row r="3">
      <c r="A3" s="11" t="inlineStr">
        <is>
          <t>Trend</t>
        </is>
      </c>
      <c r="B3" s="11" t="inlineStr">
        <is>
          <t>Status</t>
        </is>
      </c>
      <c r="C3" s="11" t="inlineStr">
        <is>
          <t>Evidence</t>
        </is>
      </c>
      <c r="D3" s="11" t="inlineStr">
        <is>
          <t>Implication for MUV</t>
        </is>
      </c>
    </row>
    <row r="4" ht="70" customHeight="1">
      <c r="A4" s="12" t="inlineStr">
        <is>
          <t>Sugar reduction</t>
        </is>
      </c>
      <c r="B4" s="12" t="inlineStr">
        <is>
          <t>Table stakes</t>
        </is>
      </c>
      <c r="C4" s="12" t="inlineStr">
        <is>
          <t>60%+ of US consumers actively cutting sugar; &gt;50% of new bev launches carry sugar-free claim; low-sugar est. +$36B/3yrs (Mintel)</t>
        </is>
      </c>
      <c r="D4" s="12" t="inlineStr">
        <is>
          <t>Zero/low sugar is baseline, not a differentiator</t>
        </is>
      </c>
    </row>
    <row r="5" ht="70" customHeight="1">
      <c r="A5" s="13" t="inlineStr">
        <is>
          <t>GLP-1 (Ozempic/Wegovy)</t>
        </is>
      </c>
      <c r="B5" s="13" t="inlineStr">
        <is>
          <t>Reshaping demand</t>
        </is>
      </c>
      <c r="C5" s="13" t="inlineStr">
        <is>
          <t>~23% of US households have a user; projected 35% of F&amp;B units by 2030; GLP-1 users over-index zero-sugar (+20.5pp); grocery spend -5.3% in 6 mo, partial rebound after ~12 mo</t>
        </is>
      </c>
      <c r="D5" s="13" t="inlineStr">
        <is>
          <t>Favor low-cal, protein, fiber, hydration, smaller portions</t>
        </is>
      </c>
    </row>
    <row r="6" ht="70" customHeight="1">
      <c r="A6" s="12" t="inlineStr">
        <is>
          <t>Gut health</t>
        </is>
      </c>
      <c r="B6" s="12" t="inlineStr">
        <is>
          <t>Mainstreamed</t>
        </is>
      </c>
      <c r="C6" s="12" t="inlineStr">
        <is>
          <t>Prebiotic soda ~$33M (2022) → ~$777M (2025); digestive-claim soda +301.5% $ growth 2023 (SPINS MULO)</t>
        </is>
      </c>
      <c r="D6" s="12" t="inlineStr">
        <is>
          <t>The core MUV-adjacent tailwind — ride prebiotic/fiber</t>
        </is>
      </c>
    </row>
    <row r="7" ht="70" customHeight="1">
      <c r="A7" s="13" t="inlineStr">
        <is>
          <t>Beauty-from-within</t>
        </is>
      </c>
      <c r="B7" s="13" t="inlineStr">
        <is>
          <t>Accelerating, contested</t>
        </is>
      </c>
      <c r="C7" s="13" t="inlineStr">
        <is>
          <t>BFW drinks $3.24B (2024), women 68.4% of revenue, core buyer F 25–45; BUT 2025 AJM meta-analysis: no proven skin-aging benefit + funding bias</t>
        </is>
      </c>
      <c r="D7" s="13" t="inlineStr">
        <is>
          <t>Demand is real; efficacy claims are legally risky</t>
        </is>
      </c>
    </row>
    <row r="8" ht="70" customHeight="1">
      <c r="A8" s="12" t="inlineStr">
        <is>
          <t>Protein &amp; fiber</t>
        </is>
      </c>
      <c r="B8" s="12" t="inlineStr">
        <is>
          <t>Protein = table stakes; fiber = frontier</t>
        </is>
      </c>
      <c r="C8" s="12" t="inlineStr">
        <is>
          <t>Protein market $12.1B→$27.4B by 2034; “fibermaxxing” rising on prebiotic wave</t>
        </is>
      </c>
      <c r="D8" s="12" t="inlineStr">
        <is>
          <t>Fiber is a credible, defensible functional hook</t>
        </is>
      </c>
    </row>
    <row r="9" ht="70" customHeight="1">
      <c r="A9" s="13" t="inlineStr">
        <is>
          <t>Adaptogens/nootropics</t>
        </is>
      </c>
      <c r="B9" s="13" t="inlineStr">
        <is>
          <t>Rising w/ Gen Z</t>
        </is>
      </c>
      <c r="C9" s="13" t="inlineStr">
        <is>
          <t>Ashwagandha, L-theanine, lion's mane, magnesium threonate going mainstream</t>
        </is>
      </c>
      <c r="D9" s="13" t="inlineStr">
        <is>
          <t>Optional stack-on; watch claims</t>
        </is>
      </c>
    </row>
    <row r="10" ht="70" customHeight="1">
      <c r="A10" s="12" t="inlineStr">
        <is>
          <t>Dry / non-alc</t>
        </is>
      </c>
      <c r="B10" s="12" t="inlineStr">
        <is>
          <t>Structural</t>
        </is>
      </c>
      <c r="C10" s="12" t="inlineStr">
        <is>
          <t>Declining alcohol + better-for-you adult drinks framed as durable</t>
        </is>
      </c>
      <c r="D10" s="12" t="inlineStr">
        <is>
          <t>Tailwind for premium functional cans</t>
        </is>
      </c>
    </row>
    <row r="11" ht="70" customHeight="1">
      <c r="A11" s="13" t="inlineStr">
        <is>
          <t>Function stacking</t>
        </is>
      </c>
      <c r="B11" s="13" t="inlineStr">
        <is>
          <t>Consumer expectation</t>
        </is>
      </c>
      <c r="C11" s="13" t="inlineStr">
        <is>
          <t>One drink, multiple need-states (gut+energy, hydration+skin)</t>
        </is>
      </c>
      <c r="D11" s="13" t="inlineStr">
        <is>
          <t>Multi-benefit hedges single-fad risk</t>
        </is>
      </c>
    </row>
    <row r="12">
      <c r="A12" s="19" t="inlineStr">
        <is>
          <t>WHITE SPACE (where analysts say growth goes): prebiotic/fiber soda · collagen in new formats (sparkling) · protein-forward · GLP-1-friendly hydration · low/no sugar default</t>
        </is>
      </c>
    </row>
  </sheetData>
  <mergeCells count="2">
    <mergeCell ref="A1:D1"/>
    <mergeCell ref="A12:D12"/>
  </mergeCells>
  <hyperlinks>
    <hyperlink xmlns:r="http://schemas.openxmlformats.org/officeDocument/2006/relationships" ref="M1" r:id="rId1"/>
    <hyperlink xmlns:r="http://schemas.openxmlformats.org/officeDocument/2006/relationships" ref="N1" r:id="rId2"/>
  </hyperlinks>
  <pageMargins left="0.75" right="0.75" top="1" bottom="1" header="0.5" footer="0.5"/>
  <pageSetup orientation="landscape" fitToHeight="0" fitToWidth="1"/>
  <headerFooter>
    <oddHeader/>
    <oddFooter>&amp;LOrganika MUV — Competitor Intelligence (confidential draft)&amp;R&amp;P of &amp;N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tabColor rgb="002E7D8A"/>
    <outlinePr summaryBelow="1" summaryRight="1"/>
    <pageSetUpPr fitToPage="1"/>
  </sheetPr>
  <dimension ref="A1:N16"/>
  <sheetViews>
    <sheetView showGridLines="0" tabSelected="0" workbookViewId="0">
      <selection activeCell="A1" sqref="A1"/>
    </sheetView>
  </sheetViews>
  <sheetFormatPr baseColWidth="8" defaultRowHeight="15"/>
  <cols>
    <col width="22" customWidth="1" min="1" max="1"/>
    <col width="96" customWidth="1" min="2" max="2"/>
    <col width="74" customWidth="1" min="3" max="3"/>
  </cols>
  <sheetData>
    <row r="1" ht="30" customHeight="1">
      <c r="A1" s="1" t="inlineStr">
        <is>
          <t>Consumer Segmentation &amp; The Collagen Buyer</t>
        </is>
      </c>
      <c r="M1" s="95" t="inlineStr">
        <is>
          <t>🏠 Home</t>
        </is>
      </c>
      <c r="N1" s="95" t="inlineStr">
        <is>
          <t>↩ Contents</t>
        </is>
      </c>
    </row>
    <row r="3">
      <c r="A3" s="11" t="inlineStr">
        <is>
          <t>Dimension</t>
        </is>
      </c>
      <c r="B3" s="11" t="inlineStr">
        <is>
          <t>Read</t>
        </is>
      </c>
      <c r="C3" s="11" t="inlineStr">
        <is>
          <t>Detail &amp; evidence</t>
        </is>
      </c>
    </row>
    <row r="4" ht="60" customHeight="1">
      <c r="A4" s="12" t="inlineStr">
        <is>
          <t>Demand engine</t>
        </is>
      </c>
      <c r="B4" s="12" t="inlineStr">
        <is>
          <t>Gen Z + Millennials</t>
        </is>
      </c>
      <c r="C4" s="12" t="inlineStr">
        <is>
          <t>~80% of Gen Z, ~75% of Millennials consume functional beverages regularly; 36% of adults but 41%+ of wellness spend (McKinsey). US wellness market $480B (2024).</t>
        </is>
      </c>
    </row>
    <row r="5" ht="60" customHeight="1">
      <c r="A5" s="13" t="inlineStr">
        <is>
          <t>Gender skew (category)</t>
        </is>
      </c>
      <c r="B5" s="13" t="inlineStr">
        <is>
          <t>Female-led growth</t>
        </is>
      </c>
      <c r="C5" s="13" t="inlineStr">
        <is>
          <t>Women = fastest-growing segment (~5.3% growth); over-index on probiotic/fortified. Hard female-% split is paywalled — DATA GAP.</t>
        </is>
      </c>
    </row>
    <row r="6" ht="60" customHeight="1">
      <c r="A6" s="12" t="inlineStr">
        <is>
          <t>Collagen / BFW buyer</t>
        </is>
      </c>
      <c r="B6" s="12" t="inlineStr">
        <is>
          <t>Women 25–45</t>
        </is>
      </c>
      <c r="C6" s="12" t="inlineStr">
        <is>
          <t>Women = 68.4% of beauty-from-within drink revenue (2024); buy anti-aging, hydration, hair/nail outcomes; clinically-backed claims drive repeat/subscription.</t>
        </is>
      </c>
    </row>
    <row r="7" ht="60" customHeight="1">
      <c r="A7" s="13" t="inlineStr">
        <is>
          <t>Efficacy &amp; skepticism</t>
        </is>
      </c>
      <c r="B7" s="13" t="inlineStr">
        <is>
          <t>RISK</t>
        </is>
      </c>
      <c r="C7" s="13" t="inlineStr">
        <is>
          <t>2025 AJM systematic review/meta-analysis: NO clinical evidence collagen prevents/treats skin aging; industry-funded trials showed benefit, independent ones did not. Positive studies used 2.5–10g/day, effect at 4–8 wks.</t>
        </is>
      </c>
    </row>
    <row r="8" ht="60" customHeight="1">
      <c r="A8" s="12" t="inlineStr">
        <is>
          <t>Willingness to pay</t>
        </is>
      </c>
      <c r="B8" s="12" t="inlineStr">
        <is>
          <t>Attribute-gated</t>
        </is>
      </c>
      <c r="C8" s="12" t="inlineStr">
        <is>
          <t>Younger consumers are price-conscious AND premium-willing for a named function / clean label / brand-community. Premiumization is real but not blanket.</t>
        </is>
      </c>
    </row>
    <row r="10">
      <c r="A10" s="15" t="inlineStr">
        <is>
          <t>RETAILER / CLUB BUYER CRITERIA (what gets a new functional bev listed)</t>
        </is>
      </c>
    </row>
    <row r="11">
      <c r="A11" s="11" t="inlineStr">
        <is>
          <t>Criterion</t>
        </is>
      </c>
      <c r="B11" s="11" t="inlineStr">
        <is>
          <t>What buyers actually want</t>
        </is>
      </c>
    </row>
    <row r="12" ht="30" customHeight="1">
      <c r="A12" s="12" t="inlineStr">
        <is>
          <t>Velocity</t>
        </is>
      </c>
      <c r="B12" s="12" t="inlineStr">
        <is>
          <t>Gating metric — will the SKU turn fast enough to earn its facing</t>
        </is>
      </c>
    </row>
    <row r="13" ht="30" customHeight="1">
      <c r="A13" s="13" t="inlineStr">
        <is>
          <t>Repeat rate</t>
        </is>
      </c>
      <c r="B13" s="13" t="inlineStr">
        <is>
          <t>Buyers discount discount-driven velocity; they want durable repeat &amp; customer-level margin</t>
        </is>
      </c>
    </row>
    <row r="14" ht="30" customHeight="1">
      <c r="A14" s="12" t="inlineStr">
        <is>
          <t>Margin / trade support</t>
        </is>
      </c>
      <c r="B14" s="12" t="inlineStr">
        <is>
          <t>Plan 35–45% trade spend in early scale; slotting, promo, free-fill</t>
        </is>
      </c>
    </row>
    <row r="15" ht="30" customHeight="1">
      <c r="A15" s="13" t="inlineStr">
        <is>
          <t>Differentiation + demand-gen</t>
        </is>
      </c>
      <c r="B15" s="13" t="inlineStr">
        <is>
          <t>Category-builder story + brand-funded marketing (the Poppi/OLIPOP social-first benchmark)</t>
        </is>
      </c>
    </row>
    <row r="16" ht="52" customHeight="1">
      <c r="A16" s="17" t="inlineStr">
        <is>
          <t>IMPLICATION: MUV should dose collagen to a defensible level (2.5g+), lead with gut/hydration function, and prove repeat rate in a beachhead before pitching national buyers. The collagen efficacy debate makes substantiation files and structure/function-safe language mandatory.</t>
        </is>
      </c>
      <c r="B16" s="34" t="n"/>
      <c r="C16" s="35" t="n"/>
    </row>
  </sheetData>
  <mergeCells count="3">
    <mergeCell ref="A1:C1"/>
    <mergeCell ref="A16:C16"/>
    <mergeCell ref="A10:C10"/>
  </mergeCells>
  <hyperlinks>
    <hyperlink xmlns:r="http://schemas.openxmlformats.org/officeDocument/2006/relationships" ref="M1" r:id="rId1"/>
    <hyperlink xmlns:r="http://schemas.openxmlformats.org/officeDocument/2006/relationships" ref="N1" r:id="rId2"/>
  </hyperlinks>
  <pageMargins left="0.75" right="0.75" top="1" bottom="1" header="0.5" footer="0.5"/>
  <pageSetup orientation="landscape" fitToHeight="0" fitToWidth="1"/>
  <headerFooter>
    <oddHeader/>
    <oddFooter>&amp;LOrganika MUV — Competitor Intelligence (confidential draft)&amp;R&amp;P of &amp;N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tabColor rgb="003E5C76"/>
    <outlinePr summaryBelow="1" summaryRight="1"/>
    <pageSetUpPr fitToPage="1"/>
  </sheetPr>
  <dimension ref="A1:N12"/>
  <sheetViews>
    <sheetView showGridLines="0" tabSelected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9" customWidth="1" min="3" max="3"/>
    <col width="16" customWidth="1" min="4" max="4"/>
    <col width="22" customWidth="1" min="5" max="5"/>
    <col width="22" customWidth="1" min="6" max="6"/>
    <col width="12" customWidth="1" min="7" max="7"/>
    <col width="18" customWidth="1" min="8" max="8"/>
    <col width="14" customWidth="1" min="9" max="9"/>
    <col width="22" customWidth="1" min="10" max="10"/>
    <col width="16" customWidth="1" min="11" max="11"/>
    <col width="24" customWidth="1" min="12" max="12"/>
  </cols>
  <sheetData>
    <row r="1" ht="30" customHeight="1">
      <c r="A1" s="1" t="inlineStr">
        <is>
          <t>Core Competitor Comparison Matrix</t>
        </is>
      </c>
      <c r="M1" s="95" t="inlineStr">
        <is>
          <t>🏠 Home</t>
        </is>
      </c>
      <c r="N1" s="95" t="inlineStr">
        <is>
          <t>↩ Contents</t>
        </is>
      </c>
    </row>
    <row r="2">
      <c r="A2" s="101" t="inlineStr">
        <is>
          <t>LENS: broad functional-beverage set (context + playbook). MÜV's DIRECT electrolyte/sparkling rivals → ‘MÜV Peer Set’ tab.</t>
        </is>
      </c>
    </row>
    <row r="3">
      <c r="A3" s="11" t="inlineStr">
        <is>
          <t>Brand</t>
        </is>
      </c>
      <c r="B3" s="11" t="inlineStr">
        <is>
          <t>Category</t>
        </is>
      </c>
      <c r="C3" s="11" t="inlineStr">
        <is>
          <t>Founded</t>
        </is>
      </c>
      <c r="D3" s="11" t="inlineStr">
        <is>
          <t>Founder(s)</t>
        </is>
      </c>
      <c r="E3" s="11" t="inlineStr">
        <is>
          <t>First channel</t>
        </is>
      </c>
      <c r="F3" s="11" t="inlineStr">
        <is>
          <t>Core claim</t>
        </is>
      </c>
      <c r="G3" s="11" t="inlineStr">
        <is>
          <t>Format</t>
        </is>
      </c>
      <c r="H3" s="11" t="inlineStr">
        <is>
          <t>Key spec</t>
        </is>
      </c>
      <c r="I3" s="11" t="inlineStr">
        <is>
          <t>Unit price</t>
        </is>
      </c>
      <c r="J3" s="11" t="inlineStr">
        <is>
          <t>Doors / reach</t>
        </is>
      </c>
      <c r="K3" s="11" t="inlineStr">
        <is>
          <t>Peak revenue</t>
        </is>
      </c>
      <c r="L3" s="11" t="inlineStr">
        <is>
          <t>Outcome</t>
        </is>
      </c>
    </row>
    <row r="4" ht="56" customHeight="1">
      <c r="A4" s="12" t="inlineStr">
        <is>
          <t>Poppi</t>
        </is>
      </c>
      <c r="B4" s="12" t="inlineStr">
        <is>
          <t>Modern soda</t>
        </is>
      </c>
      <c r="C4" s="12" t="inlineStr">
        <is>
          <t>2016</t>
        </is>
      </c>
      <c r="D4" s="12" t="inlineStr">
        <is>
          <t>A. &amp; S. Ellsworth</t>
        </is>
      </c>
      <c r="E4" s="12" t="inlineStr">
        <is>
          <t>Farmers market → Whole Foods</t>
        </is>
      </c>
      <c r="F4" s="12" t="inlineStr">
        <is>
          <t>Prebiotic soda + ACV, low sugar</t>
        </is>
      </c>
      <c r="G4" s="12" t="inlineStr">
        <is>
          <t>12oz can</t>
        </is>
      </c>
      <c r="H4" s="12" t="inlineStr">
        <is>
          <t>~2g fiber, 2–5g sugar, ~25 cal</t>
        </is>
      </c>
      <c r="I4" s="12" t="inlineStr">
        <is>
          <t>~$2.25/can</t>
        </is>
      </c>
      <c r="J4" s="12" t="inlineStr">
        <is>
          <t>~36,000+ US; 120+ retailers</t>
        </is>
      </c>
      <c r="K4" s="12" t="inlineStr">
        <is>
          <t>~$500M (2024 est.)</t>
        </is>
      </c>
      <c r="L4" s="12" t="inlineStr">
        <is>
          <t>PepsiCo $1.95B, May 2025</t>
        </is>
      </c>
    </row>
    <row r="5" ht="56" customHeight="1">
      <c r="A5" s="13" t="inlineStr">
        <is>
          <t>OLIPOP</t>
        </is>
      </c>
      <c r="B5" s="13" t="inlineStr">
        <is>
          <t>Modern soda</t>
        </is>
      </c>
      <c r="C5" s="13" t="inlineStr">
        <is>
          <t>2018</t>
        </is>
      </c>
      <c r="D5" s="13" t="inlineStr">
        <is>
          <t>B. Goodwin, D. Lester</t>
        </is>
      </c>
      <c r="E5" s="13" t="inlineStr">
        <is>
          <t>40 NorCal indie grocers</t>
        </is>
      </c>
      <c r="F5" s="13" t="inlineStr">
        <is>
          <t>9g fiber, gut health</t>
        </is>
      </c>
      <c r="G5" s="13" t="inlineStr">
        <is>
          <t>12oz can</t>
        </is>
      </c>
      <c r="H5" s="13" t="inlineStr">
        <is>
          <t>up to 9g fiber, 2–5g sugar</t>
        </is>
      </c>
      <c r="I5" s="13" t="inlineStr">
        <is>
          <t>~$3.00/can</t>
        </is>
      </c>
      <c r="J5" s="13" t="inlineStr">
        <is>
          <t>~35,000+ US (7,000+ chains)</t>
        </is>
      </c>
      <c r="K5" s="13" t="inlineStr">
        <is>
          <t>$400M+ (2024)</t>
        </is>
      </c>
      <c r="L5" s="13" t="inlineStr">
        <is>
          <t>Independent; $1.85B val (Feb 2025)</t>
        </is>
      </c>
    </row>
    <row r="6" ht="56" customHeight="1">
      <c r="A6" s="12" t="inlineStr">
        <is>
          <t>LMNT</t>
        </is>
      </c>
      <c r="B6" s="12" t="inlineStr">
        <is>
          <t>Electrolyte</t>
        </is>
      </c>
      <c r="C6" s="12" t="inlineStr">
        <is>
          <t>2018</t>
        </is>
      </c>
      <c r="D6" s="12" t="inlineStr">
        <is>
          <t>R. Wolf + Ketogains</t>
        </is>
      </c>
      <c r="E6" s="12" t="inlineStr">
        <is>
          <t>DTC + podcast</t>
        </is>
      </c>
      <c r="F6" s="12" t="inlineStr">
        <is>
          <t>Zero-sugar, high-sodium, keto</t>
        </is>
      </c>
      <c r="G6" s="12" t="inlineStr">
        <is>
          <t>Powder sticks</t>
        </is>
      </c>
      <c r="H6" s="12" t="inlineStr">
        <is>
          <t>1,000mg sodium, 0g sugar</t>
        </is>
      </c>
      <c r="I6" s="12" t="inlineStr">
        <is>
          <t>~$1.00–1.50/stick</t>
        </is>
      </c>
      <c r="J6" s="12" t="inlineStr">
        <is>
          <t>DTC-led + Amazon</t>
        </is>
      </c>
      <c r="K6" s="12" t="inlineStr">
        <is>
          <t>$206M sales (2023, SEC)</t>
        </is>
      </c>
      <c r="L6" s="12" t="inlineStr">
        <is>
          <t>Independent (Reg CF)</t>
        </is>
      </c>
    </row>
    <row r="7" ht="56" customHeight="1">
      <c r="A7" s="13" t="inlineStr">
        <is>
          <t>Liquid I.V.</t>
        </is>
      </c>
      <c r="B7" s="13" t="inlineStr">
        <is>
          <t>Electrolyte</t>
        </is>
      </c>
      <c r="C7" s="13" t="inlineStr">
        <is>
          <t>2012</t>
        </is>
      </c>
      <c r="D7" s="13" t="inlineStr">
        <is>
          <t>B. Cohen (+2)</t>
        </is>
      </c>
      <c r="E7" s="13" t="inlineStr">
        <is>
          <t>Whole Foods sampling → Costco</t>
        </is>
      </c>
      <c r="F7" s="13" t="inlineStr">
        <is>
          <t>Hydration Multiplier (CTT) 2–3x</t>
        </is>
      </c>
      <c r="G7" s="13" t="inlineStr">
        <is>
          <t>Powder sticks</t>
        </is>
      </c>
      <c r="H7" s="13" t="inlineStr">
        <is>
          <t>500mg sodium, 11g carbs</t>
        </is>
      </c>
      <c r="I7" s="13" t="inlineStr">
        <is>
          <t>~$0.67/stick (Costco)</t>
        </is>
      </c>
      <c r="J7" s="13" t="inlineStr">
        <is>
          <t>80,000+ US stores</t>
        </is>
      </c>
      <c r="K7" s="13" t="inlineStr">
        <is>
          <t>~$200M at exit; $1B+ now</t>
        </is>
      </c>
      <c r="L7" s="13" t="inlineStr">
        <is>
          <t>Unilever, Sept 2020 (~$500M est.)</t>
        </is>
      </c>
    </row>
    <row r="8" ht="56" customHeight="1">
      <c r="A8" s="12" t="inlineStr">
        <is>
          <t>Nuun</t>
        </is>
      </c>
      <c r="B8" s="12" t="inlineStr">
        <is>
          <t>Electrolyte</t>
        </is>
      </c>
      <c r="C8" s="12" t="inlineStr">
        <is>
          <t>2004</t>
        </is>
      </c>
      <c r="D8" s="12" t="inlineStr">
        <is>
          <t>T. Moxey</t>
        </is>
      </c>
      <c r="E8" s="12" t="inlineStr">
        <is>
          <t>Cycling/endurance specialty</t>
        </is>
      </c>
      <c r="F8" s="12" t="inlineStr">
        <is>
          <t>Effervescent low-sugar tablet</t>
        </is>
      </c>
      <c r="G8" s="12" t="inlineStr">
        <is>
          <t>Tablets (+powder)</t>
        </is>
      </c>
      <c r="H8" s="12" t="inlineStr">
        <is>
          <t>300mg sodium, 1g sugar</t>
        </is>
      </c>
      <c r="I8" s="12" t="inlineStr">
        <is>
          <t>~$0.60–0.70/serv</t>
        </is>
      </c>
      <c r="J8" s="12" t="inlineStr">
        <is>
          <t>Broad; #1 run/bike/outdoor</t>
        </is>
      </c>
      <c r="K8" s="12" t="inlineStr">
        <is>
          <t>$10M+ (2013)</t>
        </is>
      </c>
      <c r="L8" s="12" t="inlineStr">
        <is>
          <t>Nestlé HS, July 2021</t>
        </is>
      </c>
    </row>
    <row r="9" ht="56" customHeight="1">
      <c r="A9" s="13" t="inlineStr">
        <is>
          <t>Vital Proteins Sparkling</t>
        </is>
      </c>
      <c r="B9" s="13" t="inlineStr">
        <is>
          <t>Collagen sparkling</t>
        </is>
      </c>
      <c r="C9" s="13" t="inlineStr">
        <is>
          <t>2025 line</t>
        </is>
      </c>
      <c r="D9" s="13" t="inlineStr">
        <is>
          <t>(Nestlé-owned)</t>
        </is>
      </c>
      <c r="E9" s="13" t="inlineStr">
        <is>
          <t>Mass retail</t>
        </is>
      </c>
      <c r="F9" s="13" t="inlineStr">
        <is>
          <t>Beauty-from-within: VERISOL + Vit C</t>
        </is>
      </c>
      <c r="G9" s="13" t="inlineStr">
        <is>
          <t>Can</t>
        </is>
      </c>
      <c r="H9" s="13" t="inlineStr">
        <is>
          <t>0g sugar, 15 cal, collagen</t>
        </is>
      </c>
      <c r="I9" s="13" t="inlineStr">
        <is>
          <t>$2.50/can</t>
        </is>
      </c>
      <c r="J9" s="13" t="inlineStr">
        <is>
          <t>Mass (Nestlé)</t>
        </is>
      </c>
      <c r="K9" s="13" t="inlineStr">
        <is>
          <t>n/a (new)</t>
        </is>
      </c>
      <c r="L9" s="13" t="inlineStr">
        <is>
          <t>Nestlé-owned</t>
        </is>
      </c>
    </row>
    <row r="10" ht="56" customHeight="1">
      <c r="A10" s="12" t="inlineStr">
        <is>
          <t>Recess</t>
        </is>
      </c>
      <c r="B10" s="12" t="inlineStr">
        <is>
          <t>Functional sparkling</t>
        </is>
      </c>
      <c r="C10" s="12" t="inlineStr">
        <is>
          <t>2018</t>
        </is>
      </c>
      <c r="D10" s="12" t="inlineStr">
        <is>
          <t>B. Witte</t>
        </is>
      </c>
      <c r="E10" s="12" t="inlineStr">
        <is>
          <t>DTC → retail</t>
        </is>
      </c>
      <c r="F10" s="12" t="inlineStr">
        <is>
          <t>Relaxation: magnesium + adaptogens</t>
        </is>
      </c>
      <c r="G10" s="12" t="inlineStr">
        <is>
          <t>Can</t>
        </is>
      </c>
      <c r="H10" s="12" t="inlineStr">
        <is>
          <t>Mag L-threonate, adaptogens</t>
        </is>
      </c>
      <c r="I10" s="12" t="inlineStr">
        <is>
          <t>Premium</t>
        </is>
      </c>
      <c r="J10" s="12" t="inlineStr">
        <is>
          <t>15,000+ stores</t>
        </is>
      </c>
      <c r="K10" s="12" t="inlineStr">
        <is>
          <t>n/a</t>
        </is>
      </c>
      <c r="L10" s="12" t="inlineStr">
        <is>
          <t>Indep.; $30M Series B (2025)</t>
        </is>
      </c>
    </row>
    <row r="11" ht="56" customHeight="1">
      <c r="A11" s="13" t="inlineStr">
        <is>
          <t>Aura Bora</t>
        </is>
      </c>
      <c r="B11" s="13" t="inlineStr">
        <is>
          <t>Sparkling water</t>
        </is>
      </c>
      <c r="C11" s="13" t="inlineStr">
        <is>
          <t>2020</t>
        </is>
      </c>
      <c r="D11" s="13" t="inlineStr">
        <is>
          <t>P. &amp; M. Voge</t>
        </is>
      </c>
      <c r="E11" s="13" t="inlineStr">
        <is>
          <t>Shark Tank → DTC/retail</t>
        </is>
      </c>
      <c r="F11" s="13" t="inlineStr">
        <is>
          <t>Herbal/floral, 0 cal/sugar</t>
        </is>
      </c>
      <c r="G11" s="13" t="inlineStr">
        <is>
          <t>Can</t>
        </is>
      </c>
      <c r="H11" s="13" t="inlineStr">
        <is>
          <t>0 cal/sugar/sodium</t>
        </is>
      </c>
      <c r="I11" s="13" t="inlineStr">
        <is>
          <t>~$1.99–2.29/can</t>
        </is>
      </c>
      <c r="J11" s="13" t="inlineStr">
        <is>
          <t>11,000 stores</t>
        </is>
      </c>
      <c r="K11" s="13" t="inlineStr">
        <is>
          <t>$12M (2024)</t>
        </is>
      </c>
      <c r="L11" s="13" t="inlineStr">
        <is>
          <t>Majority stake to Next In Natural</t>
        </is>
      </c>
    </row>
    <row r="12" ht="44" customHeight="1">
      <c r="A12" s="6" t="inlineStr">
        <is>
          <t>COLLAGEN-SPARKLING GRAVEYARD: Goldn Hour (CA, closed 2025), BOONS (acquired then discontinued), Luster &amp; Lum (defunct). Standalone “beauty collagen sparkling water” indie brands repeatedly flopped — narrow positioning, premium price, no clinical moat, undercapitalized.</t>
        </is>
      </c>
      <c r="B12" s="34" t="n"/>
      <c r="C12" s="34" t="n"/>
      <c r="D12" s="34" t="n"/>
      <c r="E12" s="34" t="n"/>
      <c r="F12" s="34" t="n"/>
      <c r="G12" s="34" t="n"/>
      <c r="H12" s="34" t="n"/>
      <c r="I12" s="34" t="n"/>
      <c r="J12" s="34" t="n"/>
      <c r="K12" s="34" t="n"/>
      <c r="L12" s="35" t="n"/>
    </row>
  </sheetData>
  <autoFilter ref="A3:L11"/>
  <mergeCells count="2">
    <mergeCell ref="A1:L1"/>
    <mergeCell ref="A12:L12"/>
  </mergeCells>
  <hyperlinks>
    <hyperlink xmlns:r="http://schemas.openxmlformats.org/officeDocument/2006/relationships" ref="M1" r:id="rId1"/>
    <hyperlink xmlns:r="http://schemas.openxmlformats.org/officeDocument/2006/relationships" ref="N1" r:id="rId2"/>
  </hyperlinks>
  <pageMargins left="0.75" right="0.75" top="1" bottom="1" header="0.5" footer="0.5"/>
  <pageSetup orientation="landscape" fitToHeight="0" fitToWidth="1"/>
  <headerFooter>
    <oddHeader/>
    <oddFooter>&amp;LOrganika MUV — Competitor Intelligence (confidential draft)&amp;R&amp;P of &amp;N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tabColor rgb="00C9A227"/>
    <outlinePr summaryBelow="1" summaryRight="1"/>
    <pageSetUpPr fitToPage="1"/>
  </sheetPr>
  <dimension ref="A1:N32"/>
  <sheetViews>
    <sheetView showGridLines="0" tabSelected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40" customWidth="1" min="3" max="3"/>
    <col width="34" customWidth="1" min="4" max="4"/>
    <col width="20" customWidth="1" min="5" max="5"/>
    <col width="22" customWidth="1" min="6" max="6"/>
    <col width="30" customWidth="1" min="7" max="7"/>
  </cols>
  <sheetData>
    <row r="1" ht="30" customHeight="1">
      <c r="A1" s="1" t="inlineStr">
        <is>
          <t>MÜV Peer Set — Direct Competitors vs Category-Adjacent</t>
        </is>
      </c>
      <c r="M1" s="95" t="inlineStr">
        <is>
          <t>🏠 Home</t>
        </is>
      </c>
      <c r="N1" s="95" t="inlineStr">
        <is>
          <t>↩ Contents</t>
        </is>
      </c>
    </row>
    <row r="2" ht="20" customHeight="1">
      <c r="A2" s="14" t="inlineStr">
        <is>
          <t>Reconciles the workbook to MÜV's actual lane: a daily-wellness SPARKLING ELECTROLYTE (food-regulated)</t>
        </is>
      </c>
    </row>
    <row r="4" ht="64" customHeight="1">
      <c r="A4" s="6" t="inlineStr">
        <is>
          <t>HOW TO READ THIS WORKBOOK: Tabs 07–17 profile the BROAD functional-beverage market (Poppi/OLIPOP/Vital Proteins). Those are CATEGORY-ADJACENT — they prove the better-for-you thesis and supply the LAUNCH PLAYBOOK, but they are NOT MÜV's direct shelf rivals. MÜV's DIRECT peer set is electrolyte/hydration + sparkling (this tab + ‘Electrolyte BFY Deep-Dive’). Read the two together: borrow the soda brands' go-to-market, but benchmark price/format/claims against the electrolyte brands.</t>
        </is>
      </c>
      <c r="B4" s="34" t="n"/>
      <c r="C4" s="34" t="n"/>
      <c r="D4" s="34" t="n"/>
      <c r="E4" s="34" t="n"/>
      <c r="F4" s="34" t="n"/>
      <c r="G4" s="35" t="n"/>
    </row>
    <row r="5">
      <c r="A5" s="102" t="inlineStr">
        <is>
          <t>DIRECT PEERS — same occasion / same shelf (benchmark MÜV here)</t>
        </is>
      </c>
    </row>
    <row r="6">
      <c r="A6" s="11" t="inlineStr">
        <is>
          <t>Brand</t>
        </is>
      </c>
      <c r="B6" s="11" t="inlineStr">
        <is>
          <t>Format</t>
        </is>
      </c>
      <c r="C6" s="11" t="inlineStr">
        <is>
          <t>Sodium/serv</t>
        </is>
      </c>
      <c r="D6" s="11" t="inlineStr">
        <is>
          <t>Price/serv</t>
        </is>
      </c>
      <c r="E6" s="11" t="inlineStr">
        <is>
          <t>Lane</t>
        </is>
      </c>
      <c r="F6" s="11" t="inlineStr">
        <is>
          <t>Canada channel</t>
        </is>
      </c>
      <c r="G6" s="11" t="inlineStr">
        <is>
          <t>Why a direct peer</t>
        </is>
      </c>
    </row>
    <row r="7" ht="40" customHeight="1">
      <c r="A7" s="58" t="inlineStr">
        <is>
          <t>LMNT</t>
        </is>
      </c>
      <c r="B7" s="58" t="inlineStr">
        <is>
          <t>Powder stick (+Sparkling can)</t>
        </is>
      </c>
      <c r="C7" s="58" t="inlineStr">
        <is>
          <t>1,000 mg</t>
        </is>
      </c>
      <c r="D7" s="58" t="inlineStr">
        <is>
          <t>~$1.50</t>
        </is>
      </c>
      <c r="E7" s="58" t="inlineStr">
        <is>
          <t>High-sodium performance</t>
        </is>
      </c>
      <c r="F7" s="58" t="inlineStr">
        <is>
          <t>Amazon.ca + DTC</t>
        </is>
      </c>
      <c r="G7" s="58" t="inlineStr">
        <is>
          <t>Defines the premium electrolyte ceiling; sparkling-can overlap</t>
        </is>
      </c>
    </row>
    <row r="8" ht="40" customHeight="1">
      <c r="A8" s="60" t="inlineStr">
        <is>
          <t>Liquid I.V.</t>
        </is>
      </c>
      <c r="B8" s="60" t="inlineStr">
        <is>
          <t>Powder stick</t>
        </is>
      </c>
      <c r="C8" s="60" t="inlineStr">
        <is>
          <t>500 mg</t>
        </is>
      </c>
      <c r="D8" s="60" t="inlineStr">
        <is>
          <t>~$1.56 (~$1.00 Costco)</t>
        </is>
      </c>
      <c r="E8" s="60" t="inlineStr">
        <is>
          <t>Daily wellness</t>
        </is>
      </c>
      <c r="F8" s="60" t="inlineStr">
        <is>
          <t>Costco Canada (2023) → mass</t>
        </is>
      </c>
      <c r="G8" s="60" t="inlineStr">
        <is>
          <t>Closest positioning twin (daily wellness); Costco beachhead model</t>
        </is>
      </c>
    </row>
    <row r="9" ht="40" customHeight="1">
      <c r="A9" s="58" t="inlineStr">
        <is>
          <t>Nuun</t>
        </is>
      </c>
      <c r="B9" s="58" t="inlineStr">
        <is>
          <t>Effervescent tablet</t>
        </is>
      </c>
      <c r="C9" s="58" t="inlineStr">
        <is>
          <t>300 mg</t>
        </is>
      </c>
      <c r="D9" s="58" t="inlineStr">
        <is>
          <t>~$0.75</t>
        </is>
      </c>
      <c r="E9" s="58" t="inlineStr">
        <is>
          <t>Everyday/endurance</t>
        </is>
      </c>
      <c r="F9" s="58" t="inlineStr">
        <is>
          <t>Natural + Amazon.ca</t>
        </is>
      </c>
      <c r="G9" s="58" t="inlineStr">
        <is>
          <t>Fizz/effervescence overlap; value anchor</t>
        </is>
      </c>
    </row>
    <row r="10" ht="40" customHeight="1">
      <c r="A10" s="60" t="inlineStr">
        <is>
          <t>BioSteel</t>
        </is>
      </c>
      <c r="B10" s="60" t="inlineStr">
        <is>
          <t>Powder / RTD</t>
        </is>
      </c>
      <c r="C10" s="60" t="inlineStr">
        <is>
          <t>moderate</t>
        </is>
      </c>
      <c r="D10" s="60" t="inlineStr">
        <is>
          <t>mid</t>
        </is>
      </c>
      <c r="E10" s="60" t="inlineStr">
        <is>
          <t>Athletic/clean sport</t>
        </is>
      </c>
      <c r="F10" s="60" t="inlineStr">
        <is>
          <t>Broad omnichannel (CA)</t>
        </is>
      </c>
      <c r="G10" s="60" t="inlineStr">
        <is>
          <t>Canadian rival; the cautionary tale (see Deep-Dive)</t>
        </is>
      </c>
    </row>
    <row r="11" ht="40" customHeight="1">
      <c r="A11" s="58" t="inlineStr">
        <is>
          <t>Prime</t>
        </is>
      </c>
      <c r="B11" s="58" t="inlineStr">
        <is>
          <t>RTD + powder</t>
        </is>
      </c>
      <c r="C11" s="58" t="inlineStr">
        <is>
          <t>low</t>
        </is>
      </c>
      <c r="D11" s="58" t="inlineStr">
        <is>
          <t>hype</t>
        </is>
      </c>
      <c r="E11" s="58" t="inlineStr">
        <is>
          <t>Youth/viral</t>
        </is>
      </c>
      <c r="F11" s="58" t="inlineStr">
        <is>
          <t>Walmart/convenience</t>
        </is>
      </c>
      <c r="G11" s="58" t="inlineStr">
        <is>
          <t>Sparkling-adjacent RTD; hype-cycle warning</t>
        </is>
      </c>
    </row>
    <row r="12" ht="40" customHeight="1">
      <c r="A12" s="60" t="inlineStr">
        <is>
          <t>Gatorlyte / Powerade</t>
        </is>
      </c>
      <c r="B12" s="60" t="inlineStr">
        <is>
          <t>RTD</t>
        </is>
      </c>
      <c r="C12" s="60" t="inlineStr">
        <is>
          <t>high</t>
        </is>
      </c>
      <c r="D12" s="60" t="inlineStr">
        <is>
          <t>mass</t>
        </is>
      </c>
      <c r="E12" s="60" t="inlineStr">
        <is>
          <t>Sport/mass</t>
        </is>
      </c>
      <c r="F12" s="60" t="inlineStr">
        <is>
          <t>Full distribution</t>
        </is>
      </c>
      <c r="G12" s="60" t="inlineStr">
        <is>
          <t>Incumbent sport hydration on the same cooler shelf</t>
        </is>
      </c>
    </row>
    <row r="13" ht="40" customHeight="1">
      <c r="A13" s="58" t="inlineStr">
        <is>
          <t>Organika electrolyte sachets</t>
        </is>
      </c>
      <c r="B13" s="58" t="inlineStr">
        <is>
          <t>3.5g powder sachet</t>
        </is>
      </c>
      <c r="C13" s="58" t="inlineStr">
        <is>
          <t>~440mg (sibling)</t>
        </is>
      </c>
      <c r="D13" s="58" t="inlineStr">
        <is>
          <t>~$29.99/30 (Costco)</t>
        </is>
      </c>
      <c r="E13" s="58" t="inlineStr">
        <is>
          <t>Daily, Canadian-made</t>
        </is>
      </c>
      <c r="F13" s="58" t="inlineStr">
        <is>
          <t>Costco/Well.ca/Amazon.ca</t>
        </is>
      </c>
      <c r="G13" s="58" t="inlineStr">
        <is>
          <t>Organika's own line — internal reference &amp; cannibalization watch</t>
        </is>
      </c>
    </row>
    <row r="14" ht="40" customHeight="1">
      <c r="A14" s="60" t="inlineStr">
        <is>
          <t>MÜV (this product)</t>
        </is>
      </c>
      <c r="B14" s="60" t="inlineStr">
        <is>
          <t>Sparkling RTD CAN</t>
        </is>
      </c>
      <c r="C14" s="60" t="inlineStr">
        <is>
          <t>TBD ⚠</t>
        </is>
      </c>
      <c r="D14" s="60" t="inlineStr">
        <is>
          <t>$14.99/pack</t>
        </is>
      </c>
      <c r="E14" s="60" t="inlineStr">
        <is>
          <t>Daily-wellness sparkling</t>
        </is>
      </c>
      <c r="F14" s="60" t="inlineStr">
        <is>
          <t>Costco/Amazon/Well.ca</t>
        </is>
      </c>
      <c r="G14" s="60" t="inlineStr">
        <is>
          <t>— the subject —</t>
        </is>
      </c>
    </row>
    <row r="15">
      <c r="A15" s="42" t="inlineStr">
        <is>
          <t>CATEGORY-ADJACENT — different occasion; context &amp; playbook only</t>
        </is>
      </c>
    </row>
    <row r="16">
      <c r="A16" s="11" t="inlineStr">
        <is>
          <t>Brand</t>
        </is>
      </c>
      <c r="B16" s="11" t="inlineStr">
        <is>
          <t>Category</t>
        </is>
      </c>
      <c r="C16" s="11" t="inlineStr">
        <is>
          <t>What MÜV borrows</t>
        </is>
      </c>
      <c r="D16" s="11" t="inlineStr">
        <is>
          <t>What does NOT transfer</t>
        </is>
      </c>
    </row>
    <row r="17" ht="42" customHeight="1">
      <c r="A17" s="58" t="inlineStr">
        <is>
          <t>Poppi</t>
        </is>
      </c>
      <c r="B17" s="58" t="inlineStr">
        <is>
          <t>Prebiotic soda (can)</t>
        </is>
      </c>
      <c r="C17" s="58" t="inlineStr">
        <is>
          <t>TikTok creator seeding; mass-priced premium; PepsiCo exit proof</t>
        </is>
      </c>
      <c r="D17" s="58" t="inlineStr">
        <is>
          <t>Soda occasion; 2g-fiber claim model (and its $8.9M lawsuit)</t>
        </is>
      </c>
    </row>
    <row r="18" ht="42" customHeight="1">
      <c r="A18" s="60" t="inlineStr">
        <is>
          <t>OLIPOP</t>
        </is>
      </c>
      <c r="B18" s="60" t="inlineStr">
        <is>
          <t>Prebiotic soda (can)</t>
        </is>
      </c>
      <c r="C18" s="60" t="inlineStr">
        <is>
          <t>Natural-channel seeding; sell-in on repurchase data</t>
        </is>
      </c>
      <c r="D18" s="60" t="inlineStr">
        <is>
          <t>Dessert-soda positioning; 9g fiber formulation</t>
        </is>
      </c>
    </row>
    <row r="19" ht="42" customHeight="1">
      <c r="A19" s="58" t="inlineStr">
        <is>
          <t>Vital Proteins Sparkling</t>
        </is>
      </c>
      <c r="B19" s="58" t="inlineStr">
        <is>
          <t>Collagen sparkling (can)</t>
        </is>
      </c>
      <c r="C19" s="58" t="inlineStr">
        <is>
          <t>Beauty-from-within demand proof; clinical-claim model</t>
        </is>
      </c>
      <c r="D19" s="58" t="inlineStr">
        <is>
          <t>Collagen-beauty claims (NHP-only in Canada — keep off MÜV can)</t>
        </is>
      </c>
    </row>
    <row r="20" ht="42" customHeight="1">
      <c r="A20" s="60" t="inlineStr">
        <is>
          <t>Recess</t>
        </is>
      </c>
      <c r="B20" s="60" t="inlineStr">
        <is>
          <t>Relaxation sparkling</t>
        </is>
      </c>
      <c r="C20" s="60" t="inlineStr">
        <is>
          <t>“Sell the felt benefit, not the molecule” lesson</t>
        </is>
      </c>
      <c r="D20" s="60" t="inlineStr">
        <is>
          <t>Adaptogen/CBD relaxation occasion</t>
        </is>
      </c>
    </row>
    <row r="21" ht="42" customHeight="1">
      <c r="A21" s="58" t="inlineStr">
        <is>
          <t>Aura Bora</t>
        </is>
      </c>
      <c r="B21" s="58" t="inlineStr">
        <is>
          <t>Sparkling water</t>
        </is>
      </c>
      <c r="C21" s="58" t="inlineStr">
        <is>
          <t>Personality-led cheap marketing; flavour novelty</t>
        </is>
      </c>
      <c r="D21" s="58" t="inlineStr">
        <is>
          <t>No functional/electrolyte claim</t>
        </is>
      </c>
    </row>
    <row r="22" ht="58" customHeight="1">
      <c r="A22" s="17" t="inlineStr">
        <is>
          <t>RECONCILED THESIS: MÜV should be PRICED &amp; FORMULATED against the DIRECT peers (≤ LMNT/Liquid I.V. per-serving economics, sparkling as the wedge, Supplemented-Food claims) while BORROWING the GTM from the adjacent soda winners (one obsessive trial tactic, sell-in on velocity/repeat, sequenced channel ladder). Win the daily-wellness sparkling occasion, made in Canada — don't fight Poppi for the soda shelf or Vital Proteins for beauty claims.</t>
        </is>
      </c>
      <c r="B22" s="34" t="n"/>
      <c r="C22" s="34" t="n"/>
      <c r="D22" s="34" t="n"/>
      <c r="E22" s="34" t="n"/>
      <c r="F22" s="34" t="n"/>
      <c r="G22" s="35" t="n"/>
    </row>
    <row r="25" hidden="1">
      <c r="A25" s="41" t="inlineStr">
        <is>
          <t>Positioning: sodium (mg) vs price/serving — data</t>
        </is>
      </c>
    </row>
    <row r="26" hidden="1">
      <c r="A26" t="inlineStr">
        <is>
          <t>Brand</t>
        </is>
      </c>
      <c r="B26" t="inlineStr">
        <is>
          <t>Sodium</t>
        </is>
      </c>
      <c r="C26" t="inlineStr">
        <is>
          <t>Price</t>
        </is>
      </c>
    </row>
    <row r="27" hidden="1">
      <c r="A27" t="inlineStr">
        <is>
          <t>LMNT</t>
        </is>
      </c>
      <c r="B27" t="n">
        <v>1000</v>
      </c>
      <c r="C27" t="n">
        <v>1.5</v>
      </c>
    </row>
    <row r="28" hidden="1">
      <c r="A28" t="inlineStr">
        <is>
          <t>Liquid I.V.</t>
        </is>
      </c>
      <c r="B28" t="n">
        <v>500</v>
      </c>
      <c r="C28" t="n">
        <v>1.56</v>
      </c>
    </row>
    <row r="29" hidden="1">
      <c r="A29" t="inlineStr">
        <is>
          <t>Nuun</t>
        </is>
      </c>
      <c r="B29" t="n">
        <v>300</v>
      </c>
      <c r="C29" t="n">
        <v>0.75</v>
      </c>
    </row>
    <row r="30" hidden="1">
      <c r="A30" t="inlineStr">
        <is>
          <t>Organika sachets</t>
        </is>
      </c>
      <c r="B30" t="n">
        <v>440</v>
      </c>
      <c r="C30" t="n">
        <v>1</v>
      </c>
    </row>
    <row r="31" hidden="1"/>
    <row r="32" hidden="1">
      <c r="A32" s="133" t="inlineStr">
        <is>
          <t>MÜV sodium/serving TBD (confirm on-can) — plot when known. Aim: daily-wellness zone (moderate sodium, mid price).</t>
        </is>
      </c>
    </row>
  </sheetData>
  <mergeCells count="6">
    <mergeCell ref="A1:G1"/>
    <mergeCell ref="A22:G22"/>
    <mergeCell ref="A4:G4"/>
    <mergeCell ref="A2:G2"/>
    <mergeCell ref="A15:G15"/>
    <mergeCell ref="A5:G5"/>
  </mergeCells>
  <hyperlinks>
    <hyperlink xmlns:r="http://schemas.openxmlformats.org/officeDocument/2006/relationships" ref="M1" r:id="rId1"/>
    <hyperlink xmlns:r="http://schemas.openxmlformats.org/officeDocument/2006/relationships" ref="N1" r:id="rId2"/>
  </hyperlinks>
  <pageMargins left="0.75" right="0.75" top="1" bottom="1" header="0.5" footer="0.5"/>
  <pageSetup orientation="landscape" fitToHeight="0" fitToWidth="1"/>
  <drawing xmlns:r="http://schemas.openxmlformats.org/officeDocument/2006/relationships" r:id="rId3"/>
</worksheet>
</file>

<file path=xl/worksheets/sheet16.xml><?xml version="1.0" encoding="utf-8"?>
<worksheet xmlns="http://schemas.openxmlformats.org/spreadsheetml/2006/main">
  <sheetPr>
    <tabColor rgb="003E5C76"/>
    <outlinePr summaryBelow="1" summaryRight="1"/>
    <pageSetUpPr fitToPage="1"/>
  </sheetPr>
  <dimension ref="A1:N50"/>
  <sheetViews>
    <sheetView showGridLines="0" tabSelected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28" customWidth="1" min="3" max="3"/>
    <col width="18" customWidth="1" min="4" max="4"/>
    <col width="22" customWidth="1" min="5" max="5"/>
    <col width="16" customWidth="1" min="6" max="6"/>
  </cols>
  <sheetData>
    <row r="1" ht="30" customHeight="1">
      <c r="A1" s="1" t="inlineStr">
        <is>
          <t>Extended Competitor Landscape (~30 brands)</t>
        </is>
      </c>
      <c r="M1" s="95" t="inlineStr">
        <is>
          <t>🏠 Home</t>
        </is>
      </c>
      <c r="N1" s="95" t="inlineStr">
        <is>
          <t>↩ Contents</t>
        </is>
      </c>
    </row>
    <row r="3">
      <c r="A3" s="15" t="inlineStr">
        <is>
          <t>FUNCTIONAL SODA / PREBIOTIC</t>
        </is>
      </c>
    </row>
    <row r="4">
      <c r="A4" s="11" t="inlineStr">
        <is>
          <t>Brand</t>
        </is>
      </c>
      <c r="B4" s="11" t="inlineStr">
        <is>
          <t>Founded / Founder</t>
        </is>
      </c>
      <c r="C4" s="11" t="inlineStr">
        <is>
          <t>Positioning / hero</t>
        </is>
      </c>
      <c r="D4" s="11" t="inlineStr">
        <is>
          <t>Price / footprint</t>
        </is>
      </c>
      <c r="E4" s="11" t="inlineStr">
        <is>
          <t>Funding / exit</t>
        </is>
      </c>
      <c r="F4" s="11" t="inlineStr">
        <is>
          <t>Status</t>
        </is>
      </c>
    </row>
    <row r="5" ht="30" customHeight="1">
      <c r="A5" s="12" t="inlineStr">
        <is>
          <t>Culture Pop</t>
        </is>
      </c>
      <c r="B5" s="12" t="inlineStr">
        <is>
          <t>2020; Tom First (Nantucket Nectars)</t>
        </is>
      </c>
      <c r="C5" s="12" t="inlineStr">
        <is>
          <t>Probiotic soda, live cultures, real juice</t>
        </is>
      </c>
      <c r="D5" s="12" t="inlineStr">
        <is>
          <t>Multi-region retail</t>
        </is>
      </c>
      <c r="E5" s="12" t="inlineStr">
        <is>
          <t>$21M raised (~2024)</t>
        </is>
      </c>
      <c r="F5" s="12" t="inlineStr">
        <is>
          <t>Active</t>
        </is>
      </c>
    </row>
    <row r="6" ht="30" customHeight="1">
      <c r="A6" s="13" t="inlineStr">
        <is>
          <t>Health-Ade (Booch Pop)</t>
        </is>
      </c>
      <c r="B6" s="13" t="inlineStr">
        <is>
          <t>Kombucha 2012; Pop 2020</t>
        </is>
      </c>
      <c r="C6" s="13" t="inlineStr">
        <is>
          <t>Prebiotic soda; flagship kombucha</t>
        </is>
      </c>
      <c r="D6" s="13" t="inlineStr">
        <is>
          <t>~$250M/yr retail</t>
        </is>
      </c>
      <c r="E6" s="13" t="inlineStr">
        <is>
          <t>Acq. Generous Brands $500M</t>
        </is>
      </c>
      <c r="F6" s="13" t="inlineStr">
        <is>
          <t>Active</t>
        </is>
      </c>
    </row>
    <row r="7" ht="30" customHeight="1">
      <c r="A7" s="12" t="inlineStr">
        <is>
          <t>Mighty Pop</t>
        </is>
      </c>
      <c r="B7" s="12" t="inlineStr">
        <is>
          <t>2023; by Beliv</t>
        </is>
      </c>
      <c r="C7" s="12" t="inlineStr">
        <is>
          <t>Pre+pro+postbiotics, 3g fiber/can</t>
        </is>
      </c>
      <c r="D7" s="12" t="inlineStr">
        <is>
          <t>US</t>
        </is>
      </c>
      <c r="E7" s="12" t="inlineStr">
        <is>
          <t>Beliv portfolio</t>
        </is>
      </c>
      <c r="F7" s="12" t="inlineStr">
        <is>
          <t>Active; sold out initial run</t>
        </is>
      </c>
    </row>
    <row r="8" ht="30" customHeight="1">
      <c r="A8" s="13" t="inlineStr">
        <is>
          <t>De La Calle</t>
        </is>
      </c>
      <c r="B8" s="13" t="inlineStr">
        <is>
          <t>2020; Matthews &amp; Martin del Campo</t>
        </is>
      </c>
      <c r="C8" s="13" t="inlineStr">
        <is>
          <t>Tepache (fermented pineapple), low sugar</t>
        </is>
      </c>
      <c r="D8" s="13" t="inlineStr">
        <is>
          <t>Retail</t>
        </is>
      </c>
      <c r="E8" s="13" t="inlineStr">
        <is>
          <t>$7M (2022, KarpReilly)</t>
        </is>
      </c>
      <c r="F8" s="13" t="inlineStr">
        <is>
          <t>Active</t>
        </is>
      </c>
    </row>
    <row r="9" ht="30" customHeight="1">
      <c r="A9" s="12" t="inlineStr">
        <is>
          <t>United Sodas</t>
        </is>
      </c>
      <c r="B9" s="12" t="inlineStr">
        <is>
          <t>2019; Brooklyn</t>
        </is>
      </c>
      <c r="C9" s="12" t="inlineStr">
        <is>
          <t>Premium low-cal, DTC flavor packs</t>
        </is>
      </c>
      <c r="D9" s="12" t="inlineStr">
        <is>
          <t>~2,500 stores</t>
        </is>
      </c>
      <c r="E9" s="12" t="inlineStr">
        <is>
          <t>Undisclosed (FLAG)</t>
        </is>
      </c>
      <c r="F9" s="12" t="inlineStr">
        <is>
          <t>Active</t>
        </is>
      </c>
    </row>
    <row r="10" ht="30" customHeight="1">
      <c r="A10" s="13" t="inlineStr">
        <is>
          <t>Wildwonder</t>
        </is>
      </c>
      <c r="B10" s="13" t="inlineStr">
        <is>
          <t>~2018; Rosa Li</t>
        </is>
      </c>
      <c r="C10" s="13" t="inlineStr">
        <is>
          <t>Sparkling pre+probiotic gut drink</t>
        </is>
      </c>
      <c r="D10" s="13" t="inlineStr">
        <is>
          <t>Sprouts, Target chilled</t>
        </is>
      </c>
      <c r="E10" s="13" t="inlineStr">
        <is>
          <t>Shark Tank $500K/6% (2023)</t>
        </is>
      </c>
      <c r="F10" s="13" t="inlineStr">
        <is>
          <t>Active</t>
        </is>
      </c>
    </row>
    <row r="11" ht="30" customHeight="1">
      <c r="A11" s="12" t="inlineStr">
        <is>
          <t>Simply Pop</t>
        </is>
      </c>
      <c r="B11" s="12" t="inlineStr">
        <is>
          <t>2025; Coca-Cola</t>
        </is>
      </c>
      <c r="C11" s="12" t="inlineStr">
        <is>
          <t>Prebiotic soda (incumbent entry)</t>
        </is>
      </c>
      <c r="D11" s="12" t="inlineStr">
        <is>
          <t>Mass</t>
        </is>
      </c>
      <c r="E11" s="12" t="inlineStr">
        <is>
          <t>Corporate</t>
        </is>
      </c>
      <c r="F11" s="12" t="inlineStr">
        <is>
          <t>Active</t>
        </is>
      </c>
    </row>
    <row r="12">
      <c r="A12" s="15" t="inlineStr">
        <is>
          <t>SPARKLING / FLAVORED WATER</t>
        </is>
      </c>
    </row>
    <row r="13">
      <c r="A13" s="11" t="inlineStr">
        <is>
          <t>Brand</t>
        </is>
      </c>
      <c r="B13" s="11" t="inlineStr">
        <is>
          <t>Founded / Founder</t>
        </is>
      </c>
      <c r="C13" s="11" t="inlineStr">
        <is>
          <t>Positioning / hero</t>
        </is>
      </c>
      <c r="D13" s="11" t="inlineStr">
        <is>
          <t>Price / footprint</t>
        </is>
      </c>
      <c r="E13" s="11" t="inlineStr">
        <is>
          <t>Funding / exit</t>
        </is>
      </c>
      <c r="F13" s="11" t="inlineStr">
        <is>
          <t>Status</t>
        </is>
      </c>
    </row>
    <row r="14" ht="28" customHeight="1">
      <c r="A14" s="12" t="inlineStr">
        <is>
          <t>Spindrift</t>
        </is>
      </c>
      <c r="B14" s="12" t="inlineStr">
        <is>
          <t>2010; Bill Creelman</t>
        </is>
      </c>
      <c r="C14" s="12" t="inlineStr">
        <is>
          <t>Real squeezed fruit, only ingredient</t>
        </is>
      </c>
      <c r="D14" s="12" t="inlineStr">
        <is>
          <t>National</t>
        </is>
      </c>
      <c r="E14" s="12" t="inlineStr">
        <is>
          <t>$75.7M; recap by Gryphon</t>
        </is>
      </c>
      <c r="F14" s="12" t="inlineStr">
        <is>
          <t>Active</t>
        </is>
      </c>
    </row>
    <row r="15" ht="28" customHeight="1">
      <c r="A15" s="13" t="inlineStr">
        <is>
          <t>Waterloo</t>
        </is>
      </c>
      <c r="B15" s="13" t="inlineStr">
        <is>
          <t>2017; Cusack &amp; Christopher (CAVU)</t>
        </is>
      </c>
      <c r="C15" s="13" t="inlineStr">
        <is>
          <t>Bold zero-cal sparkling water</t>
        </is>
      </c>
      <c r="D15" s="13" t="inlineStr">
        <is>
          <t>National</t>
        </is>
      </c>
      <c r="E15" s="13" t="inlineStr">
        <is>
          <t>Majority sale 2020 (Flexis-led, NOT KDP)</t>
        </is>
      </c>
      <c r="F15" s="13" t="inlineStr">
        <is>
          <t>Active</t>
        </is>
      </c>
    </row>
    <row r="16" ht="28" customHeight="1">
      <c r="A16" s="12" t="inlineStr">
        <is>
          <t>Sound</t>
        </is>
      </c>
      <c r="B16" s="12" t="inlineStr">
        <is>
          <t>~2015; Kelly &amp; Najjar</t>
        </is>
      </c>
      <c r="C16" s="12" t="inlineStr">
        <is>
          <t>Organic sparkling tea/botanicals, unsweetened</t>
        </is>
      </c>
      <c r="D16" s="12" t="inlineStr">
        <is>
          <t>Retail</t>
        </is>
      </c>
      <c r="E16" s="12" t="inlineStr">
        <is>
          <t>Acq. Next In Natural</t>
        </is>
      </c>
      <c r="F16" s="12" t="inlineStr">
        <is>
          <t>Active</t>
        </is>
      </c>
    </row>
    <row r="17" ht="28" customHeight="1">
      <c r="A17" s="13" t="inlineStr">
        <is>
          <t>Hint</t>
        </is>
      </c>
      <c r="B17" s="13" t="inlineStr">
        <is>
          <t>2005; Kara Goldin</t>
        </is>
      </c>
      <c r="C17" s="13" t="inlineStr">
        <is>
          <t>Unsweetened fruit-essence water</t>
        </is>
      </c>
      <c r="D17" s="13" t="inlineStr">
        <is>
          <t>National</t>
        </is>
      </c>
      <c r="E17" s="13" t="inlineStr">
        <is>
          <t>$51.5M; ~$150M val</t>
        </is>
      </c>
      <c r="F17" s="13" t="inlineStr">
        <is>
          <t>Active, indep.</t>
        </is>
      </c>
    </row>
    <row r="18" ht="28" customHeight="1">
      <c r="A18" s="12" t="inlineStr">
        <is>
          <t>AHA</t>
        </is>
      </c>
      <c r="B18" s="12" t="inlineStr">
        <is>
          <t>2020; Coca-Cola</t>
        </is>
      </c>
      <c r="C18" s="12" t="inlineStr">
        <is>
          <t>Zero-cal flavor-pair sparkling</t>
        </is>
      </c>
      <c r="D18" s="12" t="inlineStr">
        <is>
          <t>Reduced</t>
        </is>
      </c>
      <c r="E18" s="12" t="inlineStr">
        <is>
          <t>Corporate</t>
        </is>
      </c>
      <c r="F18" s="12" t="inlineStr">
        <is>
          <t>Distribution cut</t>
        </is>
      </c>
    </row>
    <row r="19" ht="28" customHeight="1">
      <c r="A19" s="13" t="inlineStr">
        <is>
          <t>Bubly</t>
        </is>
      </c>
      <c r="B19" s="13" t="inlineStr">
        <is>
          <t>2018; PepsiCo</t>
        </is>
      </c>
      <c r="C19" s="13" t="inlineStr">
        <is>
          <t>Playful zero-cal sparkling</t>
        </is>
      </c>
      <c r="D19" s="13" t="inlineStr">
        <is>
          <t>National</t>
        </is>
      </c>
      <c r="E19" s="13" t="inlineStr">
        <is>
          <t>Corporate</t>
        </is>
      </c>
      <c r="F19" s="13" t="inlineStr">
        <is>
          <t>Active</t>
        </is>
      </c>
    </row>
    <row r="20">
      <c r="A20" s="15" t="inlineStr">
        <is>
          <t>ELECTROLYTE / HYDRATION (expanded)</t>
        </is>
      </c>
    </row>
    <row r="21">
      <c r="A21" s="11" t="inlineStr">
        <is>
          <t>Brand</t>
        </is>
      </c>
      <c r="B21" s="11" t="inlineStr">
        <is>
          <t>Founded / Founder</t>
        </is>
      </c>
      <c r="C21" s="11" t="inlineStr">
        <is>
          <t>Positioning / hero</t>
        </is>
      </c>
      <c r="D21" s="11" t="inlineStr">
        <is>
          <t>Price / footprint</t>
        </is>
      </c>
      <c r="E21" s="11" t="inlineStr">
        <is>
          <t>Funding / exit</t>
        </is>
      </c>
      <c r="F21" s="11" t="inlineStr">
        <is>
          <t>Status</t>
        </is>
      </c>
    </row>
    <row r="22" ht="28" customHeight="1">
      <c r="A22" s="12" t="inlineStr">
        <is>
          <t>Gatorlyte</t>
        </is>
      </c>
      <c r="B22" s="12" t="inlineStr">
        <is>
          <t>2022; PepsiCo/Gatorade</t>
        </is>
      </c>
      <c r="C22" s="12" t="inlineStr">
        <is>
          <t>Rapid-rehydration 5-electrolyte</t>
        </is>
      </c>
      <c r="D22" s="12" t="inlineStr">
        <is>
          <t>Full distribution</t>
        </is>
      </c>
      <c r="E22" s="12" t="inlineStr">
        <is>
          <t>Corporate</t>
        </is>
      </c>
      <c r="F22" s="12" t="inlineStr">
        <is>
          <t>Active</t>
        </is>
      </c>
    </row>
    <row r="23" ht="28" customHeight="1">
      <c r="A23" s="13" t="inlineStr">
        <is>
          <t>Prime Hydration</t>
        </is>
      </c>
      <c r="B23" s="13" t="inlineStr">
        <is>
          <t>2022; Logan Paul &amp; KSI</t>
        </is>
      </c>
      <c r="C23" s="13" t="inlineStr">
        <is>
          <t>Influencer-led; BCAAs, coconut water</t>
        </is>
      </c>
      <c r="D23" s="13" t="inlineStr">
        <is>
          <t>Mass</t>
        </is>
      </c>
      <c r="E23" s="13" t="inlineStr">
        <is>
          <t>~$1.2–1.3B peak 2023, then down ~75% (FLAG)</t>
        </is>
      </c>
      <c r="F23" s="13" t="inlineStr">
        <is>
          <t>Contracting</t>
        </is>
      </c>
    </row>
    <row r="24" ht="28" customHeight="1">
      <c r="A24" s="12" t="inlineStr">
        <is>
          <t>Cure Hydration</t>
        </is>
      </c>
      <c r="B24" s="12" t="inlineStr">
        <is>
          <t>~2018; L. Picasso</t>
        </is>
      </c>
      <c r="C24" s="12" t="inlineStr">
        <is>
          <t>Plant-based, no added sugar</t>
        </is>
      </c>
      <c r="D24" s="12" t="inlineStr">
        <is>
          <t>Retail</t>
        </is>
      </c>
      <c r="E24" s="12" t="inlineStr">
        <is>
          <t>$9.88M total; $5.6M A (2023)</t>
        </is>
      </c>
      <c r="F24" s="12" t="inlineStr">
        <is>
          <t>Active</t>
        </is>
      </c>
    </row>
    <row r="25" ht="28" customHeight="1">
      <c r="A25" s="13" t="inlineStr">
        <is>
          <t>Skratch Labs</t>
        </is>
      </c>
      <c r="B25" s="13" t="inlineStr">
        <is>
          <t>2012; Dr. Allen Lim</t>
        </is>
      </c>
      <c r="C25" s="13" t="inlineStr">
        <is>
          <t>“Real food” sports hydration</t>
        </is>
      </c>
      <c r="D25" s="13" t="inlineStr">
        <is>
          <t>Specialty</t>
        </is>
      </c>
      <c r="E25" s="13" t="inlineStr">
        <is>
          <t>Bootstrapped</t>
        </is>
      </c>
      <c r="F25" s="13" t="inlineStr">
        <is>
          <t>Active</t>
        </is>
      </c>
    </row>
    <row r="26" ht="28" customHeight="1">
      <c r="A26" s="12" t="inlineStr">
        <is>
          <t>DripDrop</t>
        </is>
      </c>
      <c r="B26" s="12" t="inlineStr">
        <is>
          <t>2008; Dr. Dolhun</t>
        </is>
      </c>
      <c r="C26" s="12" t="inlineStr">
        <is>
          <t>Medical-grade ORS</t>
        </is>
      </c>
      <c r="D26" s="12" t="inlineStr">
        <is>
          <t>Retail</t>
        </is>
      </c>
      <c r="E26" s="12" t="inlineStr">
        <is>
          <t>$3M+$5.6M early</t>
        </is>
      </c>
      <c r="F26" s="12" t="inlineStr">
        <is>
          <t>Active (PBC)</t>
        </is>
      </c>
    </row>
    <row r="27" ht="28" customHeight="1">
      <c r="A27" s="13" t="inlineStr">
        <is>
          <t>Ultima Replenisher</t>
        </is>
      </c>
      <c r="B27" s="13" t="inlineStr">
        <is>
          <t>25+ yrs</t>
        </is>
      </c>
      <c r="C27" s="13" t="inlineStr">
        <is>
          <t>Zero-sugar electrolyte powder</t>
        </is>
      </c>
      <c r="D27" s="13" t="inlineStr">
        <is>
          <t>Retail</t>
        </is>
      </c>
      <c r="E27" s="13" t="inlineStr">
        <is>
          <t>Undisclosed (FLAG)</t>
        </is>
      </c>
      <c r="F27" s="13" t="inlineStr">
        <is>
          <t>Active</t>
        </is>
      </c>
    </row>
    <row r="28">
      <c r="A28" s="15" t="inlineStr">
        <is>
          <t>ENERGY / FUNCTIONAL (playbook reference)</t>
        </is>
      </c>
    </row>
    <row r="29">
      <c r="A29" s="11" t="inlineStr">
        <is>
          <t>Brand</t>
        </is>
      </c>
      <c r="B29" s="11" t="inlineStr">
        <is>
          <t>Founded / Founder</t>
        </is>
      </c>
      <c r="C29" s="11" t="inlineStr">
        <is>
          <t>Positioning / hero</t>
        </is>
      </c>
      <c r="D29" s="11" t="inlineStr">
        <is>
          <t>Price / footprint</t>
        </is>
      </c>
      <c r="E29" s="11" t="inlineStr">
        <is>
          <t>Funding / exit</t>
        </is>
      </c>
      <c r="F29" s="11" t="inlineStr">
        <is>
          <t>Status</t>
        </is>
      </c>
    </row>
    <row r="30" ht="28" customHeight="1">
      <c r="A30" s="12" t="inlineStr">
        <is>
          <t>Celsius</t>
        </is>
      </c>
      <c r="B30" s="12" t="inlineStr">
        <is>
          <t>2004; NASDAQ 2017</t>
        </is>
      </c>
      <c r="C30" s="12" t="inlineStr">
        <is>
          <t>Thermogenic energy; fitness/social + PepsiCo</t>
        </is>
      </c>
      <c r="D30" s="12" t="inlineStr">
        <is>
          <t>100,000+ doors</t>
        </is>
      </c>
      <c r="E30" s="12" t="inlineStr">
        <is>
          <t>PepsiCo $550M/8.5% (2022); bought Alani Nu $1.8B</t>
        </is>
      </c>
      <c r="F30" s="12" t="inlineStr">
        <is>
          <t>Public</t>
        </is>
      </c>
    </row>
    <row r="31" ht="28" customHeight="1">
      <c r="A31" s="13" t="inlineStr">
        <is>
          <t>Alani Nu</t>
        </is>
      </c>
      <c r="B31" s="13" t="inlineStr">
        <is>
          <t>2018; Katy Hearn</t>
        </is>
      </c>
      <c r="C31" s="13" t="inlineStr">
        <is>
          <t>Influencer/DTC → mass</t>
        </is>
      </c>
      <c r="D31" s="13" t="inlineStr">
        <is>
          <t>Mass</t>
        </is>
      </c>
      <c r="E31" s="13" t="inlineStr">
        <is>
          <t>~$595M rev 2024; sold to Celsius $1.8B</t>
        </is>
      </c>
      <c r="F31" s="13" t="inlineStr">
        <is>
          <t>Acquired</t>
        </is>
      </c>
    </row>
    <row r="32" ht="28" customHeight="1">
      <c r="A32" s="12" t="inlineStr">
        <is>
          <t>Ghost</t>
        </is>
      </c>
      <c r="B32" s="12" t="inlineStr">
        <is>
          <t>2016</t>
        </is>
      </c>
      <c r="C32" s="12" t="inlineStr">
        <is>
          <t>Community/influencer, licensed flavors</t>
        </is>
      </c>
      <c r="D32" s="12" t="inlineStr">
        <is>
          <t>Mass</t>
        </is>
      </c>
      <c r="E32" s="12" t="inlineStr">
        <is>
          <t>KDP 60% (2024)</t>
        </is>
      </c>
      <c r="F32" s="12" t="inlineStr">
        <is>
          <t>Acquired (KDP)</t>
        </is>
      </c>
    </row>
    <row r="33">
      <c r="A33" s="15" t="inlineStr">
        <is>
          <t>COLLAGEN / BEAUTY / ADAPTOGEN</t>
        </is>
      </c>
    </row>
    <row r="34">
      <c r="A34" s="11" t="inlineStr">
        <is>
          <t>Brand</t>
        </is>
      </c>
      <c r="B34" s="11" t="inlineStr">
        <is>
          <t>Founded / Founder</t>
        </is>
      </c>
      <c r="C34" s="11" t="inlineStr">
        <is>
          <t>Positioning / hero</t>
        </is>
      </c>
      <c r="D34" s="11" t="inlineStr">
        <is>
          <t>Price / footprint</t>
        </is>
      </c>
      <c r="E34" s="11" t="inlineStr">
        <is>
          <t>Funding / exit</t>
        </is>
      </c>
      <c r="F34" s="11" t="inlineStr">
        <is>
          <t>Status</t>
        </is>
      </c>
    </row>
    <row r="35" ht="28" customHeight="1">
      <c r="A35" s="12" t="inlineStr">
        <is>
          <t>Vital Proteins</t>
        </is>
      </c>
      <c r="B35" s="12" t="inlineStr">
        <is>
          <t>K. Seidensticker</t>
        </is>
      </c>
      <c r="C35" s="12" t="inlineStr">
        <is>
          <t>Leading US collagen (supp/bev/food)</t>
        </is>
      </c>
      <c r="D35" s="12" t="inlineStr">
        <is>
          <t>National</t>
        </is>
      </c>
      <c r="E35" s="12" t="inlineStr">
        <is>
          <t>Nestlé (full 2022)</t>
        </is>
      </c>
      <c r="F35" s="12" t="inlineStr">
        <is>
          <t>Active</t>
        </is>
      </c>
    </row>
    <row r="36" ht="28" customHeight="1">
      <c r="A36" s="13" t="inlineStr">
        <is>
          <t>Moon Juice</t>
        </is>
      </c>
      <c r="B36" s="13" t="inlineStr">
        <is>
          <t>2011; A.C. Bacon</t>
        </is>
      </c>
      <c r="C36" s="13" t="inlineStr">
        <is>
          <t>Adaptogenic dusts/supplements</t>
        </is>
      </c>
      <c r="D36" s="13" t="inlineStr">
        <is>
          <t>DTC + retail</t>
        </is>
      </c>
      <c r="E36" s="13" t="inlineStr">
        <is>
          <t>Undisclosed (FLAG)</t>
        </is>
      </c>
      <c r="F36" s="13" t="inlineStr">
        <is>
          <t>Active</t>
        </is>
      </c>
    </row>
    <row r="37" ht="28" customHeight="1">
      <c r="A37" s="12" t="inlineStr">
        <is>
          <t>Wylde One</t>
        </is>
      </c>
      <c r="B37" s="12" t="inlineStr">
        <is>
          <t>S. Park</t>
        </is>
      </c>
      <c r="C37" s="12" t="inlineStr">
        <is>
          <t>Adaptogenic elixirs/lattes (powder)</t>
        </is>
      </c>
      <c r="D37" s="12" t="inlineStr">
        <is>
          <t>Anthropologie, UO</t>
        </is>
      </c>
      <c r="E37" s="12" t="inlineStr">
        <is>
          <t>Undisclosed (FLAG)</t>
        </is>
      </c>
      <c r="F37" s="12" t="inlineStr">
        <is>
          <t>Active</t>
        </is>
      </c>
    </row>
    <row r="38" ht="28" customHeight="1">
      <c r="A38" s="13" t="inlineStr">
        <is>
          <t>Olly</t>
        </is>
      </c>
      <c r="B38" s="13" t="inlineStr">
        <is>
          <t>—</t>
        </is>
      </c>
      <c r="C38" s="13" t="inlineStr">
        <is>
          <t>Gummy vitamins incl. beauty/collagen</t>
        </is>
      </c>
      <c r="D38" s="13" t="inlineStr">
        <is>
          <t>Mass</t>
        </is>
      </c>
      <c r="E38" s="13" t="inlineStr">
        <is>
          <t>Unilever (2019)</t>
        </is>
      </c>
      <c r="F38" s="13" t="inlineStr">
        <is>
          <t>Active</t>
        </is>
      </c>
    </row>
    <row r="39" ht="28" customHeight="1">
      <c r="A39" s="12" t="inlineStr">
        <is>
          <t>Halo</t>
        </is>
      </c>
      <c r="B39" s="12" t="inlineStr">
        <is>
          <t>Ambiguous</t>
        </is>
      </c>
      <c r="C39" s="12" t="inlineStr">
        <is>
          <t>Ingestible beauty supplement (NOT a beverage)</t>
        </is>
      </c>
      <c r="D39" s="12" t="inlineStr">
        <is>
          <t>—</t>
        </is>
      </c>
      <c r="E39" s="12" t="inlineStr">
        <is>
          <t>—</t>
        </is>
      </c>
      <c r="F39" s="12" t="inlineStr">
        <is>
          <t>Clarify</t>
        </is>
      </c>
    </row>
    <row r="40" ht="28" customHeight="1">
      <c r="A40" s="13" t="inlineStr">
        <is>
          <t>Mud\Wtr</t>
        </is>
      </c>
      <c r="B40" s="13" t="inlineStr">
        <is>
          <t>2018; S. Heath</t>
        </is>
      </c>
      <c r="C40" s="13" t="inlineStr">
        <is>
          <t>Coffee-alt w/ mushrooms</t>
        </is>
      </c>
      <c r="D40" s="13" t="inlineStr">
        <is>
          <t>DTC-led</t>
        </is>
      </c>
      <c r="E40" s="13" t="inlineStr">
        <is>
          <t>~$1M seed; later FLAG</t>
        </is>
      </c>
      <c r="F40" s="13" t="inlineStr">
        <is>
          <t>Active</t>
        </is>
      </c>
    </row>
    <row r="41">
      <c r="A41" s="15" t="inlineStr">
        <is>
          <t>CANADIAN FUNCTIONAL BEVERAGE BRANDS</t>
        </is>
      </c>
    </row>
    <row r="42">
      <c r="A42" s="11" t="inlineStr">
        <is>
          <t>Brand</t>
        </is>
      </c>
      <c r="B42" s="11" t="inlineStr">
        <is>
          <t>Founded / Founder</t>
        </is>
      </c>
      <c r="C42" s="11" t="inlineStr">
        <is>
          <t>Positioning / hero</t>
        </is>
      </c>
      <c r="D42" s="11" t="inlineStr">
        <is>
          <t>Price / footprint</t>
        </is>
      </c>
      <c r="E42" s="11" t="inlineStr">
        <is>
          <t>Funding / exit</t>
        </is>
      </c>
      <c r="F42" s="11" t="inlineStr">
        <is>
          <t>Status</t>
        </is>
      </c>
    </row>
    <row r="43" ht="28" customHeight="1">
      <c r="A43" s="12" t="inlineStr">
        <is>
          <t>Collective Arts</t>
        </is>
      </c>
      <c r="B43" s="12" t="inlineStr">
        <is>
          <t>2013; Hamilton ON</t>
        </is>
      </c>
      <c r="C43" s="12" t="inlineStr">
        <is>
          <t>Craft + non-alc/wellness/cocktails</t>
        </is>
      </c>
      <c r="D43" s="12" t="inlineStr">
        <is>
          <t>National</t>
        </is>
      </c>
      <c r="E43" s="12" t="inlineStr">
        <is>
          <t>Independent</t>
        </is>
      </c>
      <c r="F43" s="12" t="inlineStr">
        <is>
          <t>Active</t>
        </is>
      </c>
    </row>
    <row r="44" ht="28" customHeight="1">
      <c r="A44" s="13" t="inlineStr">
        <is>
          <t>Flow</t>
        </is>
      </c>
      <c r="B44" s="13" t="inlineStr">
        <is>
          <t>2015; N. Reichenbach</t>
        </is>
      </c>
      <c r="C44" s="13" t="inlineStr">
        <is>
          <t>Alkaline spring water, B-Corp</t>
        </is>
      </c>
      <c r="D44" s="13" t="inlineStr">
        <is>
          <t>~46k stores NA</t>
        </is>
      </c>
      <c r="E44" s="13" t="inlineStr">
        <is>
          <t>TSX-listed; ~C$30M</t>
        </is>
      </c>
      <c r="F44" s="13" t="inlineStr">
        <is>
          <t>Active (pressured)</t>
        </is>
      </c>
    </row>
    <row r="45" ht="28" customHeight="1">
      <c r="A45" s="12" t="inlineStr">
        <is>
          <t>Wize Tea</t>
        </is>
      </c>
      <c r="B45" s="12" t="inlineStr">
        <is>
          <t>Montreal</t>
        </is>
      </c>
      <c r="C45" s="12" t="inlineStr">
        <is>
          <t>Sparkling tea upcycled from coffee leaves</t>
        </is>
      </c>
      <c r="D45" s="12" t="inlineStr">
        <is>
          <t>Regional</t>
        </is>
      </c>
      <c r="E45" s="12" t="inlineStr">
        <is>
          <t>Undisclosed (FLAG)</t>
        </is>
      </c>
      <c r="F45" s="12" t="inlineStr">
        <is>
          <t>Active</t>
        </is>
      </c>
    </row>
    <row r="46" ht="28" customHeight="1">
      <c r="A46" s="13" t="inlineStr">
        <is>
          <t>Partake</t>
        </is>
      </c>
      <c r="B46" s="13" t="inlineStr">
        <is>
          <t>2017; T. Fleming</t>
        </is>
      </c>
      <c r="C46" s="13" t="inlineStr">
        <is>
          <t>Non-alc beer; Hop Twist hop water (2025)</t>
        </is>
      </c>
      <c r="D46" s="13" t="inlineStr">
        <is>
          <t>National</t>
        </is>
      </c>
      <c r="E46" s="13" t="inlineStr">
        <is>
          <t>Kickstarter origin</t>
        </is>
      </c>
      <c r="F46" s="13" t="inlineStr">
        <is>
          <t>Active</t>
        </is>
      </c>
    </row>
    <row r="47" ht="28" customHeight="1">
      <c r="A47" s="12" t="inlineStr">
        <is>
          <t>Greenhouse Juice</t>
        </is>
      </c>
      <c r="B47" s="12" t="inlineStr">
        <is>
          <t>Toronto</t>
        </is>
      </c>
      <c r="C47" s="12" t="inlineStr">
        <is>
          <t>Cold-pressed juice + functional</t>
        </is>
      </c>
      <c r="D47" s="12" t="inlineStr">
        <is>
          <t>Regional</t>
        </is>
      </c>
      <c r="E47" s="12" t="inlineStr">
        <is>
          <t>Independent</t>
        </is>
      </c>
      <c r="F47" s="12" t="inlineStr">
        <is>
          <t>Active</t>
        </is>
      </c>
    </row>
    <row r="48" ht="28" customHeight="1">
      <c r="A48" s="13" t="inlineStr">
        <is>
          <t>Rise Kombucha</t>
        </is>
      </c>
      <c r="B48" s="13" t="inlineStr">
        <is>
          <t>2008; Montreal</t>
        </is>
      </c>
      <c r="C48" s="13" t="inlineStr">
        <is>
          <t>Leading CA kombucha; “Better Soda” prebiotic (2023)</t>
        </is>
      </c>
      <c r="D48" s="13" t="inlineStr">
        <is>
          <t>National</t>
        </is>
      </c>
      <c r="E48" s="13" t="inlineStr">
        <is>
          <t>Buddha Brands</t>
        </is>
      </c>
      <c r="F48" s="13" t="inlineStr">
        <is>
          <t>Active</t>
        </is>
      </c>
    </row>
    <row r="49" ht="28" customHeight="1">
      <c r="A49" s="12" t="inlineStr">
        <is>
          <t>Loop / Crazy D's / Cove Soda</t>
        </is>
      </c>
      <c r="B49" s="12" t="inlineStr">
        <is>
          <t>Various (CA)</t>
        </is>
      </c>
      <c r="C49" s="12" t="inlineStr">
        <is>
          <t>Real CA prebiotic/better-soda players (verify)</t>
        </is>
      </c>
      <c r="D49" s="12" t="inlineStr">
        <is>
          <t>Regional</t>
        </is>
      </c>
      <c r="E49" s="12" t="inlineStr">
        <is>
          <t>—</t>
        </is>
      </c>
      <c r="F49" s="12" t="inlineStr">
        <is>
          <t>Active (suggested swap-ins)</t>
        </is>
      </c>
    </row>
    <row r="50" ht="60" customHeight="1">
      <c r="A50" s="6" t="inlineStr">
        <is>
          <t>VERIFICATION NOTES: “GoodSip”, “Rad”, “Local”, “Botaniste” could not be verified as real Canadian functional-beverage brands and were dropped — replace with Loop Mission / Crazy D's / Cove Soda / Buddha Brands. Waterloo was acquired by a Flexis-led group (2020), NOT Keurig Dr Pepper. “Halo” is a supplement, not an RTD. Re-verify all FLAG funding figures before circulation.</t>
        </is>
      </c>
      <c r="B50" s="34" t="n"/>
      <c r="C50" s="34" t="n"/>
      <c r="D50" s="34" t="n"/>
      <c r="E50" s="34" t="n"/>
      <c r="F50" s="35" t="n"/>
    </row>
  </sheetData>
  <mergeCells count="8">
    <mergeCell ref="A41:F41"/>
    <mergeCell ref="A33:F33"/>
    <mergeCell ref="A28:F28"/>
    <mergeCell ref="A1:F1"/>
    <mergeCell ref="A12:F12"/>
    <mergeCell ref="A50:F50"/>
    <mergeCell ref="A3:F3"/>
    <mergeCell ref="A20:F20"/>
  </mergeCells>
  <hyperlinks>
    <hyperlink xmlns:r="http://schemas.openxmlformats.org/officeDocument/2006/relationships" ref="M1" r:id="rId1"/>
    <hyperlink xmlns:r="http://schemas.openxmlformats.org/officeDocument/2006/relationships" ref="N1" r:id="rId2"/>
  </hyperlinks>
  <pageMargins left="0.75" right="0.75" top="1" bottom="1" header="0.5" footer="0.5"/>
  <pageSetup orientation="landscape" fitToHeight="0" fitToWidth="1"/>
  <headerFooter>
    <oddHeader/>
    <oddFooter>&amp;LOrganika MUV — Competitor Intelligence (confidential draft)&amp;R&amp;P of &amp;N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tabColor rgb="003E5C76"/>
    <outlinePr summaryBelow="1" summaryRight="1"/>
    <pageSetUpPr fitToPage="1"/>
  </sheetPr>
  <dimension ref="A1:N13"/>
  <sheetViews>
    <sheetView showGridLines="0" tabSelected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40" customWidth="1" min="3" max="3"/>
    <col width="20" customWidth="1" min="4" max="4"/>
    <col width="38" customWidth="1" min="5" max="5"/>
  </cols>
  <sheetData>
    <row r="1" ht="30" customHeight="1">
      <c r="A1" s="1" t="inlineStr">
        <is>
          <t>Channel &amp; Retail Strategy</t>
        </is>
      </c>
      <c r="M1" s="95" t="inlineStr">
        <is>
          <t>🏠 Home</t>
        </is>
      </c>
      <c r="N1" s="95" t="inlineStr">
        <is>
          <t>↩ Contents</t>
        </is>
      </c>
    </row>
    <row r="2" ht="20" customHeight="1">
      <c r="A2" s="14" t="inlineStr">
        <is>
          <t>Where they launched, why, and how they sequenced expansion</t>
        </is>
      </c>
    </row>
    <row r="4">
      <c r="A4" s="11" t="inlineStr">
        <is>
          <t>Brand</t>
        </is>
      </c>
      <c r="B4" s="11" t="inlineStr">
        <is>
          <t>Launch channel (why)</t>
        </is>
      </c>
      <c r="C4" s="11" t="inlineStr">
        <is>
          <t>Expansion sequence</t>
        </is>
      </c>
      <c r="D4" s="11" t="inlineStr">
        <is>
          <t>Reach today</t>
        </is>
      </c>
      <c r="E4" s="11" t="inlineStr">
        <is>
          <t>Canada presence</t>
        </is>
      </c>
    </row>
    <row r="5" ht="88" customHeight="1">
      <c r="A5" s="12" t="inlineStr">
        <is>
          <t>Poppi</t>
        </is>
      </c>
      <c r="B5" s="12" t="inlineStr">
        <is>
          <t>Dallas farmers market; a Whole Foods buyer found the booth in ~3 weeks — natural channel validated product first</t>
        </is>
      </c>
      <c r="C5" s="12" t="inlineStr">
        <is>
          <t>Farmers mkt → Whole Foods national → DTC/Amazon (#1 soda 2023) → grocery → mass/club</t>
        </is>
      </c>
      <c r="D5" s="12" t="inlineStr">
        <is>
          <t>~36,000+ US, 120+ retailers</t>
        </is>
      </c>
      <c r="E5" s="12" t="inlineStr">
        <is>
          <t>Launched Canada Aug 13, 2024 (first intl): Loblaws, Metro, Save-On, Costco, Sobeys, Well.ca, Natura</t>
        </is>
      </c>
    </row>
    <row r="6" ht="88" customHeight="1">
      <c r="A6" s="13" t="inlineStr">
        <is>
          <t>OLIPOP</t>
        </is>
      </c>
      <c r="B6" s="13" t="inlineStr">
        <is>
          <t>40 independent NorCal natural grocers (Oct 2019) — deliberately seeded natural channel</t>
        </is>
      </c>
      <c r="C6" s="13" t="inlineStr">
        <is>
          <t>Indie CA → Sprouts/WF → Kroger/Safeway → Target/Walmart/Costco + Starbucks; 4,500 stores by Nov 2020</t>
        </is>
      </c>
      <c r="D6" s="13" t="inlineStr">
        <is>
          <t>~35,000+ US</t>
        </is>
      </c>
      <c r="E6" s="13" t="inlineStr">
        <is>
          <t>Thin official; via NevrAsk distributor; Amazon.ca, Natura</t>
        </is>
      </c>
    </row>
    <row r="7" ht="88" customHeight="1">
      <c r="A7" s="12" t="inlineStr">
        <is>
          <t>LMNT</t>
        </is>
      </c>
      <c r="B7" s="12" t="inlineStr">
        <is>
          <t>DTC + podcast sponsorship — owned the customer from day one</t>
        </is>
      </c>
      <c r="C7" s="12" t="inlineStr">
        <is>
          <t>DTC/sub → Amazon → select retail (Vitamin Shoppe, Target) + Sparkling can</t>
        </is>
      </c>
      <c r="D7" s="12" t="inlineStr">
        <is>
          <t>DTC-led + Amazon</t>
        </is>
      </c>
      <c r="E7" s="12" t="inlineStr">
        <is>
          <t>Ships to Canada from site (free &gt;~$100)</t>
        </is>
      </c>
    </row>
    <row r="8" ht="88" customHeight="1">
      <c r="A8" s="13" t="inlineStr">
        <is>
          <t>Liquid I.V.</t>
        </is>
      </c>
      <c r="B8" s="13" t="inlineStr">
        <is>
          <t>Whole Foods “Supplier 101” + founder sampling every weekend → 12 WF by 2015; then Costco</t>
        </is>
      </c>
      <c r="C8" s="13" t="inlineStr">
        <is>
          <t>Whole Foods → Costco national (2019, ~516 whs) → broad retail; 30k→80k stores</t>
        </is>
      </c>
      <c r="D8" s="13" t="inlineStr">
        <is>
          <t>80,000+ US stores</t>
        </is>
      </c>
      <c r="E8" s="13" t="inlineStr">
        <is>
          <t>Costco Canada FIRST (2023 via Unilever); then Amazon.ca, Walmart, Loblaws, Jean Coutu</t>
        </is>
      </c>
    </row>
    <row r="9" ht="88" customHeight="1">
      <c r="A9" s="12" t="inlineStr">
        <is>
          <t>Nuun</t>
        </is>
      </c>
      <c r="B9" s="12" t="inlineStr">
        <is>
          <t>Cycling/endurance/tri specialty (2004) — grassroots in athlete community</t>
        </is>
      </c>
      <c r="C9" s="12" t="inlineStr">
        <is>
          <t>Run/bike specialty → REI/Whole Foods → broad grocery/mass</t>
        </is>
      </c>
      <c r="D9" s="12" t="inlineStr">
        <is>
          <t>Broad; #1 run/bike/outdoor</t>
        </is>
      </c>
      <c r="E9" s="12" t="inlineStr">
        <is>
          <t>Dedicated Canadian retailers page</t>
        </is>
      </c>
    </row>
    <row r="10" ht="88" customHeight="1">
      <c r="A10" s="13" t="inlineStr">
        <is>
          <t>Celsius</t>
        </is>
      </c>
      <c r="B10" s="13" t="inlineStr">
        <is>
          <t>Amazon dominance + gym/fitness influencers</t>
        </is>
      </c>
      <c r="C10" s="13" t="inlineStr">
        <is>
          <t>Amazon → Target DSD (2020) → 100k doors → PepsiCo distribution (2022)</t>
        </is>
      </c>
      <c r="D10" s="13" t="inlineStr">
        <is>
          <t>100,000+ doors</t>
        </is>
      </c>
      <c r="E10" s="13" t="inlineStr">
        <is>
          <t>Jan 2024 via PepsiCo distribution</t>
        </is>
      </c>
    </row>
    <row r="11" ht="88" customHeight="1">
      <c r="A11" s="12" t="inlineStr">
        <is>
          <t>Vital Proteins Sparkling</t>
        </is>
      </c>
      <c r="B11" s="12" t="inlineStr">
        <is>
          <t>Mass retail from the start (Nestlé muscle) — skipped indie-seeding</t>
        </is>
      </c>
      <c r="C11" s="12" t="inlineStr">
        <is>
          <t>Big-brand mass launch</t>
        </is>
      </c>
      <c r="D11" s="12" t="inlineStr">
        <is>
          <t>Mass</t>
        </is>
      </c>
      <c r="E11" s="12" t="inlineStr">
        <is>
          <t>Not yet verified at CA retail</t>
        </is>
      </c>
    </row>
    <row r="12" ht="88" customHeight="1">
      <c r="A12" s="13" t="inlineStr">
        <is>
          <t>Recess</t>
        </is>
      </c>
      <c r="B12" s="13" t="inlineStr">
        <is>
          <t>DTC-first, built brand world online, then retail</t>
        </is>
      </c>
      <c r="C12" s="13" t="inlineStr">
        <is>
          <t>DTC → Target/Kroger/Sprouts/WF</t>
        </is>
      </c>
      <c r="D12" s="13" t="inlineStr">
        <is>
          <t>15,000+ stores</t>
        </is>
      </c>
      <c r="E12" s="13" t="inlineStr">
        <is>
          <t>Not verified</t>
        </is>
      </c>
    </row>
    <row r="13" ht="46" customHeight="1">
      <c r="A13" s="17" t="inlineStr">
        <is>
          <t>READ-ACROSS: Costco Canada + Amazon.ca + natural channel is the proven Canadian beachhead (how Liquid I.V. and Poppi entered). Organika already holds Canadian pharmacy/health-food/Costco/Well.ca relationships imported brands must buy into — a genuine structural head-start.</t>
        </is>
      </c>
      <c r="B13" s="34" t="n"/>
      <c r="C13" s="34" t="n"/>
      <c r="D13" s="34" t="n"/>
      <c r="E13" s="35" t="n"/>
    </row>
  </sheetData>
  <mergeCells count="3">
    <mergeCell ref="A2:E2"/>
    <mergeCell ref="A1:E1"/>
    <mergeCell ref="A13:E13"/>
  </mergeCells>
  <hyperlinks>
    <hyperlink xmlns:r="http://schemas.openxmlformats.org/officeDocument/2006/relationships" ref="M1" r:id="rId1"/>
    <hyperlink xmlns:r="http://schemas.openxmlformats.org/officeDocument/2006/relationships" ref="N1" r:id="rId2"/>
  </hyperlinks>
  <pageMargins left="0.75" right="0.75" top="1" bottom="1" header="0.5" footer="0.5"/>
  <pageSetup orientation="landscape" fitToHeight="0" fitToWidth="1"/>
  <headerFooter>
    <oddHeader/>
    <oddFooter>&amp;LOrganika MUV — Competitor Intelligence (confidential draft)&amp;R&amp;P of &amp;N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tabColor rgb="003E5C76"/>
    <outlinePr summaryBelow="1" summaryRight="1"/>
    <pageSetUpPr fitToPage="1"/>
  </sheetPr>
  <dimension ref="A1:N38"/>
  <sheetViews>
    <sheetView showGridLines="0" tabSelected="0" workbookViewId="0">
      <selection activeCell="A1" sqref="A1"/>
    </sheetView>
  </sheetViews>
  <sheetFormatPr baseColWidth="8" defaultRowHeight="15"/>
  <cols>
    <col width="22" customWidth="1" min="1" max="1"/>
    <col width="68" customWidth="1" min="2" max="2"/>
    <col width="22" customWidth="1" min="3" max="3"/>
  </cols>
  <sheetData>
    <row r="1" ht="30" customHeight="1">
      <c r="A1" s="1" t="inlineStr">
        <is>
          <t>Channel Economics &amp; Margin Waterfall</t>
        </is>
      </c>
      <c r="M1" s="95" t="inlineStr">
        <is>
          <t>🏠 Home</t>
        </is>
      </c>
      <c r="N1" s="95" t="inlineStr">
        <is>
          <t>↩ Contents</t>
        </is>
      </c>
    </row>
    <row r="2" ht="20" customHeight="1">
      <c r="A2" s="14" t="inlineStr">
        <is>
          <t>Only Amazon fees, Costco margin &amp; DTC CAC are HARD; the rest are operator rules-of-thumb — model as ranges</t>
        </is>
      </c>
    </row>
    <row r="4">
      <c r="A4" s="15" t="inlineStr">
        <is>
          <t>MARGIN WATERFALL — canned functional beverage</t>
        </is>
      </c>
    </row>
    <row r="5">
      <c r="A5" s="11" t="inlineStr">
        <is>
          <t>Line</t>
        </is>
      </c>
      <c r="B5" s="11" t="inlineStr">
        <is>
          <t>Typical value</t>
        </is>
      </c>
      <c r="C5" s="11" t="inlineStr">
        <is>
          <t>Tag</t>
        </is>
      </c>
    </row>
    <row r="6" ht="26" customHeight="1">
      <c r="A6" s="12" t="inlineStr">
        <is>
          <t>Unit COGS target</t>
        </is>
      </c>
      <c r="B6" s="12" t="inlineStr">
        <is>
          <t>&lt; $1.00/unit (liquid+can+co-pack at scale)</t>
        </is>
      </c>
      <c r="C6" s="12" t="inlineStr">
        <is>
          <t>RULE OF THUMB</t>
        </is>
      </c>
    </row>
    <row r="7" ht="26" customHeight="1">
      <c r="A7" s="13" t="inlineStr">
        <is>
          <t>12oz decorated can (component)</t>
        </is>
      </c>
      <c r="B7" s="13" t="inlineStr">
        <is>
          <t>~$0.15/can at intro minimums</t>
        </is>
      </c>
      <c r="C7" s="13" t="inlineStr">
        <is>
          <t>RULE OF THUMB</t>
        </is>
      </c>
    </row>
    <row r="8" ht="26" customHeight="1">
      <c r="A8" s="12" t="inlineStr">
        <is>
          <t>Co-pack run (10,000 cases)</t>
        </is>
      </c>
      <c r="B8" s="12" t="inlineStr">
        <is>
          <t>≈ $200,000; MOQ 2,000–5,000 cases/SKU</t>
        </is>
      </c>
      <c r="C8" s="12" t="inlineStr">
        <is>
          <t>RULE OF THUMB</t>
        </is>
      </c>
    </row>
    <row r="9" ht="26" customHeight="1">
      <c r="A9" s="13" t="inlineStr">
        <is>
          <t>Blended gross margin (early)</t>
        </is>
      </c>
      <c r="B9" s="13" t="inlineStr">
        <is>
          <t>40–50%; aspiration 50–65% at scale</t>
        </is>
      </c>
      <c r="C9" s="13" t="inlineStr">
        <is>
          <t>RULE OF THUMB</t>
        </is>
      </c>
    </row>
    <row r="10" ht="26" customHeight="1">
      <c r="A10" s="12" t="inlineStr">
        <is>
          <t>GM by channel</t>
        </is>
      </c>
      <c r="B10" s="12" t="inlineStr">
        <is>
          <t>Retail ~35–45%; DTC ~40–50% (before CAC/freight)</t>
        </is>
      </c>
      <c r="C10" s="12" t="inlineStr">
        <is>
          <t>RULE OF THUMB</t>
        </is>
      </c>
    </row>
    <row r="11" ht="26" customHeight="1">
      <c r="A11" s="13" t="inlineStr">
        <is>
          <t>COGS warning</t>
        </is>
      </c>
      <c r="B11" s="13" t="inlineStr">
        <is>
          <t>Excluding freight/duty/co-pack overstates GM by 3–8 pts — the #1 error</t>
        </is>
      </c>
      <c r="C11" s="13" t="inlineStr">
        <is>
          <t>RULE OF THUMB</t>
        </is>
      </c>
    </row>
    <row r="13">
      <c r="A13" s="15" t="inlineStr">
        <is>
          <t>CHANNEL TAKE-RATES (who takes margin off the top)</t>
        </is>
      </c>
    </row>
    <row r="14">
      <c r="A14" s="11" t="inlineStr">
        <is>
          <t>Channel / cost</t>
        </is>
      </c>
      <c r="B14" s="11" t="inlineStr">
        <is>
          <t>Take / value</t>
        </is>
      </c>
      <c r="C14" s="11" t="inlineStr">
        <is>
          <t>Tag</t>
        </is>
      </c>
    </row>
    <row r="15" ht="28" customHeight="1">
      <c r="A15" s="12" t="inlineStr">
        <is>
          <t>Grocery (conventional)</t>
        </is>
      </c>
      <c r="B15" s="12" t="inlineStr">
        <is>
          <t>~30–50% retailer margin; bev often 30–40%</t>
        </is>
      </c>
      <c r="C15" s="12" t="inlineStr">
        <is>
          <t>RULE OF THUMB</t>
        </is>
      </c>
    </row>
    <row r="16" ht="28" customHeight="1">
      <c r="A16" s="13" t="inlineStr">
        <is>
          <t>Natural/premium (Whole Foods)</t>
        </is>
      </c>
      <c r="B16" s="13" t="inlineStr">
        <is>
          <t>45%+ (slower turns)</t>
        </is>
      </c>
      <c r="C16" s="13" t="inlineStr">
        <is>
          <t>RULE OF THUMB</t>
        </is>
      </c>
    </row>
    <row r="17" ht="28" customHeight="1">
      <c r="A17" s="12" t="inlineStr">
        <is>
          <t>Club (Costco)</t>
        </is>
      </c>
      <c r="B17" s="12" t="inlineStr">
        <is>
          <t>Max 14% markup (15% Kirkland); FY24 actual GM 10.92% — volume not margin play</t>
        </is>
      </c>
      <c r="C17" s="12" t="inlineStr">
        <is>
          <t>HARD</t>
        </is>
      </c>
    </row>
    <row r="18" ht="28" customHeight="1">
      <c r="A18" s="13" t="inlineStr">
        <is>
          <t>Distributor (general)</t>
        </is>
      </c>
      <c r="B18" s="13" t="inlineStr">
        <is>
          <t>15–25% markup; UNFI avg ~13–14% (range 6–30%)</t>
        </is>
      </c>
      <c r="C18" s="13" t="inlineStr">
        <is>
          <t>HARD-ish</t>
        </is>
      </c>
    </row>
    <row r="19" ht="28" customHeight="1">
      <c r="A19" s="12" t="inlineStr">
        <is>
          <t>DSD vs warehouse</t>
        </is>
      </c>
      <c r="B19" s="12" t="inlineStr">
        <is>
          <t>DSD can save ~5–10% in fees vs UNFI/KeHE routing</t>
        </is>
      </c>
      <c r="C19" s="12" t="inlineStr">
        <is>
          <t>RULE OF THUMB</t>
        </is>
      </c>
    </row>
    <row r="20" ht="28" customHeight="1">
      <c r="A20" s="13" t="inlineStr">
        <is>
          <t>Broker</t>
        </is>
      </c>
      <c r="B20" s="13" t="inlineStr">
        <is>
          <t>3–5% of net sales + often $5–10k/mo retainer</t>
        </is>
      </c>
      <c r="C20" s="13" t="inlineStr">
        <is>
          <t>RULE OF THUMB</t>
        </is>
      </c>
    </row>
    <row r="21" ht="28" customHeight="1">
      <c r="A21" s="12" t="inlineStr">
        <is>
          <t>Amazon</t>
        </is>
      </c>
      <c r="B21" s="12" t="inlineStr">
        <is>
          <t>8–45% referral (most 15%) + FBA $3.73–$6.97/unit ($25+ heavy bev)</t>
        </is>
      </c>
      <c r="C21" s="12" t="inlineStr">
        <is>
          <t>HARD (published)</t>
        </is>
      </c>
    </row>
    <row r="22" ht="28" customHeight="1">
      <c r="A22" s="13" t="inlineStr">
        <is>
          <t>DTC CAC (food &amp; bev)</t>
        </is>
      </c>
      <c r="B22" s="13" t="inlineStr">
        <is>
          <t>~$45–$53 (lowest vertical); supplements ~$89; shipping $8–15/order</t>
        </is>
      </c>
      <c r="C22" s="13" t="inlineStr">
        <is>
          <t>HARD (benchmark)</t>
        </is>
      </c>
    </row>
    <row r="24">
      <c r="A24" s="15" t="inlineStr">
        <is>
          <t>TRADE SPEND &amp; FEES</t>
        </is>
      </c>
    </row>
    <row r="25">
      <c r="A25" s="11" t="inlineStr">
        <is>
          <t>Item</t>
        </is>
      </c>
      <c r="B25" s="11" t="inlineStr">
        <is>
          <t>Value</t>
        </is>
      </c>
      <c r="C25" s="11" t="inlineStr">
        <is>
          <t>Tag</t>
        </is>
      </c>
    </row>
    <row r="26" ht="30" customHeight="1">
      <c r="A26" s="12" t="inlineStr">
        <is>
          <t>Slotting fee</t>
        </is>
      </c>
      <c r="B26" s="12" t="inlineStr">
        <is>
          <t>$250 → $250,000 by retailer/scope; ~$25,000/item regional cluster</t>
        </is>
      </c>
      <c r="C26" s="12" t="inlineStr">
        <is>
          <t>RULE OF THUMB</t>
        </is>
      </c>
    </row>
    <row r="27" ht="30" customHeight="1">
      <c r="A27" s="13" t="inlineStr">
        <is>
          <t>Trade spend % of revenue</t>
        </is>
      </c>
      <c r="B27" s="13" t="inlineStr">
        <is>
          <t>10–20% (emerging brands high end); US trade spend &gt;$200B, ~20% of gross, #2 P&amp;L line</t>
        </is>
      </c>
      <c r="C27" s="13" t="inlineStr">
        <is>
          <t>HARD (aggregate)</t>
        </is>
      </c>
    </row>
    <row r="28" ht="30" customHeight="1">
      <c r="A28" s="12" t="inlineStr">
        <is>
          <t>Free fill</t>
        </is>
      </c>
      <c r="B28" s="12" t="inlineStr">
        <is>
          <t>1 free case/SKU/store on first order — cheaper substitute for slotting</t>
        </is>
      </c>
      <c r="C28" s="12" t="inlineStr">
        <is>
          <t>RULE OF THUMB</t>
        </is>
      </c>
    </row>
    <row r="29" ht="30" customHeight="1">
      <c r="A29" s="13" t="inlineStr">
        <is>
          <t>LMNT subscription model</t>
        </is>
      </c>
      <c r="B29" s="13" t="inlineStr">
        <is>
          <t>$200M+ rev 2023, ~20% net margin, 250k+ customers; free-8-pack (pay shipping) funnel</t>
        </is>
      </c>
      <c r="C29" s="13" t="inlineStr">
        <is>
          <t>HARD (company/SEC)</t>
        </is>
      </c>
    </row>
    <row r="31">
      <c r="A31" s="18" t="inlineStr">
        <is>
          <t>CANADA COST STACK (additive on US economics)</t>
        </is>
      </c>
    </row>
    <row r="32">
      <c r="A32" s="11" t="inlineStr">
        <is>
          <t>Item</t>
        </is>
      </c>
      <c r="B32" s="11" t="inlineStr">
        <is>
          <t>Value</t>
        </is>
      </c>
      <c r="C32" s="11" t="inlineStr">
        <is>
          <t>Tag</t>
        </is>
      </c>
    </row>
    <row r="33" ht="30" customHeight="1">
      <c r="A33" s="12" t="inlineStr">
        <is>
          <t>Grocery concentration</t>
        </is>
      </c>
      <c r="B33" s="12" t="inlineStr">
        <is>
          <t>Loblaw+Sobeys+Metro ≈ 80% w/ Walmart+Costco; all signed Grocery Code of Conduct (in force Jan 1, 2025)</t>
        </is>
      </c>
      <c r="C33" s="12" t="inlineStr">
        <is>
          <t>HARD</t>
        </is>
      </c>
    </row>
    <row r="34" ht="30" customHeight="1">
      <c r="A34" s="13" t="inlineStr">
        <is>
          <t>Listing/slotting fees</t>
        </is>
      </c>
      <c r="B34" s="13" t="inlineStr">
        <is>
          <t>Charged but NOT publicly disclosed; Code now lets suppliers challenge arbitrary fees — model at ≥ US slotting</t>
        </is>
      </c>
      <c r="C34" s="13" t="inlineStr">
        <is>
          <t>No public $</t>
        </is>
      </c>
    </row>
    <row r="35" ht="30" customHeight="1">
      <c r="A35" s="12" t="inlineStr">
        <is>
          <t>Bilingual packaging</t>
        </is>
      </c>
      <c r="B35" s="12" t="inlineStr">
        <is>
          <t>EN+FR mandatory; French ~2× longer; non-compliance fines up to $20,000; Bill 96 adds rules</t>
        </is>
      </c>
      <c r="C35" s="12" t="inlineStr">
        <is>
          <t>HARD (regulatory)</t>
        </is>
      </c>
    </row>
    <row r="36" ht="30" customHeight="1">
      <c r="A36" s="13" t="inlineStr">
        <is>
          <t>Distributors (CA)</t>
        </is>
      </c>
      <c r="B36" s="13" t="inlineStr">
        <is>
          <t>UNFI Canada, Tree of Life Canada, Purity Life, Ecotrend</t>
        </is>
      </c>
      <c r="C36" s="13" t="inlineStr">
        <is>
          <t>HARD (existence)</t>
        </is>
      </c>
    </row>
    <row r="37" ht="30" customHeight="1">
      <c r="A37" s="12" t="inlineStr">
        <is>
          <t>Freight/FX/duty</t>
        </is>
      </c>
      <c r="B37" s="12" t="inlineStr">
        <is>
          <t>FX (US$1≈C$1.15+) + cross-border freight + duty; model as premium; local co-pack is the margin fix</t>
        </is>
      </c>
      <c r="C37" s="12" t="inlineStr">
        <is>
          <t>Qualitative</t>
        </is>
      </c>
    </row>
    <row r="38" ht="46" customHeight="1">
      <c r="A38" s="6" t="inlineStr">
        <is>
          <t>DTC-for-beverage reality check: heavy to ship, low online AOV, CAC can exceed contribution. Historically ~90% of beverage startups fail; the survivable DTC model (LMNT) is subscription + free-sample acquisition + asset-light profitability — not paid-media scale.</t>
        </is>
      </c>
      <c r="B38" s="34" t="n"/>
      <c r="C38" s="34" t="n"/>
      <c r="D38" s="35" t="n"/>
    </row>
  </sheetData>
  <mergeCells count="7">
    <mergeCell ref="A1:D1"/>
    <mergeCell ref="A31:D31"/>
    <mergeCell ref="A4:D4"/>
    <mergeCell ref="A38:D38"/>
    <mergeCell ref="A24:D24"/>
    <mergeCell ref="A2:D2"/>
    <mergeCell ref="A13:D13"/>
  </mergeCells>
  <hyperlinks>
    <hyperlink xmlns:r="http://schemas.openxmlformats.org/officeDocument/2006/relationships" ref="M1" r:id="rId1"/>
    <hyperlink xmlns:r="http://schemas.openxmlformats.org/officeDocument/2006/relationships" ref="N1" r:id="rId2"/>
  </hyperlinks>
  <pageMargins left="0.75" right="0.75" top="1" bottom="1" header="0.5" footer="0.5"/>
  <pageSetup orientation="landscape" fitToHeight="0" fitToWidth="1"/>
  <headerFooter>
    <oddHeader/>
    <oddFooter>&amp;LOrganika MUV — Competitor Intelligence (confidential draft)&amp;R&amp;P of &amp;N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tabColor rgb="003E5C76"/>
    <outlinePr summaryBelow="1" summaryRight="1"/>
    <pageSetUpPr fitToPage="1"/>
  </sheetPr>
  <dimension ref="A1:N12"/>
  <sheetViews>
    <sheetView showGridLines="0" tabSelected="0"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30" customWidth="1" min="3" max="3"/>
    <col width="30" customWidth="1" min="4" max="4"/>
    <col width="30" customWidth="1" min="5" max="5"/>
  </cols>
  <sheetData>
    <row r="1" ht="30" customHeight="1">
      <c r="A1" s="1" t="inlineStr">
        <is>
          <t>Formulation &amp; Positioning — the claim that won</t>
        </is>
      </c>
      <c r="M1" s="95" t="inlineStr">
        <is>
          <t>🏠 Home</t>
        </is>
      </c>
      <c r="N1" s="95" t="inlineStr">
        <is>
          <t>↩ Contents</t>
        </is>
      </c>
    </row>
    <row r="3">
      <c r="A3" s="11" t="inlineStr">
        <is>
          <t>Brand</t>
        </is>
      </c>
      <c r="B3" s="11" t="inlineStr">
        <is>
          <t>Winning claim</t>
        </is>
      </c>
      <c r="C3" s="11" t="inlineStr">
        <is>
          <t>Hero ingredient &amp; spec</t>
        </is>
      </c>
      <c r="D3" s="11" t="inlineStr">
        <is>
          <t>Positioning evolution</t>
        </is>
      </c>
      <c r="E3" s="11" t="inlineStr">
        <is>
          <t>Claim risk</t>
        </is>
      </c>
    </row>
    <row r="4" ht="64" customHeight="1">
      <c r="A4" s="12" t="inlineStr">
        <is>
          <t>Poppi</t>
        </is>
      </c>
      <c r="B4" s="12" t="inlineStr">
        <is>
          <t>Prebiotic soda you can drink daily</t>
        </is>
      </c>
      <c r="C4" s="12" t="inlineStr">
        <is>
          <t>Prebiotic fiber + ACV; ~2g fiber, 2–5g sugar</t>
        </is>
      </c>
      <c r="D4" s="12" t="inlineStr">
        <is>
          <t>ACV “tonic” (Mother Beverage) → 2020 bright “prebiotic soda”</t>
        </is>
      </c>
      <c r="E4" s="12" t="inlineStr">
        <is>
          <t>$8.9M settlement — 2g fiber too little for claim</t>
        </is>
      </c>
    </row>
    <row r="5" ht="64" customHeight="1">
      <c r="A5" s="13" t="inlineStr">
        <is>
          <t>OLIPOP</t>
        </is>
      </c>
      <c r="B5" s="13" t="inlineStr">
        <is>
          <t>“New kind of soda”, serious fiber</t>
        </is>
      </c>
      <c r="C5" s="13" t="inlineStr">
        <is>
          <t>Up to 9g fiber (cassava/chicory/artichoke) + botanicals</t>
        </is>
      </c>
      <c r="D5" s="13" t="inlineStr">
        <is>
          <t>Stable gut-health since launch; ~4× Poppi fiber</t>
        </is>
      </c>
      <c r="E5" s="13" t="inlineStr">
        <is>
          <t>No suit found; higher fiber = stronger substantiation</t>
        </is>
      </c>
    </row>
    <row r="6" ht="64" customHeight="1">
      <c r="A6" s="12" t="inlineStr">
        <is>
          <t>LMNT</t>
        </is>
      </c>
      <c r="B6" s="12" t="inlineStr">
        <is>
          <t>Zero-sugar, high-sodium for keto/athletes</t>
        </is>
      </c>
      <c r="C6" s="12" t="inlineStr">
        <is>
          <t>1,000mg sodium, 200mg K, 60mg Mg, 0g sugar</t>
        </is>
      </c>
      <c r="D6" s="12" t="inlineStr">
        <is>
          <t>Salt-first, science-forward</t>
        </is>
      </c>
      <c r="E6" s="12" t="inlineStr">
        <is>
          <t>Sodium is the polarizing hook</t>
        </is>
      </c>
    </row>
    <row r="7" ht="64" customHeight="1">
      <c r="A7" s="13" t="inlineStr">
        <is>
          <t>Liquid I.V.</t>
        </is>
      </c>
      <c r="B7" s="13" t="inlineStr">
        <is>
          <t>Hydration Multiplier, 2–3× faster</t>
        </is>
      </c>
      <c r="C7" s="13" t="inlineStr">
        <is>
          <t>Cellular Transport Tech; 500mg sodium, 11g carbs</t>
        </is>
      </c>
      <c r="D7" s="13" t="inlineStr">
        <is>
          <t>Added sugar-free line later</t>
        </is>
      </c>
      <c r="E7" s="13" t="inlineStr">
        <is>
          <t>CTT efficacy is marketing-led; sugar a vulnerability</t>
        </is>
      </c>
    </row>
    <row r="8" ht="64" customHeight="1">
      <c r="A8" s="12" t="inlineStr">
        <is>
          <t>Nuun</t>
        </is>
      </c>
      <c r="B8" s="12" t="inlineStr">
        <is>
          <t>Carb-free effervescent electrolyte</t>
        </is>
      </c>
      <c r="C8" s="12" t="inlineStr">
        <is>
          <t>300mg sodium, 1g sugar, 15 cal, stevia</t>
        </is>
      </c>
      <c r="D8" s="12" t="inlineStr">
        <is>
          <t>Endurance carb-free → added powders</t>
        </is>
      </c>
      <c r="E8" s="12" t="inlineStr">
        <is>
          <t>Clean low-sugar story</t>
        </is>
      </c>
    </row>
    <row r="9" ht="64" customHeight="1">
      <c r="A9" s="13" t="inlineStr">
        <is>
          <t>Vital Proteins Sparkling</t>
        </is>
      </c>
      <c r="B9" s="13" t="inlineStr">
        <is>
          <t>Beauty-from-within + clinical collagen at mass price</t>
        </is>
      </c>
      <c r="C9" s="13" t="inlineStr">
        <is>
          <t>VERISOL collagen + 100% DV Vit C; 0g sugar</t>
        </is>
      </c>
      <c r="D9" s="13" t="inlineStr">
        <is>
          <t>Extends #1 collagen powder into a can</t>
        </is>
      </c>
      <c r="E9" s="13" t="inlineStr">
        <is>
          <t>Strongest collagen claim, but see 2025 efficacy meta-analysis</t>
        </is>
      </c>
    </row>
    <row r="10" ht="64" customHeight="1">
      <c r="A10" s="12" t="inlineStr">
        <is>
          <t>Recess</t>
        </is>
      </c>
      <c r="B10" s="12" t="inlineStr">
        <is>
          <t>Relaxation — sell the benefit not the molecule</t>
        </is>
      </c>
      <c r="C10" s="12" t="inlineStr">
        <is>
          <t>Magnesium L-threonate + adaptogens</t>
        </is>
      </c>
      <c r="D10" s="12" t="inlineStr">
        <is>
          <t>Pivoted CBD → relaxation (CBD &lt;8% of sales)</t>
        </is>
      </c>
      <c r="E10" s="12" t="inlineStr">
        <is>
          <t>KEY LESSON: lead with felt benefit</t>
        </is>
      </c>
    </row>
    <row r="11" ht="64" customHeight="1">
      <c r="A11" s="13" t="inlineStr">
        <is>
          <t>Aura Bora</t>
        </is>
      </c>
      <c r="B11" s="13" t="inlineStr">
        <is>
          <t>Herbal/floral, zero everything</t>
        </is>
      </c>
      <c r="C11" s="13" t="inlineStr">
        <is>
          <t>0 cal/sugar/sodium; herb+fruit+flower</t>
        </is>
      </c>
      <c r="D11" s="13" t="inlineStr">
        <is>
          <t>Flavor-forward, no health-claim baggage</t>
        </is>
      </c>
      <c r="E11" s="13" t="inlineStr">
        <is>
          <t>Low regulatory risk</t>
        </is>
      </c>
    </row>
    <row r="12" ht="58" customHeight="1">
      <c r="A12" s="17" t="inlineStr">
        <is>
          <t>READ-ACROSS for MUV: “collagen-as-hero” has a graveyard AND a 2025 no-benefit meta-analysis. Winners wrap collagen in a big brand + clinical claim at mass price (Vital Proteins) OR sell a broader felt benefit (Recess). Lead MUV with gut+hydration function + a credible collagen dose under the “Canada's #1 collagen brand” halo — not narrow beauty-from-within.</t>
        </is>
      </c>
      <c r="B12" s="34" t="n"/>
      <c r="C12" s="34" t="n"/>
      <c r="D12" s="34" t="n"/>
      <c r="E12" s="35" t="n"/>
    </row>
  </sheetData>
  <mergeCells count="2">
    <mergeCell ref="A1:E1"/>
    <mergeCell ref="A12:E12"/>
  </mergeCells>
  <hyperlinks>
    <hyperlink xmlns:r="http://schemas.openxmlformats.org/officeDocument/2006/relationships" ref="M1" r:id="rId1"/>
    <hyperlink xmlns:r="http://schemas.openxmlformats.org/officeDocument/2006/relationships" ref="N1" r:id="rId2"/>
  </hyperlinks>
  <pageMargins left="0.75" right="0.75" top="1" bottom="1" header="0.5" footer="0.5"/>
  <pageSetup orientation="landscape" fitToHeight="0" fitToWidth="1"/>
  <headerFooter>
    <oddHeader/>
    <oddFooter>&amp;LOrganika MUV — Competitor Intelligence (confidential draft)&amp;R&amp;P of &amp;N</oddFooter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tabColor rgb="003E5C76"/>
    <outlinePr summaryBelow="1" summaryRight="1"/>
    <pageSetUpPr fitToPage="1"/>
  </sheetPr>
  <dimension ref="A1:N12"/>
  <sheetViews>
    <sheetView showGridLines="0" tabSelected="0" workbookViewId="0">
      <selection activeCell="A1" sqref="A1"/>
    </sheetView>
  </sheetViews>
  <sheetFormatPr baseColWidth="8" defaultRowHeight="15"/>
  <cols>
    <col width="16" customWidth="1" min="1" max="1"/>
    <col width="32" customWidth="1" min="2" max="2"/>
    <col width="30" customWidth="1" min="3" max="3"/>
    <col width="40" customWidth="1" min="4" max="4"/>
  </cols>
  <sheetData>
    <row r="1" ht="30" customHeight="1">
      <c r="A1" s="1" t="inlineStr">
        <is>
          <t>Marketing &amp; Brand Build — the virality engine</t>
        </is>
      </c>
      <c r="M1" s="95" t="inlineStr">
        <is>
          <t>🏠 Home</t>
        </is>
      </c>
      <c r="N1" s="95" t="inlineStr">
        <is>
          <t>↩ Contents</t>
        </is>
      </c>
    </row>
    <row r="3">
      <c r="A3" s="11" t="inlineStr">
        <is>
          <t>Brand</t>
        </is>
      </c>
      <c r="B3" s="11" t="inlineStr">
        <is>
          <t>Founder story</t>
        </is>
      </c>
      <c r="C3" s="11" t="inlineStr">
        <is>
          <t>Growth engine</t>
        </is>
      </c>
      <c r="D3" s="11" t="inlineStr">
        <is>
          <t>What moved the needle</t>
        </is>
      </c>
    </row>
    <row r="4" ht="66" customHeight="1">
      <c r="A4" s="12" t="inlineStr">
        <is>
          <t>Poppi</t>
        </is>
      </c>
      <c r="B4" s="12" t="inlineStr">
        <is>
          <t>Allison &amp; Stephen Ellsworth; Shark Tank 2018 ($400k/25%, Rohan Oza)</t>
        </is>
      </c>
      <c r="C4" s="12" t="inlineStr">
        <is>
          <t>TikTok creator seeding + 2 Super Bowls (2024 first ad, 2025 return)</t>
        </is>
      </c>
      <c r="D4" s="12" t="inlineStr">
        <is>
          <t>Pink aesthetic, Alix Earle/Emily Mariko seeding, vending-machine stunt (2025, mixed)</t>
        </is>
      </c>
    </row>
    <row r="5" ht="66" customHeight="1">
      <c r="A5" s="13" t="inlineStr">
        <is>
          <t>OLIPOP</t>
        </is>
      </c>
      <c r="B5" s="13" t="inlineStr">
        <is>
          <t>Ben Goodwin (ex-Obi) &amp; David Lester; $100k from Obi sale</t>
        </is>
      </c>
      <c r="C5" s="13" t="inlineStr">
        <is>
          <t>DTC repurchase rates + reactive social</t>
        </is>
      </c>
      <c r="D5" s="13" t="inlineStr">
        <is>
          <t>“Soda Stories”; needled Poppi's vending spend during 2025 SB — earned media without paying for the game</t>
        </is>
      </c>
    </row>
    <row r="6" ht="66" customHeight="1">
      <c r="A6" s="12" t="inlineStr">
        <is>
          <t>LMNT</t>
        </is>
      </c>
      <c r="B6" s="12" t="inlineStr">
        <is>
          <t>Robb Wolf (biochemist) + Ketogains (Villaseñor)</t>
        </is>
      </c>
      <c r="C6" s="12" t="inlineStr">
        <is>
          <t>Podcast-sponsorship moat (Huberman, Attia)</t>
        </is>
      </c>
      <c r="D6" s="12" t="inlineStr">
        <is>
          <t>Host-read trust + free-sample funnel; $54.6M mktg + $7.1M sampling in 2023 (~26.5% of rev)</t>
        </is>
      </c>
    </row>
    <row r="7" ht="66" customHeight="1">
      <c r="A7" s="13" t="inlineStr">
        <is>
          <t>Liquid I.V.</t>
        </is>
      </c>
      <c r="B7" s="13" t="inlineStr">
        <is>
          <t>Brandin Cohen, college brainchild (+2)</t>
        </is>
      </c>
      <c r="C7" s="13" t="inlineStr">
        <is>
          <t>In-store/Costco roadshow sampling + give-back</t>
        </is>
      </c>
      <c r="D7" s="13" t="inlineStr">
        <is>
          <t>Founder sampled every weekend; POS-data sell-in; Emerson Group for national muscle</t>
        </is>
      </c>
    </row>
    <row r="8" ht="66" customHeight="1">
      <c r="A8" s="12" t="inlineStr">
        <is>
          <t>Nuun</t>
        </is>
      </c>
      <c r="B8" s="12" t="inlineStr">
        <is>
          <t>Tim Moxey, British Ironman</t>
        </is>
      </c>
      <c r="C8" s="12" t="inlineStr">
        <is>
          <t>Grassroots endurance-community events</t>
        </is>
      </c>
      <c r="D8" s="12" t="inlineStr">
        <is>
          <t>Authentic credibility in run/bike/tri before mainstream</t>
        </is>
      </c>
    </row>
    <row r="9" ht="66" customHeight="1">
      <c r="A9" s="13" t="inlineStr">
        <is>
          <t>Celsius</t>
        </is>
      </c>
      <c r="B9" s="13" t="inlineStr">
        <is>
          <t>Turnaround 2012; Li Ka-shing $15M (2015)</t>
        </is>
      </c>
      <c r="C9" s="13" t="inlineStr">
        <is>
          <t>Amazon + fitness influencers/gym sampling</t>
        </is>
      </c>
      <c r="D9" s="13" t="inlineStr">
        <is>
          <t>Amazon velocity → Target DSD → PepsiCo $550M distribution</t>
        </is>
      </c>
    </row>
    <row r="10" ht="66" customHeight="1">
      <c r="A10" s="12" t="inlineStr">
        <is>
          <t>Vital Proteins Sparkling</t>
        </is>
      </c>
      <c r="B10" s="12" t="inlineStr">
        <is>
          <t>K. Seidensticker; Nestlé-owned</t>
        </is>
      </c>
      <c r="C10" s="12" t="inlineStr">
        <is>
          <t>Big-brand media + retail muscle + collagen loyalty</t>
        </is>
      </c>
      <c r="D10" s="12" t="inlineStr">
        <is>
          <t>Distribution &amp; #1-collagen halo, not scrappy virality</t>
        </is>
      </c>
    </row>
    <row r="11" ht="66" customHeight="1">
      <c r="A11" s="13" t="inlineStr">
        <is>
          <t>Recess</t>
        </is>
      </c>
      <c r="B11" s="13" t="inlineStr">
        <is>
          <t>Benjamin Witte</t>
        </is>
      </c>
      <c r="C11" s="13" t="inlineStr">
        <is>
          <t>Distinctive pastel brand world + culture-tuned social</t>
        </is>
      </c>
      <c r="D11" s="13" t="inlineStr">
        <is>
          <t>Owned a vibe + the “relaxation” moment</t>
        </is>
      </c>
    </row>
    <row r="12" ht="52" customHeight="1">
      <c r="A12" s="17" t="inlineStr">
        <is>
          <t>READ-ACROSS: The two cheapest high-ROI challenger playbooks are LMNT's trusted-host podcast model and OLIPOP's reactive earned-media social — both winnable without Super Bowl budgets. Pair with Costco-roadshow sampling (Liquid I.V.). Brand tone must evolve with stage (Poppi's vending stunt misfired once mainstream).</t>
        </is>
      </c>
      <c r="B12" s="34" t="n"/>
      <c r="C12" s="34" t="n"/>
      <c r="D12" s="35" t="n"/>
    </row>
  </sheetData>
  <mergeCells count="2">
    <mergeCell ref="A1:D1"/>
    <mergeCell ref="A12:D12"/>
  </mergeCells>
  <hyperlinks>
    <hyperlink xmlns:r="http://schemas.openxmlformats.org/officeDocument/2006/relationships" ref="M1" r:id="rId1"/>
    <hyperlink xmlns:r="http://schemas.openxmlformats.org/officeDocument/2006/relationships" ref="N1" r:id="rId2"/>
  </hyperlinks>
  <pageMargins left="0.75" right="0.75" top="1" bottom="1" header="0.5" footer="0.5"/>
  <pageSetup orientation="landscape" fitToHeight="0" fitToWidth="1"/>
  <headerFooter>
    <oddHeader/>
    <oddFooter>&amp;LOrganika MUV — Competitor Intelligence (confidential draft)&amp;R&amp;P of &amp;N</oddFooter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>
    <tabColor rgb="003E5C76"/>
    <outlinePr summaryBelow="1" summaryRight="1"/>
    <pageSetUpPr fitToPage="1"/>
  </sheetPr>
  <dimension ref="A1:N9"/>
  <sheetViews>
    <sheetView showGridLines="0" tabSelected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 ht="30" customHeight="1">
      <c r="A1" s="1" t="inlineStr">
        <is>
          <t>Launch Playbook Teardowns — phased GTM timelines</t>
        </is>
      </c>
      <c r="M1" s="95" t="inlineStr">
        <is>
          <t>🏠 Home</t>
        </is>
      </c>
      <c r="N1" s="95" t="inlineStr">
        <is>
          <t>↩ Contents</t>
        </is>
      </c>
    </row>
    <row r="3">
      <c r="A3" s="11" t="inlineStr">
        <is>
          <t>Brand</t>
        </is>
      </c>
      <c r="B3" s="11" t="inlineStr">
        <is>
          <t>Phase 0 (pre-launch)</t>
        </is>
      </c>
      <c r="C3" s="11" t="inlineStr">
        <is>
          <t>Phase 1 (launch, yr 0–1)</t>
        </is>
      </c>
      <c r="D3" s="11" t="inlineStr">
        <is>
          <t>Phase 2 (scale, yr 1–3)</t>
        </is>
      </c>
      <c r="E3" s="11" t="inlineStr">
        <is>
          <t>Phase 3 (maturity/exit)</t>
        </is>
      </c>
    </row>
    <row r="4" ht="92" customHeight="1">
      <c r="A4" s="12" t="inlineStr">
        <is>
          <t>Poppi</t>
        </is>
      </c>
      <c r="B4" s="12" t="inlineStr">
        <is>
          <t>2015–16: gut-health insight; ~$90k self-funded; “Mother Beverage” glass bottles</t>
        </is>
      </c>
      <c r="C4" s="12" t="inlineStr">
        <is>
          <t>Farmers markets → Whole Foods regional; ~$500k in 18 mo; Shark Tank 2018 ($400k/25% Oza)</t>
        </is>
      </c>
      <c r="D4" s="12" t="inlineStr">
        <is>
          <t>2020 rebrand to cans + national launch (Mar 2020); TikTok creator seeding; #1 Amazon soda 2023</t>
        </is>
      </c>
      <c r="E4" s="12" t="inlineStr">
        <is>
          <t>2024 first Super Bowl ad; &gt;$500M rev; PepsiCo $1.95B closed May 2025</t>
        </is>
      </c>
    </row>
    <row r="5" ht="92" customHeight="1">
      <c r="A5" s="13" t="inlineStr">
        <is>
          <t>OLIPOP</t>
        </is>
      </c>
      <c r="B5" s="13" t="inlineStr">
        <is>
          <t>Founders' prior brand Obi; $100k seed; nostalgic-soda + fiber insight</t>
        </is>
      </c>
      <c r="C5" s="13" t="inlineStr">
        <is>
          <t>Late 2018: 40 NorCal indie grocers; ~$852k yr 1; ~$2.49/can; gut-health science story</t>
        </is>
      </c>
      <c r="D5" s="13" t="inlineStr">
        <is>
          <t>Natural → conventional → mass; “astronomical repurchase” sell-in; $73.4M (2022); $39.7M Series B</t>
        </is>
      </c>
      <c r="E5" s="13" t="inlineStr">
        <is>
          <t>$200M (2023)→$400M+ (2024); 7,000+ grocers; $50M @ $1.85B (Feb 2025); INDEPENDENT</t>
        </is>
      </c>
    </row>
    <row r="6" ht="92" customHeight="1">
      <c r="A6" s="12" t="inlineStr">
        <is>
          <t>LMNT</t>
        </is>
      </c>
      <c r="B6" s="12" t="inlineStr">
        <is>
          <t>2018–19: keto-sodium insight; Robb Wolf + Ketogains; high-sodium no-sugar formula</t>
        </is>
      </c>
      <c r="C6" s="12" t="inlineStr">
        <is>
          <t>Late 2019 DTC-only; free Sample Pack (pay ~$5 shipping); profitable yr 1 (claim)</t>
        </is>
      </c>
      <c r="D6" s="12" t="inlineStr">
        <is>
          <t>Podcast sponsorships (Huberman et al., ~10k episodes); ~$50M run-rate by Q1 2022</t>
        </is>
      </c>
      <c r="E6" s="12" t="inlineStr">
        <is>
          <t>$206M sales (2023, SEC); private, founder-controlled; selective retail; NO exit</t>
        </is>
      </c>
    </row>
    <row r="7" ht="92" customHeight="1">
      <c r="A7" s="13" t="inlineStr">
        <is>
          <t>Liquid I.V.</t>
        </is>
      </c>
      <c r="B7" s="13" t="inlineStr">
        <is>
          <t>2012: adults using Pedialyte insight; WHO-ORS-based CTT formula</t>
        </is>
      </c>
      <c r="C7" s="13" t="inlineStr">
        <is>
          <t>Whole Foods “Supplier 101”; founder samples weekly → 12 WF by 2015</t>
        </is>
      </c>
      <c r="D7" s="13" t="inlineStr">
        <is>
          <t>Costco roadshow sampling; Emerson Group (2015); ~$100M within 5 yrs</t>
        </is>
      </c>
      <c r="E7" s="13" t="inlineStr">
        <is>
          <t>Unilever Sept 2020 (~$500M est.); 30k→80k stores; $1B+ brand</t>
        </is>
      </c>
    </row>
    <row r="8" ht="92" customHeight="1">
      <c r="A8" s="12" t="inlineStr">
        <is>
          <t>Celsius</t>
        </is>
      </c>
      <c r="B8" s="12" t="inlineStr">
        <is>
          <t>2004 (Elite FX); near-bankruptcy/delisting ~2010 — over-marketing before PMF</t>
        </is>
      </c>
      <c r="C8" s="12" t="inlineStr">
        <is>
          <t>Turnaround 2012; Li Ka-shing $15M (2015); NASDAQ uplisting 2017 (~$36M rev)</t>
        </is>
      </c>
      <c r="D8" s="12" t="inlineStr">
        <is>
          <t>Amazon ~15–20% of sales (2020); Target DSD; 100k+ doors by 2021</t>
        </is>
      </c>
      <c r="E8" s="12" t="inlineStr">
        <is>
          <t>PepsiCo $550M/8.5% (2022) → ~#3 energy; bought Alani Nu $1.8B (2025)</t>
        </is>
      </c>
    </row>
    <row r="9" ht="30" customHeight="1">
      <c r="A9" s="6" t="inlineStr">
        <is>
          <t>DATE TRAP: Poppi's FIRST Super Bowl ad = 2024 (LVIII); the vending-machine controversy = the 2025 (LIX) return. Many secondary sources conflate them.</t>
        </is>
      </c>
      <c r="B9" s="34" t="n"/>
      <c r="C9" s="34" t="n"/>
      <c r="D9" s="34" t="n"/>
      <c r="E9" s="35" t="n"/>
    </row>
  </sheetData>
  <mergeCells count="2">
    <mergeCell ref="A1:E1"/>
    <mergeCell ref="A9:E9"/>
  </mergeCells>
  <hyperlinks>
    <hyperlink xmlns:r="http://schemas.openxmlformats.org/officeDocument/2006/relationships" ref="M1" r:id="rId1"/>
    <hyperlink xmlns:r="http://schemas.openxmlformats.org/officeDocument/2006/relationships" ref="N1" r:id="rId2"/>
  </hyperlinks>
  <pageMargins left="0.75" right="0.75" top="1" bottom="1" header="0.5" footer="0.5"/>
  <pageSetup orientation="landscape" fitToHeight="0" fitToWidth="1"/>
  <headerFooter>
    <oddHeader/>
    <oddFooter>&amp;LOrganika MUV — Competitor Intelligence (confidential draft)&amp;R&amp;P of &amp;N</oddFooter>
    <evenHeader/>
    <evenFooter/>
    <firstHeader/>
    <firstFooter/>
  </headerFooter>
</worksheet>
</file>

<file path=xl/worksheets/sheet22.xml><?xml version="1.0" encoding="utf-8"?>
<worksheet xmlns="http://schemas.openxmlformats.org/spreadsheetml/2006/main">
  <sheetPr>
    <tabColor rgb="003E5C76"/>
    <outlinePr summaryBelow="1" summaryRight="1"/>
    <pageSetUpPr fitToPage="1"/>
  </sheetPr>
  <dimension ref="A1:N18"/>
  <sheetViews>
    <sheetView showGridLines="0" tabSelected="0" workbookViewId="0">
      <selection activeCell="A1" sqref="A1"/>
    </sheetView>
  </sheetViews>
  <sheetFormatPr baseColWidth="8" defaultRowHeight="15"/>
  <cols>
    <col width="4" customWidth="1" min="1" max="1"/>
    <col width="114" customWidth="1" min="2" max="2"/>
  </cols>
  <sheetData>
    <row r="1" ht="30" customHeight="1">
      <c r="A1" s="1" t="inlineStr">
        <is>
          <t>Success Patterns &amp; Failure Modes</t>
        </is>
      </c>
      <c r="M1" s="95" t="inlineStr">
        <is>
          <t>🏠 Home</t>
        </is>
      </c>
      <c r="N1" s="95" t="inlineStr">
        <is>
          <t>↩ Contents</t>
        </is>
      </c>
    </row>
    <row r="3">
      <c r="A3" s="19" t="inlineStr">
        <is>
          <t>SEVEN SUCCESS PATTERNS</t>
        </is>
      </c>
    </row>
    <row r="4" ht="30" customHeight="1">
      <c r="A4" s="7" t="n">
        <v>1</v>
      </c>
      <c r="B4" s="16" t="inlineStr">
        <is>
          <t>Founder-authority insight tied to a personal health problem — cheap, durable brand moat (Ellsworth gut health, Wolf sodium, Cohen Pedialyte).</t>
        </is>
      </c>
    </row>
    <row r="5" ht="30" customHeight="1">
      <c r="A5" s="7" t="n">
        <v>2</v>
      </c>
      <c r="B5" s="20" t="inlineStr">
        <is>
          <t>ONE concentrated trial-generation tactic, executed obsessively, before broad spend.</t>
        </is>
      </c>
    </row>
    <row r="6" ht="30" customHeight="1">
      <c r="A6" s="7" t="n">
        <v>3</v>
      </c>
      <c r="B6" s="16" t="inlineStr">
        <is>
          <t>Sell-in on DATA (velocity/repurchase), not flavour — the single most repeated lever.</t>
        </is>
      </c>
    </row>
    <row r="7" ht="30" customHeight="1">
      <c r="A7" s="7" t="n">
        <v>4</v>
      </c>
      <c r="B7" s="20" t="inlineStr">
        <is>
          <t>Sequenced channel ladder — natural/DTC → specialty → grocery → mass → club; never skip rungs.</t>
        </is>
      </c>
    </row>
    <row r="8" ht="30" customHeight="1">
      <c r="A8" s="7" t="n">
        <v>5</v>
      </c>
      <c r="B8" s="16" t="inlineStr">
        <is>
          <t>Strategic-investor signal early (Oza, Li Ka-shing, celebrity rounds) — capital + credibility + distribution.</t>
        </is>
      </c>
    </row>
    <row r="9" ht="30" customHeight="1">
      <c r="A9" s="7" t="n">
        <v>6</v>
      </c>
      <c r="B9" s="20" t="inlineStr">
        <is>
          <t>Category-creation language to escape commodity comparison and hold a $2–$3/can premium.</t>
        </is>
      </c>
    </row>
    <row r="10" ht="30" customHeight="1">
      <c r="A10" s="7" t="n">
        <v>7</v>
      </c>
      <c r="B10" s="16" t="inlineStr">
        <is>
          <t>Endgame split: strategic exit (Poppi/Liquid I.V./Celsius) vs independence (OLIPOP/LMNT) — both valid; scale eventually needs a partner or heavy capital.</t>
        </is>
      </c>
    </row>
    <row r="12">
      <c r="A12" s="21" t="inlineStr">
        <is>
          <t>SIX FAILURE MODES</t>
        </is>
      </c>
    </row>
    <row r="13" ht="30" customHeight="1">
      <c r="A13" s="7" t="n">
        <v>1</v>
      </c>
      <c r="B13" s="22" t="inlineStr">
        <is>
          <t>Over-distribution before product-market fit — Celsius's own ~2010 near-bankruptcy is the canonical case. Velocity must precede footprint.</t>
        </is>
      </c>
    </row>
    <row r="14" ht="30" customHeight="1">
      <c r="A14" s="7" t="n">
        <v>2</v>
      </c>
      <c r="B14" s="20" t="inlineStr">
        <is>
          <t>Undercapitalized / capital-intensive DTC — beverages are heavy physical goods; ~90% of beverage startups failed historically.</t>
        </is>
      </c>
    </row>
    <row r="15" ht="30" customHeight="1">
      <c r="A15" s="7" t="n">
        <v>3</v>
      </c>
      <c r="B15" s="22" t="inlineStr">
        <is>
          <t>Premium price with no defensible moat / thin claims — ~32% of consumers cite “too expensive”; premium needs credible function + repeat.</t>
        </is>
      </c>
    </row>
    <row r="16" ht="30" customHeight="1">
      <c r="A16" s="7" t="n">
        <v>4</v>
      </c>
      <c r="B16" s="20" t="inlineStr">
        <is>
          <t>Trial without retention — sampling/virality wasted if repurchase is weak (inverse of the OLIPOP/Liquid I.V. data story).</t>
        </is>
      </c>
    </row>
    <row r="17" ht="30" customHeight="1">
      <c r="A17" s="7" t="n">
        <v>5</v>
      </c>
      <c r="B17" s="22" t="inlineStr">
        <is>
          <t>Brand/tone missteps at scale — Poppi's 2025 vending stunt; tactics must evolve with brand stage.</t>
        </is>
      </c>
    </row>
    <row r="18" ht="30" customHeight="1">
      <c r="A18" s="7" t="n">
        <v>6</v>
      </c>
      <c r="B18" s="20" t="inlineStr">
        <is>
          <t>Wrong timing / flavour failure — the baseline reasons ~85% of new CPG products fail within 2 years.</t>
        </is>
      </c>
    </row>
  </sheetData>
  <mergeCells count="3">
    <mergeCell ref="A3:B3"/>
    <mergeCell ref="A1:B1"/>
    <mergeCell ref="A12:B12"/>
  </mergeCells>
  <hyperlinks>
    <hyperlink xmlns:r="http://schemas.openxmlformats.org/officeDocument/2006/relationships" ref="M1" r:id="rId1"/>
    <hyperlink xmlns:r="http://schemas.openxmlformats.org/officeDocument/2006/relationships" ref="N1" r:id="rId2"/>
  </hyperlinks>
  <pageMargins left="0.75" right="0.75" top="1" bottom="1" header="0.5" footer="0.5"/>
  <pageSetup orientation="landscape" fitToHeight="0" fitToWidth="1"/>
  <headerFooter>
    <oddHeader/>
    <oddFooter>&amp;LOrganika MUV — Competitor Intelligence (confidential draft)&amp;R&amp;P of &amp;N</oddFooter>
    <evenHeader/>
    <evenFooter/>
    <firstHeader/>
    <firstFooter/>
  </headerFooter>
</worksheet>
</file>

<file path=xl/worksheets/sheet23.xml><?xml version="1.0" encoding="utf-8"?>
<worksheet xmlns="http://schemas.openxmlformats.org/spreadsheetml/2006/main">
  <sheetPr>
    <tabColor rgb="003E5C76"/>
    <outlinePr summaryBelow="1" summaryRight="1"/>
    <pageSetUpPr fitToPage="1"/>
  </sheetPr>
  <dimension ref="A1:N14"/>
  <sheetViews>
    <sheetView showGridLines="0" tabSelected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26" customWidth="1" min="3" max="3"/>
    <col width="30" customWidth="1" min="4" max="4"/>
    <col width="18" customWidth="1" min="5" max="5"/>
    <col width="18" customWidth="1" min="6" max="6"/>
  </cols>
  <sheetData>
    <row r="1" ht="30" customHeight="1">
      <c r="A1" s="1" t="inlineStr">
        <is>
          <t>Financial Outcomes &amp; M&amp;A Comps</t>
        </is>
      </c>
      <c r="M1" s="95" t="inlineStr">
        <is>
          <t>🏠 Home</t>
        </is>
      </c>
      <c r="N1" s="95" t="inlineStr">
        <is>
          <t>↩ Contents</t>
        </is>
      </c>
    </row>
    <row r="3">
      <c r="A3" s="11" t="inlineStr">
        <is>
          <t>Brand</t>
        </is>
      </c>
      <c r="B3" s="11" t="inlineStr">
        <is>
          <t>Revenue trajectory</t>
        </is>
      </c>
      <c r="C3" s="11" t="inlineStr">
        <is>
          <t>Funding / valuation</t>
        </is>
      </c>
      <c r="D3" s="11" t="inlineStr">
        <is>
          <t>Exit / status</t>
        </is>
      </c>
      <c r="E3" s="11" t="inlineStr">
        <is>
          <t>Category share</t>
        </is>
      </c>
      <c r="F3" s="11" t="inlineStr">
        <is>
          <t>Profitability</t>
        </is>
      </c>
    </row>
    <row r="4" ht="34" customHeight="1">
      <c r="A4" s="12" t="inlineStr">
        <is>
          <t>Poppi</t>
        </is>
      </c>
      <c r="B4" s="12" t="inlineStr">
        <is>
          <t>$13M(20)→$65M(22)→$100M+(23)→~$500M(24)</t>
        </is>
      </c>
      <c r="C4" s="12" t="inlineStr">
        <is>
          <t>VC-backed pre-exit</t>
        </is>
      </c>
      <c r="D4" s="12" t="inlineStr">
        <is>
          <t>PepsiCo $1.95B (net ~$1.65B), May 2025</t>
        </is>
      </c>
      <c r="E4" s="12" t="inlineStr">
        <is>
          <t>~38% modern soda (24)</t>
        </is>
      </c>
      <c r="F4" s="12" t="inlineStr">
        <is>
          <t>n/a</t>
        </is>
      </c>
    </row>
    <row r="5" ht="34" customHeight="1">
      <c r="A5" s="13" t="inlineStr">
        <is>
          <t>OLIPOP</t>
        </is>
      </c>
      <c r="B5" s="13" t="inlineStr">
        <is>
          <t>$852k(18)→$200M+(23)→$400M+(24)</t>
        </is>
      </c>
      <c r="C5" s="13" t="inlineStr">
        <is>
          <t>$50M Series C @ $1.85B (Feb 2025, JPM)</t>
        </is>
      </c>
      <c r="D5" s="13" t="inlineStr">
        <is>
          <t>Independent</t>
        </is>
      </c>
      <c r="E5" s="13" t="inlineStr">
        <is>
          <t>~32.7% modern soda (24)</t>
        </is>
      </c>
      <c r="F5" s="13" t="inlineStr">
        <is>
          <t>Cash-profitable early 2024</t>
        </is>
      </c>
    </row>
    <row r="6" ht="34" customHeight="1">
      <c r="A6" s="12" t="inlineStr">
        <is>
          <t>LMNT</t>
        </is>
      </c>
      <c r="B6" s="12" t="inlineStr">
        <is>
          <t>$206M sales (2023, SEC)</t>
        </is>
      </c>
      <c r="C6" s="12" t="inlineStr">
        <is>
          <t>Reg CF / Republic</t>
        </is>
      </c>
      <c r="D6" s="12" t="inlineStr">
        <is>
          <t>Independent</t>
        </is>
      </c>
      <c r="E6" s="12" t="inlineStr">
        <is>
          <t>n/a</t>
        </is>
      </c>
      <c r="F6" s="12" t="inlineStr">
        <is>
          <t>~20% net margin (2023)</t>
        </is>
      </c>
    </row>
    <row r="7" ht="34" customHeight="1">
      <c r="A7" s="13" t="inlineStr">
        <is>
          <t>Liquid I.V.</t>
        </is>
      </c>
      <c r="B7" s="13" t="inlineStr">
        <is>
          <t>~$100M in 5 yrs → ~$200M exit → $1B+ now</t>
        </is>
      </c>
      <c r="C7" s="13" t="inlineStr">
        <is>
          <t>—</t>
        </is>
      </c>
      <c r="D7" s="13" t="inlineStr">
        <is>
          <t>Unilever Sept 2020 (~$500M est.)</t>
        </is>
      </c>
      <c r="E7" s="13" t="inlineStr">
        <is>
          <t>n/a</t>
        </is>
      </c>
      <c r="F7" s="13" t="inlineStr">
        <is>
          <t>Unilever +$80M MO plant</t>
        </is>
      </c>
    </row>
    <row r="8" ht="34" customHeight="1">
      <c r="A8" s="12" t="inlineStr">
        <is>
          <t>Nuun</t>
        </is>
      </c>
      <c r="B8" s="12" t="inlineStr">
        <is>
          <t>$10M+ (2013)</t>
        </is>
      </c>
      <c r="C8" s="12" t="inlineStr">
        <is>
          <t>TSG Consumer (2017)</t>
        </is>
      </c>
      <c r="D8" s="12" t="inlineStr">
        <is>
          <t>Nestlé HS July 2021 (undisclosed)</t>
        </is>
      </c>
      <c r="E8" s="12" t="inlineStr">
        <is>
          <t>#1 run/bike/outdoor</t>
        </is>
      </c>
      <c r="F8" s="12" t="inlineStr">
        <is>
          <t>n/a</t>
        </is>
      </c>
    </row>
    <row r="9" ht="34" customHeight="1">
      <c r="A9" s="13" t="inlineStr">
        <is>
          <t>Celsius</t>
        </is>
      </c>
      <c r="B9" s="13" t="inlineStr">
        <is>
          <t>multi-$B (public)</t>
        </is>
      </c>
      <c r="C9" s="13" t="inlineStr">
        <is>
          <t>Li Ka-shing $15M (2015)</t>
        </is>
      </c>
      <c r="D9" s="13" t="inlineStr">
        <is>
          <t>Public; PepsiCo $550M (2022); bought Alani Nu $1.8B</t>
        </is>
      </c>
      <c r="E9" s="13" t="inlineStr">
        <is>
          <t>~#3 US energy (~11.5%)</t>
        </is>
      </c>
      <c r="F9" s="13" t="inlineStr">
        <is>
          <t>Profitable</t>
        </is>
      </c>
    </row>
    <row r="10" ht="34" customHeight="1">
      <c r="A10" s="12" t="inlineStr">
        <is>
          <t>Health-Ade</t>
        </is>
      </c>
      <c r="B10" s="12" t="inlineStr">
        <is>
          <t>~$250M/yr retail</t>
        </is>
      </c>
      <c r="C10" s="12" t="inlineStr">
        <is>
          <t>~$54M raised</t>
        </is>
      </c>
      <c r="D10" s="12" t="inlineStr">
        <is>
          <t>Generous Brands $500M</t>
        </is>
      </c>
      <c r="E10" s="12" t="inlineStr">
        <is>
          <t>—</t>
        </is>
      </c>
      <c r="F10" s="12" t="inlineStr">
        <is>
          <t>—</t>
        </is>
      </c>
    </row>
    <row r="11" ht="34" customHeight="1">
      <c r="A11" s="13" t="inlineStr">
        <is>
          <t>Alani Nu</t>
        </is>
      </c>
      <c r="B11" s="13" t="inlineStr">
        <is>
          <t>~$595M (2024)</t>
        </is>
      </c>
      <c r="C11" s="13" t="inlineStr">
        <is>
          <t>Congo Brands</t>
        </is>
      </c>
      <c r="D11" s="13" t="inlineStr">
        <is>
          <t>Celsius $1.8B (2025)</t>
        </is>
      </c>
      <c r="E11" s="13" t="inlineStr">
        <is>
          <t>—</t>
        </is>
      </c>
      <c r="F11" s="13" t="inlineStr">
        <is>
          <t>—</t>
        </is>
      </c>
    </row>
    <row r="12" ht="34" customHeight="1">
      <c r="A12" s="12" t="inlineStr">
        <is>
          <t>Vital Proteins</t>
        </is>
      </c>
      <c r="B12" s="12" t="inlineStr">
        <is>
          <t>(in Nestlé HS)</t>
        </is>
      </c>
      <c r="C12" s="12" t="inlineStr">
        <is>
          <t>—</t>
        </is>
      </c>
      <c r="D12" s="12" t="inlineStr">
        <is>
          <t>Nestlé (full 2022)</t>
        </is>
      </c>
      <c r="E12" s="12" t="inlineStr">
        <is>
          <t>—</t>
        </is>
      </c>
      <c r="F12" s="12" t="inlineStr">
        <is>
          <t>—</t>
        </is>
      </c>
    </row>
    <row r="13" ht="34" customHeight="1">
      <c r="A13" s="13" t="inlineStr">
        <is>
          <t>Aura Bora</t>
        </is>
      </c>
      <c r="B13" s="13" t="inlineStr">
        <is>
          <t>$12M (2024)</t>
        </is>
      </c>
      <c r="C13" s="13" t="inlineStr">
        <is>
          <t>~$22M raised</t>
        </is>
      </c>
      <c r="D13" s="13" t="inlineStr">
        <is>
          <t>Majority to Next In Natural (2025)</t>
        </is>
      </c>
      <c r="E13" s="13" t="inlineStr">
        <is>
          <t>—</t>
        </is>
      </c>
      <c r="F13" s="13" t="inlineStr">
        <is>
          <t>—</t>
        </is>
      </c>
    </row>
    <row r="14" ht="58" customHeight="1">
      <c r="A14" s="17" t="inlineStr">
        <is>
          <t>M&amp;A READ: Strategics now own most winners — PepsiCo (Poppi, Celsius stake), Unilever (Liquid I.V., Olly), Nestlé (Vital Proteins, Nuun), KDP (Ghost). For a challenger the realistic endgame is acquisition, not durable independence — but Coke's organic Simply Pop shows incumbents may CLONE rather than buy, compressing the premium. OLIPOP (independent, $1.85B) is the counter-example.</t>
        </is>
      </c>
      <c r="B14" s="34" t="n"/>
      <c r="C14" s="34" t="n"/>
      <c r="D14" s="34" t="n"/>
      <c r="E14" s="34" t="n"/>
      <c r="F14" s="35" t="n"/>
    </row>
  </sheetData>
  <mergeCells count="2">
    <mergeCell ref="A14:F14"/>
    <mergeCell ref="A1:F1"/>
  </mergeCells>
  <hyperlinks>
    <hyperlink xmlns:r="http://schemas.openxmlformats.org/officeDocument/2006/relationships" ref="M1" r:id="rId1"/>
    <hyperlink xmlns:r="http://schemas.openxmlformats.org/officeDocument/2006/relationships" ref="N1" r:id="rId2"/>
  </hyperlinks>
  <pageMargins left="0.75" right="0.75" top="1" bottom="1" header="0.5" footer="0.5"/>
  <pageSetup orientation="landscape" fitToHeight="0" fitToWidth="1"/>
  <headerFooter>
    <oddHeader/>
    <oddFooter>&amp;LOrganika MUV — Competitor Intelligence (confidential draft)&amp;R&amp;P of &amp;N</oddFooter>
    <evenHeader/>
    <evenFooter/>
    <firstHeader/>
    <firstFooter/>
  </headerFooter>
</worksheet>
</file>

<file path=xl/worksheets/sheet24.xml><?xml version="1.0" encoding="utf-8"?>
<worksheet xmlns="http://schemas.openxmlformats.org/spreadsheetml/2006/main">
  <sheetPr>
    <tabColor rgb="003E5C76"/>
    <outlinePr summaryBelow="1" summaryRight="1"/>
    <pageSetUpPr fitToPage="1"/>
  </sheetPr>
  <dimension ref="A1:N9"/>
  <sheetViews>
    <sheetView showGridLines="0" tabSelected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26" customWidth="1" min="3" max="3"/>
    <col width="26" customWidth="1" min="4" max="4"/>
    <col width="26" customWidth="1" min="5" max="5"/>
  </cols>
  <sheetData>
    <row r="1" ht="30" customHeight="1">
      <c r="A1" s="1" t="inlineStr">
        <is>
          <t>Per-Brand SWOT</t>
        </is>
      </c>
      <c r="M1" s="95" t="inlineStr">
        <is>
          <t>🏠 Home</t>
        </is>
      </c>
      <c r="N1" s="95" t="inlineStr">
        <is>
          <t>↩ Contents</t>
        </is>
      </c>
    </row>
    <row r="3">
      <c r="A3" s="11" t="inlineStr">
        <is>
          <t>Brand</t>
        </is>
      </c>
      <c r="B3" s="11" t="inlineStr">
        <is>
          <t>Strengths</t>
        </is>
      </c>
      <c r="C3" s="11" t="inlineStr">
        <is>
          <t>Weaknesses</t>
        </is>
      </c>
      <c r="D3" s="11" t="inlineStr">
        <is>
          <t>Opportunities</t>
        </is>
      </c>
      <c r="E3" s="11" t="inlineStr">
        <is>
          <t>Threats</t>
        </is>
      </c>
    </row>
    <row r="4" ht="58" customHeight="1">
      <c r="A4" s="12" t="inlineStr">
        <is>
          <t>Poppi</t>
        </is>
      </c>
      <c r="B4" s="12" t="inlineStr">
        <is>
          <t>Mass brand love, TikTok engine, PepsiCo distribution</t>
        </is>
      </c>
      <c r="C4" s="12" t="inlineStr">
        <is>
          <t>Thin fiber dose, claims litigation history</t>
        </is>
      </c>
      <c r="D4" s="12" t="inlineStr">
        <is>
          <t>PepsiCo scale, international</t>
        </is>
      </c>
      <c r="E4" s="12" t="inlineStr">
        <is>
          <t>Commoditization, Simply Pop, claim scrutiny</t>
        </is>
      </c>
    </row>
    <row r="5" ht="58" customHeight="1">
      <c r="A5" s="13" t="inlineStr">
        <is>
          <t>OLIPOP</t>
        </is>
      </c>
      <c r="B5" s="13" t="inlineStr">
        <is>
          <t>9g fiber moat, repeat rate, independence, $1.85B val</t>
        </is>
      </c>
      <c r="C5" s="13" t="inlineStr">
        <is>
          <t>Premium price, single category</t>
        </is>
      </c>
      <c r="D5" s="13" t="inlineStr">
        <is>
          <t>Mass expansion, intl, format extensions</t>
        </is>
      </c>
      <c r="E5" s="13" t="inlineStr">
        <is>
          <t>PepsiCo-backed Poppi, Coke Simply Pop, private label</t>
        </is>
      </c>
    </row>
    <row r="6" ht="58" customHeight="1">
      <c r="A6" s="12" t="inlineStr">
        <is>
          <t>LMNT</t>
        </is>
      </c>
      <c r="B6" s="12" t="inlineStr">
        <is>
          <t>Profitable, capital-light, podcast moat, 20% net margin</t>
        </is>
      </c>
      <c r="C6" s="12" t="inlineStr">
        <is>
          <t>Polarizing high sodium, niche, DTC-dependent</t>
        </is>
      </c>
      <c r="D6" s="12" t="inlineStr">
        <is>
          <t>Retail expansion, sparkling line, intl</t>
        </is>
      </c>
      <c r="E6" s="12" t="inlineStr">
        <is>
          <t>Electrolyte crowding (Prime, LMNT clones)</t>
        </is>
      </c>
    </row>
    <row r="7" ht="58" customHeight="1">
      <c r="A7" s="13" t="inlineStr">
        <is>
          <t>Liquid I.V.</t>
        </is>
      </c>
      <c r="B7" s="13" t="inlineStr">
        <is>
          <t>Unilever scale, Costco engine, $1B+ brand</t>
        </is>
      </c>
      <c r="C7" s="13" t="inlineStr">
        <is>
          <t>Sugar content, undifferentiated vs new entrants</t>
        </is>
      </c>
      <c r="D7" s="13" t="inlineStr">
        <is>
          <t>Global expansion, sugar-free line</t>
        </is>
      </c>
      <c r="E7" s="13" t="inlineStr">
        <is>
          <t>Crowded hydration, Prime, private label</t>
        </is>
      </c>
    </row>
    <row r="8" ht="58" customHeight="1">
      <c r="A8" s="12" t="inlineStr">
        <is>
          <t>Vital Proteins Sparkling</t>
        </is>
      </c>
      <c r="B8" s="12" t="inlineStr">
        <is>
          <t>Nestlé muscle, #1 collagen halo, clinical claim, mass price</t>
        </is>
      </c>
      <c r="C8" s="12" t="inlineStr">
        <is>
          <t>New format unproven, collagen efficacy debate</t>
        </is>
      </c>
      <c r="D8" s="12" t="inlineStr">
        <is>
          <t>Owns beauty-from-within mainstreaming</t>
        </is>
      </c>
      <c r="E8" s="12" t="inlineStr">
        <is>
          <t>2025 no-benefit meta-analysis, claims risk</t>
        </is>
      </c>
    </row>
    <row r="9" ht="58" customHeight="1">
      <c r="A9" s="13" t="inlineStr">
        <is>
          <t>MUV (Organika)</t>
        </is>
      </c>
      <c r="B9" s="13" t="inlineStr">
        <is>
          <t>Domestic CA producer, #1 CA collagen halo, existing CA shelf, cost edge</t>
        </is>
      </c>
      <c r="C9" s="13" t="inlineStr">
        <is>
          <t>Unproven RTD, food-format claim limits, small vs strategics</t>
        </is>
      </c>
      <c r="D9" s="13" t="inlineStr">
        <is>
          <t>Costco CA/Amazon beachhead, gut+beauty stack, Supplemented-Food pathway</t>
        </is>
      </c>
      <c r="E9" s="13" t="inlineStr">
        <is>
          <t>Nestlé/Vital Proteins, collagen efficacy/claims liability, shelf saturation</t>
        </is>
      </c>
    </row>
  </sheetData>
  <mergeCells count="1">
    <mergeCell ref="A1:E1"/>
  </mergeCells>
  <hyperlinks>
    <hyperlink xmlns:r="http://schemas.openxmlformats.org/officeDocument/2006/relationships" ref="M1" r:id="rId1"/>
    <hyperlink xmlns:r="http://schemas.openxmlformats.org/officeDocument/2006/relationships" ref="N1" r:id="rId2"/>
  </hyperlinks>
  <pageMargins left="0.75" right="0.75" top="1" bottom="1" header="0.5" footer="0.5"/>
  <pageSetup orientation="landscape" fitToHeight="0" fitToWidth="1"/>
  <headerFooter>
    <oddHeader/>
    <oddFooter>&amp;LOrganika MUV — Competitor Intelligence (confidential draft)&amp;R&amp;P of &amp;N</oddFooter>
    <evenHeader/>
    <evenFooter/>
    <firstHeader/>
    <firstFooter/>
  </headerFooter>
</worksheet>
</file>

<file path=xl/worksheets/sheet25.xml><?xml version="1.0" encoding="utf-8"?>
<worksheet xmlns="http://schemas.openxmlformats.org/spreadsheetml/2006/main">
  <sheetPr>
    <tabColor rgb="003E5C76"/>
    <outlinePr summaryBelow="1" summaryRight="1"/>
    <pageSetUpPr fitToPage="1"/>
  </sheetPr>
  <dimension ref="A1:N14"/>
  <sheetViews>
    <sheetView showGridLines="0" tabSelected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 ht="30" customHeight="1">
      <c r="A1" s="1" t="inlineStr">
        <is>
          <t>Weighted Competitive Scoring Model</t>
        </is>
      </c>
      <c r="M1" s="95" t="inlineStr">
        <is>
          <t>🏠 Home</t>
        </is>
      </c>
      <c r="N1" s="95" t="inlineStr">
        <is>
          <t>↩ Contents</t>
        </is>
      </c>
    </row>
    <row r="2" ht="20" customHeight="1">
      <c r="A2" s="14" t="inlineStr">
        <is>
          <t>Scores 1–5 (5=strongest). Edit weights in row 4; totals auto-calc. Illustrative scores — calibrate with your data</t>
        </is>
      </c>
    </row>
    <row r="4">
      <c r="A4" s="7" t="inlineStr">
        <is>
          <t>WEIGHTS →</t>
        </is>
      </c>
      <c r="B4" s="23" t="n">
        <v>0.15</v>
      </c>
      <c r="C4" s="23" t="n">
        <v>0.15</v>
      </c>
      <c r="D4" s="23" t="n">
        <v>0.15</v>
      </c>
      <c r="E4" s="23" t="n">
        <v>0.1</v>
      </c>
      <c r="F4" s="23" t="n">
        <v>0.1</v>
      </c>
      <c r="G4" s="23" t="n">
        <v>0.1</v>
      </c>
      <c r="H4" s="23" t="n">
        <v>0.15</v>
      </c>
      <c r="I4" s="23" t="n">
        <v>0.1</v>
      </c>
      <c r="J4" s="24" t="inlineStr"/>
    </row>
    <row r="5">
      <c r="A5" s="11" t="inlineStr">
        <is>
          <t>Brand</t>
        </is>
      </c>
      <c r="B5" s="11" t="inlineStr">
        <is>
          <t>Brand strength</t>
        </is>
      </c>
      <c r="C5" s="11" t="inlineStr">
        <is>
          <t>Distribution reach</t>
        </is>
      </c>
      <c r="D5" s="11" t="inlineStr">
        <is>
          <t>Claim defensibility</t>
        </is>
      </c>
      <c r="E5" s="11" t="inlineStr">
        <is>
          <t>Margin/price power</t>
        </is>
      </c>
      <c r="F5" s="11" t="inlineStr">
        <is>
          <t>Innovation/format</t>
        </is>
      </c>
      <c r="G5" s="11" t="inlineStr">
        <is>
          <t>Marketing engine</t>
        </is>
      </c>
      <c r="H5" s="11" t="inlineStr">
        <is>
          <t>Capital/backing</t>
        </is>
      </c>
      <c r="I5" s="11" t="inlineStr">
        <is>
          <t>Canada readiness</t>
        </is>
      </c>
      <c r="J5" s="11" t="inlineStr">
        <is>
          <t>Weighted score</t>
        </is>
      </c>
    </row>
    <row r="6">
      <c r="A6" s="25" t="inlineStr">
        <is>
          <t>Poppi</t>
        </is>
      </c>
      <c r="B6" s="26" t="n">
        <v>5</v>
      </c>
      <c r="C6" s="26" t="n">
        <v>5</v>
      </c>
      <c r="D6" s="26" t="n">
        <v>2</v>
      </c>
      <c r="E6" s="26" t="n">
        <v>3</v>
      </c>
      <c r="F6" s="26" t="n">
        <v>3</v>
      </c>
      <c r="G6" s="26" t="n">
        <v>5</v>
      </c>
      <c r="H6" s="26" t="n">
        <v>5</v>
      </c>
      <c r="I6" s="26" t="n">
        <v>2</v>
      </c>
      <c r="J6" s="27">
        <f>SUMPRODUCT(B6:I6,B$4:I$4)</f>
        <v/>
      </c>
    </row>
    <row r="7">
      <c r="A7" s="28" t="inlineStr">
        <is>
          <t>OLIPOP</t>
        </is>
      </c>
      <c r="B7" s="29" t="n">
        <v>5</v>
      </c>
      <c r="C7" s="29" t="n">
        <v>5</v>
      </c>
      <c r="D7" s="29" t="n">
        <v>4</v>
      </c>
      <c r="E7" s="29" t="n">
        <v>3</v>
      </c>
      <c r="F7" s="29" t="n">
        <v>4</v>
      </c>
      <c r="G7" s="29" t="n">
        <v>4</v>
      </c>
      <c r="H7" s="29" t="n">
        <v>4</v>
      </c>
      <c r="I7" s="29" t="n">
        <v>2</v>
      </c>
      <c r="J7" s="30">
        <f>SUMPRODUCT(B7:I7,B$4:I$4)</f>
        <v/>
      </c>
    </row>
    <row r="8">
      <c r="A8" s="25" t="inlineStr">
        <is>
          <t>LMNT</t>
        </is>
      </c>
      <c r="B8" s="26" t="n">
        <v>4</v>
      </c>
      <c r="C8" s="26" t="n">
        <v>3</v>
      </c>
      <c r="D8" s="26" t="n">
        <v>3</v>
      </c>
      <c r="E8" s="26" t="n">
        <v>4</v>
      </c>
      <c r="F8" s="26" t="n">
        <v>3</v>
      </c>
      <c r="G8" s="26" t="n">
        <v>5</v>
      </c>
      <c r="H8" s="26" t="n">
        <v>4</v>
      </c>
      <c r="I8" s="26" t="n">
        <v>2</v>
      </c>
      <c r="J8" s="27">
        <f>SUMPRODUCT(B8:I8,B$4:I$4)</f>
        <v/>
      </c>
    </row>
    <row r="9">
      <c r="A9" s="28" t="inlineStr">
        <is>
          <t>Liquid I.V.</t>
        </is>
      </c>
      <c r="B9" s="29" t="n">
        <v>4</v>
      </c>
      <c r="C9" s="29" t="n">
        <v>5</v>
      </c>
      <c r="D9" s="29" t="n">
        <v>3</v>
      </c>
      <c r="E9" s="29" t="n">
        <v>3</v>
      </c>
      <c r="F9" s="29" t="n">
        <v>3</v>
      </c>
      <c r="G9" s="29" t="n">
        <v>4</v>
      </c>
      <c r="H9" s="29" t="n">
        <v>5</v>
      </c>
      <c r="I9" s="29" t="n">
        <v>3</v>
      </c>
      <c r="J9" s="30">
        <f>SUMPRODUCT(B9:I9,B$4:I$4)</f>
        <v/>
      </c>
    </row>
    <row r="10">
      <c r="A10" s="25" t="inlineStr">
        <is>
          <t>Vital Proteins Sparkling</t>
        </is>
      </c>
      <c r="B10" s="26" t="n">
        <v>4</v>
      </c>
      <c r="C10" s="26" t="n">
        <v>5</v>
      </c>
      <c r="D10" s="26" t="n">
        <v>4</v>
      </c>
      <c r="E10" s="26" t="n">
        <v>3</v>
      </c>
      <c r="F10" s="26" t="n">
        <v>3</v>
      </c>
      <c r="G10" s="26" t="n">
        <v>3</v>
      </c>
      <c r="H10" s="26" t="n">
        <v>5</v>
      </c>
      <c r="I10" s="26" t="n">
        <v>2</v>
      </c>
      <c r="J10" s="27">
        <f>SUMPRODUCT(B10:I10,B$4:I$4)</f>
        <v/>
      </c>
    </row>
    <row r="11">
      <c r="A11" s="28" t="inlineStr">
        <is>
          <t>Recess</t>
        </is>
      </c>
      <c r="B11" s="29" t="n">
        <v>3</v>
      </c>
      <c r="C11" s="29" t="n">
        <v>3</v>
      </c>
      <c r="D11" s="29" t="n">
        <v>3</v>
      </c>
      <c r="E11" s="29" t="n">
        <v>3</v>
      </c>
      <c r="F11" s="29" t="n">
        <v>4</v>
      </c>
      <c r="G11" s="29" t="n">
        <v>4</v>
      </c>
      <c r="H11" s="29" t="n">
        <v>3</v>
      </c>
      <c r="I11" s="29" t="n">
        <v>1</v>
      </c>
      <c r="J11" s="30">
        <f>SUMPRODUCT(B11:I11,B$4:I$4)</f>
        <v/>
      </c>
    </row>
    <row r="12">
      <c r="A12" s="25" t="inlineStr">
        <is>
          <t>MUV (Organika)</t>
        </is>
      </c>
      <c r="B12" s="26" t="n">
        <v>3</v>
      </c>
      <c r="C12" s="26" t="n">
        <v>3</v>
      </c>
      <c r="D12" s="26" t="n">
        <v>3</v>
      </c>
      <c r="E12" s="26" t="n">
        <v>4</v>
      </c>
      <c r="F12" s="26" t="n">
        <v>3</v>
      </c>
      <c r="G12" s="26" t="n">
        <v>2</v>
      </c>
      <c r="H12" s="26" t="n">
        <v>2</v>
      </c>
      <c r="I12" s="26" t="n">
        <v>5</v>
      </c>
      <c r="J12" s="27">
        <f>SUMPRODUCT(B12:I12,B$4:I$4)</f>
        <v/>
      </c>
    </row>
    <row r="14" ht="58" customHeight="1">
      <c r="A14" s="17" t="inlineStr">
        <is>
          <t>HOW TO USE: weights (amber row) are editable and should sum to 100%; weighted score = SUMPRODUCT(scores × weights). Scores are illustrative analyst judgment — recalibrate against your own velocity/claims/financial data. MUV scores high on Canada readiness and margin/price power, low on marketing engine and capital — which is exactly where the launch plan must invest.</t>
        </is>
      </c>
      <c r="B14" s="34" t="n"/>
      <c r="C14" s="34" t="n"/>
      <c r="D14" s="34" t="n"/>
      <c r="E14" s="34" t="n"/>
      <c r="F14" s="34" t="n"/>
      <c r="G14" s="34" t="n"/>
      <c r="H14" s="34" t="n"/>
      <c r="I14" s="34" t="n"/>
      <c r="J14" s="35" t="n"/>
    </row>
  </sheetData>
  <mergeCells count="3">
    <mergeCell ref="A1:J1"/>
    <mergeCell ref="A14:J14"/>
    <mergeCell ref="A2:J2"/>
  </mergeCells>
  <conditionalFormatting sqref="B6:I12">
    <cfRule type="colorScale" priority="1">
      <colorScale>
        <cfvo type="num" val="1"/>
        <cfvo type="num" val="3"/>
        <cfvo type="num" val="5"/>
        <color rgb="00F8696B"/>
        <color rgb="00FFEB84"/>
        <color rgb="0063BE7B"/>
      </colorScale>
    </cfRule>
  </conditionalFormatting>
  <conditionalFormatting sqref="J6:J12">
    <cfRule type="dataBar" priority="2">
      <dataBar>
        <cfvo type="num" val="0"/>
        <cfvo type="num" val="5"/>
        <color rgb="002E7D8A"/>
      </dataBar>
    </cfRule>
  </conditionalFormatting>
  <hyperlinks>
    <hyperlink xmlns:r="http://schemas.openxmlformats.org/officeDocument/2006/relationships" ref="M1" r:id="rId1"/>
    <hyperlink xmlns:r="http://schemas.openxmlformats.org/officeDocument/2006/relationships" ref="N1" r:id="rId2"/>
  </hyperlinks>
  <pageMargins left="0.75" right="0.75" top="1" bottom="1" header="0.5" footer="0.5"/>
  <pageSetup orientation="landscape" fitToHeight="0" fitToWidth="1"/>
  <headerFooter>
    <oddHeader/>
    <oddFooter>&amp;LOrganika MUV — Competitor Intelligence (confidential draft)&amp;R&amp;P of &amp;N</oddFooter>
    <evenHeader/>
    <evenFooter/>
    <firstHeader/>
    <firstFooter/>
  </headerFooter>
</worksheet>
</file>

<file path=xl/worksheets/sheet26.xml><?xml version="1.0" encoding="utf-8"?>
<worksheet xmlns="http://schemas.openxmlformats.org/spreadsheetml/2006/main">
  <sheetPr>
    <tabColor rgb="001E7D32"/>
    <outlinePr summaryBelow="1" summaryRight="1"/>
    <pageSetUpPr fitToPage="1"/>
  </sheetPr>
  <dimension ref="A1:N35"/>
  <sheetViews>
    <sheetView showGridLines="0" tabSelected="0" workbookViewId="0">
      <selection activeCell="A1" sqref="A1"/>
    </sheetView>
  </sheetViews>
  <sheetFormatPr baseColWidth="8" defaultRowHeight="15"/>
  <cols>
    <col width="20" customWidth="1" min="1" max="1"/>
    <col width="42" customWidth="1" min="2" max="2"/>
    <col width="38" customWidth="1" min="3" max="3"/>
    <col width="30" customWidth="1" min="4" max="4"/>
  </cols>
  <sheetData>
    <row r="1" ht="30" customHeight="1">
      <c r="A1" s="1" t="inlineStr">
        <is>
          <t>Canada Market — Retail Landscape &amp; Entry Playbooks</t>
        </is>
      </c>
      <c r="M1" s="95" t="inlineStr">
        <is>
          <t>🏠 Home</t>
        </is>
      </c>
      <c r="N1" s="95" t="inlineStr">
        <is>
          <t>↩ Contents</t>
        </is>
      </c>
    </row>
    <row r="3">
      <c r="A3" s="15" t="inlineStr">
        <is>
          <t>GROCERY BANNERS &amp; APPROXIMATE SHARE (varies by methodology — treat as ranges)</t>
        </is>
      </c>
    </row>
    <row r="4">
      <c r="A4" s="11" t="inlineStr">
        <is>
          <t>Retailer</t>
        </is>
      </c>
      <c r="B4" s="11" t="inlineStr">
        <is>
          <t>Banners</t>
        </is>
      </c>
      <c r="C4" s="11" t="inlineStr">
        <is>
          <t>Est. share</t>
        </is>
      </c>
      <c r="D4" s="11" t="inlineStr">
        <is>
          <t>Note</t>
        </is>
      </c>
    </row>
    <row r="5" ht="28" customHeight="1">
      <c r="A5" s="12" t="inlineStr">
        <is>
          <t>Loblaw</t>
        </is>
      </c>
      <c r="B5" s="12" t="inlineStr">
        <is>
          <t>Loblaws, No Frills, Shoppers Drug Mart, RC Superstore, Maxi</t>
        </is>
      </c>
      <c r="C5" s="12" t="inlineStr">
        <is>
          <t>~26–30%</t>
        </is>
      </c>
      <c r="D5" s="12" t="inlineStr">
        <is>
          <t>Largest; pharmacy via Shoppers</t>
        </is>
      </c>
    </row>
    <row r="6" ht="28" customHeight="1">
      <c r="A6" s="13" t="inlineStr">
        <is>
          <t>Empire/Sobeys</t>
        </is>
      </c>
      <c r="B6" s="13" t="inlineStr">
        <is>
          <t>Sobeys, Safeway, IGA, FreshCo, Foodland</t>
        </is>
      </c>
      <c r="C6" s="13" t="inlineStr">
        <is>
          <t>~20–21%</t>
        </is>
      </c>
      <c r="D6" s="13" t="inlineStr">
        <is>
          <t>#2</t>
        </is>
      </c>
    </row>
    <row r="7" ht="28" customHeight="1">
      <c r="A7" s="12" t="inlineStr">
        <is>
          <t>Costco Canada</t>
        </is>
      </c>
      <c r="B7" s="12" t="inlineStr">
        <is>
          <t>Costco</t>
        </is>
      </c>
      <c r="C7" s="12" t="inlineStr">
        <is>
          <t>~14%</t>
        </is>
      </c>
      <c r="D7" s="12" t="inlineStr">
        <is>
          <t>Proven beachhead for new functional bev</t>
        </is>
      </c>
    </row>
    <row r="8" ht="28" customHeight="1">
      <c r="A8" s="13" t="inlineStr">
        <is>
          <t>Walmart Canada</t>
        </is>
      </c>
      <c r="B8" s="13" t="inlineStr">
        <is>
          <t>Walmart</t>
        </is>
      </c>
      <c r="C8" s="13" t="inlineStr">
        <is>
          <t>~12%</t>
        </is>
      </c>
      <c r="D8" s="13" t="inlineStr">
        <is>
          <t>Mass</t>
        </is>
      </c>
    </row>
    <row r="9" ht="28" customHeight="1">
      <c r="A9" s="12" t="inlineStr">
        <is>
          <t>Metro</t>
        </is>
      </c>
      <c r="B9" s="12" t="inlineStr">
        <is>
          <t>Metro, Food Basics, Jean Coutu, Super C</t>
        </is>
      </c>
      <c r="C9" s="12" t="inlineStr">
        <is>
          <t>~11–12%</t>
        </is>
      </c>
      <c r="D9" s="12" t="inlineStr">
        <is>
          <t>Strong QC + ON; pharmacy via Jean Coutu</t>
        </is>
      </c>
    </row>
    <row r="10" ht="28" customHeight="1">
      <c r="A10" s="13" t="inlineStr">
        <is>
          <t>Pattison/Save-On</t>
        </is>
      </c>
      <c r="B10" s="13" t="inlineStr">
        <is>
          <t>Save-On-Foods, Buy-Low, Choices, Quality Foods</t>
        </is>
      </c>
      <c r="C10" s="13" t="inlineStr">
        <is>
          <t>Regional (West)</t>
        </is>
      </c>
      <c r="D10" s="13" t="inlineStr">
        <is>
          <t>187 Save-On stores</t>
        </is>
      </c>
    </row>
    <row r="12">
      <c r="A12" s="18" t="inlineStr">
        <is>
          <t>NATURAL &amp; E-COMMERCE CHANNEL</t>
        </is>
      </c>
    </row>
    <row r="13">
      <c r="A13" s="11" t="inlineStr">
        <is>
          <t>Channel</t>
        </is>
      </c>
      <c r="B13" s="11" t="inlineStr">
        <is>
          <t>What it is</t>
        </is>
      </c>
      <c r="C13" s="11" t="inlineStr">
        <is>
          <t>Note</t>
        </is>
      </c>
    </row>
    <row r="14" ht="24" customHeight="1">
      <c r="A14" s="12" t="inlineStr">
        <is>
          <t>Whole Foods Canada</t>
        </is>
      </c>
      <c r="B14" s="12" t="inlineStr">
        <is>
          <t>Natural anchor (Amazon-owned)</t>
        </is>
      </c>
      <c r="C14" s="12" t="inlineStr">
        <is>
          <t>Premium natural shelf</t>
        </is>
      </c>
    </row>
    <row r="15" ht="24" customHeight="1">
      <c r="A15" s="13" t="inlineStr">
        <is>
          <t>Healthy Planet</t>
        </is>
      </c>
      <c r="B15" s="13" t="inlineStr">
        <is>
          <t>“Canada's largest online health store”, ~42 ON stores</t>
        </is>
      </c>
      <c r="C15" s="13" t="inlineStr">
        <is>
          <t>Omnichannel natural</t>
        </is>
      </c>
    </row>
    <row r="16" ht="24" customHeight="1">
      <c r="A16" s="12" t="inlineStr">
        <is>
          <t>Nature's Fare / Goodness Me</t>
        </is>
      </c>
      <c r="B16" s="12" t="inlineStr">
        <is>
          <t>Regional natural (BC / ON)</t>
        </is>
      </c>
      <c r="C16" s="12" t="inlineStr">
        <is>
          <t>Regional</t>
        </is>
      </c>
    </row>
    <row r="17" ht="24" customHeight="1">
      <c r="A17" s="13" t="inlineStr">
        <is>
          <t>Amazon.ca</t>
        </is>
      </c>
      <c r="B17" s="13" t="inlineStr">
        <is>
          <t>Primary online channel</t>
        </is>
      </c>
      <c r="C17" s="13" t="inlineStr">
        <is>
          <t>Liquid I.V./OLIPOP/Poppi all sell here</t>
        </is>
      </c>
    </row>
    <row r="18" ht="24" customHeight="1">
      <c r="A18" s="12" t="inlineStr">
        <is>
          <t>Well.ca</t>
        </is>
      </c>
      <c r="B18" s="12" t="inlineStr">
        <is>
          <t>Health/beauty/natural (McKesson-owned)</t>
        </is>
      </c>
      <c r="C18" s="12" t="inlineStr">
        <is>
          <t>Organika already sells here</t>
        </is>
      </c>
    </row>
    <row r="19" ht="24" customHeight="1">
      <c r="A19" s="13" t="inlineStr">
        <is>
          <t>Natura Market / Vitasave / SPUD</t>
        </is>
      </c>
      <c r="B19" s="13" t="inlineStr">
        <is>
          <t>Online natural marketplaces</t>
        </is>
      </c>
      <c r="C19" s="13" t="inlineStr">
        <is>
          <t>Front-run official distribution</t>
        </is>
      </c>
    </row>
    <row r="21">
      <c r="A21" s="15" t="inlineStr">
        <is>
          <t>HOW US BRANDS ENTERED CANADA (the playbook)</t>
        </is>
      </c>
    </row>
    <row r="22">
      <c r="A22" s="11" t="inlineStr">
        <is>
          <t>Brand</t>
        </is>
      </c>
      <c r="B22" s="11" t="inlineStr">
        <is>
          <t>When</t>
        </is>
      </c>
      <c r="C22" s="11" t="inlineStr">
        <is>
          <t>Entry model</t>
        </is>
      </c>
    </row>
    <row r="23" ht="28" customHeight="1">
      <c r="A23" s="12" t="inlineStr">
        <is>
          <t>Liquid I.V.</t>
        </is>
      </c>
      <c r="B23" s="12" t="inlineStr">
        <is>
          <t>2023 (first market outside US)</t>
        </is>
      </c>
      <c r="C23" s="12" t="inlineStr">
        <is>
          <t>Via Unilever; Costco FIRST → Amazon.ca, Walmart, Loblaws, Jean Coutu</t>
        </is>
      </c>
    </row>
    <row r="24" ht="28" customHeight="1">
      <c r="A24" s="13" t="inlineStr">
        <is>
          <t>Poppi</t>
        </is>
      </c>
      <c r="B24" s="13" t="inlineStr">
        <is>
          <t>Aug 13, 2024 (first international)</t>
        </is>
      </c>
      <c r="C24" s="13" t="inlineStr">
        <is>
          <t>Brand-led; Loblaws, Metro, Save-On, Maxi, Safeway, Costco, Sobeys + Well.ca, Natura</t>
        </is>
      </c>
    </row>
    <row r="25" ht="28" customHeight="1">
      <c r="A25" s="12" t="inlineStr">
        <is>
          <t>OLIPOP</t>
        </is>
      </c>
      <c r="B25" s="12" t="inlineStr">
        <is>
          <t>Limited</t>
        </is>
      </c>
      <c r="C25" s="12" t="inlineStr">
        <is>
          <t>Distributor NevrAsk; Amazon.ca, Natura (specialty e-comm)</t>
        </is>
      </c>
    </row>
    <row r="26" ht="28" customHeight="1">
      <c r="A26" s="13" t="inlineStr">
        <is>
          <t>Celsius</t>
        </is>
      </c>
      <c r="B26" s="13" t="inlineStr">
        <is>
          <t>Jan 2024</t>
        </is>
      </c>
      <c r="C26" s="13" t="inlineStr">
        <is>
          <t>PepsiCo exclusive distribution (extends 2022 US deal)</t>
        </is>
      </c>
    </row>
    <row r="27" ht="28" customHeight="1">
      <c r="A27" s="12" t="inlineStr">
        <is>
          <t>Prime</t>
        </is>
      </c>
      <c r="B27" s="12" t="inlineStr">
        <is>
          <t>2023</t>
        </is>
      </c>
      <c r="C27" s="12" t="inlineStr">
        <is>
          <t>Hydration sells; ENERGY blocked (200mg caffeine &gt; 180mg cap)</t>
        </is>
      </c>
    </row>
    <row r="29">
      <c r="A29" s="18" t="inlineStr">
        <is>
          <t>PRICING</t>
        </is>
      </c>
    </row>
    <row r="30">
      <c r="A30" s="11" t="inlineStr">
        <is>
          <t>Item</t>
        </is>
      </c>
      <c r="B30" s="11" t="inlineStr">
        <is>
          <t>Value</t>
        </is>
      </c>
      <c r="C30" s="11" t="inlineStr">
        <is>
          <t>Note</t>
        </is>
      </c>
    </row>
    <row r="31" ht="26" customHeight="1">
      <c r="A31" s="12" t="inlineStr">
        <is>
          <t>Premium functional can</t>
        </is>
      </c>
      <c r="B31" s="12" t="inlineStr">
        <is>
          <t>~CAD $3.49 MSRP (Poppi); promo ~$2.50</t>
        </is>
      </c>
      <c r="C31" s="12" t="inlineStr">
        <is>
          <t>Shelf norm to anchor against</t>
        </is>
      </c>
    </row>
    <row r="32" ht="26" customHeight="1">
      <c r="A32" s="13" t="inlineStr">
        <is>
          <t>Cross-border premium</t>
        </is>
      </c>
      <c r="B32" s="13" t="inlineStr">
        <is>
          <t>FX (US$1≈C$1.15+) + freight + duty</t>
        </is>
      </c>
      <c r="C32" s="13" t="inlineStr">
        <is>
          <t>US$2.50 can lands well above C$3.49 imported</t>
        </is>
      </c>
    </row>
    <row r="33" ht="26" customHeight="1">
      <c r="A33" s="12" t="inlineStr">
        <is>
          <t>GST/HST</t>
        </is>
      </c>
      <c r="B33" s="12" t="inlineStr">
        <is>
          <t>5–15% by province; import GST on duty-incl value</t>
        </is>
      </c>
      <c r="C33" s="12" t="inlineStr">
        <is>
          <t>Plus tariff status to verify (relief extended to Dec 16, 2025)</t>
        </is>
      </c>
    </row>
    <row r="34" ht="26" customHeight="1">
      <c r="A34" s="13" t="inlineStr">
        <is>
          <t>Margin fix</t>
        </is>
      </c>
      <c r="B34" s="13" t="inlineStr">
        <is>
          <t>Local/contract co-packing in Canada</t>
        </is>
      </c>
      <c r="C34" s="13" t="inlineStr">
        <is>
          <t>Organika's domestic production is the structural edge</t>
        </is>
      </c>
    </row>
    <row r="35" ht="50" customHeight="1">
      <c r="A35" s="17" t="inlineStr">
        <is>
          <t>WHAT WORKED: (1) enter via a big-box anchor (Costco) or a strategic distributor/parent DSD (Unilever, PepsiCo); (2) reformulate to Canadian limits BEFORE launch (Prime Energy is the cautionary tale); (3) seed Amazon.ca + Natura/Well.ca ahead of mainstream grocery. Organika already has #2 and the CA shelf relationships.</t>
        </is>
      </c>
      <c r="B35" s="34" t="n"/>
      <c r="C35" s="34" t="n"/>
      <c r="D35" s="34" t="n"/>
      <c r="E35" s="35" t="n"/>
    </row>
  </sheetData>
  <mergeCells count="6">
    <mergeCell ref="A21:E21"/>
    <mergeCell ref="A29:E29"/>
    <mergeCell ref="A12:E12"/>
    <mergeCell ref="A35:E35"/>
    <mergeCell ref="A1:E1"/>
    <mergeCell ref="A3:E3"/>
  </mergeCells>
  <hyperlinks>
    <hyperlink xmlns:r="http://schemas.openxmlformats.org/officeDocument/2006/relationships" ref="M1" r:id="rId1"/>
    <hyperlink xmlns:r="http://schemas.openxmlformats.org/officeDocument/2006/relationships" ref="N1" r:id="rId2"/>
  </hyperlinks>
  <pageMargins left="0.75" right="0.75" top="1" bottom="1" header="0.5" footer="0.5"/>
  <pageSetup orientation="landscape" fitToHeight="0" fitToWidth="1"/>
  <headerFooter>
    <oddHeader/>
    <oddFooter>&amp;LOrganika MUV — Competitor Intelligence (confidential draft)&amp;R&amp;P of &amp;N</oddFooter>
    <evenHeader/>
    <evenFooter/>
    <firstHeader/>
    <firstFooter/>
  </headerFooter>
</worksheet>
</file>

<file path=xl/worksheets/sheet27.xml><?xml version="1.0" encoding="utf-8"?>
<worksheet xmlns="http://schemas.openxmlformats.org/spreadsheetml/2006/main">
  <sheetPr>
    <tabColor rgb="001E7D32"/>
    <outlinePr summaryBelow="1" summaryRight="1"/>
    <pageSetUpPr fitToPage="1"/>
  </sheetPr>
  <dimension ref="A1:N38"/>
  <sheetViews>
    <sheetView showGridLines="0" tabSelected="0"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58" customWidth="1" min="3" max="3"/>
  </cols>
  <sheetData>
    <row r="1" ht="30" customHeight="1">
      <c r="A1" s="1" t="inlineStr">
        <is>
          <t>Canada Regulatory Pathway — the decision-critical tab</t>
        </is>
      </c>
      <c r="M1" s="95" t="inlineStr">
        <is>
          <t>🏠 Home</t>
        </is>
      </c>
      <c r="N1" s="95" t="inlineStr">
        <is>
          <t>↩ Contents</t>
        </is>
      </c>
    </row>
    <row r="2" ht="20" customHeight="1">
      <c r="A2" s="14" t="inlineStr">
        <is>
          <t>An RTD collagen can is a FOOD / Supplemented Food (CFIA), NOT an NHP</t>
        </is>
      </c>
    </row>
    <row r="4">
      <c r="A4" s="15" t="inlineStr">
        <is>
          <t>CLASSIFICATION — NHP vs FOOD vs SUPPLEMENTED FOOD</t>
        </is>
      </c>
    </row>
    <row r="5">
      <c r="A5" s="11" t="inlineStr">
        <is>
          <t>Item</t>
        </is>
      </c>
      <c r="B5" s="11" t="inlineStr">
        <is>
          <t>Detail</t>
        </is>
      </c>
      <c r="C5" s="11" t="inlineStr">
        <is>
          <t>Confidence</t>
        </is>
      </c>
    </row>
    <row r="6" ht="46" customHeight="1">
      <c r="A6" s="12" t="inlineStr">
        <is>
          <t>Core finding</t>
        </is>
      </c>
      <c r="B6" s="12" t="inlineStr">
        <is>
          <t>An RTD sparkling beverage looks/packages/consumes like food → regulated as a FOOD by Health Canada Food Directorate + CFIA, OUTSIDE the NHP framework</t>
        </is>
      </c>
      <c r="C6" s="12" t="inlineStr">
        <is>
          <t>HARD (Health Canada guidance)</t>
        </is>
      </c>
    </row>
    <row r="7" ht="46" customHeight="1">
      <c r="A7" s="13" t="inlineStr">
        <is>
          <t>Consequence</t>
        </is>
      </c>
      <c r="B7" s="13" t="inlineStr">
        <is>
          <t>The can generally CANNOT carry an NPN or make NPN-licensed therapeutic/beauty claims. NPNs attach to capsules/tablets/controlled-dose NHPs</t>
        </is>
      </c>
      <c r="C7" s="13" t="inlineStr">
        <is>
          <t>HARD</t>
        </is>
      </c>
    </row>
    <row r="8" ht="46" customHeight="1">
      <c r="A8" s="12" t="inlineStr">
        <is>
          <t>Likely pathway</t>
        </is>
      </c>
      <c r="B8" s="12" t="inlineStr">
        <is>
          <t>A can with added vitamins/minerals/amino acids/electrolytes/caffeine beyond normal food levels = a SUPPLEMENTED FOOD under the Supplemented Foods Regulations (in force Jul 21, 2022)</t>
        </is>
      </c>
      <c r="C8" s="12" t="inlineStr">
        <is>
          <t>HARD</t>
        </is>
      </c>
    </row>
    <row r="9" ht="46" customHeight="1">
      <c r="A9" s="13" t="inlineStr">
        <is>
          <t>What SFR sets</t>
        </is>
      </c>
      <c r="B9" s="13" t="inlineStr">
        <is>
          <t>(a) List of Permitted Supplemental Ingredients w/ max amounts; (b) Supplemented Food Facts table; (c) cautionary statements; (d) Supplemented Food Caution Identifier (SFCI)</t>
        </is>
      </c>
      <c r="C9" s="13" t="inlineStr">
        <is>
          <t>HARD</t>
        </is>
      </c>
    </row>
    <row r="10" ht="46" customHeight="1">
      <c r="A10" s="12" t="inlineStr">
        <is>
          <t>SFCI box</t>
        </is>
      </c>
      <c r="B10" s="12" t="inlineStr">
        <is>
          <t>Black ‘!’ “Supplemented/Supplémenté” box — REQUIRED only when the product needs cautionary statements; cannot be used decoratively. A modest formula may avoid it — confirm per ingredient</t>
        </is>
      </c>
      <c r="C10" s="12" t="inlineStr">
        <is>
          <t>DIRECTIONAL – confirm</t>
        </is>
      </c>
    </row>
    <row r="11" ht="46" customHeight="1">
      <c r="A11" s="13" t="inlineStr">
        <is>
          <t>Compliance dates</t>
        </is>
      </c>
      <c r="B11" s="13" t="inlineStr">
        <is>
          <t>Legacy transition ends Dec 31, 2025; ALL supplemented foods need compliant labels by Jan 1, 2026</t>
        </is>
      </c>
      <c r="C11" s="13" t="inlineStr">
        <is>
          <t>HARD-ish</t>
        </is>
      </c>
    </row>
    <row r="13">
      <c r="A13" s="15" t="inlineStr">
        <is>
          <t>INGREDIENT-SPECIFIC RULES</t>
        </is>
      </c>
    </row>
    <row r="14">
      <c r="A14" s="11" t="inlineStr">
        <is>
          <t>Rule</t>
        </is>
      </c>
      <c r="B14" s="11" t="inlineStr">
        <is>
          <t>Detail</t>
        </is>
      </c>
      <c r="C14" s="11" t="inlineStr">
        <is>
          <t>Confidence</t>
        </is>
      </c>
    </row>
    <row r="15" ht="50" customHeight="1">
      <c r="A15" s="12" t="inlineStr">
        <is>
          <t>Collagen caution (DO NOT MISS)</t>
        </is>
      </c>
      <c r="B15" s="12" t="inlineStr">
        <is>
          <t>Foods with hydrolyzed collagen/gelatin must show on the principal display panel, in same type size as the common name: “CAUTION, DO NOT USE AS SOLE SOURCE OF NUTRITION” (FDR C.R.C. c.870)</t>
        </is>
      </c>
      <c r="C15" s="12" t="inlineStr">
        <is>
          <t>HARD (regulation)</t>
        </is>
      </c>
    </row>
    <row r="16" ht="50" customHeight="1">
      <c r="A16" s="13" t="inlineStr">
        <is>
          <t>Caffeine cap</t>
        </is>
      </c>
      <c r="B16" s="13" t="inlineStr">
        <is>
          <t>Caffeinated supplemented foods: max 180mg/serving &amp; /container — this BLOCKED Prime Energy (200mg). Recommend MUV be caffeine-free to avoid the energy-drink caution regime</t>
        </is>
      </c>
      <c r="C16" s="13" t="inlineStr">
        <is>
          <t>HARD</t>
        </is>
      </c>
    </row>
    <row r="17" ht="50" customHeight="1">
      <c r="A17" s="12" t="inlineStr">
        <is>
          <t>Claims</t>
        </is>
      </c>
      <c r="B17" s="12" t="inlineStr">
        <is>
          <t>“Beauty/skin/anti-aging” structure-function claims are an NHP construct — high-risk on a food/supplemented-food label; only permitted food/function/nutrient-content claims allowed</t>
        </is>
      </c>
      <c r="C17" s="12" t="inlineStr">
        <is>
          <t>DIRECTIONAL – counsel needed</t>
        </is>
      </c>
    </row>
    <row r="19">
      <c r="A19" s="18" t="inlineStr">
        <is>
          <t>LABELLING</t>
        </is>
      </c>
    </row>
    <row r="20">
      <c r="A20" s="11" t="inlineStr">
        <is>
          <t>Item</t>
        </is>
      </c>
      <c r="B20" s="11" t="inlineStr">
        <is>
          <t>Detail</t>
        </is>
      </c>
      <c r="C20" s="11" t="inlineStr">
        <is>
          <t>Confidence</t>
        </is>
      </c>
    </row>
    <row r="21" ht="34" customHeight="1">
      <c r="A21" s="12" t="inlineStr">
        <is>
          <t>Bilingual EN/FR</t>
        </is>
      </c>
      <c r="B21" s="12" t="inlineStr">
        <is>
          <t>Mandatory on all required info incl. Nutrition/Supplemented Food Facts</t>
        </is>
      </c>
      <c r="C21" s="12" t="inlineStr">
        <is>
          <t>HARD</t>
        </is>
      </c>
    </row>
    <row r="22" ht="34" customHeight="1">
      <c r="A22" s="13" t="inlineStr">
        <is>
          <t>Quebec Bill 96 / OQLF</t>
        </is>
      </c>
      <c r="B22" s="13" t="inlineStr">
        <is>
          <t>From Jun 1, 2025 French ≥ as prominent as any other language; trademark descriptors in French; grace to Jun 1, 2027; fines $3,000–$30,000</t>
        </is>
      </c>
      <c r="C22" s="13" t="inlineStr">
        <is>
          <t>DIRECTIONAL</t>
        </is>
      </c>
    </row>
    <row r="23" ht="34" customHeight="1">
      <c r="A23" s="12" t="inlineStr">
        <is>
          <t>Facts table</t>
        </is>
      </c>
      <c r="B23" s="12" t="inlineStr">
        <is>
          <t>Supplemented Food Facts table (bilingual) replaces standard NFt where applicable</t>
        </is>
      </c>
      <c r="C23" s="12" t="inlineStr">
        <is>
          <t>HARD</t>
        </is>
      </c>
    </row>
    <row r="25">
      <c r="A25" s="15" t="inlineStr">
        <is>
          <t>ROUTE COMPARISON</t>
        </is>
      </c>
    </row>
    <row r="26">
      <c r="A26" s="11" t="inlineStr">
        <is>
          <t>Dimension</t>
        </is>
      </c>
      <c r="B26" s="11" t="inlineStr">
        <is>
          <t>NHP route</t>
        </is>
      </c>
      <c r="C26" s="11" t="inlineStr">
        <is>
          <t>Food / Supplemented Food route (MUV)</t>
        </is>
      </c>
    </row>
    <row r="27" ht="30" customHeight="1">
      <c r="A27" s="12" t="inlineStr">
        <is>
          <t>Format</t>
        </is>
      </c>
      <c r="B27" s="12" t="inlineStr">
        <is>
          <t>Capsule/tablet/controlled-dose</t>
        </is>
      </c>
      <c r="C27" s="12" t="inlineStr">
        <is>
          <t>RTD can / beverage ← MUV</t>
        </is>
      </c>
    </row>
    <row r="28" ht="30" customHeight="1">
      <c r="A28" s="13" t="inlineStr">
        <is>
          <t>Pre-market approval</t>
        </is>
      </c>
      <c r="B28" s="13" t="inlineStr">
        <is>
          <t>NPN licensing required</t>
        </is>
      </c>
      <c r="C28" s="13" t="inlineStr">
        <is>
          <t>No NPN; self-comply with SFR</t>
        </is>
      </c>
    </row>
    <row r="29" ht="30" customHeight="1">
      <c r="A29" s="12" t="inlineStr">
        <is>
          <t>Claims</t>
        </is>
      </c>
      <c r="B29" s="12" t="inlineStr">
        <is>
          <t>Monograph/clinical (“beauty from within” possible)</t>
        </is>
      </c>
      <c r="C29" s="12" t="inlineStr">
        <is>
          <t>Limited to permitted food/function claims</t>
        </is>
      </c>
    </row>
    <row r="30" ht="30" customHeight="1">
      <c r="A30" s="13" t="inlineStr">
        <is>
          <t>Label</t>
        </is>
      </c>
      <c r="B30" s="13" t="inlineStr">
        <is>
          <t>NHP facts box + NPN</t>
        </is>
      </c>
      <c r="C30" s="13" t="inlineStr">
        <is>
          <t>Supplemented Food Facts + possible SFCI box + collagen caution</t>
        </is>
      </c>
    </row>
    <row r="31" ht="30" customHeight="1">
      <c r="A31" s="12" t="inlineStr">
        <is>
          <t>Speed to market</t>
        </is>
      </c>
      <c r="B31" s="12" t="inlineStr">
        <is>
          <t>Slower (licensing queue)</t>
        </is>
      </c>
      <c r="C31" s="12" t="inlineStr">
        <is>
          <t>Faster (self-compliance)</t>
        </is>
      </c>
    </row>
    <row r="32" ht="56" customHeight="1">
      <c r="A32" s="6" t="inlineStr">
        <is>
          <t>VERIFY BEFORE ARTWORK (mandatory): (1) whether MUV's exact collagen+electrolyte formula triggers the SFCI caution box; (2) which skin/beauty claim language survives on a food label; (3) tariff status on US-origin inputs post-Dec 16, 2025. Engage Canadian regulatory counsel on the claim set FIRST — it reshapes packaging, marketing, and the entire value proposition.</t>
        </is>
      </c>
      <c r="B32" s="34" t="n"/>
      <c r="C32" s="35" t="n"/>
    </row>
    <row r="34" ht="18" customHeight="1">
      <c r="A34" s="96" t="inlineStr">
        <is>
          <t>MÜV = RTD CAN · SPORT ELECTROLYTES → SUPPLEMENTED FOODS (corrected Jun 2026 — see Canada Regulatory v2)</t>
        </is>
      </c>
    </row>
    <row r="35" ht="44" customHeight="1">
      <c r="A35" s="57" t="inlineStr">
        <is>
          <t>SUPERSEDED — see ‘Canada Regulatory v2’</t>
        </is>
      </c>
      <c r="B35" s="58" t="inlineStr">
        <is>
          <t>This section's earlier “powder = NHP advantage” framing is OUT OF DATE. Health Canada is reclassifying ALL sport-electrolyte products (RTD, powder, effervescent) from NHP to SUPPLEMENTED FOODS. Format is not the regulatory decider — representation + claims are.</t>
        </is>
      </c>
      <c r="C35" s="58" t="inlineStr">
        <is>
          <t>CORRECTED Jun 2026</t>
        </is>
      </c>
    </row>
    <row r="36" ht="44" customHeight="1">
      <c r="A36" s="57" t="inlineStr">
        <is>
          <t>MÜV is an RTD sparkling CAN</t>
        </is>
      </c>
      <c r="B36" s="58" t="inlineStr">
        <is>
          <t>Verified via ingredient list (begins “Carbonated water”) + SKU 4338 / ~$14.99. It is food-coded; treat as a Supplemented Food.</t>
        </is>
      </c>
      <c r="C36" s="58" t="inlineStr">
        <is>
          <t>HARD</t>
        </is>
      </c>
    </row>
    <row r="37" ht="44" customHeight="1">
      <c r="A37" s="57" t="inlineStr">
        <is>
          <t>Sport electrolytes → Supplemented Foods</t>
        </is>
      </c>
      <c r="B37" s="58" t="inlineStr">
        <is>
          <t>Health Canada Public Notice (Apr 2026): transition from NHP to food framework; NPN holders by Dec 31, 2027; NEW products comply with FDR now. ORS (clinical) stays NHP.</t>
        </is>
      </c>
      <c r="C37" s="58" t="inlineStr">
        <is>
          <t>HARD (primary)</t>
        </is>
      </c>
    </row>
    <row r="38" ht="44" customHeight="1">
      <c r="A38" s="57" t="inlineStr">
        <is>
          <t>Collagen is the real NHP trigger</t>
        </is>
      </c>
      <c r="B38" s="58" t="inlineStr">
        <is>
          <t>Electrolyte/hydration claims = food-friendly. Collagen skin/joint/hair/beauty claims = NHP-only. Keep those on Organika's NHP collagen powder, not the MÜV can.</t>
        </is>
      </c>
      <c r="C38" s="58" t="inlineStr">
        <is>
          <t>HARD</t>
        </is>
      </c>
    </row>
  </sheetData>
  <mergeCells count="8">
    <mergeCell ref="A25:C25"/>
    <mergeCell ref="A19:C19"/>
    <mergeCell ref="A13:C13"/>
    <mergeCell ref="A1:C1"/>
    <mergeCell ref="A32:C32"/>
    <mergeCell ref="A34:C34"/>
    <mergeCell ref="A4:C4"/>
    <mergeCell ref="A2:C2"/>
  </mergeCells>
  <hyperlinks>
    <hyperlink xmlns:r="http://schemas.openxmlformats.org/officeDocument/2006/relationships" ref="M1" r:id="rId1"/>
    <hyperlink xmlns:r="http://schemas.openxmlformats.org/officeDocument/2006/relationships" ref="N1" r:id="rId2"/>
  </hyperlinks>
  <pageMargins left="0.75" right="0.75" top="1" bottom="1" header="0.5" footer="0.5"/>
  <pageSetup orientation="landscape" fitToHeight="0" fitToWidth="1"/>
  <headerFooter>
    <oddHeader/>
    <oddFooter>&amp;LOrganika MUV — Competitor Intelligence (confidential draft)&amp;R&amp;P of &amp;N</oddFooter>
    <evenHeader/>
    <evenFooter/>
    <firstHeader/>
    <firstFooter/>
  </headerFooter>
</worksheet>
</file>

<file path=xl/worksheets/sheet28.xml><?xml version="1.0" encoding="utf-8"?>
<worksheet xmlns="http://schemas.openxmlformats.org/spreadsheetml/2006/main">
  <sheetPr>
    <tabColor rgb="001E7D32"/>
    <outlinePr summaryBelow="1" summaryRight="1"/>
    <pageSetUpPr fitToPage="1"/>
  </sheetPr>
  <dimension ref="A1:N31"/>
  <sheetViews>
    <sheetView showGridLines="0" tabSelected="0" workbookViewId="0">
      <selection activeCell="A1" sqref="A1"/>
    </sheetView>
  </sheetViews>
  <sheetFormatPr baseColWidth="8" defaultRowHeight="15"/>
  <cols>
    <col width="20" customWidth="1" min="1" max="1"/>
    <col width="96" customWidth="1" min="2" max="2"/>
    <col width="12" customWidth="1" min="3" max="3"/>
  </cols>
  <sheetData>
    <row r="1" ht="30" customHeight="1">
      <c r="A1" s="1" t="inlineStr">
        <is>
          <t>Canada Regulatory v2 — Sport-Electrolyte Reclassification (2026)</t>
        </is>
      </c>
      <c r="M1" s="95" t="inlineStr">
        <is>
          <t>🏠 Home</t>
        </is>
      </c>
      <c r="N1" s="95" t="inlineStr">
        <is>
          <t>↩ Contents</t>
        </is>
      </c>
    </row>
    <row r="2" ht="20" customHeight="1">
      <c r="A2" s="14" t="inlineStr">
        <is>
          <t>Supersedes the powder/NHP framing on Tab 19. ✅HARD ◐DIRECTIONAL ⚠FLAG</t>
        </is>
      </c>
    </row>
    <row r="4" ht="58" customHeight="1">
      <c r="A4" s="6" t="inlineStr">
        <is>
          <t>HEADLINE: Health Canada Public Notice (Apr 2026) reclassifies ALL sport-electrolyte products — RTD beverages, powders/concentrates AND effervescent tablets — from Natural Health Products (NHP/NPN) to FOODS / Supplemented Foods. Existing NPN holders transition by Dec 31, 2027; NEW products must comply with the Food &amp; Drug Regulations immediately. Oral Rehydration Solutions (clinical) stay NHP.</t>
        </is>
      </c>
      <c r="B4" s="34" t="n"/>
      <c r="C4" s="35" t="n"/>
    </row>
    <row r="5">
      <c r="A5" s="42" t="inlineStr">
        <is>
          <t>FORMAT IS NOT THE DECIDER (the key nuance)</t>
        </is>
      </c>
    </row>
    <row r="6">
      <c r="A6" s="11" t="inlineStr">
        <is>
          <t>Point</t>
        </is>
      </c>
      <c r="B6" s="11" t="inlineStr">
        <is>
          <t>Detail</t>
        </is>
      </c>
      <c r="C6" s="11" t="inlineStr">
        <is>
          <t>Conf.</t>
        </is>
      </c>
    </row>
    <row r="7" ht="44" customHeight="1">
      <c r="A7" s="58" t="inlineStr">
        <is>
          <t>Format ≠ classification</t>
        </is>
      </c>
      <c r="B7" s="58" t="inlineStr">
        <is>
          <t>Per Health Canada's food–NHP interface guidance, even powders &amp; effervescent tablets for reconstitution CAN be foods. Classification weighs representation, composition, format, perception &amp; history — together.</t>
        </is>
      </c>
      <c r="C7" s="58" t="inlineStr">
        <is>
          <t>✅ (primary)</t>
        </is>
      </c>
    </row>
    <row r="8" ht="44" customHeight="1">
      <c r="A8" s="60" t="inlineStr">
        <is>
          <t>What pushes toward FOOD</t>
        </is>
      </c>
      <c r="B8" s="60" t="inlineStr">
        <is>
          <t>Beverage representation; scoop/serving + a Nutrition/Supplemented-Food Facts table; consumed freely like ordinary food/drink.</t>
        </is>
      </c>
      <c r="C8" s="60" t="inlineStr">
        <is>
          <t>✅</t>
        </is>
      </c>
    </row>
    <row r="9" ht="44" customHeight="1">
      <c r="A9" s="58" t="inlineStr">
        <is>
          <t>What pushes toward NHP</t>
        </is>
      </c>
      <c r="B9" s="58" t="inlineStr">
        <is>
          <t>Dosage forms (capsules, single-dose sticks, measured drops) + regimented dosing + defined daily limits + conditions of use + therapeutic/structure-function claims.</t>
        </is>
      </c>
      <c r="C9" s="58" t="inlineStr">
        <is>
          <t>✅</t>
        </is>
      </c>
    </row>
    <row r="10" ht="44" customHeight="1">
      <c r="A10" s="60" t="inlineStr">
        <is>
          <t>So the real driver is CLAIMS</t>
        </is>
      </c>
      <c r="B10" s="60" t="inlineStr">
        <is>
          <t>Electrolyte/hydration framing = food. Collagen skin/joint/hair/beauty claims = NHP-only. The claim, not the powder-vs-RTD format, decides the lane.</t>
        </is>
      </c>
      <c r="C10" s="60" t="inlineStr">
        <is>
          <t>✅</t>
        </is>
      </c>
    </row>
    <row r="11">
      <c r="A11" s="42" t="inlineStr">
        <is>
          <t>CLAIMS FORK</t>
        </is>
      </c>
    </row>
    <row r="12">
      <c r="A12" s="11" t="inlineStr">
        <is>
          <t>If the product is…</t>
        </is>
      </c>
      <c r="B12" s="11" t="inlineStr">
        <is>
          <t>Framework</t>
        </is>
      </c>
      <c r="C12" s="11" t="inlineStr">
        <is>
          <t>Allowed claims</t>
        </is>
      </c>
    </row>
    <row r="13" ht="40" customHeight="1">
      <c r="A13" s="58" t="inlineStr">
        <is>
          <t>Plain electrolyte (can OR powder)</t>
        </is>
      </c>
      <c r="B13" s="58" t="inlineStr">
        <is>
          <t>Supplemented Food</t>
        </is>
      </c>
      <c r="C13" s="58" t="inlineStr">
        <is>
          <t>hydration, “replenish electrolytes”, source-of-magnesium/potassium, sugar-free, nutrient-content &amp; acceptable function claims</t>
        </is>
      </c>
    </row>
    <row r="14" ht="40" customHeight="1">
      <c r="A14" s="60" t="inlineStr">
        <is>
          <t>Electrolyte + collagen w/ beauty/joint claims</t>
        </is>
      </c>
      <c r="B14" s="60" t="inlineStr">
        <is>
          <t>NHP (NPN)</t>
        </is>
      </c>
      <c r="C14" s="60" t="inlineStr">
        <is>
          <t>“supports skin/hair/nails/joints”, collagen structure-function (dose-format powder is the defensible vehicle)</t>
        </is>
      </c>
    </row>
    <row r="15" ht="40" customHeight="1">
      <c r="A15" s="58" t="inlineStr">
        <is>
          <t>Oral rehydration (clinical)</t>
        </is>
      </c>
      <c r="B15" s="58" t="inlineStr">
        <is>
          <t>NHP (NPN)</t>
        </is>
      </c>
      <c r="C15" s="58" t="inlineStr">
        <is>
          <t>therapeutic rehydration</t>
        </is>
      </c>
    </row>
    <row r="16">
      <c r="A16" s="42" t="inlineStr">
        <is>
          <t>SUPPLEMENTED FOODS FRAMEWORK &amp; LABELLING</t>
        </is>
      </c>
    </row>
    <row r="17">
      <c r="A17" s="11" t="inlineStr">
        <is>
          <t>Item</t>
        </is>
      </c>
      <c r="B17" s="11" t="inlineStr">
        <is>
          <t>Requirement</t>
        </is>
      </c>
      <c r="C17" s="11" t="inlineStr">
        <is>
          <t>Conf.</t>
        </is>
      </c>
    </row>
    <row r="18" ht="38" customHeight="1">
      <c r="A18" s="58" t="inlineStr">
        <is>
          <t>Framework</t>
        </is>
      </c>
      <c r="B18" s="58" t="inlineStr">
        <is>
          <t>In force July 21, 2022. Added vitamins/minerals/amino acids per List of Permitted Supplemental Ingredients &amp; Categories.</t>
        </is>
      </c>
      <c r="C18" s="58" t="inlineStr">
        <is>
          <t>✅</t>
        </is>
      </c>
    </row>
    <row r="19" ht="38" customHeight="1">
      <c r="A19" s="60" t="inlineStr">
        <is>
          <t>Supplemented Food Facts table (SFFt)</t>
        </is>
      </c>
      <c r="B19" s="60" t="inlineStr">
        <is>
          <t>Modified Nutrition Facts table with a “Supplemented with” line (name + amount of each supplemental ingredient).</t>
        </is>
      </c>
      <c r="C19" s="60" t="inlineStr">
        <is>
          <t>✅</t>
        </is>
      </c>
    </row>
    <row r="20" ht="38" customHeight="1">
      <c r="A20" s="58" t="inlineStr">
        <is>
          <t>Caution Identifier (SFCI)</t>
        </is>
      </c>
      <c r="B20" s="58" t="inlineStr">
        <is>
          <t>Black-&amp;-white identifier on the principal display panel WHEN cautionary statements are required (children, pregnancy, etc.).</t>
        </is>
      </c>
      <c r="C20" s="58" t="inlineStr">
        <is>
          <t>✅</t>
        </is>
      </c>
    </row>
    <row r="21" ht="38" customHeight="1">
      <c r="A21" s="60" t="inlineStr">
        <is>
          <t>Caffeine</t>
        </is>
      </c>
      <c r="B21" s="60" t="inlineStr">
        <is>
          <t>180 mg cap is PER-SERVING for the caffeinated-beverage category (400 mg/day is the reference). Moot for caffeine-free MÜV.</t>
        </is>
      </c>
      <c r="C21" s="60" t="inlineStr">
        <is>
          <t>✅ (precision)</t>
        </is>
      </c>
    </row>
    <row r="22" ht="38" customHeight="1">
      <c r="A22" s="58" t="inlineStr">
        <is>
          <t>Collagen caution</t>
        </is>
      </c>
      <c r="B22" s="58" t="inlineStr">
        <is>
          <t>If hydrolyzed collagen is present: “CAUTION, DO NOT USE AS SOLE SOURCE OF NUTRITION” on the PDP, same type size as common name (FDR).</t>
        </is>
      </c>
      <c r="C22" s="58" t="inlineStr">
        <is>
          <t>✅</t>
        </is>
      </c>
    </row>
    <row r="23" ht="38" customHeight="1">
      <c r="A23" s="60" t="inlineStr">
        <is>
          <t>Bilingual EN/FR</t>
        </is>
      </c>
      <c r="B23" s="60" t="inlineStr">
        <is>
          <t>Mandatory on all required info incl. the facts table.</t>
        </is>
      </c>
      <c r="C23" s="60" t="inlineStr">
        <is>
          <t>✅</t>
        </is>
      </c>
    </row>
    <row r="24" ht="38" customHeight="1">
      <c r="A24" s="58" t="inlineStr">
        <is>
          <t>Quebec Bill 96 / OQLF</t>
        </is>
      </c>
      <c r="B24" s="58" t="inlineStr">
        <is>
          <t>From Jun 1, 2025 generic/descriptive terms in a trademark need French; “Sparkling Electrolytes” likely needs a French descriptor. Sell-through grace to Jun 1, 2027.</t>
        </is>
      </c>
      <c r="C24" s="58" t="inlineStr">
        <is>
          <t>◐ (trademark call)</t>
        </is>
      </c>
    </row>
    <row r="25">
      <c r="A25" s="42" t="inlineStr">
        <is>
          <t>PRACTICAL TAKEAWAY FOR MÜV</t>
        </is>
      </c>
    </row>
    <row r="26">
      <c r="A26" s="11" t="inlineStr">
        <is>
          <t>Decision</t>
        </is>
      </c>
      <c r="B26" s="11" t="inlineStr">
        <is>
          <t>Guidance</t>
        </is>
      </c>
    </row>
    <row r="27" ht="44" customHeight="1">
      <c r="A27" s="58" t="inlineStr">
        <is>
          <t>Classification</t>
        </is>
      </c>
      <c r="B27" s="58" t="inlineStr">
        <is>
          <t>MÜV (RTD electrolyte can, caffeine-free) = a Supplemented Food. No NPN; SFFt + cautions/SFCI as applicable.</t>
        </is>
      </c>
    </row>
    <row r="28" ht="44" customHeight="1">
      <c r="A28" s="60" t="inlineStr">
        <is>
          <t>Claims</t>
        </is>
      </c>
      <c r="B28" s="60" t="inlineStr">
        <is>
          <t>Hydration/electrolyte/“replenish” + prebiotic-fibre function are safe. Do NOT put collagen beauty/joint claims on the can — keep them on the NHP collagen powder.</t>
        </is>
      </c>
    </row>
    <row r="29" ht="44" customHeight="1">
      <c r="A29" s="58" t="inlineStr">
        <is>
          <t>Format choice</t>
        </is>
      </c>
      <c r="B29" s="58" t="inlineStr">
        <is>
          <t>For a plain electrolyte line, powder vs RTD now sit in the SAME (food) lane — choose on cost/shelf-life/experience, not regulation. Only a collagen-claims strategy argues for a dose-format NHP powder.</t>
        </is>
      </c>
    </row>
    <row r="30" ht="44" customHeight="1">
      <c r="A30" s="60" t="inlineStr">
        <is>
          <t>Timeline</t>
        </is>
      </c>
      <c r="B30" s="60" t="inlineStr">
        <is>
          <t>Design to the food/Supplemented-Food framework from day one to avoid a 2027 relabel; new products must comply with FDR now.</t>
        </is>
      </c>
    </row>
    <row r="31" ht="46" customHeight="1">
      <c r="A31" s="100" t="inlineStr">
        <is>
          <t>OPEN ITEMS ⚠: confirm exact transition date (Dec 31 2027 vs Jan 1 2028) on the canada.ca notice; MÜV's current licensing status (food vs any legacy NPN); verbatim collagen monograph wording; Bill 96 trademark analysis for “MÜV Sparkling Electrolytes”. canada.ca/LNHPD pages block automated fetch (403) — verify on the live primary page before a compliance filing.</t>
        </is>
      </c>
      <c r="B31" s="34" t="n"/>
      <c r="C31" s="35" t="n"/>
    </row>
  </sheetData>
  <mergeCells count="8">
    <mergeCell ref="A25:C25"/>
    <mergeCell ref="A11:C11"/>
    <mergeCell ref="A1:C1"/>
    <mergeCell ref="A5:C5"/>
    <mergeCell ref="A16:C16"/>
    <mergeCell ref="A31:C31"/>
    <mergeCell ref="A4:C4"/>
    <mergeCell ref="A2:C2"/>
  </mergeCells>
  <hyperlinks>
    <hyperlink xmlns:r="http://schemas.openxmlformats.org/officeDocument/2006/relationships" ref="M1" r:id="rId1"/>
    <hyperlink xmlns:r="http://schemas.openxmlformats.org/officeDocument/2006/relationships" ref="N1" r:id="rId2"/>
  </hyperlinks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tabColor rgb="002E7D8A"/>
    <outlinePr summaryBelow="1" summaryRight="1"/>
    <pageSetUpPr fitToPage="1"/>
  </sheetPr>
  <dimension ref="A1:N43"/>
  <sheetViews>
    <sheetView showGridLines="0" tabSelected="0" workbookViewId="0">
      <selection activeCell="A1" sqref="A1"/>
    </sheetView>
  </sheetViews>
  <sheetFormatPr baseColWidth="8" defaultRowHeight="15"/>
  <cols>
    <col width="6" customWidth="1" min="1" max="1"/>
    <col width="110" customWidth="1" min="2" max="2"/>
    <col width="54" customWidth="1" min="3" max="3"/>
    <col width="18" customWidth="1" min="4" max="4"/>
    <col width="28" customWidth="1" min="5" max="5"/>
  </cols>
  <sheetData>
    <row r="1" ht="30" customHeight="1">
      <c r="A1" s="1" t="inlineStr">
        <is>
          <t>Electrolyte / Sparkling / Better-For-You — Canada-First Deep-Dive</t>
        </is>
      </c>
      <c r="M1" s="95" t="inlineStr">
        <is>
          <t>🏠 Home</t>
        </is>
      </c>
      <c r="N1" s="95" t="inlineStr">
        <is>
          <t>↩ Contents</t>
        </is>
      </c>
    </row>
    <row r="2" ht="20" customHeight="1">
      <c r="A2" s="14" t="inlineStr">
        <is>
          <t>Deep-research pass (2026-06-26): MÜV's real competitive lane · ✅HARD ◐DIRECTIONAL ⚠FLAG</t>
        </is>
      </c>
    </row>
    <row r="4" ht="60" customHeight="1">
      <c r="A4" s="6" t="inlineStr">
        <is>
          <t>TWO FINDINGS THAT RESHAPE THE READ: (1) MÜV is a ready-to-drink SPARKLING CAN (verified: ingredient list begins “Carbonated water”, SKU 4338, ~$14.99), not a powder. (2) Canada is moving ALL sport-electrolyte products (RTD, powder, effervescent) from NHP to SUPPLEMENTED FOODS by Dec 31, 2027. So MÜV competes in the daily-wellness sparkling lane and is food-regulated; win on format + Canadian-made, not on collagen-beauty claims.</t>
        </is>
      </c>
      <c r="B4" s="34" t="n"/>
      <c r="C4" s="34" t="n"/>
      <c r="D4" s="34" t="n"/>
      <c r="E4" s="34" t="n"/>
      <c r="F4" s="35" t="n"/>
    </row>
    <row r="5">
      <c r="A5" s="42" t="inlineStr">
        <is>
          <t>1 · MARKET SIZING (Canada-first)</t>
        </is>
      </c>
    </row>
    <row r="6">
      <c r="A6" s="11" t="inlineStr">
        <is>
          <t>Metric</t>
        </is>
      </c>
      <c r="B6" s="11" t="inlineStr">
        <is>
          <t>Value</t>
        </is>
      </c>
      <c r="C6" s="11" t="inlineStr">
        <is>
          <t>Geo</t>
        </is>
      </c>
      <c r="D6" s="11" t="inlineStr">
        <is>
          <t>Conf.</t>
        </is>
      </c>
      <c r="E6" s="11" t="inlineStr">
        <is>
          <t>Source</t>
        </is>
      </c>
    </row>
    <row r="7" ht="30" customHeight="1">
      <c r="A7" s="58" t="inlineStr">
        <is>
          <t>Powdered hydration mixes</t>
        </is>
      </c>
      <c r="B7" s="58" t="inlineStr">
        <is>
          <t>$1.5B (2024), +20% YoY; 4 straight yrs double-digit; units +21.4%</t>
        </is>
      </c>
      <c r="C7" s="58" t="inlineStr">
        <is>
          <t>US</t>
        </is>
      </c>
      <c r="D7" s="58" t="inlineStr">
        <is>
          <t>✅</t>
        </is>
      </c>
      <c r="E7" s="58" t="inlineStr">
        <is>
          <t>Circana via CNN</t>
        </is>
      </c>
    </row>
    <row r="8" ht="30" customHeight="1">
      <c r="A8" s="60" t="inlineStr">
        <is>
          <t>Gatorade powder enhancers</t>
        </is>
      </c>
      <c r="B8" s="60" t="inlineStr">
        <is>
          <t>+200% over 4 years</t>
        </is>
      </c>
      <c r="C8" s="60" t="inlineStr">
        <is>
          <t>US</t>
        </is>
      </c>
      <c r="D8" s="60" t="inlineStr">
        <is>
          <t>✅</t>
        </is>
      </c>
      <c r="E8" s="60" t="inlineStr">
        <is>
          <t>Circana via CNN</t>
        </is>
      </c>
    </row>
    <row r="9" ht="30" customHeight="1">
      <c r="A9" s="58" t="inlineStr">
        <is>
          <t>Electrolyte powder market</t>
        </is>
      </c>
      <c r="B9" s="58" t="inlineStr">
        <is>
          <t>~$8.7B (2024), ~8.8% CAGR to 2030; powder fastest-growing format</t>
        </is>
      </c>
      <c r="C9" s="58" t="inlineStr">
        <is>
          <t>Global</t>
        </is>
      </c>
      <c r="D9" s="58" t="inlineStr">
        <is>
          <t>◐</t>
        </is>
      </c>
      <c r="E9" s="58" t="inlineStr">
        <is>
          <t>Grand View; Mordor</t>
        </is>
      </c>
    </row>
    <row r="10" ht="30" customHeight="1">
      <c r="A10" s="60" t="inlineStr">
        <is>
          <t>NA electrolyte share</t>
        </is>
      </c>
      <c r="B10" s="60" t="inlineStr">
        <is>
          <t>38.2% of global hydration drinks (2024)</t>
        </is>
      </c>
      <c r="C10" s="60" t="inlineStr">
        <is>
          <t>N. America</t>
        </is>
      </c>
      <c r="D10" s="60" t="inlineStr">
        <is>
          <t>◐</t>
        </is>
      </c>
      <c r="E10" s="60" t="inlineStr">
        <is>
          <t>Grand View</t>
        </is>
      </c>
    </row>
    <row r="11" ht="30" customHeight="1">
      <c r="A11" s="58" t="inlineStr">
        <is>
          <t>Canada powdered hydration</t>
        </is>
      </c>
      <c r="B11" s="58" t="inlineStr">
        <is>
          <t>~US$404M → $738.5M (10.7% CAGR)</t>
        </is>
      </c>
      <c r="C11" s="58" t="inlineStr">
        <is>
          <t>Canada</t>
        </is>
      </c>
      <c r="D11" s="58" t="inlineStr">
        <is>
          <t>⚠◐</t>
        </is>
      </c>
      <c r="E11" s="58" t="inlineStr">
        <is>
          <t>Grand View (3rd-party est.)</t>
        </is>
      </c>
    </row>
    <row r="12" ht="30" customHeight="1">
      <c r="A12" s="60" t="inlineStr">
        <is>
          <t>Canada US-proxy cross-check</t>
        </is>
      </c>
      <c r="B12" s="60" t="inlineStr">
        <is>
          <t>~$150M (10% of US $1.5B) — lower than Grand View</t>
        </is>
      </c>
      <c r="C12" s="60" t="inlineStr">
        <is>
          <t>Canada</t>
        </is>
      </c>
      <c r="D12" s="60" t="inlineStr">
        <is>
          <t>⚠</t>
        </is>
      </c>
      <c r="E12" s="60" t="inlineStr">
        <is>
          <t>Derived</t>
        </is>
      </c>
    </row>
    <row r="13" ht="30" customHeight="1">
      <c r="A13" s="58" t="inlineStr">
        <is>
          <t>Liquid I.V.</t>
        </is>
      </c>
      <c r="B13" s="58" t="inlineStr">
        <is>
          <t>#1 US powdered hydration; 2024 intl expansion incl. Canada</t>
        </is>
      </c>
      <c r="C13" s="58" t="inlineStr">
        <is>
          <t>US/Canada</t>
        </is>
      </c>
      <c r="D13" s="58" t="inlineStr">
        <is>
          <t>✅</t>
        </is>
      </c>
      <c r="E13" s="58" t="inlineStr">
        <is>
          <t>CNN; Unilever</t>
        </is>
      </c>
    </row>
    <row r="14">
      <c r="A14" s="42" t="inlineStr">
        <is>
          <t>2 · TRENDS</t>
        </is>
      </c>
    </row>
    <row r="15">
      <c r="A15" s="11" t="inlineStr">
        <is>
          <t>Trend</t>
        </is>
      </c>
      <c r="B15" s="11" t="inlineStr">
        <is>
          <t>Read</t>
        </is>
      </c>
      <c r="C15" s="11" t="inlineStr">
        <is>
          <t>Conf.</t>
        </is>
      </c>
    </row>
    <row r="16" ht="34" customHeight="1">
      <c r="A16" s="58" t="inlineStr">
        <is>
          <t>Electrolyte/hydration boom</t>
        </is>
      </c>
      <c r="B16" s="58" t="inlineStr">
        <is>
          <t>#WaterTok “flavor your water” is the engine behind +20% powder growth; sparkling is a demo-able hero for short-form video</t>
        </is>
      </c>
      <c r="C16" s="58" t="inlineStr">
        <is>
          <t>✅/◐</t>
        </is>
      </c>
    </row>
    <row r="17" ht="34" customHeight="1">
      <c r="A17" s="60" t="inlineStr">
        <is>
          <t>Sugar-free + clean label</t>
        </is>
      </c>
      <c r="B17" s="60" t="inlineStr">
        <is>
          <t>Now table stakes, not a differentiator (stevia, magnesium bisglycinate)</t>
        </is>
      </c>
      <c r="C17" s="60" t="inlineStr">
        <is>
          <t>✅</t>
        </is>
      </c>
    </row>
    <row r="18" ht="34" customHeight="1">
      <c r="A18" s="58" t="inlineStr">
        <is>
          <t>Sodium split</t>
        </is>
      </c>
      <c r="B18" s="58" t="inlineStr">
        <is>
          <t>High-sodium “serious” (LMNT 1,000mg) vs moderate daily-wellness (Liquid I.V. 500mg, Nuun 300mg)</t>
        </is>
      </c>
      <c r="C18" s="58" t="inlineStr">
        <is>
          <t>✅</t>
        </is>
      </c>
    </row>
    <row r="19" ht="34" customHeight="1">
      <c r="A19" s="60" t="inlineStr">
        <is>
          <t>Functional stacking</t>
        </is>
      </c>
      <c r="B19" s="60" t="inlineStr">
        <is>
          <t>Differentiation lives in electrolytes + magnesium + prebiotic fibre (+ collagen on NHP line)</t>
        </is>
      </c>
      <c r="C19" s="60" t="inlineStr">
        <is>
          <t>◐</t>
        </is>
      </c>
    </row>
    <row r="20">
      <c r="A20" s="42" t="inlineStr">
        <is>
          <t>3 · COMPETITOR FORMULATION &amp; PRICE LADDER</t>
        </is>
      </c>
    </row>
    <row r="21">
      <c r="A21" s="11" t="inlineStr">
        <is>
          <t>Brand</t>
        </is>
      </c>
      <c r="B21" s="11" t="inlineStr">
        <is>
          <t>Sodium/serv</t>
        </is>
      </c>
      <c r="C21" s="11" t="inlineStr">
        <is>
          <t>Format</t>
        </is>
      </c>
      <c r="D21" s="11" t="inlineStr">
        <is>
          <t>Price/serv</t>
        </is>
      </c>
      <c r="E21" s="11" t="inlineStr">
        <is>
          <t>Lane</t>
        </is>
      </c>
    </row>
    <row r="22" ht="26" customHeight="1">
      <c r="A22" s="58" t="inlineStr">
        <is>
          <t>LMNT</t>
        </is>
      </c>
      <c r="B22" s="58" t="inlineStr">
        <is>
          <t>1,000 mg</t>
        </is>
      </c>
      <c r="C22" s="58" t="inlineStr">
        <is>
          <t>Powder stick (+Sparkling can)</t>
        </is>
      </c>
      <c r="D22" s="58" t="inlineStr">
        <is>
          <t>~$1.50 ($1.30 sub)</t>
        </is>
      </c>
      <c r="E22" s="58" t="inlineStr">
        <is>
          <t>High-sodium performance/keto</t>
        </is>
      </c>
    </row>
    <row r="23" ht="26" customHeight="1">
      <c r="A23" s="60" t="inlineStr">
        <is>
          <t>Liquid I.V.</t>
        </is>
      </c>
      <c r="B23" s="60" t="inlineStr">
        <is>
          <t>500 mg</t>
        </is>
      </c>
      <c r="C23" s="60" t="inlineStr">
        <is>
          <t>Powder stick</t>
        </is>
      </c>
      <c r="D23" s="60" t="inlineStr">
        <is>
          <t>~$1.56 (~$1.00 Costco)</t>
        </is>
      </c>
      <c r="E23" s="60" t="inlineStr">
        <is>
          <t>Daily wellness</t>
        </is>
      </c>
    </row>
    <row r="24" ht="26" customHeight="1">
      <c r="A24" s="58" t="inlineStr">
        <is>
          <t>Nuun</t>
        </is>
      </c>
      <c r="B24" s="58" t="inlineStr">
        <is>
          <t>300 mg</t>
        </is>
      </c>
      <c r="C24" s="58" t="inlineStr">
        <is>
          <t>Effervescent tablet</t>
        </is>
      </c>
      <c r="D24" s="58" t="inlineStr">
        <is>
          <t>~$0.75</t>
        </is>
      </c>
      <c r="E24" s="58" t="inlineStr">
        <is>
          <t>Everyday / endurance</t>
        </is>
      </c>
    </row>
    <row r="25" ht="26" customHeight="1">
      <c r="A25" s="60" t="inlineStr">
        <is>
          <t>Prime</t>
        </is>
      </c>
      <c r="B25" s="60" t="inlineStr">
        <is>
          <t>low</t>
        </is>
      </c>
      <c r="C25" s="60" t="inlineStr">
        <is>
          <t>RTD + powder</t>
        </is>
      </c>
      <c r="D25" s="60" t="inlineStr">
        <is>
          <t>hype-priced</t>
        </is>
      </c>
      <c r="E25" s="60" t="inlineStr">
        <is>
          <t>Youth / viral</t>
        </is>
      </c>
    </row>
    <row r="26" ht="26" customHeight="1">
      <c r="A26" s="58" t="inlineStr">
        <is>
          <t>BioSteel</t>
        </is>
      </c>
      <c r="B26" s="58" t="inlineStr">
        <is>
          <t>moderate</t>
        </is>
      </c>
      <c r="C26" s="58" t="inlineStr">
        <is>
          <t>Powder / RTD</t>
        </is>
      </c>
      <c r="D26" s="58" t="inlineStr">
        <is>
          <t>mid</t>
        </is>
      </c>
      <c r="E26" s="58" t="inlineStr">
        <is>
          <t>Athletic / “clean sport”</t>
        </is>
      </c>
    </row>
    <row r="27" ht="26" customHeight="1">
      <c r="A27" s="60" t="inlineStr">
        <is>
          <t>Organika electrolyte sachets</t>
        </is>
      </c>
      <c r="B27" s="60" t="inlineStr">
        <is>
          <t>—</t>
        </is>
      </c>
      <c r="C27" s="60" t="inlineStr">
        <is>
          <t>3.5g powder sachets</t>
        </is>
      </c>
      <c r="D27" s="60" t="inlineStr">
        <is>
          <t>~$29.99/30 (Costco)</t>
        </is>
      </c>
      <c r="E27" s="60" t="inlineStr">
        <is>
          <t>Daily, Canadian-made</t>
        </is>
      </c>
    </row>
    <row r="28" ht="26" customHeight="1">
      <c r="A28" s="58" t="inlineStr">
        <is>
          <t>Organika MÜV (this product)</t>
        </is>
      </c>
      <c r="B28" s="58" t="inlineStr">
        <is>
          <t>TBD ⚠</t>
        </is>
      </c>
      <c r="C28" s="58" t="inlineStr">
        <is>
          <t>Sparkling RTD CAN (SKU 4338)</t>
        </is>
      </c>
      <c r="D28" s="58" t="inlineStr">
        <is>
          <t>$14.99 / pack</t>
        </is>
      </c>
      <c r="E28" s="58" t="inlineStr">
        <is>
          <t>Daily-wellness sparkling</t>
        </is>
      </c>
    </row>
    <row r="29" ht="40" customHeight="1">
      <c r="A29" s="17" t="inlineStr">
        <is>
          <t>WHITE SPACE ◐: a flavored SPARKLING electrolyte is genuinely rare (LMNT Sparkling can; Nuun tablets fizz). MÜV's carbonation is a real sensory differentiator that aids flavour release → more consumption, no hydration penalty (Beverage Hydration Index).</t>
        </is>
      </c>
      <c r="B29" s="34" t="n"/>
      <c r="C29" s="34" t="n"/>
      <c r="D29" s="34" t="n"/>
      <c r="E29" s="34" t="n"/>
      <c r="F29" s="35" t="n"/>
    </row>
    <row r="30">
      <c r="A30" s="42" t="inlineStr">
        <is>
          <t>4 · GO-TO-MARKET &amp; THE BIOSTEEL CAUTIONARY TALE</t>
        </is>
      </c>
    </row>
    <row r="31">
      <c r="A31" s="11" t="inlineStr">
        <is>
          <t>Brand / case</t>
        </is>
      </c>
      <c r="B31" s="11" t="inlineStr">
        <is>
          <t>Canada entry</t>
        </is>
      </c>
      <c r="C31" s="11" t="inlineStr">
        <is>
          <t>Lesson</t>
        </is>
      </c>
    </row>
    <row r="32" ht="52" customHeight="1">
      <c r="A32" s="58" t="inlineStr">
        <is>
          <t>Liquid I.V.</t>
        </is>
      </c>
      <c r="B32" s="58" t="inlineStr">
        <is>
          <t>Costco Canada national launch (Jul 2023), tight 2-SKU; festival + Costco roadshow sampling</t>
        </is>
      </c>
      <c r="C32" s="58" t="inlineStr">
        <is>
          <t>Costco = the proven “one big door” beachhead; sampling drives trial</t>
        </is>
      </c>
    </row>
    <row r="33" ht="52" customHeight="1">
      <c r="A33" s="60" t="inlineStr">
        <is>
          <t>LMNT</t>
        </is>
      </c>
      <c r="B33" s="60" t="inlineStr">
        <is>
          <t>Amazon.ca + DTC; podcast sponsorships + “free sample, just pay shipping”</t>
        </is>
      </c>
      <c r="C33" s="60" t="inlineStr">
        <is>
          <t>Cheap, high-ROI trial funnel; borrow it (not the 1,000mg sodium)</t>
        </is>
      </c>
    </row>
    <row r="34" ht="52" customHeight="1">
      <c r="A34" s="58" t="inlineStr">
        <is>
          <t>BioSteel (Canadian)</t>
        </is>
      </c>
      <c r="B34" s="58" t="inlineStr">
        <is>
          <t>Broad omnichannel on NHL/McDavid/Mahomes halo</t>
        </is>
      </c>
      <c r="C34" s="58" t="inlineStr">
        <is>
          <t>⚠ Canopy bought 72% for $50.7M (2019); burned &gt;$3 COGS per $1 rev ($24M rev vs $90M COGS); CCAA bankruptcy Sept 2023; sold ~$30.4M to Crosby/Coachwood; mfg in-housed Windsor 2025; lost NHL to Coke's BodyArmor. MORAL: athlete halo + broad distribution on a heavy cost base = bankruptcy. Velocity &amp; unit economics FIRST.</t>
        </is>
      </c>
    </row>
    <row r="35" ht="52" customHeight="1">
      <c r="A35" s="60" t="inlineStr">
        <is>
          <t>Powder vs RTD economics</t>
        </is>
      </c>
      <c r="B35" s="60" t="inlineStr">
        <is>
          <t>Powder ships ~60–70% cheaper, shelf-stable</t>
        </is>
      </c>
      <c r="C35" s="60" t="inlineStr">
        <is>
          <t>MÜV-the-CAN forgoes that edge → margin case leans on Organika's BC manufacturing</t>
        </is>
      </c>
    </row>
    <row r="36">
      <c r="A36" s="42" t="inlineStr">
        <is>
          <t>5 · RECOMMENDATIONS FOR MÜV (Canada)</t>
        </is>
      </c>
    </row>
    <row r="37">
      <c r="A37" s="11" t="inlineStr">
        <is>
          <t>#</t>
        </is>
      </c>
      <c r="B37" s="11" t="inlineStr">
        <is>
          <t>Recommendation</t>
        </is>
      </c>
    </row>
    <row r="38" ht="40" customHeight="1">
      <c r="A38" s="58" t="inlineStr">
        <is>
          <t>1</t>
        </is>
      </c>
      <c r="B38" s="58" t="inlineStr">
        <is>
          <t>Beachhead = Costco Canada (hero, roadshow sampling) + Amazon.ca / Well.ca / DTC — channels Organika already holds. Prove velocity before national grocery.</t>
        </is>
      </c>
    </row>
    <row r="39" ht="40" customHeight="1">
      <c r="A39" s="60" t="inlineStr">
        <is>
          <t>2</t>
        </is>
      </c>
      <c r="B39" s="60" t="inlineStr">
        <is>
          <t>Position “daily-wellness sparkling hydration, made in Canada” — between Liquid I.V. (flat, foreign-owned) and LMNT (high-sodium performance). Avoid athletic combat with the reviving BioSteel.</t>
        </is>
      </c>
    </row>
    <row r="40" ht="40" customHeight="1">
      <c r="A40" s="58" t="inlineStr">
        <is>
          <t>3</t>
        </is>
      </c>
      <c r="B40" s="58" t="inlineStr">
        <is>
          <t>Design the label to the Supplemented-Food framework NOW (SFFt, front-of-pack symbol, cautions if triggered). Lead with hydration/electrolyte + prebiotic-fibre function.</t>
        </is>
      </c>
    </row>
    <row r="41" ht="40" customHeight="1">
      <c r="A41" s="60" t="inlineStr">
        <is>
          <t>4</t>
        </is>
      </c>
      <c r="B41" s="60" t="inlineStr">
        <is>
          <t>Keep collagen / beauty messaging on the NHP collagen-powder line — NOT on the MÜV can (food-coded, claims restricted).</t>
        </is>
      </c>
    </row>
    <row r="42" ht="40" customHeight="1">
      <c r="A42" s="58" t="inlineStr">
        <is>
          <t>5</t>
        </is>
      </c>
      <c r="B42" s="58" t="inlineStr">
        <is>
          <t>Marketing: borrow LMNT's sample-pack funnel + #WaterTok creators (cheaper than US podcasts); fizz as the demo hero. Lean on BC manufacturing for margin.</t>
        </is>
      </c>
    </row>
    <row r="43" ht="46" customHeight="1">
      <c r="A43" s="100" t="inlineStr">
        <is>
          <t>SOURCES &amp; CONFIDENCE: Circana via CNN (category); Grand View/Mordor (powder market, ◐); organika.com (MÜV SKU 4338, ingredient list); Globe &amp; Mail/CBC/PRNewswire/Coachwood (BioSteel); strategyonline.ca/Unilever (Liquid I.V. Canada); drinklmnt.com/hubermanlab.com (LMNT). Revenue &amp; market-size figures are estimates/projections (⚠). Several canada.ca/retailer pages block automated fetch (403) — confirm load-bearing items on the live page.</t>
        </is>
      </c>
      <c r="B43" s="34" t="n"/>
      <c r="C43" s="34" t="n"/>
      <c r="D43" s="34" t="n"/>
      <c r="E43" s="34" t="n"/>
      <c r="F43" s="35" t="n"/>
    </row>
  </sheetData>
  <mergeCells count="10">
    <mergeCell ref="A2:F2"/>
    <mergeCell ref="A36:F36"/>
    <mergeCell ref="A14:F14"/>
    <mergeCell ref="A1:F1"/>
    <mergeCell ref="A5:F5"/>
    <mergeCell ref="A4:F4"/>
    <mergeCell ref="A20:F20"/>
    <mergeCell ref="A30:F30"/>
    <mergeCell ref="A29:F29"/>
    <mergeCell ref="A43:F43"/>
  </mergeCells>
  <hyperlinks>
    <hyperlink xmlns:r="http://schemas.openxmlformats.org/officeDocument/2006/relationships" ref="M1" r:id="rId1"/>
    <hyperlink xmlns:r="http://schemas.openxmlformats.org/officeDocument/2006/relationships" ref="N1" r:id="rId2"/>
  </hyperlinks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tabColor rgb="00B45309"/>
    <outlinePr summaryBelow="1" summaryRight="1"/>
    <pageSetUpPr fitToPage="1"/>
  </sheetPr>
  <dimension ref="A1:N11"/>
  <sheetViews>
    <sheetView showGridLines="0" tabSelected="0" workbookViewId="0">
      <selection activeCell="A1" sqref="A1"/>
    </sheetView>
  </sheetViews>
  <sheetFormatPr baseColWidth="8" defaultRowHeight="15"/>
  <cols>
    <col width="26" customWidth="1" min="1" max="1"/>
    <col width="92" customWidth="1" min="2" max="2"/>
  </cols>
  <sheetData>
    <row r="1" ht="30" customHeight="1">
      <c r="A1" s="1" t="inlineStr">
        <is>
          <t>MUV Go-to-Market Recommendation</t>
        </is>
      </c>
      <c r="M1" s="95" t="inlineStr">
        <is>
          <t>🏠 Home</t>
        </is>
      </c>
      <c r="N1" s="95" t="inlineStr">
        <is>
          <t>↩ Contents</t>
        </is>
      </c>
    </row>
    <row r="3" ht="52" customHeight="1">
      <c r="A3" s="17" t="inlineStr">
        <is>
          <t>VERDICT: GO — conditional on resolving the Supplemented-Foods claim/label pathway and dosing collagen to a defensible level. The tailwinds are real and Organika has a genuine structural edge in Canada; the risks (collagen efficacy/claims, strategic competition) are manageable with discipline.</t>
        </is>
      </c>
      <c r="B3" s="35" t="n"/>
    </row>
    <row r="4">
      <c r="A4" s="11" t="inlineStr">
        <is>
          <t>Decision</t>
        </is>
      </c>
      <c r="B4" s="11" t="inlineStr">
        <is>
          <t>Recommendation</t>
        </is>
      </c>
    </row>
    <row r="5" ht="78" customHeight="1">
      <c r="A5" s="12" t="inlineStr">
        <is>
          <t>1. Positioning</t>
        </is>
      </c>
      <c r="B5" s="12" t="inlineStr">
        <is>
          <t>Lead with a FUNCTIONAL benefit stack (gut/prebiotic + hydration + a credible collagen dose) under a “by Canada's #1 collagen brand” halo. Avoid narrow beauty-from-within hero claims — the graveyard + 2025 efficacy meta-analysis make it the riskiest lane. Function-stacking also hedges single-fad risk.</t>
        </is>
      </c>
    </row>
    <row r="6" ht="78" customHeight="1">
      <c r="A6" s="13" t="inlineStr">
        <is>
          <t>2. Formulation</t>
        </is>
      </c>
      <c r="B6" s="13" t="inlineStr">
        <is>
          <t>Dose collagen to a substantiable level (2.5g+; positive studies used 2.5–10g/day). Zero/low sugar is table stakes. Add prebiotic fiber for a defensible gut hook (OLIPOP's 9g beat Poppi's 2g in court). Caffeine-free to avoid the 180mg energy-drink caution regime.</t>
        </is>
      </c>
    </row>
    <row r="7" ht="78" customHeight="1">
      <c r="A7" s="12" t="inlineStr">
        <is>
          <t>3. Channel beachhead</t>
        </is>
      </c>
      <c r="B7" s="12" t="inlineStr">
        <is>
          <t>Costco Canada + Amazon.ca + natural channel (Whole Foods CA, Healthy Planet) + Organika's existing pharmacy/health-food/Well.ca base. This mirrors Liquid I.V./Poppi's Canada entry — and Organika already holds the relationships. Do NOT chase national grocery before proving velocity.</t>
        </is>
      </c>
    </row>
    <row r="8" ht="78" customHeight="1">
      <c r="A8" s="13" t="inlineStr">
        <is>
          <t>4. Pricing</t>
        </is>
      </c>
      <c r="B8" s="13" t="inlineStr">
        <is>
          <t>Anchor at/below the ~$3.49 CAD premium-functional shelf norm. Domestic production lets MUV protect margin where imported US brands cannot — a durable advantage. Plan 35–45% trade spend in early scale; use free-fill over cash slotting where possible.</t>
        </is>
      </c>
    </row>
    <row r="9" ht="78" customHeight="1">
      <c r="A9" s="12" t="inlineStr">
        <is>
          <t>5. Marketing</t>
        </is>
      </c>
      <c r="B9" s="12" t="inlineStr">
        <is>
          <t>Run the cheap challenger playbooks: trusted-host podcast sponsorship (LMNT model) + reactive earned-media social (OLIPOP model) + Costco roadshow sampling (Liquid I.V. model). Skip Super Bowl-tier spend. Sell-in to buyers on velocity/repeat data, not taste.</t>
        </is>
      </c>
    </row>
    <row r="10" ht="78" customHeight="1">
      <c r="A10" s="13" t="inlineStr">
        <is>
          <t>6. Claims &amp; legal</t>
        </is>
      </c>
      <c r="B10" s="13" t="inlineStr">
        <is>
          <t>Engage Canadian regulatory counsel on the Supplemented-Foods claim set BEFORE artwork. Build substantiation files. Include the mandatory collagen “do not use as sole source of nutrition” caution. Dose-to-claim discipline is existential (Poppi paid $8.9M).</t>
        </is>
      </c>
    </row>
    <row r="11" ht="78" customHeight="1">
      <c r="A11" s="12" t="inlineStr">
        <is>
          <t>7. Moat &amp; exit</t>
        </is>
      </c>
      <c r="B11" s="12" t="inlineStr">
        <is>
          <t>Differentiate on a real, defensible spec + Canadian-made authenticity + Organika's collagen credibility. Plan for an acquisition-oriented endgame (strategics own the category) while building OLIPOP-style independence optionality through profitability and repeat rate.</t>
        </is>
      </c>
    </row>
  </sheetData>
  <mergeCells count="2">
    <mergeCell ref="A3:B3"/>
    <mergeCell ref="A1:B1"/>
  </mergeCells>
  <hyperlinks>
    <hyperlink xmlns:r="http://schemas.openxmlformats.org/officeDocument/2006/relationships" ref="M1" r:id="rId1"/>
    <hyperlink xmlns:r="http://schemas.openxmlformats.org/officeDocument/2006/relationships" ref="N1" r:id="rId2"/>
  </hyperlinks>
  <pageMargins left="0.75" right="0.75" top="1" bottom="1" header="0.5" footer="0.5"/>
  <pageSetup orientation="landscape" fitToHeight="0" fitToWidth="1"/>
  <headerFooter>
    <oddHeader/>
    <oddFooter>&amp;LOrganika MUV — Competitor Intelligence (confidential draft)&amp;R&amp;P of &amp;N</oddFooter>
    <evenHeader/>
    <evenFooter/>
    <firstHeader/>
    <firstFooter/>
  </headerFooter>
</worksheet>
</file>

<file path=xl/worksheets/sheet31.xml><?xml version="1.0" encoding="utf-8"?>
<worksheet xmlns="http://schemas.openxmlformats.org/spreadsheetml/2006/main">
  <sheetPr>
    <tabColor rgb="00C9A227"/>
    <outlinePr summaryBelow="1" summaryRight="1"/>
    <pageSetUpPr fitToPage="1"/>
  </sheetPr>
  <dimension ref="A1:N16"/>
  <sheetViews>
    <sheetView showGridLines="0" tabSelected="0"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0" customWidth="1" min="3" max="3"/>
    <col width="10" customWidth="1" min="4" max="4"/>
    <col width="10" customWidth="1" min="5" max="5"/>
  </cols>
  <sheetData>
    <row r="1" ht="30" customHeight="1">
      <c r="A1" s="1" t="inlineStr">
        <is>
          <t>Go / No-Go Decision Scorecard</t>
        </is>
      </c>
      <c r="M1" s="95" t="inlineStr">
        <is>
          <t>🏠 Home</t>
        </is>
      </c>
      <c r="N1" s="95" t="inlineStr">
        <is>
          <t>↩ Contents</t>
        </is>
      </c>
    </row>
    <row r="2" ht="20" customHeight="1">
      <c r="A2" s="14" t="inlineStr">
        <is>
          <t>Weighted gate criteria. Edit yellow weight &amp; score (1–5) cells; verdict auto-computes</t>
        </is>
      </c>
    </row>
    <row r="4">
      <c r="A4" s="11" t="inlineStr">
        <is>
          <t>Criterion</t>
        </is>
      </c>
      <c r="B4" s="11" t="inlineStr">
        <is>
          <t>What 'pass' looks like</t>
        </is>
      </c>
      <c r="C4" s="11" t="inlineStr">
        <is>
          <t>Weight</t>
        </is>
      </c>
      <c r="D4" s="11" t="inlineStr">
        <is>
          <t>Score 1–5</t>
        </is>
      </c>
      <c r="E4" s="11" t="inlineStr">
        <is>
          <t>Weighted</t>
        </is>
      </c>
    </row>
    <row r="5" ht="30" customHeight="1">
      <c r="A5" s="57" t="inlineStr">
        <is>
          <t>Market opportunity / tailwinds</t>
        </is>
      </c>
      <c r="B5" s="58" t="inlineStr">
        <is>
          <t>Category growth &amp; white space support entry</t>
        </is>
      </c>
      <c r="C5" s="45" t="n">
        <v>0.15</v>
      </c>
      <c r="D5" s="81" t="n">
        <v>4</v>
      </c>
      <c r="E5" s="82">
        <f>C5*D5</f>
        <v/>
      </c>
    </row>
    <row r="6" ht="30" customHeight="1">
      <c r="A6" s="57" t="inlineStr">
        <is>
          <t>Right to win (Organika assets)</t>
        </is>
      </c>
      <c r="B6" s="58" t="inlineStr">
        <is>
          <t>Domestic mfg, #1 collagen halo, CA shelf relationships</t>
        </is>
      </c>
      <c r="C6" s="45" t="n">
        <v>0.2</v>
      </c>
      <c r="D6" s="81" t="n">
        <v>4</v>
      </c>
      <c r="E6" s="82">
        <f>C6*D6</f>
        <v/>
      </c>
    </row>
    <row r="7" ht="30" customHeight="1">
      <c r="A7" s="57" t="inlineStr">
        <is>
          <t>Claim defensibility / dose</t>
        </is>
      </c>
      <c r="B7" s="58" t="inlineStr">
        <is>
          <t>Substantiable collagen+fiber dose; avoids Poppi-style risk</t>
        </is>
      </c>
      <c r="C7" s="45" t="n">
        <v>0.15</v>
      </c>
      <c r="D7" s="81" t="n">
        <v>3</v>
      </c>
      <c r="E7" s="82">
        <f>C7*D7</f>
        <v/>
      </c>
    </row>
    <row r="8" ht="30" customHeight="1">
      <c r="A8" s="57" t="inlineStr">
        <is>
          <t>Regulatory clarity (Canada)</t>
        </is>
      </c>
      <c r="B8" s="58" t="inlineStr">
        <is>
          <t>Supplemented-Foods pathway resolved with counsel</t>
        </is>
      </c>
      <c r="C8" s="45" t="n">
        <v>0.15</v>
      </c>
      <c r="D8" s="81" t="n">
        <v>3</v>
      </c>
      <c r="E8" s="82">
        <f>C8*D8</f>
        <v/>
      </c>
    </row>
    <row r="9" ht="30" customHeight="1">
      <c r="A9" s="57" t="inlineStr">
        <is>
          <t>Unit economics / margin</t>
        </is>
      </c>
      <c r="B9" s="58" t="inlineStr">
        <is>
          <t>Contribution positive at ≤$3.49 CAD with domestic COGS</t>
        </is>
      </c>
      <c r="C9" s="45" t="n">
        <v>0.15</v>
      </c>
      <c r="D9" s="81" t="n">
        <v>4</v>
      </c>
      <c r="E9" s="82">
        <f>C9*D9</f>
        <v/>
      </c>
    </row>
    <row r="10" ht="30" customHeight="1">
      <c r="A10" s="57" t="inlineStr">
        <is>
          <t>Competitive resilience</t>
        </is>
      </c>
      <c r="B10" s="58" t="inlineStr">
        <is>
          <t>Defensible vs Nestlé/Vital Proteins &amp; private label</t>
        </is>
      </c>
      <c r="C10" s="45" t="n">
        <v>0.1</v>
      </c>
      <c r="D10" s="81" t="n">
        <v>2</v>
      </c>
      <c r="E10" s="82">
        <f>C10*D10</f>
        <v/>
      </c>
    </row>
    <row r="11" ht="30" customHeight="1">
      <c r="A11" s="57" t="inlineStr">
        <is>
          <t>Go-to-market feasibility</t>
        </is>
      </c>
      <c r="B11" s="58" t="inlineStr">
        <is>
          <t>Costco/Amazon/natural beachhead + cheap marketing playbooks</t>
        </is>
      </c>
      <c r="C11" s="45" t="n">
        <v>0.1</v>
      </c>
      <c r="D11" s="81" t="n">
        <v>4</v>
      </c>
      <c r="E11" s="82">
        <f>C11*D11</f>
        <v/>
      </c>
    </row>
    <row r="12">
      <c r="A12" s="40" t="inlineStr">
        <is>
          <t>TOTALS</t>
        </is>
      </c>
      <c r="C12" s="83">
        <f>SUM(C5:C11)</f>
        <v/>
      </c>
      <c r="D12" s="84" t="inlineStr">
        <is>
          <t>Weighted /5 →</t>
        </is>
      </c>
      <c r="E12" s="85">
        <f>SUMPRODUCT(C5:C11,D5:D11)</f>
        <v/>
      </c>
    </row>
    <row r="14">
      <c r="A14" s="40" t="inlineStr">
        <is>
          <t>Auto verdict (thresholds):</t>
        </is>
      </c>
      <c r="C14" s="86">
        <f>IF(E12&gt;=3.5,"GO",IF(E12&gt;=2.8,"GO — conditional","NO-GO / rework"))</f>
        <v/>
      </c>
      <c r="D14" s="34" t="n"/>
      <c r="E14" s="35" t="n"/>
    </row>
    <row r="16" ht="46" customHeight="1">
      <c r="A16" s="17" t="inlineStr">
        <is>
          <t>Current illustrative score lands in “GO — conditional”: the upside (Organika's right-to-win + tailwinds + margin) is strong; the gates to clear are claim/dose defensibility, Canadian regulatory sign-off, and competitive resilience. Recalibrate every yellow cell with your own evidence.</t>
        </is>
      </c>
      <c r="B16" s="34" t="n"/>
      <c r="C16" s="34" t="n"/>
      <c r="D16" s="34" t="n"/>
      <c r="E16" s="34" t="n"/>
      <c r="F16" s="35" t="n"/>
    </row>
  </sheetData>
  <mergeCells count="5">
    <mergeCell ref="A2:F2"/>
    <mergeCell ref="A16:F16"/>
    <mergeCell ref="C14:E14"/>
    <mergeCell ref="A1:F1"/>
    <mergeCell ref="A14:B14"/>
  </mergeCells>
  <conditionalFormatting sqref="E5:E11">
    <cfRule type="dataBar" priority="1">
      <dataBar>
        <cfvo type="num" val="0"/>
        <cfvo type="num" val="5"/>
        <color rgb="002E7D8A"/>
      </dataBar>
    </cfRule>
  </conditionalFormatting>
  <hyperlinks>
    <hyperlink xmlns:r="http://schemas.openxmlformats.org/officeDocument/2006/relationships" ref="M1" r:id="rId1"/>
    <hyperlink xmlns:r="http://schemas.openxmlformats.org/officeDocument/2006/relationships" ref="N1" r:id="rId2"/>
  </hyperlinks>
  <pageMargins left="0.75" right="0.75" top="1" bottom="1" header="0.5" footer="0.5"/>
  <pageSetup orientation="landscape" fitToHeight="0" fitToWidth="1"/>
  <headerFooter>
    <oddHeader/>
    <oddFooter>&amp;LOrganika MUV — Competitor Intelligence (confidential draft)&amp;R&amp;P of &amp;N</oddFooter>
    <evenHeader/>
    <evenFooter/>
    <firstHeader/>
    <firstFooter/>
  </headerFooter>
</worksheet>
</file>

<file path=xl/worksheets/sheet32.xml><?xml version="1.0" encoding="utf-8"?>
<worksheet xmlns="http://schemas.openxmlformats.org/spreadsheetml/2006/main">
  <sheetPr>
    <tabColor rgb="00C9A227"/>
    <outlinePr summaryBelow="1" summaryRight="1"/>
    <pageSetUpPr fitToPage="1"/>
  </sheetPr>
  <dimension ref="A1:N9"/>
  <sheetViews>
    <sheetView showGridLines="0" tabSelected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8" customWidth="1" min="3" max="3"/>
    <col width="30" customWidth="1" min="4" max="4"/>
    <col width="28" customWidth="1" min="5" max="5"/>
    <col width="34" customWidth="1" min="6" max="6"/>
  </cols>
  <sheetData>
    <row r="1" ht="30" customHeight="1">
      <c r="A1" s="1" t="inlineStr">
        <is>
          <t>Competitor Battlecards</t>
        </is>
      </c>
      <c r="M1" s="95" t="inlineStr">
        <is>
          <t>🏠 Home</t>
        </is>
      </c>
      <c r="N1" s="95" t="inlineStr">
        <is>
          <t>↩ Contents</t>
        </is>
      </c>
    </row>
    <row r="2" ht="20" customHeight="1">
      <c r="A2" s="14" t="inlineStr">
        <is>
          <t>One block per key competitor — for sales/exec quick reference</t>
        </is>
      </c>
    </row>
    <row r="4">
      <c r="A4" s="11" t="inlineStr">
        <is>
          <t>Competitor</t>
        </is>
      </c>
      <c r="B4" s="11" t="inlineStr">
        <is>
          <t>Positioning</t>
        </is>
      </c>
      <c r="C4" s="11" t="inlineStr">
        <is>
          <t>Scale / outcome</t>
        </is>
      </c>
      <c r="D4" s="11" t="inlineStr">
        <is>
          <t>Winning play</t>
        </is>
      </c>
      <c r="E4" s="11" t="inlineStr">
        <is>
          <t>Vulnerability</t>
        </is>
      </c>
      <c r="F4" s="11" t="inlineStr">
        <is>
          <t>How MUV beats / borrows</t>
        </is>
      </c>
    </row>
    <row r="5" ht="70" customHeight="1">
      <c r="A5" s="87" t="inlineStr">
        <is>
          <t>POPPI (PepsiCo)</t>
        </is>
      </c>
      <c r="B5" s="58" t="inlineStr">
        <is>
          <t>Prebiotic soda, mass-market</t>
        </is>
      </c>
      <c r="C5" s="58" t="inlineStr">
        <is>
          <t>$1.95B PepsiCo exit (2025); ~$500M rev; ~38% modern-soda share</t>
        </is>
      </c>
      <c r="D5" s="58" t="inlineStr">
        <is>
          <t>TikTok-creator virality + 2 Super Bowls; farmers-mkt→Whole Foods→mass</t>
        </is>
      </c>
      <c r="E5" s="58" t="inlineStr">
        <is>
          <t>2g fiber, $8.9M gut-health settlement — thin claim</t>
        </is>
      </c>
      <c r="F5" s="88" t="inlineStr">
        <is>
          <t>Out-claim on dose + Canadian-made; they can't match domestic authenticity</t>
        </is>
      </c>
    </row>
    <row r="6" ht="70" customHeight="1">
      <c r="A6" s="89" t="inlineStr">
        <is>
          <t>OLIPOP</t>
        </is>
      </c>
      <c r="B6" s="60" t="inlineStr">
        <is>
          <t>Prebiotic 'new soda', 9g fiber</t>
        </is>
      </c>
      <c r="C6" s="60" t="inlineStr">
        <is>
          <t>$1.85B val (2025), independent, cash-profitable; ~$400M rev</t>
        </is>
      </c>
      <c r="D6" s="60" t="inlineStr">
        <is>
          <t>Natural-channel seeding + 'astronomical repurchase' sell-in</t>
        </is>
      </c>
      <c r="E6" s="60" t="inlineStr">
        <is>
          <t>Premium $3/can; single category; no strategic distribution</t>
        </is>
      </c>
      <c r="F6" s="88" t="inlineStr">
        <is>
          <t>Match fiber credibility; beat on collagen+hydration stack &amp; price</t>
        </is>
      </c>
    </row>
    <row r="7" ht="70" customHeight="1">
      <c r="A7" s="87" t="inlineStr">
        <is>
          <t>VITAL PROTEINS Sparkling (Nestlé)</t>
        </is>
      </c>
      <c r="B7" s="58" t="inlineStr">
        <is>
          <t>Collagen sparkling, beauty-from-within</t>
        </is>
      </c>
      <c r="C7" s="58" t="inlineStr">
        <is>
          <t>Nestlé-owned; #1 collagen halo; $2.50/can mass price</t>
        </is>
      </c>
      <c r="D7" s="58" t="inlineStr">
        <is>
          <t>Big-brand distribution + clinical VERISOL claim</t>
        </is>
      </c>
      <c r="E7" s="58" t="inlineStr">
        <is>
          <t>2025 meta-analysis: no proven skin benefit; new format unproven</t>
        </is>
      </c>
      <c r="F7" s="88" t="inlineStr">
        <is>
          <t>Function-forward (gut+hydration) not pure beauty; domestic cost edge; avoid their efficacy-claim exposure</t>
        </is>
      </c>
    </row>
    <row r="8" ht="70" customHeight="1">
      <c r="A8" s="89" t="inlineStr">
        <is>
          <t>LMNT</t>
        </is>
      </c>
      <c r="B8" s="60" t="inlineStr">
        <is>
          <t>Zero-sugar high-sodium electrolyte</t>
        </is>
      </c>
      <c r="C8" s="60" t="inlineStr">
        <is>
          <t>$206M sales (2023), ~20% net margin, independent</t>
        </is>
      </c>
      <c r="D8" s="60" t="inlineStr">
        <is>
          <t>Podcast host-reads + free-sample funnel; DTC/subscription</t>
        </is>
      </c>
      <c r="E8" s="60" t="inlineStr">
        <is>
          <t>Polarizing sodium; powder not RTD; niche</t>
        </is>
      </c>
      <c r="F8" s="88" t="inlineStr">
        <is>
          <t>Borrow the cheap podcast + sampling playbook for MUV's beachhead</t>
        </is>
      </c>
    </row>
    <row r="9" ht="70" customHeight="1">
      <c r="A9" s="87" t="inlineStr">
        <is>
          <t>LIQUID I.V. (Unilever)</t>
        </is>
      </c>
      <c r="B9" s="58" t="inlineStr">
        <is>
          <t>Hydration multiplier powder</t>
        </is>
      </c>
      <c r="C9" s="58" t="inlineStr">
        <is>
          <t>Unilever; $1B+ brand; 80,000+ US doors; Costco engine</t>
        </is>
      </c>
      <c r="D9" s="58" t="inlineStr">
        <is>
          <t>Costco roadshow sampling + POS-data sell-in</t>
        </is>
      </c>
      <c r="E9" s="58" t="inlineStr">
        <is>
          <t>Sugar content; undifferentiated vs new entrants</t>
        </is>
      </c>
      <c r="F9" s="88" t="inlineStr">
        <is>
          <t>Copy the Costco-Canada sampling beachhead they used to enter Canada in 2023</t>
        </is>
      </c>
    </row>
  </sheetData>
  <mergeCells count="2">
    <mergeCell ref="A2:F2"/>
    <mergeCell ref="A1:F1"/>
  </mergeCells>
  <hyperlinks>
    <hyperlink xmlns:r="http://schemas.openxmlformats.org/officeDocument/2006/relationships" ref="M1" r:id="rId1"/>
    <hyperlink xmlns:r="http://schemas.openxmlformats.org/officeDocument/2006/relationships" ref="N1" r:id="rId2"/>
  </hyperlinks>
  <pageMargins left="0.75" right="0.75" top="1" bottom="1" header="0.5" footer="0.5"/>
  <pageSetup orientation="landscape" fitToHeight="0" fitToWidth="1"/>
  <headerFooter>
    <oddHeader/>
    <oddFooter>&amp;LOrganika MUV — Competitor Intelligence (confidential draft)&amp;R&amp;P of &amp;N</oddFooter>
    <evenHeader/>
    <evenFooter/>
    <firstHeader/>
    <firstFooter/>
  </headerFooter>
</worksheet>
</file>

<file path=xl/worksheets/sheet33.xml><?xml version="1.0" encoding="utf-8"?>
<worksheet xmlns="http://schemas.openxmlformats.org/spreadsheetml/2006/main">
  <sheetPr>
    <tabColor rgb="00B45309"/>
    <outlinePr summaryBelow="1" summaryRight="1"/>
    <pageSetUpPr fitToPage="1"/>
  </sheetPr>
  <dimension ref="A1:N7"/>
  <sheetViews>
    <sheetView showGridLines="0" tabSelected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30" customWidth="1" min="3" max="3"/>
    <col width="46" customWidth="1" min="4" max="4"/>
    <col width="30" customWidth="1" min="5" max="5"/>
  </cols>
  <sheetData>
    <row r="1" ht="30" customHeight="1">
      <c r="A1" s="1" t="inlineStr">
        <is>
          <t>Phased Launch Plan (0–18 months)</t>
        </is>
      </c>
      <c r="M1" s="95" t="inlineStr">
        <is>
          <t>🏠 Home</t>
        </is>
      </c>
      <c r="N1" s="95" t="inlineStr">
        <is>
          <t>↩ Contents</t>
        </is>
      </c>
    </row>
    <row r="3">
      <c r="A3" s="11" t="inlineStr">
        <is>
          <t>Phase</t>
        </is>
      </c>
      <c r="B3" s="11" t="inlineStr">
        <is>
          <t>Timing</t>
        </is>
      </c>
      <c r="C3" s="11" t="inlineStr">
        <is>
          <t>Objectives</t>
        </is>
      </c>
      <c r="D3" s="11" t="inlineStr">
        <is>
          <t>Key workstreams</t>
        </is>
      </c>
      <c r="E3" s="11" t="inlineStr">
        <is>
          <t>Success gate</t>
        </is>
      </c>
    </row>
    <row r="4" ht="80" customHeight="1">
      <c r="A4" s="12" t="inlineStr">
        <is>
          <t>Phase 0 — Foundation</t>
        </is>
      </c>
      <c r="B4" s="12" t="inlineStr">
        <is>
          <t>Months 0–3</t>
        </is>
      </c>
      <c r="C4" s="12" t="inlineStr">
        <is>
          <t>Lock product, claims, regulatory pathway, co-pack</t>
        </is>
      </c>
      <c r="D4" s="12" t="inlineStr">
        <is>
          <t>Finalize formula &amp; collagen dose; regulatory-counsel claim opinion (Supplemented Foods); co-packer quote &amp; MOQ; bilingual + Bill 96 artwork; brand/positioning</t>
        </is>
      </c>
      <c r="E4" s="12" t="inlineStr">
        <is>
          <t>Regulatory sign-off on claim set + artwork approved</t>
        </is>
      </c>
    </row>
    <row r="5" ht="80" customHeight="1">
      <c r="A5" s="13" t="inlineStr">
        <is>
          <t>Phase 1 — Beachhead</t>
        </is>
      </c>
      <c r="B5" s="13" t="inlineStr">
        <is>
          <t>Months 3–9</t>
        </is>
      </c>
      <c r="C5" s="13" t="inlineStr">
        <is>
          <t>Prove velocity &amp; repeat in a contained beachhead</t>
        </is>
      </c>
      <c r="D5" s="13" t="inlineStr">
        <is>
          <t>Costco CA roadshows + Amazon.ca + Well.ca/Natura + Organika pharmacy/health-food base; podcast + reactive social; sampling</t>
        </is>
      </c>
      <c r="E5" s="13" t="inlineStr">
        <is>
          <t>Repeat rate + velocity above category benchmark</t>
        </is>
      </c>
    </row>
    <row r="6" ht="80" customHeight="1">
      <c r="A6" s="12" t="inlineStr">
        <is>
          <t>Phase 2 — Scale</t>
        </is>
      </c>
      <c r="B6" s="12" t="inlineStr">
        <is>
          <t>Months 9–18</t>
        </is>
      </c>
      <c r="C6" s="12" t="inlineStr">
        <is>
          <t>Earn conventional grocery on proven data</t>
        </is>
      </c>
      <c r="D6" s="12" t="inlineStr">
        <is>
          <t>Sell-in to Loblaw/Sobeys/Metro on velocity data; distributor (UNFI CA / Tree of Life); managed trade spend; add SKUs on repeat data</t>
        </is>
      </c>
      <c r="E6" s="12" t="inlineStr">
        <is>
          <t>National listings won on data, not discounts</t>
        </is>
      </c>
    </row>
    <row r="7" ht="80" customHeight="1">
      <c r="A7" s="13" t="inlineStr">
        <is>
          <t>Phase 3 — Defend &amp; extend</t>
        </is>
      </c>
      <c r="B7" s="13" t="inlineStr">
        <is>
          <t>18 mo+</t>
        </is>
      </c>
      <c r="C7" s="13" t="inlineStr">
        <is>
          <t>Category leadership &amp; optionality</t>
        </is>
      </c>
      <c r="D7" s="13" t="inlineStr">
        <is>
          <t>Format/flavour extensions; deepen moat; evaluate strategic-partner vs independent scale</t>
        </is>
      </c>
      <c r="E7" s="13" t="inlineStr">
        <is>
          <t>Profitable contribution + exit optionality</t>
        </is>
      </c>
    </row>
  </sheetData>
  <mergeCells count="1">
    <mergeCell ref="A1:E1"/>
  </mergeCells>
  <hyperlinks>
    <hyperlink xmlns:r="http://schemas.openxmlformats.org/officeDocument/2006/relationships" ref="M1" r:id="rId1"/>
    <hyperlink xmlns:r="http://schemas.openxmlformats.org/officeDocument/2006/relationships" ref="N1" r:id="rId2"/>
  </hyperlinks>
  <pageMargins left="0.75" right="0.75" top="1" bottom="1" header="0.5" footer="0.5"/>
  <pageSetup orientation="landscape" fitToHeight="0" fitToWidth="1"/>
  <headerFooter>
    <oddHeader/>
    <oddFooter>&amp;LOrganika MUV — Competitor Intelligence (confidential draft)&amp;R&amp;P of &amp;N</oddFooter>
    <evenHeader/>
    <evenFooter/>
    <firstHeader/>
    <firstFooter/>
  </headerFooter>
</worksheet>
</file>

<file path=xl/worksheets/sheet34.xml><?xml version="1.0" encoding="utf-8"?>
<worksheet xmlns="http://schemas.openxmlformats.org/spreadsheetml/2006/main">
  <sheetPr>
    <tabColor rgb="00B45309"/>
    <outlinePr summaryBelow="1" summaryRight="1"/>
    <pageSetUpPr fitToPage="1"/>
  </sheetPr>
  <dimension ref="A1:N24"/>
  <sheetViews>
    <sheetView showGridLines="0" tabSelected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38" customWidth="1" min="2" max="2"/>
    <col width="16" customWidth="1" min="3" max="3"/>
    <col width="12" customWidth="1" min="4" max="4"/>
    <col width="10" customWidth="1" min="5" max="5"/>
    <col width="44" customWidth="1" min="6" max="6"/>
  </cols>
  <sheetData>
    <row r="1" ht="30" customHeight="1">
      <c r="A1" s="1" t="inlineStr">
        <is>
          <t>Risk Register</t>
        </is>
      </c>
      <c r="M1" s="95" t="inlineStr">
        <is>
          <t>🏠 Home</t>
        </is>
      </c>
      <c r="N1" s="95" t="inlineStr">
        <is>
          <t>↩ Contents</t>
        </is>
      </c>
    </row>
    <row r="2" ht="20" customHeight="1">
      <c r="A2" s="14" t="inlineStr">
        <is>
          <t>Likelihood × Impact (H/M/L). Ranked by exposure</t>
        </is>
      </c>
    </row>
    <row r="4">
      <c r="A4" s="11" t="inlineStr">
        <is>
          <t>#</t>
        </is>
      </c>
      <c r="B4" s="11" t="inlineStr">
        <is>
          <t>Risk</t>
        </is>
      </c>
      <c r="C4" s="11" t="inlineStr">
        <is>
          <t>Category</t>
        </is>
      </c>
      <c r="D4" s="11" t="inlineStr">
        <is>
          <t>Likelihood</t>
        </is>
      </c>
      <c r="E4" s="11" t="inlineStr">
        <is>
          <t>Impact</t>
        </is>
      </c>
      <c r="F4" s="11" t="inlineStr">
        <is>
          <t>Mitigation</t>
        </is>
      </c>
    </row>
    <row r="5" ht="46" customHeight="1">
      <c r="A5" s="12" t="n">
        <v>1</v>
      </c>
      <c r="B5" s="12" t="inlineStr">
        <is>
          <t>Collagen efficacy / claims liability (2025 meta-analysis; Poppi-style dose-insufficiency suit)</t>
        </is>
      </c>
      <c r="C5" s="12" t="inlineStr">
        <is>
          <t>Regulatory/Legal</t>
        </is>
      </c>
      <c r="D5" s="31" t="inlineStr">
        <is>
          <t>High</t>
        </is>
      </c>
      <c r="E5" s="31" t="inlineStr">
        <is>
          <t>High</t>
        </is>
      </c>
      <c r="F5" s="12" t="inlineStr">
        <is>
          <t>Dose to efficacy (2.5g+); structure/function-safe language; substantiation files; lead with gut/hydration not beauty</t>
        </is>
      </c>
    </row>
    <row r="6" ht="46" customHeight="1">
      <c r="A6" s="13" t="n">
        <v>2</v>
      </c>
      <c r="B6" s="13" t="inlineStr">
        <is>
          <t>Strategic-owned competition (Nestlé owns Vital Proteins; PepsiCo/Unilever firepower)</t>
        </is>
      </c>
      <c r="C6" s="13" t="inlineStr">
        <is>
          <t>Competitive</t>
        </is>
      </c>
      <c r="D6" s="31" t="inlineStr">
        <is>
          <t>High</t>
        </is>
      </c>
      <c r="E6" s="31" t="inlineStr">
        <is>
          <t>High</t>
        </is>
      </c>
      <c r="F6" s="13" t="inlineStr">
        <is>
          <t>Compete on Canadian-made + domestic cost edge + Organika collagen credibility; niche beachhead before they react</t>
        </is>
      </c>
    </row>
    <row r="7" ht="46" customHeight="1">
      <c r="A7" s="12" t="n">
        <v>3</v>
      </c>
      <c r="B7" s="12" t="inlineStr">
        <is>
          <t>Canada claim/label pathway misread (food vs NHP; SFCI; collagen caution)</t>
        </is>
      </c>
      <c r="C7" s="12" t="inlineStr">
        <is>
          <t>Regulatory</t>
        </is>
      </c>
      <c r="D7" s="32" t="inlineStr">
        <is>
          <t>Med</t>
        </is>
      </c>
      <c r="E7" s="31" t="inlineStr">
        <is>
          <t>High</t>
        </is>
      </c>
      <c r="F7" s="12" t="inlineStr">
        <is>
          <t>Regulatory-counsel opinion before artwork; design to Supplemented Foods framework; caffeine-free</t>
        </is>
      </c>
    </row>
    <row r="8" ht="46" customHeight="1">
      <c r="A8" s="13" t="n">
        <v>4</v>
      </c>
      <c r="B8" s="13" t="inlineStr">
        <is>
          <t>Over-distribution before product-market fit</t>
        </is>
      </c>
      <c r="C8" s="13" t="inlineStr">
        <is>
          <t>Execution</t>
        </is>
      </c>
      <c r="D8" s="32" t="inlineStr">
        <is>
          <t>Med</t>
        </is>
      </c>
      <c r="E8" s="31" t="inlineStr">
        <is>
          <t>High</t>
        </is>
      </c>
      <c r="F8" s="13" t="inlineStr">
        <is>
          <t>Prove velocity/repeat in beachhead before national; gate Phase 2 on data</t>
        </is>
      </c>
    </row>
    <row r="9" ht="46" customHeight="1">
      <c r="A9" s="12" t="n">
        <v>5</v>
      </c>
      <c r="B9" s="12" t="inlineStr">
        <is>
          <t>Slotting / trade-spend cash burn</t>
        </is>
      </c>
      <c r="C9" s="12" t="inlineStr">
        <is>
          <t>Financial</t>
        </is>
      </c>
      <c r="D9" s="32" t="inlineStr">
        <is>
          <t>Med</t>
        </is>
      </c>
      <c r="E9" s="31" t="inlineStr">
        <is>
          <t>High</t>
        </is>
      </c>
      <c r="F9" s="12" t="inlineStr">
        <is>
          <t>Use free-fill over cash slotting; 35–45% trade-spend budget; Code of Conduct leverage on arbitrary fees</t>
        </is>
      </c>
    </row>
    <row r="10" ht="46" customHeight="1">
      <c r="A10" s="13" t="n">
        <v>6</v>
      </c>
      <c r="B10" s="13" t="inlineStr">
        <is>
          <t>Thin differentiation / shelf saturation (prebiotic shelf filling fast)</t>
        </is>
      </c>
      <c r="C10" s="13" t="inlineStr">
        <is>
          <t>Category</t>
        </is>
      </c>
      <c r="D10" s="32" t="inlineStr">
        <is>
          <t>Med</t>
        </is>
      </c>
      <c r="E10" s="32" t="inlineStr">
        <is>
          <t>Med</t>
        </is>
      </c>
      <c r="F10" s="13" t="inlineStr">
        <is>
          <t>Defensible spec (fiber + collagen dose) + function stacking; Canadian-made story</t>
        </is>
      </c>
    </row>
    <row r="11" ht="46" customHeight="1">
      <c r="A11" s="12" t="n">
        <v>7</v>
      </c>
      <c r="B11" s="12" t="inlineStr">
        <is>
          <t>Private-label encroachment (~$277B, ~21% share, growing 2×)</t>
        </is>
      </c>
      <c r="C11" s="12" t="inlineStr">
        <is>
          <t>Category</t>
        </is>
      </c>
      <c r="D11" s="32" t="inlineStr">
        <is>
          <t>Med</t>
        </is>
      </c>
      <c r="E11" s="32" t="inlineStr">
        <is>
          <t>Med</t>
        </is>
      </c>
      <c r="F11" s="12" t="inlineStr">
        <is>
          <t>Brand equity + clinical-grade ingredients retailers can't easily copy</t>
        </is>
      </c>
    </row>
    <row r="12" ht="46" customHeight="1">
      <c r="A12" s="13" t="n">
        <v>8</v>
      </c>
      <c r="B12" s="13" t="inlineStr">
        <is>
          <t>DTC CAC / heavy-ship economics if DTC-led</t>
        </is>
      </c>
      <c r="C12" s="13" t="inlineStr">
        <is>
          <t>Financial</t>
        </is>
      </c>
      <c r="D12" s="32" t="inlineStr">
        <is>
          <t>Med</t>
        </is>
      </c>
      <c r="E12" s="32" t="inlineStr">
        <is>
          <t>Med</t>
        </is>
      </c>
      <c r="F12" s="13" t="inlineStr">
        <is>
          <t>Lead retail/beachhead not paid DTC; subscription + sampling only</t>
        </is>
      </c>
    </row>
    <row r="13" ht="46" customHeight="1">
      <c r="A13" s="12" t="n">
        <v>9</v>
      </c>
      <c r="B13" s="12" t="inlineStr">
        <is>
          <t>Co-packer capacity / collagen sourcing / cost inflation</t>
        </is>
      </c>
      <c r="C13" s="12" t="inlineStr">
        <is>
          <t>Operations</t>
        </is>
      </c>
      <c r="D13" s="32" t="inlineStr">
        <is>
          <t>Med</t>
        </is>
      </c>
      <c r="E13" s="32" t="inlineStr">
        <is>
          <t>Med</t>
        </is>
      </c>
      <c r="F13" s="12" t="inlineStr">
        <is>
          <t>Lock co-pack capacity early; qualify 2nd collagen supplier; hedge raws</t>
        </is>
      </c>
    </row>
    <row r="14" ht="46" customHeight="1">
      <c r="A14" s="13" t="n">
        <v>10</v>
      </c>
      <c r="B14" s="13" t="inlineStr">
        <is>
          <t>FX / tariff / freight premium on cross-border inputs</t>
        </is>
      </c>
      <c r="C14" s="13" t="inlineStr">
        <is>
          <t>Financial</t>
        </is>
      </c>
      <c r="D14" s="32" t="inlineStr">
        <is>
          <t>Med</t>
        </is>
      </c>
      <c r="E14" s="32" t="inlineStr">
        <is>
          <t>Med</t>
        </is>
      </c>
      <c r="F14" s="13" t="inlineStr">
        <is>
          <t>Domestic CA co-pack; monitor tariff status post-Dec 2025</t>
        </is>
      </c>
    </row>
    <row r="15" ht="46" customHeight="1">
      <c r="A15" s="12" t="n">
        <v>11</v>
      </c>
      <c r="B15" s="12" t="inlineStr">
        <is>
          <t>GLP-1 demand shift away from sweet/snack</t>
        </is>
      </c>
      <c r="C15" s="12" t="inlineStr">
        <is>
          <t>Macro</t>
        </is>
      </c>
      <c r="D15" s="32" t="inlineStr">
        <is>
          <t>Med</t>
        </is>
      </c>
      <c r="E15" s="33" t="inlineStr">
        <is>
          <t>Low</t>
        </is>
      </c>
      <c r="F15" s="12" t="inlineStr">
        <is>
          <t>Low-cal, fiber, protein, hydration positioning aligns with GLP-1 users</t>
        </is>
      </c>
    </row>
    <row r="16" ht="46" customHeight="1">
      <c r="A16" s="13" t="n">
        <v>12</v>
      </c>
      <c r="B16" s="13" t="inlineStr">
        <is>
          <t>Brand/tone misstep at scale</t>
        </is>
      </c>
      <c r="C16" s="13" t="inlineStr">
        <is>
          <t>Brand</t>
        </is>
      </c>
      <c r="D16" s="33" t="inlineStr">
        <is>
          <t>Low</t>
        </is>
      </c>
      <c r="E16" s="32" t="inlineStr">
        <is>
          <t>Med</t>
        </is>
      </c>
      <c r="F16" s="13" t="inlineStr">
        <is>
          <t>Evolve tactics with stage; avoid Poppi-style stunts once mainstream</t>
        </is>
      </c>
    </row>
    <row r="19">
      <c r="A19" s="138" t="inlineStr">
        <is>
          <t>LIKELIHOOD × IMPACT HEATMAP (risk #s placed by rating)</t>
        </is>
      </c>
    </row>
    <row r="20">
      <c r="A20" s="148" t="inlineStr">
        <is>
          <t>Impact ↓ / Likelihood →</t>
        </is>
      </c>
      <c r="B20" s="149" t="inlineStr">
        <is>
          <t>Low</t>
        </is>
      </c>
      <c r="C20" s="149" t="inlineStr">
        <is>
          <t>Med</t>
        </is>
      </c>
      <c r="D20" s="149" t="inlineStr">
        <is>
          <t>High</t>
        </is>
      </c>
    </row>
    <row r="21" ht="24" customHeight="1">
      <c r="A21" s="149" t="inlineStr">
        <is>
          <t>High</t>
        </is>
      </c>
      <c r="B21" s="150" t="inlineStr">
        <is>
          <t>—</t>
        </is>
      </c>
      <c r="C21" s="151" t="inlineStr">
        <is>
          <t>3, 4, 5</t>
        </is>
      </c>
      <c r="D21" s="151" t="inlineStr">
        <is>
          <t>1, 2</t>
        </is>
      </c>
    </row>
    <row r="22" ht="24" customHeight="1">
      <c r="A22" s="149" t="inlineStr">
        <is>
          <t>Med</t>
        </is>
      </c>
      <c r="B22" s="152" t="inlineStr">
        <is>
          <t>12</t>
        </is>
      </c>
      <c r="C22" s="150" t="inlineStr">
        <is>
          <t>6,7,8,9,10</t>
        </is>
      </c>
      <c r="D22" s="151" t="inlineStr">
        <is>
          <t>—</t>
        </is>
      </c>
    </row>
    <row r="23" ht="24" customHeight="1">
      <c r="A23" s="149" t="inlineStr">
        <is>
          <t>Low</t>
        </is>
      </c>
      <c r="B23" s="152" t="inlineStr">
        <is>
          <t>—</t>
        </is>
      </c>
      <c r="C23" s="152" t="inlineStr">
        <is>
          <t>11</t>
        </is>
      </c>
      <c r="D23" s="150" t="inlineStr">
        <is>
          <t>—</t>
        </is>
      </c>
    </row>
    <row r="24">
      <c r="A24" s="133" t="inlineStr">
        <is>
          <t>Red = act now · Amber = manage · Green = monitor. Numbers refer to the risk # in the table above.</t>
        </is>
      </c>
    </row>
  </sheetData>
  <mergeCells count="4">
    <mergeCell ref="A19:F19"/>
    <mergeCell ref="A2:F2"/>
    <mergeCell ref="A1:F1"/>
    <mergeCell ref="A24:F24"/>
  </mergeCells>
  <hyperlinks>
    <hyperlink xmlns:r="http://schemas.openxmlformats.org/officeDocument/2006/relationships" ref="M1" r:id="rId1"/>
    <hyperlink xmlns:r="http://schemas.openxmlformats.org/officeDocument/2006/relationships" ref="N1" r:id="rId2"/>
  </hyperlinks>
  <pageMargins left="0.75" right="0.75" top="1" bottom="1" header="0.5" footer="0.5"/>
  <pageSetup orientation="landscape" fitToHeight="0" fitToWidth="1"/>
  <headerFooter>
    <oddHeader/>
    <oddFooter>&amp;LOrganika MUV — Competitor Intelligence (confidential draft)&amp;R&amp;P of &amp;N</oddFooter>
    <evenHeader/>
    <evenFooter/>
    <firstHeader/>
    <firstFooter/>
  </headerFooter>
</worksheet>
</file>

<file path=xl/worksheets/sheet35.xml><?xml version="1.0" encoding="utf-8"?>
<worksheet xmlns="http://schemas.openxmlformats.org/spreadsheetml/2006/main">
  <sheetPr>
    <tabColor rgb="00B45309"/>
    <outlinePr summaryBelow="1" summaryRight="1"/>
    <pageSetUpPr fitToPage="1"/>
  </sheetPr>
  <dimension ref="A1:N12"/>
  <sheetViews>
    <sheetView showGridLines="0" tabSelected="0" workbookViewId="0">
      <selection activeCell="A1" sqref="A1"/>
    </sheetView>
  </sheetViews>
  <sheetFormatPr baseColWidth="8" defaultRowHeight="15"/>
  <cols>
    <col width="24" customWidth="1" min="1" max="1"/>
    <col width="32" customWidth="1" min="2" max="2"/>
    <col width="38" customWidth="1" min="3" max="3"/>
    <col width="20" customWidth="1" min="4" max="4"/>
    <col width="14" customWidth="1" min="5" max="5"/>
  </cols>
  <sheetData>
    <row r="1" ht="30" customHeight="1">
      <c r="A1" s="1" t="inlineStr">
        <is>
          <t>KPI Dashboard &amp; Targets</t>
        </is>
      </c>
      <c r="M1" s="95" t="inlineStr">
        <is>
          <t>🏠 Home</t>
        </is>
      </c>
      <c r="N1" s="95" t="inlineStr">
        <is>
          <t>↩ Contents</t>
        </is>
      </c>
    </row>
    <row r="2" ht="20" customHeight="1">
      <c r="A2" s="14" t="inlineStr">
        <is>
          <t>Benchmarks from this research; set MUV targets before launch</t>
        </is>
      </c>
    </row>
    <row r="4">
      <c r="A4" s="11" t="inlineStr">
        <is>
          <t>KPI</t>
        </is>
      </c>
      <c r="B4" s="11" t="inlineStr">
        <is>
          <t>Why it matters</t>
        </is>
      </c>
      <c r="C4" s="11" t="inlineStr">
        <is>
          <t>Category benchmark</t>
        </is>
      </c>
      <c r="D4" s="11" t="inlineStr">
        <is>
          <t>MUV target (set)</t>
        </is>
      </c>
      <c r="E4" s="11" t="inlineStr">
        <is>
          <t>Phase</t>
        </is>
      </c>
    </row>
    <row r="5" ht="34" customHeight="1">
      <c r="A5" s="12" t="inlineStr">
        <is>
          <t>Repeat purchase rate</t>
        </is>
      </c>
      <c r="B5" s="12" t="inlineStr">
        <is>
          <t>The metric buyers actually buy on</t>
        </is>
      </c>
      <c r="C5" s="12" t="inlineStr">
        <is>
          <t>OLIPOP cited “astronomical”; aim well above category avg</t>
        </is>
      </c>
      <c r="D5" s="12" t="inlineStr">
        <is>
          <t>[set]</t>
        </is>
      </c>
      <c r="E5" s="12" t="inlineStr">
        <is>
          <t>Phase 1+</t>
        </is>
      </c>
    </row>
    <row r="6" ht="34" customHeight="1">
      <c r="A6" s="13" t="inlineStr">
        <is>
          <t>Velocity (units/store/week)</t>
        </is>
      </c>
      <c r="B6" s="13" t="inlineStr">
        <is>
          <t>Gates shelf retention &amp; expansion</t>
        </is>
      </c>
      <c r="C6" s="13" t="inlineStr">
        <is>
          <t>Buyers reward durable, non-discount velocity</t>
        </is>
      </c>
      <c r="D6" s="13" t="inlineStr">
        <is>
          <t>[set]</t>
        </is>
      </c>
      <c r="E6" s="13" t="inlineStr">
        <is>
          <t>Phase 1+</t>
        </is>
      </c>
    </row>
    <row r="7" ht="34" customHeight="1">
      <c r="A7" s="12" t="inlineStr">
        <is>
          <t>Gross margin</t>
        </is>
      </c>
      <c r="B7" s="12" t="inlineStr">
        <is>
          <t>Survival</t>
        </is>
      </c>
      <c r="C7" s="12" t="inlineStr">
        <is>
          <t>Aim 50–65% at scale (40–50% early); watch COGS definition</t>
        </is>
      </c>
      <c r="D7" s="12" t="inlineStr">
        <is>
          <t>[set]</t>
        </is>
      </c>
      <c r="E7" s="12" t="inlineStr">
        <is>
          <t>All</t>
        </is>
      </c>
    </row>
    <row r="8" ht="34" customHeight="1">
      <c r="A8" s="13" t="inlineStr">
        <is>
          <t>Trade spend % of revenue</t>
        </is>
      </c>
      <c r="B8" s="13" t="inlineStr">
        <is>
          <t>#2 P&amp;L line; cash burn risk</t>
        </is>
      </c>
      <c r="C8" s="13" t="inlineStr">
        <is>
          <t>10–20%; emerging brands high end</t>
        </is>
      </c>
      <c r="D8" s="13" t="inlineStr">
        <is>
          <t>≤45% early</t>
        </is>
      </c>
      <c r="E8" s="13" t="inlineStr">
        <is>
          <t>Phase 1–2</t>
        </is>
      </c>
    </row>
    <row r="9" ht="34" customHeight="1">
      <c r="A9" s="12" t="inlineStr">
        <is>
          <t>CAC (if DTC/sub)</t>
        </is>
      </c>
      <c r="B9" s="12" t="inlineStr">
        <is>
          <t>DTC viability</t>
        </is>
      </c>
      <c r="C9" s="12" t="inlineStr">
        <is>
          <t>F&amp;B DTC ~$45–$53</t>
        </is>
      </c>
      <c r="D9" s="12" t="inlineStr">
        <is>
          <t>≤ contribution margin</t>
        </is>
      </c>
      <c r="E9" s="12" t="inlineStr">
        <is>
          <t>Phase 1+</t>
        </is>
      </c>
    </row>
    <row r="10" ht="34" customHeight="1">
      <c r="A10" s="13" t="inlineStr">
        <is>
          <t>Doors / distribution</t>
        </is>
      </c>
      <c r="B10" s="13" t="inlineStr">
        <is>
          <t>Reach — but only on proven data</t>
        </is>
      </c>
      <c r="C10" s="13" t="inlineStr">
        <is>
          <t>Poppi ~36k / OLIPOP ~35k US (mature)</t>
        </is>
      </c>
      <c r="D10" s="13" t="inlineStr">
        <is>
          <t>Beachhead first</t>
        </is>
      </c>
      <c r="E10" s="13" t="inlineStr">
        <is>
          <t>Phase 1–3</t>
        </is>
      </c>
    </row>
    <row r="11" ht="34" customHeight="1">
      <c r="A11" s="12" t="inlineStr">
        <is>
          <t>Net revenue</t>
        </is>
      </c>
      <c r="B11" s="12" t="inlineStr">
        <is>
          <t>Scale</t>
        </is>
      </c>
      <c r="C11" s="12" t="inlineStr">
        <is>
          <t>$852k (OLIPOP yr1) → $400M+ (yr6)</t>
        </is>
      </c>
      <c r="D11" s="12" t="inlineStr">
        <is>
          <t>[set]</t>
        </is>
      </c>
      <c r="E11" s="12" t="inlineStr">
        <is>
          <t>All</t>
        </is>
      </c>
    </row>
    <row r="12" ht="34" customHeight="1">
      <c r="A12" s="13" t="inlineStr">
        <is>
          <t>Brand awareness / social</t>
        </is>
      </c>
      <c r="B12" s="13" t="inlineStr">
        <is>
          <t>Demand-gen efficiency</t>
        </is>
      </c>
      <c r="C12" s="13" t="inlineStr">
        <is>
          <t>TikTok/podcast-led; earned-media ratio</t>
        </is>
      </c>
      <c r="D12" s="13" t="inlineStr">
        <is>
          <t>[set]</t>
        </is>
      </c>
      <c r="E12" s="13" t="inlineStr">
        <is>
          <t>Phase 1+</t>
        </is>
      </c>
    </row>
  </sheetData>
  <mergeCells count="2">
    <mergeCell ref="A2:E2"/>
    <mergeCell ref="A1:E1"/>
  </mergeCells>
  <hyperlinks>
    <hyperlink xmlns:r="http://schemas.openxmlformats.org/officeDocument/2006/relationships" ref="M1" r:id="rId1"/>
    <hyperlink xmlns:r="http://schemas.openxmlformats.org/officeDocument/2006/relationships" ref="N1" r:id="rId2"/>
  </hyperlinks>
  <pageMargins left="0.75" right="0.75" top="1" bottom="1" header="0.5" footer="0.5"/>
  <pageSetup orientation="landscape" fitToHeight="0" fitToWidth="1"/>
  <headerFooter>
    <oddHeader/>
    <oddFooter>&amp;LOrganika MUV — Competitor Intelligence (confidential draft)&amp;R&amp;P of &amp;N</oddFooter>
    <evenHeader/>
    <evenFooter/>
    <firstHeader/>
    <firstFooter/>
  </headerFooter>
</worksheet>
</file>

<file path=xl/worksheets/sheet36.xml><?xml version="1.0" encoding="utf-8"?>
<worksheet xmlns="http://schemas.openxmlformats.org/spreadsheetml/2006/main">
  <sheetPr>
    <tabColor rgb="00595959"/>
    <outlinePr summaryBelow="1" summaryRight="1"/>
    <pageSetUpPr fitToPage="1"/>
  </sheetPr>
  <dimension ref="A1:N32"/>
  <sheetViews>
    <sheetView showGridLines="0" tabSelected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8" customWidth="1" min="1" max="1"/>
    <col width="40" customWidth="1" min="2" max="2"/>
    <col width="20" customWidth="1" min="3" max="3"/>
  </cols>
  <sheetData>
    <row r="1" ht="30" customHeight="1">
      <c r="A1" s="1" t="inlineStr">
        <is>
          <t>Master Bibliography</t>
        </is>
      </c>
      <c r="M1" s="95" t="inlineStr">
        <is>
          <t>🏠 Home</t>
        </is>
      </c>
      <c r="N1" s="95" t="inlineStr">
        <is>
          <t>↩ Contents</t>
        </is>
      </c>
    </row>
    <row r="2" ht="20" customHeight="1">
      <c r="A2" s="14" t="inlineStr">
        <is>
          <t>Tagged by type. Several primary pages block automated fetch (403) — re-verify load-bearing numbers from the cited URLs before external use</t>
        </is>
      </c>
    </row>
    <row r="4">
      <c r="A4" s="11" t="inlineStr">
        <is>
          <t>Claim / topic</t>
        </is>
      </c>
      <c r="B4" s="11" t="inlineStr">
        <is>
          <t>Source(s)</t>
        </is>
      </c>
      <c r="C4" s="11" t="inlineStr">
        <is>
          <t>Type</t>
        </is>
      </c>
    </row>
    <row r="5" ht="26" customHeight="1">
      <c r="A5" s="12" t="inlineStr">
        <is>
          <t>PepsiCo — Poppi acquisition ($1.95B, closed May 2025)</t>
        </is>
      </c>
      <c r="B5" s="134" t="inlineStr">
        <is>
          <t>pepsico.com/newsroom</t>
        </is>
      </c>
      <c r="C5" s="12" t="inlineStr">
        <is>
          <t>Primary</t>
        </is>
      </c>
    </row>
    <row r="6" ht="26" customHeight="1">
      <c r="A6" s="13" t="inlineStr">
        <is>
          <t>Poppi $8.9M gut-health class-action settlement (final approval Apr 2026)</t>
        </is>
      </c>
      <c r="B6" s="135" t="inlineStr">
        <is>
          <t>classaction.org; bevnet.com; axios.com</t>
        </is>
      </c>
      <c r="C6" s="13" t="inlineStr">
        <is>
          <t>Primary/Trade</t>
        </is>
      </c>
    </row>
    <row r="7" ht="26" customHeight="1">
      <c r="A7" s="12" t="inlineStr">
        <is>
          <t>OLIPOP $50M Series C @ $1.85B; revenue; profitability</t>
        </is>
      </c>
      <c r="B7" s="134" t="inlineStr">
        <is>
          <t>cnbc.com; fooddive.com; bevindustry.com</t>
        </is>
      </c>
      <c r="C7" s="12" t="inlineStr">
        <is>
          <t>Primary/Trade</t>
        </is>
      </c>
    </row>
    <row r="8" ht="26" customHeight="1">
      <c r="A8" s="13" t="inlineStr">
        <is>
          <t>Modern soda $1.8B 2024 (+83%); brand shares (Poppi 38% / OLIPOP 32.7%)</t>
        </is>
      </c>
      <c r="B8" s="13" t="inlineStr">
        <is>
          <t>Circana; bevindustry.com; csnews.com</t>
        </is>
      </c>
      <c r="C8" s="13" t="inlineStr">
        <is>
          <t>Scanner/Trade</t>
        </is>
      </c>
    </row>
    <row r="9" ht="26" customHeight="1">
      <c r="A9" s="12" t="inlineStr">
        <is>
          <t>LMNT FY2023 ($206M sales, ~20% net, $54.6M mktg, $7.1M sampling, 250k+ customers)</t>
        </is>
      </c>
      <c r="B9" s="12" t="inlineStr">
        <is>
          <t>SEC Reg CF CIK 1871551</t>
        </is>
      </c>
      <c r="C9" s="12" t="inlineStr">
        <is>
          <t>Primary (strongest)</t>
        </is>
      </c>
    </row>
    <row r="10" ht="26" customHeight="1">
      <c r="A10" s="13" t="inlineStr">
        <is>
          <t>Powdered hydration $1.5B (+20%); electrolyte powder $2.8B</t>
        </is>
      </c>
      <c r="B10" s="13" t="inlineStr">
        <is>
          <t>Circana/CNN; Grand View</t>
        </is>
      </c>
      <c r="C10" s="13" t="inlineStr">
        <is>
          <t>Scanner/Research-firm</t>
        </is>
      </c>
    </row>
    <row r="11" ht="26" customHeight="1">
      <c r="A11" s="12" t="inlineStr">
        <is>
          <t>Liquid I.V. Costco national launch (2019, ~516 whs); Unilever acq. Sept 2020</t>
        </is>
      </c>
      <c r="B11" s="134" t="inlineStr">
        <is>
          <t>liquid-iv.com; unilever.com; bevnet.com</t>
        </is>
      </c>
      <c r="C11" s="12" t="inlineStr">
        <is>
          <t>Primary/Trade</t>
        </is>
      </c>
    </row>
    <row r="12" ht="26" customHeight="1">
      <c r="A12" s="13" t="inlineStr">
        <is>
          <t>Nuun — Nestlé Health Science acquisition (July 2021)</t>
        </is>
      </c>
      <c r="B12" s="135" t="inlineStr">
        <is>
          <t>nestle.com; businesswire.com</t>
        </is>
      </c>
      <c r="C12" s="13" t="inlineStr">
        <is>
          <t>Primary</t>
        </is>
      </c>
    </row>
    <row r="13" ht="26" customHeight="1">
      <c r="A13" s="12" t="inlineStr">
        <is>
          <t>Vital Proteins sparkling ($2.50/can, VERISOL); Nestlé ownership</t>
        </is>
      </c>
      <c r="B13" s="134" t="inlineStr">
        <is>
          <t>fooddive.com; wwd.com; foodbusinessnews.net</t>
        </is>
      </c>
      <c r="C13" s="12" t="inlineStr">
        <is>
          <t>Trade/Primary</t>
        </is>
      </c>
    </row>
    <row r="14" ht="26" customHeight="1">
      <c r="A14" s="13" t="inlineStr">
        <is>
          <t>Celsius — PepsiCo $550M/8.5% (2022); Alani Nu $1.8B (2025)</t>
        </is>
      </c>
      <c r="B14" s="135" t="inlineStr">
        <is>
          <t>bevnet.com; bloomberg.com; businesswire.com</t>
        </is>
      </c>
      <c r="C14" s="13" t="inlineStr">
        <is>
          <t>Primary/Trade</t>
        </is>
      </c>
    </row>
    <row r="15" ht="26" customHeight="1">
      <c r="A15" s="12" t="inlineStr">
        <is>
          <t>Health-Ade — Generous Brands $500M; $4M kombucha settlement</t>
        </is>
      </c>
      <c r="B15" s="134" t="inlineStr">
        <is>
          <t>fooddive.com; bursor.com</t>
        </is>
      </c>
      <c r="C15" s="12" t="inlineStr">
        <is>
          <t>Trade</t>
        </is>
      </c>
    </row>
    <row r="16" ht="26" customHeight="1">
      <c r="A16" s="13" t="inlineStr">
        <is>
          <t>Collagen efficacy — 2025 systematic review/meta-analysis (no proven skin benefit; funding bias)</t>
        </is>
      </c>
      <c r="B16" s="135" t="inlineStr">
        <is>
          <t>Am. Journal of Medicine; nutraingredients.com</t>
        </is>
      </c>
      <c r="C16" s="13" t="inlineStr">
        <is>
          <t>Primary (peer-reviewed)</t>
        </is>
      </c>
    </row>
    <row r="17" ht="26" customHeight="1">
      <c r="A17" s="12" t="inlineStr">
        <is>
          <t>GLP-1 impact (23% households; 35% of units by 2030; spend -5.3%)</t>
        </is>
      </c>
      <c r="B17" s="12" t="inlineStr">
        <is>
          <t>Morning Consult; Circana; Food Dive</t>
        </is>
      </c>
      <c r="C17" s="12" t="inlineStr">
        <is>
          <t>Research/Trade</t>
        </is>
      </c>
    </row>
    <row r="18" ht="26" customHeight="1">
      <c r="A18" s="13" t="inlineStr">
        <is>
          <t>Beauty-from-within drinks $3.24B, women 68.4%</t>
        </is>
      </c>
      <c r="B18" s="13" t="inlineStr">
        <is>
          <t>Future Market Insights; Grand View</t>
        </is>
      </c>
      <c r="C18" s="13" t="inlineStr">
        <is>
          <t>Research-firm (directional)</t>
        </is>
      </c>
    </row>
    <row r="19" ht="26" customHeight="1">
      <c r="A19" s="12" t="inlineStr">
        <is>
          <t>Channel economics (Amazon fees, Costco margin, DTC CAC, slotting, distributor)</t>
        </is>
      </c>
      <c r="B19" s="134" t="inlineStr">
        <is>
          <t>sellingpartners.aboutamazon.com; massivemoats; eightx.co; balancedbusinessgroup.com</t>
        </is>
      </c>
      <c r="C19" s="12" t="inlineStr">
        <is>
          <t>Mixed (Amazon/Costco HARD)</t>
        </is>
      </c>
    </row>
    <row r="20" ht="26" customHeight="1">
      <c r="A20" s="13" t="inlineStr">
        <is>
          <t>Canada — NHP vs Food classification (food-format guidance)</t>
        </is>
      </c>
      <c r="B20" s="135" t="inlineStr">
        <is>
          <t>canada.ca Health Canada guidance</t>
        </is>
      </c>
      <c r="C20" s="13" t="inlineStr">
        <is>
          <t>Primary (regulatory)</t>
        </is>
      </c>
    </row>
    <row r="21" ht="26" customHeight="1">
      <c r="A21" s="12" t="inlineStr">
        <is>
          <t>Canada — Supplemented Foods Regulations (in force Jul 2022; SFCI; Jan 2026)</t>
        </is>
      </c>
      <c r="B21" s="134" t="inlineStr">
        <is>
          <t>canada.ca; inspection.canada.ca; fasken.com</t>
        </is>
      </c>
      <c r="C21" s="12" t="inlineStr">
        <is>
          <t>Primary/Legal</t>
        </is>
      </c>
    </row>
    <row r="22" ht="26" customHeight="1">
      <c r="A22" s="13" t="inlineStr">
        <is>
          <t>Canada — collagen caution statement (FDR C.R.C. c.870)</t>
        </is>
      </c>
      <c r="B22" s="135" t="inlineStr">
        <is>
          <t>laws.justice.gc.ca</t>
        </is>
      </c>
      <c r="C22" s="13" t="inlineStr">
        <is>
          <t>Primary (regulation)</t>
        </is>
      </c>
    </row>
    <row r="23" ht="26" customHeight="1">
      <c r="A23" s="12" t="inlineStr">
        <is>
          <t>Canada — caffeine 180mg cap (Prime Energy blocked)</t>
        </is>
      </c>
      <c r="B23" s="134" t="inlineStr">
        <is>
          <t>canada.ca; stack3d.com</t>
        </is>
      </c>
      <c r="C23" s="12" t="inlineStr">
        <is>
          <t>Primary/Trade</t>
        </is>
      </c>
    </row>
    <row r="24" ht="26" customHeight="1">
      <c r="A24" s="13" t="inlineStr">
        <is>
          <t>Canada — Bill 96 / OQLF packaging (Jun 2025)</t>
        </is>
      </c>
      <c r="B24" s="135" t="inlineStr">
        <is>
          <t>mltaikins.com; stikeman.com</t>
        </is>
      </c>
      <c r="C24" s="13" t="inlineStr">
        <is>
          <t>Legal</t>
        </is>
      </c>
    </row>
    <row r="25" ht="26" customHeight="1">
      <c r="A25" s="12" t="inlineStr">
        <is>
          <t>Canada — grocery share &amp; Code of Conduct (Jan 2025)</t>
        </is>
      </c>
      <c r="B25" s="12" t="inlineStr">
        <is>
          <t>USDA FAS; statista.com; cbc.ca; canadacode.org</t>
        </is>
      </c>
      <c r="C25" s="12" t="inlineStr">
        <is>
          <t>Govt/Trade</t>
        </is>
      </c>
    </row>
    <row r="26" ht="26" customHeight="1">
      <c r="A26" s="13" t="inlineStr">
        <is>
          <t>US brand Canada entry (Liquid I.V. 2023, Poppi Aug 2024, Celsius Jan 2024)</t>
        </is>
      </c>
      <c r="B26" s="135" t="inlineStr">
        <is>
          <t>foodincanada.com; newswire.ca; prnewswire.com</t>
        </is>
      </c>
      <c r="C26" s="13" t="inlineStr">
        <is>
          <t>Trade/Primary</t>
        </is>
      </c>
    </row>
    <row r="27" ht="26" customHeight="1">
      <c r="A27" s="12" t="inlineStr">
        <is>
          <t>Launch playbooks (Poppi/OLIPOP/LMNT/Liquid I.V./Celsius timelines)</t>
        </is>
      </c>
      <c r="B27" s="134" t="inlineStr">
        <is>
          <t>fortune.com; entrepreneur.com; cnbc.com; inc.com; hubermanlab.com</t>
        </is>
      </c>
      <c r="C27" s="12" t="inlineStr">
        <is>
          <t>Trade/Primary</t>
        </is>
      </c>
    </row>
    <row r="28" ht="26" customHeight="1">
      <c r="A28" s="13" t="inlineStr">
        <is>
          <t>Extended landscape (Culture Pop, Spindrift, Prime, Cure, etc.)</t>
        </is>
      </c>
      <c r="B28" s="135" t="inlineStr">
        <is>
          <t>bevnet.com; techcrunch.com; prnewswire.com; wikipedia</t>
        </is>
      </c>
      <c r="C28" s="13" t="inlineStr">
        <is>
          <t>Trade (verify FLAGs)</t>
        </is>
      </c>
    </row>
    <row r="29" ht="26" customHeight="1">
      <c r="A29" s="12" t="inlineStr">
        <is>
          <t>Private label ~$277B, ~21% share</t>
        </is>
      </c>
      <c r="B29" s="134" t="inlineStr">
        <is>
          <t>grocerydive.com; nielseniq.com</t>
        </is>
      </c>
      <c r="C29" s="12" t="inlineStr">
        <is>
          <t>Trade</t>
        </is>
      </c>
    </row>
    <row r="30" ht="26" customHeight="1">
      <c r="A30" s="13" t="inlineStr">
        <is>
          <t>CPG failure rate ~85% in 2 years</t>
        </is>
      </c>
      <c r="B30" s="135" t="inlineStr">
        <is>
          <t>foodnavigator-usa.com; eightx.co</t>
        </is>
      </c>
      <c r="C30" s="13" t="inlineStr">
        <is>
          <t>Trade (directional)</t>
        </is>
      </c>
    </row>
    <row r="32" ht="58" customHeight="1">
      <c r="A32" s="6" t="inlineStr">
        <is>
          <t>PROCESS NOTE: Numbers were captured via multi-source web research with per-claim citation. Primary publisher and canada.ca pages frequently block automated fetch (HTTP 403); load-bearing figures should be re-pulled directly from the cited URLs (or licensed Circana/SPINS/Mintel portals) before external publication. The two highest-stakes regulatory claims — (a) RTD beverages are foods not NHPs, (b) the Supplemented-Foods/SFCI pathway with Jan 1 2026 compliance — are each corroborated by an official source + ≥1 independent secondary.</t>
        </is>
      </c>
      <c r="B32" s="34" t="n"/>
      <c r="C32" s="35" t="n"/>
    </row>
  </sheetData>
  <mergeCells count="3">
    <mergeCell ref="A1:C1"/>
    <mergeCell ref="A32:C32"/>
    <mergeCell ref="A2:C2"/>
  </mergeCells>
  <hyperlinks>
    <hyperlink xmlns:r="http://schemas.openxmlformats.org/officeDocument/2006/relationships" ref="M1" r:id="rId1"/>
    <hyperlink xmlns:r="http://schemas.openxmlformats.org/officeDocument/2006/relationships" ref="N1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11" r:id="rId6"/>
    <hyperlink xmlns:r="http://schemas.openxmlformats.org/officeDocument/2006/relationships" ref="B12" r:id="rId7"/>
    <hyperlink xmlns:r="http://schemas.openxmlformats.org/officeDocument/2006/relationships" ref="B13" r:id="rId8"/>
    <hyperlink xmlns:r="http://schemas.openxmlformats.org/officeDocument/2006/relationships" ref="B14" r:id="rId9"/>
    <hyperlink xmlns:r="http://schemas.openxmlformats.org/officeDocument/2006/relationships" ref="B15" r:id="rId10"/>
    <hyperlink xmlns:r="http://schemas.openxmlformats.org/officeDocument/2006/relationships" ref="B16" r:id="rId11"/>
    <hyperlink xmlns:r="http://schemas.openxmlformats.org/officeDocument/2006/relationships" ref="B19" r:id="rId12"/>
    <hyperlink xmlns:r="http://schemas.openxmlformats.org/officeDocument/2006/relationships" ref="B20" r:id="rId13"/>
    <hyperlink xmlns:r="http://schemas.openxmlformats.org/officeDocument/2006/relationships" ref="B21" r:id="rId14"/>
    <hyperlink xmlns:r="http://schemas.openxmlformats.org/officeDocument/2006/relationships" ref="B22" r:id="rId15"/>
    <hyperlink xmlns:r="http://schemas.openxmlformats.org/officeDocument/2006/relationships" ref="B23" r:id="rId16"/>
    <hyperlink xmlns:r="http://schemas.openxmlformats.org/officeDocument/2006/relationships" ref="B24" r:id="rId17"/>
    <hyperlink xmlns:r="http://schemas.openxmlformats.org/officeDocument/2006/relationships" ref="B26" r:id="rId18"/>
    <hyperlink xmlns:r="http://schemas.openxmlformats.org/officeDocument/2006/relationships" ref="B27" r:id="rId19"/>
    <hyperlink xmlns:r="http://schemas.openxmlformats.org/officeDocument/2006/relationships" ref="B28" r:id="rId20"/>
    <hyperlink xmlns:r="http://schemas.openxmlformats.org/officeDocument/2006/relationships" ref="B29" r:id="rId21"/>
    <hyperlink xmlns:r="http://schemas.openxmlformats.org/officeDocument/2006/relationships" ref="B30" r:id="rId22"/>
  </hyperlinks>
  <pageMargins left="0.75" right="0.75" top="1" bottom="1" header="0.5" footer="0.5"/>
  <pageSetup orientation="landscape" fitToHeight="0" fitToWidth="1"/>
  <headerFooter>
    <oddHeader/>
    <oddFooter>&amp;LOrganika MUV — Competitor Intelligence (confidential draft)&amp;R&amp;P of &amp;N</oddFooter>
    <evenHeader/>
    <evenFooter/>
    <firstHeader/>
    <firstFooter/>
  </headerFooter>
</worksheet>
</file>

<file path=xl/worksheets/sheet37.xml><?xml version="1.0" encoding="utf-8"?>
<worksheet xmlns="http://schemas.openxmlformats.org/spreadsheetml/2006/main">
  <sheetPr>
    <tabColor rgb="00C9A227"/>
    <outlinePr summaryBelow="1" summaryRight="1"/>
    <pageSetUpPr/>
  </sheetPr>
  <dimension ref="A1:N16"/>
  <sheetViews>
    <sheetView showGridLines="0" tabSelected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6" customWidth="1" min="3" max="3"/>
    <col width="60" customWidth="1" min="4" max="4"/>
    <col width="30" customWidth="1" min="5" max="5"/>
  </cols>
  <sheetData>
    <row r="1" ht="30" customHeight="1">
      <c r="A1" s="1" t="inlineStr">
        <is>
          <t>Verification Log</t>
        </is>
      </c>
      <c r="M1" s="95" t="inlineStr">
        <is>
          <t>🏠 Home</t>
        </is>
      </c>
      <c r="N1" s="95" t="inlineStr">
        <is>
          <t>↩ Contents</t>
        </is>
      </c>
    </row>
    <row r="2" ht="18" customHeight="1">
      <c r="A2" s="14" t="inlineStr">
        <is>
          <t>What was checked against sources on 2026-06-13, and what changed. Honesty over false precision.</t>
        </is>
      </c>
    </row>
    <row r="4">
      <c r="A4" s="11" t="inlineStr">
        <is>
          <t>#</t>
        </is>
      </c>
      <c r="B4" s="11" t="inlineStr">
        <is>
          <t>Claim checked</t>
        </is>
      </c>
      <c r="C4" s="11" t="inlineStr">
        <is>
          <t>Result</t>
        </is>
      </c>
      <c r="D4" s="11" t="inlineStr">
        <is>
          <t>Finding / corrected value</t>
        </is>
      </c>
      <c r="E4" s="11" t="inlineStr">
        <is>
          <t>Source</t>
        </is>
      </c>
    </row>
    <row r="5" ht="58" customHeight="1">
      <c r="A5" s="97" t="n">
        <v>1</v>
      </c>
      <c r="B5" s="58" t="inlineStr">
        <is>
          <t>What is MÜV — and is it a can or a powder?</t>
        </is>
      </c>
      <c r="C5" s="98" t="inlineStr">
        <is>
          <t>CONFIRMED + CORRECTED (2x)</t>
        </is>
      </c>
      <c r="D5" s="58" t="inlineStr">
        <is>
          <t>“MÜV Sparkling Electrolytes” is a real Organika SKU and is a ready-to-drink SPARKLING CAN (SKU 4338, ~$14.99; ingredient list begins “Carbonated water” + Fibersol, magnesium glycinate, stevia; 0 sugar, caffeine-free). NOTE: an interim round-5 finding called it a powder — that was WRONG (it described Organika's separate electrolyte sachets / Electrolytes+Collagen powder) and is retracted.</t>
        </is>
      </c>
      <c r="E5" s="58" t="inlineStr">
        <is>
          <t>organika.com (SKU 4338, ingredient list); retailer listings</t>
        </is>
      </c>
    </row>
    <row r="6" ht="58" customHeight="1">
      <c r="A6" s="99" t="n">
        <v>2</v>
      </c>
      <c r="B6" s="60" t="inlineStr">
        <is>
          <t>Canada regulatory pathway for MÜV</t>
        </is>
      </c>
      <c r="C6" s="98" t="inlineStr">
        <is>
          <t>CORRECTED (primary)</t>
        </is>
      </c>
      <c r="D6" s="60" t="inlineStr">
        <is>
          <t>Format is NOT the decider. Health Canada is reclassifying ALL sport-electrolyte products (RTD/powder/effervescent) from NHP to SUPPLEMENTED FOODS — NPN holders by Dec 31, 2027; new products comply with FDR now. So MÜV (a can) is a Supplemented Food; collagen beauty claims remain NHP-only. ORS stays NHP. See ‘Canada Regulatory v2’.</t>
        </is>
      </c>
      <c r="E6" s="60" t="inlineStr">
        <is>
          <t>canada.ca Public Notice (Apr 2026); Gowling; dicentra; CHFA</t>
        </is>
      </c>
    </row>
    <row r="7" ht="58" customHeight="1">
      <c r="A7" s="97" t="n">
        <v>3</v>
      </c>
      <c r="B7" s="58" t="inlineStr">
        <is>
          <t>Poppi → PepsiCo $1.95B</t>
        </is>
      </c>
      <c r="C7" s="98" t="inlineStr">
        <is>
          <t>CONFIRMED (primary)</t>
        </is>
      </c>
      <c r="D7" s="58" t="inlineStr">
        <is>
          <t>$1.95B incl. $300M anticipated cash tax benefits → net $1.65B, plus a performance earnout. Closed/announced May 19, 2025.</t>
        </is>
      </c>
      <c r="E7" s="58" t="inlineStr">
        <is>
          <t>PepsiCo newsroom PR (2025-05-19)</t>
        </is>
      </c>
    </row>
    <row r="8" ht="58" customHeight="1">
      <c r="A8" s="99" t="n">
        <v>4</v>
      </c>
      <c r="B8" s="60" t="inlineStr">
        <is>
          <t>OLIPOP $50M Series C @ $1.85B</t>
        </is>
      </c>
      <c r="C8" s="98" t="inlineStr">
        <is>
          <t>CONFIRMED (primary)</t>
        </is>
      </c>
      <c r="D8" s="60" t="inlineStr">
        <is>
          <t>$50M led by JP Morgan Private Capital at $1.85B valuation (Feb 12, 2025); company states fully profitable, &gt;$400M 2024 sales; described as final anticipated equity round.</t>
        </is>
      </c>
      <c r="E8" s="60" t="inlineStr">
        <is>
          <t>Bloomberg; CNBC (2025-02-12)</t>
        </is>
      </c>
    </row>
    <row r="9" ht="58" customHeight="1">
      <c r="A9" s="97" t="n">
        <v>5</v>
      </c>
      <c r="B9" s="58" t="inlineStr">
        <is>
          <t>LMNT FY2023 $206M sales, ~20% net</t>
        </is>
      </c>
      <c r="C9" s="98" t="inlineStr">
        <is>
          <t>CONFIRMED (primary)</t>
        </is>
      </c>
      <c r="D9" s="58" t="inlineStr">
        <is>
          <t>$206M sales, ~20% net income margin, $54.6M marketing (~26.5% of revenue) — LMNT's own SEC Form C-AR, CIK 1871551, FY ended 12/31/2023.</t>
        </is>
      </c>
      <c r="E9" s="58" t="inlineStr">
        <is>
          <t>sec.gov EDGAR (lmnt.pdf, CIK 1871551)</t>
        </is>
      </c>
    </row>
    <row r="10" ht="58" customHeight="1">
      <c r="A10" s="99" t="n">
        <v>6</v>
      </c>
      <c r="B10" s="60" t="inlineStr">
        <is>
          <t>Modern soda $1.8B 2024, +83% YoY</t>
        </is>
      </c>
      <c r="C10" s="98" t="inlineStr">
        <is>
          <t>CONFIRMED (scanner)</t>
        </is>
      </c>
      <c r="D10" s="60" t="inlineStr">
        <is>
          <t>$1.8B in 2024, up 83% from $983M (2023). Shares: Poppi 38%, OLIPOP 32.7%, Zevia 12.1%, Jarritos 10.3%, Fever-Tree 4%, other 2.9%.</t>
        </is>
      </c>
      <c r="E10" s="60" t="inlineStr">
        <is>
          <t>Circana via Beverage Industry / CNN</t>
        </is>
      </c>
    </row>
    <row r="11" ht="58" customHeight="1">
      <c r="A11" s="97" t="n">
        <v>7</v>
      </c>
      <c r="B11" s="58" t="inlineStr">
        <is>
          <t>Poppi $8.9M gut-health settlement</t>
        </is>
      </c>
      <c r="C11" s="98" t="inlineStr">
        <is>
          <t>CONFIRMED (primary)</t>
        </is>
      </c>
      <c r="D11" s="58" t="inlineStr">
        <is>
          <t>$8.9M settlement; suit (June 2024) alleged 2g fiber too low (need &gt;4 cans/day). Class period from Jan 23, 2020. Preliminary approval May 23, 2025; FINAL approval April 14, 2026.</t>
        </is>
      </c>
      <c r="E11" s="58" t="inlineStr">
        <is>
          <t>classaction.org; BevNET; Today</t>
        </is>
      </c>
    </row>
    <row r="12" ht="58" customHeight="1">
      <c r="A12" s="99" t="n">
        <v>8</v>
      </c>
      <c r="B12" s="60" t="inlineStr">
        <is>
          <t>Liquid I.V. Costco 2019; Unilever 2020</t>
        </is>
      </c>
      <c r="C12" s="98" t="inlineStr">
        <is>
          <t>CONFIRMED (primary)</t>
        </is>
      </c>
      <c r="D12" s="60" t="inlineStr">
        <is>
          <t>National Costco launch Jan 8, 2019 → 516 warehouses. Unilever agreed to acquire Sept 1, 2020 (~$500M / ~5x reported; terms officially undisclosed).</t>
        </is>
      </c>
      <c r="E12" s="60" t="inlineStr">
        <is>
          <t>liquid-iv.com; Unilever PR; BevNET</t>
        </is>
      </c>
    </row>
    <row r="13" ht="58" customHeight="1">
      <c r="A13" s="97" t="n">
        <v>9</v>
      </c>
      <c r="B13" s="58" t="inlineStr">
        <is>
          <t>Canada Supplemented Foods Reg; 180mg caffeine cap</t>
        </is>
      </c>
      <c r="C13" s="98" t="inlineStr">
        <is>
          <t>CONFIRMED (primary)</t>
        </is>
      </c>
      <c r="D13" s="58" t="inlineStr">
        <is>
          <t>Amendments in force July 21, 2022. 180mg caffeine cap per single-serve container; Prime Energy (200mg) violated it and was recalled in Canada (July 2023), alongside others.</t>
        </is>
      </c>
      <c r="E13" s="58" t="inlineStr">
        <is>
          <t>Health Canada (canada.ca); CNN; Fasken</t>
        </is>
      </c>
    </row>
    <row r="14" ht="58" customHeight="1">
      <c r="A14" s="99" t="n">
        <v>10</v>
      </c>
      <c r="B14" s="60" t="inlineStr">
        <is>
          <t>Celsius–PepsiCo $550M; Celsius buys Alani Nu $1.8B</t>
        </is>
      </c>
      <c r="C14" s="98" t="inlineStr">
        <is>
          <t>CONFIRMED (primary)</t>
        </is>
      </c>
      <c r="D14" s="60" t="inlineStr">
        <is>
          <t>PepsiCo $550M convertible pref @ $75/sh (~8.5%), Aug 2022, global distribution. Celsius acquired Alani Nu for $1.8B (incl. $150M tax assets → net $1.65B); announced Feb 2025, CLOSED April 1, 2025.</t>
        </is>
      </c>
      <c r="E14" s="60" t="inlineStr">
        <is>
          <t>SEC 8-K; BevNET; Food Dive</t>
        </is>
      </c>
    </row>
    <row r="16" ht="52" customHeight="1">
      <c r="A16" s="56" t="inlineStr">
        <is>
          <t>Method note: All 10 items were re-verified on 2026-06-13. Items 1–2 confirmed against Organika's site + Canadian retailer listings (storefront blocks automated fetch, so confirmed via search-indexed product/retailer pages). Items 3–10 were re-pulled and CONFIRMED against primary sources (PepsiCo, SEC EDGAR, Circana via trade press, Health Canada, classaction.org, Unilever, Celsius SEC 8-Ks), several with added precision (net purchase prices, exact close dates). No competitor figure required downward correction. The material corrections were on MÜV (items 1–2): verified as an RTD sparkling CAN (not a powder), and the Canada sport-electrolyte → Supplemented-Food reclassification (deep-research pass). Direct primary-PDF re-read still advised for any figure quoted verbatim in board materials.</t>
        </is>
      </c>
      <c r="B16" s="34" t="n"/>
      <c r="C16" s="34" t="n"/>
      <c r="D16" s="34" t="n"/>
      <c r="E16" s="35" t="n"/>
    </row>
  </sheetData>
  <mergeCells count="3">
    <mergeCell ref="A2:E2"/>
    <mergeCell ref="A16:E16"/>
    <mergeCell ref="A1:E1"/>
  </mergeCells>
  <hyperlinks>
    <hyperlink xmlns:r="http://schemas.openxmlformats.org/officeDocument/2006/relationships" ref="M1" r:id="rId1"/>
    <hyperlink xmlns:r="http://schemas.openxmlformats.org/officeDocument/2006/relationships" ref="N1" r:id="rId2"/>
  </hyperlinks>
  <pageMargins left="0.75" right="0.75" top="1" bottom="1" header="0.5" footer="0.5"/>
  <pageSetup orientation="landscape"/>
</worksheet>
</file>

<file path=xl/worksheets/sheet38.xml><?xml version="1.0" encoding="utf-8"?>
<worksheet xmlns="http://schemas.openxmlformats.org/spreadsheetml/2006/main">
  <sheetPr>
    <tabColor rgb="00595959"/>
    <outlinePr summaryBelow="1" summaryRight="1"/>
    <pageSetUpPr fitToPage="1"/>
  </sheetPr>
  <dimension ref="A1:N38"/>
  <sheetViews>
    <sheetView showGridLines="0" tabSelected="0" workbookViewId="0">
      <selection activeCell="A1" sqref="A1"/>
    </sheetView>
  </sheetViews>
  <sheetFormatPr baseColWidth="8" defaultRowHeight="15"/>
  <cols>
    <col width="22" customWidth="1" min="1" max="1"/>
    <col width="96" customWidth="1" min="2" max="2"/>
  </cols>
  <sheetData>
    <row r="1" ht="30" customHeight="1">
      <c r="A1" s="1" t="inlineStr">
        <is>
          <t>Glossary &amp; Abbreviations</t>
        </is>
      </c>
      <c r="M1" s="95" t="inlineStr">
        <is>
          <t>🏠 Home</t>
        </is>
      </c>
      <c r="N1" s="95" t="inlineStr">
        <is>
          <t>↩ Contents</t>
        </is>
      </c>
    </row>
    <row r="3">
      <c r="A3" s="11" t="inlineStr">
        <is>
          <t>Term</t>
        </is>
      </c>
      <c r="B3" s="11" t="inlineStr">
        <is>
          <t>Definition</t>
        </is>
      </c>
    </row>
    <row r="4" ht="22" customHeight="1">
      <c r="A4" s="12" t="inlineStr">
        <is>
          <t>ACV</t>
        </is>
      </c>
      <c r="B4" s="12" t="inlineStr">
        <is>
          <t>Apple cider vinegar (Poppi's original hero ingredient)</t>
        </is>
      </c>
    </row>
    <row r="5" ht="22" customHeight="1">
      <c r="A5" s="13" t="inlineStr">
        <is>
          <t>ACV (retail)</t>
        </is>
      </c>
      <c r="B5" s="13" t="inlineStr">
        <is>
          <t>Also: All-Commodity Volume — a retail distribution/weighting metric (context-dependent)</t>
        </is>
      </c>
    </row>
    <row r="6" ht="22" customHeight="1">
      <c r="A6" s="12" t="inlineStr">
        <is>
          <t>CFIA</t>
        </is>
      </c>
      <c r="B6" s="12" t="inlineStr">
        <is>
          <t>Canadian Food Inspection Agency — regulates food-format products in Canada</t>
        </is>
      </c>
    </row>
    <row r="7" ht="22" customHeight="1">
      <c r="A7" s="13" t="inlineStr">
        <is>
          <t>CTT</t>
        </is>
      </c>
      <c r="B7" s="13" t="inlineStr">
        <is>
          <t>Cellular Transport Technology — Liquid I.V.'s hydration claim</t>
        </is>
      </c>
    </row>
    <row r="8" ht="22" customHeight="1">
      <c r="A8" s="12" t="inlineStr">
        <is>
          <t>DSD</t>
        </is>
      </c>
      <c r="B8" s="12" t="inlineStr">
        <is>
          <t>Direct Store Delivery — brand/bottler delivers &amp; merchandises in-store (Coca-Cola model)</t>
        </is>
      </c>
    </row>
    <row r="9" ht="22" customHeight="1">
      <c r="A9" s="13" t="inlineStr">
        <is>
          <t>DTC</t>
        </is>
      </c>
      <c r="B9" s="13" t="inlineStr">
        <is>
          <t>Direct-to-consumer (e-commerce / subscription)</t>
        </is>
      </c>
    </row>
    <row r="10" ht="22" customHeight="1">
      <c r="A10" s="12" t="inlineStr">
        <is>
          <t>FBA</t>
        </is>
      </c>
      <c r="B10" s="12" t="inlineStr">
        <is>
          <t>Fulfillment by Amazon</t>
        </is>
      </c>
    </row>
    <row r="11" ht="22" customHeight="1">
      <c r="A11" s="13" t="inlineStr">
        <is>
          <t>FDR</t>
        </is>
      </c>
      <c r="B11" s="13" t="inlineStr">
        <is>
          <t>Food and Drug Regulations (Canada)</t>
        </is>
      </c>
    </row>
    <row r="12" ht="22" customHeight="1">
      <c r="A12" s="12" t="inlineStr">
        <is>
          <t>GLP-1</t>
        </is>
      </c>
      <c r="B12" s="12" t="inlineStr">
        <is>
          <t>Glucagon-like peptide-1 agonists (Ozempic/Wegovy) — weight-loss drugs reshaping food demand</t>
        </is>
      </c>
    </row>
    <row r="13" ht="22" customHeight="1">
      <c r="A13" s="13" t="inlineStr">
        <is>
          <t>GM / COGS</t>
        </is>
      </c>
      <c r="B13" s="13" t="inlineStr">
        <is>
          <t>Gross margin / Cost of goods sold</t>
        </is>
      </c>
    </row>
    <row r="14" ht="22" customHeight="1">
      <c r="A14" s="12" t="inlineStr">
        <is>
          <t>MOQ</t>
        </is>
      </c>
      <c r="B14" s="12" t="inlineStr">
        <is>
          <t>Minimum order quantity (co-packer runs)</t>
        </is>
      </c>
    </row>
    <row r="15" ht="22" customHeight="1">
      <c r="A15" s="13" t="inlineStr">
        <is>
          <t>MULO</t>
        </is>
      </c>
      <c r="B15" s="13" t="inlineStr">
        <is>
          <t>Multi-Outlet (SPINS/Circana retail measurement universe)</t>
        </is>
      </c>
    </row>
    <row r="16" ht="22" customHeight="1">
      <c r="A16" s="12" t="inlineStr">
        <is>
          <t>NHP / NPN</t>
        </is>
      </c>
      <c r="B16" s="12" t="inlineStr">
        <is>
          <t>Natural Health Product / Natural Product Number (Canada licensing for supplements)</t>
        </is>
      </c>
    </row>
    <row r="17" ht="22" customHeight="1">
      <c r="A17" s="13" t="inlineStr">
        <is>
          <t>PMF</t>
        </is>
      </c>
      <c r="B17" s="13" t="inlineStr">
        <is>
          <t>Product-market fit</t>
        </is>
      </c>
    </row>
    <row r="18" ht="22" customHeight="1">
      <c r="A18" s="12" t="inlineStr">
        <is>
          <t>RTD</t>
        </is>
      </c>
      <c r="B18" s="12" t="inlineStr">
        <is>
          <t>Ready-to-drink (a finished beverage, vs powder/tablet)</t>
        </is>
      </c>
    </row>
    <row r="19" ht="22" customHeight="1">
      <c r="A19" s="13" t="inlineStr">
        <is>
          <t>SAM/SOM/TAM</t>
        </is>
      </c>
      <c r="B19" s="13" t="inlineStr">
        <is>
          <t>Serviceable available / obtainable / total addressable market</t>
        </is>
      </c>
    </row>
    <row r="20" ht="22" customHeight="1">
      <c r="A20" s="12" t="inlineStr">
        <is>
          <t>SFCI</t>
        </is>
      </c>
      <c r="B20" s="12" t="inlineStr">
        <is>
          <t>Supplemented Food Caution Identifier — Canada's ‘!’ caution box for supplemented foods</t>
        </is>
      </c>
    </row>
    <row r="21" ht="22" customHeight="1">
      <c r="A21" s="13" t="inlineStr">
        <is>
          <t>SFR</t>
        </is>
      </c>
      <c r="B21" s="13" t="inlineStr">
        <is>
          <t>Supplemented Foods Regulations (Canada, in force Jul 21 2022)</t>
        </is>
      </c>
    </row>
    <row r="22" ht="22" customHeight="1">
      <c r="A22" s="12" t="inlineStr">
        <is>
          <t>SPINS / Circana</t>
        </is>
      </c>
      <c r="B22" s="12" t="inlineStr">
        <is>
          <t>Syndicated retail scanner-data providers (point-of-sale sales &amp; velocity)</t>
        </is>
      </c>
    </row>
    <row r="23" ht="22" customHeight="1">
      <c r="A23" s="13" t="inlineStr">
        <is>
          <t>Slotting fee</t>
        </is>
      </c>
      <c r="B23" s="13" t="inlineStr">
        <is>
          <t>Payment to a retailer to list a new SKU / secure shelf space</t>
        </is>
      </c>
    </row>
    <row r="24" ht="22" customHeight="1">
      <c r="A24" s="12" t="inlineStr">
        <is>
          <t>Trade spend</t>
        </is>
      </c>
      <c r="B24" s="12" t="inlineStr">
        <is>
          <t>Promotional/discount spend to retailers — typically the #2 P&amp;L line after COGS</t>
        </is>
      </c>
    </row>
    <row r="25" ht="22" customHeight="1">
      <c r="A25" s="13" t="inlineStr">
        <is>
          <t>UNFI / KeHE</t>
        </is>
      </c>
      <c r="B25" s="13" t="inlineStr">
        <is>
          <t>Major North American natural/specialty food distributors</t>
        </is>
      </c>
    </row>
    <row r="26" ht="22" customHeight="1">
      <c r="A26" s="12" t="inlineStr">
        <is>
          <t>VERISOL</t>
        </is>
      </c>
      <c r="B26" s="12" t="inlineStr">
        <is>
          <t>A clinically-studied collagen peptide (Vital Proteins sparkling)</t>
        </is>
      </c>
    </row>
    <row r="28">
      <c r="A28" s="42" t="inlineStr">
        <is>
          <t>REGULATORY &amp; FORMAT TERMS (Canada)</t>
        </is>
      </c>
    </row>
    <row r="29" ht="26" customHeight="1">
      <c r="A29" s="87" t="inlineStr">
        <is>
          <t>RTD</t>
        </is>
      </c>
      <c r="B29" s="58" t="inlineStr">
        <is>
          <t>Ready-to-drink — a finished beverage (e.g., a can), vs a powder/tablet to reconstitute.</t>
        </is>
      </c>
    </row>
    <row r="30" ht="26" customHeight="1">
      <c r="A30" s="89" t="inlineStr">
        <is>
          <t>NHP</t>
        </is>
      </c>
      <c r="B30" s="60" t="inlineStr">
        <is>
          <t>Natural Health Product — Canadian licensed supplement category; bears an NPN.</t>
        </is>
      </c>
    </row>
    <row r="31" ht="26" customHeight="1">
      <c r="A31" s="87" t="inlineStr">
        <is>
          <t>NPN</t>
        </is>
      </c>
      <c r="B31" s="58" t="inlineStr">
        <is>
          <t>Natural Product Number — 8-digit licence number on an NHP.</t>
        </is>
      </c>
    </row>
    <row r="32" ht="26" customHeight="1">
      <c r="A32" s="89" t="inlineStr">
        <is>
          <t>Supplemented Food</t>
        </is>
      </c>
      <c r="B32" s="60" t="inlineStr">
        <is>
          <t>A food with added vitamins/minerals/amino acids beyond normal fortification, under the Supplemented Foods Regulations (in force 2022-07-21).</t>
        </is>
      </c>
    </row>
    <row r="33" ht="26" customHeight="1">
      <c r="A33" s="87" t="inlineStr">
        <is>
          <t>SFFt</t>
        </is>
      </c>
      <c r="B33" s="58" t="inlineStr">
        <is>
          <t>Supplemented Food Facts table — modified Nutrition Facts table with a 'Supplemented with' line.</t>
        </is>
      </c>
    </row>
    <row r="34" ht="26" customHeight="1">
      <c r="A34" s="89" t="inlineStr">
        <is>
          <t>SFCI</t>
        </is>
      </c>
      <c r="B34" s="60" t="inlineStr">
        <is>
          <t>Supplemented Food Caution Identifier — the black-&amp;-white '!' identifier required when cautionary statements apply.</t>
        </is>
      </c>
    </row>
    <row r="35" ht="26" customHeight="1">
      <c r="A35" s="87" t="inlineStr">
        <is>
          <t>ORS</t>
        </is>
      </c>
      <c r="B35" s="58" t="inlineStr">
        <is>
          <t>Oral Rehydration Solution — clinical rehydration product; stays regulated as an NHP (carve-out from the electrolyte→food shift).</t>
        </is>
      </c>
    </row>
    <row r="36" ht="26" customHeight="1">
      <c r="A36" s="89" t="inlineStr">
        <is>
          <t>Food–NHP interface</t>
        </is>
      </c>
      <c r="B36" s="60" t="inlineStr">
        <is>
          <t>Health Canada guidance that classifies food-format products; format is not decisive — representation + claims are.</t>
        </is>
      </c>
    </row>
    <row r="37" ht="26" customHeight="1">
      <c r="A37" s="87" t="inlineStr">
        <is>
          <t>Fibersol</t>
        </is>
      </c>
      <c r="B37" s="58" t="inlineStr">
        <is>
          <t>A soluble prebiotic dietary fibre used in MÜV.</t>
        </is>
      </c>
    </row>
    <row r="38" ht="26" customHeight="1">
      <c r="A38" s="89" t="inlineStr">
        <is>
          <t>Bill 96 / OQLF</t>
        </is>
      </c>
      <c r="B38" s="60" t="inlineStr">
        <is>
          <t>Quebec French-language packaging rules; generic/descriptive trademark terms need French.</t>
        </is>
      </c>
    </row>
  </sheetData>
  <mergeCells count="2">
    <mergeCell ref="A1:B1"/>
    <mergeCell ref="A28:B28"/>
  </mergeCells>
  <hyperlinks>
    <hyperlink xmlns:r="http://schemas.openxmlformats.org/officeDocument/2006/relationships" ref="M1" r:id="rId1"/>
    <hyperlink xmlns:r="http://schemas.openxmlformats.org/officeDocument/2006/relationships" ref="N1" r:id="rId2"/>
  </hyperlinks>
  <pageMargins left="0.75" right="0.75" top="1" bottom="1" header="0.5" footer="0.5"/>
  <pageSetup orientation="landscape" fitToHeight="0" fitToWidth="1"/>
  <headerFooter>
    <oddHeader/>
    <oddFooter>&amp;LOrganika MUV — Competitor Intelligence (confidential draft)&amp;R&amp;P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Organika MUV launch analysis</dc:creator>
  <dc:title>Functional &amp; Wellness Sparkling — Competitor Intelligence &amp; Market-Entry Dossier (MUV)</dc:title>
  <dc:description>34-tab dossier: interactive scenario P&amp;L, dashboard, Go/No-Go, battlecards, verification log, Canada-first electrolyte/BFY deep-dive, and a reconciled MÜV peer set. MÜV verified as an RTD sparkling can in a food-regulated lane.</dc:description>
  <dc:subject>Competitive intelligence &amp; Canada market-entry dossier</dc:subject>
  <dcterms:created xsi:type="dcterms:W3CDTF">2026-07-18T09:00:27Z</dcterms:created>
  <dcterms:modified xsi:type="dcterms:W3CDTF">2026-07-18T09:00:31Z</dcterms:modified>
  <cp:keywords>functional beverage, prebiotic soda, collagen, hydration, Canada, MUV, Organika</cp:keywords>
</cp:coreProperties>
</file>